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spreadsheetml.externalLink+xml" PartName="/xl/externalLinks/externalLink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table+xml" PartName="/xl/tables/table3.xml"/>
  <Override ContentType="application/vnd.openxmlformats-officedocument.spreadsheetml.table+xml" PartName="/xl/tables/table4.xml"/>
  <Override ContentType="application/vnd.openxmlformats-officedocument.spreadsheetml.table+xml" PartName="/xl/tables/table5.xml"/>
  <Override ContentType="application/vnd.openxmlformats-officedocument.spreadsheetml.table+xml" PartName="/xl/tables/table6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/>
  <mc:AlternateContent>
    <mc:Choice Requires="x15">
      <x15ac:absPath xmlns:x15ac="http://schemas.microsoft.com/office/spreadsheetml/2010/11/ac" url="C:\Users\alija\Desktop\"/>
    </mc:Choice>
  </mc:AlternateContent>
  <bookViews>
    <workbookView xWindow="-120" yWindow="-120" windowWidth="29040" windowHeight="15840" tabRatio="718"/>
  </bookViews>
  <sheets>
    <sheet name="Data_Tech" sheetId="9" r:id="rId1"/>
    <sheet name="сверхур" sheetId="26" r:id="rId2"/>
    <sheet name="Лист2" sheetId="68" state="hidden" r:id="rId3"/>
    <sheet name="наряд выходн" sheetId="59" r:id="rId4"/>
    <sheet name="расчет" sheetId="57" r:id="rId5"/>
    <sheet name="база" sheetId="10" r:id="rId6"/>
    <sheet name="наряд СУ" sheetId="60" r:id="rId7"/>
    <sheet name="св-185" sheetId="38" r:id="rId8"/>
    <sheet name="св6001" sheetId="65" r:id="rId9"/>
    <sheet name="757-3" sheetId="25" r:id="rId10"/>
    <sheet name="6001п20" sheetId="61" r:id="rId11"/>
    <sheet name="6001-21" sheetId="62" r:id="rId12"/>
    <sheet name="6001-22" sheetId="63" r:id="rId13"/>
    <sheet name="85-4" sheetId="40" r:id="rId14"/>
    <sheet name="ЭВПН" sheetId="64" r:id="rId15"/>
    <sheet name="6001-23" sheetId="66" r:id="rId16"/>
  </sheets>
  <functionGroups builtInGroupCount="18"/>
  <externalReferences>
    <externalReference r:id="rId17"/>
  </externalReferences>
  <definedNames>
    <definedName name="_xlnm._FilterDatabase" localSheetId="0" hidden="1">Data_Tech!$A$1:$AK$211</definedName>
    <definedName name="_xlnm.Print_Area" localSheetId="11">'6001-21'!$A$1:$AJ$37</definedName>
    <definedName name="_xlnm.Print_Area" localSheetId="12">'6001-22'!$A$1:$AJ$37</definedName>
    <definedName name="_xlnm.Print_Area" localSheetId="15">'6001-23'!$A$1:$AJ$36</definedName>
    <definedName name="_xlnm.Print_Area" localSheetId="10">'6001п20'!$A$1:$AJ$37</definedName>
    <definedName name="_xlnm.Print_Area" localSheetId="9">'757-3'!$A$1:$AJ$37</definedName>
    <definedName name="_xlnm.Print_Area" localSheetId="13">'85-4'!$A$1:$AJ$33</definedName>
    <definedName name="_xlnm.Print_Area" localSheetId="3">'наряд выходн'!$A$1:$AA$807</definedName>
    <definedName name="_xlnm.Print_Area" localSheetId="6">'наряд СУ'!$A$1:$AA$828</definedName>
    <definedName name="_xlnm.Print_Area" localSheetId="4">расчет!$A$1:$AA$905</definedName>
    <definedName name="_xlnm.Print_Area" localSheetId="7">'св-185'!$A$1:$AJ$30</definedName>
    <definedName name="_xlnm.Print_Area" localSheetId="8">св6001!$A$1:$AJ$29</definedName>
    <definedName name="_xlnm.Print_Area" localSheetId="1">#REF!</definedName>
    <definedName name="_xlnm.Print_Area" localSheetId="14">ЭВПН!$A$1:$AJ$34</definedName>
  </definedNames>
  <calcPr calcId="152511" iterateDelta="1E-4"/>
</workbook>
</file>

<file path=xl/calcChain.xml><?xml version="1.0" encoding="utf-8"?>
<calcChain xmlns="http://schemas.openxmlformats.org/spreadsheetml/2006/main">
  <c r="AQ207" i="9" l="1"/>
  <c r="AR207" i="9"/>
  <c r="AO207" i="9" s="1"/>
  <c r="AQ170" i="9"/>
  <c r="AR170" i="9"/>
  <c r="AQ171" i="9"/>
  <c r="AR171" i="9"/>
  <c r="AO171" i="9" s="1"/>
  <c r="AQ172" i="9"/>
  <c r="AR172" i="9"/>
  <c r="AQ173" i="9"/>
  <c r="AR173" i="9"/>
  <c r="AO173" i="9" s="1"/>
  <c r="AQ174" i="9"/>
  <c r="AR174" i="9"/>
  <c r="AQ175" i="9"/>
  <c r="AR175" i="9"/>
  <c r="AO175" i="9" s="1"/>
  <c r="AQ176" i="9"/>
  <c r="AR176" i="9"/>
  <c r="AQ177" i="9"/>
  <c r="AR177" i="9"/>
  <c r="AO177" i="9" s="1"/>
  <c r="AQ178" i="9"/>
  <c r="AR178" i="9"/>
  <c r="AQ179" i="9"/>
  <c r="AR179" i="9"/>
  <c r="AO179" i="9" s="1"/>
  <c r="AQ180" i="9"/>
  <c r="AR180" i="9"/>
  <c r="AQ181" i="9"/>
  <c r="AR181" i="9"/>
  <c r="AO181" i="9" s="1"/>
  <c r="AQ182" i="9"/>
  <c r="AR182" i="9"/>
  <c r="AQ183" i="9"/>
  <c r="AR183" i="9"/>
  <c r="AO183" i="9" s="1"/>
  <c r="AQ184" i="9"/>
  <c r="AR184" i="9"/>
  <c r="AQ185" i="9"/>
  <c r="AR185" i="9"/>
  <c r="AO185" i="9" s="1"/>
  <c r="AQ186" i="9"/>
  <c r="AR186" i="9"/>
  <c r="AQ187" i="9"/>
  <c r="AR187" i="9"/>
  <c r="AO187" i="9" s="1"/>
  <c r="AQ188" i="9"/>
  <c r="AR188" i="9"/>
  <c r="AQ189" i="9"/>
  <c r="AR189" i="9"/>
  <c r="AO189" i="9" s="1"/>
  <c r="AQ190" i="9"/>
  <c r="AR190" i="9"/>
  <c r="AQ191" i="9"/>
  <c r="AR191" i="9"/>
  <c r="AO191" i="9" s="1"/>
  <c r="AQ192" i="9"/>
  <c r="AR192" i="9"/>
  <c r="AQ193" i="9"/>
  <c r="AR193" i="9"/>
  <c r="AO193" i="9" s="1"/>
  <c r="AQ194" i="9"/>
  <c r="AR194" i="9"/>
  <c r="AQ195" i="9"/>
  <c r="AR195" i="9"/>
  <c r="AO195" i="9" s="1"/>
  <c r="AQ196" i="9"/>
  <c r="AR196" i="9"/>
  <c r="AQ197" i="9"/>
  <c r="AR197" i="9"/>
  <c r="AO197" i="9" s="1"/>
  <c r="AQ198" i="9"/>
  <c r="AR198" i="9"/>
  <c r="AQ199" i="9"/>
  <c r="AR199" i="9"/>
  <c r="AO199" i="9" s="1"/>
  <c r="AQ200" i="9"/>
  <c r="AR200" i="9"/>
  <c r="AQ201" i="9"/>
  <c r="AR201" i="9"/>
  <c r="AO201" i="9" s="1"/>
  <c r="AQ202" i="9"/>
  <c r="AR202" i="9"/>
  <c r="AQ203" i="9"/>
  <c r="AR203" i="9"/>
  <c r="AO203" i="9" s="1"/>
  <c r="AQ204" i="9"/>
  <c r="AR204" i="9"/>
  <c r="AQ205" i="9"/>
  <c r="AR205" i="9"/>
  <c r="AO205" i="9" s="1"/>
  <c r="AQ206" i="9"/>
  <c r="AR206" i="9"/>
  <c r="AQ208" i="9"/>
  <c r="AR208" i="9"/>
  <c r="AQ209" i="9"/>
  <c r="AR209" i="9"/>
  <c r="AO209" i="9" s="1"/>
  <c r="AQ210" i="9"/>
  <c r="AR210" i="9"/>
  <c r="AQ211" i="9"/>
  <c r="AR211" i="9"/>
  <c r="AO211" i="9" s="1"/>
  <c r="AM169" i="9"/>
  <c r="AO172" i="9"/>
  <c r="AP172" i="9"/>
  <c r="AO174" i="9"/>
  <c r="AP174" i="9"/>
  <c r="AO176" i="9"/>
  <c r="AP176" i="9"/>
  <c r="AO178" i="9"/>
  <c r="AP178" i="9"/>
  <c r="AO180" i="9"/>
  <c r="AP180" i="9"/>
  <c r="AO182" i="9"/>
  <c r="AP182" i="9"/>
  <c r="AO184" i="9"/>
  <c r="AP184" i="9"/>
  <c r="AO186" i="9"/>
  <c r="AP186" i="9"/>
  <c r="AO188" i="9"/>
  <c r="AP188" i="9"/>
  <c r="AO190" i="9"/>
  <c r="AP190" i="9"/>
  <c r="AO192" i="9"/>
  <c r="AP192" i="9"/>
  <c r="AO194" i="9"/>
  <c r="AP194" i="9"/>
  <c r="AO196" i="9"/>
  <c r="AP196" i="9"/>
  <c r="AO198" i="9"/>
  <c r="AP198" i="9"/>
  <c r="AO200" i="9"/>
  <c r="AP200" i="9"/>
  <c r="AO202" i="9"/>
  <c r="AP202" i="9"/>
  <c r="AO204" i="9"/>
  <c r="AP204" i="9"/>
  <c r="AO206" i="9"/>
  <c r="AP206" i="9"/>
  <c r="AO208" i="9"/>
  <c r="AP208" i="9"/>
  <c r="AO210" i="9"/>
  <c r="AP210" i="9"/>
  <c r="A171" i="9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M62" i="26"/>
  <c r="AM63" i="26"/>
  <c r="AM64" i="26"/>
  <c r="AM65" i="26"/>
  <c r="AM66" i="26"/>
  <c r="AM67" i="26"/>
  <c r="AM68" i="26"/>
  <c r="AM69" i="26"/>
  <c r="AM70" i="26"/>
  <c r="AM71" i="26"/>
  <c r="AM72" i="26"/>
  <c r="AM73" i="26"/>
  <c r="AM74" i="26"/>
  <c r="AM75" i="26"/>
  <c r="AM76" i="26"/>
  <c r="AM77" i="26"/>
  <c r="G86" i="26"/>
  <c r="H86" i="26"/>
  <c r="I86" i="26"/>
  <c r="J86" i="26"/>
  <c r="K86" i="26"/>
  <c r="L86" i="26"/>
  <c r="M86" i="26"/>
  <c r="N86" i="26"/>
  <c r="O86" i="26"/>
  <c r="P86" i="26"/>
  <c r="Q86" i="26"/>
  <c r="R86" i="26"/>
  <c r="S86" i="26"/>
  <c r="T86" i="26"/>
  <c r="U86" i="26"/>
  <c r="V86" i="26"/>
  <c r="W86" i="26"/>
  <c r="X86" i="26"/>
  <c r="Y86" i="26"/>
  <c r="Z86" i="26"/>
  <c r="AA86" i="26"/>
  <c r="AB86" i="26"/>
  <c r="AC86" i="26"/>
  <c r="AD86" i="26"/>
  <c r="AE86" i="26"/>
  <c r="AF86" i="26"/>
  <c r="AG86" i="26"/>
  <c r="AH86" i="26"/>
  <c r="AI86" i="26"/>
  <c r="AJ86" i="26"/>
  <c r="AL86" i="26"/>
  <c r="AP211" i="9" l="1"/>
  <c r="AP209" i="9"/>
  <c r="AP207" i="9"/>
  <c r="AP205" i="9"/>
  <c r="AP203" i="9"/>
  <c r="AP201" i="9"/>
  <c r="AP199" i="9"/>
  <c r="AP197" i="9"/>
  <c r="AP195" i="9"/>
  <c r="AP193" i="9"/>
  <c r="AP191" i="9"/>
  <c r="AP189" i="9"/>
  <c r="AP187" i="9"/>
  <c r="AP185" i="9"/>
  <c r="AP183" i="9"/>
  <c r="AP181" i="9"/>
  <c r="AP179" i="9"/>
  <c r="AP177" i="9"/>
  <c r="AP175" i="9"/>
  <c r="AP173" i="9"/>
  <c r="AP171" i="9"/>
  <c r="U797" i="60"/>
  <c r="Q797" i="60"/>
  <c r="U796" i="60"/>
  <c r="Q796" i="60"/>
  <c r="U794" i="60"/>
  <c r="Q794" i="60"/>
  <c r="U792" i="60"/>
  <c r="Q792" i="60"/>
  <c r="U791" i="60"/>
  <c r="Q791" i="60"/>
  <c r="I791" i="60"/>
  <c r="I790" i="60"/>
  <c r="U789" i="60"/>
  <c r="Q789" i="60"/>
  <c r="U788" i="60"/>
  <c r="Q788" i="60"/>
  <c r="U786" i="60"/>
  <c r="Q786" i="60"/>
  <c r="U785" i="60"/>
  <c r="Q785" i="60"/>
  <c r="U783" i="60"/>
  <c r="Q783" i="60"/>
  <c r="U781" i="60"/>
  <c r="Q781" i="60"/>
  <c r="U780" i="60"/>
  <c r="Q780" i="60"/>
  <c r="I780" i="60"/>
  <c r="I779" i="60"/>
  <c r="U778" i="60"/>
  <c r="Q778" i="60"/>
  <c r="U777" i="60"/>
  <c r="Q777" i="60"/>
  <c r="U808" i="60"/>
  <c r="Q808" i="60"/>
  <c r="U807" i="60"/>
  <c r="Q807" i="60"/>
  <c r="U805" i="60"/>
  <c r="Q805" i="60"/>
  <c r="U803" i="60"/>
  <c r="Q803" i="60"/>
  <c r="U802" i="60"/>
  <c r="Q802" i="60"/>
  <c r="I802" i="60"/>
  <c r="I801" i="60"/>
  <c r="U800" i="60"/>
  <c r="Q800" i="60"/>
  <c r="U799" i="60"/>
  <c r="Q799" i="60"/>
  <c r="AS20" i="10" l="1"/>
  <c r="K51" i="10"/>
  <c r="K53" i="10"/>
  <c r="J54" i="10"/>
  <c r="K54" i="10"/>
  <c r="L54" i="10"/>
  <c r="J55" i="10"/>
  <c r="K55" i="10"/>
  <c r="L55" i="10"/>
  <c r="K56" i="10"/>
  <c r="K57" i="10"/>
  <c r="K58" i="10"/>
  <c r="K59" i="10"/>
  <c r="J40" i="10"/>
  <c r="K40" i="10"/>
  <c r="L40" i="10"/>
  <c r="J44" i="10"/>
  <c r="K44" i="10"/>
  <c r="L44" i="10"/>
  <c r="J45" i="10"/>
  <c r="K45" i="10"/>
  <c r="L45" i="10"/>
  <c r="J25" i="10"/>
  <c r="K25" i="10"/>
  <c r="L25" i="10"/>
  <c r="J26" i="10"/>
  <c r="K26" i="10"/>
  <c r="L26" i="10"/>
  <c r="J27" i="10"/>
  <c r="K27" i="10"/>
  <c r="L27" i="10"/>
  <c r="J28" i="10"/>
  <c r="K28" i="10"/>
  <c r="L28" i="10"/>
  <c r="J29" i="10"/>
  <c r="K29" i="10"/>
  <c r="L29" i="10"/>
  <c r="M40" i="10" l="1"/>
  <c r="M54" i="10"/>
  <c r="M44" i="10"/>
  <c r="M45" i="10"/>
  <c r="M26" i="10"/>
  <c r="M29" i="10"/>
  <c r="M25" i="10"/>
  <c r="M27" i="10"/>
  <c r="M28" i="10"/>
  <c r="M55" i="10"/>
  <c r="K23" i="10" l="1"/>
  <c r="K33" i="10"/>
  <c r="J37" i="10"/>
  <c r="K37" i="10"/>
  <c r="L37" i="10"/>
  <c r="M37" i="10" l="1"/>
  <c r="M3" i="10" l="1"/>
  <c r="M4" i="10"/>
  <c r="M5" i="10"/>
  <c r="M6" i="10"/>
  <c r="M7" i="10"/>
  <c r="M2" i="10"/>
  <c r="L3" i="10"/>
  <c r="L4" i="10"/>
  <c r="L5" i="10"/>
  <c r="L6" i="10"/>
  <c r="L7" i="10"/>
  <c r="L2" i="10"/>
  <c r="K7" i="10"/>
  <c r="K3" i="10"/>
  <c r="K4" i="10"/>
  <c r="K5" i="10"/>
  <c r="K6" i="10"/>
  <c r="K2" i="10"/>
  <c r="J7" i="10"/>
  <c r="J6" i="10"/>
  <c r="J5" i="10"/>
  <c r="J4" i="10"/>
  <c r="J3" i="10"/>
  <c r="J2" i="10"/>
  <c r="I3" i="10"/>
  <c r="I4" i="10"/>
  <c r="I5" i="10"/>
  <c r="I6" i="10"/>
  <c r="I7" i="10"/>
  <c r="I2" i="10"/>
  <c r="B891" i="57" l="1"/>
  <c r="U874" i="57"/>
  <c r="Q874" i="57"/>
  <c r="U873" i="57"/>
  <c r="Q873" i="57"/>
  <c r="U871" i="57"/>
  <c r="Q871" i="57"/>
  <c r="U869" i="57"/>
  <c r="Q869" i="57"/>
  <c r="U868" i="57"/>
  <c r="Q868" i="57"/>
  <c r="I868" i="57"/>
  <c r="I867" i="57"/>
  <c r="U866" i="57"/>
  <c r="Q866" i="57"/>
  <c r="U865" i="57"/>
  <c r="Q865" i="57"/>
  <c r="U863" i="57"/>
  <c r="Q863" i="57"/>
  <c r="U862" i="57"/>
  <c r="Q862" i="57"/>
  <c r="U860" i="57"/>
  <c r="Q860" i="57"/>
  <c r="U858" i="57"/>
  <c r="Q858" i="57"/>
  <c r="U857" i="57"/>
  <c r="Q857" i="57"/>
  <c r="I857" i="57"/>
  <c r="I856" i="57"/>
  <c r="U855" i="57"/>
  <c r="Q855" i="57"/>
  <c r="U854" i="57"/>
  <c r="Q854" i="57"/>
  <c r="U885" i="57"/>
  <c r="Q885" i="57"/>
  <c r="U884" i="57"/>
  <c r="Q884" i="57"/>
  <c r="U882" i="57"/>
  <c r="Q882" i="57"/>
  <c r="U880" i="57"/>
  <c r="Q880" i="57"/>
  <c r="U879" i="57"/>
  <c r="Q879" i="57"/>
  <c r="I879" i="57"/>
  <c r="I878" i="57"/>
  <c r="U877" i="57"/>
  <c r="Q877" i="57"/>
  <c r="U876" i="57"/>
  <c r="Q876" i="57"/>
  <c r="U841" i="57"/>
  <c r="Q841" i="57"/>
  <c r="U840" i="57"/>
  <c r="Q840" i="57"/>
  <c r="U838" i="57"/>
  <c r="Q838" i="57"/>
  <c r="U836" i="57"/>
  <c r="Q836" i="57"/>
  <c r="U835" i="57"/>
  <c r="Q835" i="57"/>
  <c r="I835" i="57"/>
  <c r="I834" i="57"/>
  <c r="U833" i="57"/>
  <c r="Q833" i="57"/>
  <c r="U832" i="57"/>
  <c r="Q832" i="57"/>
  <c r="U830" i="57"/>
  <c r="Q830" i="57"/>
  <c r="U829" i="57"/>
  <c r="Q829" i="57"/>
  <c r="U827" i="57"/>
  <c r="Q827" i="57"/>
  <c r="U825" i="57"/>
  <c r="Q825" i="57"/>
  <c r="U824" i="57"/>
  <c r="Q824" i="57"/>
  <c r="I824" i="57"/>
  <c r="I823" i="57"/>
  <c r="U822" i="57"/>
  <c r="Q822" i="57"/>
  <c r="U821" i="57"/>
  <c r="Q821" i="57"/>
  <c r="U852" i="57"/>
  <c r="Q852" i="57"/>
  <c r="U851" i="57"/>
  <c r="Q851" i="57"/>
  <c r="U849" i="57"/>
  <c r="Q849" i="57"/>
  <c r="U847" i="57"/>
  <c r="Q847" i="57"/>
  <c r="U846" i="57"/>
  <c r="Q846" i="57"/>
  <c r="I846" i="57"/>
  <c r="I845" i="57"/>
  <c r="U844" i="57"/>
  <c r="Q844" i="57"/>
  <c r="U843" i="57"/>
  <c r="Q843" i="57"/>
  <c r="AQ111" i="9" l="1"/>
  <c r="AM4" i="26" l="1"/>
  <c r="AM5" i="26"/>
  <c r="AM6" i="26"/>
  <c r="AM7" i="26"/>
  <c r="AM8" i="26"/>
  <c r="AM9" i="26"/>
  <c r="AM10" i="26"/>
  <c r="AM11" i="26"/>
  <c r="AM12" i="26"/>
  <c r="AM13" i="26"/>
  <c r="AM14" i="26"/>
  <c r="AM15" i="26"/>
  <c r="AM16" i="26"/>
  <c r="AM17" i="26"/>
  <c r="AM18" i="26"/>
  <c r="AM19" i="26"/>
  <c r="AM20" i="26"/>
  <c r="AM21" i="26"/>
  <c r="AM22" i="26"/>
  <c r="AM23" i="26"/>
  <c r="AM24" i="26"/>
  <c r="AM25" i="26"/>
  <c r="AM26" i="26"/>
  <c r="AM27" i="26"/>
  <c r="AM28" i="26"/>
  <c r="AM29" i="26"/>
  <c r="AM30" i="26"/>
  <c r="AM31" i="26"/>
  <c r="AM32" i="26"/>
  <c r="AM33" i="26"/>
  <c r="AM34" i="26"/>
  <c r="AM35" i="26"/>
  <c r="AM36" i="26"/>
  <c r="AM37" i="26"/>
  <c r="AM38" i="26"/>
  <c r="AM39" i="26"/>
  <c r="AM40" i="26"/>
  <c r="AM41" i="26"/>
  <c r="AM42" i="26"/>
  <c r="AM43" i="26"/>
  <c r="AM44" i="26"/>
  <c r="AM45" i="26"/>
  <c r="AM46" i="26"/>
  <c r="AM47" i="26"/>
  <c r="AM48" i="26"/>
  <c r="AM49" i="26"/>
  <c r="AM50" i="26"/>
  <c r="AM51" i="26"/>
  <c r="AM52" i="26"/>
  <c r="AM53" i="26"/>
  <c r="AM54" i="26"/>
  <c r="AM55" i="26"/>
  <c r="K46" i="10" s="1"/>
  <c r="AM56" i="26"/>
  <c r="AM57" i="26"/>
  <c r="AM58" i="26"/>
  <c r="AM59" i="26"/>
  <c r="AM60" i="26"/>
  <c r="AM61" i="26"/>
  <c r="AM78" i="26"/>
  <c r="AM79" i="26"/>
  <c r="AM80" i="26"/>
  <c r="AM81" i="26"/>
  <c r="AM82" i="26"/>
  <c r="AM83" i="26"/>
  <c r="AM84" i="26"/>
  <c r="AM85" i="26"/>
  <c r="AM3" i="26"/>
  <c r="K43" i="10" l="1"/>
  <c r="K50" i="10"/>
  <c r="K24" i="10"/>
  <c r="K35" i="10"/>
  <c r="K22" i="10"/>
  <c r="K49" i="10"/>
  <c r="K48" i="10"/>
  <c r="K42" i="10"/>
  <c r="K47" i="10"/>
  <c r="K41" i="10"/>
  <c r="K39" i="10"/>
  <c r="K21" i="10"/>
  <c r="K34" i="10"/>
  <c r="AC837" i="59"/>
  <c r="AC836" i="59"/>
  <c r="AC826" i="59"/>
  <c r="AC825" i="59"/>
  <c r="AC913" i="57"/>
  <c r="AC912" i="57"/>
  <c r="AQ4" i="9" l="1"/>
  <c r="AQ5" i="9"/>
  <c r="AQ6" i="9"/>
  <c r="AQ7" i="9"/>
  <c r="AQ8" i="9"/>
  <c r="AQ9" i="9"/>
  <c r="AQ10" i="9"/>
  <c r="AQ11" i="9"/>
  <c r="AQ12" i="9"/>
  <c r="AQ13" i="9"/>
  <c r="AQ14" i="9"/>
  <c r="AQ15" i="9"/>
  <c r="AQ16" i="9"/>
  <c r="AQ17" i="9"/>
  <c r="AQ18" i="9"/>
  <c r="AQ19" i="9"/>
  <c r="AQ20" i="9"/>
  <c r="AQ21" i="9"/>
  <c r="AQ22" i="9"/>
  <c r="AQ23" i="9"/>
  <c r="AQ24" i="9"/>
  <c r="AQ25" i="9"/>
  <c r="AQ26" i="9"/>
  <c r="AQ27" i="9"/>
  <c r="AQ28" i="9"/>
  <c r="AQ29" i="9"/>
  <c r="AQ30" i="9"/>
  <c r="AQ31" i="9"/>
  <c r="AQ32" i="9"/>
  <c r="AQ33" i="9"/>
  <c r="AQ34" i="9"/>
  <c r="AQ35" i="9"/>
  <c r="AQ36" i="9"/>
  <c r="AQ37" i="9"/>
  <c r="AQ38" i="9"/>
  <c r="AQ39" i="9"/>
  <c r="AQ40" i="9"/>
  <c r="AQ41" i="9"/>
  <c r="AQ42" i="9"/>
  <c r="AQ43" i="9"/>
  <c r="AQ44" i="9"/>
  <c r="AQ45" i="9"/>
  <c r="AQ46" i="9"/>
  <c r="AQ47" i="9"/>
  <c r="AQ48" i="9"/>
  <c r="AQ49" i="9"/>
  <c r="AQ50" i="9"/>
  <c r="AQ51" i="9"/>
  <c r="AQ52" i="9"/>
  <c r="AQ53" i="9"/>
  <c r="AQ54" i="9"/>
  <c r="AQ55" i="9"/>
  <c r="AQ56" i="9"/>
  <c r="AQ57" i="9"/>
  <c r="AQ58" i="9"/>
  <c r="AQ59" i="9"/>
  <c r="AQ60" i="9"/>
  <c r="AQ61" i="9"/>
  <c r="AQ62" i="9"/>
  <c r="AQ63" i="9"/>
  <c r="AQ64" i="9"/>
  <c r="AQ65" i="9"/>
  <c r="AQ66" i="9"/>
  <c r="AQ67" i="9"/>
  <c r="AQ68" i="9"/>
  <c r="AQ69" i="9"/>
  <c r="AQ70" i="9"/>
  <c r="AQ71" i="9"/>
  <c r="AQ72" i="9"/>
  <c r="AQ73" i="9"/>
  <c r="AQ74" i="9"/>
  <c r="AQ75" i="9"/>
  <c r="AQ76" i="9"/>
  <c r="AQ77" i="9"/>
  <c r="AQ78" i="9"/>
  <c r="AQ79" i="9"/>
  <c r="AQ80" i="9"/>
  <c r="AQ81" i="9"/>
  <c r="AQ82" i="9"/>
  <c r="AQ83" i="9"/>
  <c r="AQ84" i="9"/>
  <c r="AQ85" i="9"/>
  <c r="AQ86" i="9"/>
  <c r="AQ87" i="9"/>
  <c r="AQ88" i="9"/>
  <c r="AQ89" i="9"/>
  <c r="AQ90" i="9"/>
  <c r="AQ91" i="9"/>
  <c r="AQ92" i="9"/>
  <c r="AQ93" i="9"/>
  <c r="AQ94" i="9"/>
  <c r="AQ95" i="9"/>
  <c r="AQ96" i="9"/>
  <c r="AQ97" i="9"/>
  <c r="AQ98" i="9"/>
  <c r="AQ99" i="9"/>
  <c r="AQ100" i="9"/>
  <c r="AQ101" i="9"/>
  <c r="AQ102" i="9"/>
  <c r="AQ103" i="9"/>
  <c r="AQ104" i="9"/>
  <c r="AQ105" i="9"/>
  <c r="AQ106" i="9"/>
  <c r="AQ107" i="9"/>
  <c r="AQ108" i="9"/>
  <c r="AQ109" i="9"/>
  <c r="AQ110" i="9"/>
  <c r="AQ112" i="9"/>
  <c r="AQ113" i="9"/>
  <c r="AQ114" i="9"/>
  <c r="AQ115" i="9"/>
  <c r="AQ116" i="9"/>
  <c r="AQ117" i="9"/>
  <c r="AQ118" i="9"/>
  <c r="AQ119" i="9"/>
  <c r="AQ120" i="9"/>
  <c r="AQ121" i="9"/>
  <c r="AQ122" i="9"/>
  <c r="AQ123" i="9"/>
  <c r="AQ124" i="9"/>
  <c r="AQ125" i="9"/>
  <c r="AQ126" i="9"/>
  <c r="AQ127" i="9"/>
  <c r="AQ128" i="9"/>
  <c r="AQ129" i="9"/>
  <c r="AQ130" i="9"/>
  <c r="AQ131" i="9"/>
  <c r="AQ132" i="9"/>
  <c r="AQ133" i="9"/>
  <c r="AQ134" i="9"/>
  <c r="AQ135" i="9"/>
  <c r="AQ136" i="9"/>
  <c r="AQ137" i="9"/>
  <c r="AQ138" i="9"/>
  <c r="AQ139" i="9"/>
  <c r="AQ140" i="9"/>
  <c r="AQ141" i="9"/>
  <c r="AQ142" i="9"/>
  <c r="AQ143" i="9"/>
  <c r="AQ144" i="9"/>
  <c r="AQ145" i="9"/>
  <c r="AQ146" i="9"/>
  <c r="AQ147" i="9"/>
  <c r="AQ148" i="9"/>
  <c r="AQ149" i="9"/>
  <c r="AQ150" i="9"/>
  <c r="AQ151" i="9"/>
  <c r="AQ152" i="9"/>
  <c r="AQ153" i="9"/>
  <c r="AQ154" i="9"/>
  <c r="AQ155" i="9"/>
  <c r="AQ156" i="9"/>
  <c r="AQ157" i="9"/>
  <c r="AQ158" i="9"/>
  <c r="AQ159" i="9"/>
  <c r="AQ160" i="9"/>
  <c r="AQ161" i="9"/>
  <c r="AQ162" i="9"/>
  <c r="AQ163" i="9"/>
  <c r="AQ164" i="9"/>
  <c r="AQ165" i="9"/>
  <c r="AQ166" i="9"/>
  <c r="AQ167" i="9"/>
  <c r="AQ168" i="9"/>
  <c r="AQ169" i="9"/>
  <c r="AQ3" i="9"/>
  <c r="AS30" i="10"/>
  <c r="AW42" i="10"/>
  <c r="AW41" i="10"/>
  <c r="AS31" i="10"/>
  <c r="J58" i="10" l="1"/>
  <c r="J22" i="10"/>
  <c r="U775" i="60"/>
  <c r="Q775" i="60"/>
  <c r="U774" i="60"/>
  <c r="Q774" i="60"/>
  <c r="U772" i="60"/>
  <c r="Q772" i="60"/>
  <c r="U770" i="60"/>
  <c r="Q770" i="60"/>
  <c r="U769" i="60"/>
  <c r="Q769" i="60"/>
  <c r="I769" i="60"/>
  <c r="I768" i="60"/>
  <c r="U767" i="60"/>
  <c r="Q767" i="60"/>
  <c r="U766" i="60"/>
  <c r="Q766" i="60"/>
  <c r="U764" i="60"/>
  <c r="Q764" i="60"/>
  <c r="U763" i="60"/>
  <c r="Q763" i="60"/>
  <c r="U761" i="60"/>
  <c r="Q761" i="60"/>
  <c r="U759" i="60"/>
  <c r="Q759" i="60"/>
  <c r="U758" i="60"/>
  <c r="Q758" i="60"/>
  <c r="I758" i="60"/>
  <c r="I757" i="60"/>
  <c r="U756" i="60"/>
  <c r="Q756" i="60"/>
  <c r="U755" i="60"/>
  <c r="Q755" i="60"/>
  <c r="U753" i="60"/>
  <c r="Q753" i="60"/>
  <c r="U752" i="60"/>
  <c r="Q752" i="60"/>
  <c r="U750" i="60"/>
  <c r="Q750" i="60"/>
  <c r="U748" i="60"/>
  <c r="Q748" i="60"/>
  <c r="U747" i="60"/>
  <c r="Q747" i="60"/>
  <c r="I747" i="60"/>
  <c r="I746" i="60"/>
  <c r="U745" i="60"/>
  <c r="Q745" i="60"/>
  <c r="U744" i="60"/>
  <c r="Q744" i="60"/>
  <c r="U742" i="60"/>
  <c r="Q742" i="60"/>
  <c r="U741" i="60"/>
  <c r="Q741" i="60"/>
  <c r="U739" i="60"/>
  <c r="Q739" i="60"/>
  <c r="U737" i="60"/>
  <c r="Q737" i="60"/>
  <c r="U736" i="60"/>
  <c r="Q736" i="60"/>
  <c r="I736" i="60"/>
  <c r="I735" i="60"/>
  <c r="U734" i="60"/>
  <c r="Q734" i="60"/>
  <c r="U733" i="60"/>
  <c r="Q733" i="60"/>
  <c r="U731" i="60"/>
  <c r="Q731" i="60"/>
  <c r="U730" i="60"/>
  <c r="Q730" i="60"/>
  <c r="U728" i="60"/>
  <c r="Q728" i="60"/>
  <c r="U726" i="60"/>
  <c r="Q726" i="60"/>
  <c r="U725" i="60"/>
  <c r="Q725" i="60"/>
  <c r="I725" i="60"/>
  <c r="I724" i="60"/>
  <c r="U723" i="60"/>
  <c r="Q723" i="60"/>
  <c r="U722" i="60"/>
  <c r="Q722" i="60"/>
  <c r="U720" i="60"/>
  <c r="Q720" i="60"/>
  <c r="U719" i="60"/>
  <c r="Q719" i="60"/>
  <c r="U717" i="60"/>
  <c r="Q717" i="60"/>
  <c r="U715" i="60"/>
  <c r="Q715" i="60"/>
  <c r="U714" i="60"/>
  <c r="Q714" i="60"/>
  <c r="I714" i="60"/>
  <c r="I713" i="60"/>
  <c r="U712" i="60"/>
  <c r="Q712" i="60"/>
  <c r="U711" i="60"/>
  <c r="Q711" i="60"/>
  <c r="U709" i="60"/>
  <c r="Q709" i="60"/>
  <c r="U708" i="60"/>
  <c r="Q708" i="60"/>
  <c r="U706" i="60"/>
  <c r="Q706" i="60"/>
  <c r="U704" i="60"/>
  <c r="Q704" i="60"/>
  <c r="U703" i="60"/>
  <c r="Q703" i="60"/>
  <c r="I703" i="60"/>
  <c r="I702" i="60"/>
  <c r="U701" i="60"/>
  <c r="Q701" i="60"/>
  <c r="U700" i="60"/>
  <c r="Q700" i="60"/>
  <c r="U698" i="60"/>
  <c r="Q698" i="60"/>
  <c r="U697" i="60"/>
  <c r="Q697" i="60"/>
  <c r="U695" i="60"/>
  <c r="Q695" i="60"/>
  <c r="U693" i="60"/>
  <c r="Q693" i="60"/>
  <c r="U692" i="60"/>
  <c r="Q692" i="60"/>
  <c r="I692" i="60"/>
  <c r="I691" i="60"/>
  <c r="U690" i="60"/>
  <c r="Q690" i="60"/>
  <c r="U689" i="60"/>
  <c r="Q689" i="60"/>
  <c r="U687" i="60"/>
  <c r="Q687" i="60"/>
  <c r="U686" i="60"/>
  <c r="Q686" i="60"/>
  <c r="U684" i="60"/>
  <c r="Q684" i="60"/>
  <c r="U682" i="60"/>
  <c r="Q682" i="60"/>
  <c r="U681" i="60"/>
  <c r="Q681" i="60"/>
  <c r="I681" i="60"/>
  <c r="I680" i="60"/>
  <c r="U679" i="60"/>
  <c r="Q679" i="60"/>
  <c r="U678" i="60"/>
  <c r="Q678" i="60"/>
  <c r="U676" i="60"/>
  <c r="Q676" i="60"/>
  <c r="U675" i="60"/>
  <c r="Q675" i="60"/>
  <c r="U673" i="60"/>
  <c r="Q673" i="60"/>
  <c r="U671" i="60"/>
  <c r="Q671" i="60"/>
  <c r="U670" i="60"/>
  <c r="Q670" i="60"/>
  <c r="I670" i="60"/>
  <c r="I669" i="60"/>
  <c r="U668" i="60"/>
  <c r="Q668" i="60"/>
  <c r="U667" i="60"/>
  <c r="Q667" i="60"/>
  <c r="U665" i="60"/>
  <c r="Q665" i="60"/>
  <c r="U664" i="60"/>
  <c r="Q664" i="60"/>
  <c r="U662" i="60"/>
  <c r="Q662" i="60"/>
  <c r="U660" i="60"/>
  <c r="Q660" i="60"/>
  <c r="U659" i="60"/>
  <c r="Q659" i="60"/>
  <c r="I659" i="60"/>
  <c r="I658" i="60"/>
  <c r="U657" i="60"/>
  <c r="Q657" i="60"/>
  <c r="U656" i="60"/>
  <c r="Q656" i="60"/>
  <c r="Q810" i="60"/>
  <c r="U810" i="60"/>
  <c r="Q811" i="60"/>
  <c r="U811" i="60"/>
  <c r="I812" i="60"/>
  <c r="I813" i="60"/>
  <c r="Q813" i="60"/>
  <c r="U813" i="60"/>
  <c r="Q814" i="60"/>
  <c r="U814" i="60"/>
  <c r="Q816" i="60"/>
  <c r="U816" i="60"/>
  <c r="Q818" i="60"/>
  <c r="U818" i="60"/>
  <c r="Q819" i="60"/>
  <c r="U819" i="60"/>
  <c r="U797" i="59"/>
  <c r="Q797" i="59"/>
  <c r="L797" i="59"/>
  <c r="H797" i="59"/>
  <c r="U796" i="59"/>
  <c r="Q796" i="59"/>
  <c r="L796" i="59"/>
  <c r="H796" i="59"/>
  <c r="L795" i="59"/>
  <c r="H795" i="59"/>
  <c r="U794" i="59"/>
  <c r="Q794" i="59"/>
  <c r="L794" i="59"/>
  <c r="H794" i="59"/>
  <c r="L793" i="59"/>
  <c r="H793" i="59"/>
  <c r="U792" i="59"/>
  <c r="Q792" i="59"/>
  <c r="L792" i="59"/>
  <c r="H792" i="59"/>
  <c r="U791" i="59"/>
  <c r="Q791" i="59"/>
  <c r="I791" i="59"/>
  <c r="H791" i="59"/>
  <c r="I790" i="59"/>
  <c r="H790" i="59"/>
  <c r="U789" i="59"/>
  <c r="Q789" i="59"/>
  <c r="L789" i="59"/>
  <c r="H789" i="59"/>
  <c r="U788" i="59"/>
  <c r="Q788" i="59"/>
  <c r="U786" i="59"/>
  <c r="Q786" i="59"/>
  <c r="L786" i="59"/>
  <c r="H786" i="59"/>
  <c r="U785" i="59"/>
  <c r="Q785" i="59"/>
  <c r="L785" i="59"/>
  <c r="H785" i="59"/>
  <c r="L784" i="59"/>
  <c r="H784" i="59"/>
  <c r="U783" i="59"/>
  <c r="Q783" i="59"/>
  <c r="L783" i="59"/>
  <c r="H783" i="59"/>
  <c r="L782" i="59"/>
  <c r="H782" i="59"/>
  <c r="U781" i="59"/>
  <c r="Q781" i="59"/>
  <c r="L781" i="59"/>
  <c r="H781" i="59"/>
  <c r="U780" i="59"/>
  <c r="Q780" i="59"/>
  <c r="I780" i="59"/>
  <c r="H780" i="59"/>
  <c r="I779" i="59"/>
  <c r="H779" i="59"/>
  <c r="U778" i="59"/>
  <c r="Q778" i="59"/>
  <c r="L778" i="59"/>
  <c r="H778" i="59"/>
  <c r="U777" i="59"/>
  <c r="Q777" i="59"/>
  <c r="U775" i="59"/>
  <c r="Q775" i="59"/>
  <c r="L775" i="59"/>
  <c r="H775" i="59"/>
  <c r="U774" i="59"/>
  <c r="Q774" i="59"/>
  <c r="L774" i="59"/>
  <c r="H774" i="59"/>
  <c r="L773" i="59"/>
  <c r="H773" i="59"/>
  <c r="U772" i="59"/>
  <c r="Q772" i="59"/>
  <c r="L772" i="59"/>
  <c r="H772" i="59"/>
  <c r="L771" i="59"/>
  <c r="H771" i="59"/>
  <c r="U770" i="59"/>
  <c r="Q770" i="59"/>
  <c r="L770" i="59"/>
  <c r="H770" i="59"/>
  <c r="U769" i="59"/>
  <c r="Q769" i="59"/>
  <c r="I769" i="59"/>
  <c r="H769" i="59"/>
  <c r="I768" i="59"/>
  <c r="H768" i="59"/>
  <c r="U767" i="59"/>
  <c r="Q767" i="59"/>
  <c r="L767" i="59"/>
  <c r="H767" i="59"/>
  <c r="U766" i="59"/>
  <c r="Q766" i="59"/>
  <c r="U764" i="59"/>
  <c r="Q764" i="59"/>
  <c r="L764" i="59"/>
  <c r="H764" i="59"/>
  <c r="U763" i="59"/>
  <c r="Q763" i="59"/>
  <c r="L763" i="59"/>
  <c r="H763" i="59"/>
  <c r="L762" i="59"/>
  <c r="H762" i="59"/>
  <c r="U761" i="59"/>
  <c r="Q761" i="59"/>
  <c r="L761" i="59"/>
  <c r="H761" i="59"/>
  <c r="L760" i="59"/>
  <c r="H760" i="59"/>
  <c r="U759" i="59"/>
  <c r="Q759" i="59"/>
  <c r="L759" i="59"/>
  <c r="H759" i="59"/>
  <c r="U758" i="59"/>
  <c r="Q758" i="59"/>
  <c r="I758" i="59"/>
  <c r="H758" i="59"/>
  <c r="I757" i="59"/>
  <c r="H757" i="59"/>
  <c r="U756" i="59"/>
  <c r="Q756" i="59"/>
  <c r="L756" i="59"/>
  <c r="H756" i="59"/>
  <c r="U755" i="59"/>
  <c r="Q755" i="59"/>
  <c r="U753" i="59"/>
  <c r="Q753" i="59"/>
  <c r="L753" i="59"/>
  <c r="H753" i="59"/>
  <c r="U752" i="59"/>
  <c r="Q752" i="59"/>
  <c r="L752" i="59"/>
  <c r="H752" i="59"/>
  <c r="L751" i="59"/>
  <c r="H751" i="59"/>
  <c r="U750" i="59"/>
  <c r="Q750" i="59"/>
  <c r="L750" i="59"/>
  <c r="H750" i="59"/>
  <c r="L749" i="59"/>
  <c r="H749" i="59"/>
  <c r="U748" i="59"/>
  <c r="Q748" i="59"/>
  <c r="L748" i="59"/>
  <c r="H748" i="59"/>
  <c r="U747" i="59"/>
  <c r="Q747" i="59"/>
  <c r="I747" i="59"/>
  <c r="H747" i="59"/>
  <c r="I746" i="59"/>
  <c r="H746" i="59"/>
  <c r="U745" i="59"/>
  <c r="Q745" i="59"/>
  <c r="L745" i="59"/>
  <c r="H745" i="59"/>
  <c r="U744" i="59"/>
  <c r="Q744" i="59"/>
  <c r="U742" i="59"/>
  <c r="Q742" i="59"/>
  <c r="L742" i="59"/>
  <c r="H742" i="59"/>
  <c r="U741" i="59"/>
  <c r="Q741" i="59"/>
  <c r="L741" i="59"/>
  <c r="H741" i="59"/>
  <c r="L740" i="59"/>
  <c r="H740" i="59"/>
  <c r="U739" i="59"/>
  <c r="Q739" i="59"/>
  <c r="L739" i="59"/>
  <c r="H739" i="59"/>
  <c r="L738" i="59"/>
  <c r="H738" i="59"/>
  <c r="U737" i="59"/>
  <c r="Q737" i="59"/>
  <c r="L737" i="59"/>
  <c r="H737" i="59"/>
  <c r="U736" i="59"/>
  <c r="Q736" i="59"/>
  <c r="I736" i="59"/>
  <c r="H736" i="59"/>
  <c r="I735" i="59"/>
  <c r="H735" i="59"/>
  <c r="U734" i="59"/>
  <c r="Q734" i="59"/>
  <c r="L734" i="59"/>
  <c r="H734" i="59"/>
  <c r="U733" i="59"/>
  <c r="Q733" i="59"/>
  <c r="U731" i="59"/>
  <c r="Q731" i="59"/>
  <c r="L731" i="59"/>
  <c r="H731" i="59"/>
  <c r="U730" i="59"/>
  <c r="Q730" i="59"/>
  <c r="L730" i="59"/>
  <c r="H730" i="59"/>
  <c r="L729" i="59"/>
  <c r="H729" i="59"/>
  <c r="U728" i="59"/>
  <c r="Q728" i="59"/>
  <c r="L728" i="59"/>
  <c r="H728" i="59"/>
  <c r="L727" i="59"/>
  <c r="H727" i="59"/>
  <c r="U726" i="59"/>
  <c r="Q726" i="59"/>
  <c r="L726" i="59"/>
  <c r="H726" i="59"/>
  <c r="U725" i="59"/>
  <c r="Q725" i="59"/>
  <c r="I725" i="59"/>
  <c r="H725" i="59"/>
  <c r="I724" i="59"/>
  <c r="H724" i="59"/>
  <c r="U723" i="59"/>
  <c r="Q723" i="59"/>
  <c r="L723" i="59"/>
  <c r="H723" i="59"/>
  <c r="U722" i="59"/>
  <c r="Q722" i="59"/>
  <c r="U720" i="59"/>
  <c r="Q720" i="59"/>
  <c r="L720" i="59"/>
  <c r="H720" i="59"/>
  <c r="U719" i="59"/>
  <c r="Q719" i="59"/>
  <c r="L719" i="59"/>
  <c r="H719" i="59"/>
  <c r="L718" i="59"/>
  <c r="H718" i="59"/>
  <c r="U717" i="59"/>
  <c r="Q717" i="59"/>
  <c r="L717" i="59"/>
  <c r="H717" i="59"/>
  <c r="L716" i="59"/>
  <c r="H716" i="59"/>
  <c r="U715" i="59"/>
  <c r="Q715" i="59"/>
  <c r="L715" i="59"/>
  <c r="H715" i="59"/>
  <c r="U714" i="59"/>
  <c r="Q714" i="59"/>
  <c r="I714" i="59"/>
  <c r="H714" i="59"/>
  <c r="I713" i="59"/>
  <c r="H713" i="59"/>
  <c r="U712" i="59"/>
  <c r="Q712" i="59"/>
  <c r="L712" i="59"/>
  <c r="H712" i="59"/>
  <c r="U711" i="59"/>
  <c r="Q711" i="59"/>
  <c r="U709" i="59"/>
  <c r="Q709" i="59"/>
  <c r="L709" i="59"/>
  <c r="H709" i="59"/>
  <c r="U708" i="59"/>
  <c r="Q708" i="59"/>
  <c r="L708" i="59"/>
  <c r="H708" i="59"/>
  <c r="L707" i="59"/>
  <c r="H707" i="59"/>
  <c r="U706" i="59"/>
  <c r="Q706" i="59"/>
  <c r="L706" i="59"/>
  <c r="H706" i="59"/>
  <c r="L705" i="59"/>
  <c r="H705" i="59"/>
  <c r="U704" i="59"/>
  <c r="Q704" i="59"/>
  <c r="L704" i="59"/>
  <c r="H704" i="59"/>
  <c r="U703" i="59"/>
  <c r="Q703" i="59"/>
  <c r="I703" i="59"/>
  <c r="H703" i="59"/>
  <c r="I702" i="59"/>
  <c r="H702" i="59"/>
  <c r="U701" i="59"/>
  <c r="Q701" i="59"/>
  <c r="L701" i="59"/>
  <c r="H701" i="59"/>
  <c r="U700" i="59"/>
  <c r="Q700" i="59"/>
  <c r="U698" i="59"/>
  <c r="Q698" i="59"/>
  <c r="L698" i="59"/>
  <c r="H698" i="59"/>
  <c r="U697" i="59"/>
  <c r="Q697" i="59"/>
  <c r="L697" i="59"/>
  <c r="H697" i="59"/>
  <c r="L696" i="59"/>
  <c r="H696" i="59"/>
  <c r="U695" i="59"/>
  <c r="Q695" i="59"/>
  <c r="L695" i="59"/>
  <c r="H695" i="59"/>
  <c r="L694" i="59"/>
  <c r="H694" i="59"/>
  <c r="U693" i="59"/>
  <c r="Q693" i="59"/>
  <c r="L693" i="59"/>
  <c r="H693" i="59"/>
  <c r="U692" i="59"/>
  <c r="Q692" i="59"/>
  <c r="I692" i="59"/>
  <c r="H692" i="59"/>
  <c r="I691" i="59"/>
  <c r="H691" i="59"/>
  <c r="U690" i="59"/>
  <c r="Q690" i="59"/>
  <c r="L690" i="59"/>
  <c r="H690" i="59"/>
  <c r="U689" i="59"/>
  <c r="Q689" i="59"/>
  <c r="U687" i="59"/>
  <c r="Q687" i="59"/>
  <c r="L687" i="59"/>
  <c r="H687" i="59"/>
  <c r="U686" i="59"/>
  <c r="Q686" i="59"/>
  <c r="L686" i="59"/>
  <c r="H686" i="59"/>
  <c r="L685" i="59"/>
  <c r="H685" i="59"/>
  <c r="U684" i="59"/>
  <c r="Q684" i="59"/>
  <c r="L684" i="59"/>
  <c r="H684" i="59"/>
  <c r="L683" i="59"/>
  <c r="H683" i="59"/>
  <c r="U682" i="59"/>
  <c r="Q682" i="59"/>
  <c r="L682" i="59"/>
  <c r="H682" i="59"/>
  <c r="U681" i="59"/>
  <c r="Q681" i="59"/>
  <c r="I681" i="59"/>
  <c r="H681" i="59"/>
  <c r="I680" i="59"/>
  <c r="H680" i="59"/>
  <c r="U679" i="59"/>
  <c r="Q679" i="59"/>
  <c r="L679" i="59"/>
  <c r="H679" i="59"/>
  <c r="U678" i="59"/>
  <c r="Q678" i="59"/>
  <c r="U676" i="59"/>
  <c r="Q676" i="59"/>
  <c r="L676" i="59"/>
  <c r="H676" i="59"/>
  <c r="U675" i="59"/>
  <c r="Q675" i="59"/>
  <c r="L675" i="59"/>
  <c r="H675" i="59"/>
  <c r="L674" i="59"/>
  <c r="H674" i="59"/>
  <c r="U673" i="59"/>
  <c r="Q673" i="59"/>
  <c r="L673" i="59"/>
  <c r="H673" i="59"/>
  <c r="L672" i="59"/>
  <c r="H672" i="59"/>
  <c r="U671" i="59"/>
  <c r="Q671" i="59"/>
  <c r="L671" i="59"/>
  <c r="H671" i="59"/>
  <c r="U670" i="59"/>
  <c r="Q670" i="59"/>
  <c r="I670" i="59"/>
  <c r="H670" i="59"/>
  <c r="I669" i="59"/>
  <c r="H669" i="59"/>
  <c r="U668" i="59"/>
  <c r="Q668" i="59"/>
  <c r="L668" i="59"/>
  <c r="H668" i="59"/>
  <c r="U667" i="59"/>
  <c r="Q667" i="59"/>
  <c r="U665" i="59"/>
  <c r="Q665" i="59"/>
  <c r="L665" i="59"/>
  <c r="H665" i="59"/>
  <c r="U664" i="59"/>
  <c r="Q664" i="59"/>
  <c r="L664" i="59"/>
  <c r="H664" i="59"/>
  <c r="L663" i="59"/>
  <c r="H663" i="59"/>
  <c r="U662" i="59"/>
  <c r="Q662" i="59"/>
  <c r="L662" i="59"/>
  <c r="H662" i="59"/>
  <c r="L661" i="59"/>
  <c r="H661" i="59"/>
  <c r="U660" i="59"/>
  <c r="Q660" i="59"/>
  <c r="L660" i="59"/>
  <c r="H660" i="59"/>
  <c r="U659" i="59"/>
  <c r="Q659" i="59"/>
  <c r="I659" i="59"/>
  <c r="H659" i="59"/>
  <c r="I658" i="59"/>
  <c r="H658" i="59"/>
  <c r="U657" i="59"/>
  <c r="Q657" i="59"/>
  <c r="L657" i="59"/>
  <c r="H657" i="59"/>
  <c r="U656" i="59"/>
  <c r="Q656" i="59"/>
  <c r="U808" i="57"/>
  <c r="Q808" i="57"/>
  <c r="U807" i="57"/>
  <c r="Q807" i="57"/>
  <c r="U805" i="57"/>
  <c r="Q805" i="57"/>
  <c r="U803" i="57"/>
  <c r="Q803" i="57"/>
  <c r="U802" i="57"/>
  <c r="Q802" i="57"/>
  <c r="I802" i="57"/>
  <c r="I801" i="57"/>
  <c r="U800" i="57"/>
  <c r="Q800" i="57"/>
  <c r="U799" i="57"/>
  <c r="Q799" i="57"/>
  <c r="U797" i="57"/>
  <c r="Q797" i="57"/>
  <c r="U796" i="57"/>
  <c r="Q796" i="57"/>
  <c r="U794" i="57"/>
  <c r="Q794" i="57"/>
  <c r="U792" i="57"/>
  <c r="Q792" i="57"/>
  <c r="U791" i="57"/>
  <c r="Q791" i="57"/>
  <c r="I791" i="57"/>
  <c r="I790" i="57"/>
  <c r="U789" i="57"/>
  <c r="Q789" i="57"/>
  <c r="U788" i="57"/>
  <c r="Q788" i="57"/>
  <c r="U819" i="57"/>
  <c r="Q819" i="57"/>
  <c r="U818" i="57"/>
  <c r="Q818" i="57"/>
  <c r="U816" i="57"/>
  <c r="Q816" i="57"/>
  <c r="U814" i="57"/>
  <c r="Q814" i="57"/>
  <c r="U813" i="57"/>
  <c r="Q813" i="57"/>
  <c r="I813" i="57"/>
  <c r="I812" i="57"/>
  <c r="U811" i="57"/>
  <c r="Q811" i="57"/>
  <c r="U810" i="57"/>
  <c r="Q810" i="57"/>
  <c r="U775" i="57"/>
  <c r="Q775" i="57"/>
  <c r="U774" i="57"/>
  <c r="Q774" i="57"/>
  <c r="U772" i="57"/>
  <c r="Q772" i="57"/>
  <c r="U770" i="57"/>
  <c r="Q770" i="57"/>
  <c r="U769" i="57"/>
  <c r="Q769" i="57"/>
  <c r="I769" i="57"/>
  <c r="I768" i="57"/>
  <c r="U767" i="57"/>
  <c r="Q767" i="57"/>
  <c r="U766" i="57"/>
  <c r="Q766" i="57"/>
  <c r="U786" i="57"/>
  <c r="Q786" i="57"/>
  <c r="U785" i="57"/>
  <c r="Q785" i="57"/>
  <c r="U783" i="57"/>
  <c r="Q783" i="57"/>
  <c r="U781" i="57"/>
  <c r="Q781" i="57"/>
  <c r="U780" i="57"/>
  <c r="Q780" i="57"/>
  <c r="I780" i="57"/>
  <c r="I779" i="57"/>
  <c r="U778" i="57"/>
  <c r="Q778" i="57"/>
  <c r="U777" i="57"/>
  <c r="Q777" i="57"/>
  <c r="U654" i="60" l="1"/>
  <c r="Q654" i="60"/>
  <c r="U653" i="60"/>
  <c r="Q653" i="60"/>
  <c r="U651" i="60"/>
  <c r="Q651" i="60"/>
  <c r="U649" i="60"/>
  <c r="Q649" i="60"/>
  <c r="U648" i="60"/>
  <c r="Q648" i="60"/>
  <c r="I648" i="60"/>
  <c r="I647" i="60"/>
  <c r="U646" i="60"/>
  <c r="Q646" i="60"/>
  <c r="U645" i="60"/>
  <c r="Q645" i="60"/>
  <c r="U643" i="60"/>
  <c r="Q643" i="60"/>
  <c r="U642" i="60"/>
  <c r="Q642" i="60"/>
  <c r="U640" i="60"/>
  <c r="Q640" i="60"/>
  <c r="U638" i="60"/>
  <c r="Q638" i="60"/>
  <c r="U637" i="60"/>
  <c r="Q637" i="60"/>
  <c r="I637" i="60"/>
  <c r="I636" i="60"/>
  <c r="U635" i="60"/>
  <c r="Q635" i="60"/>
  <c r="U634" i="60"/>
  <c r="Q634" i="60"/>
  <c r="U632" i="60"/>
  <c r="Q632" i="60"/>
  <c r="U631" i="60"/>
  <c r="Q631" i="60"/>
  <c r="U629" i="60"/>
  <c r="Q629" i="60"/>
  <c r="U627" i="60"/>
  <c r="Q627" i="60"/>
  <c r="U626" i="60"/>
  <c r="Q626" i="60"/>
  <c r="I626" i="60"/>
  <c r="I625" i="60"/>
  <c r="U624" i="60"/>
  <c r="Q624" i="60"/>
  <c r="U623" i="60"/>
  <c r="Q623" i="60"/>
  <c r="U621" i="60"/>
  <c r="Q621" i="60"/>
  <c r="U620" i="60"/>
  <c r="Q620" i="60"/>
  <c r="U618" i="60"/>
  <c r="Q618" i="60"/>
  <c r="U616" i="60"/>
  <c r="Q616" i="60"/>
  <c r="U615" i="60"/>
  <c r="Q615" i="60"/>
  <c r="I615" i="60"/>
  <c r="I614" i="60"/>
  <c r="U613" i="60"/>
  <c r="Q613" i="60"/>
  <c r="U612" i="60"/>
  <c r="Q612" i="60"/>
  <c r="U610" i="60"/>
  <c r="Q610" i="60"/>
  <c r="U609" i="60"/>
  <c r="Q609" i="60"/>
  <c r="U607" i="60"/>
  <c r="Q607" i="60"/>
  <c r="U605" i="60"/>
  <c r="Q605" i="60"/>
  <c r="U604" i="60"/>
  <c r="Q604" i="60"/>
  <c r="I604" i="60"/>
  <c r="I603" i="60"/>
  <c r="U602" i="60"/>
  <c r="Q602" i="60"/>
  <c r="U601" i="60"/>
  <c r="Q601" i="60"/>
  <c r="U599" i="60"/>
  <c r="Q599" i="60"/>
  <c r="U598" i="60"/>
  <c r="Q598" i="60"/>
  <c r="U596" i="60"/>
  <c r="Q596" i="60"/>
  <c r="U594" i="60"/>
  <c r="Q594" i="60"/>
  <c r="U593" i="60"/>
  <c r="Q593" i="60"/>
  <c r="I593" i="60"/>
  <c r="I592" i="60"/>
  <c r="U591" i="60"/>
  <c r="Q591" i="60"/>
  <c r="U590" i="60"/>
  <c r="Q590" i="60"/>
  <c r="U588" i="60"/>
  <c r="Q588" i="60"/>
  <c r="U587" i="60"/>
  <c r="Q587" i="60"/>
  <c r="U585" i="60"/>
  <c r="Q585" i="60"/>
  <c r="U583" i="60"/>
  <c r="Q583" i="60"/>
  <c r="U582" i="60"/>
  <c r="Q582" i="60"/>
  <c r="I582" i="60"/>
  <c r="I581" i="60"/>
  <c r="U580" i="60"/>
  <c r="Q580" i="60"/>
  <c r="U579" i="60"/>
  <c r="Q579" i="60"/>
  <c r="U577" i="60"/>
  <c r="Q577" i="60"/>
  <c r="U576" i="60"/>
  <c r="Q576" i="60"/>
  <c r="U574" i="60"/>
  <c r="Q574" i="60"/>
  <c r="U572" i="60"/>
  <c r="Q572" i="60"/>
  <c r="U571" i="60"/>
  <c r="Q571" i="60"/>
  <c r="I571" i="60"/>
  <c r="I570" i="60"/>
  <c r="U569" i="60"/>
  <c r="Q569" i="60"/>
  <c r="U568" i="60"/>
  <c r="Q568" i="60"/>
  <c r="U566" i="60"/>
  <c r="Q566" i="60"/>
  <c r="U565" i="60"/>
  <c r="Q565" i="60"/>
  <c r="U563" i="60"/>
  <c r="Q563" i="60"/>
  <c r="U561" i="60"/>
  <c r="Q561" i="60"/>
  <c r="U560" i="60"/>
  <c r="Q560" i="60"/>
  <c r="I560" i="60"/>
  <c r="I559" i="60"/>
  <c r="U558" i="60"/>
  <c r="Q558" i="60"/>
  <c r="U557" i="60"/>
  <c r="Q557" i="60"/>
  <c r="U555" i="60"/>
  <c r="Q555" i="60"/>
  <c r="U554" i="60"/>
  <c r="Q554" i="60"/>
  <c r="U552" i="60"/>
  <c r="Q552" i="60"/>
  <c r="U550" i="60"/>
  <c r="Q550" i="60"/>
  <c r="U549" i="60"/>
  <c r="Q549" i="60"/>
  <c r="I549" i="60"/>
  <c r="I548" i="60"/>
  <c r="U547" i="60"/>
  <c r="Q547" i="60"/>
  <c r="U546" i="60"/>
  <c r="Q546" i="60"/>
  <c r="U544" i="60"/>
  <c r="Q544" i="60"/>
  <c r="U543" i="60"/>
  <c r="Q543" i="60"/>
  <c r="U541" i="60"/>
  <c r="Q541" i="60"/>
  <c r="U539" i="60"/>
  <c r="Q539" i="60"/>
  <c r="U538" i="60"/>
  <c r="Q538" i="60"/>
  <c r="I538" i="60"/>
  <c r="I537" i="60"/>
  <c r="U536" i="60"/>
  <c r="Q536" i="60"/>
  <c r="U535" i="60"/>
  <c r="Q535" i="60"/>
  <c r="U533" i="60"/>
  <c r="Q533" i="60"/>
  <c r="U532" i="60"/>
  <c r="Q532" i="60"/>
  <c r="U530" i="60"/>
  <c r="Q530" i="60"/>
  <c r="U528" i="60"/>
  <c r="Q528" i="60"/>
  <c r="U527" i="60"/>
  <c r="Q527" i="60"/>
  <c r="I527" i="60"/>
  <c r="I526" i="60"/>
  <c r="U525" i="60"/>
  <c r="Q525" i="60"/>
  <c r="U524" i="60"/>
  <c r="Q524" i="60"/>
  <c r="U522" i="60"/>
  <c r="Q522" i="60"/>
  <c r="U521" i="60"/>
  <c r="Q521" i="60"/>
  <c r="U519" i="60"/>
  <c r="Q519" i="60"/>
  <c r="U517" i="60"/>
  <c r="Q517" i="60"/>
  <c r="U516" i="60"/>
  <c r="Q516" i="60"/>
  <c r="I516" i="60"/>
  <c r="I515" i="60"/>
  <c r="U514" i="60"/>
  <c r="Q514" i="60"/>
  <c r="U513" i="60"/>
  <c r="Q513" i="60"/>
  <c r="U654" i="59"/>
  <c r="Q654" i="59"/>
  <c r="L654" i="59"/>
  <c r="H654" i="59"/>
  <c r="U653" i="59"/>
  <c r="Q653" i="59"/>
  <c r="L653" i="59"/>
  <c r="H653" i="59"/>
  <c r="L652" i="59"/>
  <c r="H652" i="59"/>
  <c r="U651" i="59"/>
  <c r="Q651" i="59"/>
  <c r="L651" i="59"/>
  <c r="H651" i="59"/>
  <c r="L650" i="59"/>
  <c r="H650" i="59"/>
  <c r="U649" i="59"/>
  <c r="Q649" i="59"/>
  <c r="L649" i="59"/>
  <c r="H649" i="59"/>
  <c r="U648" i="59"/>
  <c r="Q648" i="59"/>
  <c r="I648" i="59"/>
  <c r="H648" i="59"/>
  <c r="I647" i="59"/>
  <c r="H647" i="59"/>
  <c r="U646" i="59"/>
  <c r="Q646" i="59"/>
  <c r="L646" i="59"/>
  <c r="H646" i="59"/>
  <c r="U645" i="59"/>
  <c r="Q645" i="59"/>
  <c r="U643" i="59"/>
  <c r="Q643" i="59"/>
  <c r="L643" i="59"/>
  <c r="H643" i="59"/>
  <c r="U642" i="59"/>
  <c r="Q642" i="59"/>
  <c r="L642" i="59"/>
  <c r="H642" i="59"/>
  <c r="L641" i="59"/>
  <c r="H641" i="59"/>
  <c r="U640" i="59"/>
  <c r="Q640" i="59"/>
  <c r="L640" i="59"/>
  <c r="H640" i="59"/>
  <c r="L639" i="59"/>
  <c r="H639" i="59"/>
  <c r="U638" i="59"/>
  <c r="Q638" i="59"/>
  <c r="L638" i="59"/>
  <c r="H638" i="59"/>
  <c r="U637" i="59"/>
  <c r="Q637" i="59"/>
  <c r="I637" i="59"/>
  <c r="H637" i="59"/>
  <c r="I636" i="59"/>
  <c r="H636" i="59"/>
  <c r="U635" i="59"/>
  <c r="Q635" i="59"/>
  <c r="L635" i="59"/>
  <c r="H635" i="59"/>
  <c r="U634" i="59"/>
  <c r="Q634" i="59"/>
  <c r="U632" i="59"/>
  <c r="Q632" i="59"/>
  <c r="L632" i="59"/>
  <c r="H632" i="59"/>
  <c r="U631" i="59"/>
  <c r="Q631" i="59"/>
  <c r="L631" i="59"/>
  <c r="H631" i="59"/>
  <c r="L630" i="59"/>
  <c r="H630" i="59"/>
  <c r="U629" i="59"/>
  <c r="Q629" i="59"/>
  <c r="L629" i="59"/>
  <c r="H629" i="59"/>
  <c r="L628" i="59"/>
  <c r="H628" i="59"/>
  <c r="U627" i="59"/>
  <c r="Q627" i="59"/>
  <c r="L627" i="59"/>
  <c r="H627" i="59"/>
  <c r="U626" i="59"/>
  <c r="Q626" i="59"/>
  <c r="I626" i="59"/>
  <c r="H626" i="59"/>
  <c r="I625" i="59"/>
  <c r="H625" i="59"/>
  <c r="U624" i="59"/>
  <c r="Q624" i="59"/>
  <c r="L624" i="59"/>
  <c r="H624" i="59"/>
  <c r="U623" i="59"/>
  <c r="Q623" i="59"/>
  <c r="U621" i="59"/>
  <c r="Q621" i="59"/>
  <c r="L621" i="59"/>
  <c r="H621" i="59"/>
  <c r="U620" i="59"/>
  <c r="Q620" i="59"/>
  <c r="L620" i="59"/>
  <c r="H620" i="59"/>
  <c r="L619" i="59"/>
  <c r="H619" i="59"/>
  <c r="U618" i="59"/>
  <c r="Q618" i="59"/>
  <c r="L618" i="59"/>
  <c r="H618" i="59"/>
  <c r="L617" i="59"/>
  <c r="H617" i="59"/>
  <c r="U616" i="59"/>
  <c r="Q616" i="59"/>
  <c r="L616" i="59"/>
  <c r="H616" i="59"/>
  <c r="U615" i="59"/>
  <c r="Q615" i="59"/>
  <c r="I615" i="59"/>
  <c r="H615" i="59"/>
  <c r="I614" i="59"/>
  <c r="H614" i="59"/>
  <c r="U613" i="59"/>
  <c r="Q613" i="59"/>
  <c r="L613" i="59"/>
  <c r="H613" i="59"/>
  <c r="U612" i="59"/>
  <c r="Q612" i="59"/>
  <c r="U610" i="59"/>
  <c r="Q610" i="59"/>
  <c r="L610" i="59"/>
  <c r="H610" i="59"/>
  <c r="U609" i="59"/>
  <c r="Q609" i="59"/>
  <c r="L609" i="59"/>
  <c r="H609" i="59"/>
  <c r="L608" i="59"/>
  <c r="H608" i="59"/>
  <c r="U607" i="59"/>
  <c r="Q607" i="59"/>
  <c r="L607" i="59"/>
  <c r="H607" i="59"/>
  <c r="L606" i="59"/>
  <c r="H606" i="59"/>
  <c r="U605" i="59"/>
  <c r="Q605" i="59"/>
  <c r="L605" i="59"/>
  <c r="H605" i="59"/>
  <c r="U604" i="59"/>
  <c r="Q604" i="59"/>
  <c r="I604" i="59"/>
  <c r="H604" i="59"/>
  <c r="I603" i="59"/>
  <c r="H603" i="59"/>
  <c r="U602" i="59"/>
  <c r="Q602" i="59"/>
  <c r="L602" i="59"/>
  <c r="H602" i="59"/>
  <c r="U601" i="59"/>
  <c r="Q601" i="59"/>
  <c r="U599" i="59"/>
  <c r="Q599" i="59"/>
  <c r="L599" i="59"/>
  <c r="H599" i="59"/>
  <c r="U598" i="59"/>
  <c r="Q598" i="59"/>
  <c r="L598" i="59"/>
  <c r="H598" i="59"/>
  <c r="L597" i="59"/>
  <c r="H597" i="59"/>
  <c r="U596" i="59"/>
  <c r="Q596" i="59"/>
  <c r="L596" i="59"/>
  <c r="H596" i="59"/>
  <c r="L595" i="59"/>
  <c r="H595" i="59"/>
  <c r="U594" i="59"/>
  <c r="Q594" i="59"/>
  <c r="L594" i="59"/>
  <c r="H594" i="59"/>
  <c r="U593" i="59"/>
  <c r="Q593" i="59"/>
  <c r="I593" i="59"/>
  <c r="H593" i="59"/>
  <c r="I592" i="59"/>
  <c r="H592" i="59"/>
  <c r="U591" i="59"/>
  <c r="Q591" i="59"/>
  <c r="L591" i="59"/>
  <c r="H591" i="59"/>
  <c r="U590" i="59"/>
  <c r="Q590" i="59"/>
  <c r="U588" i="59"/>
  <c r="Q588" i="59"/>
  <c r="L588" i="59"/>
  <c r="H588" i="59"/>
  <c r="U587" i="59"/>
  <c r="Q587" i="59"/>
  <c r="L587" i="59"/>
  <c r="H587" i="59"/>
  <c r="L586" i="59"/>
  <c r="H586" i="59"/>
  <c r="U585" i="59"/>
  <c r="Q585" i="59"/>
  <c r="L585" i="59"/>
  <c r="H585" i="59"/>
  <c r="L584" i="59"/>
  <c r="H584" i="59"/>
  <c r="U583" i="59"/>
  <c r="Q583" i="59"/>
  <c r="L583" i="59"/>
  <c r="H583" i="59"/>
  <c r="U582" i="59"/>
  <c r="Q582" i="59"/>
  <c r="I582" i="59"/>
  <c r="H582" i="59"/>
  <c r="I581" i="59"/>
  <c r="H581" i="59"/>
  <c r="U580" i="59"/>
  <c r="Q580" i="59"/>
  <c r="L580" i="59"/>
  <c r="H580" i="59"/>
  <c r="U579" i="59"/>
  <c r="Q579" i="59"/>
  <c r="U577" i="59"/>
  <c r="Q577" i="59"/>
  <c r="L577" i="59"/>
  <c r="H577" i="59"/>
  <c r="U576" i="59"/>
  <c r="Q576" i="59"/>
  <c r="L576" i="59"/>
  <c r="H576" i="59"/>
  <c r="L575" i="59"/>
  <c r="H575" i="59"/>
  <c r="U574" i="59"/>
  <c r="Q574" i="59"/>
  <c r="L574" i="59"/>
  <c r="H574" i="59"/>
  <c r="L573" i="59"/>
  <c r="H573" i="59"/>
  <c r="U572" i="59"/>
  <c r="Q572" i="59"/>
  <c r="L572" i="59"/>
  <c r="H572" i="59"/>
  <c r="U571" i="59"/>
  <c r="Q571" i="59"/>
  <c r="I571" i="59"/>
  <c r="H571" i="59"/>
  <c r="I570" i="59"/>
  <c r="H570" i="59"/>
  <c r="U569" i="59"/>
  <c r="Q569" i="59"/>
  <c r="L569" i="59"/>
  <c r="H569" i="59"/>
  <c r="U568" i="59"/>
  <c r="Q568" i="59"/>
  <c r="U566" i="59"/>
  <c r="Q566" i="59"/>
  <c r="L566" i="59"/>
  <c r="H566" i="59"/>
  <c r="U565" i="59"/>
  <c r="Q565" i="59"/>
  <c r="L565" i="59"/>
  <c r="H565" i="59"/>
  <c r="L564" i="59"/>
  <c r="H564" i="59"/>
  <c r="U563" i="59"/>
  <c r="Q563" i="59"/>
  <c r="L563" i="59"/>
  <c r="H563" i="59"/>
  <c r="L562" i="59"/>
  <c r="H562" i="59"/>
  <c r="U561" i="59"/>
  <c r="Q561" i="59"/>
  <c r="L561" i="59"/>
  <c r="H561" i="59"/>
  <c r="U560" i="59"/>
  <c r="Q560" i="59"/>
  <c r="I560" i="59"/>
  <c r="H560" i="59"/>
  <c r="I559" i="59"/>
  <c r="H559" i="59"/>
  <c r="U558" i="59"/>
  <c r="Q558" i="59"/>
  <c r="L558" i="59"/>
  <c r="H558" i="59"/>
  <c r="U557" i="59"/>
  <c r="Q557" i="59"/>
  <c r="U555" i="59"/>
  <c r="Q555" i="59"/>
  <c r="L555" i="59"/>
  <c r="H555" i="59"/>
  <c r="U554" i="59"/>
  <c r="Q554" i="59"/>
  <c r="L554" i="59"/>
  <c r="H554" i="59"/>
  <c r="L553" i="59"/>
  <c r="H553" i="59"/>
  <c r="U552" i="59"/>
  <c r="Q552" i="59"/>
  <c r="L552" i="59"/>
  <c r="H552" i="59"/>
  <c r="L551" i="59"/>
  <c r="H551" i="59"/>
  <c r="U550" i="59"/>
  <c r="Q550" i="59"/>
  <c r="L550" i="59"/>
  <c r="H550" i="59"/>
  <c r="U549" i="59"/>
  <c r="Q549" i="59"/>
  <c r="I549" i="59"/>
  <c r="H549" i="59"/>
  <c r="I548" i="59"/>
  <c r="H548" i="59"/>
  <c r="U547" i="59"/>
  <c r="Q547" i="59"/>
  <c r="L547" i="59"/>
  <c r="H547" i="59"/>
  <c r="U546" i="59"/>
  <c r="Q546" i="59"/>
  <c r="U544" i="59"/>
  <c r="Q544" i="59"/>
  <c r="L544" i="59"/>
  <c r="H544" i="59"/>
  <c r="U543" i="59"/>
  <c r="Q543" i="59"/>
  <c r="L543" i="59"/>
  <c r="H543" i="59"/>
  <c r="L542" i="59"/>
  <c r="H542" i="59"/>
  <c r="U541" i="59"/>
  <c r="Q541" i="59"/>
  <c r="L541" i="59"/>
  <c r="H541" i="59"/>
  <c r="L540" i="59"/>
  <c r="H540" i="59"/>
  <c r="U539" i="59"/>
  <c r="Q539" i="59"/>
  <c r="L539" i="59"/>
  <c r="H539" i="59"/>
  <c r="U538" i="59"/>
  <c r="Q538" i="59"/>
  <c r="I538" i="59"/>
  <c r="H538" i="59"/>
  <c r="I537" i="59"/>
  <c r="H537" i="59"/>
  <c r="U536" i="59"/>
  <c r="Q536" i="59"/>
  <c r="L536" i="59"/>
  <c r="H536" i="59"/>
  <c r="U535" i="59"/>
  <c r="Q535" i="59"/>
  <c r="U533" i="59"/>
  <c r="Q533" i="59"/>
  <c r="L533" i="59"/>
  <c r="H533" i="59"/>
  <c r="U532" i="59"/>
  <c r="Q532" i="59"/>
  <c r="L532" i="59"/>
  <c r="H532" i="59"/>
  <c r="L531" i="59"/>
  <c r="H531" i="59"/>
  <c r="U530" i="59"/>
  <c r="Q530" i="59"/>
  <c r="L530" i="59"/>
  <c r="H530" i="59"/>
  <c r="L529" i="59"/>
  <c r="H529" i="59"/>
  <c r="U528" i="59"/>
  <c r="Q528" i="59"/>
  <c r="L528" i="59"/>
  <c r="H528" i="59"/>
  <c r="U527" i="59"/>
  <c r="Q527" i="59"/>
  <c r="I527" i="59"/>
  <c r="H527" i="59"/>
  <c r="I526" i="59"/>
  <c r="H526" i="59"/>
  <c r="U525" i="59"/>
  <c r="Q525" i="59"/>
  <c r="L525" i="59"/>
  <c r="H525" i="59"/>
  <c r="U524" i="59"/>
  <c r="Q524" i="59"/>
  <c r="U522" i="59"/>
  <c r="Q522" i="59"/>
  <c r="L522" i="59"/>
  <c r="H522" i="59"/>
  <c r="U521" i="59"/>
  <c r="Q521" i="59"/>
  <c r="L521" i="59"/>
  <c r="H521" i="59"/>
  <c r="L520" i="59"/>
  <c r="H520" i="59"/>
  <c r="U519" i="59"/>
  <c r="Q519" i="59"/>
  <c r="L519" i="59"/>
  <c r="H519" i="59"/>
  <c r="L518" i="59"/>
  <c r="H518" i="59"/>
  <c r="U517" i="59"/>
  <c r="Q517" i="59"/>
  <c r="L517" i="59"/>
  <c r="H517" i="59"/>
  <c r="U516" i="59"/>
  <c r="Q516" i="59"/>
  <c r="I516" i="59"/>
  <c r="H516" i="59"/>
  <c r="I515" i="59"/>
  <c r="H515" i="59"/>
  <c r="U514" i="59"/>
  <c r="Q514" i="59"/>
  <c r="L514" i="59"/>
  <c r="H514" i="59"/>
  <c r="U513" i="59"/>
  <c r="Q513" i="59"/>
  <c r="U764" i="57"/>
  <c r="Q764" i="57"/>
  <c r="U763" i="57"/>
  <c r="Q763" i="57"/>
  <c r="U761" i="57"/>
  <c r="Q761" i="57"/>
  <c r="U759" i="57"/>
  <c r="Q759" i="57"/>
  <c r="U758" i="57"/>
  <c r="Q758" i="57"/>
  <c r="I758" i="57"/>
  <c r="I757" i="57"/>
  <c r="U756" i="57"/>
  <c r="Q756" i="57"/>
  <c r="U755" i="57"/>
  <c r="Q755" i="57"/>
  <c r="U753" i="57"/>
  <c r="Q753" i="57"/>
  <c r="U752" i="57"/>
  <c r="Q752" i="57"/>
  <c r="U750" i="57"/>
  <c r="Q750" i="57"/>
  <c r="U748" i="57"/>
  <c r="Q748" i="57"/>
  <c r="U747" i="57"/>
  <c r="Q747" i="57"/>
  <c r="I747" i="57"/>
  <c r="I746" i="57"/>
  <c r="U745" i="57"/>
  <c r="Q745" i="57"/>
  <c r="U744" i="57"/>
  <c r="Q744" i="57"/>
  <c r="U742" i="57"/>
  <c r="Q742" i="57"/>
  <c r="U741" i="57"/>
  <c r="Q741" i="57"/>
  <c r="U739" i="57"/>
  <c r="Q739" i="57"/>
  <c r="U737" i="57"/>
  <c r="Q737" i="57"/>
  <c r="U736" i="57"/>
  <c r="Q736" i="57"/>
  <c r="I736" i="57"/>
  <c r="I735" i="57"/>
  <c r="U734" i="57"/>
  <c r="Q734" i="57"/>
  <c r="U733" i="57"/>
  <c r="Q733" i="57"/>
  <c r="U698" i="57"/>
  <c r="Q698" i="57"/>
  <c r="U697" i="57"/>
  <c r="Q697" i="57"/>
  <c r="U695" i="57"/>
  <c r="Q695" i="57"/>
  <c r="U693" i="57"/>
  <c r="Q693" i="57"/>
  <c r="U692" i="57"/>
  <c r="Q692" i="57"/>
  <c r="I692" i="57"/>
  <c r="I691" i="57"/>
  <c r="U690" i="57"/>
  <c r="Q690" i="57"/>
  <c r="U689" i="57"/>
  <c r="Q689" i="57"/>
  <c r="U709" i="57"/>
  <c r="Q709" i="57"/>
  <c r="U708" i="57"/>
  <c r="Q708" i="57"/>
  <c r="U706" i="57"/>
  <c r="Q706" i="57"/>
  <c r="U704" i="57"/>
  <c r="Q704" i="57"/>
  <c r="U703" i="57"/>
  <c r="Q703" i="57"/>
  <c r="I703" i="57"/>
  <c r="I702" i="57"/>
  <c r="U701" i="57"/>
  <c r="Q701" i="57"/>
  <c r="U700" i="57"/>
  <c r="Q700" i="57"/>
  <c r="U720" i="57"/>
  <c r="Q720" i="57"/>
  <c r="U719" i="57"/>
  <c r="Q719" i="57"/>
  <c r="U717" i="57"/>
  <c r="Q717" i="57"/>
  <c r="U715" i="57"/>
  <c r="Q715" i="57"/>
  <c r="U714" i="57"/>
  <c r="Q714" i="57"/>
  <c r="I714" i="57"/>
  <c r="I713" i="57"/>
  <c r="U712" i="57"/>
  <c r="Q712" i="57"/>
  <c r="U711" i="57"/>
  <c r="Q711" i="57"/>
  <c r="U731" i="57"/>
  <c r="Q731" i="57"/>
  <c r="U730" i="57"/>
  <c r="Q730" i="57"/>
  <c r="U728" i="57"/>
  <c r="Q728" i="57"/>
  <c r="U726" i="57"/>
  <c r="Q726" i="57"/>
  <c r="U725" i="57"/>
  <c r="Q725" i="57"/>
  <c r="I725" i="57"/>
  <c r="I724" i="57"/>
  <c r="U723" i="57"/>
  <c r="Q723" i="57"/>
  <c r="U722" i="57"/>
  <c r="Q722" i="57"/>
  <c r="U654" i="57"/>
  <c r="Q654" i="57"/>
  <c r="U653" i="57"/>
  <c r="Q653" i="57"/>
  <c r="U651" i="57"/>
  <c r="Q651" i="57"/>
  <c r="U649" i="57"/>
  <c r="Q649" i="57"/>
  <c r="U648" i="57"/>
  <c r="Q648" i="57"/>
  <c r="I648" i="57"/>
  <c r="I647" i="57"/>
  <c r="U646" i="57"/>
  <c r="Q646" i="57"/>
  <c r="U645" i="57"/>
  <c r="Q645" i="57"/>
  <c r="U676" i="57"/>
  <c r="Q676" i="57"/>
  <c r="U675" i="57"/>
  <c r="Q675" i="57"/>
  <c r="U673" i="57"/>
  <c r="Q673" i="57"/>
  <c r="U671" i="57"/>
  <c r="Q671" i="57"/>
  <c r="U670" i="57"/>
  <c r="Q670" i="57"/>
  <c r="I670" i="57"/>
  <c r="I669" i="57"/>
  <c r="U668" i="57"/>
  <c r="Q668" i="57"/>
  <c r="U667" i="57"/>
  <c r="Q667" i="57"/>
  <c r="U687" i="57"/>
  <c r="Q687" i="57"/>
  <c r="U686" i="57"/>
  <c r="Q686" i="57"/>
  <c r="U684" i="57"/>
  <c r="Q684" i="57"/>
  <c r="U682" i="57"/>
  <c r="Q682" i="57"/>
  <c r="U681" i="57"/>
  <c r="Q681" i="57"/>
  <c r="I681" i="57"/>
  <c r="I680" i="57"/>
  <c r="U679" i="57"/>
  <c r="Q679" i="57"/>
  <c r="U678" i="57"/>
  <c r="Q678" i="57"/>
  <c r="U665" i="57"/>
  <c r="Q665" i="57"/>
  <c r="U664" i="57"/>
  <c r="Q664" i="57"/>
  <c r="U662" i="57"/>
  <c r="Q662" i="57"/>
  <c r="U660" i="57"/>
  <c r="Q660" i="57"/>
  <c r="U659" i="57"/>
  <c r="Q659" i="57"/>
  <c r="I659" i="57"/>
  <c r="I658" i="57"/>
  <c r="U657" i="57"/>
  <c r="Q657" i="57"/>
  <c r="U656" i="57"/>
  <c r="Q656" i="57"/>
  <c r="U511" i="60" l="1"/>
  <c r="Q511" i="60"/>
  <c r="U510" i="60"/>
  <c r="Q510" i="60"/>
  <c r="U508" i="60"/>
  <c r="Q508" i="60"/>
  <c r="U506" i="60"/>
  <c r="Q506" i="60"/>
  <c r="U505" i="60"/>
  <c r="Q505" i="60"/>
  <c r="I505" i="60"/>
  <c r="I504" i="60"/>
  <c r="U503" i="60"/>
  <c r="Q503" i="60"/>
  <c r="U502" i="60"/>
  <c r="Q502" i="60"/>
  <c r="E33" i="10" l="1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2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B3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84" i="60" s="1"/>
  <c r="B46" i="10"/>
  <c r="B495" i="60" s="1"/>
  <c r="B47" i="10"/>
  <c r="B506" i="60" s="1"/>
  <c r="B48" i="10"/>
  <c r="B49" i="10"/>
  <c r="B50" i="10"/>
  <c r="B51" i="10"/>
  <c r="B52" i="10"/>
  <c r="B561" i="60" s="1"/>
  <c r="B53" i="10"/>
  <c r="B54" i="10"/>
  <c r="B55" i="10"/>
  <c r="B56" i="10"/>
  <c r="B57" i="10"/>
  <c r="B58" i="10"/>
  <c r="B59" i="10"/>
  <c r="B60" i="10"/>
  <c r="B649" i="60" s="1"/>
  <c r="B61" i="10"/>
  <c r="B62" i="10"/>
  <c r="B63" i="10"/>
  <c r="B64" i="10"/>
  <c r="B65" i="10"/>
  <c r="B66" i="10"/>
  <c r="B67" i="10"/>
  <c r="B68" i="10"/>
  <c r="B69" i="10"/>
  <c r="B70" i="10"/>
  <c r="B71" i="10"/>
  <c r="B770" i="60" s="1"/>
  <c r="B72" i="10"/>
  <c r="B781" i="60" s="1"/>
  <c r="B73" i="10"/>
  <c r="B792" i="60" s="1"/>
  <c r="B74" i="10"/>
  <c r="B75" i="10"/>
  <c r="B76" i="10"/>
  <c r="B825" i="57" s="1"/>
  <c r="B77" i="10"/>
  <c r="B836" i="57" s="1"/>
  <c r="B78" i="10"/>
  <c r="B847" i="57" s="1"/>
  <c r="B79" i="10"/>
  <c r="B858" i="57" s="1"/>
  <c r="B80" i="10"/>
  <c r="B869" i="57" s="1"/>
  <c r="B81" i="10"/>
  <c r="B880" i="57" s="1"/>
  <c r="B2" i="10"/>
  <c r="D59" i="10"/>
  <c r="D60" i="10"/>
  <c r="D61" i="10"/>
  <c r="D62" i="10"/>
  <c r="D63" i="10"/>
  <c r="D64" i="10"/>
  <c r="D2" i="10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AO64" i="26" l="1"/>
  <c r="AN64" i="26" s="1"/>
  <c r="AO68" i="26"/>
  <c r="AN68" i="26" s="1"/>
  <c r="AO72" i="26"/>
  <c r="AN72" i="26" s="1"/>
  <c r="AO76" i="26"/>
  <c r="AN76" i="26" s="1"/>
  <c r="AO66" i="26"/>
  <c r="AN66" i="26" s="1"/>
  <c r="AO74" i="26"/>
  <c r="AN74" i="26" s="1"/>
  <c r="AO65" i="26"/>
  <c r="AN65" i="26" s="1"/>
  <c r="AO73" i="26"/>
  <c r="AN73" i="26" s="1"/>
  <c r="AO63" i="26"/>
  <c r="AN63" i="26" s="1"/>
  <c r="AO67" i="26"/>
  <c r="AN67" i="26" s="1"/>
  <c r="AO71" i="26"/>
  <c r="AN71" i="26" s="1"/>
  <c r="AO75" i="26"/>
  <c r="AN75" i="26" s="1"/>
  <c r="AO62" i="26"/>
  <c r="AN62" i="26" s="1"/>
  <c r="AO70" i="26"/>
  <c r="AN70" i="26" s="1"/>
  <c r="AO69" i="26"/>
  <c r="AN69" i="26" s="1"/>
  <c r="AO77" i="26"/>
  <c r="AN77" i="26" s="1"/>
  <c r="X786" i="60"/>
  <c r="L779" i="60"/>
  <c r="S777" i="60"/>
  <c r="X776" i="60"/>
  <c r="K776" i="60"/>
  <c r="W778" i="60"/>
  <c r="W777" i="60"/>
  <c r="O776" i="60"/>
  <c r="P776" i="60" s="1"/>
  <c r="S786" i="60"/>
  <c r="T780" i="60"/>
  <c r="H777" i="60"/>
  <c r="W786" i="60"/>
  <c r="K780" i="60"/>
  <c r="X777" i="60"/>
  <c r="W776" i="60"/>
  <c r="G776" i="60"/>
  <c r="X781" i="60"/>
  <c r="K777" i="60"/>
  <c r="C776" i="60"/>
  <c r="W783" i="60"/>
  <c r="S779" i="60"/>
  <c r="L776" i="60"/>
  <c r="L777" i="60"/>
  <c r="S781" i="60"/>
  <c r="H776" i="60"/>
  <c r="K779" i="60"/>
  <c r="T781" i="60"/>
  <c r="S783" i="60"/>
  <c r="D776" i="60"/>
  <c r="L780" i="60"/>
  <c r="T783" i="60"/>
  <c r="T777" i="60"/>
  <c r="T782" i="60"/>
  <c r="G777" i="60"/>
  <c r="X779" i="60"/>
  <c r="T784" i="60"/>
  <c r="X783" i="60"/>
  <c r="S778" i="60"/>
  <c r="W781" i="60"/>
  <c r="W784" i="60"/>
  <c r="W780" i="60"/>
  <c r="T786" i="60"/>
  <c r="T778" i="60"/>
  <c r="X780" i="60"/>
  <c r="X784" i="60"/>
  <c r="W782" i="60"/>
  <c r="X785" i="60"/>
  <c r="W779" i="60"/>
  <c r="X782" i="60"/>
  <c r="T779" i="60"/>
  <c r="S784" i="60"/>
  <c r="O777" i="60"/>
  <c r="P777" i="60" s="1"/>
  <c r="S780" i="60"/>
  <c r="W785" i="60"/>
  <c r="S785" i="60"/>
  <c r="X778" i="60"/>
  <c r="S782" i="60"/>
  <c r="T785" i="60"/>
  <c r="S776" i="60"/>
  <c r="W796" i="60"/>
  <c r="K790" i="60"/>
  <c r="G787" i="60"/>
  <c r="T792" i="60"/>
  <c r="O787" i="60"/>
  <c r="P787" i="60" s="1"/>
  <c r="H788" i="60"/>
  <c r="S788" i="60"/>
  <c r="S787" i="60"/>
  <c r="C787" i="60"/>
  <c r="W794" i="60"/>
  <c r="K791" i="60"/>
  <c r="H787" i="60"/>
  <c r="L788" i="60"/>
  <c r="T795" i="60"/>
  <c r="O788" i="60"/>
  <c r="P788" i="60" s="1"/>
  <c r="X797" i="60"/>
  <c r="S796" i="60"/>
  <c r="D787" i="60"/>
  <c r="L791" i="60"/>
  <c r="T794" i="60"/>
  <c r="W787" i="60"/>
  <c r="S790" i="60"/>
  <c r="X792" i="60"/>
  <c r="S797" i="60"/>
  <c r="T788" i="60"/>
  <c r="T797" i="60"/>
  <c r="W789" i="60"/>
  <c r="G788" i="60"/>
  <c r="W793" i="60"/>
  <c r="X796" i="60"/>
  <c r="S789" i="60"/>
  <c r="W792" i="60"/>
  <c r="W795" i="60"/>
  <c r="K788" i="60"/>
  <c r="X790" i="60"/>
  <c r="T793" i="60"/>
  <c r="X791" i="60"/>
  <c r="X787" i="60"/>
  <c r="S791" i="60"/>
  <c r="T791" i="60"/>
  <c r="X794" i="60"/>
  <c r="W790" i="60"/>
  <c r="X793" i="60"/>
  <c r="W797" i="60"/>
  <c r="K787" i="60"/>
  <c r="T789" i="60"/>
  <c r="S792" i="60"/>
  <c r="X795" i="60"/>
  <c r="L790" i="60"/>
  <c r="L787" i="60"/>
  <c r="T790" i="60"/>
  <c r="X788" i="60"/>
  <c r="S794" i="60"/>
  <c r="X789" i="60"/>
  <c r="S793" i="60"/>
  <c r="T796" i="60"/>
  <c r="W788" i="60"/>
  <c r="W791" i="60"/>
  <c r="S795" i="60"/>
  <c r="B814" i="57"/>
  <c r="S819" i="57" s="1"/>
  <c r="T819" i="57" s="1"/>
  <c r="B814" i="60"/>
  <c r="B803" i="57"/>
  <c r="S803" i="57" s="1"/>
  <c r="T803" i="57" s="1"/>
  <c r="B803" i="60"/>
  <c r="O875" i="57"/>
  <c r="P875" i="57" s="1"/>
  <c r="W877" i="57"/>
  <c r="X877" i="57" s="1"/>
  <c r="W875" i="57"/>
  <c r="W882" i="57"/>
  <c r="X882" i="57" s="1"/>
  <c r="S880" i="57"/>
  <c r="T880" i="57" s="1"/>
  <c r="S879" i="57"/>
  <c r="T879" i="57" s="1"/>
  <c r="W878" i="57"/>
  <c r="O876" i="57"/>
  <c r="P876" i="57" s="1"/>
  <c r="K875" i="57"/>
  <c r="K879" i="57"/>
  <c r="L879" i="57" s="1"/>
  <c r="W884" i="57"/>
  <c r="X884" i="57" s="1"/>
  <c r="G876" i="57"/>
  <c r="G875" i="57"/>
  <c r="S885" i="57"/>
  <c r="T885" i="57" s="1"/>
  <c r="S876" i="57"/>
  <c r="T876" i="57" s="1"/>
  <c r="S877" i="57"/>
  <c r="T877" i="57" s="1"/>
  <c r="W883" i="57"/>
  <c r="W879" i="57"/>
  <c r="X879" i="57" s="1"/>
  <c r="S881" i="57"/>
  <c r="S875" i="57"/>
  <c r="K878" i="57"/>
  <c r="L878" i="57" s="1"/>
  <c r="W885" i="57"/>
  <c r="X885" i="57" s="1"/>
  <c r="D875" i="57"/>
  <c r="W880" i="57"/>
  <c r="X880" i="57" s="1"/>
  <c r="C875" i="57"/>
  <c r="S882" i="57"/>
  <c r="T882" i="57" s="1"/>
  <c r="W876" i="57"/>
  <c r="X876" i="57" s="1"/>
  <c r="S884" i="57"/>
  <c r="T884" i="57" s="1"/>
  <c r="S878" i="57"/>
  <c r="S883" i="57"/>
  <c r="W881" i="57"/>
  <c r="S829" i="57"/>
  <c r="T829" i="57" s="1"/>
  <c r="S821" i="57"/>
  <c r="T821" i="57" s="1"/>
  <c r="W827" i="57"/>
  <c r="X827" i="57" s="1"/>
  <c r="W821" i="57"/>
  <c r="X821" i="57" s="1"/>
  <c r="S826" i="57"/>
  <c r="K824" i="57"/>
  <c r="L824" i="57" s="1"/>
  <c r="S824" i="57"/>
  <c r="T824" i="57" s="1"/>
  <c r="S830" i="57"/>
  <c r="T830" i="57" s="1"/>
  <c r="C820" i="57"/>
  <c r="W830" i="57"/>
  <c r="X830" i="57" s="1"/>
  <c r="K823" i="57"/>
  <c r="L823" i="57" s="1"/>
  <c r="W829" i="57"/>
  <c r="X829" i="57" s="1"/>
  <c r="S823" i="57"/>
  <c r="S828" i="57"/>
  <c r="G821" i="57"/>
  <c r="S827" i="57"/>
  <c r="T827" i="57" s="1"/>
  <c r="O820" i="57"/>
  <c r="P820" i="57" s="1"/>
  <c r="W823" i="57"/>
  <c r="K820" i="57"/>
  <c r="W824" i="57"/>
  <c r="X824" i="57" s="1"/>
  <c r="O821" i="57"/>
  <c r="P821" i="57" s="1"/>
  <c r="W822" i="57"/>
  <c r="X822" i="57" s="1"/>
  <c r="W826" i="57"/>
  <c r="D820" i="57"/>
  <c r="W820" i="57"/>
  <c r="W825" i="57"/>
  <c r="X825" i="57" s="1"/>
  <c r="S822" i="57"/>
  <c r="T822" i="57" s="1"/>
  <c r="S825" i="57"/>
  <c r="T825" i="57" s="1"/>
  <c r="C853" i="57"/>
  <c r="S860" i="57"/>
  <c r="T860" i="57" s="1"/>
  <c r="G854" i="57"/>
  <c r="W860" i="57"/>
  <c r="X860" i="57" s="1"/>
  <c r="S854" i="57"/>
  <c r="T854" i="57" s="1"/>
  <c r="S863" i="57"/>
  <c r="T863" i="57" s="1"/>
  <c r="W857" i="57"/>
  <c r="X857" i="57" s="1"/>
  <c r="W859" i="57"/>
  <c r="W855" i="57"/>
  <c r="X855" i="57" s="1"/>
  <c r="S857" i="57"/>
  <c r="T857" i="57" s="1"/>
  <c r="S859" i="57"/>
  <c r="W854" i="57"/>
  <c r="X854" i="57" s="1"/>
  <c r="S855" i="57"/>
  <c r="T855" i="57" s="1"/>
  <c r="S862" i="57"/>
  <c r="T862" i="57" s="1"/>
  <c r="W862" i="57"/>
  <c r="X862" i="57" s="1"/>
  <c r="W863" i="57"/>
  <c r="X863" i="57" s="1"/>
  <c r="D853" i="57"/>
  <c r="K857" i="57"/>
  <c r="L857" i="57" s="1"/>
  <c r="S853" i="57"/>
  <c r="S858" i="57"/>
  <c r="T858" i="57" s="1"/>
  <c r="W853" i="57"/>
  <c r="S861" i="57"/>
  <c r="S856" i="57"/>
  <c r="O853" i="57"/>
  <c r="P853" i="57" s="1"/>
  <c r="K853" i="57"/>
  <c r="W856" i="57"/>
  <c r="O854" i="57"/>
  <c r="P854" i="57" s="1"/>
  <c r="K856" i="57"/>
  <c r="L856" i="57" s="1"/>
  <c r="W858" i="57"/>
  <c r="X858" i="57" s="1"/>
  <c r="W861" i="57"/>
  <c r="W841" i="57"/>
  <c r="X841" i="57" s="1"/>
  <c r="S833" i="57"/>
  <c r="T833" i="57" s="1"/>
  <c r="W831" i="57"/>
  <c r="K835" i="57"/>
  <c r="L835" i="57" s="1"/>
  <c r="W838" i="57"/>
  <c r="X838" i="57" s="1"/>
  <c r="O832" i="57"/>
  <c r="P832" i="57" s="1"/>
  <c r="S838" i="57"/>
  <c r="T838" i="57" s="1"/>
  <c r="S840" i="57"/>
  <c r="T840" i="57" s="1"/>
  <c r="W833" i="57"/>
  <c r="X833" i="57" s="1"/>
  <c r="S836" i="57"/>
  <c r="T836" i="57" s="1"/>
  <c r="O831" i="57"/>
  <c r="P831" i="57" s="1"/>
  <c r="S841" i="57"/>
  <c r="T841" i="57" s="1"/>
  <c r="S832" i="57"/>
  <c r="T832" i="57" s="1"/>
  <c r="S835" i="57"/>
  <c r="T835" i="57" s="1"/>
  <c r="W835" i="57"/>
  <c r="X835" i="57" s="1"/>
  <c r="C831" i="57"/>
  <c r="W832" i="57"/>
  <c r="X832" i="57" s="1"/>
  <c r="S839" i="57"/>
  <c r="W839" i="57"/>
  <c r="D831" i="57"/>
  <c r="G832" i="57"/>
  <c r="W840" i="57"/>
  <c r="X840" i="57" s="1"/>
  <c r="W834" i="57"/>
  <c r="W837" i="57"/>
  <c r="S834" i="57"/>
  <c r="K834" i="57"/>
  <c r="L834" i="57" s="1"/>
  <c r="W836" i="57"/>
  <c r="X836" i="57" s="1"/>
  <c r="S837" i="57"/>
  <c r="S869" i="57"/>
  <c r="T869" i="57" s="1"/>
  <c r="W867" i="57"/>
  <c r="G865" i="57"/>
  <c r="S868" i="57"/>
  <c r="T868" i="57" s="1"/>
  <c r="W864" i="57"/>
  <c r="G864" i="57"/>
  <c r="W866" i="57"/>
  <c r="X866" i="57" s="1"/>
  <c r="S865" i="57"/>
  <c r="T865" i="57" s="1"/>
  <c r="K864" i="57"/>
  <c r="O864" i="57"/>
  <c r="P864" i="57" s="1"/>
  <c r="C864" i="57"/>
  <c r="S871" i="57"/>
  <c r="T871" i="57" s="1"/>
  <c r="W872" i="57"/>
  <c r="D864" i="57"/>
  <c r="W869" i="57"/>
  <c r="X869" i="57" s="1"/>
  <c r="W871" i="57"/>
  <c r="X871" i="57" s="1"/>
  <c r="S866" i="57"/>
  <c r="T866" i="57" s="1"/>
  <c r="S867" i="57"/>
  <c r="W873" i="57"/>
  <c r="X873" i="57" s="1"/>
  <c r="K867" i="57"/>
  <c r="L867" i="57" s="1"/>
  <c r="W870" i="57"/>
  <c r="O865" i="57"/>
  <c r="P865" i="57" s="1"/>
  <c r="S864" i="57"/>
  <c r="S873" i="57"/>
  <c r="T873" i="57" s="1"/>
  <c r="W874" i="57"/>
  <c r="X874" i="57" s="1"/>
  <c r="W865" i="57"/>
  <c r="X865" i="57" s="1"/>
  <c r="S870" i="57"/>
  <c r="K868" i="57"/>
  <c r="L868" i="57" s="1"/>
  <c r="S872" i="57"/>
  <c r="S874" i="57"/>
  <c r="T874" i="57" s="1"/>
  <c r="W868" i="57"/>
  <c r="X868" i="57" s="1"/>
  <c r="W845" i="57"/>
  <c r="C842" i="57"/>
  <c r="O842" i="57"/>
  <c r="P842" i="57" s="1"/>
  <c r="W848" i="57"/>
  <c r="W843" i="57"/>
  <c r="X843" i="57" s="1"/>
  <c r="S848" i="57"/>
  <c r="W842" i="57"/>
  <c r="S847" i="57"/>
  <c r="T847" i="57" s="1"/>
  <c r="S842" i="57"/>
  <c r="K846" i="57"/>
  <c r="L846" i="57" s="1"/>
  <c r="W850" i="57"/>
  <c r="S850" i="57"/>
  <c r="W849" i="57"/>
  <c r="X849" i="57" s="1"/>
  <c r="W852" i="57"/>
  <c r="X852" i="57" s="1"/>
  <c r="S852" i="57"/>
  <c r="T852" i="57" s="1"/>
  <c r="W851" i="57"/>
  <c r="X851" i="57" s="1"/>
  <c r="O843" i="57"/>
  <c r="P843" i="57" s="1"/>
  <c r="S844" i="57"/>
  <c r="T844" i="57" s="1"/>
  <c r="S845" i="57"/>
  <c r="S843" i="57"/>
  <c r="T843" i="57" s="1"/>
  <c r="G843" i="57"/>
  <c r="S849" i="57"/>
  <c r="T849" i="57" s="1"/>
  <c r="W846" i="57"/>
  <c r="X846" i="57" s="1"/>
  <c r="K845" i="57"/>
  <c r="L845" i="57" s="1"/>
  <c r="S851" i="57"/>
  <c r="T851" i="57" s="1"/>
  <c r="K842" i="57"/>
  <c r="S846" i="57"/>
  <c r="T846" i="57" s="1"/>
  <c r="D842" i="57"/>
  <c r="W847" i="57"/>
  <c r="X847" i="57" s="1"/>
  <c r="W844" i="57"/>
  <c r="X844" i="57" s="1"/>
  <c r="AR111" i="9"/>
  <c r="AR115" i="9"/>
  <c r="AR119" i="9"/>
  <c r="AR112" i="9"/>
  <c r="AR116" i="9"/>
  <c r="AR120" i="9"/>
  <c r="AR118" i="9"/>
  <c r="AR113" i="9"/>
  <c r="AR117" i="9"/>
  <c r="AR114" i="9"/>
  <c r="AR17" i="9"/>
  <c r="AR21" i="9"/>
  <c r="AR16" i="9"/>
  <c r="AR24" i="9"/>
  <c r="AR18" i="9"/>
  <c r="AR22" i="9"/>
  <c r="AR23" i="9"/>
  <c r="AR19" i="9"/>
  <c r="AR20" i="9"/>
  <c r="AR4" i="9"/>
  <c r="AR8" i="9"/>
  <c r="AR12" i="9"/>
  <c r="AR28" i="9"/>
  <c r="AR32" i="9"/>
  <c r="AR36" i="9"/>
  <c r="AR40" i="9"/>
  <c r="AR44" i="9"/>
  <c r="AR48" i="9"/>
  <c r="AR52" i="9"/>
  <c r="AR56" i="9"/>
  <c r="AR60" i="9"/>
  <c r="AR64" i="9"/>
  <c r="AR68" i="9"/>
  <c r="AR72" i="9"/>
  <c r="AR76" i="9"/>
  <c r="AR80" i="9"/>
  <c r="AR84" i="9"/>
  <c r="AR88" i="9"/>
  <c r="AR92" i="9"/>
  <c r="AR96" i="9"/>
  <c r="AR100" i="9"/>
  <c r="AR104" i="9"/>
  <c r="AR108" i="9"/>
  <c r="AR124" i="9"/>
  <c r="AR128" i="9"/>
  <c r="AR132" i="9"/>
  <c r="AR136" i="9"/>
  <c r="AR140" i="9"/>
  <c r="AR144" i="9"/>
  <c r="AR148" i="9"/>
  <c r="AR152" i="9"/>
  <c r="AR156" i="9"/>
  <c r="AR160" i="9"/>
  <c r="AR164" i="9"/>
  <c r="AR168" i="9"/>
  <c r="AR5" i="9"/>
  <c r="AR10" i="9"/>
  <c r="AR15" i="9"/>
  <c r="AR26" i="9"/>
  <c r="AR31" i="9"/>
  <c r="AR37" i="9"/>
  <c r="AR42" i="9"/>
  <c r="AR47" i="9"/>
  <c r="AR53" i="9"/>
  <c r="AR58" i="9"/>
  <c r="AR63" i="9"/>
  <c r="AR69" i="9"/>
  <c r="AR74" i="9"/>
  <c r="AR79" i="9"/>
  <c r="AR85" i="9"/>
  <c r="AR90" i="9"/>
  <c r="AR95" i="9"/>
  <c r="AR101" i="9"/>
  <c r="AR106" i="9"/>
  <c r="AR122" i="9"/>
  <c r="AR127" i="9"/>
  <c r="AR133" i="9"/>
  <c r="AR138" i="9"/>
  <c r="AR143" i="9"/>
  <c r="AR149" i="9"/>
  <c r="AR154" i="9"/>
  <c r="AR159" i="9"/>
  <c r="AR165" i="9"/>
  <c r="AR6" i="9"/>
  <c r="AR11" i="9"/>
  <c r="AR27" i="9"/>
  <c r="AR33" i="9"/>
  <c r="AR38" i="9"/>
  <c r="AR43" i="9"/>
  <c r="AR49" i="9"/>
  <c r="AR54" i="9"/>
  <c r="AR59" i="9"/>
  <c r="AR65" i="9"/>
  <c r="AR70" i="9"/>
  <c r="AR75" i="9"/>
  <c r="AR81" i="9"/>
  <c r="AR86" i="9"/>
  <c r="AR91" i="9"/>
  <c r="AR97" i="9"/>
  <c r="AR102" i="9"/>
  <c r="AR107" i="9"/>
  <c r="AR123" i="9"/>
  <c r="AR129" i="9"/>
  <c r="AR134" i="9"/>
  <c r="AR139" i="9"/>
  <c r="AR145" i="9"/>
  <c r="AR150" i="9"/>
  <c r="AR155" i="9"/>
  <c r="AR161" i="9"/>
  <c r="AR166" i="9"/>
  <c r="AR7" i="9"/>
  <c r="AR13" i="9"/>
  <c r="AR29" i="9"/>
  <c r="AR34" i="9"/>
  <c r="AR39" i="9"/>
  <c r="AR45" i="9"/>
  <c r="AR50" i="9"/>
  <c r="AR55" i="9"/>
  <c r="AR61" i="9"/>
  <c r="AR66" i="9"/>
  <c r="AR71" i="9"/>
  <c r="AR77" i="9"/>
  <c r="AR82" i="9"/>
  <c r="AR87" i="9"/>
  <c r="AR93" i="9"/>
  <c r="AR98" i="9"/>
  <c r="AR103" i="9"/>
  <c r="AR109" i="9"/>
  <c r="AR125" i="9"/>
  <c r="AR130" i="9"/>
  <c r="AR135" i="9"/>
  <c r="AR141" i="9"/>
  <c r="AR146" i="9"/>
  <c r="AR151" i="9"/>
  <c r="AR157" i="9"/>
  <c r="AR162" i="9"/>
  <c r="AR167" i="9"/>
  <c r="AR9" i="9"/>
  <c r="AR30" i="9"/>
  <c r="AR51" i="9"/>
  <c r="AR73" i="9"/>
  <c r="AR94" i="9"/>
  <c r="AR137" i="9"/>
  <c r="AR158" i="9"/>
  <c r="AR14" i="9"/>
  <c r="AR35" i="9"/>
  <c r="AR57" i="9"/>
  <c r="AR78" i="9"/>
  <c r="AR99" i="9"/>
  <c r="AR121" i="9"/>
  <c r="AR142" i="9"/>
  <c r="AR163" i="9"/>
  <c r="AR41" i="9"/>
  <c r="AR62" i="9"/>
  <c r="AR83" i="9"/>
  <c r="AR105" i="9"/>
  <c r="AR126" i="9"/>
  <c r="AR147" i="9"/>
  <c r="AR169" i="9"/>
  <c r="AR25" i="9"/>
  <c r="AR110" i="9"/>
  <c r="AR46" i="9"/>
  <c r="AR131" i="9"/>
  <c r="AR67" i="9"/>
  <c r="AR153" i="9"/>
  <c r="AR89" i="9"/>
  <c r="B704" i="57"/>
  <c r="C699" i="57" s="1"/>
  <c r="B704" i="60"/>
  <c r="B704" i="59"/>
  <c r="B781" i="59"/>
  <c r="B781" i="57"/>
  <c r="B737" i="57"/>
  <c r="C732" i="57" s="1"/>
  <c r="B737" i="59"/>
  <c r="B737" i="60"/>
  <c r="B693" i="57"/>
  <c r="D688" i="57" s="1"/>
  <c r="B693" i="59"/>
  <c r="B693" i="60"/>
  <c r="C644" i="60"/>
  <c r="B792" i="59"/>
  <c r="B792" i="57"/>
  <c r="B660" i="60"/>
  <c r="B660" i="59"/>
  <c r="S815" i="57"/>
  <c r="B770" i="57"/>
  <c r="B770" i="59"/>
  <c r="B726" i="57"/>
  <c r="D721" i="57" s="1"/>
  <c r="B726" i="60"/>
  <c r="B726" i="59"/>
  <c r="B682" i="57"/>
  <c r="C677" i="57" s="1"/>
  <c r="B682" i="60"/>
  <c r="B682" i="59"/>
  <c r="B748" i="57"/>
  <c r="D743" i="57" s="1"/>
  <c r="B748" i="60"/>
  <c r="B748" i="59"/>
  <c r="W807" i="57"/>
  <c r="X807" i="57" s="1"/>
  <c r="W805" i="57"/>
  <c r="X805" i="57" s="1"/>
  <c r="W804" i="57"/>
  <c r="W801" i="57"/>
  <c r="W799" i="57"/>
  <c r="X799" i="57" s="1"/>
  <c r="S807" i="57"/>
  <c r="T807" i="57" s="1"/>
  <c r="S808" i="57"/>
  <c r="T808" i="57" s="1"/>
  <c r="C798" i="57"/>
  <c r="W802" i="57"/>
  <c r="X802" i="57" s="1"/>
  <c r="O798" i="57"/>
  <c r="P798" i="57" s="1"/>
  <c r="D798" i="57"/>
  <c r="W803" i="57"/>
  <c r="X803" i="57" s="1"/>
  <c r="K801" i="57"/>
  <c r="L801" i="57" s="1"/>
  <c r="S804" i="57"/>
  <c r="B759" i="57"/>
  <c r="D754" i="57" s="1"/>
  <c r="B759" i="60"/>
  <c r="B759" i="59"/>
  <c r="B715" i="57"/>
  <c r="D710" i="57" s="1"/>
  <c r="B715" i="60"/>
  <c r="B715" i="59"/>
  <c r="B671" i="57"/>
  <c r="D666" i="57" s="1"/>
  <c r="B671" i="60"/>
  <c r="B671" i="59"/>
  <c r="D886" i="57"/>
  <c r="C886" i="57"/>
  <c r="B616" i="59"/>
  <c r="G612" i="59" s="1"/>
  <c r="B616" i="60"/>
  <c r="B572" i="59"/>
  <c r="S577" i="59" s="1"/>
  <c r="T577" i="59" s="1"/>
  <c r="B572" i="60"/>
  <c r="B528" i="59"/>
  <c r="W525" i="59" s="1"/>
  <c r="X525" i="59" s="1"/>
  <c r="B528" i="60"/>
  <c r="B627" i="59"/>
  <c r="S632" i="59" s="1"/>
  <c r="T632" i="59" s="1"/>
  <c r="B627" i="60"/>
  <c r="B539" i="59"/>
  <c r="S536" i="59" s="1"/>
  <c r="T536" i="59" s="1"/>
  <c r="B539" i="60"/>
  <c r="W651" i="60"/>
  <c r="S646" i="60"/>
  <c r="O645" i="60"/>
  <c r="P645" i="60" s="1"/>
  <c r="W646" i="60"/>
  <c r="W653" i="60"/>
  <c r="K648" i="60"/>
  <c r="X646" i="60"/>
  <c r="O644" i="60"/>
  <c r="T654" i="60"/>
  <c r="W649" i="60"/>
  <c r="T648" i="60"/>
  <c r="W647" i="60"/>
  <c r="D644" i="60"/>
  <c r="L648" i="60"/>
  <c r="W645" i="60"/>
  <c r="W648" i="60"/>
  <c r="S651" i="60"/>
  <c r="X653" i="60"/>
  <c r="L645" i="60"/>
  <c r="T647" i="60"/>
  <c r="W650" i="60"/>
  <c r="T653" i="60"/>
  <c r="S652" i="60"/>
  <c r="H645" i="60"/>
  <c r="X654" i="60"/>
  <c r="W644" i="60"/>
  <c r="T646" i="60"/>
  <c r="S649" i="60"/>
  <c r="X651" i="60"/>
  <c r="S645" i="60"/>
  <c r="S648" i="60"/>
  <c r="T651" i="60"/>
  <c r="W654" i="60"/>
  <c r="X652" i="60"/>
  <c r="S647" i="60"/>
  <c r="X645" i="60"/>
  <c r="S654" i="60"/>
  <c r="L647" i="60"/>
  <c r="K644" i="60"/>
  <c r="X647" i="60"/>
  <c r="S653" i="60"/>
  <c r="G644" i="60"/>
  <c r="K647" i="60"/>
  <c r="W652" i="60"/>
  <c r="T650" i="60"/>
  <c r="X648" i="60"/>
  <c r="K645" i="60"/>
  <c r="T649" i="60"/>
  <c r="X649" i="60"/>
  <c r="S650" i="60"/>
  <c r="G645" i="60"/>
  <c r="X650" i="60"/>
  <c r="B605" i="59"/>
  <c r="S610" i="59" s="1"/>
  <c r="T610" i="59" s="1"/>
  <c r="B605" i="60"/>
  <c r="X566" i="60"/>
  <c r="O557" i="60"/>
  <c r="P557" i="60" s="1"/>
  <c r="O556" i="60"/>
  <c r="P556" i="60" s="1"/>
  <c r="T562" i="60"/>
  <c r="L556" i="60"/>
  <c r="X558" i="60"/>
  <c r="W562" i="60"/>
  <c r="S558" i="60"/>
  <c r="S560" i="60"/>
  <c r="X557" i="60"/>
  <c r="H557" i="60"/>
  <c r="T560" i="60"/>
  <c r="W563" i="60"/>
  <c r="T563" i="60"/>
  <c r="W558" i="60"/>
  <c r="L559" i="60"/>
  <c r="L560" i="60"/>
  <c r="K556" i="60"/>
  <c r="K557" i="60"/>
  <c r="S565" i="60"/>
  <c r="T565" i="60"/>
  <c r="X562" i="60"/>
  <c r="G557" i="60"/>
  <c r="X560" i="60"/>
  <c r="C556" i="60"/>
  <c r="T561" i="60"/>
  <c r="W561" i="60"/>
  <c r="W557" i="60"/>
  <c r="W560" i="60"/>
  <c r="S563" i="60"/>
  <c r="X565" i="60"/>
  <c r="S562" i="60"/>
  <c r="S566" i="60"/>
  <c r="K560" i="60"/>
  <c r="K559" i="60"/>
  <c r="L557" i="60"/>
  <c r="T558" i="60"/>
  <c r="S561" i="60"/>
  <c r="X563" i="60"/>
  <c r="W566" i="60"/>
  <c r="S559" i="60"/>
  <c r="T566" i="60"/>
  <c r="X561" i="60"/>
  <c r="T564" i="60"/>
  <c r="W565" i="60"/>
  <c r="D556" i="60"/>
  <c r="S564" i="60"/>
  <c r="B517" i="59"/>
  <c r="S522" i="59" s="1"/>
  <c r="T522" i="59" s="1"/>
  <c r="B517" i="60"/>
  <c r="B583" i="59"/>
  <c r="S588" i="59" s="1"/>
  <c r="T588" i="59" s="1"/>
  <c r="B583" i="60"/>
  <c r="B638" i="59"/>
  <c r="S637" i="59" s="1"/>
  <c r="T637" i="59" s="1"/>
  <c r="B638" i="60"/>
  <c r="B594" i="59"/>
  <c r="B594" i="60"/>
  <c r="B550" i="59"/>
  <c r="D545" i="59" s="1"/>
  <c r="B550" i="60"/>
  <c r="B649" i="57"/>
  <c r="B649" i="59"/>
  <c r="B660" i="57"/>
  <c r="B561" i="59"/>
  <c r="AP170" i="9" l="1"/>
  <c r="AO170" i="9"/>
  <c r="O810" i="57"/>
  <c r="P810" i="57" s="1"/>
  <c r="W815" i="57"/>
  <c r="C809" i="57"/>
  <c r="S690" i="57"/>
  <c r="T690" i="57" s="1"/>
  <c r="S800" i="57"/>
  <c r="T800" i="57" s="1"/>
  <c r="S805" i="57"/>
  <c r="T805" i="57" s="1"/>
  <c r="K802" i="57"/>
  <c r="L802" i="57" s="1"/>
  <c r="W800" i="57"/>
  <c r="X800" i="57" s="1"/>
  <c r="W808" i="57"/>
  <c r="X808" i="57" s="1"/>
  <c r="S806" i="57"/>
  <c r="S799" i="57"/>
  <c r="T799" i="57" s="1"/>
  <c r="S801" i="57"/>
  <c r="W798" i="57"/>
  <c r="O799" i="57"/>
  <c r="P799" i="57" s="1"/>
  <c r="S802" i="57"/>
  <c r="T802" i="57" s="1"/>
  <c r="W818" i="57"/>
  <c r="X818" i="57" s="1"/>
  <c r="S811" i="57"/>
  <c r="T811" i="57" s="1"/>
  <c r="W819" i="57"/>
  <c r="X819" i="57" s="1"/>
  <c r="W813" i="57"/>
  <c r="X813" i="57" s="1"/>
  <c r="W809" i="57"/>
  <c r="K812" i="57"/>
  <c r="L812" i="57" s="1"/>
  <c r="W812" i="57"/>
  <c r="S812" i="57"/>
  <c r="O809" i="57"/>
  <c r="P809" i="57" s="1"/>
  <c r="D809" i="57"/>
  <c r="W811" i="57"/>
  <c r="X811" i="57" s="1"/>
  <c r="S810" i="57"/>
  <c r="T810" i="57" s="1"/>
  <c r="S816" i="57"/>
  <c r="T816" i="57" s="1"/>
  <c r="S813" i="57"/>
  <c r="T813" i="57" s="1"/>
  <c r="W816" i="57"/>
  <c r="X816" i="57" s="1"/>
  <c r="S814" i="57"/>
  <c r="T814" i="57" s="1"/>
  <c r="S818" i="57"/>
  <c r="T818" i="57" s="1"/>
  <c r="W814" i="57"/>
  <c r="X814" i="57" s="1"/>
  <c r="S817" i="57"/>
  <c r="K813" i="57"/>
  <c r="L813" i="57" s="1"/>
  <c r="W810" i="57"/>
  <c r="X810" i="57" s="1"/>
  <c r="C798" i="60"/>
  <c r="O798" i="60"/>
  <c r="P798" i="60" s="1"/>
  <c r="G799" i="60"/>
  <c r="X808" i="60"/>
  <c r="G798" i="60"/>
  <c r="K801" i="60"/>
  <c r="T801" i="60"/>
  <c r="X798" i="60"/>
  <c r="W800" i="60"/>
  <c r="S805" i="60"/>
  <c r="X800" i="60"/>
  <c r="S804" i="60"/>
  <c r="T807" i="60"/>
  <c r="S807" i="60"/>
  <c r="T800" i="60"/>
  <c r="S803" i="60"/>
  <c r="X806" i="60"/>
  <c r="S798" i="60"/>
  <c r="S802" i="60"/>
  <c r="T803" i="60"/>
  <c r="S799" i="60"/>
  <c r="H799" i="60"/>
  <c r="L801" i="60"/>
  <c r="X807" i="60"/>
  <c r="W801" i="60"/>
  <c r="X804" i="60"/>
  <c r="W808" i="60"/>
  <c r="W798" i="60"/>
  <c r="S801" i="60"/>
  <c r="X803" i="60"/>
  <c r="S808" i="60"/>
  <c r="X799" i="60"/>
  <c r="T798" i="60"/>
  <c r="W807" i="60"/>
  <c r="T806" i="60"/>
  <c r="T799" i="60"/>
  <c r="T802" i="60"/>
  <c r="S800" i="60"/>
  <c r="W803" i="60"/>
  <c r="W806" i="60"/>
  <c r="X805" i="60"/>
  <c r="W799" i="60"/>
  <c r="W802" i="60"/>
  <c r="S806" i="60"/>
  <c r="T808" i="60"/>
  <c r="L799" i="60"/>
  <c r="H798" i="60"/>
  <c r="W805" i="60"/>
  <c r="X802" i="60"/>
  <c r="O799" i="60"/>
  <c r="P799" i="60" s="1"/>
  <c r="K802" i="60"/>
  <c r="D798" i="60"/>
  <c r="L802" i="60"/>
  <c r="T805" i="60"/>
  <c r="W804" i="60"/>
  <c r="K799" i="60"/>
  <c r="X801" i="60"/>
  <c r="T804" i="60"/>
  <c r="K798" i="60"/>
  <c r="Y787" i="60"/>
  <c r="AC793" i="60" s="1"/>
  <c r="Y776" i="60"/>
  <c r="AC782" i="60" s="1"/>
  <c r="E787" i="60"/>
  <c r="U787" i="60"/>
  <c r="U793" i="60"/>
  <c r="I788" i="60"/>
  <c r="Q795" i="60"/>
  <c r="I787" i="60"/>
  <c r="E788" i="60"/>
  <c r="Q790" i="60"/>
  <c r="U795" i="60"/>
  <c r="Q787" i="60"/>
  <c r="U790" i="60"/>
  <c r="U776" i="60"/>
  <c r="U784" i="60"/>
  <c r="I777" i="60"/>
  <c r="E777" i="60"/>
  <c r="Q784" i="60"/>
  <c r="I776" i="60"/>
  <c r="E776" i="60"/>
  <c r="Q779" i="60"/>
  <c r="U779" i="60"/>
  <c r="Q776" i="60"/>
  <c r="U782" i="60"/>
  <c r="O689" i="57"/>
  <c r="P689" i="57" s="1"/>
  <c r="U845" i="57"/>
  <c r="X845" i="57" s="1"/>
  <c r="I843" i="57"/>
  <c r="L843" i="57" s="1"/>
  <c r="I842" i="57"/>
  <c r="L842" i="57" s="1"/>
  <c r="E842" i="57"/>
  <c r="Q845" i="57"/>
  <c r="T845" i="57" s="1"/>
  <c r="E843" i="57"/>
  <c r="H843" i="57" s="1"/>
  <c r="U842" i="57"/>
  <c r="X842" i="57" s="1"/>
  <c r="U850" i="57"/>
  <c r="X850" i="57" s="1"/>
  <c r="Q842" i="57"/>
  <c r="T842" i="57" s="1"/>
  <c r="U848" i="57"/>
  <c r="X848" i="57" s="1"/>
  <c r="Q850" i="57"/>
  <c r="T850" i="57" s="1"/>
  <c r="U856" i="57"/>
  <c r="X856" i="57" s="1"/>
  <c r="I854" i="57"/>
  <c r="L854" i="57" s="1"/>
  <c r="Q861" i="57"/>
  <c r="T861" i="57" s="1"/>
  <c r="Q853" i="57"/>
  <c r="T853" i="57" s="1"/>
  <c r="I853" i="57"/>
  <c r="L853" i="57" s="1"/>
  <c r="U859" i="57"/>
  <c r="X859" i="57" s="1"/>
  <c r="Q856" i="57"/>
  <c r="T856" i="57" s="1"/>
  <c r="E854" i="57"/>
  <c r="H854" i="57" s="1"/>
  <c r="U853" i="57"/>
  <c r="X853" i="57" s="1"/>
  <c r="U861" i="57"/>
  <c r="X861" i="57" s="1"/>
  <c r="E853" i="57"/>
  <c r="I875" i="57"/>
  <c r="L875" i="57" s="1"/>
  <c r="Q875" i="57"/>
  <c r="T875" i="57" s="1"/>
  <c r="E876" i="57"/>
  <c r="H876" i="57" s="1"/>
  <c r="I876" i="57"/>
  <c r="L876" i="57" s="1"/>
  <c r="Q883" i="57"/>
  <c r="T883" i="57" s="1"/>
  <c r="U875" i="57"/>
  <c r="X875" i="57" s="1"/>
  <c r="Q878" i="57"/>
  <c r="T878" i="57" s="1"/>
  <c r="E875" i="57"/>
  <c r="H875" i="57" s="1"/>
  <c r="U883" i="57"/>
  <c r="X883" i="57" s="1"/>
  <c r="U881" i="57"/>
  <c r="X881" i="57" s="1"/>
  <c r="U878" i="57"/>
  <c r="X878" i="57" s="1"/>
  <c r="I864" i="57"/>
  <c r="L864" i="57" s="1"/>
  <c r="Q867" i="57"/>
  <c r="T867" i="57" s="1"/>
  <c r="E865" i="57"/>
  <c r="H865" i="57" s="1"/>
  <c r="I865" i="57"/>
  <c r="L865" i="57" s="1"/>
  <c r="E864" i="57"/>
  <c r="H864" i="57" s="1"/>
  <c r="U864" i="57"/>
  <c r="X864" i="57" s="1"/>
  <c r="Q872" i="57"/>
  <c r="T872" i="57" s="1"/>
  <c r="U870" i="57"/>
  <c r="X870" i="57" s="1"/>
  <c r="Q864" i="57"/>
  <c r="T864" i="57" s="1"/>
  <c r="U872" i="57"/>
  <c r="X872" i="57" s="1"/>
  <c r="U867" i="57"/>
  <c r="X867" i="57" s="1"/>
  <c r="Y864" i="57"/>
  <c r="AC869" i="57" s="1"/>
  <c r="I832" i="57"/>
  <c r="L832" i="57" s="1"/>
  <c r="U834" i="57"/>
  <c r="X834" i="57" s="1"/>
  <c r="Q839" i="57"/>
  <c r="T839" i="57" s="1"/>
  <c r="E832" i="57"/>
  <c r="H832" i="57" s="1"/>
  <c r="U839" i="57"/>
  <c r="X839" i="57" s="1"/>
  <c r="I831" i="57"/>
  <c r="Q831" i="57"/>
  <c r="E831" i="57"/>
  <c r="U837" i="57"/>
  <c r="X837" i="57" s="1"/>
  <c r="Q834" i="57"/>
  <c r="T834" i="57" s="1"/>
  <c r="U831" i="57"/>
  <c r="X831" i="57" s="1"/>
  <c r="W692" i="57"/>
  <c r="X692" i="57" s="1"/>
  <c r="U823" i="57"/>
  <c r="X823" i="57" s="1"/>
  <c r="E821" i="57"/>
  <c r="H821" i="57" s="1"/>
  <c r="Q823" i="57"/>
  <c r="T823" i="57" s="1"/>
  <c r="I820" i="57"/>
  <c r="L820" i="57" s="1"/>
  <c r="I821" i="57"/>
  <c r="L821" i="57" s="1"/>
  <c r="Q820" i="57"/>
  <c r="U828" i="57"/>
  <c r="U820" i="57"/>
  <c r="X820" i="57" s="1"/>
  <c r="E820" i="57"/>
  <c r="U826" i="57"/>
  <c r="X826" i="57" s="1"/>
  <c r="Q828" i="57"/>
  <c r="T828" i="57" s="1"/>
  <c r="Y875" i="57"/>
  <c r="AC880" i="57" s="1"/>
  <c r="O688" i="57"/>
  <c r="P688" i="57" s="1"/>
  <c r="W688" i="57"/>
  <c r="S694" i="57"/>
  <c r="G689" i="57"/>
  <c r="W691" i="57"/>
  <c r="W690" i="57"/>
  <c r="X690" i="57" s="1"/>
  <c r="W698" i="57"/>
  <c r="X698" i="57" s="1"/>
  <c r="S693" i="57"/>
  <c r="T693" i="57" s="1"/>
  <c r="W694" i="57"/>
  <c r="S696" i="57"/>
  <c r="S689" i="57"/>
  <c r="T689" i="57" s="1"/>
  <c r="W689" i="57"/>
  <c r="X689" i="57" s="1"/>
  <c r="W693" i="57"/>
  <c r="X693" i="57" s="1"/>
  <c r="W696" i="57"/>
  <c r="S697" i="57"/>
  <c r="T697" i="57" s="1"/>
  <c r="S698" i="57"/>
  <c r="T698" i="57" s="1"/>
  <c r="S695" i="57"/>
  <c r="T695" i="57" s="1"/>
  <c r="W695" i="57"/>
  <c r="X695" i="57" s="1"/>
  <c r="W697" i="57"/>
  <c r="X697" i="57" s="1"/>
  <c r="K692" i="57"/>
  <c r="L692" i="57" s="1"/>
  <c r="S692" i="57"/>
  <c r="T692" i="57" s="1"/>
  <c r="S691" i="57"/>
  <c r="K688" i="57"/>
  <c r="S753" i="57"/>
  <c r="T753" i="57" s="1"/>
  <c r="W744" i="57"/>
  <c r="X744" i="57" s="1"/>
  <c r="S670" i="57"/>
  <c r="T670" i="57" s="1"/>
  <c r="W675" i="57"/>
  <c r="X675" i="57" s="1"/>
  <c r="W671" i="57"/>
  <c r="X671" i="57" s="1"/>
  <c r="W670" i="57"/>
  <c r="X670" i="57" s="1"/>
  <c r="K670" i="57"/>
  <c r="L670" i="57" s="1"/>
  <c r="S669" i="57"/>
  <c r="O666" i="57"/>
  <c r="P666" i="57" s="1"/>
  <c r="S676" i="57"/>
  <c r="T676" i="57" s="1"/>
  <c r="W672" i="57"/>
  <c r="S673" i="57"/>
  <c r="T673" i="57" s="1"/>
  <c r="D699" i="57"/>
  <c r="S675" i="57"/>
  <c r="T675" i="57" s="1"/>
  <c r="W666" i="57"/>
  <c r="W701" i="57"/>
  <c r="X701" i="57" s="1"/>
  <c r="K703" i="57"/>
  <c r="L703" i="57" s="1"/>
  <c r="W705" i="57"/>
  <c r="O700" i="57"/>
  <c r="P700" i="57" s="1"/>
  <c r="W706" i="57"/>
  <c r="X706" i="57" s="1"/>
  <c r="S703" i="57"/>
  <c r="T703" i="57" s="1"/>
  <c r="G700" i="57"/>
  <c r="W699" i="57"/>
  <c r="S700" i="57"/>
  <c r="T700" i="57" s="1"/>
  <c r="S702" i="57"/>
  <c r="W704" i="57"/>
  <c r="X704" i="57" s="1"/>
  <c r="S707" i="57"/>
  <c r="S705" i="57"/>
  <c r="K702" i="57"/>
  <c r="L702" i="57" s="1"/>
  <c r="S708" i="57"/>
  <c r="T708" i="57" s="1"/>
  <c r="W708" i="57"/>
  <c r="X708" i="57" s="1"/>
  <c r="S704" i="57"/>
  <c r="T704" i="57" s="1"/>
  <c r="W703" i="57"/>
  <c r="X703" i="57" s="1"/>
  <c r="S709" i="57"/>
  <c r="T709" i="57" s="1"/>
  <c r="W700" i="57"/>
  <c r="X700" i="57" s="1"/>
  <c r="W709" i="57"/>
  <c r="X709" i="57" s="1"/>
  <c r="S706" i="57"/>
  <c r="T706" i="57" s="1"/>
  <c r="S701" i="57"/>
  <c r="T701" i="57" s="1"/>
  <c r="O699" i="57"/>
  <c r="P699" i="57" s="1"/>
  <c r="K699" i="57"/>
  <c r="S752" i="57"/>
  <c r="T752" i="57" s="1"/>
  <c r="W747" i="57"/>
  <c r="X747" i="57" s="1"/>
  <c r="K746" i="57"/>
  <c r="L746" i="57" s="1"/>
  <c r="S671" i="57"/>
  <c r="T671" i="57" s="1"/>
  <c r="S672" i="57"/>
  <c r="O667" i="57"/>
  <c r="P667" i="57" s="1"/>
  <c r="W668" i="57"/>
  <c r="X668" i="57" s="1"/>
  <c r="W667" i="57"/>
  <c r="X667" i="57" s="1"/>
  <c r="S746" i="57"/>
  <c r="W752" i="57"/>
  <c r="X752" i="57" s="1"/>
  <c r="S716" i="57"/>
  <c r="S737" i="57"/>
  <c r="T737" i="57" s="1"/>
  <c r="W673" i="57"/>
  <c r="X673" i="57" s="1"/>
  <c r="S668" i="57"/>
  <c r="T668" i="57" s="1"/>
  <c r="W669" i="57"/>
  <c r="S674" i="57"/>
  <c r="G667" i="57"/>
  <c r="W676" i="57"/>
  <c r="X676" i="57" s="1"/>
  <c r="S667" i="57"/>
  <c r="T667" i="57" s="1"/>
  <c r="W684" i="57"/>
  <c r="X684" i="57" s="1"/>
  <c r="W715" i="57"/>
  <c r="X715" i="57" s="1"/>
  <c r="W679" i="57"/>
  <c r="X679" i="57" s="1"/>
  <c r="W737" i="57"/>
  <c r="X737" i="57" s="1"/>
  <c r="S715" i="57"/>
  <c r="T715" i="57" s="1"/>
  <c r="S720" i="57"/>
  <c r="T720" i="57" s="1"/>
  <c r="S685" i="57"/>
  <c r="S736" i="57"/>
  <c r="T736" i="57" s="1"/>
  <c r="S733" i="57"/>
  <c r="T733" i="57" s="1"/>
  <c r="D732" i="57"/>
  <c r="S712" i="57"/>
  <c r="T712" i="57" s="1"/>
  <c r="S686" i="57"/>
  <c r="T686" i="57" s="1"/>
  <c r="O733" i="57"/>
  <c r="P733" i="57" s="1"/>
  <c r="W713" i="57"/>
  <c r="S719" i="57"/>
  <c r="T719" i="57" s="1"/>
  <c r="W687" i="57"/>
  <c r="X687" i="57" s="1"/>
  <c r="W734" i="57"/>
  <c r="X734" i="57" s="1"/>
  <c r="S739" i="57"/>
  <c r="T739" i="57" s="1"/>
  <c r="S747" i="57"/>
  <c r="T747" i="57" s="1"/>
  <c r="O744" i="57"/>
  <c r="P744" i="57" s="1"/>
  <c r="S744" i="57"/>
  <c r="T744" i="57" s="1"/>
  <c r="W753" i="57"/>
  <c r="X753" i="57" s="1"/>
  <c r="W745" i="57"/>
  <c r="X745" i="57" s="1"/>
  <c r="S748" i="57"/>
  <c r="T748" i="57" s="1"/>
  <c r="W749" i="57"/>
  <c r="S745" i="57"/>
  <c r="T745" i="57" s="1"/>
  <c r="K747" i="57"/>
  <c r="L747" i="57" s="1"/>
  <c r="S749" i="57"/>
  <c r="S750" i="57"/>
  <c r="T750" i="57" s="1"/>
  <c r="W743" i="57"/>
  <c r="S751" i="57"/>
  <c r="O743" i="57"/>
  <c r="P743" i="57" s="1"/>
  <c r="W750" i="57"/>
  <c r="X750" i="57" s="1"/>
  <c r="W748" i="57"/>
  <c r="X748" i="57" s="1"/>
  <c r="C688" i="57"/>
  <c r="O710" i="57"/>
  <c r="P710" i="57" s="1"/>
  <c r="S714" i="57"/>
  <c r="T714" i="57" s="1"/>
  <c r="S711" i="57"/>
  <c r="T711" i="57" s="1"/>
  <c r="W714" i="57"/>
  <c r="X714" i="57" s="1"/>
  <c r="S713" i="57"/>
  <c r="W717" i="57"/>
  <c r="X717" i="57" s="1"/>
  <c r="S684" i="57"/>
  <c r="T684" i="57" s="1"/>
  <c r="K677" i="57"/>
  <c r="O678" i="57"/>
  <c r="P678" i="57" s="1"/>
  <c r="S678" i="57"/>
  <c r="T678" i="57" s="1"/>
  <c r="W681" i="57"/>
  <c r="X681" i="57" s="1"/>
  <c r="S738" i="57"/>
  <c r="W739" i="57"/>
  <c r="X739" i="57" s="1"/>
  <c r="S735" i="57"/>
  <c r="K735" i="57"/>
  <c r="L735" i="57" s="1"/>
  <c r="W733" i="57"/>
  <c r="X733" i="57" s="1"/>
  <c r="G733" i="57"/>
  <c r="S742" i="57"/>
  <c r="T742" i="57" s="1"/>
  <c r="W683" i="57"/>
  <c r="W686" i="57"/>
  <c r="X686" i="57" s="1"/>
  <c r="W680" i="57"/>
  <c r="W682" i="57"/>
  <c r="X682" i="57" s="1"/>
  <c r="W736" i="57"/>
  <c r="X736" i="57" s="1"/>
  <c r="S740" i="57"/>
  <c r="W741" i="57"/>
  <c r="X741" i="57" s="1"/>
  <c r="W732" i="57"/>
  <c r="W716" i="57"/>
  <c r="W711" i="57"/>
  <c r="X711" i="57" s="1"/>
  <c r="K714" i="57"/>
  <c r="L714" i="57" s="1"/>
  <c r="G711" i="57"/>
  <c r="W719" i="57"/>
  <c r="X719" i="57" s="1"/>
  <c r="O711" i="57"/>
  <c r="P711" i="57" s="1"/>
  <c r="S717" i="57"/>
  <c r="T717" i="57" s="1"/>
  <c r="S718" i="57"/>
  <c r="W718" i="57"/>
  <c r="W720" i="57"/>
  <c r="X720" i="57" s="1"/>
  <c r="K710" i="57"/>
  <c r="W712" i="57"/>
  <c r="X712" i="57" s="1"/>
  <c r="G678" i="57"/>
  <c r="S682" i="57"/>
  <c r="T682" i="57" s="1"/>
  <c r="W678" i="57"/>
  <c r="X678" i="57" s="1"/>
  <c r="K681" i="57"/>
  <c r="L681" i="57" s="1"/>
  <c r="O677" i="57"/>
  <c r="P677" i="57" s="1"/>
  <c r="W735" i="57"/>
  <c r="W742" i="57"/>
  <c r="X742" i="57" s="1"/>
  <c r="S734" i="57"/>
  <c r="T734" i="57" s="1"/>
  <c r="S741" i="57"/>
  <c r="T741" i="57" s="1"/>
  <c r="W738" i="57"/>
  <c r="O732" i="57"/>
  <c r="P732" i="57" s="1"/>
  <c r="K736" i="57"/>
  <c r="L736" i="57" s="1"/>
  <c r="C644" i="57"/>
  <c r="D644" i="57"/>
  <c r="C776" i="57"/>
  <c r="D776" i="57"/>
  <c r="K721" i="57"/>
  <c r="W731" i="57"/>
  <c r="X731" i="57" s="1"/>
  <c r="S680" i="57"/>
  <c r="W685" i="57"/>
  <c r="S681" i="57"/>
  <c r="T681" i="57" s="1"/>
  <c r="S683" i="57"/>
  <c r="W677" i="57"/>
  <c r="S679" i="57"/>
  <c r="T679" i="57" s="1"/>
  <c r="S687" i="57"/>
  <c r="T687" i="57" s="1"/>
  <c r="W730" i="57"/>
  <c r="X730" i="57" s="1"/>
  <c r="S756" i="57"/>
  <c r="T756" i="57" s="1"/>
  <c r="S727" i="57"/>
  <c r="S764" i="57"/>
  <c r="T764" i="57" s="1"/>
  <c r="W756" i="57"/>
  <c r="X756" i="57" s="1"/>
  <c r="W757" i="57"/>
  <c r="S758" i="57"/>
  <c r="T758" i="57" s="1"/>
  <c r="S728" i="57"/>
  <c r="T728" i="57" s="1"/>
  <c r="G722" i="57"/>
  <c r="S757" i="57"/>
  <c r="W727" i="57"/>
  <c r="S726" i="57"/>
  <c r="T726" i="57" s="1"/>
  <c r="S723" i="57"/>
  <c r="T723" i="57" s="1"/>
  <c r="C743" i="57"/>
  <c r="D677" i="57"/>
  <c r="Q677" i="57" s="1"/>
  <c r="O754" i="57"/>
  <c r="P754" i="57" s="1"/>
  <c r="W755" i="57"/>
  <c r="X755" i="57" s="1"/>
  <c r="O755" i="57"/>
  <c r="P755" i="57" s="1"/>
  <c r="W722" i="57"/>
  <c r="X722" i="57" s="1"/>
  <c r="W724" i="57"/>
  <c r="S725" i="57"/>
  <c r="T725" i="57" s="1"/>
  <c r="W760" i="57"/>
  <c r="S755" i="57"/>
  <c r="T755" i="57" s="1"/>
  <c r="W764" i="57"/>
  <c r="X764" i="57" s="1"/>
  <c r="K754" i="57"/>
  <c r="K725" i="57"/>
  <c r="L725" i="57" s="1"/>
  <c r="S730" i="57"/>
  <c r="T730" i="57" s="1"/>
  <c r="W726" i="57"/>
  <c r="X726" i="57" s="1"/>
  <c r="W725" i="57"/>
  <c r="X725" i="57" s="1"/>
  <c r="W759" i="57"/>
  <c r="X759" i="57" s="1"/>
  <c r="W761" i="57"/>
  <c r="X761" i="57" s="1"/>
  <c r="S759" i="57"/>
  <c r="T759" i="57" s="1"/>
  <c r="W758" i="57"/>
  <c r="X758" i="57" s="1"/>
  <c r="W763" i="57"/>
  <c r="X763" i="57" s="1"/>
  <c r="S722" i="57"/>
  <c r="T722" i="57" s="1"/>
  <c r="W729" i="57"/>
  <c r="W721" i="57"/>
  <c r="W728" i="57"/>
  <c r="X728" i="57" s="1"/>
  <c r="C666" i="57"/>
  <c r="S761" i="57"/>
  <c r="T761" i="57" s="1"/>
  <c r="S763" i="57"/>
  <c r="T763" i="57" s="1"/>
  <c r="S760" i="57"/>
  <c r="W754" i="57"/>
  <c r="K758" i="57"/>
  <c r="L758" i="57" s="1"/>
  <c r="K757" i="57"/>
  <c r="L757" i="57" s="1"/>
  <c r="S729" i="57"/>
  <c r="S724" i="57"/>
  <c r="O722" i="57"/>
  <c r="P722" i="57" s="1"/>
  <c r="O721" i="57"/>
  <c r="P721" i="57" s="1"/>
  <c r="K724" i="57"/>
  <c r="L724" i="57" s="1"/>
  <c r="W723" i="57"/>
  <c r="X723" i="57" s="1"/>
  <c r="S731" i="57"/>
  <c r="T731" i="57" s="1"/>
  <c r="C721" i="57"/>
  <c r="C710" i="57"/>
  <c r="D666" i="59"/>
  <c r="C666" i="59"/>
  <c r="S676" i="59"/>
  <c r="T676" i="59" s="1"/>
  <c r="S667" i="59"/>
  <c r="T667" i="59" s="1"/>
  <c r="O666" i="59"/>
  <c r="P666" i="59" s="1"/>
  <c r="W670" i="59"/>
  <c r="X670" i="59" s="1"/>
  <c r="S674" i="59"/>
  <c r="K670" i="59"/>
  <c r="L670" i="59" s="1"/>
  <c r="W672" i="59"/>
  <c r="S673" i="59"/>
  <c r="T673" i="59" s="1"/>
  <c r="W673" i="59"/>
  <c r="X673" i="59" s="1"/>
  <c r="W668" i="59"/>
  <c r="X668" i="59" s="1"/>
  <c r="G667" i="59"/>
  <c r="K667" i="59"/>
  <c r="W675" i="59"/>
  <c r="X675" i="59" s="1"/>
  <c r="W666" i="59"/>
  <c r="S671" i="59"/>
  <c r="T671" i="59" s="1"/>
  <c r="S675" i="59"/>
  <c r="T675" i="59" s="1"/>
  <c r="K666" i="59"/>
  <c r="W671" i="59"/>
  <c r="X671" i="59" s="1"/>
  <c r="S668" i="59"/>
  <c r="T668" i="59" s="1"/>
  <c r="W669" i="59"/>
  <c r="W676" i="59"/>
  <c r="X676" i="59" s="1"/>
  <c r="S669" i="59"/>
  <c r="S670" i="59"/>
  <c r="T670" i="59" s="1"/>
  <c r="W667" i="59"/>
  <c r="X667" i="59" s="1"/>
  <c r="O667" i="59"/>
  <c r="P667" i="59" s="1"/>
  <c r="S672" i="59"/>
  <c r="X720" i="60"/>
  <c r="X713" i="60"/>
  <c r="O711" i="60"/>
  <c r="P711" i="60" s="1"/>
  <c r="T712" i="60"/>
  <c r="S715" i="60"/>
  <c r="S712" i="60"/>
  <c r="W714" i="60"/>
  <c r="W712" i="60"/>
  <c r="T716" i="60"/>
  <c r="D710" i="60"/>
  <c r="X712" i="60"/>
  <c r="X717" i="60"/>
  <c r="S713" i="60"/>
  <c r="K711" i="60"/>
  <c r="T720" i="60"/>
  <c r="T718" i="60"/>
  <c r="W710" i="60"/>
  <c r="X715" i="60"/>
  <c r="L710" i="60"/>
  <c r="L711" i="60"/>
  <c r="T713" i="60"/>
  <c r="W716" i="60"/>
  <c r="T719" i="60"/>
  <c r="S716" i="60"/>
  <c r="S720" i="60"/>
  <c r="K714" i="60"/>
  <c r="T711" i="60"/>
  <c r="W719" i="60"/>
  <c r="W711" i="60"/>
  <c r="X719" i="60"/>
  <c r="S711" i="60"/>
  <c r="S714" i="60"/>
  <c r="T717" i="60"/>
  <c r="W720" i="60"/>
  <c r="X716" i="60"/>
  <c r="C710" i="60"/>
  <c r="W717" i="60"/>
  <c r="W713" i="60"/>
  <c r="W715" i="60"/>
  <c r="L713" i="60"/>
  <c r="X711" i="60"/>
  <c r="X714" i="60"/>
  <c r="S718" i="60"/>
  <c r="O710" i="60"/>
  <c r="P710" i="60" s="1"/>
  <c r="T714" i="60"/>
  <c r="T715" i="60"/>
  <c r="L714" i="60"/>
  <c r="S719" i="60"/>
  <c r="S717" i="60"/>
  <c r="W718" i="60"/>
  <c r="K710" i="60"/>
  <c r="K713" i="60"/>
  <c r="X718" i="60"/>
  <c r="G711" i="60"/>
  <c r="K746" i="59"/>
  <c r="L746" i="59" s="1"/>
  <c r="W743" i="59"/>
  <c r="S745" i="59"/>
  <c r="T745" i="59" s="1"/>
  <c r="W744" i="59"/>
  <c r="X744" i="59" s="1"/>
  <c r="O744" i="59"/>
  <c r="P744" i="59" s="1"/>
  <c r="O743" i="59"/>
  <c r="P743" i="59" s="1"/>
  <c r="S753" i="59"/>
  <c r="T753" i="59" s="1"/>
  <c r="D743" i="59"/>
  <c r="S747" i="59"/>
  <c r="T747" i="59" s="1"/>
  <c r="K744" i="59"/>
  <c r="C743" i="59"/>
  <c r="W747" i="59"/>
  <c r="X747" i="59" s="1"/>
  <c r="W745" i="59"/>
  <c r="X745" i="59" s="1"/>
  <c r="S746" i="59"/>
  <c r="S744" i="59"/>
  <c r="T744" i="59" s="1"/>
  <c r="K747" i="59"/>
  <c r="L747" i="59" s="1"/>
  <c r="W748" i="59"/>
  <c r="X748" i="59" s="1"/>
  <c r="W749" i="59"/>
  <c r="W752" i="59"/>
  <c r="X752" i="59" s="1"/>
  <c r="S751" i="59"/>
  <c r="W750" i="59"/>
  <c r="X750" i="59" s="1"/>
  <c r="W753" i="59"/>
  <c r="X753" i="59" s="1"/>
  <c r="S748" i="59"/>
  <c r="T748" i="59" s="1"/>
  <c r="S752" i="59"/>
  <c r="T752" i="59" s="1"/>
  <c r="S750" i="59"/>
  <c r="T750" i="59" s="1"/>
  <c r="S749" i="59"/>
  <c r="X687" i="60"/>
  <c r="O678" i="60"/>
  <c r="P678" i="60" s="1"/>
  <c r="W680" i="60"/>
  <c r="T685" i="60"/>
  <c r="O677" i="60"/>
  <c r="P677" i="60" s="1"/>
  <c r="W684" i="60"/>
  <c r="W677" i="60"/>
  <c r="T679" i="60"/>
  <c r="S682" i="60"/>
  <c r="L677" i="60"/>
  <c r="L678" i="60"/>
  <c r="T680" i="60"/>
  <c r="W683" i="60"/>
  <c r="W687" i="60"/>
  <c r="X685" i="60"/>
  <c r="L681" i="60"/>
  <c r="L680" i="60"/>
  <c r="X679" i="60"/>
  <c r="S679" i="60"/>
  <c r="W686" i="60"/>
  <c r="S680" i="60"/>
  <c r="X682" i="60"/>
  <c r="S686" i="60"/>
  <c r="S678" i="60"/>
  <c r="S681" i="60"/>
  <c r="T684" i="60"/>
  <c r="S683" i="60"/>
  <c r="S687" i="60"/>
  <c r="T678" i="60"/>
  <c r="T687" i="60"/>
  <c r="T681" i="60"/>
  <c r="K681" i="60"/>
  <c r="K678" i="60"/>
  <c r="X680" i="60"/>
  <c r="S684" i="60"/>
  <c r="X686" i="60"/>
  <c r="X677" i="60"/>
  <c r="X678" i="60"/>
  <c r="X681" i="60"/>
  <c r="W685" i="60"/>
  <c r="X683" i="60"/>
  <c r="W678" i="60"/>
  <c r="K680" i="60"/>
  <c r="W682" i="60"/>
  <c r="K677" i="60"/>
  <c r="G678" i="60"/>
  <c r="W681" i="60"/>
  <c r="T682" i="60"/>
  <c r="C677" i="60"/>
  <c r="S685" i="60"/>
  <c r="W679" i="60"/>
  <c r="H678" i="60"/>
  <c r="G677" i="60"/>
  <c r="T683" i="60"/>
  <c r="D677" i="60"/>
  <c r="X684" i="60"/>
  <c r="T686" i="60"/>
  <c r="S797" i="57"/>
  <c r="T797" i="57" s="1"/>
  <c r="S788" i="57"/>
  <c r="T788" i="57" s="1"/>
  <c r="S792" i="57"/>
  <c r="T792" i="57" s="1"/>
  <c r="K791" i="57"/>
  <c r="L791" i="57" s="1"/>
  <c r="D787" i="57"/>
  <c r="S790" i="57"/>
  <c r="S791" i="57"/>
  <c r="T791" i="57" s="1"/>
  <c r="O787" i="57"/>
  <c r="P787" i="57" s="1"/>
  <c r="W796" i="57"/>
  <c r="X796" i="57" s="1"/>
  <c r="S789" i="57"/>
  <c r="T789" i="57" s="1"/>
  <c r="W787" i="57"/>
  <c r="W791" i="57"/>
  <c r="X791" i="57" s="1"/>
  <c r="W792" i="57"/>
  <c r="X792" i="57" s="1"/>
  <c r="W793" i="57"/>
  <c r="O788" i="57"/>
  <c r="P788" i="57" s="1"/>
  <c r="W790" i="57"/>
  <c r="W788" i="57"/>
  <c r="X788" i="57" s="1"/>
  <c r="S794" i="57"/>
  <c r="T794" i="57" s="1"/>
  <c r="S796" i="57"/>
  <c r="T796" i="57" s="1"/>
  <c r="W794" i="57"/>
  <c r="X794" i="57" s="1"/>
  <c r="S793" i="57"/>
  <c r="K790" i="57"/>
  <c r="L790" i="57" s="1"/>
  <c r="C787" i="57"/>
  <c r="W797" i="57"/>
  <c r="X797" i="57" s="1"/>
  <c r="G788" i="57"/>
  <c r="W789" i="57"/>
  <c r="X789" i="57" s="1"/>
  <c r="X698" i="60"/>
  <c r="X690" i="60"/>
  <c r="C688" i="60"/>
  <c r="S693" i="60"/>
  <c r="O688" i="60"/>
  <c r="P688" i="60" s="1"/>
  <c r="S697" i="60"/>
  <c r="W688" i="60"/>
  <c r="L688" i="60"/>
  <c r="T698" i="60"/>
  <c r="O689" i="60"/>
  <c r="P689" i="60" s="1"/>
  <c r="H689" i="60"/>
  <c r="T689" i="60"/>
  <c r="W692" i="60"/>
  <c r="T694" i="60"/>
  <c r="S695" i="60"/>
  <c r="G689" i="60"/>
  <c r="X693" i="60"/>
  <c r="S689" i="60"/>
  <c r="S692" i="60"/>
  <c r="T695" i="60"/>
  <c r="W698" i="60"/>
  <c r="S696" i="60"/>
  <c r="W691" i="60"/>
  <c r="T690" i="60"/>
  <c r="K689" i="60"/>
  <c r="W695" i="60"/>
  <c r="X695" i="60"/>
  <c r="T696" i="60"/>
  <c r="D688" i="60"/>
  <c r="W689" i="60"/>
  <c r="X697" i="60"/>
  <c r="X689" i="60"/>
  <c r="X692" i="60"/>
  <c r="X696" i="60"/>
  <c r="S690" i="60"/>
  <c r="W690" i="60"/>
  <c r="L692" i="60"/>
  <c r="S691" i="60"/>
  <c r="W697" i="60"/>
  <c r="K688" i="60"/>
  <c r="L691" i="60"/>
  <c r="K691" i="60"/>
  <c r="T693" i="60"/>
  <c r="W696" i="60"/>
  <c r="S694" i="60"/>
  <c r="S698" i="60"/>
  <c r="K692" i="60"/>
  <c r="T692" i="60"/>
  <c r="L689" i="60"/>
  <c r="X694" i="60"/>
  <c r="T691" i="60"/>
  <c r="G688" i="60"/>
  <c r="T697" i="60"/>
  <c r="X691" i="60"/>
  <c r="X688" i="60"/>
  <c r="W693" i="60"/>
  <c r="W694" i="60"/>
  <c r="C732" i="59"/>
  <c r="S742" i="59"/>
  <c r="T742" i="59" s="1"/>
  <c r="S734" i="59"/>
  <c r="T734" i="59" s="1"/>
  <c r="W733" i="59"/>
  <c r="X733" i="59" s="1"/>
  <c r="D732" i="59"/>
  <c r="W732" i="59"/>
  <c r="W735" i="59"/>
  <c r="G733" i="59"/>
  <c r="O733" i="59"/>
  <c r="P733" i="59" s="1"/>
  <c r="W736" i="59"/>
  <c r="X736" i="59" s="1"/>
  <c r="K735" i="59"/>
  <c r="L735" i="59" s="1"/>
  <c r="S733" i="59"/>
  <c r="T733" i="59" s="1"/>
  <c r="S740" i="59"/>
  <c r="S736" i="59"/>
  <c r="T736" i="59" s="1"/>
  <c r="W734" i="59"/>
  <c r="X734" i="59" s="1"/>
  <c r="W738" i="59"/>
  <c r="W741" i="59"/>
  <c r="X741" i="59" s="1"/>
  <c r="S737" i="59"/>
  <c r="T737" i="59" s="1"/>
  <c r="S741" i="59"/>
  <c r="T741" i="59" s="1"/>
  <c r="K733" i="59"/>
  <c r="W737" i="59"/>
  <c r="X737" i="59" s="1"/>
  <c r="W739" i="59"/>
  <c r="X739" i="59" s="1"/>
  <c r="O732" i="59"/>
  <c r="P732" i="59" s="1"/>
  <c r="S735" i="59"/>
  <c r="W742" i="59"/>
  <c r="X742" i="59" s="1"/>
  <c r="S738" i="59"/>
  <c r="K736" i="59"/>
  <c r="L736" i="59" s="1"/>
  <c r="S739" i="59"/>
  <c r="T739" i="59" s="1"/>
  <c r="T775" i="60"/>
  <c r="T773" i="60"/>
  <c r="T772" i="60"/>
  <c r="T771" i="60"/>
  <c r="T770" i="60"/>
  <c r="X769" i="60"/>
  <c r="S769" i="60"/>
  <c r="S768" i="60"/>
  <c r="X767" i="60"/>
  <c r="S767" i="60"/>
  <c r="O766" i="60"/>
  <c r="P766" i="60" s="1"/>
  <c r="G766" i="60"/>
  <c r="H765" i="60"/>
  <c r="C765" i="60"/>
  <c r="S774" i="60"/>
  <c r="X772" i="60"/>
  <c r="S772" i="60"/>
  <c r="X770" i="60"/>
  <c r="S770" i="60"/>
  <c r="W769" i="60"/>
  <c r="X768" i="60"/>
  <c r="L768" i="60"/>
  <c r="W767" i="60"/>
  <c r="T766" i="60"/>
  <c r="L766" i="60"/>
  <c r="X765" i="60"/>
  <c r="O765" i="60"/>
  <c r="P765" i="60" s="1"/>
  <c r="G765" i="60"/>
  <c r="X774" i="60"/>
  <c r="W773" i="60"/>
  <c r="W771" i="60"/>
  <c r="X775" i="60"/>
  <c r="L769" i="60"/>
  <c r="T768" i="60"/>
  <c r="T767" i="60"/>
  <c r="H766" i="60"/>
  <c r="X766" i="60"/>
  <c r="W775" i="60"/>
  <c r="W774" i="60"/>
  <c r="W772" i="60"/>
  <c r="W770" i="60"/>
  <c r="K769" i="60"/>
  <c r="K768" i="60"/>
  <c r="S766" i="60"/>
  <c r="W765" i="60"/>
  <c r="T769" i="60"/>
  <c r="D765" i="60"/>
  <c r="K766" i="60"/>
  <c r="W766" i="60"/>
  <c r="W768" i="60"/>
  <c r="X771" i="60"/>
  <c r="T774" i="60"/>
  <c r="S773" i="60"/>
  <c r="X773" i="60"/>
  <c r="S775" i="60"/>
  <c r="S771" i="60"/>
  <c r="C754" i="57"/>
  <c r="X676" i="60"/>
  <c r="K670" i="60"/>
  <c r="H667" i="60"/>
  <c r="T674" i="60"/>
  <c r="W668" i="60"/>
  <c r="S669" i="60"/>
  <c r="X671" i="60"/>
  <c r="L666" i="60"/>
  <c r="L667" i="60"/>
  <c r="T669" i="60"/>
  <c r="W672" i="60"/>
  <c r="T675" i="60"/>
  <c r="S674" i="60"/>
  <c r="L670" i="60"/>
  <c r="W669" i="60"/>
  <c r="C666" i="60"/>
  <c r="K666" i="60"/>
  <c r="K667" i="60"/>
  <c r="X669" i="60"/>
  <c r="S675" i="60"/>
  <c r="S667" i="60"/>
  <c r="S670" i="60"/>
  <c r="T673" i="60"/>
  <c r="W676" i="60"/>
  <c r="X674" i="60"/>
  <c r="S668" i="60"/>
  <c r="T667" i="60"/>
  <c r="W671" i="60"/>
  <c r="W675" i="60"/>
  <c r="O666" i="60"/>
  <c r="P666" i="60" s="1"/>
  <c r="T676" i="60"/>
  <c r="X668" i="60"/>
  <c r="W667" i="60"/>
  <c r="W670" i="60"/>
  <c r="S673" i="60"/>
  <c r="X675" i="60"/>
  <c r="X666" i="60"/>
  <c r="X667" i="60"/>
  <c r="X670" i="60"/>
  <c r="S672" i="60"/>
  <c r="S676" i="60"/>
  <c r="D666" i="60"/>
  <c r="S671" i="60"/>
  <c r="G666" i="60"/>
  <c r="W674" i="60"/>
  <c r="T668" i="60"/>
  <c r="T671" i="60"/>
  <c r="W673" i="60"/>
  <c r="T672" i="60"/>
  <c r="X673" i="60"/>
  <c r="G667" i="60"/>
  <c r="X672" i="60"/>
  <c r="O667" i="60"/>
  <c r="P667" i="60" s="1"/>
  <c r="T670" i="60"/>
  <c r="W666" i="60"/>
  <c r="U801" i="57"/>
  <c r="X801" i="57" s="1"/>
  <c r="Q798" i="57"/>
  <c r="E798" i="57"/>
  <c r="U804" i="57"/>
  <c r="X804" i="57" s="1"/>
  <c r="I798" i="57"/>
  <c r="U806" i="57"/>
  <c r="Q801" i="57"/>
  <c r="U798" i="57"/>
  <c r="X798" i="57" s="1"/>
  <c r="E799" i="57"/>
  <c r="Q806" i="57"/>
  <c r="I799" i="57"/>
  <c r="L799" i="57" s="1"/>
  <c r="S746" i="60"/>
  <c r="T749" i="60"/>
  <c r="X753" i="60"/>
  <c r="K747" i="60"/>
  <c r="T744" i="60"/>
  <c r="L744" i="60"/>
  <c r="W743" i="60"/>
  <c r="X750" i="60"/>
  <c r="W745" i="60"/>
  <c r="X744" i="60"/>
  <c r="S744" i="60"/>
  <c r="K744" i="60"/>
  <c r="G743" i="60"/>
  <c r="T747" i="60"/>
  <c r="L746" i="60"/>
  <c r="O744" i="60"/>
  <c r="P744" i="60" s="1"/>
  <c r="L743" i="60"/>
  <c r="S748" i="60"/>
  <c r="W744" i="60"/>
  <c r="G744" i="60"/>
  <c r="C743" i="60"/>
  <c r="X743" i="60"/>
  <c r="X746" i="60"/>
  <c r="X752" i="60"/>
  <c r="T745" i="60"/>
  <c r="O743" i="60"/>
  <c r="P743" i="60" s="1"/>
  <c r="W750" i="60"/>
  <c r="K743" i="60"/>
  <c r="X745" i="60"/>
  <c r="S752" i="60"/>
  <c r="W752" i="60"/>
  <c r="X747" i="60"/>
  <c r="S751" i="60"/>
  <c r="W746" i="60"/>
  <c r="T753" i="60"/>
  <c r="W748" i="60"/>
  <c r="K746" i="60"/>
  <c r="T748" i="60"/>
  <c r="W751" i="60"/>
  <c r="X751" i="60"/>
  <c r="H744" i="60"/>
  <c r="L747" i="60"/>
  <c r="S750" i="60"/>
  <c r="T746" i="60"/>
  <c r="W749" i="60"/>
  <c r="T752" i="60"/>
  <c r="S749" i="60"/>
  <c r="S753" i="60"/>
  <c r="W747" i="60"/>
  <c r="T751" i="60"/>
  <c r="S747" i="60"/>
  <c r="T750" i="60"/>
  <c r="X748" i="60"/>
  <c r="D743" i="60"/>
  <c r="W753" i="60"/>
  <c r="S745" i="60"/>
  <c r="X749" i="60"/>
  <c r="K769" i="59"/>
  <c r="L769" i="59" s="1"/>
  <c r="S767" i="59"/>
  <c r="T767" i="59" s="1"/>
  <c r="W766" i="59"/>
  <c r="X766" i="59" s="1"/>
  <c r="O766" i="59"/>
  <c r="P766" i="59" s="1"/>
  <c r="S775" i="59"/>
  <c r="T775" i="59" s="1"/>
  <c r="W774" i="59"/>
  <c r="X774" i="59" s="1"/>
  <c r="S773" i="59"/>
  <c r="W772" i="59"/>
  <c r="X772" i="59" s="1"/>
  <c r="S771" i="59"/>
  <c r="W770" i="59"/>
  <c r="X770" i="59" s="1"/>
  <c r="S768" i="59"/>
  <c r="K766" i="59"/>
  <c r="W765" i="59"/>
  <c r="O765" i="59"/>
  <c r="P765" i="59" s="1"/>
  <c r="W775" i="59"/>
  <c r="X775" i="59" s="1"/>
  <c r="S770" i="59"/>
  <c r="T770" i="59" s="1"/>
  <c r="W769" i="59"/>
  <c r="X769" i="59" s="1"/>
  <c r="K768" i="59"/>
  <c r="L768" i="59" s="1"/>
  <c r="G766" i="59"/>
  <c r="C765" i="59"/>
  <c r="W768" i="59"/>
  <c r="S766" i="59"/>
  <c r="T766" i="59" s="1"/>
  <c r="S774" i="59"/>
  <c r="T774" i="59" s="1"/>
  <c r="S769" i="59"/>
  <c r="T769" i="59" s="1"/>
  <c r="S772" i="59"/>
  <c r="T772" i="59" s="1"/>
  <c r="W771" i="59"/>
  <c r="D765" i="59"/>
  <c r="W767" i="59"/>
  <c r="X767" i="59" s="1"/>
  <c r="G809" i="60"/>
  <c r="X815" i="60"/>
  <c r="X816" i="60"/>
  <c r="W818" i="60"/>
  <c r="S811" i="60"/>
  <c r="W813" i="60"/>
  <c r="W809" i="60"/>
  <c r="S816" i="60"/>
  <c r="T811" i="60"/>
  <c r="S812" i="60"/>
  <c r="W811" i="60"/>
  <c r="W819" i="60"/>
  <c r="W815" i="60"/>
  <c r="T812" i="60"/>
  <c r="L810" i="60"/>
  <c r="T819" i="60"/>
  <c r="W816" i="60"/>
  <c r="W814" i="60"/>
  <c r="K810" i="60"/>
  <c r="S819" i="60"/>
  <c r="X812" i="60"/>
  <c r="X819" i="60"/>
  <c r="S815" i="60"/>
  <c r="W810" i="60"/>
  <c r="T813" i="60"/>
  <c r="T810" i="60"/>
  <c r="O809" i="60"/>
  <c r="P809" i="60" s="1"/>
  <c r="T818" i="60"/>
  <c r="T814" i="60"/>
  <c r="K812" i="60"/>
  <c r="G810" i="60"/>
  <c r="X814" i="60"/>
  <c r="X818" i="60"/>
  <c r="T817" i="60"/>
  <c r="S818" i="60"/>
  <c r="S814" i="60"/>
  <c r="D809" i="60"/>
  <c r="K813" i="60"/>
  <c r="O810" i="60"/>
  <c r="P810" i="60" s="1"/>
  <c r="W817" i="60"/>
  <c r="X813" i="60"/>
  <c r="X810" i="60"/>
  <c r="X809" i="60"/>
  <c r="X817" i="60"/>
  <c r="S817" i="60"/>
  <c r="L812" i="60"/>
  <c r="S813" i="60"/>
  <c r="T816" i="60"/>
  <c r="W812" i="60"/>
  <c r="H810" i="60"/>
  <c r="S810" i="60"/>
  <c r="X811" i="60"/>
  <c r="T815" i="60"/>
  <c r="L813" i="60"/>
  <c r="C809" i="60"/>
  <c r="C688" i="59"/>
  <c r="D688" i="59"/>
  <c r="S698" i="59"/>
  <c r="T698" i="59" s="1"/>
  <c r="S689" i="59"/>
  <c r="T689" i="59" s="1"/>
  <c r="G689" i="59"/>
  <c r="S691" i="59"/>
  <c r="K692" i="59"/>
  <c r="L692" i="59" s="1"/>
  <c r="K689" i="59"/>
  <c r="W692" i="59"/>
  <c r="X692" i="59" s="1"/>
  <c r="S692" i="59"/>
  <c r="T692" i="59" s="1"/>
  <c r="S693" i="59"/>
  <c r="T693" i="59" s="1"/>
  <c r="S697" i="59"/>
  <c r="T697" i="59" s="1"/>
  <c r="W691" i="59"/>
  <c r="W695" i="59"/>
  <c r="X695" i="59" s="1"/>
  <c r="O688" i="59"/>
  <c r="P688" i="59" s="1"/>
  <c r="K688" i="59"/>
  <c r="W689" i="59"/>
  <c r="X689" i="59" s="1"/>
  <c r="W693" i="59"/>
  <c r="X693" i="59" s="1"/>
  <c r="W696" i="59"/>
  <c r="S694" i="59"/>
  <c r="W688" i="59"/>
  <c r="W698" i="59"/>
  <c r="X698" i="59" s="1"/>
  <c r="O689" i="59"/>
  <c r="P689" i="59" s="1"/>
  <c r="W690" i="59"/>
  <c r="X690" i="59" s="1"/>
  <c r="S690" i="59"/>
  <c r="T690" i="59" s="1"/>
  <c r="W694" i="59"/>
  <c r="W697" i="59"/>
  <c r="X697" i="59" s="1"/>
  <c r="S695" i="59"/>
  <c r="T695" i="59" s="1"/>
  <c r="S696" i="59"/>
  <c r="D699" i="59"/>
  <c r="S709" i="59"/>
  <c r="T709" i="59" s="1"/>
  <c r="C699" i="59"/>
  <c r="G700" i="59"/>
  <c r="W701" i="59"/>
  <c r="X701" i="59" s="1"/>
  <c r="S703" i="59"/>
  <c r="T703" i="59" s="1"/>
  <c r="K703" i="59"/>
  <c r="L703" i="59" s="1"/>
  <c r="K699" i="59"/>
  <c r="O699" i="59"/>
  <c r="P699" i="59" s="1"/>
  <c r="O700" i="59"/>
  <c r="P700" i="59" s="1"/>
  <c r="W704" i="59"/>
  <c r="X704" i="59" s="1"/>
  <c r="S700" i="59"/>
  <c r="T700" i="59" s="1"/>
  <c r="W700" i="59"/>
  <c r="X700" i="59" s="1"/>
  <c r="S701" i="59"/>
  <c r="T701" i="59" s="1"/>
  <c r="S704" i="59"/>
  <c r="T704" i="59" s="1"/>
  <c r="S708" i="59"/>
  <c r="T708" i="59" s="1"/>
  <c r="W703" i="59"/>
  <c r="X703" i="59" s="1"/>
  <c r="W705" i="59"/>
  <c r="S705" i="59"/>
  <c r="K700" i="59"/>
  <c r="W699" i="59"/>
  <c r="W709" i="59"/>
  <c r="X709" i="59" s="1"/>
  <c r="S707" i="59"/>
  <c r="S702" i="59"/>
  <c r="W706" i="59"/>
  <c r="X706" i="59" s="1"/>
  <c r="W708" i="59"/>
  <c r="X708" i="59" s="1"/>
  <c r="S706" i="59"/>
  <c r="T706" i="59" s="1"/>
  <c r="S764" i="59"/>
  <c r="T764" i="59" s="1"/>
  <c r="W763" i="59"/>
  <c r="X763" i="59" s="1"/>
  <c r="W761" i="59"/>
  <c r="X761" i="59" s="1"/>
  <c r="S760" i="59"/>
  <c r="W759" i="59"/>
  <c r="X759" i="59" s="1"/>
  <c r="S758" i="59"/>
  <c r="T758" i="59" s="1"/>
  <c r="W756" i="59"/>
  <c r="X756" i="59" s="1"/>
  <c r="S755" i="59"/>
  <c r="T755" i="59" s="1"/>
  <c r="D754" i="59"/>
  <c r="W764" i="59"/>
  <c r="X764" i="59" s="1"/>
  <c r="W757" i="59"/>
  <c r="K757" i="59"/>
  <c r="L757" i="59" s="1"/>
  <c r="C754" i="59"/>
  <c r="S761" i="59"/>
  <c r="T761" i="59" s="1"/>
  <c r="W760" i="59"/>
  <c r="K758" i="59"/>
  <c r="L758" i="59" s="1"/>
  <c r="S757" i="59"/>
  <c r="S756" i="59"/>
  <c r="T756" i="59" s="1"/>
  <c r="W755" i="59"/>
  <c r="X755" i="59" s="1"/>
  <c r="K755" i="59"/>
  <c r="K754" i="59"/>
  <c r="W754" i="59"/>
  <c r="S759" i="59"/>
  <c r="T759" i="59" s="1"/>
  <c r="W758" i="59"/>
  <c r="X758" i="59" s="1"/>
  <c r="O754" i="59"/>
  <c r="P754" i="59" s="1"/>
  <c r="S763" i="59"/>
  <c r="T763" i="59" s="1"/>
  <c r="O755" i="59"/>
  <c r="P755" i="59" s="1"/>
  <c r="D721" i="59"/>
  <c r="S731" i="59"/>
  <c r="T731" i="59" s="1"/>
  <c r="C721" i="59"/>
  <c r="K724" i="59"/>
  <c r="L724" i="59" s="1"/>
  <c r="O721" i="59"/>
  <c r="P721" i="59" s="1"/>
  <c r="S722" i="59"/>
  <c r="T722" i="59" s="1"/>
  <c r="W722" i="59"/>
  <c r="X722" i="59" s="1"/>
  <c r="W723" i="59"/>
  <c r="X723" i="59" s="1"/>
  <c r="W724" i="59"/>
  <c r="W728" i="59"/>
  <c r="X728" i="59" s="1"/>
  <c r="W727" i="59"/>
  <c r="W730" i="59"/>
  <c r="X730" i="59" s="1"/>
  <c r="S727" i="59"/>
  <c r="O722" i="59"/>
  <c r="P722" i="59" s="1"/>
  <c r="S724" i="59"/>
  <c r="S725" i="59"/>
  <c r="T725" i="59" s="1"/>
  <c r="K722" i="59"/>
  <c r="K721" i="59"/>
  <c r="K725" i="59"/>
  <c r="L725" i="59" s="1"/>
  <c r="W731" i="59"/>
  <c r="X731" i="59" s="1"/>
  <c r="S728" i="59"/>
  <c r="T728" i="59" s="1"/>
  <c r="S730" i="59"/>
  <c r="T730" i="59" s="1"/>
  <c r="G722" i="59"/>
  <c r="S729" i="59"/>
  <c r="W726" i="59"/>
  <c r="X726" i="59" s="1"/>
  <c r="W725" i="59"/>
  <c r="X725" i="59" s="1"/>
  <c r="S723" i="59"/>
  <c r="T723" i="59" s="1"/>
  <c r="W721" i="59"/>
  <c r="W729" i="59"/>
  <c r="S726" i="59"/>
  <c r="T726" i="59" s="1"/>
  <c r="S775" i="57"/>
  <c r="T775" i="57" s="1"/>
  <c r="O766" i="57"/>
  <c r="P766" i="57" s="1"/>
  <c r="C765" i="57"/>
  <c r="W770" i="57"/>
  <c r="X770" i="57" s="1"/>
  <c r="W766" i="57"/>
  <c r="X766" i="57" s="1"/>
  <c r="S772" i="57"/>
  <c r="T772" i="57" s="1"/>
  <c r="K768" i="57"/>
  <c r="L768" i="57" s="1"/>
  <c r="W775" i="57"/>
  <c r="X775" i="57" s="1"/>
  <c r="S771" i="57"/>
  <c r="W769" i="57"/>
  <c r="X769" i="57" s="1"/>
  <c r="W771" i="57"/>
  <c r="G766" i="57"/>
  <c r="K769" i="57"/>
  <c r="L769" i="57" s="1"/>
  <c r="O765" i="57"/>
  <c r="P765" i="57" s="1"/>
  <c r="W772" i="57"/>
  <c r="X772" i="57" s="1"/>
  <c r="S768" i="57"/>
  <c r="S774" i="57"/>
  <c r="T774" i="57" s="1"/>
  <c r="S769" i="57"/>
  <c r="T769" i="57" s="1"/>
  <c r="S767" i="57"/>
  <c r="T767" i="57" s="1"/>
  <c r="W765" i="57"/>
  <c r="W774" i="57"/>
  <c r="X774" i="57" s="1"/>
  <c r="S770" i="57"/>
  <c r="T770" i="57" s="1"/>
  <c r="S773" i="57"/>
  <c r="W768" i="57"/>
  <c r="D765" i="57"/>
  <c r="W767" i="57"/>
  <c r="X767" i="57" s="1"/>
  <c r="S766" i="57"/>
  <c r="T766" i="57" s="1"/>
  <c r="C655" i="59"/>
  <c r="D655" i="59"/>
  <c r="S665" i="59"/>
  <c r="T665" i="59" s="1"/>
  <c r="S659" i="59"/>
  <c r="T659" i="59" s="1"/>
  <c r="W656" i="59"/>
  <c r="X656" i="59" s="1"/>
  <c r="O655" i="59"/>
  <c r="P655" i="59" s="1"/>
  <c r="W659" i="59"/>
  <c r="X659" i="59" s="1"/>
  <c r="W664" i="59"/>
  <c r="X664" i="59" s="1"/>
  <c r="S662" i="59"/>
  <c r="T662" i="59" s="1"/>
  <c r="W660" i="59"/>
  <c r="X660" i="59" s="1"/>
  <c r="K656" i="59"/>
  <c r="S661" i="59"/>
  <c r="W657" i="59"/>
  <c r="X657" i="59" s="1"/>
  <c r="S657" i="59"/>
  <c r="T657" i="59" s="1"/>
  <c r="W655" i="59"/>
  <c r="W665" i="59"/>
  <c r="X665" i="59" s="1"/>
  <c r="K659" i="59"/>
  <c r="L659" i="59" s="1"/>
  <c r="W658" i="59"/>
  <c r="S658" i="59"/>
  <c r="W661" i="59"/>
  <c r="O656" i="59"/>
  <c r="P656" i="59" s="1"/>
  <c r="W662" i="59"/>
  <c r="X662" i="59" s="1"/>
  <c r="S660" i="59"/>
  <c r="T660" i="59" s="1"/>
  <c r="S664" i="59"/>
  <c r="T664" i="59" s="1"/>
  <c r="W797" i="59"/>
  <c r="X797" i="59" s="1"/>
  <c r="S796" i="59"/>
  <c r="T796" i="59" s="1"/>
  <c r="S794" i="59"/>
  <c r="T794" i="59" s="1"/>
  <c r="W793" i="59"/>
  <c r="S792" i="59"/>
  <c r="T792" i="59" s="1"/>
  <c r="W791" i="59"/>
  <c r="X791" i="59" s="1"/>
  <c r="K791" i="59"/>
  <c r="L791" i="59" s="1"/>
  <c r="S789" i="59"/>
  <c r="T789" i="59" s="1"/>
  <c r="W788" i="59"/>
  <c r="X788" i="59" s="1"/>
  <c r="O788" i="59"/>
  <c r="P788" i="59" s="1"/>
  <c r="D787" i="59"/>
  <c r="S790" i="59"/>
  <c r="K788" i="59"/>
  <c r="W787" i="59"/>
  <c r="O787" i="59"/>
  <c r="P787" i="59" s="1"/>
  <c r="C787" i="59"/>
  <c r="S797" i="59"/>
  <c r="T797" i="59" s="1"/>
  <c r="W796" i="59"/>
  <c r="X796" i="59" s="1"/>
  <c r="S791" i="59"/>
  <c r="T791" i="59" s="1"/>
  <c r="W790" i="59"/>
  <c r="W792" i="59"/>
  <c r="X792" i="59" s="1"/>
  <c r="W794" i="59"/>
  <c r="X794" i="59" s="1"/>
  <c r="W789" i="59"/>
  <c r="X789" i="59" s="1"/>
  <c r="S793" i="59"/>
  <c r="K790" i="59"/>
  <c r="L790" i="59" s="1"/>
  <c r="S788" i="59"/>
  <c r="T788" i="59" s="1"/>
  <c r="W786" i="57"/>
  <c r="X786" i="57" s="1"/>
  <c r="S778" i="57"/>
  <c r="T778" i="57" s="1"/>
  <c r="W785" i="57"/>
  <c r="X785" i="57" s="1"/>
  <c r="K780" i="57"/>
  <c r="L780" i="57" s="1"/>
  <c r="W780" i="57"/>
  <c r="X780" i="57" s="1"/>
  <c r="W776" i="57"/>
  <c r="W782" i="57"/>
  <c r="W777" i="57"/>
  <c r="X777" i="57" s="1"/>
  <c r="S785" i="57"/>
  <c r="T785" i="57" s="1"/>
  <c r="S782" i="57"/>
  <c r="G777" i="57"/>
  <c r="S781" i="57"/>
  <c r="T781" i="57" s="1"/>
  <c r="S777" i="57"/>
  <c r="T777" i="57" s="1"/>
  <c r="W781" i="57"/>
  <c r="X781" i="57" s="1"/>
  <c r="O776" i="57"/>
  <c r="P776" i="57" s="1"/>
  <c r="K779" i="57"/>
  <c r="L779" i="57" s="1"/>
  <c r="O777" i="57"/>
  <c r="P777" i="57" s="1"/>
  <c r="W783" i="57"/>
  <c r="X783" i="57" s="1"/>
  <c r="S783" i="57"/>
  <c r="T783" i="57" s="1"/>
  <c r="W778" i="57"/>
  <c r="X778" i="57" s="1"/>
  <c r="S786" i="57"/>
  <c r="T786" i="57" s="1"/>
  <c r="S779" i="57"/>
  <c r="S780" i="57"/>
  <c r="T780" i="57" s="1"/>
  <c r="K703" i="60"/>
  <c r="X709" i="60"/>
  <c r="T703" i="60"/>
  <c r="W699" i="60"/>
  <c r="O699" i="60"/>
  <c r="P699" i="60" s="1"/>
  <c r="K700" i="60"/>
  <c r="W700" i="60"/>
  <c r="W707" i="60"/>
  <c r="X699" i="60"/>
  <c r="K702" i="60"/>
  <c r="W706" i="60"/>
  <c r="W701" i="60"/>
  <c r="S704" i="60"/>
  <c r="S708" i="60"/>
  <c r="S702" i="60"/>
  <c r="T705" i="60"/>
  <c r="S707" i="60"/>
  <c r="T701" i="60"/>
  <c r="T709" i="60"/>
  <c r="L700" i="60"/>
  <c r="W702" i="60"/>
  <c r="W708" i="60"/>
  <c r="G700" i="60"/>
  <c r="L702" i="60"/>
  <c r="X704" i="60"/>
  <c r="X708" i="60"/>
  <c r="H700" i="60"/>
  <c r="S703" i="60"/>
  <c r="T706" i="60"/>
  <c r="X707" i="60"/>
  <c r="S700" i="60"/>
  <c r="L703" i="60"/>
  <c r="C699" i="60"/>
  <c r="O700" i="60"/>
  <c r="P700" i="60" s="1"/>
  <c r="X702" i="60"/>
  <c r="S706" i="60"/>
  <c r="W709" i="60"/>
  <c r="D699" i="60"/>
  <c r="S701" i="60"/>
  <c r="X703" i="60"/>
  <c r="T707" i="60"/>
  <c r="S705" i="60"/>
  <c r="S709" i="60"/>
  <c r="T702" i="60"/>
  <c r="X706" i="60"/>
  <c r="X701" i="60"/>
  <c r="W703" i="60"/>
  <c r="L699" i="60"/>
  <c r="X700" i="60"/>
  <c r="K699" i="60"/>
  <c r="T704" i="60"/>
  <c r="X705" i="60"/>
  <c r="W705" i="60"/>
  <c r="W704" i="60"/>
  <c r="T700" i="60"/>
  <c r="T708" i="60"/>
  <c r="C644" i="59"/>
  <c r="D644" i="59"/>
  <c r="S720" i="59"/>
  <c r="T720" i="59" s="1"/>
  <c r="D710" i="59"/>
  <c r="C710" i="59"/>
  <c r="S712" i="59"/>
  <c r="T712" i="59" s="1"/>
  <c r="K711" i="59"/>
  <c r="S713" i="59"/>
  <c r="G711" i="59"/>
  <c r="W715" i="59"/>
  <c r="X715" i="59" s="1"/>
  <c r="W716" i="59"/>
  <c r="W717" i="59"/>
  <c r="X717" i="59" s="1"/>
  <c r="S715" i="59"/>
  <c r="T715" i="59" s="1"/>
  <c r="S719" i="59"/>
  <c r="T719" i="59" s="1"/>
  <c r="K710" i="59"/>
  <c r="S714" i="59"/>
  <c r="T714" i="59" s="1"/>
  <c r="S711" i="59"/>
  <c r="T711" i="59" s="1"/>
  <c r="O710" i="59"/>
  <c r="P710" i="59" s="1"/>
  <c r="W713" i="59"/>
  <c r="W718" i="59"/>
  <c r="S716" i="59"/>
  <c r="K714" i="59"/>
  <c r="L714" i="59" s="1"/>
  <c r="O711" i="59"/>
  <c r="P711" i="59" s="1"/>
  <c r="W720" i="59"/>
  <c r="X720" i="59" s="1"/>
  <c r="S718" i="59"/>
  <c r="S717" i="59"/>
  <c r="T717" i="59" s="1"/>
  <c r="W712" i="59"/>
  <c r="X712" i="59" s="1"/>
  <c r="W714" i="59"/>
  <c r="X714" i="59" s="1"/>
  <c r="W719" i="59"/>
  <c r="X719" i="59" s="1"/>
  <c r="W711" i="59"/>
  <c r="X711" i="59" s="1"/>
  <c r="T756" i="60"/>
  <c r="O755" i="60"/>
  <c r="P755" i="60" s="1"/>
  <c r="X764" i="60"/>
  <c r="X757" i="60"/>
  <c r="X754" i="60"/>
  <c r="D754" i="60"/>
  <c r="H755" i="60"/>
  <c r="S759" i="60"/>
  <c r="C754" i="60"/>
  <c r="T755" i="60"/>
  <c r="L758" i="60"/>
  <c r="W763" i="60"/>
  <c r="T758" i="60"/>
  <c r="K757" i="60"/>
  <c r="T759" i="60"/>
  <c r="W762" i="60"/>
  <c r="S760" i="60"/>
  <c r="S764" i="60"/>
  <c r="G754" i="60"/>
  <c r="W756" i="60"/>
  <c r="T760" i="60"/>
  <c r="S756" i="60"/>
  <c r="W758" i="60"/>
  <c r="W759" i="60"/>
  <c r="G755" i="60"/>
  <c r="X759" i="60"/>
  <c r="L755" i="60"/>
  <c r="T757" i="60"/>
  <c r="W760" i="60"/>
  <c r="T763" i="60"/>
  <c r="X760" i="60"/>
  <c r="O754" i="60"/>
  <c r="P754" i="60" s="1"/>
  <c r="S757" i="60"/>
  <c r="W761" i="60"/>
  <c r="W754" i="60"/>
  <c r="X756" i="60"/>
  <c r="X761" i="60"/>
  <c r="S761" i="60"/>
  <c r="W755" i="60"/>
  <c r="X763" i="60"/>
  <c r="S755" i="60"/>
  <c r="S758" i="60"/>
  <c r="T761" i="60"/>
  <c r="W764" i="60"/>
  <c r="S762" i="60"/>
  <c r="K758" i="60"/>
  <c r="W757" i="60"/>
  <c r="S763" i="60"/>
  <c r="T764" i="60"/>
  <c r="X755" i="60"/>
  <c r="L757" i="60"/>
  <c r="X758" i="60"/>
  <c r="K755" i="60"/>
  <c r="T762" i="60"/>
  <c r="X762" i="60"/>
  <c r="S687" i="59"/>
  <c r="T687" i="59" s="1"/>
  <c r="C677" i="59"/>
  <c r="D677" i="59"/>
  <c r="W680" i="59"/>
  <c r="K681" i="59"/>
  <c r="L681" i="59" s="1"/>
  <c r="W681" i="59"/>
  <c r="X681" i="59" s="1"/>
  <c r="O677" i="59"/>
  <c r="P677" i="59" s="1"/>
  <c r="O678" i="59"/>
  <c r="P678" i="59" s="1"/>
  <c r="W677" i="59"/>
  <c r="W682" i="59"/>
  <c r="X682" i="59" s="1"/>
  <c r="W683" i="59"/>
  <c r="W686" i="59"/>
  <c r="X686" i="59" s="1"/>
  <c r="S685" i="59"/>
  <c r="K677" i="59"/>
  <c r="S684" i="59"/>
  <c r="T684" i="59" s="1"/>
  <c r="K678" i="59"/>
  <c r="G678" i="59"/>
  <c r="W678" i="59"/>
  <c r="X678" i="59" s="1"/>
  <c r="W684" i="59"/>
  <c r="X684" i="59" s="1"/>
  <c r="W687" i="59"/>
  <c r="X687" i="59" s="1"/>
  <c r="S682" i="59"/>
  <c r="T682" i="59" s="1"/>
  <c r="S686" i="59"/>
  <c r="T686" i="59" s="1"/>
  <c r="S681" i="59"/>
  <c r="T681" i="59" s="1"/>
  <c r="W685" i="59"/>
  <c r="W679" i="59"/>
  <c r="X679" i="59" s="1"/>
  <c r="S680" i="59"/>
  <c r="S678" i="59"/>
  <c r="T678" i="59" s="1"/>
  <c r="S679" i="59"/>
  <c r="T679" i="59" s="1"/>
  <c r="S683" i="59"/>
  <c r="T723" i="60"/>
  <c r="W726" i="60"/>
  <c r="S722" i="60"/>
  <c r="K722" i="60"/>
  <c r="L722" i="60"/>
  <c r="C721" i="60"/>
  <c r="W728" i="60"/>
  <c r="W729" i="60"/>
  <c r="W723" i="60"/>
  <c r="S726" i="60"/>
  <c r="S730" i="60"/>
  <c r="L721" i="60"/>
  <c r="T724" i="60"/>
  <c r="K725" i="60"/>
  <c r="K724" i="60"/>
  <c r="W722" i="60"/>
  <c r="W721" i="60"/>
  <c r="T731" i="60"/>
  <c r="G722" i="60"/>
  <c r="L724" i="60"/>
  <c r="X726" i="60"/>
  <c r="X730" i="60"/>
  <c r="S724" i="60"/>
  <c r="T727" i="60"/>
  <c r="X731" i="60"/>
  <c r="L725" i="60"/>
  <c r="W724" i="60"/>
  <c r="X722" i="60"/>
  <c r="D721" i="60"/>
  <c r="O722" i="60"/>
  <c r="P722" i="60" s="1"/>
  <c r="X724" i="60"/>
  <c r="S728" i="60"/>
  <c r="W731" i="60"/>
  <c r="H722" i="60"/>
  <c r="S725" i="60"/>
  <c r="T728" i="60"/>
  <c r="X721" i="60"/>
  <c r="W727" i="60"/>
  <c r="X728" i="60"/>
  <c r="S723" i="60"/>
  <c r="T729" i="60"/>
  <c r="S729" i="60"/>
  <c r="K721" i="60"/>
  <c r="X723" i="60"/>
  <c r="T730" i="60"/>
  <c r="X729" i="60"/>
  <c r="O721" i="60"/>
  <c r="P721" i="60" s="1"/>
  <c r="T722" i="60"/>
  <c r="X725" i="60"/>
  <c r="S727" i="60"/>
  <c r="S731" i="60"/>
  <c r="W725" i="60"/>
  <c r="W730" i="60"/>
  <c r="T725" i="60"/>
  <c r="X727" i="60"/>
  <c r="T726" i="60"/>
  <c r="Q817" i="57"/>
  <c r="T817" i="57" s="1"/>
  <c r="U815" i="57"/>
  <c r="U812" i="57"/>
  <c r="Q812" i="57"/>
  <c r="T812" i="57" s="1"/>
  <c r="I809" i="57"/>
  <c r="E809" i="57"/>
  <c r="E810" i="57"/>
  <c r="U809" i="57"/>
  <c r="U817" i="57"/>
  <c r="I810" i="57"/>
  <c r="L810" i="57" s="1"/>
  <c r="Q809" i="57"/>
  <c r="X665" i="60"/>
  <c r="W659" i="60"/>
  <c r="T657" i="60"/>
  <c r="G655" i="60"/>
  <c r="L659" i="60"/>
  <c r="K656" i="60"/>
  <c r="L656" i="60"/>
  <c r="W655" i="60"/>
  <c r="X658" i="60"/>
  <c r="T659" i="60"/>
  <c r="O655" i="60"/>
  <c r="P655" i="60" s="1"/>
  <c r="W657" i="60"/>
  <c r="X657" i="60"/>
  <c r="T660" i="60"/>
  <c r="S662" i="60"/>
  <c r="W661" i="60"/>
  <c r="W665" i="60"/>
  <c r="X663" i="60"/>
  <c r="T661" i="60"/>
  <c r="X655" i="60"/>
  <c r="X664" i="60"/>
  <c r="H656" i="60"/>
  <c r="T658" i="60"/>
  <c r="G656" i="60"/>
  <c r="S658" i="60"/>
  <c r="S664" i="60"/>
  <c r="T663" i="60"/>
  <c r="T662" i="60"/>
  <c r="S661" i="60"/>
  <c r="S665" i="60"/>
  <c r="W658" i="60"/>
  <c r="W656" i="60"/>
  <c r="S656" i="60"/>
  <c r="K659" i="60"/>
  <c r="X660" i="60"/>
  <c r="O656" i="60"/>
  <c r="P656" i="60" s="1"/>
  <c r="S659" i="60"/>
  <c r="X662" i="60"/>
  <c r="W664" i="60"/>
  <c r="W663" i="60"/>
  <c r="X661" i="60"/>
  <c r="L658" i="60"/>
  <c r="X656" i="60"/>
  <c r="S657" i="60"/>
  <c r="C655" i="60"/>
  <c r="K658" i="60"/>
  <c r="S660" i="60"/>
  <c r="W662" i="60"/>
  <c r="X659" i="60"/>
  <c r="T665" i="60"/>
  <c r="D655" i="60"/>
  <c r="W660" i="60"/>
  <c r="T664" i="60"/>
  <c r="S663" i="60"/>
  <c r="L736" i="60"/>
  <c r="X742" i="60"/>
  <c r="T734" i="60"/>
  <c r="X732" i="60"/>
  <c r="T735" i="60"/>
  <c r="K736" i="60"/>
  <c r="K735" i="60"/>
  <c r="X733" i="60"/>
  <c r="W733" i="60"/>
  <c r="D732" i="60"/>
  <c r="O733" i="60"/>
  <c r="P733" i="60" s="1"/>
  <c r="X735" i="60"/>
  <c r="S739" i="60"/>
  <c r="W742" i="60"/>
  <c r="S734" i="60"/>
  <c r="X736" i="60"/>
  <c r="T740" i="60"/>
  <c r="T736" i="60"/>
  <c r="W735" i="60"/>
  <c r="W738" i="60"/>
  <c r="K732" i="60"/>
  <c r="T733" i="60"/>
  <c r="W736" i="60"/>
  <c r="X739" i="60"/>
  <c r="X734" i="60"/>
  <c r="T737" i="60"/>
  <c r="T741" i="60"/>
  <c r="S738" i="60"/>
  <c r="S742" i="60"/>
  <c r="W737" i="60"/>
  <c r="C732" i="60"/>
  <c r="W739" i="60"/>
  <c r="O732" i="60"/>
  <c r="P732" i="60" s="1"/>
  <c r="W741" i="60"/>
  <c r="W740" i="60"/>
  <c r="W734" i="60"/>
  <c r="S737" i="60"/>
  <c r="S741" i="60"/>
  <c r="S735" i="60"/>
  <c r="T738" i="60"/>
  <c r="X738" i="60"/>
  <c r="T742" i="60"/>
  <c r="G733" i="60"/>
  <c r="H733" i="60"/>
  <c r="W732" i="60"/>
  <c r="L733" i="60"/>
  <c r="L735" i="60"/>
  <c r="S736" i="60"/>
  <c r="S733" i="60"/>
  <c r="X737" i="60"/>
  <c r="T739" i="60"/>
  <c r="S740" i="60"/>
  <c r="X741" i="60"/>
  <c r="X740" i="60"/>
  <c r="K733" i="60"/>
  <c r="S786" i="59"/>
  <c r="T786" i="59" s="1"/>
  <c r="W785" i="59"/>
  <c r="X785" i="59" s="1"/>
  <c r="W783" i="59"/>
  <c r="X783" i="59" s="1"/>
  <c r="S782" i="59"/>
  <c r="W781" i="59"/>
  <c r="X781" i="59" s="1"/>
  <c r="S780" i="59"/>
  <c r="T780" i="59" s="1"/>
  <c r="W778" i="59"/>
  <c r="X778" i="59" s="1"/>
  <c r="S777" i="59"/>
  <c r="T777" i="59" s="1"/>
  <c r="K779" i="59"/>
  <c r="L779" i="59" s="1"/>
  <c r="W776" i="59"/>
  <c r="W782" i="59"/>
  <c r="S779" i="59"/>
  <c r="W777" i="59"/>
  <c r="X777" i="59" s="1"/>
  <c r="O776" i="59"/>
  <c r="P776" i="59" s="1"/>
  <c r="C776" i="59"/>
  <c r="S785" i="59"/>
  <c r="T785" i="59" s="1"/>
  <c r="O777" i="59"/>
  <c r="P777" i="59" s="1"/>
  <c r="D776" i="59"/>
  <c r="S783" i="59"/>
  <c r="T783" i="59" s="1"/>
  <c r="K780" i="59"/>
  <c r="L780" i="59" s="1"/>
  <c r="S778" i="59"/>
  <c r="T778" i="59" s="1"/>
  <c r="K777" i="59"/>
  <c r="S781" i="59"/>
  <c r="T781" i="59" s="1"/>
  <c r="W780" i="59"/>
  <c r="X780" i="59" s="1"/>
  <c r="W786" i="59"/>
  <c r="X786" i="59" s="1"/>
  <c r="P644" i="60"/>
  <c r="S544" i="59"/>
  <c r="T544" i="59" s="1"/>
  <c r="S543" i="59"/>
  <c r="T543" i="59" s="1"/>
  <c r="O534" i="59"/>
  <c r="P534" i="59" s="1"/>
  <c r="S541" i="59"/>
  <c r="T541" i="59" s="1"/>
  <c r="W537" i="59"/>
  <c r="W541" i="59"/>
  <c r="X541" i="59" s="1"/>
  <c r="S539" i="59"/>
  <c r="T539" i="59" s="1"/>
  <c r="O535" i="59"/>
  <c r="P535" i="59" s="1"/>
  <c r="C534" i="59"/>
  <c r="S537" i="59"/>
  <c r="K535" i="59"/>
  <c r="W540" i="59"/>
  <c r="D534" i="59"/>
  <c r="E535" i="59" s="1"/>
  <c r="W543" i="59"/>
  <c r="X543" i="59" s="1"/>
  <c r="W538" i="59"/>
  <c r="X538" i="59" s="1"/>
  <c r="W536" i="59"/>
  <c r="X536" i="59" s="1"/>
  <c r="S538" i="59"/>
  <c r="T538" i="59" s="1"/>
  <c r="G535" i="59"/>
  <c r="W535" i="59"/>
  <c r="X535" i="59" s="1"/>
  <c r="W544" i="59"/>
  <c r="X544" i="59" s="1"/>
  <c r="S540" i="59"/>
  <c r="K538" i="59"/>
  <c r="L538" i="59" s="1"/>
  <c r="W539" i="59"/>
  <c r="X539" i="59" s="1"/>
  <c r="D655" i="57"/>
  <c r="C655" i="57"/>
  <c r="K634" i="59"/>
  <c r="S636" i="59"/>
  <c r="W527" i="59"/>
  <c r="X527" i="59" s="1"/>
  <c r="O523" i="59"/>
  <c r="P523" i="59" s="1"/>
  <c r="S620" i="59"/>
  <c r="T620" i="59" s="1"/>
  <c r="K615" i="59"/>
  <c r="L615" i="59" s="1"/>
  <c r="W532" i="59"/>
  <c r="X532" i="59" s="1"/>
  <c r="O524" i="59"/>
  <c r="P524" i="59" s="1"/>
  <c r="S613" i="59"/>
  <c r="T613" i="59" s="1"/>
  <c r="K524" i="59"/>
  <c r="C523" i="59"/>
  <c r="W612" i="59"/>
  <c r="X612" i="59" s="1"/>
  <c r="S529" i="59"/>
  <c r="S615" i="59"/>
  <c r="T615" i="59" s="1"/>
  <c r="W528" i="59"/>
  <c r="X528" i="59" s="1"/>
  <c r="D523" i="59"/>
  <c r="I523" i="59" s="1"/>
  <c r="W621" i="59"/>
  <c r="X621" i="59" s="1"/>
  <c r="W620" i="59"/>
  <c r="X620" i="59" s="1"/>
  <c r="W618" i="59"/>
  <c r="X618" i="59" s="1"/>
  <c r="G524" i="59"/>
  <c r="W529" i="59"/>
  <c r="W526" i="59"/>
  <c r="S528" i="59"/>
  <c r="T528" i="59" s="1"/>
  <c r="K527" i="59"/>
  <c r="L527" i="59" s="1"/>
  <c r="D611" i="59"/>
  <c r="W617" i="59"/>
  <c r="W613" i="59"/>
  <c r="X613" i="59" s="1"/>
  <c r="K611" i="59"/>
  <c r="K612" i="59"/>
  <c r="S621" i="59"/>
  <c r="T621" i="59" s="1"/>
  <c r="W524" i="59"/>
  <c r="X524" i="59" s="1"/>
  <c r="S527" i="59"/>
  <c r="T527" i="59" s="1"/>
  <c r="S525" i="59"/>
  <c r="T525" i="59" s="1"/>
  <c r="K526" i="59"/>
  <c r="L526" i="59" s="1"/>
  <c r="S533" i="59"/>
  <c r="T533" i="59" s="1"/>
  <c r="K614" i="59"/>
  <c r="L614" i="59" s="1"/>
  <c r="W616" i="59"/>
  <c r="X616" i="59" s="1"/>
  <c r="O611" i="59"/>
  <c r="P611" i="59" s="1"/>
  <c r="S551" i="59"/>
  <c r="S530" i="59"/>
  <c r="T530" i="59" s="1"/>
  <c r="W530" i="59"/>
  <c r="X530" i="59" s="1"/>
  <c r="S526" i="59"/>
  <c r="W533" i="59"/>
  <c r="X533" i="59" s="1"/>
  <c r="S532" i="59"/>
  <c r="T532" i="59" s="1"/>
  <c r="W523" i="59"/>
  <c r="C611" i="59"/>
  <c r="S618" i="59"/>
  <c r="T618" i="59" s="1"/>
  <c r="S617" i="59"/>
  <c r="S616" i="59"/>
  <c r="T616" i="59" s="1"/>
  <c r="O612" i="59"/>
  <c r="P612" i="59" s="1"/>
  <c r="W615" i="59"/>
  <c r="X615" i="59" s="1"/>
  <c r="W601" i="59"/>
  <c r="X601" i="59" s="1"/>
  <c r="S576" i="59"/>
  <c r="T576" i="59" s="1"/>
  <c r="S625" i="59"/>
  <c r="W628" i="59"/>
  <c r="W588" i="59"/>
  <c r="X588" i="59" s="1"/>
  <c r="C622" i="59"/>
  <c r="S624" i="59"/>
  <c r="T624" i="59" s="1"/>
  <c r="W623" i="59"/>
  <c r="X623" i="59" s="1"/>
  <c r="W624" i="59"/>
  <c r="X624" i="59" s="1"/>
  <c r="W626" i="59"/>
  <c r="X626" i="59" s="1"/>
  <c r="S629" i="59"/>
  <c r="T629" i="59" s="1"/>
  <c r="O622" i="59"/>
  <c r="P622" i="59" s="1"/>
  <c r="S626" i="59"/>
  <c r="T626" i="59" s="1"/>
  <c r="K579" i="59"/>
  <c r="W629" i="59"/>
  <c r="X629" i="59" s="1"/>
  <c r="O623" i="59"/>
  <c r="P623" i="59" s="1"/>
  <c r="S631" i="59"/>
  <c r="T631" i="59" s="1"/>
  <c r="K626" i="59"/>
  <c r="L626" i="59" s="1"/>
  <c r="W582" i="59"/>
  <c r="X582" i="59" s="1"/>
  <c r="S591" i="59"/>
  <c r="T591" i="59" s="1"/>
  <c r="K582" i="59"/>
  <c r="L582" i="59" s="1"/>
  <c r="W579" i="59"/>
  <c r="X579" i="59" s="1"/>
  <c r="O579" i="59"/>
  <c r="P579" i="59" s="1"/>
  <c r="S584" i="59"/>
  <c r="W585" i="59"/>
  <c r="X585" i="59" s="1"/>
  <c r="W632" i="59"/>
  <c r="X632" i="59" s="1"/>
  <c r="W627" i="59"/>
  <c r="X627" i="59" s="1"/>
  <c r="S627" i="59"/>
  <c r="T627" i="59" s="1"/>
  <c r="W631" i="59"/>
  <c r="X631" i="59" s="1"/>
  <c r="W591" i="59"/>
  <c r="X591" i="59" s="1"/>
  <c r="K593" i="59"/>
  <c r="L593" i="59" s="1"/>
  <c r="G601" i="59"/>
  <c r="S587" i="59"/>
  <c r="T587" i="59" s="1"/>
  <c r="O578" i="59"/>
  <c r="P578" i="59" s="1"/>
  <c r="S603" i="59"/>
  <c r="K581" i="59"/>
  <c r="L581" i="59" s="1"/>
  <c r="G579" i="59"/>
  <c r="S585" i="59"/>
  <c r="T585" i="59" s="1"/>
  <c r="S582" i="59"/>
  <c r="T582" i="59" s="1"/>
  <c r="W580" i="59"/>
  <c r="X580" i="59" s="1"/>
  <c r="S583" i="59"/>
  <c r="T583" i="59" s="1"/>
  <c r="S580" i="59"/>
  <c r="T580" i="59" s="1"/>
  <c r="D622" i="59"/>
  <c r="E622" i="59" s="1"/>
  <c r="S628" i="59"/>
  <c r="K623" i="59"/>
  <c r="K592" i="59"/>
  <c r="L592" i="59" s="1"/>
  <c r="C589" i="59"/>
  <c r="D600" i="59"/>
  <c r="I600" i="59" s="1"/>
  <c r="S571" i="59"/>
  <c r="T571" i="59" s="1"/>
  <c r="S598" i="59"/>
  <c r="T598" i="59" s="1"/>
  <c r="W595" i="59"/>
  <c r="K603" i="59"/>
  <c r="L603" i="59" s="1"/>
  <c r="O600" i="59"/>
  <c r="P600" i="59" s="1"/>
  <c r="W586" i="59"/>
  <c r="S581" i="59"/>
  <c r="W587" i="59"/>
  <c r="X587" i="59" s="1"/>
  <c r="W583" i="59"/>
  <c r="X583" i="59" s="1"/>
  <c r="C578" i="59"/>
  <c r="W584" i="59"/>
  <c r="D578" i="59"/>
  <c r="Q578" i="59" s="1"/>
  <c r="O589" i="59"/>
  <c r="P589" i="59" s="1"/>
  <c r="S593" i="59"/>
  <c r="T593" i="59" s="1"/>
  <c r="K590" i="59"/>
  <c r="S607" i="59"/>
  <c r="T607" i="59" s="1"/>
  <c r="W607" i="59"/>
  <c r="X607" i="59" s="1"/>
  <c r="K568" i="59"/>
  <c r="W642" i="59"/>
  <c r="X642" i="59" s="1"/>
  <c r="K637" i="59"/>
  <c r="L637" i="59" s="1"/>
  <c r="G590" i="59"/>
  <c r="W596" i="59"/>
  <c r="X596" i="59" s="1"/>
  <c r="W594" i="59"/>
  <c r="X594" i="59" s="1"/>
  <c r="D589" i="59"/>
  <c r="U595" i="59" s="1"/>
  <c r="S596" i="59"/>
  <c r="T596" i="59" s="1"/>
  <c r="S595" i="59"/>
  <c r="W590" i="59"/>
  <c r="X590" i="59" s="1"/>
  <c r="S599" i="59"/>
  <c r="T599" i="59" s="1"/>
  <c r="W604" i="59"/>
  <c r="X604" i="59" s="1"/>
  <c r="S602" i="59"/>
  <c r="T602" i="59" s="1"/>
  <c r="O568" i="59"/>
  <c r="P568" i="59" s="1"/>
  <c r="O590" i="59"/>
  <c r="P590" i="59" s="1"/>
  <c r="W593" i="59"/>
  <c r="X593" i="59" s="1"/>
  <c r="S594" i="59"/>
  <c r="T594" i="59" s="1"/>
  <c r="W598" i="59"/>
  <c r="X598" i="59" s="1"/>
  <c r="W597" i="59"/>
  <c r="W599" i="59"/>
  <c r="X599" i="59" s="1"/>
  <c r="K589" i="59"/>
  <c r="W602" i="59"/>
  <c r="X602" i="59" s="1"/>
  <c r="S606" i="59"/>
  <c r="C600" i="59"/>
  <c r="W605" i="59"/>
  <c r="X605" i="59" s="1"/>
  <c r="W573" i="59"/>
  <c r="W643" i="59"/>
  <c r="X643" i="59" s="1"/>
  <c r="W634" i="59"/>
  <c r="X634" i="59" s="1"/>
  <c r="S640" i="59"/>
  <c r="T640" i="59" s="1"/>
  <c r="S635" i="59"/>
  <c r="T635" i="59" s="1"/>
  <c r="W638" i="59"/>
  <c r="X638" i="59" s="1"/>
  <c r="D633" i="59"/>
  <c r="U641" i="59" s="1"/>
  <c r="W640" i="59"/>
  <c r="X640" i="59" s="1"/>
  <c r="W637" i="59"/>
  <c r="X637" i="59" s="1"/>
  <c r="S642" i="59"/>
  <c r="T642" i="59" s="1"/>
  <c r="W635" i="59"/>
  <c r="X635" i="59" s="1"/>
  <c r="C633" i="59"/>
  <c r="S643" i="59"/>
  <c r="T643" i="59" s="1"/>
  <c r="S638" i="59"/>
  <c r="T638" i="59" s="1"/>
  <c r="S639" i="59"/>
  <c r="W639" i="59"/>
  <c r="O633" i="59"/>
  <c r="P633" i="59" s="1"/>
  <c r="O634" i="59"/>
  <c r="P634" i="59" s="1"/>
  <c r="W547" i="59"/>
  <c r="X547" i="59" s="1"/>
  <c r="S555" i="59"/>
  <c r="T555" i="59" s="1"/>
  <c r="W518" i="59"/>
  <c r="S517" i="59"/>
  <c r="T517" i="59" s="1"/>
  <c r="W514" i="59"/>
  <c r="X514" i="59" s="1"/>
  <c r="K549" i="59"/>
  <c r="L549" i="59" s="1"/>
  <c r="S549" i="59"/>
  <c r="T549" i="59" s="1"/>
  <c r="W522" i="59"/>
  <c r="X522" i="59" s="1"/>
  <c r="S547" i="59"/>
  <c r="T547" i="59" s="1"/>
  <c r="S554" i="59"/>
  <c r="T554" i="59" s="1"/>
  <c r="S521" i="59"/>
  <c r="T521" i="59" s="1"/>
  <c r="K513" i="59"/>
  <c r="W551" i="59"/>
  <c r="K546" i="59"/>
  <c r="S550" i="59"/>
  <c r="T550" i="59" s="1"/>
  <c r="W517" i="59"/>
  <c r="X517" i="59" s="1"/>
  <c r="K512" i="59"/>
  <c r="G513" i="59"/>
  <c r="S518" i="59"/>
  <c r="O512" i="59"/>
  <c r="P512" i="59" s="1"/>
  <c r="S514" i="59"/>
  <c r="T514" i="59" s="1"/>
  <c r="W549" i="59"/>
  <c r="X549" i="59" s="1"/>
  <c r="C545" i="59"/>
  <c r="W555" i="59"/>
  <c r="X555" i="59" s="1"/>
  <c r="S553" i="59"/>
  <c r="G546" i="59"/>
  <c r="W552" i="59"/>
  <c r="X552" i="59" s="1"/>
  <c r="O546" i="59"/>
  <c r="P546" i="59" s="1"/>
  <c r="C512" i="59"/>
  <c r="K516" i="59"/>
  <c r="L516" i="59" s="1"/>
  <c r="S516" i="59"/>
  <c r="T516" i="59" s="1"/>
  <c r="W515" i="59"/>
  <c r="W513" i="59"/>
  <c r="X513" i="59" s="1"/>
  <c r="W519" i="59"/>
  <c r="X519" i="59" s="1"/>
  <c r="S552" i="59"/>
  <c r="T552" i="59" s="1"/>
  <c r="W550" i="59"/>
  <c r="X550" i="59" s="1"/>
  <c r="W554" i="59"/>
  <c r="X554" i="59" s="1"/>
  <c r="O545" i="59"/>
  <c r="P545" i="59" s="1"/>
  <c r="W546" i="59"/>
  <c r="X546" i="59" s="1"/>
  <c r="W521" i="59"/>
  <c r="X521" i="59" s="1"/>
  <c r="S519" i="59"/>
  <c r="T519" i="59" s="1"/>
  <c r="O513" i="59"/>
  <c r="P513" i="59" s="1"/>
  <c r="D512" i="59"/>
  <c r="Q520" i="59" s="1"/>
  <c r="W516" i="59"/>
  <c r="X516" i="59" s="1"/>
  <c r="W571" i="59"/>
  <c r="X571" i="59" s="1"/>
  <c r="K571" i="59"/>
  <c r="L571" i="59" s="1"/>
  <c r="W610" i="59"/>
  <c r="X610" i="59" s="1"/>
  <c r="K601" i="59"/>
  <c r="S604" i="59"/>
  <c r="T604" i="59" s="1"/>
  <c r="K604" i="59"/>
  <c r="L604" i="59" s="1"/>
  <c r="C567" i="59"/>
  <c r="K567" i="59"/>
  <c r="S609" i="59"/>
  <c r="T609" i="59" s="1"/>
  <c r="S605" i="59"/>
  <c r="T605" i="59" s="1"/>
  <c r="W609" i="59"/>
  <c r="X609" i="59" s="1"/>
  <c r="W606" i="59"/>
  <c r="O601" i="59"/>
  <c r="P601" i="59" s="1"/>
  <c r="W576" i="59"/>
  <c r="X576" i="59" s="1"/>
  <c r="S574" i="59"/>
  <c r="T574" i="59" s="1"/>
  <c r="O567" i="59"/>
  <c r="P567" i="59" s="1"/>
  <c r="S569" i="59"/>
  <c r="T569" i="59" s="1"/>
  <c r="G568" i="59"/>
  <c r="K570" i="59"/>
  <c r="L570" i="59" s="1"/>
  <c r="W572" i="59"/>
  <c r="X572" i="59" s="1"/>
  <c r="W568" i="59"/>
  <c r="X568" i="59" s="1"/>
  <c r="S572" i="59"/>
  <c r="T572" i="59" s="1"/>
  <c r="D567" i="59"/>
  <c r="I568" i="59" s="1"/>
  <c r="W574" i="59"/>
  <c r="X574" i="59" s="1"/>
  <c r="S573" i="59"/>
  <c r="W577" i="59"/>
  <c r="X577" i="59" s="1"/>
  <c r="W569" i="59"/>
  <c r="X569" i="59" s="1"/>
  <c r="U559" i="60"/>
  <c r="Q559" i="60"/>
  <c r="U562" i="60"/>
  <c r="I556" i="60"/>
  <c r="Q556" i="60"/>
  <c r="Q564" i="60"/>
  <c r="U556" i="60"/>
  <c r="I557" i="60"/>
  <c r="E556" i="60"/>
  <c r="U564" i="60"/>
  <c r="E557" i="60"/>
  <c r="S626" i="60"/>
  <c r="L625" i="60"/>
  <c r="T628" i="60"/>
  <c r="H623" i="60"/>
  <c r="K626" i="60"/>
  <c r="G623" i="60"/>
  <c r="X624" i="60"/>
  <c r="T632" i="60"/>
  <c r="O623" i="60"/>
  <c r="P623" i="60" s="1"/>
  <c r="X626" i="60"/>
  <c r="W629" i="60"/>
  <c r="K622" i="60"/>
  <c r="W623" i="60"/>
  <c r="W626" i="60"/>
  <c r="S629" i="60"/>
  <c r="X631" i="60"/>
  <c r="W630" i="60"/>
  <c r="X628" i="60"/>
  <c r="X632" i="60"/>
  <c r="X623" i="60"/>
  <c r="T625" i="60"/>
  <c r="D622" i="60"/>
  <c r="W631" i="60"/>
  <c r="T624" i="60"/>
  <c r="S627" i="60"/>
  <c r="X629" i="60"/>
  <c r="W628" i="60"/>
  <c r="T631" i="60"/>
  <c r="S630" i="60"/>
  <c r="K625" i="60"/>
  <c r="L623" i="60"/>
  <c r="O622" i="60"/>
  <c r="P622" i="60" s="1"/>
  <c r="X627" i="60"/>
  <c r="W632" i="60"/>
  <c r="K623" i="60"/>
  <c r="S632" i="60"/>
  <c r="W624" i="60"/>
  <c r="S625" i="60"/>
  <c r="T629" i="60"/>
  <c r="T626" i="60"/>
  <c r="C622" i="60"/>
  <c r="W627" i="60"/>
  <c r="S628" i="60"/>
  <c r="L626" i="60"/>
  <c r="S624" i="60"/>
  <c r="T627" i="60"/>
  <c r="W625" i="60"/>
  <c r="S631" i="60"/>
  <c r="X577" i="60"/>
  <c r="K571" i="60"/>
  <c r="S569" i="60"/>
  <c r="G568" i="60"/>
  <c r="O568" i="60"/>
  <c r="P568" i="60" s="1"/>
  <c r="O567" i="60"/>
  <c r="P567" i="60" s="1"/>
  <c r="T573" i="60"/>
  <c r="L568" i="60"/>
  <c r="L571" i="60"/>
  <c r="W576" i="60"/>
  <c r="K567" i="60"/>
  <c r="K570" i="60"/>
  <c r="X568" i="60"/>
  <c r="H568" i="60"/>
  <c r="T571" i="60"/>
  <c r="C567" i="60"/>
  <c r="S568" i="60"/>
  <c r="T572" i="60"/>
  <c r="S570" i="60"/>
  <c r="X572" i="60"/>
  <c r="S576" i="60"/>
  <c r="T574" i="60"/>
  <c r="L570" i="60"/>
  <c r="X569" i="60"/>
  <c r="K568" i="60"/>
  <c r="W571" i="60"/>
  <c r="X574" i="60"/>
  <c r="W575" i="60"/>
  <c r="S573" i="60"/>
  <c r="S577" i="60"/>
  <c r="W569" i="60"/>
  <c r="T577" i="60"/>
  <c r="W577" i="60"/>
  <c r="S575" i="60"/>
  <c r="D567" i="60"/>
  <c r="X571" i="60"/>
  <c r="T570" i="60"/>
  <c r="W568" i="60"/>
  <c r="S572" i="60"/>
  <c r="X576" i="60"/>
  <c r="T576" i="60"/>
  <c r="X573" i="60"/>
  <c r="T575" i="60"/>
  <c r="S571" i="60"/>
  <c r="L567" i="60"/>
  <c r="W572" i="60"/>
  <c r="T569" i="60"/>
  <c r="W573" i="60"/>
  <c r="W574" i="60"/>
  <c r="S574" i="60"/>
  <c r="X575" i="60"/>
  <c r="X555" i="60"/>
  <c r="S549" i="60"/>
  <c r="G546" i="60"/>
  <c r="C545" i="60"/>
  <c r="T550" i="60"/>
  <c r="T555" i="60"/>
  <c r="W548" i="60"/>
  <c r="W554" i="60"/>
  <c r="W547" i="60"/>
  <c r="T551" i="60"/>
  <c r="W545" i="60"/>
  <c r="S548" i="60"/>
  <c r="X550" i="60"/>
  <c r="X554" i="60"/>
  <c r="S553" i="60"/>
  <c r="T548" i="60"/>
  <c r="D545" i="60"/>
  <c r="W550" i="60"/>
  <c r="H546" i="60"/>
  <c r="X552" i="60"/>
  <c r="S551" i="60"/>
  <c r="T552" i="60"/>
  <c r="L545" i="60"/>
  <c r="X547" i="60"/>
  <c r="W551" i="60"/>
  <c r="O546" i="60"/>
  <c r="P546" i="60" s="1"/>
  <c r="X549" i="60"/>
  <c r="K546" i="60"/>
  <c r="S552" i="60"/>
  <c r="X553" i="60"/>
  <c r="W555" i="60"/>
  <c r="W552" i="60"/>
  <c r="T553" i="60"/>
  <c r="K549" i="60"/>
  <c r="W546" i="60"/>
  <c r="W549" i="60"/>
  <c r="S555" i="60"/>
  <c r="T554" i="60"/>
  <c r="O545" i="60"/>
  <c r="P545" i="60" s="1"/>
  <c r="T547" i="60"/>
  <c r="S547" i="60"/>
  <c r="X546" i="60"/>
  <c r="S550" i="60"/>
  <c r="L546" i="60"/>
  <c r="T549" i="60"/>
  <c r="S554" i="60"/>
  <c r="L549" i="60"/>
  <c r="W553" i="60"/>
  <c r="K545" i="60"/>
  <c r="X551" i="60"/>
  <c r="T637" i="60"/>
  <c r="W636" i="60"/>
  <c r="X643" i="60"/>
  <c r="O634" i="60"/>
  <c r="P634" i="60" s="1"/>
  <c r="T643" i="60"/>
  <c r="L637" i="60"/>
  <c r="L636" i="60"/>
  <c r="S635" i="60"/>
  <c r="O633" i="60"/>
  <c r="T639" i="60"/>
  <c r="K637" i="60"/>
  <c r="W642" i="60"/>
  <c r="W640" i="60"/>
  <c r="W638" i="60"/>
  <c r="W635" i="60"/>
  <c r="H634" i="60"/>
  <c r="D633" i="60"/>
  <c r="X635" i="60"/>
  <c r="W633" i="60"/>
  <c r="T635" i="60"/>
  <c r="S638" i="60"/>
  <c r="X640" i="60"/>
  <c r="X634" i="60"/>
  <c r="X637" i="60"/>
  <c r="S641" i="60"/>
  <c r="S636" i="60"/>
  <c r="X638" i="60"/>
  <c r="G634" i="60"/>
  <c r="K636" i="60"/>
  <c r="T638" i="60"/>
  <c r="W641" i="60"/>
  <c r="X641" i="60"/>
  <c r="K633" i="60"/>
  <c r="S642" i="60"/>
  <c r="L633" i="60"/>
  <c r="T636" i="60"/>
  <c r="T642" i="60"/>
  <c r="S639" i="60"/>
  <c r="C633" i="60"/>
  <c r="W637" i="60"/>
  <c r="X642" i="60"/>
  <c r="S637" i="60"/>
  <c r="W643" i="60"/>
  <c r="X639" i="60"/>
  <c r="K634" i="60"/>
  <c r="L634" i="60"/>
  <c r="W634" i="60"/>
  <c r="W639" i="60"/>
  <c r="S643" i="60"/>
  <c r="T640" i="60"/>
  <c r="S640" i="60"/>
  <c r="X522" i="60"/>
  <c r="L516" i="60"/>
  <c r="C512" i="60"/>
  <c r="T518" i="60"/>
  <c r="W514" i="60"/>
  <c r="O513" i="60"/>
  <c r="P513" i="60" s="1"/>
  <c r="W517" i="60"/>
  <c r="K512" i="60"/>
  <c r="T514" i="60"/>
  <c r="S517" i="60"/>
  <c r="S521" i="60"/>
  <c r="S516" i="60"/>
  <c r="T519" i="60"/>
  <c r="S518" i="60"/>
  <c r="S522" i="60"/>
  <c r="D512" i="60"/>
  <c r="L515" i="60"/>
  <c r="T520" i="60"/>
  <c r="W515" i="60"/>
  <c r="X514" i="60"/>
  <c r="O512" i="60"/>
  <c r="P512" i="60" s="1"/>
  <c r="W519" i="60"/>
  <c r="S515" i="60"/>
  <c r="X517" i="60"/>
  <c r="X521" i="60"/>
  <c r="X513" i="60"/>
  <c r="X516" i="60"/>
  <c r="W520" i="60"/>
  <c r="X518" i="60"/>
  <c r="H513" i="60"/>
  <c r="W513" i="60"/>
  <c r="X519" i="60"/>
  <c r="L513" i="60"/>
  <c r="W518" i="60"/>
  <c r="X520" i="60"/>
  <c r="T522" i="60"/>
  <c r="S514" i="60"/>
  <c r="X515" i="60"/>
  <c r="K515" i="60"/>
  <c r="T521" i="60"/>
  <c r="K516" i="60"/>
  <c r="W516" i="60"/>
  <c r="L512" i="60"/>
  <c r="T515" i="60"/>
  <c r="W522" i="60"/>
  <c r="T516" i="60"/>
  <c r="W521" i="60"/>
  <c r="K513" i="60"/>
  <c r="S519" i="60"/>
  <c r="G513" i="60"/>
  <c r="T517" i="60"/>
  <c r="S520" i="60"/>
  <c r="U647" i="60"/>
  <c r="U644" i="60"/>
  <c r="Q644" i="60"/>
  <c r="I645" i="60"/>
  <c r="Q647" i="60"/>
  <c r="E644" i="60"/>
  <c r="U652" i="60"/>
  <c r="Q652" i="60"/>
  <c r="E645" i="60"/>
  <c r="I644" i="60"/>
  <c r="U650" i="60"/>
  <c r="X544" i="60"/>
  <c r="X535" i="60"/>
  <c r="H535" i="60"/>
  <c r="O535" i="60"/>
  <c r="P535" i="60" s="1"/>
  <c r="L538" i="60"/>
  <c r="W536" i="60"/>
  <c r="D534" i="60"/>
  <c r="X536" i="60"/>
  <c r="G535" i="60"/>
  <c r="W541" i="60"/>
  <c r="K535" i="60"/>
  <c r="X537" i="60"/>
  <c r="S541" i="60"/>
  <c r="X538" i="60"/>
  <c r="W542" i="60"/>
  <c r="X540" i="60"/>
  <c r="T544" i="60"/>
  <c r="T536" i="60"/>
  <c r="S543" i="60"/>
  <c r="T537" i="60"/>
  <c r="W544" i="60"/>
  <c r="X534" i="60"/>
  <c r="T538" i="60"/>
  <c r="W537" i="60"/>
  <c r="W543" i="60"/>
  <c r="W535" i="60"/>
  <c r="W538" i="60"/>
  <c r="X541" i="60"/>
  <c r="T539" i="60"/>
  <c r="T543" i="60"/>
  <c r="S542" i="60"/>
  <c r="O534" i="60"/>
  <c r="P534" i="60" s="1"/>
  <c r="T540" i="60"/>
  <c r="L535" i="60"/>
  <c r="K538" i="60"/>
  <c r="S539" i="60"/>
  <c r="W540" i="60"/>
  <c r="X542" i="60"/>
  <c r="T542" i="60"/>
  <c r="S537" i="60"/>
  <c r="S538" i="60"/>
  <c r="C534" i="60"/>
  <c r="X539" i="60"/>
  <c r="T541" i="60"/>
  <c r="W539" i="60"/>
  <c r="X543" i="60"/>
  <c r="S540" i="60"/>
  <c r="S536" i="60"/>
  <c r="W534" i="60"/>
  <c r="S544" i="60"/>
  <c r="X533" i="60"/>
  <c r="T525" i="60"/>
  <c r="X532" i="60"/>
  <c r="H524" i="60"/>
  <c r="D523" i="60"/>
  <c r="X525" i="60"/>
  <c r="X530" i="60"/>
  <c r="T531" i="60"/>
  <c r="L524" i="60"/>
  <c r="T526" i="60"/>
  <c r="W529" i="60"/>
  <c r="W533" i="60"/>
  <c r="X529" i="60"/>
  <c r="T527" i="60"/>
  <c r="X526" i="60"/>
  <c r="K527" i="60"/>
  <c r="T529" i="60"/>
  <c r="L527" i="60"/>
  <c r="L526" i="60"/>
  <c r="O523" i="60"/>
  <c r="P523" i="60" s="1"/>
  <c r="C523" i="60"/>
  <c r="S526" i="60"/>
  <c r="K524" i="60"/>
  <c r="W526" i="60"/>
  <c r="T533" i="60"/>
  <c r="W532" i="60"/>
  <c r="S527" i="60"/>
  <c r="T530" i="60"/>
  <c r="S531" i="60"/>
  <c r="W524" i="60"/>
  <c r="X528" i="60"/>
  <c r="W528" i="60"/>
  <c r="O524" i="60"/>
  <c r="P524" i="60" s="1"/>
  <c r="K526" i="60"/>
  <c r="T532" i="60"/>
  <c r="S529" i="60"/>
  <c r="W523" i="60"/>
  <c r="S528" i="60"/>
  <c r="S525" i="60"/>
  <c r="X523" i="60"/>
  <c r="X527" i="60"/>
  <c r="X531" i="60"/>
  <c r="S532" i="60"/>
  <c r="W527" i="60"/>
  <c r="G524" i="60"/>
  <c r="T528" i="60"/>
  <c r="S533" i="60"/>
  <c r="W525" i="60"/>
  <c r="W530" i="60"/>
  <c r="S530" i="60"/>
  <c r="X524" i="60"/>
  <c r="W531" i="60"/>
  <c r="X621" i="60"/>
  <c r="T617" i="60"/>
  <c r="T615" i="60"/>
  <c r="O611" i="60"/>
  <c r="P611" i="60" s="1"/>
  <c r="S613" i="60"/>
  <c r="G612" i="60"/>
  <c r="D611" i="60"/>
  <c r="W613" i="60"/>
  <c r="W616" i="60"/>
  <c r="T613" i="60"/>
  <c r="S616" i="60"/>
  <c r="X618" i="60"/>
  <c r="K615" i="60"/>
  <c r="W614" i="60"/>
  <c r="L612" i="60"/>
  <c r="L615" i="60"/>
  <c r="W618" i="60"/>
  <c r="S614" i="60"/>
  <c r="X616" i="60"/>
  <c r="T618" i="60"/>
  <c r="W621" i="60"/>
  <c r="S617" i="60"/>
  <c r="S621" i="60"/>
  <c r="O612" i="60"/>
  <c r="P612" i="60" s="1"/>
  <c r="K612" i="60"/>
  <c r="X612" i="60"/>
  <c r="X613" i="60"/>
  <c r="W612" i="60"/>
  <c r="S618" i="60"/>
  <c r="W619" i="60"/>
  <c r="X619" i="60"/>
  <c r="H612" i="60"/>
  <c r="C611" i="60"/>
  <c r="W620" i="60"/>
  <c r="T620" i="60"/>
  <c r="K614" i="60"/>
  <c r="L611" i="60"/>
  <c r="W615" i="60"/>
  <c r="X615" i="60"/>
  <c r="S615" i="60"/>
  <c r="T616" i="60"/>
  <c r="K611" i="60"/>
  <c r="S620" i="60"/>
  <c r="W617" i="60"/>
  <c r="T621" i="60"/>
  <c r="X617" i="60"/>
  <c r="X620" i="60"/>
  <c r="X599" i="60"/>
  <c r="S593" i="60"/>
  <c r="T593" i="60"/>
  <c r="G590" i="60"/>
  <c r="X590" i="60"/>
  <c r="C589" i="60"/>
  <c r="T594" i="60"/>
  <c r="O590" i="60"/>
  <c r="P590" i="60" s="1"/>
  <c r="X593" i="60"/>
  <c r="O589" i="60"/>
  <c r="P589" i="60" s="1"/>
  <c r="D589" i="60"/>
  <c r="K593" i="60"/>
  <c r="L593" i="60"/>
  <c r="W596" i="60"/>
  <c r="T591" i="60"/>
  <c r="S594" i="60"/>
  <c r="S598" i="60"/>
  <c r="W597" i="60"/>
  <c r="X597" i="60"/>
  <c r="L592" i="60"/>
  <c r="W591" i="60"/>
  <c r="T595" i="60"/>
  <c r="L590" i="60"/>
  <c r="T599" i="60"/>
  <c r="S591" i="60"/>
  <c r="W598" i="60"/>
  <c r="S592" i="60"/>
  <c r="X594" i="60"/>
  <c r="X598" i="60"/>
  <c r="T598" i="60"/>
  <c r="S595" i="60"/>
  <c r="S599" i="60"/>
  <c r="K590" i="60"/>
  <c r="S596" i="60"/>
  <c r="W599" i="60"/>
  <c r="X595" i="60"/>
  <c r="W595" i="60"/>
  <c r="H590" i="60"/>
  <c r="W590" i="60"/>
  <c r="X596" i="60"/>
  <c r="X591" i="60"/>
  <c r="K592" i="60"/>
  <c r="T592" i="60"/>
  <c r="W594" i="60"/>
  <c r="K589" i="60"/>
  <c r="W593" i="60"/>
  <c r="T596" i="60"/>
  <c r="X588" i="60"/>
  <c r="K581" i="60"/>
  <c r="G578" i="60"/>
  <c r="O579" i="60"/>
  <c r="P579" i="60" s="1"/>
  <c r="S580" i="60"/>
  <c r="G579" i="60"/>
  <c r="X579" i="60"/>
  <c r="H579" i="60"/>
  <c r="L581" i="60"/>
  <c r="L579" i="60"/>
  <c r="L582" i="60"/>
  <c r="W587" i="60"/>
  <c r="T580" i="60"/>
  <c r="S583" i="60"/>
  <c r="S587" i="60"/>
  <c r="W586" i="60"/>
  <c r="X586" i="60"/>
  <c r="S582" i="60"/>
  <c r="X582" i="60"/>
  <c r="C578" i="60"/>
  <c r="S579" i="60"/>
  <c r="T583" i="60"/>
  <c r="S581" i="60"/>
  <c r="X583" i="60"/>
  <c r="X587" i="60"/>
  <c r="T587" i="60"/>
  <c r="S584" i="60"/>
  <c r="S588" i="60"/>
  <c r="W580" i="60"/>
  <c r="T584" i="60"/>
  <c r="X580" i="60"/>
  <c r="K579" i="60"/>
  <c r="S585" i="60"/>
  <c r="W588" i="60"/>
  <c r="X584" i="60"/>
  <c r="L578" i="60"/>
  <c r="W584" i="60"/>
  <c r="T582" i="60"/>
  <c r="T581" i="60"/>
  <c r="W579" i="60"/>
  <c r="X585" i="60"/>
  <c r="D578" i="60"/>
  <c r="K582" i="60"/>
  <c r="T588" i="60"/>
  <c r="W583" i="60"/>
  <c r="W585" i="60"/>
  <c r="W582" i="60"/>
  <c r="T585" i="60"/>
  <c r="O578" i="60"/>
  <c r="P578" i="60" s="1"/>
  <c r="K578" i="60"/>
  <c r="X610" i="60"/>
  <c r="L600" i="60"/>
  <c r="L601" i="60"/>
  <c r="O601" i="60"/>
  <c r="P601" i="60" s="1"/>
  <c r="T610" i="60"/>
  <c r="X602" i="60"/>
  <c r="T603" i="60"/>
  <c r="D600" i="60"/>
  <c r="G601" i="60"/>
  <c r="H601" i="60"/>
  <c r="K604" i="60"/>
  <c r="K601" i="60"/>
  <c r="S607" i="60"/>
  <c r="S602" i="60"/>
  <c r="W605" i="60"/>
  <c r="W601" i="60"/>
  <c r="S605" i="60"/>
  <c r="X609" i="60"/>
  <c r="X604" i="60"/>
  <c r="C600" i="60"/>
  <c r="W603" i="60"/>
  <c r="K603" i="60"/>
  <c r="X601" i="60"/>
  <c r="W607" i="60"/>
  <c r="T602" i="60"/>
  <c r="X605" i="60"/>
  <c r="T605" i="60"/>
  <c r="T609" i="60"/>
  <c r="L604" i="60"/>
  <c r="T606" i="60"/>
  <c r="O600" i="60"/>
  <c r="P600" i="60" s="1"/>
  <c r="W602" i="60"/>
  <c r="K600" i="60"/>
  <c r="X607" i="60"/>
  <c r="W610" i="60"/>
  <c r="S606" i="60"/>
  <c r="S603" i="60"/>
  <c r="L603" i="60"/>
  <c r="W600" i="60"/>
  <c r="S609" i="60"/>
  <c r="S604" i="60"/>
  <c r="X606" i="60"/>
  <c r="T604" i="60"/>
  <c r="W609" i="60"/>
  <c r="W606" i="60"/>
  <c r="S610" i="60"/>
  <c r="W604" i="60"/>
  <c r="T607" i="60"/>
  <c r="U713" i="57"/>
  <c r="X713" i="57" s="1"/>
  <c r="E710" i="57"/>
  <c r="U710" i="57"/>
  <c r="Q713" i="57"/>
  <c r="T713" i="57" s="1"/>
  <c r="Q718" i="57"/>
  <c r="U718" i="57"/>
  <c r="X718" i="57" s="1"/>
  <c r="I710" i="57"/>
  <c r="E711" i="57"/>
  <c r="U716" i="57"/>
  <c r="I711" i="57"/>
  <c r="L711" i="57" s="1"/>
  <c r="Q710" i="57"/>
  <c r="S654" i="57"/>
  <c r="T654" i="57" s="1"/>
  <c r="W647" i="57"/>
  <c r="K648" i="57"/>
  <c r="L648" i="57" s="1"/>
  <c r="W653" i="57"/>
  <c r="X653" i="57" s="1"/>
  <c r="S649" i="57"/>
  <c r="T649" i="57" s="1"/>
  <c r="S648" i="57"/>
  <c r="T648" i="57" s="1"/>
  <c r="S650" i="57"/>
  <c r="W651" i="57"/>
  <c r="X651" i="57" s="1"/>
  <c r="W649" i="57"/>
  <c r="X649" i="57" s="1"/>
  <c r="S646" i="57"/>
  <c r="T646" i="57" s="1"/>
  <c r="W646" i="57"/>
  <c r="X646" i="57" s="1"/>
  <c r="W645" i="57"/>
  <c r="X645" i="57" s="1"/>
  <c r="S653" i="57"/>
  <c r="T653" i="57" s="1"/>
  <c r="W654" i="57"/>
  <c r="X654" i="57" s="1"/>
  <c r="O644" i="57"/>
  <c r="P644" i="57" s="1"/>
  <c r="W650" i="57"/>
  <c r="S651" i="57"/>
  <c r="T651" i="57" s="1"/>
  <c r="S647" i="57"/>
  <c r="W648" i="57"/>
  <c r="X648" i="57" s="1"/>
  <c r="O645" i="57"/>
  <c r="P645" i="57" s="1"/>
  <c r="I535" i="59"/>
  <c r="W665" i="57"/>
  <c r="X665" i="57" s="1"/>
  <c r="O656" i="57"/>
  <c r="P656" i="57" s="1"/>
  <c r="W658" i="57"/>
  <c r="S660" i="57"/>
  <c r="T660" i="57" s="1"/>
  <c r="W660" i="57"/>
  <c r="X660" i="57" s="1"/>
  <c r="S659" i="57"/>
  <c r="T659" i="57" s="1"/>
  <c r="K659" i="57"/>
  <c r="L659" i="57" s="1"/>
  <c r="O655" i="57"/>
  <c r="P655" i="57" s="1"/>
  <c r="S662" i="57"/>
  <c r="T662" i="57" s="1"/>
  <c r="W664" i="57"/>
  <c r="X664" i="57" s="1"/>
  <c r="W656" i="57"/>
  <c r="X656" i="57" s="1"/>
  <c r="W661" i="57"/>
  <c r="S658" i="57"/>
  <c r="W655" i="57"/>
  <c r="W662" i="57"/>
  <c r="X662" i="57" s="1"/>
  <c r="S661" i="57"/>
  <c r="S664" i="57"/>
  <c r="T664" i="57" s="1"/>
  <c r="S665" i="57"/>
  <c r="T665" i="57" s="1"/>
  <c r="S657" i="57"/>
  <c r="T657" i="57" s="1"/>
  <c r="W657" i="57"/>
  <c r="X657" i="57" s="1"/>
  <c r="W659" i="57"/>
  <c r="X659" i="57" s="1"/>
  <c r="O645" i="59"/>
  <c r="P645" i="59" s="1"/>
  <c r="W647" i="59"/>
  <c r="K648" i="59"/>
  <c r="L648" i="59" s="1"/>
  <c r="S647" i="59"/>
  <c r="S654" i="59"/>
  <c r="T654" i="59" s="1"/>
  <c r="W645" i="59"/>
  <c r="X645" i="59" s="1"/>
  <c r="S648" i="59"/>
  <c r="T648" i="59" s="1"/>
  <c r="S649" i="59"/>
  <c r="T649" i="59" s="1"/>
  <c r="S653" i="59"/>
  <c r="T653" i="59" s="1"/>
  <c r="O644" i="59"/>
  <c r="P644" i="59" s="1"/>
  <c r="W646" i="59"/>
  <c r="X646" i="59" s="1"/>
  <c r="W649" i="59"/>
  <c r="X649" i="59" s="1"/>
  <c r="S650" i="59"/>
  <c r="W650" i="59"/>
  <c r="W648" i="59"/>
  <c r="X648" i="59" s="1"/>
  <c r="W651" i="59"/>
  <c r="X651" i="59" s="1"/>
  <c r="S651" i="59"/>
  <c r="T651" i="59" s="1"/>
  <c r="W653" i="59"/>
  <c r="X653" i="59" s="1"/>
  <c r="K645" i="59"/>
  <c r="W654" i="59"/>
  <c r="X654" i="59" s="1"/>
  <c r="S646" i="59"/>
  <c r="T646" i="59" s="1"/>
  <c r="E578" i="59"/>
  <c r="E623" i="59"/>
  <c r="U628" i="59"/>
  <c r="Q754" i="57"/>
  <c r="I755" i="57"/>
  <c r="L755" i="57" s="1"/>
  <c r="I754" i="57"/>
  <c r="L754" i="57" s="1"/>
  <c r="U757" i="57"/>
  <c r="X757" i="57" s="1"/>
  <c r="E754" i="57"/>
  <c r="U754" i="57"/>
  <c r="Q762" i="57"/>
  <c r="U762" i="57"/>
  <c r="U760" i="57"/>
  <c r="Q757" i="57"/>
  <c r="E755" i="57"/>
  <c r="U735" i="57"/>
  <c r="E732" i="57"/>
  <c r="U732" i="57"/>
  <c r="E733" i="57"/>
  <c r="H733" i="57" s="1"/>
  <c r="Q735" i="57"/>
  <c r="Q740" i="57"/>
  <c r="U740" i="57"/>
  <c r="I732" i="57"/>
  <c r="U738" i="57"/>
  <c r="Q732" i="57"/>
  <c r="I733" i="57"/>
  <c r="L733" i="57" s="1"/>
  <c r="Q531" i="59"/>
  <c r="E523" i="59"/>
  <c r="Q614" i="59"/>
  <c r="I611" i="59"/>
  <c r="U617" i="59"/>
  <c r="Q611" i="59"/>
  <c r="E612" i="59"/>
  <c r="H612" i="59" s="1"/>
  <c r="U611" i="59"/>
  <c r="Q619" i="59"/>
  <c r="U614" i="59"/>
  <c r="U619" i="59"/>
  <c r="E611" i="59"/>
  <c r="I612" i="59"/>
  <c r="Q743" i="57"/>
  <c r="I744" i="57"/>
  <c r="L744" i="57" s="1"/>
  <c r="I743" i="57"/>
  <c r="U746" i="57"/>
  <c r="E743" i="57"/>
  <c r="U743" i="57"/>
  <c r="Q751" i="57"/>
  <c r="U751" i="57"/>
  <c r="Q746" i="57"/>
  <c r="T746" i="57" s="1"/>
  <c r="U749" i="57"/>
  <c r="E744" i="57"/>
  <c r="Q688" i="57"/>
  <c r="I689" i="57"/>
  <c r="L689" i="57" s="1"/>
  <c r="U696" i="57"/>
  <c r="X696" i="57" s="1"/>
  <c r="U691" i="57"/>
  <c r="E688" i="57"/>
  <c r="U688" i="57"/>
  <c r="X688" i="57" s="1"/>
  <c r="Q696" i="57"/>
  <c r="T696" i="57" s="1"/>
  <c r="I688" i="57"/>
  <c r="Q691" i="57"/>
  <c r="T691" i="57" s="1"/>
  <c r="U694" i="57"/>
  <c r="E689" i="57"/>
  <c r="H689" i="57" s="1"/>
  <c r="I678" i="57"/>
  <c r="L678" i="57" s="1"/>
  <c r="U685" i="57"/>
  <c r="E678" i="57"/>
  <c r="H678" i="57" s="1"/>
  <c r="E667" i="57"/>
  <c r="H667" i="57" s="1"/>
  <c r="U672" i="57"/>
  <c r="X672" i="57" s="1"/>
  <c r="Q669" i="57"/>
  <c r="U669" i="57"/>
  <c r="X669" i="57" s="1"/>
  <c r="E666" i="57"/>
  <c r="Q666" i="57"/>
  <c r="I667" i="57"/>
  <c r="L667" i="57" s="1"/>
  <c r="U666" i="57"/>
  <c r="X666" i="57" s="1"/>
  <c r="I666" i="57"/>
  <c r="Q674" i="57"/>
  <c r="U674" i="57"/>
  <c r="U724" i="57"/>
  <c r="X724" i="57" s="1"/>
  <c r="E721" i="57"/>
  <c r="U721" i="57"/>
  <c r="Q724" i="57"/>
  <c r="Q729" i="57"/>
  <c r="U729" i="57"/>
  <c r="X729" i="57" s="1"/>
  <c r="I721" i="57"/>
  <c r="L721" i="57" s="1"/>
  <c r="E722" i="57"/>
  <c r="H722" i="57" s="1"/>
  <c r="U727" i="57"/>
  <c r="Q721" i="57"/>
  <c r="I722" i="57"/>
  <c r="L722" i="57" s="1"/>
  <c r="S566" i="59"/>
  <c r="T566" i="59" s="1"/>
  <c r="G557" i="59"/>
  <c r="W561" i="59"/>
  <c r="X561" i="59" s="1"/>
  <c r="W559" i="59"/>
  <c r="W557" i="59"/>
  <c r="X557" i="59" s="1"/>
  <c r="W562" i="59"/>
  <c r="W566" i="59"/>
  <c r="X566" i="59" s="1"/>
  <c r="C556" i="59"/>
  <c r="S560" i="59"/>
  <c r="T560" i="59" s="1"/>
  <c r="W560" i="59"/>
  <c r="X560" i="59" s="1"/>
  <c r="S563" i="59"/>
  <c r="T563" i="59" s="1"/>
  <c r="S558" i="59"/>
  <c r="T558" i="59" s="1"/>
  <c r="D556" i="59"/>
  <c r="W563" i="59"/>
  <c r="X563" i="59" s="1"/>
  <c r="S564" i="59"/>
  <c r="S559" i="59"/>
  <c r="O557" i="59"/>
  <c r="P557" i="59" s="1"/>
  <c r="K557" i="59"/>
  <c r="S565" i="59"/>
  <c r="T565" i="59" s="1"/>
  <c r="W558" i="59"/>
  <c r="X558" i="59" s="1"/>
  <c r="K560" i="59"/>
  <c r="L560" i="59" s="1"/>
  <c r="W565" i="59"/>
  <c r="X565" i="59" s="1"/>
  <c r="S561" i="59"/>
  <c r="T561" i="59" s="1"/>
  <c r="O556" i="59"/>
  <c r="P556" i="59" s="1"/>
  <c r="S562" i="59"/>
  <c r="E700" i="57"/>
  <c r="U705" i="57"/>
  <c r="Q702" i="57"/>
  <c r="T702" i="57" s="1"/>
  <c r="U702" i="57"/>
  <c r="U699" i="57"/>
  <c r="X699" i="57" s="1"/>
  <c r="Q699" i="57"/>
  <c r="I700" i="57"/>
  <c r="L700" i="57" s="1"/>
  <c r="E699" i="57"/>
  <c r="I699" i="57"/>
  <c r="Q707" i="57"/>
  <c r="T707" i="57" s="1"/>
  <c r="U707" i="57"/>
  <c r="Q548" i="59"/>
  <c r="E545" i="59"/>
  <c r="U548" i="59"/>
  <c r="I545" i="59"/>
  <c r="U545" i="59"/>
  <c r="I546" i="59"/>
  <c r="Q553" i="59"/>
  <c r="U551" i="59"/>
  <c r="E546" i="59"/>
  <c r="Q545" i="59"/>
  <c r="U553" i="59"/>
  <c r="X511" i="60"/>
  <c r="X502" i="60"/>
  <c r="C501" i="60"/>
  <c r="S502" i="60"/>
  <c r="O501" i="60"/>
  <c r="P501" i="60" s="1"/>
  <c r="K502" i="60"/>
  <c r="W503" i="60"/>
  <c r="D501" i="60"/>
  <c r="W502" i="60"/>
  <c r="W504" i="60"/>
  <c r="W508" i="60"/>
  <c r="S504" i="60"/>
  <c r="X506" i="60"/>
  <c r="X505" i="60"/>
  <c r="S507" i="60"/>
  <c r="S511" i="60"/>
  <c r="T502" i="60"/>
  <c r="S503" i="60"/>
  <c r="K505" i="60"/>
  <c r="T511" i="60"/>
  <c r="S505" i="60"/>
  <c r="X509" i="60"/>
  <c r="T504" i="60"/>
  <c r="G502" i="60"/>
  <c r="T503" i="60"/>
  <c r="L505" i="60"/>
  <c r="T509" i="60"/>
  <c r="X504" i="60"/>
  <c r="S510" i="60"/>
  <c r="T506" i="60"/>
  <c r="W509" i="60"/>
  <c r="X507" i="60"/>
  <c r="W505" i="60"/>
  <c r="S508" i="60"/>
  <c r="W507" i="60"/>
  <c r="T510" i="60"/>
  <c r="H502" i="60"/>
  <c r="T507" i="60"/>
  <c r="S506" i="60"/>
  <c r="T508" i="60"/>
  <c r="L502" i="60"/>
  <c r="T505" i="60"/>
  <c r="O502" i="60"/>
  <c r="P502" i="60" s="1"/>
  <c r="W506" i="60"/>
  <c r="W510" i="60"/>
  <c r="X510" i="60"/>
  <c r="S509" i="60"/>
  <c r="X503" i="60"/>
  <c r="X508" i="60"/>
  <c r="W511" i="60"/>
  <c r="Q238" i="59"/>
  <c r="U238" i="59"/>
  <c r="H239" i="59"/>
  <c r="L239" i="59"/>
  <c r="Q239" i="59"/>
  <c r="U239" i="59"/>
  <c r="H240" i="59"/>
  <c r="I240" i="59"/>
  <c r="H241" i="59"/>
  <c r="I241" i="59"/>
  <c r="Q241" i="59"/>
  <c r="U241" i="59"/>
  <c r="H242" i="59"/>
  <c r="L242" i="59"/>
  <c r="Q242" i="59"/>
  <c r="U242" i="59"/>
  <c r="H243" i="59"/>
  <c r="L243" i="59"/>
  <c r="H244" i="59"/>
  <c r="L244" i="59"/>
  <c r="Q244" i="59"/>
  <c r="U244" i="59"/>
  <c r="H245" i="59"/>
  <c r="L245" i="59"/>
  <c r="H246" i="59"/>
  <c r="L246" i="59"/>
  <c r="Q246" i="59"/>
  <c r="U246" i="59"/>
  <c r="H247" i="59"/>
  <c r="L247" i="59"/>
  <c r="Q247" i="59"/>
  <c r="U247" i="59"/>
  <c r="Q249" i="59"/>
  <c r="U249" i="59"/>
  <c r="H250" i="59"/>
  <c r="L250" i="59"/>
  <c r="Q250" i="59"/>
  <c r="U250" i="59"/>
  <c r="H251" i="59"/>
  <c r="I251" i="59"/>
  <c r="H252" i="59"/>
  <c r="I252" i="59"/>
  <c r="Q252" i="59"/>
  <c r="U252" i="59"/>
  <c r="H253" i="59"/>
  <c r="L253" i="59"/>
  <c r="Q253" i="59"/>
  <c r="U253" i="59"/>
  <c r="H254" i="59"/>
  <c r="L254" i="59"/>
  <c r="H255" i="59"/>
  <c r="L255" i="59"/>
  <c r="Q255" i="59"/>
  <c r="U255" i="59"/>
  <c r="H256" i="59"/>
  <c r="L256" i="59"/>
  <c r="H257" i="59"/>
  <c r="L257" i="59"/>
  <c r="Q257" i="59"/>
  <c r="U257" i="59"/>
  <c r="H258" i="59"/>
  <c r="L258" i="59"/>
  <c r="Q258" i="59"/>
  <c r="U258" i="59"/>
  <c r="Q260" i="59"/>
  <c r="U260" i="59"/>
  <c r="H261" i="59"/>
  <c r="L261" i="59"/>
  <c r="Q261" i="59"/>
  <c r="U261" i="59"/>
  <c r="H262" i="59"/>
  <c r="I262" i="59"/>
  <c r="H263" i="59"/>
  <c r="I263" i="59"/>
  <c r="Q263" i="59"/>
  <c r="U263" i="59"/>
  <c r="H264" i="59"/>
  <c r="L264" i="59"/>
  <c r="Q264" i="59"/>
  <c r="U264" i="59"/>
  <c r="H265" i="59"/>
  <c r="L265" i="59"/>
  <c r="H266" i="59"/>
  <c r="L266" i="59"/>
  <c r="Q266" i="59"/>
  <c r="U266" i="59"/>
  <c r="H267" i="59"/>
  <c r="L267" i="59"/>
  <c r="H268" i="59"/>
  <c r="L268" i="59"/>
  <c r="Q268" i="59"/>
  <c r="U268" i="59"/>
  <c r="H269" i="59"/>
  <c r="L269" i="59"/>
  <c r="Q269" i="59"/>
  <c r="U269" i="59"/>
  <c r="X691" i="57" l="1"/>
  <c r="T751" i="57"/>
  <c r="T806" i="57"/>
  <c r="X721" i="57"/>
  <c r="X812" i="57"/>
  <c r="X705" i="57"/>
  <c r="T740" i="57"/>
  <c r="H700" i="57"/>
  <c r="X694" i="57"/>
  <c r="X738" i="57"/>
  <c r="X735" i="57"/>
  <c r="X815" i="57"/>
  <c r="T669" i="57"/>
  <c r="T674" i="57"/>
  <c r="Q680" i="57"/>
  <c r="T680" i="57" s="1"/>
  <c r="E677" i="57"/>
  <c r="U680" i="57"/>
  <c r="X680" i="57" s="1"/>
  <c r="L688" i="57"/>
  <c r="U531" i="59"/>
  <c r="X732" i="57"/>
  <c r="U540" i="59"/>
  <c r="X540" i="59" s="1"/>
  <c r="U683" i="57"/>
  <c r="Q534" i="59"/>
  <c r="T801" i="57"/>
  <c r="I677" i="57"/>
  <c r="L677" i="57" s="1"/>
  <c r="X749" i="57"/>
  <c r="Q523" i="59"/>
  <c r="L699" i="57"/>
  <c r="U677" i="57"/>
  <c r="X677" i="57" s="1"/>
  <c r="Q685" i="57"/>
  <c r="U523" i="59"/>
  <c r="Q526" i="59"/>
  <c r="T735" i="57"/>
  <c r="X809" i="57"/>
  <c r="Y798" i="60"/>
  <c r="AC804" i="60" s="1"/>
  <c r="E799" i="60"/>
  <c r="Q801" i="60"/>
  <c r="U806" i="60"/>
  <c r="Q798" i="60"/>
  <c r="I799" i="60"/>
  <c r="U801" i="60"/>
  <c r="Q806" i="60"/>
  <c r="E798" i="60"/>
  <c r="U798" i="60"/>
  <c r="U804" i="60"/>
  <c r="I798" i="60"/>
  <c r="Q592" i="59"/>
  <c r="T685" i="57"/>
  <c r="X685" i="57"/>
  <c r="X754" i="57"/>
  <c r="X727" i="57"/>
  <c r="L611" i="59"/>
  <c r="L612" i="59"/>
  <c r="I534" i="59"/>
  <c r="U537" i="59"/>
  <c r="X537" i="59" s="1"/>
  <c r="Q537" i="59"/>
  <c r="T537" i="59" s="1"/>
  <c r="U534" i="59"/>
  <c r="U542" i="59"/>
  <c r="Q542" i="59"/>
  <c r="E534" i="59"/>
  <c r="U529" i="59"/>
  <c r="X529" i="59" s="1"/>
  <c r="E524" i="59"/>
  <c r="H524" i="59" s="1"/>
  <c r="U526" i="59"/>
  <c r="X526" i="59" s="1"/>
  <c r="U584" i="59"/>
  <c r="X584" i="59" s="1"/>
  <c r="Q603" i="59"/>
  <c r="T603" i="59" s="1"/>
  <c r="I524" i="59"/>
  <c r="L524" i="59" s="1"/>
  <c r="U578" i="59"/>
  <c r="L710" i="57"/>
  <c r="T757" i="57"/>
  <c r="X716" i="57"/>
  <c r="T718" i="57"/>
  <c r="T729" i="57"/>
  <c r="X683" i="57"/>
  <c r="X743" i="57"/>
  <c r="H711" i="57"/>
  <c r="X760" i="57"/>
  <c r="T526" i="59"/>
  <c r="T724" i="57"/>
  <c r="L535" i="59"/>
  <c r="H535" i="59"/>
  <c r="U606" i="59"/>
  <c r="X606" i="59" s="1"/>
  <c r="X617" i="59"/>
  <c r="X523" i="59"/>
  <c r="I733" i="60"/>
  <c r="Q732" i="60"/>
  <c r="Q735" i="60"/>
  <c r="E733" i="60"/>
  <c r="I732" i="60"/>
  <c r="U738" i="60"/>
  <c r="Q740" i="60"/>
  <c r="U732" i="60"/>
  <c r="U740" i="60"/>
  <c r="U735" i="60"/>
  <c r="E732" i="60"/>
  <c r="U718" i="59"/>
  <c r="X718" i="59" s="1"/>
  <c r="I710" i="59"/>
  <c r="L710" i="59" s="1"/>
  <c r="U713" i="59"/>
  <c r="X713" i="59" s="1"/>
  <c r="Q718" i="59"/>
  <c r="T718" i="59" s="1"/>
  <c r="Q713" i="59"/>
  <c r="T713" i="59" s="1"/>
  <c r="U716" i="59"/>
  <c r="X716" i="59" s="1"/>
  <c r="U710" i="59"/>
  <c r="I711" i="59"/>
  <c r="L711" i="59" s="1"/>
  <c r="E711" i="59"/>
  <c r="H711" i="59" s="1"/>
  <c r="E710" i="59"/>
  <c r="Q710" i="59"/>
  <c r="U702" i="60"/>
  <c r="U699" i="60"/>
  <c r="I700" i="60"/>
  <c r="Q699" i="60"/>
  <c r="U705" i="60"/>
  <c r="Q702" i="60"/>
  <c r="I699" i="60"/>
  <c r="E700" i="60"/>
  <c r="U707" i="60"/>
  <c r="Q707" i="60"/>
  <c r="E699" i="60"/>
  <c r="Q691" i="59"/>
  <c r="T691" i="59" s="1"/>
  <c r="Q696" i="59"/>
  <c r="T696" i="59" s="1"/>
  <c r="I689" i="59"/>
  <c r="L689" i="59" s="1"/>
  <c r="U694" i="59"/>
  <c r="X694" i="59" s="1"/>
  <c r="U691" i="59"/>
  <c r="X691" i="59" s="1"/>
  <c r="Q688" i="59"/>
  <c r="U688" i="59"/>
  <c r="X688" i="59" s="1"/>
  <c r="U696" i="59"/>
  <c r="X696" i="59" s="1"/>
  <c r="E689" i="59"/>
  <c r="H689" i="59" s="1"/>
  <c r="I688" i="59"/>
  <c r="L688" i="59" s="1"/>
  <c r="E688" i="59"/>
  <c r="I743" i="60"/>
  <c r="E744" i="60"/>
  <c r="Q751" i="60"/>
  <c r="U743" i="60"/>
  <c r="U749" i="60"/>
  <c r="I744" i="60"/>
  <c r="U751" i="60"/>
  <c r="Q746" i="60"/>
  <c r="Q743" i="60"/>
  <c r="U746" i="60"/>
  <c r="E743" i="60"/>
  <c r="Q790" i="57"/>
  <c r="T790" i="57" s="1"/>
  <c r="U787" i="57"/>
  <c r="X787" i="57" s="1"/>
  <c r="I788" i="57"/>
  <c r="L788" i="57" s="1"/>
  <c r="Q795" i="57"/>
  <c r="U795" i="57"/>
  <c r="E788" i="57"/>
  <c r="H788" i="57" s="1"/>
  <c r="Q787" i="57"/>
  <c r="U793" i="57"/>
  <c r="X793" i="57" s="1"/>
  <c r="E787" i="57"/>
  <c r="I787" i="57"/>
  <c r="U790" i="57"/>
  <c r="X790" i="57" s="1"/>
  <c r="Q746" i="59"/>
  <c r="T746" i="59" s="1"/>
  <c r="Q743" i="59"/>
  <c r="I744" i="59"/>
  <c r="L744" i="59" s="1"/>
  <c r="U749" i="59"/>
  <c r="X749" i="59" s="1"/>
  <c r="E744" i="59"/>
  <c r="I743" i="59"/>
  <c r="U751" i="59"/>
  <c r="E743" i="59"/>
  <c r="U746" i="59"/>
  <c r="U743" i="59"/>
  <c r="X743" i="59" s="1"/>
  <c r="Q751" i="59"/>
  <c r="T751" i="59" s="1"/>
  <c r="U757" i="60"/>
  <c r="Q754" i="60"/>
  <c r="I754" i="60"/>
  <c r="U754" i="60"/>
  <c r="E755" i="60"/>
  <c r="E754" i="60"/>
  <c r="I755" i="60"/>
  <c r="U760" i="60"/>
  <c r="Q757" i="60"/>
  <c r="U762" i="60"/>
  <c r="Q762" i="60"/>
  <c r="U688" i="60"/>
  <c r="I688" i="60"/>
  <c r="Q696" i="60"/>
  <c r="U694" i="60"/>
  <c r="Q688" i="60"/>
  <c r="U696" i="60"/>
  <c r="Q691" i="60"/>
  <c r="E689" i="60"/>
  <c r="U691" i="60"/>
  <c r="E688" i="60"/>
  <c r="I689" i="60"/>
  <c r="U680" i="60"/>
  <c r="U685" i="60"/>
  <c r="E678" i="60"/>
  <c r="Q685" i="60"/>
  <c r="Q680" i="60"/>
  <c r="E677" i="60"/>
  <c r="Q677" i="60"/>
  <c r="I678" i="60"/>
  <c r="I677" i="60"/>
  <c r="U683" i="60"/>
  <c r="U677" i="60"/>
  <c r="U713" i="60"/>
  <c r="Q710" i="60"/>
  <c r="U710" i="60"/>
  <c r="U716" i="60"/>
  <c r="Q718" i="60"/>
  <c r="I711" i="60"/>
  <c r="E710" i="60"/>
  <c r="E711" i="60"/>
  <c r="Q713" i="60"/>
  <c r="I710" i="60"/>
  <c r="U718" i="60"/>
  <c r="Q776" i="57"/>
  <c r="U779" i="57"/>
  <c r="Q779" i="57"/>
  <c r="T779" i="57" s="1"/>
  <c r="E776" i="57"/>
  <c r="U784" i="57"/>
  <c r="Q784" i="57"/>
  <c r="U782" i="57"/>
  <c r="X782" i="57" s="1"/>
  <c r="U776" i="57"/>
  <c r="X776" i="57" s="1"/>
  <c r="I776" i="57"/>
  <c r="E777" i="57"/>
  <c r="H777" i="57" s="1"/>
  <c r="I777" i="57"/>
  <c r="L777" i="57" s="1"/>
  <c r="U790" i="59"/>
  <c r="X790" i="59" s="1"/>
  <c r="E788" i="59"/>
  <c r="Q787" i="59"/>
  <c r="U795" i="59"/>
  <c r="U793" i="59"/>
  <c r="X793" i="59" s="1"/>
  <c r="E787" i="59"/>
  <c r="Q790" i="59"/>
  <c r="T790" i="59" s="1"/>
  <c r="I788" i="59"/>
  <c r="L788" i="59" s="1"/>
  <c r="Q795" i="59"/>
  <c r="I787" i="59"/>
  <c r="U787" i="59"/>
  <c r="X787" i="59" s="1"/>
  <c r="U724" i="59"/>
  <c r="X724" i="59" s="1"/>
  <c r="E722" i="59"/>
  <c r="H722" i="59" s="1"/>
  <c r="Q724" i="59"/>
  <c r="T724" i="59" s="1"/>
  <c r="I721" i="59"/>
  <c r="L721" i="59" s="1"/>
  <c r="U721" i="59"/>
  <c r="X721" i="59" s="1"/>
  <c r="Q729" i="59"/>
  <c r="T729" i="59" s="1"/>
  <c r="I722" i="59"/>
  <c r="L722" i="59" s="1"/>
  <c r="U729" i="59"/>
  <c r="X729" i="59" s="1"/>
  <c r="Q721" i="59"/>
  <c r="E721" i="59"/>
  <c r="U727" i="59"/>
  <c r="X727" i="59" s="1"/>
  <c r="Q702" i="59"/>
  <c r="T702" i="59" s="1"/>
  <c r="Q699" i="59"/>
  <c r="E699" i="59"/>
  <c r="I699" i="59"/>
  <c r="L699" i="59" s="1"/>
  <c r="I700" i="59"/>
  <c r="L700" i="59" s="1"/>
  <c r="Q707" i="59"/>
  <c r="T707" i="59" s="1"/>
  <c r="E700" i="59"/>
  <c r="H700" i="59" s="1"/>
  <c r="U705" i="59"/>
  <c r="X705" i="59" s="1"/>
  <c r="U699" i="59"/>
  <c r="X699" i="59" s="1"/>
  <c r="U702" i="59"/>
  <c r="U707" i="59"/>
  <c r="U812" i="60"/>
  <c r="Q817" i="60"/>
  <c r="U815" i="60"/>
  <c r="E810" i="60"/>
  <c r="U817" i="60"/>
  <c r="Q809" i="60"/>
  <c r="E809" i="60"/>
  <c r="I810" i="60"/>
  <c r="U809" i="60"/>
  <c r="Q812" i="60"/>
  <c r="I809" i="60"/>
  <c r="U669" i="60"/>
  <c r="I667" i="60"/>
  <c r="E666" i="60"/>
  <c r="E667" i="60"/>
  <c r="U674" i="60"/>
  <c r="Q669" i="60"/>
  <c r="U672" i="60"/>
  <c r="I666" i="60"/>
  <c r="Q666" i="60"/>
  <c r="Q674" i="60"/>
  <c r="U666" i="60"/>
  <c r="U740" i="59"/>
  <c r="U732" i="59"/>
  <c r="X732" i="59" s="1"/>
  <c r="I732" i="59"/>
  <c r="Q740" i="59"/>
  <c r="T740" i="59" s="1"/>
  <c r="I733" i="59"/>
  <c r="L733" i="59" s="1"/>
  <c r="U738" i="59"/>
  <c r="X738" i="59" s="1"/>
  <c r="Q732" i="59"/>
  <c r="U735" i="59"/>
  <c r="X735" i="59" s="1"/>
  <c r="E732" i="59"/>
  <c r="Q735" i="59"/>
  <c r="T735" i="59" s="1"/>
  <c r="E733" i="59"/>
  <c r="H733" i="59" s="1"/>
  <c r="Q779" i="59"/>
  <c r="T779" i="59" s="1"/>
  <c r="I777" i="59"/>
  <c r="L777" i="59" s="1"/>
  <c r="U776" i="59"/>
  <c r="X776" i="59" s="1"/>
  <c r="Q784" i="59"/>
  <c r="I776" i="59"/>
  <c r="U779" i="59"/>
  <c r="Q776" i="59"/>
  <c r="U784" i="59"/>
  <c r="E776" i="59"/>
  <c r="U782" i="59"/>
  <c r="X782" i="59" s="1"/>
  <c r="E777" i="59"/>
  <c r="U658" i="60"/>
  <c r="I655" i="60"/>
  <c r="E655" i="60"/>
  <c r="E656" i="60"/>
  <c r="U661" i="60"/>
  <c r="Q655" i="60"/>
  <c r="U663" i="60"/>
  <c r="Q658" i="60"/>
  <c r="U655" i="60"/>
  <c r="Q663" i="60"/>
  <c r="I656" i="60"/>
  <c r="I721" i="60"/>
  <c r="U721" i="60"/>
  <c r="I722" i="60"/>
  <c r="U729" i="60"/>
  <c r="Q724" i="60"/>
  <c r="Q721" i="60"/>
  <c r="Q729" i="60"/>
  <c r="E722" i="60"/>
  <c r="U727" i="60"/>
  <c r="E721" i="60"/>
  <c r="U724" i="60"/>
  <c r="Q680" i="59"/>
  <c r="T680" i="59" s="1"/>
  <c r="Q677" i="59"/>
  <c r="I678" i="59"/>
  <c r="L678" i="59" s="1"/>
  <c r="E678" i="59"/>
  <c r="H678" i="59" s="1"/>
  <c r="U683" i="59"/>
  <c r="X683" i="59" s="1"/>
  <c r="U677" i="59"/>
  <c r="X677" i="59" s="1"/>
  <c r="U680" i="59"/>
  <c r="X680" i="59" s="1"/>
  <c r="E677" i="59"/>
  <c r="I677" i="59"/>
  <c r="L677" i="59" s="1"/>
  <c r="U685" i="59"/>
  <c r="X685" i="59" s="1"/>
  <c r="Q685" i="59"/>
  <c r="T685" i="59" s="1"/>
  <c r="I656" i="59"/>
  <c r="L656" i="59" s="1"/>
  <c r="U655" i="59"/>
  <c r="X655" i="59" s="1"/>
  <c r="Q658" i="59"/>
  <c r="T658" i="59" s="1"/>
  <c r="U663" i="59"/>
  <c r="I655" i="59"/>
  <c r="U658" i="59"/>
  <c r="X658" i="59" s="1"/>
  <c r="E655" i="59"/>
  <c r="U661" i="59"/>
  <c r="X661" i="59" s="1"/>
  <c r="Q663" i="59"/>
  <c r="Q655" i="59"/>
  <c r="E656" i="59"/>
  <c r="Q773" i="57"/>
  <c r="T773" i="57" s="1"/>
  <c r="U773" i="57"/>
  <c r="I765" i="57"/>
  <c r="E766" i="57"/>
  <c r="H766" i="57" s="1"/>
  <c r="Q768" i="57"/>
  <c r="T768" i="57" s="1"/>
  <c r="Q765" i="57"/>
  <c r="I766" i="57"/>
  <c r="L766" i="57" s="1"/>
  <c r="U768" i="57"/>
  <c r="X768" i="57" s="1"/>
  <c r="U771" i="57"/>
  <c r="X771" i="57" s="1"/>
  <c r="E765" i="57"/>
  <c r="U765" i="57"/>
  <c r="X765" i="57" s="1"/>
  <c r="Q757" i="59"/>
  <c r="T757" i="59" s="1"/>
  <c r="I755" i="59"/>
  <c r="L755" i="59" s="1"/>
  <c r="U754" i="59"/>
  <c r="X754" i="59" s="1"/>
  <c r="I754" i="59"/>
  <c r="L754" i="59" s="1"/>
  <c r="Q762" i="59"/>
  <c r="Q754" i="59"/>
  <c r="E754" i="59"/>
  <c r="U762" i="59"/>
  <c r="U760" i="59"/>
  <c r="X760" i="59" s="1"/>
  <c r="E755" i="59"/>
  <c r="U757" i="59"/>
  <c r="X757" i="59" s="1"/>
  <c r="U773" i="59"/>
  <c r="U771" i="59"/>
  <c r="X771" i="59" s="1"/>
  <c r="U768" i="59"/>
  <c r="X768" i="59" s="1"/>
  <c r="E766" i="59"/>
  <c r="H766" i="59" s="1"/>
  <c r="Q765" i="59"/>
  <c r="E765" i="59"/>
  <c r="U765" i="59"/>
  <c r="X765" i="59" s="1"/>
  <c r="Q768" i="59"/>
  <c r="T768" i="59" s="1"/>
  <c r="Q773" i="59"/>
  <c r="T773" i="59" s="1"/>
  <c r="I765" i="59"/>
  <c r="I766" i="59"/>
  <c r="L766" i="59" s="1"/>
  <c r="U768" i="60"/>
  <c r="E765" i="60"/>
  <c r="I765" i="60"/>
  <c r="E766" i="60"/>
  <c r="U765" i="60"/>
  <c r="U771" i="60"/>
  <c r="Q765" i="60"/>
  <c r="I766" i="60"/>
  <c r="U773" i="60"/>
  <c r="Q768" i="60"/>
  <c r="Q773" i="60"/>
  <c r="U672" i="59"/>
  <c r="X672" i="59" s="1"/>
  <c r="Q674" i="59"/>
  <c r="T674" i="59" s="1"/>
  <c r="Q669" i="59"/>
  <c r="T669" i="59" s="1"/>
  <c r="Q666" i="59"/>
  <c r="I666" i="59"/>
  <c r="L666" i="59" s="1"/>
  <c r="U669" i="59"/>
  <c r="X669" i="59" s="1"/>
  <c r="E667" i="59"/>
  <c r="H667" i="59" s="1"/>
  <c r="U674" i="59"/>
  <c r="U666" i="59"/>
  <c r="X666" i="59" s="1"/>
  <c r="E666" i="59"/>
  <c r="I667" i="59"/>
  <c r="L667" i="59" s="1"/>
  <c r="P633" i="60"/>
  <c r="L568" i="59"/>
  <c r="X628" i="59"/>
  <c r="E601" i="59"/>
  <c r="H601" i="59" s="1"/>
  <c r="Q608" i="59"/>
  <c r="U600" i="59"/>
  <c r="E600" i="59"/>
  <c r="I601" i="59"/>
  <c r="L601" i="59" s="1"/>
  <c r="U603" i="59"/>
  <c r="Q600" i="59"/>
  <c r="U608" i="59"/>
  <c r="U630" i="59"/>
  <c r="I623" i="59"/>
  <c r="L623" i="59" s="1"/>
  <c r="I622" i="59"/>
  <c r="I579" i="59"/>
  <c r="L579" i="59" s="1"/>
  <c r="U581" i="59"/>
  <c r="I578" i="59"/>
  <c r="U622" i="59"/>
  <c r="Q625" i="59"/>
  <c r="T625" i="59" s="1"/>
  <c r="Q630" i="59"/>
  <c r="Q586" i="59"/>
  <c r="E579" i="59"/>
  <c r="H579" i="59" s="1"/>
  <c r="Q581" i="59"/>
  <c r="T581" i="59" s="1"/>
  <c r="Q622" i="59"/>
  <c r="U625" i="59"/>
  <c r="U586" i="59"/>
  <c r="X586" i="59" s="1"/>
  <c r="X595" i="59"/>
  <c r="U575" i="59"/>
  <c r="E568" i="59"/>
  <c r="H568" i="59" s="1"/>
  <c r="Q570" i="59"/>
  <c r="Q597" i="59"/>
  <c r="Q589" i="59"/>
  <c r="E589" i="59"/>
  <c r="U592" i="59"/>
  <c r="U636" i="59"/>
  <c r="U597" i="59"/>
  <c r="X597" i="59" s="1"/>
  <c r="U589" i="59"/>
  <c r="I590" i="59"/>
  <c r="L590" i="59" s="1"/>
  <c r="I633" i="59"/>
  <c r="I589" i="59"/>
  <c r="L589" i="59" s="1"/>
  <c r="E590" i="59"/>
  <c r="H590" i="59" s="1"/>
  <c r="E633" i="59"/>
  <c r="Q636" i="59"/>
  <c r="T636" i="59" s="1"/>
  <c r="U639" i="59"/>
  <c r="X639" i="59" s="1"/>
  <c r="U633" i="59"/>
  <c r="Q512" i="59"/>
  <c r="H546" i="59"/>
  <c r="I634" i="59"/>
  <c r="L634" i="59" s="1"/>
  <c r="Q641" i="59"/>
  <c r="Q633" i="59"/>
  <c r="E634" i="59"/>
  <c r="U520" i="59"/>
  <c r="I513" i="59"/>
  <c r="L513" i="59" s="1"/>
  <c r="E512" i="59"/>
  <c r="U512" i="59"/>
  <c r="E513" i="59"/>
  <c r="H513" i="59" s="1"/>
  <c r="U515" i="59"/>
  <c r="X515" i="59" s="1"/>
  <c r="Q515" i="59"/>
  <c r="I512" i="59"/>
  <c r="L512" i="59" s="1"/>
  <c r="U518" i="59"/>
  <c r="X518" i="59" s="1"/>
  <c r="T553" i="59"/>
  <c r="X551" i="59"/>
  <c r="L546" i="59"/>
  <c r="U567" i="59"/>
  <c r="U573" i="59"/>
  <c r="X573" i="59" s="1"/>
  <c r="Q575" i="59"/>
  <c r="E567" i="59"/>
  <c r="I567" i="59"/>
  <c r="L567" i="59" s="1"/>
  <c r="Q567" i="59"/>
  <c r="U570" i="59"/>
  <c r="U603" i="60"/>
  <c r="Q603" i="60"/>
  <c r="I601" i="60"/>
  <c r="U608" i="60"/>
  <c r="Q608" i="60"/>
  <c r="E601" i="60"/>
  <c r="U606" i="60"/>
  <c r="E600" i="60"/>
  <c r="Q600" i="60"/>
  <c r="U600" i="60"/>
  <c r="I600" i="60"/>
  <c r="U592" i="60"/>
  <c r="E590" i="60"/>
  <c r="I590" i="60"/>
  <c r="Q589" i="60"/>
  <c r="Q597" i="60"/>
  <c r="U589" i="60"/>
  <c r="E589" i="60"/>
  <c r="U595" i="60"/>
  <c r="U597" i="60"/>
  <c r="Q592" i="60"/>
  <c r="I589" i="60"/>
  <c r="U526" i="60"/>
  <c r="U531" i="60"/>
  <c r="E524" i="60"/>
  <c r="I524" i="60"/>
  <c r="Q526" i="60"/>
  <c r="Q523" i="60"/>
  <c r="E523" i="60"/>
  <c r="U523" i="60"/>
  <c r="Q531" i="60"/>
  <c r="I523" i="60"/>
  <c r="U529" i="60"/>
  <c r="U636" i="60"/>
  <c r="I633" i="60"/>
  <c r="I634" i="60"/>
  <c r="Q641" i="60"/>
  <c r="U633" i="60"/>
  <c r="E633" i="60"/>
  <c r="E634" i="60"/>
  <c r="U641" i="60"/>
  <c r="Q636" i="60"/>
  <c r="Q633" i="60"/>
  <c r="U639" i="60"/>
  <c r="U581" i="60"/>
  <c r="Q578" i="60"/>
  <c r="I579" i="60"/>
  <c r="Q586" i="60"/>
  <c r="I578" i="60"/>
  <c r="U584" i="60"/>
  <c r="U586" i="60"/>
  <c r="Q581" i="60"/>
  <c r="U578" i="60"/>
  <c r="E579" i="60"/>
  <c r="E578" i="60"/>
  <c r="U515" i="60"/>
  <c r="E512" i="60"/>
  <c r="U512" i="60"/>
  <c r="U520" i="60"/>
  <c r="Q520" i="60"/>
  <c r="E513" i="60"/>
  <c r="Q512" i="60"/>
  <c r="Q515" i="60"/>
  <c r="I512" i="60"/>
  <c r="I513" i="60"/>
  <c r="U518" i="60"/>
  <c r="U537" i="60"/>
  <c r="E534" i="60"/>
  <c r="U540" i="60"/>
  <c r="Q537" i="60"/>
  <c r="U542" i="60"/>
  <c r="Q542" i="60"/>
  <c r="Q534" i="60"/>
  <c r="I534" i="60"/>
  <c r="E535" i="60"/>
  <c r="I535" i="60"/>
  <c r="U534" i="60"/>
  <c r="U570" i="60"/>
  <c r="I568" i="60"/>
  <c r="U573" i="60"/>
  <c r="U575" i="60"/>
  <c r="I567" i="60"/>
  <c r="Q570" i="60"/>
  <c r="E568" i="60"/>
  <c r="E567" i="60"/>
  <c r="Q575" i="60"/>
  <c r="U567" i="60"/>
  <c r="Q567" i="60"/>
  <c r="U548" i="60"/>
  <c r="Q553" i="60"/>
  <c r="U551" i="60"/>
  <c r="E546" i="60"/>
  <c r="E545" i="60"/>
  <c r="Q545" i="60"/>
  <c r="I545" i="60"/>
  <c r="Q548" i="60"/>
  <c r="I546" i="60"/>
  <c r="U545" i="60"/>
  <c r="U553" i="60"/>
  <c r="U614" i="60"/>
  <c r="I612" i="60"/>
  <c r="I611" i="60"/>
  <c r="E611" i="60"/>
  <c r="E612" i="60"/>
  <c r="U619" i="60"/>
  <c r="U617" i="60"/>
  <c r="Q619" i="60"/>
  <c r="U611" i="60"/>
  <c r="Q614" i="60"/>
  <c r="Q611" i="60"/>
  <c r="U625" i="60"/>
  <c r="I623" i="60"/>
  <c r="Q622" i="60"/>
  <c r="U628" i="60"/>
  <c r="U630" i="60"/>
  <c r="Q630" i="60"/>
  <c r="U622" i="60"/>
  <c r="Q625" i="60"/>
  <c r="I622" i="60"/>
  <c r="E623" i="60"/>
  <c r="E622" i="60"/>
  <c r="Q663" i="57"/>
  <c r="U655" i="57"/>
  <c r="X655" i="57" s="1"/>
  <c r="U661" i="57"/>
  <c r="X661" i="57" s="1"/>
  <c r="E656" i="57"/>
  <c r="I655" i="57"/>
  <c r="I656" i="57"/>
  <c r="L656" i="57" s="1"/>
  <c r="Q655" i="57"/>
  <c r="Q658" i="57"/>
  <c r="T658" i="57" s="1"/>
  <c r="U658" i="57"/>
  <c r="X658" i="57" s="1"/>
  <c r="U663" i="57"/>
  <c r="E655" i="57"/>
  <c r="Q652" i="57"/>
  <c r="U652" i="57"/>
  <c r="I644" i="57"/>
  <c r="I645" i="57"/>
  <c r="L645" i="57" s="1"/>
  <c r="E645" i="57"/>
  <c r="U650" i="57"/>
  <c r="X650" i="57" s="1"/>
  <c r="Q647" i="57"/>
  <c r="T647" i="57" s="1"/>
  <c r="Q644" i="57"/>
  <c r="U644" i="57"/>
  <c r="E644" i="57"/>
  <c r="U647" i="57"/>
  <c r="X647" i="57" s="1"/>
  <c r="Q559" i="59"/>
  <c r="T559" i="59" s="1"/>
  <c r="Q556" i="59"/>
  <c r="I556" i="59"/>
  <c r="U562" i="59"/>
  <c r="X562" i="59" s="1"/>
  <c r="U559" i="59"/>
  <c r="X559" i="59" s="1"/>
  <c r="U564" i="59"/>
  <c r="E556" i="59"/>
  <c r="Q564" i="59"/>
  <c r="T564" i="59" s="1"/>
  <c r="E557" i="59"/>
  <c r="H557" i="59" s="1"/>
  <c r="U556" i="59"/>
  <c r="I557" i="59"/>
  <c r="L557" i="59" s="1"/>
  <c r="Q647" i="59"/>
  <c r="T647" i="59" s="1"/>
  <c r="Q644" i="59"/>
  <c r="U650" i="59"/>
  <c r="X650" i="59" s="1"/>
  <c r="Q652" i="59"/>
  <c r="I644" i="59"/>
  <c r="U652" i="59"/>
  <c r="I645" i="59"/>
  <c r="L645" i="59" s="1"/>
  <c r="E645" i="59"/>
  <c r="U644" i="59"/>
  <c r="U647" i="59"/>
  <c r="X647" i="59" s="1"/>
  <c r="E644" i="59"/>
  <c r="E501" i="60"/>
  <c r="E502" i="60"/>
  <c r="U509" i="60"/>
  <c r="Q509" i="60"/>
  <c r="U501" i="60"/>
  <c r="U507" i="60"/>
  <c r="I502" i="60"/>
  <c r="Q504" i="60"/>
  <c r="Q501" i="60"/>
  <c r="I501" i="60"/>
  <c r="U504" i="60"/>
  <c r="U489" i="59"/>
  <c r="Q489" i="59"/>
  <c r="L489" i="59"/>
  <c r="H489" i="59"/>
  <c r="U488" i="59"/>
  <c r="Q488" i="59"/>
  <c r="L488" i="59"/>
  <c r="H488" i="59"/>
  <c r="L487" i="59"/>
  <c r="H487" i="59"/>
  <c r="U486" i="59"/>
  <c r="Q486" i="59"/>
  <c r="L486" i="59"/>
  <c r="H486" i="59"/>
  <c r="L485" i="59"/>
  <c r="H485" i="59"/>
  <c r="U484" i="59"/>
  <c r="Q484" i="59"/>
  <c r="L484" i="59"/>
  <c r="H484" i="59"/>
  <c r="U483" i="59"/>
  <c r="Q483" i="59"/>
  <c r="I483" i="59"/>
  <c r="H483" i="59"/>
  <c r="I482" i="59"/>
  <c r="H482" i="59"/>
  <c r="U481" i="59"/>
  <c r="Q481" i="59"/>
  <c r="L481" i="59"/>
  <c r="H481" i="59"/>
  <c r="U480" i="59"/>
  <c r="Q480" i="59"/>
  <c r="U478" i="59"/>
  <c r="Q478" i="59"/>
  <c r="L478" i="59"/>
  <c r="H478" i="59"/>
  <c r="U477" i="59"/>
  <c r="Q477" i="59"/>
  <c r="L477" i="59"/>
  <c r="H477" i="59"/>
  <c r="L476" i="59"/>
  <c r="H476" i="59"/>
  <c r="U475" i="59"/>
  <c r="Q475" i="59"/>
  <c r="L475" i="59"/>
  <c r="H475" i="59"/>
  <c r="L474" i="59"/>
  <c r="H474" i="59"/>
  <c r="U473" i="59"/>
  <c r="Q473" i="59"/>
  <c r="L473" i="59"/>
  <c r="H473" i="59"/>
  <c r="U472" i="59"/>
  <c r="Q472" i="59"/>
  <c r="I472" i="59"/>
  <c r="H472" i="59"/>
  <c r="I471" i="59"/>
  <c r="H471" i="59"/>
  <c r="U470" i="59"/>
  <c r="Q470" i="59"/>
  <c r="L470" i="59"/>
  <c r="H470" i="59"/>
  <c r="U469" i="59"/>
  <c r="Q469" i="59"/>
  <c r="U467" i="59"/>
  <c r="Q467" i="59"/>
  <c r="L467" i="59"/>
  <c r="H467" i="59"/>
  <c r="U466" i="59"/>
  <c r="Q466" i="59"/>
  <c r="L466" i="59"/>
  <c r="H466" i="59"/>
  <c r="L465" i="59"/>
  <c r="H465" i="59"/>
  <c r="U464" i="59"/>
  <c r="Q464" i="59"/>
  <c r="L464" i="59"/>
  <c r="H464" i="59"/>
  <c r="L463" i="59"/>
  <c r="H463" i="59"/>
  <c r="U462" i="59"/>
  <c r="Q462" i="59"/>
  <c r="L462" i="59"/>
  <c r="H462" i="59"/>
  <c r="U461" i="59"/>
  <c r="Q461" i="59"/>
  <c r="I461" i="59"/>
  <c r="H461" i="59"/>
  <c r="I460" i="59"/>
  <c r="H460" i="59"/>
  <c r="U459" i="59"/>
  <c r="Q459" i="59"/>
  <c r="L459" i="59"/>
  <c r="H459" i="59"/>
  <c r="U458" i="59"/>
  <c r="Q458" i="59"/>
  <c r="B638" i="57"/>
  <c r="U643" i="57"/>
  <c r="Q643" i="57"/>
  <c r="U642" i="57"/>
  <c r="Q642" i="57"/>
  <c r="U640" i="57"/>
  <c r="Q640" i="57"/>
  <c r="U638" i="57"/>
  <c r="Q638" i="57"/>
  <c r="U637" i="57"/>
  <c r="Q637" i="57"/>
  <c r="I637" i="57"/>
  <c r="I636" i="57"/>
  <c r="U635" i="57"/>
  <c r="Q635" i="57"/>
  <c r="U634" i="57"/>
  <c r="Q634" i="57"/>
  <c r="U632" i="57"/>
  <c r="Q632" i="57"/>
  <c r="U631" i="57"/>
  <c r="Q631" i="57"/>
  <c r="U629" i="57"/>
  <c r="Q629" i="57"/>
  <c r="U627" i="57"/>
  <c r="Q627" i="57"/>
  <c r="U626" i="57"/>
  <c r="Q626" i="57"/>
  <c r="I626" i="57"/>
  <c r="I625" i="57"/>
  <c r="U624" i="57"/>
  <c r="Q624" i="57"/>
  <c r="U623" i="57"/>
  <c r="Q623" i="57"/>
  <c r="U621" i="57"/>
  <c r="Q621" i="57"/>
  <c r="U620" i="57"/>
  <c r="Q620" i="57"/>
  <c r="U618" i="57"/>
  <c r="Q618" i="57"/>
  <c r="U616" i="57"/>
  <c r="Q616" i="57"/>
  <c r="U615" i="57"/>
  <c r="Q615" i="57"/>
  <c r="I615" i="57"/>
  <c r="I614" i="57"/>
  <c r="U613" i="57"/>
  <c r="Q613" i="57"/>
  <c r="U612" i="57"/>
  <c r="Q612" i="57"/>
  <c r="U610" i="57"/>
  <c r="Q610" i="57"/>
  <c r="U609" i="57"/>
  <c r="Q609" i="57"/>
  <c r="U607" i="57"/>
  <c r="Q607" i="57"/>
  <c r="U605" i="57"/>
  <c r="Q605" i="57"/>
  <c r="U604" i="57"/>
  <c r="Q604" i="57"/>
  <c r="I604" i="57"/>
  <c r="I603" i="57"/>
  <c r="U602" i="57"/>
  <c r="Q602" i="57"/>
  <c r="U601" i="57"/>
  <c r="Q601" i="57"/>
  <c r="U599" i="57"/>
  <c r="Q599" i="57"/>
  <c r="U598" i="57"/>
  <c r="Q598" i="57"/>
  <c r="U596" i="57"/>
  <c r="Q596" i="57"/>
  <c r="U594" i="57"/>
  <c r="Q594" i="57"/>
  <c r="U593" i="57"/>
  <c r="Q593" i="57"/>
  <c r="I593" i="57"/>
  <c r="I592" i="57"/>
  <c r="U591" i="57"/>
  <c r="Q591" i="57"/>
  <c r="U590" i="57"/>
  <c r="Q590" i="57"/>
  <c r="U588" i="57"/>
  <c r="Q588" i="57"/>
  <c r="U587" i="57"/>
  <c r="Q587" i="57"/>
  <c r="U585" i="57"/>
  <c r="Q585" i="57"/>
  <c r="U583" i="57"/>
  <c r="Q583" i="57"/>
  <c r="U582" i="57"/>
  <c r="Q582" i="57"/>
  <c r="I582" i="57"/>
  <c r="I581" i="57"/>
  <c r="U580" i="57"/>
  <c r="Q580" i="57"/>
  <c r="U579" i="57"/>
  <c r="Q579" i="57"/>
  <c r="U577" i="57"/>
  <c r="Q577" i="57"/>
  <c r="U576" i="57"/>
  <c r="Q576" i="57"/>
  <c r="U574" i="57"/>
  <c r="Q574" i="57"/>
  <c r="U572" i="57"/>
  <c r="Q572" i="57"/>
  <c r="U571" i="57"/>
  <c r="Q571" i="57"/>
  <c r="I571" i="57"/>
  <c r="I570" i="57"/>
  <c r="U569" i="57"/>
  <c r="Q569" i="57"/>
  <c r="U568" i="57"/>
  <c r="Q568" i="57"/>
  <c r="U566" i="57"/>
  <c r="Q566" i="57"/>
  <c r="U565" i="57"/>
  <c r="Q565" i="57"/>
  <c r="U563" i="57"/>
  <c r="Q563" i="57"/>
  <c r="U561" i="57"/>
  <c r="Q561" i="57"/>
  <c r="U560" i="57"/>
  <c r="Q560" i="57"/>
  <c r="I560" i="57"/>
  <c r="I559" i="57"/>
  <c r="U558" i="57"/>
  <c r="Q558" i="57"/>
  <c r="U557" i="57"/>
  <c r="Q557" i="57"/>
  <c r="U555" i="57"/>
  <c r="Q555" i="57"/>
  <c r="U554" i="57"/>
  <c r="Q554" i="57"/>
  <c r="U552" i="57"/>
  <c r="Q552" i="57"/>
  <c r="U550" i="57"/>
  <c r="Q550" i="57"/>
  <c r="U549" i="57"/>
  <c r="Q549" i="57"/>
  <c r="I549" i="57"/>
  <c r="I548" i="57"/>
  <c r="U547" i="57"/>
  <c r="Q547" i="57"/>
  <c r="U546" i="57"/>
  <c r="Q546" i="57"/>
  <c r="U544" i="57"/>
  <c r="Q544" i="57"/>
  <c r="U543" i="57"/>
  <c r="Q543" i="57"/>
  <c r="U541" i="57"/>
  <c r="Q541" i="57"/>
  <c r="U539" i="57"/>
  <c r="Q539" i="57"/>
  <c r="U538" i="57"/>
  <c r="Q538" i="57"/>
  <c r="I538" i="57"/>
  <c r="I537" i="57"/>
  <c r="U536" i="57"/>
  <c r="Q536" i="57"/>
  <c r="U535" i="57"/>
  <c r="Q535" i="57"/>
  <c r="U533" i="57"/>
  <c r="Q533" i="57"/>
  <c r="U532" i="57"/>
  <c r="Q532" i="57"/>
  <c r="U530" i="57"/>
  <c r="Q530" i="57"/>
  <c r="U528" i="57"/>
  <c r="Q528" i="57"/>
  <c r="U527" i="57"/>
  <c r="Q527" i="57"/>
  <c r="I527" i="57"/>
  <c r="I526" i="57"/>
  <c r="U525" i="57"/>
  <c r="Q525" i="57"/>
  <c r="U524" i="57"/>
  <c r="Q524" i="57"/>
  <c r="U500" i="60"/>
  <c r="Q500" i="60"/>
  <c r="U499" i="60"/>
  <c r="Q499" i="60"/>
  <c r="U497" i="60"/>
  <c r="Q497" i="60"/>
  <c r="U495" i="60"/>
  <c r="Q495" i="60"/>
  <c r="U494" i="60"/>
  <c r="Q494" i="60"/>
  <c r="I494" i="60"/>
  <c r="I493" i="60"/>
  <c r="U492" i="60"/>
  <c r="Q492" i="60"/>
  <c r="U491" i="60"/>
  <c r="Q491" i="60"/>
  <c r="U489" i="60"/>
  <c r="Q489" i="60"/>
  <c r="U488" i="60"/>
  <c r="Q488" i="60"/>
  <c r="U486" i="60"/>
  <c r="Q486" i="60"/>
  <c r="U484" i="60"/>
  <c r="Q484" i="60"/>
  <c r="U483" i="60"/>
  <c r="Q483" i="60"/>
  <c r="I483" i="60"/>
  <c r="I482" i="60"/>
  <c r="U481" i="60"/>
  <c r="Q481" i="60"/>
  <c r="U480" i="60"/>
  <c r="Q480" i="60"/>
  <c r="U478" i="60"/>
  <c r="Q478" i="60"/>
  <c r="U477" i="60"/>
  <c r="Q477" i="60"/>
  <c r="U475" i="60"/>
  <c r="Q475" i="60"/>
  <c r="U473" i="60"/>
  <c r="Q473" i="60"/>
  <c r="U472" i="60"/>
  <c r="Q472" i="60"/>
  <c r="I472" i="60"/>
  <c r="I471" i="60"/>
  <c r="U470" i="60"/>
  <c r="Q470" i="60"/>
  <c r="U469" i="60"/>
  <c r="Q469" i="60"/>
  <c r="U467" i="60"/>
  <c r="Q467" i="60"/>
  <c r="U466" i="60"/>
  <c r="Q466" i="60"/>
  <c r="U464" i="60"/>
  <c r="Q464" i="60"/>
  <c r="U462" i="60"/>
  <c r="Q462" i="60"/>
  <c r="U461" i="60"/>
  <c r="Q461" i="60"/>
  <c r="I461" i="60"/>
  <c r="I460" i="60"/>
  <c r="U459" i="60"/>
  <c r="Q459" i="60"/>
  <c r="U458" i="60"/>
  <c r="Q458" i="60"/>
  <c r="U456" i="60"/>
  <c r="Q456" i="60"/>
  <c r="U455" i="60"/>
  <c r="Q455" i="60"/>
  <c r="U453" i="60"/>
  <c r="Q453" i="60"/>
  <c r="U451" i="60"/>
  <c r="Q451" i="60"/>
  <c r="U450" i="60"/>
  <c r="Q450" i="60"/>
  <c r="I450" i="60"/>
  <c r="I449" i="60"/>
  <c r="U448" i="60"/>
  <c r="Q448" i="60"/>
  <c r="U447" i="60"/>
  <c r="Q447" i="60"/>
  <c r="C633" i="57" l="1"/>
  <c r="D633" i="57"/>
  <c r="K637" i="57"/>
  <c r="S635" i="57"/>
  <c r="W637" i="57"/>
  <c r="X637" i="57" s="1"/>
  <c r="O633" i="57"/>
  <c r="P633" i="57" s="1"/>
  <c r="O634" i="57"/>
  <c r="P634" i="57" s="1"/>
  <c r="W634" i="57"/>
  <c r="X634" i="57" s="1"/>
  <c r="W635" i="57"/>
  <c r="X635" i="57" s="1"/>
  <c r="S637" i="57"/>
  <c r="T637" i="57" s="1"/>
  <c r="W640" i="57"/>
  <c r="X640" i="57" s="1"/>
  <c r="S636" i="57"/>
  <c r="W638" i="57"/>
  <c r="X638" i="57" s="1"/>
  <c r="W642" i="57"/>
  <c r="X642" i="57" s="1"/>
  <c r="W643" i="57"/>
  <c r="X643" i="57" s="1"/>
  <c r="S643" i="57"/>
  <c r="W639" i="57"/>
  <c r="S638" i="57"/>
  <c r="S639" i="57"/>
  <c r="S640" i="57"/>
  <c r="S641" i="57"/>
  <c r="S642" i="57"/>
  <c r="B561" i="57"/>
  <c r="W563" i="57" s="1"/>
  <c r="X563" i="57" s="1"/>
  <c r="B583" i="57"/>
  <c r="B594" i="57"/>
  <c r="B605" i="57"/>
  <c r="B616" i="57"/>
  <c r="B627" i="57"/>
  <c r="D589" i="57" l="1"/>
  <c r="C589" i="57"/>
  <c r="S607" i="57"/>
  <c r="T607" i="57" s="1"/>
  <c r="D600" i="57"/>
  <c r="C600" i="57"/>
  <c r="S625" i="57"/>
  <c r="D622" i="57"/>
  <c r="C622" i="57"/>
  <c r="W579" i="57"/>
  <c r="X579" i="57" s="1"/>
  <c r="D578" i="57"/>
  <c r="C578" i="57"/>
  <c r="D611" i="57"/>
  <c r="C611" i="57"/>
  <c r="T640" i="57"/>
  <c r="T643" i="57"/>
  <c r="T642" i="57"/>
  <c r="T635" i="57"/>
  <c r="L637" i="57"/>
  <c r="B572" i="57"/>
  <c r="B550" i="57"/>
  <c r="W551" i="57" s="1"/>
  <c r="S585" i="57"/>
  <c r="O557" i="57"/>
  <c r="P557" i="57" s="1"/>
  <c r="S566" i="57"/>
  <c r="S564" i="57"/>
  <c r="W583" i="57"/>
  <c r="X583" i="57" s="1"/>
  <c r="S558" i="57"/>
  <c r="O589" i="57"/>
  <c r="P589" i="57" s="1"/>
  <c r="S620" i="57"/>
  <c r="S629" i="57"/>
  <c r="S596" i="57"/>
  <c r="S617" i="57"/>
  <c r="W585" i="57"/>
  <c r="X585" i="57" s="1"/>
  <c r="K582" i="57"/>
  <c r="S599" i="57"/>
  <c r="S594" i="57"/>
  <c r="K581" i="57"/>
  <c r="S561" i="57"/>
  <c r="W584" i="57"/>
  <c r="S559" i="57"/>
  <c r="W558" i="57"/>
  <c r="X558" i="57" s="1"/>
  <c r="W632" i="57"/>
  <c r="X632" i="57" s="1"/>
  <c r="W626" i="57"/>
  <c r="X626" i="57" s="1"/>
  <c r="K626" i="57"/>
  <c r="W627" i="57"/>
  <c r="X627" i="57" s="1"/>
  <c r="W624" i="57"/>
  <c r="X624" i="57" s="1"/>
  <c r="W623" i="57"/>
  <c r="X623" i="57" s="1"/>
  <c r="O623" i="57"/>
  <c r="P623" i="57" s="1"/>
  <c r="O622" i="57"/>
  <c r="P622" i="57" s="1"/>
  <c r="W629" i="57"/>
  <c r="X629" i="57" s="1"/>
  <c r="W631" i="57"/>
  <c r="X631" i="57" s="1"/>
  <c r="S624" i="57"/>
  <c r="S626" i="57"/>
  <c r="T626" i="57" s="1"/>
  <c r="S627" i="57"/>
  <c r="W628" i="57"/>
  <c r="S628" i="57"/>
  <c r="S631" i="57"/>
  <c r="S604" i="57"/>
  <c r="T604" i="57" s="1"/>
  <c r="W602" i="57"/>
  <c r="X602" i="57" s="1"/>
  <c r="W601" i="57"/>
  <c r="X601" i="57" s="1"/>
  <c r="O601" i="57"/>
  <c r="P601" i="57" s="1"/>
  <c r="O600" i="57"/>
  <c r="P600" i="57" s="1"/>
  <c r="W606" i="57"/>
  <c r="S610" i="57"/>
  <c r="S603" i="57"/>
  <c r="G601" i="57"/>
  <c r="W610" i="57"/>
  <c r="X610" i="57" s="1"/>
  <c r="W604" i="57"/>
  <c r="X604" i="57" s="1"/>
  <c r="S602" i="57"/>
  <c r="W605" i="57"/>
  <c r="X605" i="57" s="1"/>
  <c r="K603" i="57"/>
  <c r="W607" i="57"/>
  <c r="X607" i="57" s="1"/>
  <c r="W609" i="57"/>
  <c r="X609" i="57" s="1"/>
  <c r="K604" i="57"/>
  <c r="S605" i="57"/>
  <c r="S609" i="57"/>
  <c r="S606" i="57"/>
  <c r="W588" i="57"/>
  <c r="X588" i="57" s="1"/>
  <c r="S582" i="57"/>
  <c r="T582" i="57" s="1"/>
  <c r="O578" i="57"/>
  <c r="P578" i="57" s="1"/>
  <c r="S580" i="57"/>
  <c r="W587" i="57"/>
  <c r="X587" i="57" s="1"/>
  <c r="G579" i="57"/>
  <c r="S583" i="57"/>
  <c r="S587" i="57"/>
  <c r="S588" i="57"/>
  <c r="S584" i="57"/>
  <c r="W582" i="57"/>
  <c r="X582" i="57" s="1"/>
  <c r="O579" i="57"/>
  <c r="P579" i="57" s="1"/>
  <c r="W580" i="57"/>
  <c r="X580" i="57" s="1"/>
  <c r="S581" i="57"/>
  <c r="W566" i="57"/>
  <c r="X566" i="57" s="1"/>
  <c r="S560" i="57"/>
  <c r="T560" i="57" s="1"/>
  <c r="W559" i="57"/>
  <c r="K560" i="57"/>
  <c r="W560" i="57"/>
  <c r="X560" i="57" s="1"/>
  <c r="S562" i="57"/>
  <c r="S565" i="57"/>
  <c r="W562" i="57"/>
  <c r="W557" i="57"/>
  <c r="X557" i="57" s="1"/>
  <c r="W561" i="57"/>
  <c r="X561" i="57" s="1"/>
  <c r="G557" i="57"/>
  <c r="S563" i="57"/>
  <c r="W565" i="57"/>
  <c r="X565" i="57" s="1"/>
  <c r="O556" i="57"/>
  <c r="P556" i="57" s="1"/>
  <c r="S632" i="57"/>
  <c r="W595" i="57"/>
  <c r="S615" i="57"/>
  <c r="T615" i="57" s="1"/>
  <c r="W613" i="57"/>
  <c r="X613" i="57" s="1"/>
  <c r="W612" i="57"/>
  <c r="X612" i="57" s="1"/>
  <c r="O612" i="57"/>
  <c r="P612" i="57" s="1"/>
  <c r="O611" i="57"/>
  <c r="P611" i="57" s="1"/>
  <c r="W617" i="57"/>
  <c r="S621" i="57"/>
  <c r="G612" i="57"/>
  <c r="W618" i="57"/>
  <c r="X618" i="57" s="1"/>
  <c r="W620" i="57"/>
  <c r="X620" i="57" s="1"/>
  <c r="K615" i="57"/>
  <c r="W621" i="57"/>
  <c r="X621" i="57" s="1"/>
  <c r="W615" i="57"/>
  <c r="X615" i="57" s="1"/>
  <c r="S613" i="57"/>
  <c r="W616" i="57"/>
  <c r="X616" i="57" s="1"/>
  <c r="W599" i="57"/>
  <c r="X599" i="57" s="1"/>
  <c r="W598" i="57"/>
  <c r="X598" i="57" s="1"/>
  <c r="K592" i="57"/>
  <c r="S591" i="57"/>
  <c r="W593" i="57"/>
  <c r="X593" i="57" s="1"/>
  <c r="K593" i="57"/>
  <c r="W594" i="57"/>
  <c r="X594" i="57" s="1"/>
  <c r="S593" i="57"/>
  <c r="T593" i="57" s="1"/>
  <c r="W590" i="57"/>
  <c r="X590" i="57" s="1"/>
  <c r="W596" i="57"/>
  <c r="X596" i="57" s="1"/>
  <c r="W591" i="57"/>
  <c r="X591" i="57" s="1"/>
  <c r="G590" i="57"/>
  <c r="S616" i="57"/>
  <c r="S598" i="57"/>
  <c r="S595" i="57"/>
  <c r="S618" i="57"/>
  <c r="O590" i="57"/>
  <c r="P590" i="57" s="1"/>
  <c r="T638" i="57"/>
  <c r="U522" i="57"/>
  <c r="Q522" i="57"/>
  <c r="U521" i="57"/>
  <c r="Q521" i="57"/>
  <c r="U519" i="57"/>
  <c r="Q519" i="57"/>
  <c r="U517" i="57"/>
  <c r="Q517" i="57"/>
  <c r="U516" i="57"/>
  <c r="Q516" i="57"/>
  <c r="I516" i="57"/>
  <c r="I515" i="57"/>
  <c r="U514" i="57"/>
  <c r="Q514" i="57"/>
  <c r="U513" i="57"/>
  <c r="Q513" i="57"/>
  <c r="U511" i="57"/>
  <c r="Q511" i="57"/>
  <c r="U510" i="57"/>
  <c r="Q510" i="57"/>
  <c r="U508" i="57"/>
  <c r="Q508" i="57"/>
  <c r="U506" i="57"/>
  <c r="Q506" i="57"/>
  <c r="U505" i="57"/>
  <c r="Q505" i="57"/>
  <c r="I505" i="57"/>
  <c r="I504" i="57"/>
  <c r="U503" i="57"/>
  <c r="Q503" i="57"/>
  <c r="U502" i="57"/>
  <c r="Q502" i="57"/>
  <c r="U500" i="57"/>
  <c r="Q500" i="57"/>
  <c r="U499" i="57"/>
  <c r="Q499" i="57"/>
  <c r="U497" i="57"/>
  <c r="Q497" i="57"/>
  <c r="U495" i="57"/>
  <c r="Q495" i="57"/>
  <c r="U494" i="57"/>
  <c r="Q494" i="57"/>
  <c r="I494" i="57"/>
  <c r="I493" i="57"/>
  <c r="U492" i="57"/>
  <c r="Q492" i="57"/>
  <c r="U491" i="57"/>
  <c r="Q491" i="57"/>
  <c r="U489" i="57"/>
  <c r="Q489" i="57"/>
  <c r="U488" i="57"/>
  <c r="Q488" i="57"/>
  <c r="U486" i="57"/>
  <c r="Q486" i="57"/>
  <c r="U484" i="57"/>
  <c r="Q484" i="57"/>
  <c r="U483" i="57"/>
  <c r="Q483" i="57"/>
  <c r="I483" i="57"/>
  <c r="I482" i="57"/>
  <c r="U481" i="57"/>
  <c r="Q481" i="57"/>
  <c r="U480" i="57"/>
  <c r="Q480" i="57"/>
  <c r="U478" i="57"/>
  <c r="Q478" i="57"/>
  <c r="U477" i="57"/>
  <c r="Q477" i="57"/>
  <c r="U475" i="57"/>
  <c r="Q475" i="57"/>
  <c r="U473" i="57"/>
  <c r="Q473" i="57"/>
  <c r="U472" i="57"/>
  <c r="Q472" i="57"/>
  <c r="I472" i="57"/>
  <c r="I471" i="57"/>
  <c r="U470" i="57"/>
  <c r="Q470" i="57"/>
  <c r="U469" i="57"/>
  <c r="Q469" i="57"/>
  <c r="U467" i="57"/>
  <c r="Q467" i="57"/>
  <c r="U466" i="57"/>
  <c r="Q466" i="57"/>
  <c r="U464" i="57"/>
  <c r="Q464" i="57"/>
  <c r="U462" i="57"/>
  <c r="Q462" i="57"/>
  <c r="U461" i="57"/>
  <c r="Q461" i="57"/>
  <c r="I461" i="57"/>
  <c r="I460" i="57"/>
  <c r="U459" i="57"/>
  <c r="Q459" i="57"/>
  <c r="U458" i="57"/>
  <c r="Q458" i="57"/>
  <c r="U456" i="57"/>
  <c r="Q456" i="57"/>
  <c r="U455" i="57"/>
  <c r="Q455" i="57"/>
  <c r="U453" i="57"/>
  <c r="Q453" i="57"/>
  <c r="U451" i="57"/>
  <c r="Q451" i="57"/>
  <c r="U450" i="57"/>
  <c r="Q450" i="57"/>
  <c r="I450" i="57"/>
  <c r="I449" i="57"/>
  <c r="U448" i="57"/>
  <c r="Q448" i="57"/>
  <c r="U447" i="57"/>
  <c r="Q447" i="57"/>
  <c r="U445" i="57"/>
  <c r="Q445" i="57"/>
  <c r="U444" i="57"/>
  <c r="Q444" i="57"/>
  <c r="U442" i="57"/>
  <c r="Q442" i="57"/>
  <c r="U440" i="57"/>
  <c r="Q440" i="57"/>
  <c r="U439" i="57"/>
  <c r="Q439" i="57"/>
  <c r="I439" i="57"/>
  <c r="I438" i="57"/>
  <c r="U437" i="57"/>
  <c r="Q437" i="57"/>
  <c r="U436" i="57"/>
  <c r="Q436" i="57"/>
  <c r="O568" i="57" l="1"/>
  <c r="P568" i="57" s="1"/>
  <c r="D567" i="57"/>
  <c r="C567" i="57"/>
  <c r="S555" i="57"/>
  <c r="T555" i="57" s="1"/>
  <c r="O567" i="57"/>
  <c r="P567" i="57" s="1"/>
  <c r="K571" i="57"/>
  <c r="L571" i="57" s="1"/>
  <c r="S569" i="57"/>
  <c r="T569" i="57" s="1"/>
  <c r="S576" i="57"/>
  <c r="T576" i="57" s="1"/>
  <c r="W569" i="57"/>
  <c r="X569" i="57" s="1"/>
  <c r="S572" i="57"/>
  <c r="T572" i="57" s="1"/>
  <c r="S574" i="57"/>
  <c r="T574" i="57" s="1"/>
  <c r="L560" i="57"/>
  <c r="T583" i="57"/>
  <c r="T609" i="57"/>
  <c r="L604" i="57"/>
  <c r="T624" i="57"/>
  <c r="T594" i="57"/>
  <c r="L582" i="57"/>
  <c r="T596" i="57"/>
  <c r="T613" i="57"/>
  <c r="L615" i="57"/>
  <c r="T563" i="57"/>
  <c r="T602" i="57"/>
  <c r="T566" i="57"/>
  <c r="T585" i="57"/>
  <c r="T618" i="57"/>
  <c r="T616" i="57"/>
  <c r="T591" i="57"/>
  <c r="T621" i="57"/>
  <c r="T632" i="57"/>
  <c r="T565" i="57"/>
  <c r="T588" i="57"/>
  <c r="T605" i="57"/>
  <c r="T610" i="57"/>
  <c r="L626" i="57"/>
  <c r="T561" i="57"/>
  <c r="T599" i="57"/>
  <c r="T629" i="57"/>
  <c r="T558" i="57"/>
  <c r="T598" i="57"/>
  <c r="L593" i="57"/>
  <c r="L592" i="57"/>
  <c r="T587" i="57"/>
  <c r="T580" i="57"/>
  <c r="L603" i="57"/>
  <c r="T631" i="57"/>
  <c r="T627" i="57"/>
  <c r="L581" i="57"/>
  <c r="T620" i="57"/>
  <c r="G568" i="57"/>
  <c r="W555" i="57"/>
  <c r="X555" i="57" s="1"/>
  <c r="W572" i="57"/>
  <c r="X572" i="57" s="1"/>
  <c r="W568" i="57"/>
  <c r="X568" i="57" s="1"/>
  <c r="W571" i="57"/>
  <c r="X571" i="57" s="1"/>
  <c r="S577" i="57"/>
  <c r="W576" i="57"/>
  <c r="X576" i="57" s="1"/>
  <c r="W574" i="57"/>
  <c r="X574" i="57" s="1"/>
  <c r="K567" i="57"/>
  <c r="S573" i="57"/>
  <c r="S571" i="57"/>
  <c r="T571" i="57" s="1"/>
  <c r="W577" i="57"/>
  <c r="X577" i="57" s="1"/>
  <c r="W573" i="57"/>
  <c r="S554" i="57"/>
  <c r="W549" i="57"/>
  <c r="X549" i="57" s="1"/>
  <c r="S552" i="57"/>
  <c r="W547" i="57"/>
  <c r="X547" i="57" s="1"/>
  <c r="S550" i="57"/>
  <c r="G546" i="57"/>
  <c r="S549" i="57"/>
  <c r="T549" i="57" s="1"/>
  <c r="S551" i="57"/>
  <c r="W554" i="57"/>
  <c r="X554" i="57" s="1"/>
  <c r="W552" i="57"/>
  <c r="X552" i="57" s="1"/>
  <c r="W546" i="57"/>
  <c r="X546" i="57" s="1"/>
  <c r="W550" i="57"/>
  <c r="X550" i="57" s="1"/>
  <c r="S553" i="57"/>
  <c r="O546" i="57"/>
  <c r="P546" i="57" s="1"/>
  <c r="O545" i="57"/>
  <c r="P545" i="57" s="1"/>
  <c r="S547" i="57"/>
  <c r="K549" i="57"/>
  <c r="K570" i="57"/>
  <c r="L549" i="57" l="1"/>
  <c r="L570" i="57"/>
  <c r="T554" i="57"/>
  <c r="T547" i="57"/>
  <c r="T550" i="57"/>
  <c r="T552" i="57"/>
  <c r="T577" i="57"/>
  <c r="K669" i="60"/>
  <c r="W611" i="60" l="1"/>
  <c r="K501" i="60"/>
  <c r="G732" i="60"/>
  <c r="S754" i="60"/>
  <c r="W564" i="60"/>
  <c r="K523" i="60"/>
  <c r="K655" i="60"/>
  <c r="W608" i="60"/>
  <c r="AM2" i="26"/>
  <c r="U434" i="57"/>
  <c r="Q434" i="57"/>
  <c r="U433" i="57"/>
  <c r="Q433" i="57"/>
  <c r="U431" i="57"/>
  <c r="Q431" i="57"/>
  <c r="U429" i="57"/>
  <c r="Q429" i="57"/>
  <c r="U428" i="57"/>
  <c r="Q428" i="57"/>
  <c r="I428" i="57"/>
  <c r="I427" i="57"/>
  <c r="U426" i="57"/>
  <c r="Q426" i="57"/>
  <c r="U425" i="57"/>
  <c r="Q425" i="57"/>
  <c r="H2" i="9"/>
  <c r="A4" i="9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K52" i="10" l="1"/>
  <c r="AM86" i="26"/>
  <c r="AS1" i="26" s="1"/>
  <c r="S634" i="60"/>
  <c r="K765" i="60"/>
  <c r="S600" i="60"/>
  <c r="S590" i="60"/>
  <c r="S619" i="60"/>
  <c r="S586" i="60"/>
  <c r="S623" i="60"/>
  <c r="S765" i="60"/>
  <c r="W578" i="60"/>
  <c r="W589" i="60"/>
  <c r="S721" i="60"/>
  <c r="S557" i="60"/>
  <c r="W592" i="60"/>
  <c r="S545" i="60"/>
  <c r="W501" i="60"/>
  <c r="W512" i="60"/>
  <c r="G622" i="60"/>
  <c r="G633" i="60"/>
  <c r="G567" i="60"/>
  <c r="S710" i="60"/>
  <c r="S612" i="60"/>
  <c r="S633" i="60"/>
  <c r="S597" i="60"/>
  <c r="S608" i="60"/>
  <c r="S546" i="60"/>
  <c r="S809" i="60"/>
  <c r="W581" i="60"/>
  <c r="K754" i="60"/>
  <c r="Y754" i="60" s="1"/>
  <c r="AC760" i="60" s="1"/>
  <c r="K809" i="60"/>
  <c r="S655" i="60"/>
  <c r="Y655" i="60" s="1"/>
  <c r="AC660" i="60" s="1"/>
  <c r="G710" i="60"/>
  <c r="G721" i="60"/>
  <c r="G512" i="60"/>
  <c r="S677" i="60"/>
  <c r="Y677" i="60" s="1"/>
  <c r="AC682" i="60" s="1"/>
  <c r="AL2" i="9"/>
  <c r="S611" i="60"/>
  <c r="S601" i="60"/>
  <c r="S589" i="60"/>
  <c r="S567" i="60"/>
  <c r="S535" i="60"/>
  <c r="G501" i="60"/>
  <c r="G523" i="60"/>
  <c r="S699" i="60"/>
  <c r="G600" i="60"/>
  <c r="G611" i="60"/>
  <c r="G534" i="60"/>
  <c r="G545" i="60"/>
  <c r="S666" i="60"/>
  <c r="Y666" i="60" s="1"/>
  <c r="AC672" i="60" s="1"/>
  <c r="S732" i="60"/>
  <c r="Y732" i="60" s="1"/>
  <c r="AC738" i="60" s="1"/>
  <c r="S743" i="60"/>
  <c r="Y743" i="60" s="1"/>
  <c r="AC749" i="60" s="1"/>
  <c r="W556" i="60"/>
  <c r="W567" i="60"/>
  <c r="S644" i="60"/>
  <c r="Y644" i="60" s="1"/>
  <c r="AC650" i="60" s="1"/>
  <c r="W559" i="60"/>
  <c r="W570" i="60"/>
  <c r="S688" i="60"/>
  <c r="Y688" i="60" s="1"/>
  <c r="AC694" i="60" s="1"/>
  <c r="W622" i="60"/>
  <c r="G699" i="60"/>
  <c r="S578" i="60"/>
  <c r="K20" i="10"/>
  <c r="K19" i="10"/>
  <c r="S534" i="60"/>
  <c r="S622" i="60"/>
  <c r="G589" i="60"/>
  <c r="S512" i="60"/>
  <c r="K548" i="60"/>
  <c r="S524" i="60"/>
  <c r="K534" i="60"/>
  <c r="K504" i="60"/>
  <c r="S513" i="60"/>
  <c r="S523" i="60"/>
  <c r="G556" i="60"/>
  <c r="K537" i="60"/>
  <c r="S556" i="60"/>
  <c r="S501" i="60"/>
  <c r="I2" i="9"/>
  <c r="X2" i="9"/>
  <c r="AB2" i="9"/>
  <c r="L2" i="9"/>
  <c r="AJ2" i="9"/>
  <c r="T2" i="9"/>
  <c r="AF2" i="9"/>
  <c r="P2" i="9"/>
  <c r="A56" i="9"/>
  <c r="A57" i="9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I2" i="9"/>
  <c r="AE2" i="9"/>
  <c r="AA2" i="9"/>
  <c r="W2" i="9"/>
  <c r="S2" i="9"/>
  <c r="O2" i="9"/>
  <c r="K2" i="9"/>
  <c r="AH2" i="9"/>
  <c r="AD2" i="9"/>
  <c r="Z2" i="9"/>
  <c r="V2" i="9"/>
  <c r="R2" i="9"/>
  <c r="N2" i="9"/>
  <c r="J2" i="9"/>
  <c r="AK2" i="9"/>
  <c r="AG2" i="9"/>
  <c r="AC2" i="9"/>
  <c r="Y2" i="9"/>
  <c r="U2" i="9"/>
  <c r="Q2" i="9"/>
  <c r="M2" i="9"/>
  <c r="AN173" i="9" l="1" a="1"/>
  <c r="AN173" i="9" s="1"/>
  <c r="AM173" i="9" s="1"/>
  <c r="AN177" i="9" a="1"/>
  <c r="AN177" i="9" s="1"/>
  <c r="AM177" i="9" s="1"/>
  <c r="AN181" i="9" a="1"/>
  <c r="AN181" i="9" s="1"/>
  <c r="AM181" i="9" s="1"/>
  <c r="AN185" i="9" a="1"/>
  <c r="AN185" i="9" s="1"/>
  <c r="AM185" i="9" s="1"/>
  <c r="AN189" i="9" a="1"/>
  <c r="AN189" i="9" s="1"/>
  <c r="AM189" i="9" s="1"/>
  <c r="AN193" i="9" a="1"/>
  <c r="AN193" i="9" s="1"/>
  <c r="AM193" i="9" s="1"/>
  <c r="AN197" i="9" a="1"/>
  <c r="AN197" i="9" s="1"/>
  <c r="AM197" i="9" s="1"/>
  <c r="AN201" i="9" a="1"/>
  <c r="AN201" i="9" s="1"/>
  <c r="AM201" i="9" s="1"/>
  <c r="AN205" i="9" a="1"/>
  <c r="AN205" i="9" s="1"/>
  <c r="AM205" i="9" s="1"/>
  <c r="AN209" i="9" a="1"/>
  <c r="AN209" i="9" s="1"/>
  <c r="AM209" i="9" s="1"/>
  <c r="AN196" i="9" a="1"/>
  <c r="AN196" i="9" s="1"/>
  <c r="AM196" i="9" s="1"/>
  <c r="AN208" i="9" a="1"/>
  <c r="AN208" i="9" s="1"/>
  <c r="AM208" i="9" s="1"/>
  <c r="AN174" i="9" a="1"/>
  <c r="AN174" i="9" s="1"/>
  <c r="AM174" i="9" s="1"/>
  <c r="AN178" i="9" a="1"/>
  <c r="AN178" i="9" s="1"/>
  <c r="AM178" i="9" s="1"/>
  <c r="AN182" i="9" a="1"/>
  <c r="AN182" i="9" s="1"/>
  <c r="AM182" i="9" s="1"/>
  <c r="AN186" i="9" a="1"/>
  <c r="AN186" i="9" s="1"/>
  <c r="AM186" i="9" s="1"/>
  <c r="AN190" i="9" a="1"/>
  <c r="AN190" i="9" s="1"/>
  <c r="AM190" i="9" s="1"/>
  <c r="AN194" i="9" a="1"/>
  <c r="AN194" i="9" s="1"/>
  <c r="AM194" i="9" s="1"/>
  <c r="AN198" i="9" a="1"/>
  <c r="AN198" i="9" s="1"/>
  <c r="AM198" i="9" s="1"/>
  <c r="AN202" i="9" a="1"/>
  <c r="AN202" i="9" s="1"/>
  <c r="AM202" i="9" s="1"/>
  <c r="AN206" i="9" a="1"/>
  <c r="AN206" i="9" s="1"/>
  <c r="AM206" i="9" s="1"/>
  <c r="AN210" i="9" a="1"/>
  <c r="AN210" i="9" s="1"/>
  <c r="AM210" i="9" s="1"/>
  <c r="AN172" i="9" a="1"/>
  <c r="AN172" i="9" s="1"/>
  <c r="AM172" i="9" s="1"/>
  <c r="AN180" i="9" a="1"/>
  <c r="AN180" i="9" s="1"/>
  <c r="AM180" i="9" s="1"/>
  <c r="AN188" i="9" a="1"/>
  <c r="AN188" i="9" s="1"/>
  <c r="AM188" i="9" s="1"/>
  <c r="AN204" i="9" a="1"/>
  <c r="AN204" i="9" s="1"/>
  <c r="AM204" i="9" s="1"/>
  <c r="AN171" i="9" a="1"/>
  <c r="AN171" i="9" s="1"/>
  <c r="AM171" i="9" s="1"/>
  <c r="AN175" i="9" a="1"/>
  <c r="AN175" i="9" s="1"/>
  <c r="AM175" i="9" s="1"/>
  <c r="AN179" i="9" a="1"/>
  <c r="AN179" i="9" s="1"/>
  <c r="AM179" i="9" s="1"/>
  <c r="AN183" i="9" a="1"/>
  <c r="AN183" i="9" s="1"/>
  <c r="AM183" i="9" s="1"/>
  <c r="AN187" i="9" a="1"/>
  <c r="AN187" i="9" s="1"/>
  <c r="AM187" i="9" s="1"/>
  <c r="AN191" i="9" a="1"/>
  <c r="AN191" i="9" s="1"/>
  <c r="AM191" i="9" s="1"/>
  <c r="AN195" i="9" a="1"/>
  <c r="AN195" i="9" s="1"/>
  <c r="AM195" i="9" s="1"/>
  <c r="AN199" i="9" a="1"/>
  <c r="AN199" i="9" s="1"/>
  <c r="AM199" i="9" s="1"/>
  <c r="AN203" i="9" a="1"/>
  <c r="AN203" i="9" s="1"/>
  <c r="AM203" i="9" s="1"/>
  <c r="AN207" i="9" a="1"/>
  <c r="AN207" i="9" s="1"/>
  <c r="AM207" i="9" s="1"/>
  <c r="AN211" i="9" a="1"/>
  <c r="AN211" i="9" s="1"/>
  <c r="AM211" i="9" s="1"/>
  <c r="AN176" i="9" a="1"/>
  <c r="AN176" i="9" s="1"/>
  <c r="AM176" i="9" s="1"/>
  <c r="AN184" i="9" a="1"/>
  <c r="AN184" i="9" s="1"/>
  <c r="AM184" i="9" s="1"/>
  <c r="AN192" i="9" a="1"/>
  <c r="AN192" i="9" s="1"/>
  <c r="AM192" i="9" s="1"/>
  <c r="AN200" i="9" a="1"/>
  <c r="AN200" i="9" s="1"/>
  <c r="AM200" i="9" s="1"/>
  <c r="AN170" i="9" a="1"/>
  <c r="AN170" i="9" s="1"/>
  <c r="AM170" i="9" s="1"/>
  <c r="AN5" i="9" a="1"/>
  <c r="AN5" i="9" s="1"/>
  <c r="AM5" i="9" s="1"/>
  <c r="AN3" i="9" a="1"/>
  <c r="AN3" i="9" s="1"/>
  <c r="AM3" i="9" s="1"/>
  <c r="AN4" i="9" a="1"/>
  <c r="AN4" i="9" s="1"/>
  <c r="AN7" i="9" a="1"/>
  <c r="AN7" i="9" s="1"/>
  <c r="AM7" i="9" s="1"/>
  <c r="AN12" i="9" a="1"/>
  <c r="AN12" i="9" s="1"/>
  <c r="AM12" i="9" s="1"/>
  <c r="AN19" i="9" a="1"/>
  <c r="AN19" i="9" s="1"/>
  <c r="AM19" i="9" s="1"/>
  <c r="AN22" i="9" a="1"/>
  <c r="AN22" i="9" s="1"/>
  <c r="AM22" i="9" s="1"/>
  <c r="AN25" i="9" a="1"/>
  <c r="AN25" i="9" s="1"/>
  <c r="AM25" i="9" s="1"/>
  <c r="AN28" i="9" a="1"/>
  <c r="AN28" i="9" s="1"/>
  <c r="AM28" i="9" s="1"/>
  <c r="AN35" i="9" a="1"/>
  <c r="AN35" i="9" s="1"/>
  <c r="AM35" i="9" s="1"/>
  <c r="AN38" i="9" a="1"/>
  <c r="AN38" i="9" s="1"/>
  <c r="AM38" i="9" s="1"/>
  <c r="AN41" i="9" a="1"/>
  <c r="AN41" i="9" s="1"/>
  <c r="AM41" i="9" s="1"/>
  <c r="AN44" i="9" a="1"/>
  <c r="AN44" i="9" s="1"/>
  <c r="AM44" i="9" s="1"/>
  <c r="AN48" i="9" a="1"/>
  <c r="AN48" i="9" s="1"/>
  <c r="AM48" i="9" s="1"/>
  <c r="AN55" i="9" a="1"/>
  <c r="AN55" i="9" s="1"/>
  <c r="AM55" i="9" s="1"/>
  <c r="AN58" i="9" a="1"/>
  <c r="AN58" i="9" s="1"/>
  <c r="AM58" i="9" s="1"/>
  <c r="AN61" i="9" a="1"/>
  <c r="AN61" i="9" s="1"/>
  <c r="AM61" i="9" s="1"/>
  <c r="AN65" i="9" a="1"/>
  <c r="AN65" i="9" s="1"/>
  <c r="AM65" i="9" s="1"/>
  <c r="AN68" i="9" a="1"/>
  <c r="AN68" i="9" s="1"/>
  <c r="AN72" i="9" a="1"/>
  <c r="AN72" i="9" s="1"/>
  <c r="AN79" i="9" a="1"/>
  <c r="AN79" i="9" s="1"/>
  <c r="AM79" i="9" s="1"/>
  <c r="AN83" i="9" a="1"/>
  <c r="AN83" i="9" s="1"/>
  <c r="AM83" i="9" s="1"/>
  <c r="AN86" i="9" a="1"/>
  <c r="AN86" i="9" s="1"/>
  <c r="AM86" i="9" s="1"/>
  <c r="AN89" i="9" a="1"/>
  <c r="AN89" i="9" s="1"/>
  <c r="AM89" i="9" s="1"/>
  <c r="AN92" i="9" a="1"/>
  <c r="AN92" i="9" s="1"/>
  <c r="AM92" i="9" s="1"/>
  <c r="AN96" i="9" a="1"/>
  <c r="AN96" i="9" s="1"/>
  <c r="AM96" i="9" s="1"/>
  <c r="AN103" i="9" a="1"/>
  <c r="AN103" i="9" s="1"/>
  <c r="AM103" i="9" s="1"/>
  <c r="AN107" i="9" a="1"/>
  <c r="AN107" i="9" s="1"/>
  <c r="AM107" i="9" s="1"/>
  <c r="AN110" i="9" a="1"/>
  <c r="AN110" i="9" s="1"/>
  <c r="AM110" i="9" s="1"/>
  <c r="AN114" i="9" a="1"/>
  <c r="AN114" i="9" s="1"/>
  <c r="AN117" i="9" a="1"/>
  <c r="AN117" i="9" s="1"/>
  <c r="AM117" i="9" s="1"/>
  <c r="AO117" i="9" s="1"/>
  <c r="AN121" i="9" a="1"/>
  <c r="AN121" i="9" s="1"/>
  <c r="AM121" i="9" s="1"/>
  <c r="AN124" i="9" a="1"/>
  <c r="AN124" i="9" s="1"/>
  <c r="AM124" i="9" s="1"/>
  <c r="AN128" i="9" a="1"/>
  <c r="AN128" i="9" s="1"/>
  <c r="AN135" i="9" a="1"/>
  <c r="AN135" i="9" s="1"/>
  <c r="AM135" i="9" s="1"/>
  <c r="AO135" i="9" s="1"/>
  <c r="AN138" i="9" a="1"/>
  <c r="AN138" i="9" s="1"/>
  <c r="AM138" i="9" s="1"/>
  <c r="AN141" i="9" a="1"/>
  <c r="AN141" i="9" s="1"/>
  <c r="AM141" i="9" s="1"/>
  <c r="AN145" i="9" a="1"/>
  <c r="AN145" i="9" s="1"/>
  <c r="AN148" i="9" a="1"/>
  <c r="AN148" i="9" s="1"/>
  <c r="AN155" i="9" a="1"/>
  <c r="AN155" i="9" s="1"/>
  <c r="AM155" i="9" s="1"/>
  <c r="AO155" i="9" s="1"/>
  <c r="AN158" i="9" a="1"/>
  <c r="AN158" i="9" s="1"/>
  <c r="AM158" i="9" s="1"/>
  <c r="AO158" i="9" s="1"/>
  <c r="AN161" i="9" a="1"/>
  <c r="AN161" i="9" s="1"/>
  <c r="AN164" i="9" a="1"/>
  <c r="AN164" i="9" s="1"/>
  <c r="AM164" i="9" s="1"/>
  <c r="AO164" i="9" s="1"/>
  <c r="AN10" i="9" a="1"/>
  <c r="AN10" i="9" s="1"/>
  <c r="AM10" i="9" s="1"/>
  <c r="AN13" i="9" a="1"/>
  <c r="AN13" i="9" s="1"/>
  <c r="AM13" i="9" s="1"/>
  <c r="AN16" i="9" a="1"/>
  <c r="AN16" i="9" s="1"/>
  <c r="AM16" i="9" s="1"/>
  <c r="AN23" i="9" a="1"/>
  <c r="AN23" i="9" s="1"/>
  <c r="AM23" i="9" s="1"/>
  <c r="AN26" i="9" a="1"/>
  <c r="AN26" i="9" s="1"/>
  <c r="AM26" i="9" s="1"/>
  <c r="AN29" i="9" a="1"/>
  <c r="AN29" i="9" s="1"/>
  <c r="AN32" i="9" a="1"/>
  <c r="AN32" i="9" s="1"/>
  <c r="AM32" i="9" s="1"/>
  <c r="AN39" i="9" a="1"/>
  <c r="AN39" i="9" s="1"/>
  <c r="AM39" i="9" s="1"/>
  <c r="AN42" i="9" a="1"/>
  <c r="AN42" i="9" s="1"/>
  <c r="AN45" i="9" a="1"/>
  <c r="AN45" i="9" s="1"/>
  <c r="AM45" i="9" s="1"/>
  <c r="AN49" i="9" a="1"/>
  <c r="AN49" i="9" s="1"/>
  <c r="AM49" i="9" s="1"/>
  <c r="AN52" i="9" a="1"/>
  <c r="AN52" i="9" s="1"/>
  <c r="AM52" i="9" s="1"/>
  <c r="AN59" i="9" a="1"/>
  <c r="AN59" i="9" s="1"/>
  <c r="AM59" i="9" s="1"/>
  <c r="AN62" i="9" a="1"/>
  <c r="AN62" i="9" s="1"/>
  <c r="AM62" i="9" s="1"/>
  <c r="AN66" i="9" a="1"/>
  <c r="AN66" i="9" s="1"/>
  <c r="AN69" i="9" a="1"/>
  <c r="AN69" i="9" s="1"/>
  <c r="AM69" i="9" s="1"/>
  <c r="AN73" i="9" a="1"/>
  <c r="AN73" i="9" s="1"/>
  <c r="AM73" i="9" s="1"/>
  <c r="AN76" i="9" a="1"/>
  <c r="AN76" i="9" s="1"/>
  <c r="AM76" i="9" s="1"/>
  <c r="AN80" i="9" a="1"/>
  <c r="AN80" i="9" s="1"/>
  <c r="AM80" i="9" s="1"/>
  <c r="AN87" i="9" a="1"/>
  <c r="AN87" i="9" s="1"/>
  <c r="AM87" i="9" s="1"/>
  <c r="AN90" i="9" a="1"/>
  <c r="AN90" i="9" s="1"/>
  <c r="AM90" i="9" s="1"/>
  <c r="AN93" i="9" a="1"/>
  <c r="AN93" i="9" s="1"/>
  <c r="AM93" i="9" s="1"/>
  <c r="AN97" i="9" a="1"/>
  <c r="AN97" i="9" s="1"/>
  <c r="AM97" i="9" s="1"/>
  <c r="AN100" i="9" a="1"/>
  <c r="AN100" i="9" s="1"/>
  <c r="AM100" i="9" s="1"/>
  <c r="AN104" i="9" a="1"/>
  <c r="AN104" i="9" s="1"/>
  <c r="AM104" i="9" s="1"/>
  <c r="AN111" i="9" a="1"/>
  <c r="AN111" i="9" s="1"/>
  <c r="AM111" i="9" s="1"/>
  <c r="AN115" i="9" a="1"/>
  <c r="AN115" i="9" s="1"/>
  <c r="AM115" i="9" s="1"/>
  <c r="AN118" i="9" a="1"/>
  <c r="AN118" i="9" s="1"/>
  <c r="AN122" i="9" a="1"/>
  <c r="AN122" i="9" s="1"/>
  <c r="AM122" i="9" s="1"/>
  <c r="AO122" i="9" s="1"/>
  <c r="AN125" i="9" a="1"/>
  <c r="AN125" i="9" s="1"/>
  <c r="AM125" i="9" s="1"/>
  <c r="AO125" i="9" s="1"/>
  <c r="AN129" i="9" a="1"/>
  <c r="AN129" i="9" s="1"/>
  <c r="AN132" i="9" a="1"/>
  <c r="AN132" i="9" s="1"/>
  <c r="AM132" i="9" s="1"/>
  <c r="AN139" i="9" a="1"/>
  <c r="AN139" i="9" s="1"/>
  <c r="AM139" i="9" s="1"/>
  <c r="AN142" i="9" a="1"/>
  <c r="AN142" i="9" s="1"/>
  <c r="AM142" i="9" s="1"/>
  <c r="AN146" i="9" a="1"/>
  <c r="AN146" i="9" s="1"/>
  <c r="AN149" i="9" a="1"/>
  <c r="AN149" i="9" s="1"/>
  <c r="AM149" i="9" s="1"/>
  <c r="AN152" i="9" a="1"/>
  <c r="AN152" i="9" s="1"/>
  <c r="AM152" i="9" s="1"/>
  <c r="AO152" i="9" s="1"/>
  <c r="AN159" i="9" a="1"/>
  <c r="AN159" i="9" s="1"/>
  <c r="AN162" i="9" a="1"/>
  <c r="AN162" i="9" s="1"/>
  <c r="W534" i="59" s="1"/>
  <c r="X534" i="59" s="1"/>
  <c r="AN165" i="9" a="1"/>
  <c r="AN165" i="9" s="1"/>
  <c r="AN168" i="9" a="1"/>
  <c r="AN168" i="9" s="1"/>
  <c r="AM168" i="9" s="1"/>
  <c r="AO168" i="9" s="1"/>
  <c r="AN8" i="9" a="1"/>
  <c r="AN8" i="9" s="1"/>
  <c r="AM8" i="9" s="1"/>
  <c r="AN11" i="9" a="1"/>
  <c r="AN11" i="9" s="1"/>
  <c r="AM11" i="9" s="1"/>
  <c r="AN14" i="9" a="1"/>
  <c r="AN14" i="9" s="1"/>
  <c r="AM14" i="9" s="1"/>
  <c r="AN17" i="9" a="1"/>
  <c r="AN17" i="9" s="1"/>
  <c r="AM17" i="9" s="1"/>
  <c r="AN20" i="9" a="1"/>
  <c r="AN20" i="9" s="1"/>
  <c r="AN27" i="9" a="1"/>
  <c r="AN27" i="9" s="1"/>
  <c r="AM27" i="9" s="1"/>
  <c r="AN30" i="9" a="1"/>
  <c r="AN30" i="9" s="1"/>
  <c r="AM30" i="9" s="1"/>
  <c r="AN33" i="9" a="1"/>
  <c r="AN33" i="9" s="1"/>
  <c r="AM33" i="9" s="1"/>
  <c r="AN36" i="9" a="1"/>
  <c r="AN36" i="9" s="1"/>
  <c r="AM36" i="9" s="1"/>
  <c r="AN43" i="9" a="1"/>
  <c r="AN43" i="9" s="1"/>
  <c r="AM43" i="9" s="1"/>
  <c r="AN46" i="9" a="1"/>
  <c r="AN46" i="9" s="1"/>
  <c r="AM46" i="9" s="1"/>
  <c r="AN50" i="9" a="1"/>
  <c r="AN50" i="9" s="1"/>
  <c r="AM50" i="9" s="1"/>
  <c r="AN53" i="9" a="1"/>
  <c r="AN53" i="9" s="1"/>
  <c r="AM53" i="9" s="1"/>
  <c r="AN56" i="9" a="1"/>
  <c r="AN56" i="9" s="1"/>
  <c r="AN63" i="9" a="1"/>
  <c r="AN63" i="9" s="1"/>
  <c r="AM63" i="9" s="1"/>
  <c r="AN67" i="9" a="1"/>
  <c r="AN67" i="9" s="1"/>
  <c r="AM67" i="9" s="1"/>
  <c r="W806" i="57" s="1"/>
  <c r="X806" i="57" s="1"/>
  <c r="AN70" i="9" a="1"/>
  <c r="AN70" i="9" s="1"/>
  <c r="AM70" i="9" s="1"/>
  <c r="AN74" i="9" a="1"/>
  <c r="AN74" i="9" s="1"/>
  <c r="AM74" i="9" s="1"/>
  <c r="AN77" i="9" a="1"/>
  <c r="AN77" i="9" s="1"/>
  <c r="AM77" i="9" s="1"/>
  <c r="AN81" i="9" a="1"/>
  <c r="AN81" i="9" s="1"/>
  <c r="AM81" i="9" s="1"/>
  <c r="AN84" i="9" a="1"/>
  <c r="AN84" i="9" s="1"/>
  <c r="AM84" i="9" s="1"/>
  <c r="AN91" i="9" a="1"/>
  <c r="AN91" i="9" s="1"/>
  <c r="AM91" i="9" s="1"/>
  <c r="AN94" i="9" a="1"/>
  <c r="AN94" i="9" s="1"/>
  <c r="AM94" i="9" s="1"/>
  <c r="AN98" i="9" a="1"/>
  <c r="AN98" i="9" s="1"/>
  <c r="AM98" i="9" s="1"/>
  <c r="AN101" i="9" a="1"/>
  <c r="AN101" i="9" s="1"/>
  <c r="AM101" i="9" s="1"/>
  <c r="AN105" i="9" a="1"/>
  <c r="AN105" i="9" s="1"/>
  <c r="AM105" i="9" s="1"/>
  <c r="AN108" i="9" a="1"/>
  <c r="AN108" i="9" s="1"/>
  <c r="AM108" i="9" s="1"/>
  <c r="AN112" i="9" a="1"/>
  <c r="AN112" i="9" s="1"/>
  <c r="AM112" i="9" s="1"/>
  <c r="AN119" i="9" a="1"/>
  <c r="AN119" i="9" s="1"/>
  <c r="AM119" i="9" s="1"/>
  <c r="AN123" i="9" a="1"/>
  <c r="AN123" i="9" s="1"/>
  <c r="AN126" i="9" a="1"/>
  <c r="AN126" i="9" s="1"/>
  <c r="AM126" i="9" s="1"/>
  <c r="AO126" i="9" s="1"/>
  <c r="AN130" i="9" a="1"/>
  <c r="AN130" i="9" s="1"/>
  <c r="AM130" i="9" s="1"/>
  <c r="AO130" i="9" s="1"/>
  <c r="AN133" i="9" a="1"/>
  <c r="AN133" i="9" s="1"/>
  <c r="AM133" i="9" s="1"/>
  <c r="AN136" i="9" a="1"/>
  <c r="AN136" i="9" s="1"/>
  <c r="W600" i="59" s="1"/>
  <c r="X600" i="59" s="1"/>
  <c r="AN143" i="9" a="1"/>
  <c r="AN143" i="9" s="1"/>
  <c r="AN147" i="9" a="1"/>
  <c r="AN147" i="9" s="1"/>
  <c r="AM147" i="9" s="1"/>
  <c r="AN150" i="9" a="1"/>
  <c r="AN150" i="9" s="1"/>
  <c r="AM150" i="9" s="1"/>
  <c r="AN153" i="9" a="1"/>
  <c r="AN153" i="9" s="1"/>
  <c r="AN156" i="9" a="1"/>
  <c r="AN156" i="9" s="1"/>
  <c r="AN163" i="9" a="1"/>
  <c r="AN163" i="9" s="1"/>
  <c r="AM163" i="9" s="1"/>
  <c r="AO163" i="9" s="1"/>
  <c r="AN166" i="9" a="1"/>
  <c r="AN166" i="9" s="1"/>
  <c r="AN169" i="9" a="1"/>
  <c r="AN169" i="9" s="1"/>
  <c r="AN9" i="9" a="1"/>
  <c r="AN9" i="9" s="1"/>
  <c r="AM9" i="9" s="1"/>
  <c r="AN21" i="9" a="1"/>
  <c r="AN21" i="9" s="1"/>
  <c r="AM21" i="9" s="1"/>
  <c r="AN34" i="9" a="1"/>
  <c r="AN34" i="9" s="1"/>
  <c r="AM34" i="9" s="1"/>
  <c r="AN47" i="9" a="1"/>
  <c r="AN47" i="9" s="1"/>
  <c r="AM47" i="9" s="1"/>
  <c r="AN60" i="9" a="1"/>
  <c r="AN60" i="9" s="1"/>
  <c r="AN75" i="9" a="1"/>
  <c r="AN75" i="9" s="1"/>
  <c r="AN88" i="9" a="1"/>
  <c r="AN88" i="9" s="1"/>
  <c r="AM88" i="9" s="1"/>
  <c r="AN102" i="9" a="1"/>
  <c r="AN102" i="9" s="1"/>
  <c r="AM102" i="9" s="1"/>
  <c r="AN116" i="9" a="1"/>
  <c r="AN116" i="9" s="1"/>
  <c r="AM116" i="9" s="1"/>
  <c r="AN131" i="9" a="1"/>
  <c r="AN131" i="9" s="1"/>
  <c r="AN144" i="9" a="1"/>
  <c r="AN144" i="9" s="1"/>
  <c r="AN157" i="9" a="1"/>
  <c r="AN157" i="9" s="1"/>
  <c r="AM157" i="9" s="1"/>
  <c r="AO157" i="9" s="1"/>
  <c r="AN24" i="9" a="1"/>
  <c r="AN24" i="9" s="1"/>
  <c r="AM24" i="9" s="1"/>
  <c r="AN37" i="9" a="1"/>
  <c r="AN37" i="9" s="1"/>
  <c r="AM37" i="9" s="1"/>
  <c r="AN51" i="9" a="1"/>
  <c r="AN51" i="9" s="1"/>
  <c r="AM51" i="9" s="1"/>
  <c r="AN64" i="9" a="1"/>
  <c r="AN64" i="9" s="1"/>
  <c r="AM64" i="9" s="1"/>
  <c r="J21" i="10" s="1"/>
  <c r="AN78" i="9" a="1"/>
  <c r="AN78" i="9" s="1"/>
  <c r="AM78" i="9" s="1"/>
  <c r="AN106" i="9" a="1"/>
  <c r="AN106" i="9" s="1"/>
  <c r="AM106" i="9" s="1"/>
  <c r="AN120" i="9" a="1"/>
  <c r="AN120" i="9" s="1"/>
  <c r="AN134" i="9" a="1"/>
  <c r="AN134" i="9" s="1"/>
  <c r="AN160" i="9" a="1"/>
  <c r="AN160" i="9" s="1"/>
  <c r="AN15" i="9" a="1"/>
  <c r="AN15" i="9" s="1"/>
  <c r="AM15" i="9" s="1"/>
  <c r="AN40" i="9" a="1"/>
  <c r="AN40" i="9" s="1"/>
  <c r="AM40" i="9" s="1"/>
  <c r="AN54" i="9" a="1"/>
  <c r="AN54" i="9" s="1"/>
  <c r="W603" i="59" s="1"/>
  <c r="X603" i="59" s="1"/>
  <c r="AN82" i="9" a="1"/>
  <c r="AN82" i="9" s="1"/>
  <c r="AM82" i="9" s="1"/>
  <c r="AN95" i="9" a="1"/>
  <c r="AN95" i="9" s="1"/>
  <c r="AM95" i="9" s="1"/>
  <c r="AN109" i="9" a="1"/>
  <c r="AN109" i="9" s="1"/>
  <c r="AN137" i="9" a="1"/>
  <c r="AN137" i="9" s="1"/>
  <c r="AN151" i="9" a="1"/>
  <c r="AN151" i="9" s="1"/>
  <c r="AN18" i="9" a="1"/>
  <c r="AN18" i="9" s="1"/>
  <c r="AM18" i="9" s="1"/>
  <c r="AN71" i="9" a="1"/>
  <c r="AN71" i="9" s="1"/>
  <c r="AM71" i="9" s="1"/>
  <c r="AN127" i="9" a="1"/>
  <c r="AN127" i="9" s="1"/>
  <c r="AN31" i="9" a="1"/>
  <c r="AN31" i="9" s="1"/>
  <c r="AM31" i="9" s="1"/>
  <c r="AN85" i="9" a="1"/>
  <c r="AN85" i="9" s="1"/>
  <c r="AM85" i="9" s="1"/>
  <c r="AN140" i="9" a="1"/>
  <c r="AN140" i="9" s="1"/>
  <c r="AN99" i="9" a="1"/>
  <c r="AN99" i="9" s="1"/>
  <c r="AM99" i="9" s="1"/>
  <c r="AN154" i="9" a="1"/>
  <c r="AN154" i="9" s="1"/>
  <c r="AN57" i="9" a="1"/>
  <c r="AN57" i="9" s="1"/>
  <c r="AM57" i="9" s="1"/>
  <c r="AN113" i="9" a="1"/>
  <c r="AN113" i="9" s="1"/>
  <c r="AN167" i="9" a="1"/>
  <c r="AN167" i="9" s="1"/>
  <c r="AN6" i="9" a="1"/>
  <c r="AN6" i="9" s="1"/>
  <c r="AO121" i="9"/>
  <c r="AO149" i="9"/>
  <c r="AO115" i="9"/>
  <c r="AO119" i="9"/>
  <c r="AO147" i="9"/>
  <c r="AO150" i="9"/>
  <c r="AO133" i="9"/>
  <c r="AO139" i="9"/>
  <c r="AO116" i="9"/>
  <c r="AO141" i="9"/>
  <c r="AO124" i="9"/>
  <c r="AO132" i="9"/>
  <c r="AO142" i="9"/>
  <c r="Y633" i="60"/>
  <c r="AC638" i="60" s="1"/>
  <c r="Y545" i="60"/>
  <c r="AC550" i="60" s="1"/>
  <c r="Y765" i="60"/>
  <c r="AC771" i="60" s="1"/>
  <c r="Y611" i="60"/>
  <c r="AC616" i="60" s="1"/>
  <c r="Y589" i="60"/>
  <c r="AC594" i="60" s="1"/>
  <c r="Y578" i="60"/>
  <c r="AC584" i="60" s="1"/>
  <c r="Y721" i="60"/>
  <c r="AC726" i="60" s="1"/>
  <c r="Y809" i="60"/>
  <c r="AC815" i="60" s="1"/>
  <c r="Y710" i="60"/>
  <c r="AC716" i="60" s="1"/>
  <c r="Y600" i="60"/>
  <c r="AC606" i="60" s="1"/>
  <c r="Y699" i="60"/>
  <c r="AC704" i="60" s="1"/>
  <c r="Y622" i="60"/>
  <c r="AC628" i="60" s="1"/>
  <c r="Y567" i="60"/>
  <c r="AC572" i="60" s="1"/>
  <c r="Y512" i="60"/>
  <c r="AC518" i="60" s="1"/>
  <c r="Y523" i="60"/>
  <c r="AC528" i="60" s="1"/>
  <c r="Y534" i="60"/>
  <c r="AC540" i="60" s="1"/>
  <c r="Y501" i="60"/>
  <c r="AC506" i="60" s="1"/>
  <c r="Y556" i="60"/>
  <c r="AC562" i="60" s="1"/>
  <c r="A77" i="9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S19" i="10"/>
  <c r="AS18" i="10"/>
  <c r="AS17" i="10"/>
  <c r="AS16" i="10"/>
  <c r="AS15" i="10"/>
  <c r="N44" i="10" s="1"/>
  <c r="AS14" i="10"/>
  <c r="AS13" i="10"/>
  <c r="L24" i="10" l="1"/>
  <c r="AM6" i="9"/>
  <c r="AO113" i="9"/>
  <c r="AM113" i="9"/>
  <c r="AO140" i="9"/>
  <c r="AM140" i="9"/>
  <c r="AO109" i="9"/>
  <c r="AM109" i="9"/>
  <c r="AO134" i="9"/>
  <c r="AM134" i="9"/>
  <c r="AO120" i="9"/>
  <c r="AM120" i="9"/>
  <c r="AO144" i="9"/>
  <c r="AM144" i="9"/>
  <c r="K702" i="59"/>
  <c r="L702" i="59" s="1"/>
  <c r="AM60" i="9"/>
  <c r="AO153" i="9"/>
  <c r="AM153" i="9"/>
  <c r="AO143" i="9"/>
  <c r="AM143" i="9"/>
  <c r="AO123" i="9"/>
  <c r="AM123" i="9"/>
  <c r="AO146" i="9"/>
  <c r="AM146" i="9"/>
  <c r="AO148" i="9"/>
  <c r="AM148" i="9"/>
  <c r="AO145" i="9"/>
  <c r="AM145" i="9"/>
  <c r="AO114" i="9"/>
  <c r="AM114" i="9"/>
  <c r="J24" i="10"/>
  <c r="M24" i="10" s="1"/>
  <c r="N24" i="10" s="1"/>
  <c r="AY1" i="9"/>
  <c r="G777" i="59"/>
  <c r="H777" i="59" s="1"/>
  <c r="G788" i="59"/>
  <c r="H788" i="59" s="1"/>
  <c r="G842" i="57"/>
  <c r="Y842" i="57" s="1"/>
  <c r="AC847" i="57" s="1"/>
  <c r="G853" i="57"/>
  <c r="AM54" i="9"/>
  <c r="AO54" i="9" s="1"/>
  <c r="W636" i="59"/>
  <c r="X636" i="59" s="1"/>
  <c r="W817" i="57"/>
  <c r="X817" i="57" s="1"/>
  <c r="W828" i="57"/>
  <c r="X828" i="57" s="1"/>
  <c r="S656" i="59"/>
  <c r="T656" i="59" s="1"/>
  <c r="S641" i="59"/>
  <c r="T641" i="59" s="1"/>
  <c r="AM56" i="9"/>
  <c r="S645" i="59"/>
  <c r="T645" i="59" s="1"/>
  <c r="AM20" i="9"/>
  <c r="J53" i="10" s="1"/>
  <c r="L53" i="10"/>
  <c r="AP111" i="9"/>
  <c r="L43" i="10"/>
  <c r="AM66" i="9"/>
  <c r="L42" i="10"/>
  <c r="L48" i="10"/>
  <c r="L49" i="10"/>
  <c r="J23" i="10"/>
  <c r="L23" i="10"/>
  <c r="L50" i="10"/>
  <c r="L51" i="10"/>
  <c r="L59" i="10"/>
  <c r="L56" i="10"/>
  <c r="J56" i="10"/>
  <c r="AM72" i="9"/>
  <c r="L57" i="10"/>
  <c r="AM29" i="9"/>
  <c r="J41" i="10" s="1"/>
  <c r="L41" i="10"/>
  <c r="AM42" i="9"/>
  <c r="J47" i="10" s="1"/>
  <c r="L47" i="10"/>
  <c r="AM4" i="9"/>
  <c r="AO4" i="9" s="1"/>
  <c r="L52" i="10"/>
  <c r="L58" i="10"/>
  <c r="M58" i="10" s="1"/>
  <c r="L46" i="10"/>
  <c r="L39" i="10"/>
  <c r="J39" i="10"/>
  <c r="L35" i="10"/>
  <c r="L22" i="10"/>
  <c r="M22" i="10" s="1"/>
  <c r="N22" i="10" s="1"/>
  <c r="L21" i="10"/>
  <c r="M21" i="10" s="1"/>
  <c r="N21" i="10" s="1"/>
  <c r="N37" i="10"/>
  <c r="N28" i="10"/>
  <c r="N27" i="10"/>
  <c r="N25" i="10"/>
  <c r="N29" i="10"/>
  <c r="N26" i="10"/>
  <c r="AM137" i="9"/>
  <c r="AO137" i="9" s="1"/>
  <c r="AM166" i="9"/>
  <c r="AO166" i="9" s="1"/>
  <c r="AM159" i="9"/>
  <c r="AO159" i="9" s="1"/>
  <c r="AM167" i="9"/>
  <c r="AO167" i="9" s="1"/>
  <c r="AM160" i="9"/>
  <c r="AO160" i="9" s="1"/>
  <c r="AM156" i="9"/>
  <c r="AO156" i="9" s="1"/>
  <c r="AM165" i="9"/>
  <c r="AO165" i="9" s="1"/>
  <c r="AM118" i="9"/>
  <c r="AO118" i="9" s="1"/>
  <c r="L34" i="10"/>
  <c r="AM68" i="9"/>
  <c r="AM154" i="9"/>
  <c r="AO154" i="9" s="1"/>
  <c r="AM127" i="9"/>
  <c r="AM151" i="9"/>
  <c r="AO151" i="9" s="1"/>
  <c r="AM131" i="9"/>
  <c r="AO131" i="9" s="1"/>
  <c r="AM75" i="9"/>
  <c r="AO75" i="9" s="1"/>
  <c r="AO169" i="9"/>
  <c r="AM136" i="9"/>
  <c r="AO136" i="9" s="1"/>
  <c r="AM162" i="9"/>
  <c r="AO162" i="9" s="1"/>
  <c r="AM129" i="9"/>
  <c r="AO129" i="9" s="1"/>
  <c r="AM161" i="9"/>
  <c r="AO161" i="9" s="1"/>
  <c r="AM128" i="9"/>
  <c r="AO128" i="9" s="1"/>
  <c r="S831" i="57"/>
  <c r="T831" i="57" s="1"/>
  <c r="S795" i="57"/>
  <c r="T795" i="57" s="1"/>
  <c r="S795" i="59"/>
  <c r="T795" i="59" s="1"/>
  <c r="L33" i="10"/>
  <c r="J33" i="10"/>
  <c r="K831" i="57"/>
  <c r="L831" i="57" s="1"/>
  <c r="S820" i="57"/>
  <c r="T820" i="57" s="1"/>
  <c r="G831" i="57"/>
  <c r="G820" i="57"/>
  <c r="G810" i="57"/>
  <c r="H810" i="57" s="1"/>
  <c r="G755" i="59"/>
  <c r="H755" i="59" s="1"/>
  <c r="W795" i="59"/>
  <c r="X795" i="59" s="1"/>
  <c r="S614" i="59"/>
  <c r="T614" i="59" s="1"/>
  <c r="G755" i="57"/>
  <c r="H755" i="57" s="1"/>
  <c r="G744" i="59"/>
  <c r="H744" i="59" s="1"/>
  <c r="G799" i="57"/>
  <c r="H799" i="57" s="1"/>
  <c r="AO111" i="9"/>
  <c r="S784" i="59"/>
  <c r="T784" i="59" s="1"/>
  <c r="K713" i="59"/>
  <c r="L713" i="59" s="1"/>
  <c r="W779" i="59"/>
  <c r="X779" i="59" s="1"/>
  <c r="W784" i="59"/>
  <c r="X784" i="59" s="1"/>
  <c r="W644" i="59"/>
  <c r="X644" i="59" s="1"/>
  <c r="S634" i="59"/>
  <c r="T634" i="59" s="1"/>
  <c r="S630" i="59"/>
  <c r="T630" i="59" s="1"/>
  <c r="S542" i="59"/>
  <c r="T542" i="59" s="1"/>
  <c r="S568" i="59"/>
  <c r="T568" i="59" s="1"/>
  <c r="A110" i="9"/>
  <c r="AO112" i="9"/>
  <c r="AP112" i="9"/>
  <c r="AO110" i="9"/>
  <c r="AP110" i="9"/>
  <c r="AO78" i="9"/>
  <c r="AP78" i="9"/>
  <c r="AO77" i="9"/>
  <c r="AP77" i="9"/>
  <c r="AO63" i="9"/>
  <c r="AP63" i="9"/>
  <c r="AO79" i="9"/>
  <c r="AP79" i="9"/>
  <c r="AO61" i="9"/>
  <c r="AP61" i="9"/>
  <c r="AO76" i="9"/>
  <c r="AP76" i="9"/>
  <c r="AO62" i="9"/>
  <c r="AP62" i="9"/>
  <c r="AO64" i="9"/>
  <c r="AP64" i="9"/>
  <c r="AO53" i="9"/>
  <c r="AP53" i="9"/>
  <c r="AO65" i="9"/>
  <c r="AP65" i="9"/>
  <c r="W746" i="59"/>
  <c r="X746" i="59" s="1"/>
  <c r="AO11" i="9"/>
  <c r="AP11" i="9"/>
  <c r="AO10" i="9"/>
  <c r="AP10" i="9"/>
  <c r="AP9" i="9"/>
  <c r="AO8" i="9"/>
  <c r="AP8" i="9"/>
  <c r="AO7" i="9"/>
  <c r="AP7" i="9"/>
  <c r="AP4" i="9"/>
  <c r="S663" i="57"/>
  <c r="T663" i="57" s="1"/>
  <c r="S663" i="59"/>
  <c r="T663" i="59" s="1"/>
  <c r="S590" i="59"/>
  <c r="T590" i="59" s="1"/>
  <c r="W674" i="59"/>
  <c r="X674" i="59" s="1"/>
  <c r="W641" i="59"/>
  <c r="X641" i="59" s="1"/>
  <c r="G634" i="59"/>
  <c r="H634" i="59" s="1"/>
  <c r="G623" i="59"/>
  <c r="H623" i="59" s="1"/>
  <c r="K776" i="59"/>
  <c r="L776" i="59" s="1"/>
  <c r="W740" i="59"/>
  <c r="X740" i="59" s="1"/>
  <c r="K625" i="57"/>
  <c r="L625" i="57" s="1"/>
  <c r="K625" i="59"/>
  <c r="L625" i="59" s="1"/>
  <c r="K633" i="59"/>
  <c r="L633" i="59" s="1"/>
  <c r="K622" i="59"/>
  <c r="L622" i="59" s="1"/>
  <c r="S586" i="59"/>
  <c r="T586" i="59" s="1"/>
  <c r="W751" i="59"/>
  <c r="X751" i="59" s="1"/>
  <c r="G688" i="59"/>
  <c r="H688" i="59" s="1"/>
  <c r="S619" i="59"/>
  <c r="T619" i="59" s="1"/>
  <c r="W592" i="59"/>
  <c r="X592" i="59" s="1"/>
  <c r="G787" i="59"/>
  <c r="H787" i="59" s="1"/>
  <c r="W531" i="59"/>
  <c r="X531" i="59" s="1"/>
  <c r="W542" i="59"/>
  <c r="X542" i="59" s="1"/>
  <c r="S623" i="59"/>
  <c r="T623" i="59" s="1"/>
  <c r="S557" i="59"/>
  <c r="T557" i="59" s="1"/>
  <c r="G645" i="59"/>
  <c r="H645" i="59" s="1"/>
  <c r="G656" i="59"/>
  <c r="H656" i="59" s="1"/>
  <c r="W773" i="59"/>
  <c r="X773" i="59" s="1"/>
  <c r="G523" i="59"/>
  <c r="H523" i="59" s="1"/>
  <c r="K691" i="57"/>
  <c r="L691" i="57" s="1"/>
  <c r="K691" i="59"/>
  <c r="L691" i="59" s="1"/>
  <c r="W589" i="59"/>
  <c r="X589" i="59" s="1"/>
  <c r="S787" i="59"/>
  <c r="T787" i="59" s="1"/>
  <c r="S762" i="59"/>
  <c r="T762" i="59" s="1"/>
  <c r="W762" i="59"/>
  <c r="X762" i="59" s="1"/>
  <c r="K680" i="59"/>
  <c r="L680" i="59" s="1"/>
  <c r="K622" i="57"/>
  <c r="K644" i="59"/>
  <c r="L644" i="59" s="1"/>
  <c r="AP75" i="9"/>
  <c r="AO5" i="9"/>
  <c r="AP5" i="9"/>
  <c r="AO6" i="9"/>
  <c r="AP6" i="9"/>
  <c r="AO55" i="9"/>
  <c r="AP55" i="9"/>
  <c r="AP54" i="9"/>
  <c r="AO52" i="9"/>
  <c r="AP52" i="9"/>
  <c r="AO51" i="9"/>
  <c r="AP51" i="9"/>
  <c r="AO80" i="9"/>
  <c r="AP80" i="9"/>
  <c r="AO81" i="9"/>
  <c r="AP81" i="9"/>
  <c r="W581" i="59"/>
  <c r="X581" i="59" s="1"/>
  <c r="G721" i="59"/>
  <c r="H721" i="59" s="1"/>
  <c r="G732" i="59"/>
  <c r="H732" i="59" s="1"/>
  <c r="W578" i="57"/>
  <c r="W578" i="59"/>
  <c r="X578" i="59" s="1"/>
  <c r="K647" i="59"/>
  <c r="L647" i="59" s="1"/>
  <c r="S546" i="59"/>
  <c r="T546" i="59" s="1"/>
  <c r="S608" i="59"/>
  <c r="T608" i="59" s="1"/>
  <c r="S612" i="59"/>
  <c r="T612" i="59" s="1"/>
  <c r="W652" i="59"/>
  <c r="X652" i="59" s="1"/>
  <c r="W663" i="59"/>
  <c r="X663" i="59" s="1"/>
  <c r="K787" i="59"/>
  <c r="K669" i="59"/>
  <c r="L669" i="59" s="1"/>
  <c r="K658" i="59"/>
  <c r="L658" i="59" s="1"/>
  <c r="G655" i="59"/>
  <c r="H655" i="59" s="1"/>
  <c r="W641" i="57"/>
  <c r="S652" i="59"/>
  <c r="T652" i="59" s="1"/>
  <c r="K636" i="59"/>
  <c r="L636" i="59" s="1"/>
  <c r="S597" i="59"/>
  <c r="T597" i="59" s="1"/>
  <c r="S592" i="59"/>
  <c r="T592" i="59" s="1"/>
  <c r="W570" i="59"/>
  <c r="X570" i="59" s="1"/>
  <c r="W520" i="59"/>
  <c r="X520" i="59" s="1"/>
  <c r="S743" i="59"/>
  <c r="T743" i="59" s="1"/>
  <c r="S601" i="59"/>
  <c r="T601" i="59" s="1"/>
  <c r="S570" i="59"/>
  <c r="T570" i="59" s="1"/>
  <c r="G666" i="59"/>
  <c r="H666" i="59" s="1"/>
  <c r="AP169" i="9"/>
  <c r="AP153" i="9"/>
  <c r="AP121" i="9"/>
  <c r="AO105" i="9"/>
  <c r="AP105" i="9"/>
  <c r="AP114" i="9"/>
  <c r="AO37" i="9"/>
  <c r="AP37" i="9"/>
  <c r="AP126" i="9"/>
  <c r="AP29" i="9"/>
  <c r="AO103" i="9"/>
  <c r="AP103" i="9"/>
  <c r="AO32" i="9"/>
  <c r="AP32" i="9"/>
  <c r="AP151" i="9"/>
  <c r="AP150" i="9"/>
  <c r="AP118" i="9"/>
  <c r="AO102" i="9"/>
  <c r="AP102" i="9"/>
  <c r="AO35" i="9"/>
  <c r="AP35" i="9"/>
  <c r="AP127" i="9"/>
  <c r="AO66" i="9"/>
  <c r="AP66" i="9"/>
  <c r="AO34" i="9"/>
  <c r="AP34" i="9"/>
  <c r="AP13" i="9"/>
  <c r="AP155" i="9"/>
  <c r="AP123" i="9"/>
  <c r="AO107" i="9"/>
  <c r="AP107" i="9"/>
  <c r="L19" i="10"/>
  <c r="AP122" i="9"/>
  <c r="AP14" i="9"/>
  <c r="AP119" i="9"/>
  <c r="AP115" i="9"/>
  <c r="AO83" i="9"/>
  <c r="AP83" i="9"/>
  <c r="AO31" i="9"/>
  <c r="AP31" i="9"/>
  <c r="AP168" i="9"/>
  <c r="AP152" i="9"/>
  <c r="AP120" i="9"/>
  <c r="AO104" i="9"/>
  <c r="AP104" i="9"/>
  <c r="AO30" i="9"/>
  <c r="AP30" i="9"/>
  <c r="AP116" i="9"/>
  <c r="AO36" i="9"/>
  <c r="AP36" i="9"/>
  <c r="AO82" i="9"/>
  <c r="AP82" i="9"/>
  <c r="AP128" i="9"/>
  <c r="AP125" i="9"/>
  <c r="AP109" i="9"/>
  <c r="AO106" i="9"/>
  <c r="AP106" i="9"/>
  <c r="AP124" i="9"/>
  <c r="AO108" i="9"/>
  <c r="AP108" i="9"/>
  <c r="AP117" i="9"/>
  <c r="L20" i="10"/>
  <c r="AP113" i="9"/>
  <c r="AO33" i="9"/>
  <c r="AP33" i="9"/>
  <c r="AP12" i="9"/>
  <c r="AP160" i="9"/>
  <c r="AP163" i="9"/>
  <c r="AP84" i="9"/>
  <c r="AP165" i="9"/>
  <c r="AP146" i="9"/>
  <c r="AP68" i="9"/>
  <c r="AP164" i="9"/>
  <c r="AP145" i="9"/>
  <c r="AP39" i="9"/>
  <c r="AP135" i="9"/>
  <c r="AP87" i="9"/>
  <c r="AP60" i="9"/>
  <c r="AP38" i="9"/>
  <c r="AP19" i="9"/>
  <c r="AP131" i="9"/>
  <c r="AP86" i="9"/>
  <c r="AP50" i="9"/>
  <c r="AP21" i="9"/>
  <c r="AP133" i="9"/>
  <c r="AP95" i="9"/>
  <c r="AP69" i="9"/>
  <c r="AP43" i="9"/>
  <c r="AP48" i="9"/>
  <c r="AP139" i="9"/>
  <c r="AP157" i="9"/>
  <c r="AP156" i="9"/>
  <c r="AP58" i="9"/>
  <c r="AP162" i="9"/>
  <c r="AP142" i="9"/>
  <c r="AP42" i="9"/>
  <c r="AP161" i="9"/>
  <c r="AP140" i="9"/>
  <c r="AP23" i="9"/>
  <c r="AP96" i="9"/>
  <c r="AP74" i="9"/>
  <c r="AP57" i="9"/>
  <c r="AP28" i="9"/>
  <c r="AP16" i="9"/>
  <c r="AP99" i="9"/>
  <c r="AP73" i="9"/>
  <c r="AP47" i="9"/>
  <c r="AP18" i="9"/>
  <c r="AP130" i="9"/>
  <c r="AP88" i="9"/>
  <c r="AP59" i="9"/>
  <c r="AP27" i="9"/>
  <c r="AP154" i="9"/>
  <c r="AP167" i="9"/>
  <c r="AP144" i="9"/>
  <c r="AP147" i="9"/>
  <c r="AP45" i="9"/>
  <c r="AP159" i="9"/>
  <c r="AP132" i="9"/>
  <c r="AP26" i="9"/>
  <c r="AP158" i="9"/>
  <c r="AP129" i="9"/>
  <c r="AP141" i="9"/>
  <c r="AP93" i="9"/>
  <c r="AP71" i="9"/>
  <c r="AP44" i="9"/>
  <c r="AP25" i="9"/>
  <c r="AP137" i="9"/>
  <c r="AP92" i="9"/>
  <c r="AP70" i="9"/>
  <c r="AP40" i="9"/>
  <c r="AP143" i="9"/>
  <c r="AP101" i="9"/>
  <c r="AP85" i="9"/>
  <c r="AP49" i="9"/>
  <c r="AP20" i="9"/>
  <c r="AP100" i="9"/>
  <c r="AP166" i="9"/>
  <c r="AP97" i="9"/>
  <c r="AP17" i="9"/>
  <c r="AP149" i="9"/>
  <c r="AP94" i="9"/>
  <c r="AP148" i="9"/>
  <c r="AP91" i="9"/>
  <c r="AP138" i="9"/>
  <c r="AP90" i="9"/>
  <c r="AP67" i="9"/>
  <c r="AP41" i="9"/>
  <c r="AP22" i="9"/>
  <c r="AP134" i="9"/>
  <c r="AP89" i="9"/>
  <c r="AP56" i="9"/>
  <c r="AP24" i="9"/>
  <c r="AP136" i="9"/>
  <c r="AP98" i="9"/>
  <c r="AP72" i="9"/>
  <c r="AP46" i="9"/>
  <c r="AP15" i="9"/>
  <c r="W702" i="59"/>
  <c r="X702" i="59" s="1"/>
  <c r="W548" i="59"/>
  <c r="X548" i="59" s="1"/>
  <c r="S578" i="59"/>
  <c r="T578" i="59" s="1"/>
  <c r="W710" i="59"/>
  <c r="X710" i="59" s="1"/>
  <c r="S721" i="59"/>
  <c r="K600" i="59"/>
  <c r="L600" i="59" s="1"/>
  <c r="S548" i="59"/>
  <c r="T548" i="59" s="1"/>
  <c r="G710" i="59"/>
  <c r="H710" i="59" s="1"/>
  <c r="W707" i="59"/>
  <c r="X707" i="59" s="1"/>
  <c r="S575" i="59"/>
  <c r="T575" i="59" s="1"/>
  <c r="W545" i="59"/>
  <c r="X545" i="59" s="1"/>
  <c r="S579" i="59"/>
  <c r="T579" i="59" s="1"/>
  <c r="S677" i="59"/>
  <c r="T677" i="59" s="1"/>
  <c r="G765" i="59"/>
  <c r="H765" i="59" s="1"/>
  <c r="S776" i="59"/>
  <c r="T776" i="59" s="1"/>
  <c r="S765" i="59"/>
  <c r="T765" i="59" s="1"/>
  <c r="W556" i="59"/>
  <c r="X556" i="59" s="1"/>
  <c r="K743" i="59"/>
  <c r="L743" i="59" s="1"/>
  <c r="S754" i="59"/>
  <c r="T754" i="59" s="1"/>
  <c r="G754" i="59"/>
  <c r="S710" i="59"/>
  <c r="G677" i="59"/>
  <c r="K732" i="59"/>
  <c r="G776" i="59"/>
  <c r="G699" i="59"/>
  <c r="G743" i="59"/>
  <c r="K655" i="59"/>
  <c r="S732" i="59"/>
  <c r="T732" i="59" s="1"/>
  <c r="S688" i="59"/>
  <c r="K765" i="59"/>
  <c r="S666" i="59"/>
  <c r="S699" i="59"/>
  <c r="T699" i="59" s="1"/>
  <c r="S655" i="59"/>
  <c r="T655" i="59" s="1"/>
  <c r="W619" i="59"/>
  <c r="X619" i="59" s="1"/>
  <c r="S524" i="59"/>
  <c r="T524" i="59" s="1"/>
  <c r="K548" i="59"/>
  <c r="L548" i="59" s="1"/>
  <c r="W614" i="59"/>
  <c r="X614" i="59" s="1"/>
  <c r="K534" i="59"/>
  <c r="L534" i="59" s="1"/>
  <c r="G633" i="59"/>
  <c r="H633" i="59" s="1"/>
  <c r="S520" i="59"/>
  <c r="T520" i="59" s="1"/>
  <c r="W575" i="59"/>
  <c r="X575" i="59" s="1"/>
  <c r="W564" i="59"/>
  <c r="X564" i="59" s="1"/>
  <c r="G699" i="57"/>
  <c r="H699" i="57" s="1"/>
  <c r="K666" i="57"/>
  <c r="L666" i="57" s="1"/>
  <c r="W633" i="59"/>
  <c r="X633" i="59" s="1"/>
  <c r="W630" i="59"/>
  <c r="X630" i="59" s="1"/>
  <c r="W625" i="59"/>
  <c r="X625" i="59" s="1"/>
  <c r="W622" i="59"/>
  <c r="X622" i="59" s="1"/>
  <c r="W567" i="59"/>
  <c r="X567" i="59" s="1"/>
  <c r="K559" i="59"/>
  <c r="L559" i="59" s="1"/>
  <c r="K545" i="59"/>
  <c r="L545" i="59" s="1"/>
  <c r="S535" i="59"/>
  <c r="T535" i="59" s="1"/>
  <c r="S531" i="59"/>
  <c r="T531" i="59" s="1"/>
  <c r="K515" i="59"/>
  <c r="L515" i="59" s="1"/>
  <c r="G754" i="57"/>
  <c r="H754" i="57" s="1"/>
  <c r="S633" i="59"/>
  <c r="S644" i="59"/>
  <c r="T644" i="59" s="1"/>
  <c r="S515" i="59"/>
  <c r="T515" i="59" s="1"/>
  <c r="S622" i="59"/>
  <c r="T622" i="59" s="1"/>
  <c r="G622" i="59"/>
  <c r="H622" i="59" s="1"/>
  <c r="S556" i="59"/>
  <c r="T556" i="59" s="1"/>
  <c r="W608" i="59"/>
  <c r="X608" i="59" s="1"/>
  <c r="S513" i="59"/>
  <c r="T513" i="59" s="1"/>
  <c r="W553" i="57"/>
  <c r="W553" i="59"/>
  <c r="X553" i="59" s="1"/>
  <c r="S589" i="59"/>
  <c r="T589" i="59" s="1"/>
  <c r="G578" i="59"/>
  <c r="H578" i="59" s="1"/>
  <c r="W611" i="57"/>
  <c r="W611" i="59"/>
  <c r="X611" i="59" s="1"/>
  <c r="W512" i="59"/>
  <c r="X512" i="59" s="1"/>
  <c r="S567" i="59"/>
  <c r="T567" i="59" s="1"/>
  <c r="S545" i="59"/>
  <c r="T545" i="59" s="1"/>
  <c r="K537" i="59"/>
  <c r="L537" i="59" s="1"/>
  <c r="G644" i="59"/>
  <c r="K523" i="59"/>
  <c r="L523" i="59" s="1"/>
  <c r="W608" i="57"/>
  <c r="G534" i="59"/>
  <c r="H534" i="59" s="1"/>
  <c r="S644" i="57"/>
  <c r="T644" i="57" s="1"/>
  <c r="S534" i="59"/>
  <c r="S512" i="59"/>
  <c r="T512" i="59" s="1"/>
  <c r="G622" i="57"/>
  <c r="G512" i="59"/>
  <c r="G578" i="57"/>
  <c r="G545" i="59"/>
  <c r="S611" i="57"/>
  <c r="S611" i="59"/>
  <c r="T611" i="59" s="1"/>
  <c r="G611" i="57"/>
  <c r="G611" i="59"/>
  <c r="G589" i="57"/>
  <c r="G589" i="59"/>
  <c r="S633" i="57"/>
  <c r="S523" i="59"/>
  <c r="K578" i="57"/>
  <c r="K578" i="59"/>
  <c r="G567" i="57"/>
  <c r="G567" i="59"/>
  <c r="S600" i="59"/>
  <c r="T600" i="59" s="1"/>
  <c r="G600" i="57"/>
  <c r="G600" i="59"/>
  <c r="G556" i="57"/>
  <c r="G556" i="59"/>
  <c r="H556" i="59" s="1"/>
  <c r="K556" i="57"/>
  <c r="K556" i="59"/>
  <c r="K545" i="57"/>
  <c r="W597" i="57"/>
  <c r="W586" i="57"/>
  <c r="W592" i="57"/>
  <c r="W581" i="57"/>
  <c r="S589" i="57"/>
  <c r="G545" i="57"/>
  <c r="W600" i="57"/>
  <c r="W589" i="57"/>
  <c r="K589" i="57"/>
  <c r="G633" i="57"/>
  <c r="K611" i="57"/>
  <c r="L363" i="59"/>
  <c r="Q445" i="59"/>
  <c r="Q444" i="59"/>
  <c r="Q442" i="59"/>
  <c r="Q440" i="59"/>
  <c r="Q439" i="59"/>
  <c r="Q437" i="59"/>
  <c r="Q436" i="59"/>
  <c r="Q434" i="59"/>
  <c r="Q433" i="59"/>
  <c r="Q431" i="59"/>
  <c r="Q429" i="59"/>
  <c r="Q428" i="59"/>
  <c r="Q426" i="59"/>
  <c r="Q425" i="59"/>
  <c r="Q423" i="59"/>
  <c r="Q422" i="59"/>
  <c r="Q420" i="59"/>
  <c r="Q418" i="59"/>
  <c r="Q417" i="59"/>
  <c r="Q415" i="59"/>
  <c r="Q414" i="59"/>
  <c r="Q412" i="59"/>
  <c r="Q411" i="59"/>
  <c r="Q409" i="59"/>
  <c r="Q407" i="59"/>
  <c r="Q406" i="59"/>
  <c r="Q404" i="59"/>
  <c r="Q403" i="59"/>
  <c r="Q401" i="59"/>
  <c r="Q400" i="59"/>
  <c r="Q398" i="59"/>
  <c r="Q396" i="59"/>
  <c r="Q395" i="59"/>
  <c r="Q393" i="59"/>
  <c r="Q392" i="59"/>
  <c r="Q390" i="59"/>
  <c r="Q389" i="59"/>
  <c r="Q387" i="59"/>
  <c r="Q385" i="59"/>
  <c r="Q384" i="59"/>
  <c r="Q382" i="59"/>
  <c r="Q381" i="59"/>
  <c r="Q379" i="59"/>
  <c r="Q378" i="59"/>
  <c r="Q376" i="59"/>
  <c r="Q374" i="59"/>
  <c r="Q373" i="59"/>
  <c r="Q371" i="59"/>
  <c r="Q370" i="59"/>
  <c r="Q368" i="59"/>
  <c r="Q367" i="59"/>
  <c r="Q365" i="59"/>
  <c r="Q363" i="59"/>
  <c r="Q362" i="59"/>
  <c r="Q360" i="59"/>
  <c r="Q359" i="59"/>
  <c r="Q357" i="59"/>
  <c r="Q356" i="59"/>
  <c r="Q354" i="59"/>
  <c r="Q352" i="59"/>
  <c r="Q351" i="59"/>
  <c r="Q349" i="59"/>
  <c r="Q348" i="59"/>
  <c r="Q346" i="59"/>
  <c r="Q345" i="59"/>
  <c r="Q343" i="59"/>
  <c r="Q341" i="59"/>
  <c r="Q340" i="59"/>
  <c r="Q338" i="59"/>
  <c r="Q337" i="59"/>
  <c r="Q335" i="59"/>
  <c r="Q334" i="59"/>
  <c r="Q332" i="59"/>
  <c r="Q330" i="59"/>
  <c r="Q329" i="59"/>
  <c r="Q327" i="59"/>
  <c r="Q326" i="59"/>
  <c r="Q324" i="59"/>
  <c r="Q323" i="59"/>
  <c r="Q321" i="59"/>
  <c r="Q319" i="59"/>
  <c r="Q318" i="59"/>
  <c r="Q316" i="59"/>
  <c r="Q315" i="59"/>
  <c r="Q313" i="59"/>
  <c r="Q312" i="59"/>
  <c r="Q310" i="59"/>
  <c r="Q308" i="59"/>
  <c r="Q307" i="59"/>
  <c r="Q305" i="59"/>
  <c r="Q304" i="59"/>
  <c r="Q302" i="59"/>
  <c r="Q301" i="59"/>
  <c r="Q299" i="59"/>
  <c r="Q297" i="59"/>
  <c r="Q296" i="59"/>
  <c r="Q294" i="59"/>
  <c r="Q293" i="59"/>
  <c r="Q291" i="59"/>
  <c r="Q290" i="59"/>
  <c r="Q288" i="59"/>
  <c r="Q286" i="59"/>
  <c r="Q285" i="59"/>
  <c r="Q283" i="59"/>
  <c r="Q282" i="59"/>
  <c r="Q280" i="59"/>
  <c r="Q279" i="59"/>
  <c r="Q277" i="59"/>
  <c r="Q275" i="59"/>
  <c r="Q274" i="59"/>
  <c r="Q272" i="59"/>
  <c r="Q271" i="59"/>
  <c r="Q236" i="59"/>
  <c r="Q235" i="59"/>
  <c r="Q233" i="59"/>
  <c r="Q231" i="59"/>
  <c r="Q230" i="59"/>
  <c r="Q228" i="59"/>
  <c r="Q227" i="59"/>
  <c r="Q225" i="59"/>
  <c r="Q224" i="59"/>
  <c r="Q222" i="59"/>
  <c r="Q220" i="59"/>
  <c r="Q219" i="59"/>
  <c r="Q217" i="59"/>
  <c r="Q216" i="59"/>
  <c r="Q214" i="59"/>
  <c r="Q213" i="59"/>
  <c r="Q211" i="59"/>
  <c r="Q209" i="59"/>
  <c r="Q208" i="59"/>
  <c r="Q206" i="59"/>
  <c r="Q205" i="59"/>
  <c r="Q203" i="59"/>
  <c r="Q202" i="59"/>
  <c r="Q200" i="59"/>
  <c r="Q198" i="59"/>
  <c r="Q197" i="59"/>
  <c r="Q195" i="59"/>
  <c r="Q194" i="59"/>
  <c r="Q192" i="59"/>
  <c r="Q191" i="59"/>
  <c r="Q189" i="59"/>
  <c r="Q187" i="59"/>
  <c r="Q186" i="59"/>
  <c r="Q184" i="59"/>
  <c r="Q183" i="59"/>
  <c r="Q181" i="59"/>
  <c r="Q180" i="59"/>
  <c r="Q178" i="59"/>
  <c r="Q176" i="59"/>
  <c r="Q175" i="59"/>
  <c r="Q173" i="59"/>
  <c r="Q172" i="59"/>
  <c r="Q170" i="59"/>
  <c r="Q169" i="59"/>
  <c r="Q167" i="59"/>
  <c r="Q165" i="59"/>
  <c r="Q164" i="59"/>
  <c r="Q162" i="59"/>
  <c r="Q161" i="59"/>
  <c r="Q159" i="59"/>
  <c r="Q158" i="59"/>
  <c r="Q156" i="59"/>
  <c r="Q154" i="59"/>
  <c r="Q153" i="59"/>
  <c r="Q151" i="59"/>
  <c r="Q150" i="59"/>
  <c r="Q148" i="59"/>
  <c r="Q147" i="59"/>
  <c r="Q145" i="59"/>
  <c r="Q143" i="59"/>
  <c r="Q142" i="59"/>
  <c r="Q140" i="59"/>
  <c r="Q139" i="59"/>
  <c r="Q137" i="59"/>
  <c r="Q136" i="59"/>
  <c r="Q134" i="59"/>
  <c r="Q132" i="59"/>
  <c r="Q131" i="59"/>
  <c r="Q129" i="59"/>
  <c r="Q128" i="59"/>
  <c r="Q126" i="59"/>
  <c r="Q125" i="59"/>
  <c r="Q123" i="59"/>
  <c r="Q121" i="59"/>
  <c r="Q120" i="59"/>
  <c r="Q118" i="59"/>
  <c r="Q117" i="59"/>
  <c r="Q115" i="59"/>
  <c r="Q114" i="59"/>
  <c r="Q112" i="59"/>
  <c r="Q110" i="59"/>
  <c r="Q109" i="59"/>
  <c r="Q107" i="59"/>
  <c r="Q106" i="59"/>
  <c r="Q104" i="59"/>
  <c r="Q103" i="59"/>
  <c r="Q101" i="59"/>
  <c r="Q99" i="59"/>
  <c r="Q98" i="59"/>
  <c r="Q96" i="59"/>
  <c r="Q95" i="59"/>
  <c r="Q93" i="59"/>
  <c r="Q92" i="59"/>
  <c r="Q90" i="59"/>
  <c r="Q88" i="59"/>
  <c r="Q87" i="59"/>
  <c r="Q85" i="59"/>
  <c r="Q84" i="59"/>
  <c r="Q82" i="59"/>
  <c r="Q81" i="59"/>
  <c r="Q79" i="59"/>
  <c r="Q77" i="59"/>
  <c r="Q76" i="59"/>
  <c r="Q74" i="59"/>
  <c r="Q73" i="59"/>
  <c r="Q71" i="59"/>
  <c r="Q70" i="59"/>
  <c r="Q68" i="59"/>
  <c r="Q66" i="59"/>
  <c r="Q65" i="59"/>
  <c r="Q63" i="59"/>
  <c r="Q62" i="59"/>
  <c r="Q60" i="59"/>
  <c r="Q59" i="59"/>
  <c r="Q57" i="59"/>
  <c r="Q55" i="59"/>
  <c r="Q54" i="59"/>
  <c r="Q52" i="59"/>
  <c r="Q51" i="59"/>
  <c r="Q49" i="59"/>
  <c r="Q48" i="59"/>
  <c r="Q46" i="59"/>
  <c r="Q44" i="59"/>
  <c r="Q43" i="59"/>
  <c r="Q41" i="59"/>
  <c r="Q40" i="59"/>
  <c r="Q38" i="59"/>
  <c r="Q37" i="59"/>
  <c r="Q35" i="59"/>
  <c r="Q33" i="59"/>
  <c r="Q32" i="59"/>
  <c r="Q30" i="59"/>
  <c r="Q29" i="59"/>
  <c r="U434" i="60"/>
  <c r="Q434" i="60"/>
  <c r="L434" i="60"/>
  <c r="H434" i="60"/>
  <c r="U433" i="60"/>
  <c r="Q433" i="60"/>
  <c r="L433" i="60"/>
  <c r="H433" i="60"/>
  <c r="L432" i="60"/>
  <c r="H432" i="60"/>
  <c r="U431" i="60"/>
  <c r="Q431" i="60"/>
  <c r="L431" i="60"/>
  <c r="H431" i="60"/>
  <c r="L430" i="60"/>
  <c r="H430" i="60"/>
  <c r="U429" i="60"/>
  <c r="Q429" i="60"/>
  <c r="L429" i="60"/>
  <c r="H429" i="60"/>
  <c r="U428" i="60"/>
  <c r="Q428" i="60"/>
  <c r="I428" i="60"/>
  <c r="H428" i="60"/>
  <c r="I427" i="60"/>
  <c r="H427" i="60"/>
  <c r="U426" i="60"/>
  <c r="Q426" i="60"/>
  <c r="L426" i="60"/>
  <c r="H426" i="60"/>
  <c r="U425" i="60"/>
  <c r="Q425" i="60"/>
  <c r="U423" i="60"/>
  <c r="Q423" i="60"/>
  <c r="L423" i="60"/>
  <c r="H423" i="60"/>
  <c r="U422" i="60"/>
  <c r="Q422" i="60"/>
  <c r="L422" i="60"/>
  <c r="H422" i="60"/>
  <c r="L421" i="60"/>
  <c r="H421" i="60"/>
  <c r="U420" i="60"/>
  <c r="Q420" i="60"/>
  <c r="L420" i="60"/>
  <c r="H420" i="60"/>
  <c r="L419" i="60"/>
  <c r="H419" i="60"/>
  <c r="U418" i="60"/>
  <c r="Q418" i="60"/>
  <c r="L418" i="60"/>
  <c r="H418" i="60"/>
  <c r="U417" i="60"/>
  <c r="Q417" i="60"/>
  <c r="I417" i="60"/>
  <c r="H417" i="60"/>
  <c r="I416" i="60"/>
  <c r="H416" i="60"/>
  <c r="U415" i="60"/>
  <c r="Q415" i="60"/>
  <c r="L415" i="60"/>
  <c r="H415" i="60"/>
  <c r="U414" i="60"/>
  <c r="Q414" i="60"/>
  <c r="U412" i="60"/>
  <c r="Q412" i="60"/>
  <c r="L412" i="60"/>
  <c r="H412" i="60"/>
  <c r="U411" i="60"/>
  <c r="Q411" i="60"/>
  <c r="L411" i="60"/>
  <c r="H411" i="60"/>
  <c r="L410" i="60"/>
  <c r="H410" i="60"/>
  <c r="U409" i="60"/>
  <c r="Q409" i="60"/>
  <c r="L409" i="60"/>
  <c r="H409" i="60"/>
  <c r="L408" i="60"/>
  <c r="H408" i="60"/>
  <c r="U407" i="60"/>
  <c r="Q407" i="60"/>
  <c r="L407" i="60"/>
  <c r="H407" i="60"/>
  <c r="U406" i="60"/>
  <c r="Q406" i="60"/>
  <c r="I406" i="60"/>
  <c r="H406" i="60"/>
  <c r="I405" i="60"/>
  <c r="H405" i="60"/>
  <c r="U404" i="60"/>
  <c r="Q404" i="60"/>
  <c r="L404" i="60"/>
  <c r="H404" i="60"/>
  <c r="U403" i="60"/>
  <c r="Q403" i="60"/>
  <c r="U401" i="60"/>
  <c r="Q401" i="60"/>
  <c r="L401" i="60"/>
  <c r="H401" i="60"/>
  <c r="U400" i="60"/>
  <c r="Q400" i="60"/>
  <c r="L400" i="60"/>
  <c r="H400" i="60"/>
  <c r="L399" i="60"/>
  <c r="H399" i="60"/>
  <c r="U398" i="60"/>
  <c r="Q398" i="60"/>
  <c r="L398" i="60"/>
  <c r="H398" i="60"/>
  <c r="L397" i="60"/>
  <c r="H397" i="60"/>
  <c r="U396" i="60"/>
  <c r="Q396" i="60"/>
  <c r="L396" i="60"/>
  <c r="H396" i="60"/>
  <c r="U395" i="60"/>
  <c r="Q395" i="60"/>
  <c r="I395" i="60"/>
  <c r="H395" i="60"/>
  <c r="I394" i="60"/>
  <c r="H394" i="60"/>
  <c r="U393" i="60"/>
  <c r="Q393" i="60"/>
  <c r="L393" i="60"/>
  <c r="H393" i="60"/>
  <c r="U392" i="60"/>
  <c r="Q392" i="60"/>
  <c r="U390" i="60"/>
  <c r="Q390" i="60"/>
  <c r="L390" i="60"/>
  <c r="H390" i="60"/>
  <c r="U389" i="60"/>
  <c r="Q389" i="60"/>
  <c r="L389" i="60"/>
  <c r="H389" i="60"/>
  <c r="L388" i="60"/>
  <c r="H388" i="60"/>
  <c r="U387" i="60"/>
  <c r="Q387" i="60"/>
  <c r="L387" i="60"/>
  <c r="H387" i="60"/>
  <c r="L386" i="60"/>
  <c r="H386" i="60"/>
  <c r="U385" i="60"/>
  <c r="Q385" i="60"/>
  <c r="L385" i="60"/>
  <c r="H385" i="60"/>
  <c r="U384" i="60"/>
  <c r="Q384" i="60"/>
  <c r="I384" i="60"/>
  <c r="H384" i="60"/>
  <c r="I383" i="60"/>
  <c r="H383" i="60"/>
  <c r="U382" i="60"/>
  <c r="Q382" i="60"/>
  <c r="L382" i="60"/>
  <c r="H382" i="60"/>
  <c r="U381" i="60"/>
  <c r="Q381" i="60"/>
  <c r="U379" i="60"/>
  <c r="Q379" i="60"/>
  <c r="L379" i="60"/>
  <c r="H379" i="60"/>
  <c r="U378" i="60"/>
  <c r="Q378" i="60"/>
  <c r="L378" i="60"/>
  <c r="H378" i="60"/>
  <c r="L377" i="60"/>
  <c r="H377" i="60"/>
  <c r="U376" i="60"/>
  <c r="Q376" i="60"/>
  <c r="L376" i="60"/>
  <c r="H376" i="60"/>
  <c r="L375" i="60"/>
  <c r="H375" i="60"/>
  <c r="U374" i="60"/>
  <c r="Q374" i="60"/>
  <c r="L374" i="60"/>
  <c r="H374" i="60"/>
  <c r="U373" i="60"/>
  <c r="Q373" i="60"/>
  <c r="I373" i="60"/>
  <c r="H373" i="60"/>
  <c r="I372" i="60"/>
  <c r="H372" i="60"/>
  <c r="U371" i="60"/>
  <c r="Q371" i="60"/>
  <c r="L371" i="60"/>
  <c r="H371" i="60"/>
  <c r="U370" i="60"/>
  <c r="Q370" i="60"/>
  <c r="U368" i="60"/>
  <c r="Q368" i="60"/>
  <c r="L368" i="60"/>
  <c r="H368" i="60"/>
  <c r="U367" i="60"/>
  <c r="Q367" i="60"/>
  <c r="L367" i="60"/>
  <c r="H367" i="60"/>
  <c r="L366" i="60"/>
  <c r="H366" i="60"/>
  <c r="U365" i="60"/>
  <c r="Q365" i="60"/>
  <c r="L365" i="60"/>
  <c r="H365" i="60"/>
  <c r="L364" i="60"/>
  <c r="H364" i="60"/>
  <c r="U363" i="60"/>
  <c r="Q363" i="60"/>
  <c r="L363" i="60"/>
  <c r="H363" i="60"/>
  <c r="U362" i="60"/>
  <c r="Q362" i="60"/>
  <c r="I362" i="60"/>
  <c r="H362" i="60"/>
  <c r="I361" i="60"/>
  <c r="H361" i="60"/>
  <c r="U360" i="60"/>
  <c r="Q360" i="60"/>
  <c r="L360" i="60"/>
  <c r="H360" i="60"/>
  <c r="U359" i="60"/>
  <c r="Q359" i="60"/>
  <c r="U357" i="60"/>
  <c r="Q357" i="60"/>
  <c r="L357" i="60"/>
  <c r="H357" i="60"/>
  <c r="U356" i="60"/>
  <c r="Q356" i="60"/>
  <c r="L356" i="60"/>
  <c r="H356" i="60"/>
  <c r="L355" i="60"/>
  <c r="H355" i="60"/>
  <c r="U354" i="60"/>
  <c r="Q354" i="60"/>
  <c r="L354" i="60"/>
  <c r="H354" i="60"/>
  <c r="L353" i="60"/>
  <c r="H353" i="60"/>
  <c r="U352" i="60"/>
  <c r="Q352" i="60"/>
  <c r="L352" i="60"/>
  <c r="H352" i="60"/>
  <c r="U351" i="60"/>
  <c r="Q351" i="60"/>
  <c r="I351" i="60"/>
  <c r="H351" i="60"/>
  <c r="I350" i="60"/>
  <c r="H350" i="60"/>
  <c r="U349" i="60"/>
  <c r="Q349" i="60"/>
  <c r="L349" i="60"/>
  <c r="H349" i="60"/>
  <c r="U348" i="60"/>
  <c r="Q348" i="60"/>
  <c r="U346" i="60"/>
  <c r="Q346" i="60"/>
  <c r="L346" i="60"/>
  <c r="H346" i="60"/>
  <c r="U345" i="60"/>
  <c r="Q345" i="60"/>
  <c r="L345" i="60"/>
  <c r="H345" i="60"/>
  <c r="L344" i="60"/>
  <c r="H344" i="60"/>
  <c r="U343" i="60"/>
  <c r="Q343" i="60"/>
  <c r="L343" i="60"/>
  <c r="H343" i="60"/>
  <c r="L342" i="60"/>
  <c r="H342" i="60"/>
  <c r="U341" i="60"/>
  <c r="Q341" i="60"/>
  <c r="L341" i="60"/>
  <c r="H341" i="60"/>
  <c r="U340" i="60"/>
  <c r="Q340" i="60"/>
  <c r="I340" i="60"/>
  <c r="H340" i="60"/>
  <c r="I339" i="60"/>
  <c r="H339" i="60"/>
  <c r="U338" i="60"/>
  <c r="Q338" i="60"/>
  <c r="L338" i="60"/>
  <c r="H338" i="60"/>
  <c r="U337" i="60"/>
  <c r="Q337" i="60"/>
  <c r="U335" i="60"/>
  <c r="Q335" i="60"/>
  <c r="L335" i="60"/>
  <c r="H335" i="60"/>
  <c r="U334" i="60"/>
  <c r="Q334" i="60"/>
  <c r="L334" i="60"/>
  <c r="H334" i="60"/>
  <c r="L333" i="60"/>
  <c r="H333" i="60"/>
  <c r="U332" i="60"/>
  <c r="Q332" i="60"/>
  <c r="L332" i="60"/>
  <c r="H332" i="60"/>
  <c r="L331" i="60"/>
  <c r="H331" i="60"/>
  <c r="U330" i="60"/>
  <c r="Q330" i="60"/>
  <c r="L330" i="60"/>
  <c r="H330" i="60"/>
  <c r="U329" i="60"/>
  <c r="Q329" i="60"/>
  <c r="I329" i="60"/>
  <c r="H329" i="60"/>
  <c r="I328" i="60"/>
  <c r="H328" i="60"/>
  <c r="U327" i="60"/>
  <c r="Q327" i="60"/>
  <c r="L327" i="60"/>
  <c r="H327" i="60"/>
  <c r="U326" i="60"/>
  <c r="Q326" i="60"/>
  <c r="U324" i="60"/>
  <c r="Q324" i="60"/>
  <c r="L324" i="60"/>
  <c r="H324" i="60"/>
  <c r="U323" i="60"/>
  <c r="Q323" i="60"/>
  <c r="L323" i="60"/>
  <c r="H323" i="60"/>
  <c r="L322" i="60"/>
  <c r="H322" i="60"/>
  <c r="U321" i="60"/>
  <c r="Q321" i="60"/>
  <c r="L321" i="60"/>
  <c r="H321" i="60"/>
  <c r="L320" i="60"/>
  <c r="H320" i="60"/>
  <c r="U319" i="60"/>
  <c r="Q319" i="60"/>
  <c r="L319" i="60"/>
  <c r="H319" i="60"/>
  <c r="U318" i="60"/>
  <c r="Q318" i="60"/>
  <c r="I318" i="60"/>
  <c r="H318" i="60"/>
  <c r="I317" i="60"/>
  <c r="H317" i="60"/>
  <c r="U316" i="60"/>
  <c r="Q316" i="60"/>
  <c r="L316" i="60"/>
  <c r="H316" i="60"/>
  <c r="U315" i="60"/>
  <c r="Q315" i="60"/>
  <c r="U313" i="60"/>
  <c r="Q313" i="60"/>
  <c r="L313" i="60"/>
  <c r="H313" i="60"/>
  <c r="U312" i="60"/>
  <c r="Q312" i="60"/>
  <c r="L312" i="60"/>
  <c r="H312" i="60"/>
  <c r="L311" i="60"/>
  <c r="H311" i="60"/>
  <c r="U310" i="60"/>
  <c r="Q310" i="60"/>
  <c r="L310" i="60"/>
  <c r="H310" i="60"/>
  <c r="L309" i="60"/>
  <c r="H309" i="60"/>
  <c r="U308" i="60"/>
  <c r="Q308" i="60"/>
  <c r="L308" i="60"/>
  <c r="H308" i="60"/>
  <c r="U307" i="60"/>
  <c r="Q307" i="60"/>
  <c r="I307" i="60"/>
  <c r="H307" i="60"/>
  <c r="I306" i="60"/>
  <c r="H306" i="60"/>
  <c r="U305" i="60"/>
  <c r="Q305" i="60"/>
  <c r="L305" i="60"/>
  <c r="H305" i="60"/>
  <c r="U304" i="60"/>
  <c r="Q304" i="60"/>
  <c r="U302" i="60"/>
  <c r="Q302" i="60"/>
  <c r="L302" i="60"/>
  <c r="H302" i="60"/>
  <c r="U301" i="60"/>
  <c r="Q301" i="60"/>
  <c r="L301" i="60"/>
  <c r="H301" i="60"/>
  <c r="L300" i="60"/>
  <c r="H300" i="60"/>
  <c r="U299" i="60"/>
  <c r="Q299" i="60"/>
  <c r="L299" i="60"/>
  <c r="H299" i="60"/>
  <c r="L298" i="60"/>
  <c r="H298" i="60"/>
  <c r="U297" i="60"/>
  <c r="Q297" i="60"/>
  <c r="L297" i="60"/>
  <c r="H297" i="60"/>
  <c r="U296" i="60"/>
  <c r="Q296" i="60"/>
  <c r="I296" i="60"/>
  <c r="H296" i="60"/>
  <c r="I295" i="60"/>
  <c r="H295" i="60"/>
  <c r="U294" i="60"/>
  <c r="Q294" i="60"/>
  <c r="L294" i="60"/>
  <c r="H294" i="60"/>
  <c r="U293" i="60"/>
  <c r="Q293" i="60"/>
  <c r="U291" i="60"/>
  <c r="Q291" i="60"/>
  <c r="L291" i="60"/>
  <c r="H291" i="60"/>
  <c r="U290" i="60"/>
  <c r="Q290" i="60"/>
  <c r="L290" i="60"/>
  <c r="H290" i="60"/>
  <c r="L289" i="60"/>
  <c r="H289" i="60"/>
  <c r="U288" i="60"/>
  <c r="Q288" i="60"/>
  <c r="L288" i="60"/>
  <c r="H288" i="60"/>
  <c r="L287" i="60"/>
  <c r="H287" i="60"/>
  <c r="U286" i="60"/>
  <c r="Q286" i="60"/>
  <c r="L286" i="60"/>
  <c r="H286" i="60"/>
  <c r="U285" i="60"/>
  <c r="Q285" i="60"/>
  <c r="I285" i="60"/>
  <c r="H285" i="60"/>
  <c r="I284" i="60"/>
  <c r="H284" i="60"/>
  <c r="U283" i="60"/>
  <c r="Q283" i="60"/>
  <c r="L283" i="60"/>
  <c r="H283" i="60"/>
  <c r="U282" i="60"/>
  <c r="Q282" i="60"/>
  <c r="U280" i="60"/>
  <c r="Q280" i="60"/>
  <c r="L280" i="60"/>
  <c r="H280" i="60"/>
  <c r="U279" i="60"/>
  <c r="Q279" i="60"/>
  <c r="L279" i="60"/>
  <c r="H279" i="60"/>
  <c r="L278" i="60"/>
  <c r="H278" i="60"/>
  <c r="U277" i="60"/>
  <c r="Q277" i="60"/>
  <c r="L277" i="60"/>
  <c r="H277" i="60"/>
  <c r="L276" i="60"/>
  <c r="H276" i="60"/>
  <c r="U275" i="60"/>
  <c r="Q275" i="60"/>
  <c r="L275" i="60"/>
  <c r="H275" i="60"/>
  <c r="U274" i="60"/>
  <c r="Q274" i="60"/>
  <c r="I274" i="60"/>
  <c r="H274" i="60"/>
  <c r="I273" i="60"/>
  <c r="H273" i="60"/>
  <c r="U272" i="60"/>
  <c r="Q272" i="60"/>
  <c r="L272" i="60"/>
  <c r="H272" i="60"/>
  <c r="U271" i="60"/>
  <c r="Q271" i="60"/>
  <c r="U269" i="60"/>
  <c r="Q269" i="60"/>
  <c r="L269" i="60"/>
  <c r="H269" i="60"/>
  <c r="U268" i="60"/>
  <c r="Q268" i="60"/>
  <c r="L268" i="60"/>
  <c r="H268" i="60"/>
  <c r="L267" i="60"/>
  <c r="H267" i="60"/>
  <c r="U266" i="60"/>
  <c r="Q266" i="60"/>
  <c r="L266" i="60"/>
  <c r="H266" i="60"/>
  <c r="L265" i="60"/>
  <c r="H265" i="60"/>
  <c r="U264" i="60"/>
  <c r="Q264" i="60"/>
  <c r="L264" i="60"/>
  <c r="H264" i="60"/>
  <c r="U263" i="60"/>
  <c r="Q263" i="60"/>
  <c r="I263" i="60"/>
  <c r="H263" i="60"/>
  <c r="I262" i="60"/>
  <c r="H262" i="60"/>
  <c r="U261" i="60"/>
  <c r="Q261" i="60"/>
  <c r="L261" i="60"/>
  <c r="H261" i="60"/>
  <c r="U260" i="60"/>
  <c r="Q260" i="60"/>
  <c r="U258" i="60"/>
  <c r="Q258" i="60"/>
  <c r="L258" i="60"/>
  <c r="H258" i="60"/>
  <c r="U257" i="60"/>
  <c r="Q257" i="60"/>
  <c r="L257" i="60"/>
  <c r="H257" i="60"/>
  <c r="L256" i="60"/>
  <c r="H256" i="60"/>
  <c r="U255" i="60"/>
  <c r="Q255" i="60"/>
  <c r="L255" i="60"/>
  <c r="H255" i="60"/>
  <c r="L254" i="60"/>
  <c r="H254" i="60"/>
  <c r="U253" i="60"/>
  <c r="Q253" i="60"/>
  <c r="L253" i="60"/>
  <c r="H253" i="60"/>
  <c r="U252" i="60"/>
  <c r="Q252" i="60"/>
  <c r="I252" i="60"/>
  <c r="H252" i="60"/>
  <c r="I251" i="60"/>
  <c r="H251" i="60"/>
  <c r="U250" i="60"/>
  <c r="Q250" i="60"/>
  <c r="L250" i="60"/>
  <c r="H250" i="60"/>
  <c r="U249" i="60"/>
  <c r="Q249" i="60"/>
  <c r="U247" i="60"/>
  <c r="Q247" i="60"/>
  <c r="L247" i="60"/>
  <c r="H247" i="60"/>
  <c r="U246" i="60"/>
  <c r="Q246" i="60"/>
  <c r="L246" i="60"/>
  <c r="H246" i="60"/>
  <c r="L245" i="60"/>
  <c r="H245" i="60"/>
  <c r="U244" i="60"/>
  <c r="Q244" i="60"/>
  <c r="L244" i="60"/>
  <c r="H244" i="60"/>
  <c r="L243" i="60"/>
  <c r="H243" i="60"/>
  <c r="U242" i="60"/>
  <c r="Q242" i="60"/>
  <c r="L242" i="60"/>
  <c r="H242" i="60"/>
  <c r="U241" i="60"/>
  <c r="Q241" i="60"/>
  <c r="I241" i="60"/>
  <c r="H241" i="60"/>
  <c r="I240" i="60"/>
  <c r="H240" i="60"/>
  <c r="U239" i="60"/>
  <c r="Q239" i="60"/>
  <c r="L239" i="60"/>
  <c r="H239" i="60"/>
  <c r="U238" i="60"/>
  <c r="Q238" i="60"/>
  <c r="U236" i="60"/>
  <c r="Q236" i="60"/>
  <c r="L236" i="60"/>
  <c r="H236" i="60"/>
  <c r="U235" i="60"/>
  <c r="Q235" i="60"/>
  <c r="L235" i="60"/>
  <c r="H235" i="60"/>
  <c r="L234" i="60"/>
  <c r="H234" i="60"/>
  <c r="U233" i="60"/>
  <c r="Q233" i="60"/>
  <c r="L233" i="60"/>
  <c r="H233" i="60"/>
  <c r="L232" i="60"/>
  <c r="H232" i="60"/>
  <c r="U231" i="60"/>
  <c r="Q231" i="60"/>
  <c r="L231" i="60"/>
  <c r="H231" i="60"/>
  <c r="U230" i="60"/>
  <c r="Q230" i="60"/>
  <c r="I230" i="60"/>
  <c r="H230" i="60"/>
  <c r="I229" i="60"/>
  <c r="H229" i="60"/>
  <c r="U228" i="60"/>
  <c r="Q228" i="60"/>
  <c r="L228" i="60"/>
  <c r="H228" i="60"/>
  <c r="U227" i="60"/>
  <c r="Q227" i="60"/>
  <c r="U225" i="60"/>
  <c r="Q225" i="60"/>
  <c r="L225" i="60"/>
  <c r="H225" i="60"/>
  <c r="U224" i="60"/>
  <c r="Q224" i="60"/>
  <c r="L224" i="60"/>
  <c r="H224" i="60"/>
  <c r="L223" i="60"/>
  <c r="H223" i="60"/>
  <c r="U222" i="60"/>
  <c r="Q222" i="60"/>
  <c r="L222" i="60"/>
  <c r="H222" i="60"/>
  <c r="L221" i="60"/>
  <c r="H221" i="60"/>
  <c r="U220" i="60"/>
  <c r="Q220" i="60"/>
  <c r="L220" i="60"/>
  <c r="H220" i="60"/>
  <c r="U219" i="60"/>
  <c r="Q219" i="60"/>
  <c r="I219" i="60"/>
  <c r="H219" i="60"/>
  <c r="I218" i="60"/>
  <c r="H218" i="60"/>
  <c r="U217" i="60"/>
  <c r="Q217" i="60"/>
  <c r="L217" i="60"/>
  <c r="H217" i="60"/>
  <c r="U216" i="60"/>
  <c r="Q216" i="60"/>
  <c r="U214" i="60"/>
  <c r="Q214" i="60"/>
  <c r="L214" i="60"/>
  <c r="H214" i="60"/>
  <c r="U213" i="60"/>
  <c r="Q213" i="60"/>
  <c r="L213" i="60"/>
  <c r="H213" i="60"/>
  <c r="L212" i="60"/>
  <c r="H212" i="60"/>
  <c r="U211" i="60"/>
  <c r="Q211" i="60"/>
  <c r="L211" i="60"/>
  <c r="H211" i="60"/>
  <c r="L210" i="60"/>
  <c r="H210" i="60"/>
  <c r="U209" i="60"/>
  <c r="Q209" i="60"/>
  <c r="L209" i="60"/>
  <c r="H209" i="60"/>
  <c r="U208" i="60"/>
  <c r="Q208" i="60"/>
  <c r="I208" i="60"/>
  <c r="H208" i="60"/>
  <c r="I207" i="60"/>
  <c r="H207" i="60"/>
  <c r="U206" i="60"/>
  <c r="Q206" i="60"/>
  <c r="L206" i="60"/>
  <c r="H206" i="60"/>
  <c r="U205" i="60"/>
  <c r="Q205" i="60"/>
  <c r="U203" i="60"/>
  <c r="Q203" i="60"/>
  <c r="L203" i="60"/>
  <c r="H203" i="60"/>
  <c r="U202" i="60"/>
  <c r="Q202" i="60"/>
  <c r="L202" i="60"/>
  <c r="H202" i="60"/>
  <c r="L201" i="60"/>
  <c r="H201" i="60"/>
  <c r="U200" i="60"/>
  <c r="Q200" i="60"/>
  <c r="L200" i="60"/>
  <c r="H200" i="60"/>
  <c r="L199" i="60"/>
  <c r="H199" i="60"/>
  <c r="U198" i="60"/>
  <c r="Q198" i="60"/>
  <c r="L198" i="60"/>
  <c r="H198" i="60"/>
  <c r="U197" i="60"/>
  <c r="Q197" i="60"/>
  <c r="I197" i="60"/>
  <c r="H197" i="60"/>
  <c r="I196" i="60"/>
  <c r="H196" i="60"/>
  <c r="U195" i="60"/>
  <c r="Q195" i="60"/>
  <c r="L195" i="60"/>
  <c r="H195" i="60"/>
  <c r="U194" i="60"/>
  <c r="Q194" i="60"/>
  <c r="U192" i="60"/>
  <c r="Q192" i="60"/>
  <c r="L192" i="60"/>
  <c r="H192" i="60"/>
  <c r="U191" i="60"/>
  <c r="Q191" i="60"/>
  <c r="L191" i="60"/>
  <c r="H191" i="60"/>
  <c r="L190" i="60"/>
  <c r="H190" i="60"/>
  <c r="U189" i="60"/>
  <c r="Q189" i="60"/>
  <c r="L189" i="60"/>
  <c r="H189" i="60"/>
  <c r="L188" i="60"/>
  <c r="H188" i="60"/>
  <c r="U187" i="60"/>
  <c r="Q187" i="60"/>
  <c r="L187" i="60"/>
  <c r="H187" i="60"/>
  <c r="U186" i="60"/>
  <c r="Q186" i="60"/>
  <c r="I186" i="60"/>
  <c r="H186" i="60"/>
  <c r="I185" i="60"/>
  <c r="H185" i="60"/>
  <c r="U184" i="60"/>
  <c r="Q184" i="60"/>
  <c r="L184" i="60"/>
  <c r="H184" i="60"/>
  <c r="U183" i="60"/>
  <c r="Q183" i="60"/>
  <c r="U181" i="60"/>
  <c r="Q181" i="60"/>
  <c r="L181" i="60"/>
  <c r="H181" i="60"/>
  <c r="U180" i="60"/>
  <c r="Q180" i="60"/>
  <c r="L180" i="60"/>
  <c r="H180" i="60"/>
  <c r="L179" i="60"/>
  <c r="H179" i="60"/>
  <c r="U178" i="60"/>
  <c r="Q178" i="60"/>
  <c r="L178" i="60"/>
  <c r="H178" i="60"/>
  <c r="L177" i="60"/>
  <c r="H177" i="60"/>
  <c r="U176" i="60"/>
  <c r="Q176" i="60"/>
  <c r="L176" i="60"/>
  <c r="H176" i="60"/>
  <c r="U175" i="60"/>
  <c r="Q175" i="60"/>
  <c r="I175" i="60"/>
  <c r="H175" i="60"/>
  <c r="I174" i="60"/>
  <c r="H174" i="60"/>
  <c r="U173" i="60"/>
  <c r="Q173" i="60"/>
  <c r="L173" i="60"/>
  <c r="H173" i="60"/>
  <c r="U172" i="60"/>
  <c r="Q172" i="60"/>
  <c r="U170" i="60"/>
  <c r="Q170" i="60"/>
  <c r="L170" i="60"/>
  <c r="H170" i="60"/>
  <c r="U169" i="60"/>
  <c r="Q169" i="60"/>
  <c r="L169" i="60"/>
  <c r="H169" i="60"/>
  <c r="L168" i="60"/>
  <c r="H168" i="60"/>
  <c r="U167" i="60"/>
  <c r="Q167" i="60"/>
  <c r="L167" i="60"/>
  <c r="H167" i="60"/>
  <c r="L166" i="60"/>
  <c r="H166" i="60"/>
  <c r="U165" i="60"/>
  <c r="Q165" i="60"/>
  <c r="L165" i="60"/>
  <c r="H165" i="60"/>
  <c r="U164" i="60"/>
  <c r="Q164" i="60"/>
  <c r="I164" i="60"/>
  <c r="H164" i="60"/>
  <c r="I163" i="60"/>
  <c r="H163" i="60"/>
  <c r="U162" i="60"/>
  <c r="Q162" i="60"/>
  <c r="L162" i="60"/>
  <c r="H162" i="60"/>
  <c r="U161" i="60"/>
  <c r="Q161" i="60"/>
  <c r="U159" i="60"/>
  <c r="Q159" i="60"/>
  <c r="L159" i="60"/>
  <c r="H159" i="60"/>
  <c r="U158" i="60"/>
  <c r="Q158" i="60"/>
  <c r="L158" i="60"/>
  <c r="H158" i="60"/>
  <c r="L157" i="60"/>
  <c r="H157" i="60"/>
  <c r="U156" i="60"/>
  <c r="Q156" i="60"/>
  <c r="L156" i="60"/>
  <c r="H156" i="60"/>
  <c r="L155" i="60"/>
  <c r="H155" i="60"/>
  <c r="U154" i="60"/>
  <c r="Q154" i="60"/>
  <c r="L154" i="60"/>
  <c r="H154" i="60"/>
  <c r="U153" i="60"/>
  <c r="Q153" i="60"/>
  <c r="I153" i="60"/>
  <c r="H153" i="60"/>
  <c r="I152" i="60"/>
  <c r="H152" i="60"/>
  <c r="U151" i="60"/>
  <c r="Q151" i="60"/>
  <c r="L151" i="60"/>
  <c r="H151" i="60"/>
  <c r="U150" i="60"/>
  <c r="Q150" i="60"/>
  <c r="U148" i="60"/>
  <c r="Q148" i="60"/>
  <c r="L148" i="60"/>
  <c r="H148" i="60"/>
  <c r="U147" i="60"/>
  <c r="Q147" i="60"/>
  <c r="L147" i="60"/>
  <c r="H147" i="60"/>
  <c r="L146" i="60"/>
  <c r="H146" i="60"/>
  <c r="U145" i="60"/>
  <c r="Q145" i="60"/>
  <c r="L145" i="60"/>
  <c r="H145" i="60"/>
  <c r="L144" i="60"/>
  <c r="H144" i="60"/>
  <c r="U143" i="60"/>
  <c r="Q143" i="60"/>
  <c r="L143" i="60"/>
  <c r="H143" i="60"/>
  <c r="U142" i="60"/>
  <c r="Q142" i="60"/>
  <c r="I142" i="60"/>
  <c r="H142" i="60"/>
  <c r="I141" i="60"/>
  <c r="H141" i="60"/>
  <c r="U140" i="60"/>
  <c r="Q140" i="60"/>
  <c r="L140" i="60"/>
  <c r="H140" i="60"/>
  <c r="U139" i="60"/>
  <c r="Q139" i="60"/>
  <c r="U137" i="60"/>
  <c r="Q137" i="60"/>
  <c r="L137" i="60"/>
  <c r="H137" i="60"/>
  <c r="U136" i="60"/>
  <c r="Q136" i="60"/>
  <c r="L136" i="60"/>
  <c r="H136" i="60"/>
  <c r="L135" i="60"/>
  <c r="H135" i="60"/>
  <c r="U134" i="60"/>
  <c r="Q134" i="60"/>
  <c r="L134" i="60"/>
  <c r="H134" i="60"/>
  <c r="L133" i="60"/>
  <c r="H133" i="60"/>
  <c r="U132" i="60"/>
  <c r="Q132" i="60"/>
  <c r="L132" i="60"/>
  <c r="H132" i="60"/>
  <c r="U131" i="60"/>
  <c r="Q131" i="60"/>
  <c r="I131" i="60"/>
  <c r="H131" i="60"/>
  <c r="I130" i="60"/>
  <c r="H130" i="60"/>
  <c r="U129" i="60"/>
  <c r="Q129" i="60"/>
  <c r="L129" i="60"/>
  <c r="H129" i="60"/>
  <c r="U128" i="60"/>
  <c r="Q128" i="60"/>
  <c r="U126" i="60"/>
  <c r="Q126" i="60"/>
  <c r="L126" i="60"/>
  <c r="H126" i="60"/>
  <c r="U125" i="60"/>
  <c r="Q125" i="60"/>
  <c r="L125" i="60"/>
  <c r="H125" i="60"/>
  <c r="L124" i="60"/>
  <c r="H124" i="60"/>
  <c r="U123" i="60"/>
  <c r="Q123" i="60"/>
  <c r="L123" i="60"/>
  <c r="H123" i="60"/>
  <c r="L122" i="60"/>
  <c r="H122" i="60"/>
  <c r="U121" i="60"/>
  <c r="Q121" i="60"/>
  <c r="L121" i="60"/>
  <c r="H121" i="60"/>
  <c r="U120" i="60"/>
  <c r="Q120" i="60"/>
  <c r="I120" i="60"/>
  <c r="H120" i="60"/>
  <c r="I119" i="60"/>
  <c r="H119" i="60"/>
  <c r="U118" i="60"/>
  <c r="Q118" i="60"/>
  <c r="L118" i="60"/>
  <c r="H118" i="60"/>
  <c r="U117" i="60"/>
  <c r="Q117" i="60"/>
  <c r="U115" i="60"/>
  <c r="Q115" i="60"/>
  <c r="L115" i="60"/>
  <c r="H115" i="60"/>
  <c r="U114" i="60"/>
  <c r="Q114" i="60"/>
  <c r="L114" i="60"/>
  <c r="H114" i="60"/>
  <c r="L113" i="60"/>
  <c r="H113" i="60"/>
  <c r="U112" i="60"/>
  <c r="Q112" i="60"/>
  <c r="L112" i="60"/>
  <c r="H112" i="60"/>
  <c r="L111" i="60"/>
  <c r="H111" i="60"/>
  <c r="U110" i="60"/>
  <c r="Q110" i="60"/>
  <c r="L110" i="60"/>
  <c r="H110" i="60"/>
  <c r="U109" i="60"/>
  <c r="Q109" i="60"/>
  <c r="I109" i="60"/>
  <c r="H109" i="60"/>
  <c r="I108" i="60"/>
  <c r="H108" i="60"/>
  <c r="U107" i="60"/>
  <c r="Q107" i="60"/>
  <c r="L107" i="60"/>
  <c r="H107" i="60"/>
  <c r="U106" i="60"/>
  <c r="Q106" i="60"/>
  <c r="U104" i="60"/>
  <c r="Q104" i="60"/>
  <c r="L104" i="60"/>
  <c r="H104" i="60"/>
  <c r="U103" i="60"/>
  <c r="Q103" i="60"/>
  <c r="L103" i="60"/>
  <c r="H103" i="60"/>
  <c r="L102" i="60"/>
  <c r="H102" i="60"/>
  <c r="U101" i="60"/>
  <c r="Q101" i="60"/>
  <c r="L101" i="60"/>
  <c r="H101" i="60"/>
  <c r="L100" i="60"/>
  <c r="H100" i="60"/>
  <c r="U99" i="60"/>
  <c r="Q99" i="60"/>
  <c r="L99" i="60"/>
  <c r="H99" i="60"/>
  <c r="U98" i="60"/>
  <c r="Q98" i="60"/>
  <c r="I98" i="60"/>
  <c r="H98" i="60"/>
  <c r="I97" i="60"/>
  <c r="H97" i="60"/>
  <c r="U96" i="60"/>
  <c r="Q96" i="60"/>
  <c r="L96" i="60"/>
  <c r="H96" i="60"/>
  <c r="U95" i="60"/>
  <c r="Q95" i="60"/>
  <c r="U93" i="60"/>
  <c r="Q93" i="60"/>
  <c r="L93" i="60"/>
  <c r="H93" i="60"/>
  <c r="U92" i="60"/>
  <c r="Q92" i="60"/>
  <c r="L92" i="60"/>
  <c r="H92" i="60"/>
  <c r="L91" i="60"/>
  <c r="H91" i="60"/>
  <c r="U90" i="60"/>
  <c r="Q90" i="60"/>
  <c r="L90" i="60"/>
  <c r="H90" i="60"/>
  <c r="L89" i="60"/>
  <c r="H89" i="60"/>
  <c r="U88" i="60"/>
  <c r="Q88" i="60"/>
  <c r="L88" i="60"/>
  <c r="H88" i="60"/>
  <c r="U87" i="60"/>
  <c r="Q87" i="60"/>
  <c r="I87" i="60"/>
  <c r="H87" i="60"/>
  <c r="I86" i="60"/>
  <c r="H86" i="60"/>
  <c r="U85" i="60"/>
  <c r="Q85" i="60"/>
  <c r="L85" i="60"/>
  <c r="H85" i="60"/>
  <c r="U84" i="60"/>
  <c r="Q84" i="60"/>
  <c r="U82" i="60"/>
  <c r="Q82" i="60"/>
  <c r="L82" i="60"/>
  <c r="H82" i="60"/>
  <c r="U81" i="60"/>
  <c r="Q81" i="60"/>
  <c r="L81" i="60"/>
  <c r="H81" i="60"/>
  <c r="L80" i="60"/>
  <c r="H80" i="60"/>
  <c r="U79" i="60"/>
  <c r="Q79" i="60"/>
  <c r="L79" i="60"/>
  <c r="H79" i="60"/>
  <c r="L78" i="60"/>
  <c r="H78" i="60"/>
  <c r="U77" i="60"/>
  <c r="Q77" i="60"/>
  <c r="L77" i="60"/>
  <c r="H77" i="60"/>
  <c r="U76" i="60"/>
  <c r="Q76" i="60"/>
  <c r="I76" i="60"/>
  <c r="H76" i="60"/>
  <c r="I75" i="60"/>
  <c r="H75" i="60"/>
  <c r="U74" i="60"/>
  <c r="Q74" i="60"/>
  <c r="L74" i="60"/>
  <c r="H74" i="60"/>
  <c r="U73" i="60"/>
  <c r="Q73" i="60"/>
  <c r="U71" i="60"/>
  <c r="Q71" i="60"/>
  <c r="L71" i="60"/>
  <c r="H71" i="60"/>
  <c r="U70" i="60"/>
  <c r="Q70" i="60"/>
  <c r="L70" i="60"/>
  <c r="H70" i="60"/>
  <c r="L69" i="60"/>
  <c r="H69" i="60"/>
  <c r="U68" i="60"/>
  <c r="Q68" i="60"/>
  <c r="L68" i="60"/>
  <c r="H68" i="60"/>
  <c r="L67" i="60"/>
  <c r="H67" i="60"/>
  <c r="U66" i="60"/>
  <c r="Q66" i="60"/>
  <c r="L66" i="60"/>
  <c r="H66" i="60"/>
  <c r="U65" i="60"/>
  <c r="Q65" i="60"/>
  <c r="I65" i="60"/>
  <c r="H65" i="60"/>
  <c r="I64" i="60"/>
  <c r="H64" i="60"/>
  <c r="U63" i="60"/>
  <c r="Q63" i="60"/>
  <c r="L63" i="60"/>
  <c r="H63" i="60"/>
  <c r="U62" i="60"/>
  <c r="Q62" i="60"/>
  <c r="U60" i="60"/>
  <c r="Q60" i="60"/>
  <c r="L60" i="60"/>
  <c r="H60" i="60"/>
  <c r="U59" i="60"/>
  <c r="Q59" i="60"/>
  <c r="L59" i="60"/>
  <c r="H59" i="60"/>
  <c r="L58" i="60"/>
  <c r="H58" i="60"/>
  <c r="U57" i="60"/>
  <c r="Q57" i="60"/>
  <c r="L57" i="60"/>
  <c r="H57" i="60"/>
  <c r="L56" i="60"/>
  <c r="H56" i="60"/>
  <c r="U55" i="60"/>
  <c r="Q55" i="60"/>
  <c r="L55" i="60"/>
  <c r="H55" i="60"/>
  <c r="U54" i="60"/>
  <c r="Q54" i="60"/>
  <c r="I54" i="60"/>
  <c r="H54" i="60"/>
  <c r="I53" i="60"/>
  <c r="H53" i="60"/>
  <c r="U52" i="60"/>
  <c r="Q52" i="60"/>
  <c r="L52" i="60"/>
  <c r="H52" i="60"/>
  <c r="U51" i="60"/>
  <c r="Q51" i="60"/>
  <c r="U49" i="60"/>
  <c r="Q49" i="60"/>
  <c r="L49" i="60"/>
  <c r="H49" i="60"/>
  <c r="U48" i="60"/>
  <c r="Q48" i="60"/>
  <c r="L48" i="60"/>
  <c r="H48" i="60"/>
  <c r="L47" i="60"/>
  <c r="H47" i="60"/>
  <c r="U46" i="60"/>
  <c r="Q46" i="60"/>
  <c r="L46" i="60"/>
  <c r="H46" i="60"/>
  <c r="L45" i="60"/>
  <c r="H45" i="60"/>
  <c r="U44" i="60"/>
  <c r="Q44" i="60"/>
  <c r="L44" i="60"/>
  <c r="H44" i="60"/>
  <c r="U43" i="60"/>
  <c r="Q43" i="60"/>
  <c r="I43" i="60"/>
  <c r="H43" i="60"/>
  <c r="I42" i="60"/>
  <c r="H42" i="60"/>
  <c r="U41" i="60"/>
  <c r="Q41" i="60"/>
  <c r="L41" i="60"/>
  <c r="H41" i="60"/>
  <c r="U40" i="60"/>
  <c r="Q40" i="60"/>
  <c r="U38" i="60"/>
  <c r="Q38" i="60"/>
  <c r="L38" i="60"/>
  <c r="H38" i="60"/>
  <c r="U37" i="60"/>
  <c r="Q37" i="60"/>
  <c r="L37" i="60"/>
  <c r="H37" i="60"/>
  <c r="L36" i="60"/>
  <c r="H36" i="60"/>
  <c r="U35" i="60"/>
  <c r="Q35" i="60"/>
  <c r="L35" i="60"/>
  <c r="H35" i="60"/>
  <c r="L34" i="60"/>
  <c r="H34" i="60"/>
  <c r="U33" i="60"/>
  <c r="Q33" i="60"/>
  <c r="L33" i="60"/>
  <c r="H33" i="60"/>
  <c r="U32" i="60"/>
  <c r="Q32" i="60"/>
  <c r="I32" i="60"/>
  <c r="H32" i="60"/>
  <c r="I31" i="60"/>
  <c r="H31" i="60"/>
  <c r="U30" i="60"/>
  <c r="Q30" i="60"/>
  <c r="L30" i="60"/>
  <c r="H30" i="60"/>
  <c r="U29" i="60"/>
  <c r="Q29" i="60"/>
  <c r="U27" i="60"/>
  <c r="Q27" i="60"/>
  <c r="L27" i="60"/>
  <c r="H27" i="60"/>
  <c r="U26" i="60"/>
  <c r="Q26" i="60"/>
  <c r="L26" i="60"/>
  <c r="H26" i="60"/>
  <c r="L25" i="60"/>
  <c r="H25" i="60"/>
  <c r="U24" i="60"/>
  <c r="Q24" i="60"/>
  <c r="L24" i="60"/>
  <c r="H24" i="60"/>
  <c r="L23" i="60"/>
  <c r="H23" i="60"/>
  <c r="U22" i="60"/>
  <c r="Q22" i="60"/>
  <c r="L22" i="60"/>
  <c r="H22" i="60"/>
  <c r="U21" i="60"/>
  <c r="Q21" i="60"/>
  <c r="I21" i="60"/>
  <c r="H21" i="60"/>
  <c r="I20" i="60"/>
  <c r="H20" i="60"/>
  <c r="U19" i="60"/>
  <c r="Q19" i="60"/>
  <c r="L19" i="60"/>
  <c r="H19" i="60"/>
  <c r="U18" i="60"/>
  <c r="Q18" i="60"/>
  <c r="L16" i="60"/>
  <c r="L15" i="60"/>
  <c r="L14" i="60"/>
  <c r="L13" i="60"/>
  <c r="L12" i="60"/>
  <c r="L11" i="60"/>
  <c r="L8" i="60"/>
  <c r="H16" i="60"/>
  <c r="H15" i="60"/>
  <c r="H14" i="60"/>
  <c r="H13" i="60"/>
  <c r="H12" i="60"/>
  <c r="H11" i="60"/>
  <c r="H10" i="60"/>
  <c r="H9" i="60"/>
  <c r="H8" i="60"/>
  <c r="J43" i="10" l="1"/>
  <c r="M43" i="10" s="1"/>
  <c r="N43" i="10" s="1"/>
  <c r="S568" i="57"/>
  <c r="T568" i="57" s="1"/>
  <c r="W636" i="57"/>
  <c r="W603" i="57"/>
  <c r="H842" i="57"/>
  <c r="S656" i="57"/>
  <c r="T656" i="57" s="1"/>
  <c r="Y853" i="57"/>
  <c r="AC858" i="57" s="1"/>
  <c r="H853" i="57"/>
  <c r="S645" i="57"/>
  <c r="T645" i="57" s="1"/>
  <c r="M53" i="10"/>
  <c r="N53" i="10" s="1"/>
  <c r="J48" i="10"/>
  <c r="M48" i="10" s="1"/>
  <c r="N48" i="10" s="1"/>
  <c r="J42" i="10"/>
  <c r="M42" i="10" s="1"/>
  <c r="N42" i="10" s="1"/>
  <c r="J57" i="10"/>
  <c r="M57" i="10" s="1"/>
  <c r="N57" i="10" s="1"/>
  <c r="J49" i="10"/>
  <c r="M49" i="10" s="1"/>
  <c r="N49" i="10" s="1"/>
  <c r="J51" i="10"/>
  <c r="M51" i="10" s="1"/>
  <c r="N51" i="10" s="1"/>
  <c r="M23" i="10"/>
  <c r="N23" i="10" s="1"/>
  <c r="M39" i="10"/>
  <c r="N39" i="10" s="1"/>
  <c r="M47" i="10"/>
  <c r="N47" i="10" s="1"/>
  <c r="M56" i="10"/>
  <c r="N56" i="10" s="1"/>
  <c r="AO127" i="9"/>
  <c r="J50" i="10"/>
  <c r="M50" i="10" s="1"/>
  <c r="N50" i="10" s="1"/>
  <c r="J52" i="10"/>
  <c r="M52" i="10" s="1"/>
  <c r="J46" i="10"/>
  <c r="M46" i="10" s="1"/>
  <c r="N46" i="10" s="1"/>
  <c r="J59" i="10"/>
  <c r="M59" i="10" s="1"/>
  <c r="N59" i="10" s="1"/>
  <c r="M41" i="10"/>
  <c r="N41" i="10" s="1"/>
  <c r="J35" i="10"/>
  <c r="M35" i="10" s="1"/>
  <c r="N35" i="10" s="1"/>
  <c r="J34" i="10"/>
  <c r="M34" i="10" s="1"/>
  <c r="N34" i="10" s="1"/>
  <c r="N58" i="10"/>
  <c r="M33" i="10"/>
  <c r="N33" i="10" s="1"/>
  <c r="Y820" i="57"/>
  <c r="AC825" i="57" s="1"/>
  <c r="H820" i="57"/>
  <c r="Y831" i="57"/>
  <c r="AC836" i="57" s="1"/>
  <c r="H831" i="57"/>
  <c r="W784" i="57"/>
  <c r="X784" i="57" s="1"/>
  <c r="W795" i="57"/>
  <c r="X795" i="57" s="1"/>
  <c r="S614" i="57"/>
  <c r="G744" i="57"/>
  <c r="H744" i="57" s="1"/>
  <c r="S784" i="57"/>
  <c r="T784" i="57" s="1"/>
  <c r="K713" i="57"/>
  <c r="L713" i="57" s="1"/>
  <c r="A111" i="9"/>
  <c r="A112" i="9" s="1"/>
  <c r="A113" i="9" s="1"/>
  <c r="A114" i="9" s="1"/>
  <c r="A115" i="9" s="1"/>
  <c r="A116" i="9" s="1"/>
  <c r="AO138" i="9"/>
  <c r="W644" i="57"/>
  <c r="X644" i="57" s="1"/>
  <c r="S630" i="57"/>
  <c r="W746" i="57"/>
  <c r="X746" i="57" s="1"/>
  <c r="W779" i="57"/>
  <c r="X779" i="57" s="1"/>
  <c r="AO9" i="9"/>
  <c r="S634" i="57"/>
  <c r="T634" i="57" s="1"/>
  <c r="S655" i="57"/>
  <c r="T655" i="57" s="1"/>
  <c r="W751" i="57"/>
  <c r="X751" i="57" s="1"/>
  <c r="W740" i="57"/>
  <c r="X740" i="57" s="1"/>
  <c r="S590" i="57"/>
  <c r="T590" i="57" s="1"/>
  <c r="S586" i="57"/>
  <c r="K776" i="57"/>
  <c r="L776" i="57" s="1"/>
  <c r="G634" i="57"/>
  <c r="G623" i="57"/>
  <c r="G655" i="57"/>
  <c r="H655" i="57" s="1"/>
  <c r="K644" i="57"/>
  <c r="L644" i="57" s="1"/>
  <c r="K633" i="57"/>
  <c r="K798" i="57"/>
  <c r="L798" i="57" s="1"/>
  <c r="G809" i="57"/>
  <c r="H809" i="57" s="1"/>
  <c r="W773" i="57"/>
  <c r="X773" i="57" s="1"/>
  <c r="S623" i="57"/>
  <c r="T623" i="57" s="1"/>
  <c r="W663" i="57"/>
  <c r="X663" i="57" s="1"/>
  <c r="W674" i="57"/>
  <c r="X674" i="57" s="1"/>
  <c r="K680" i="57"/>
  <c r="L680" i="57" s="1"/>
  <c r="K809" i="57"/>
  <c r="L809" i="57" s="1"/>
  <c r="G645" i="57"/>
  <c r="H645" i="57" s="1"/>
  <c r="G656" i="57"/>
  <c r="H656" i="57" s="1"/>
  <c r="S557" i="57"/>
  <c r="T557" i="57" s="1"/>
  <c r="G798" i="57"/>
  <c r="H798" i="57" s="1"/>
  <c r="S809" i="57"/>
  <c r="S798" i="57"/>
  <c r="G732" i="57"/>
  <c r="H732" i="57" s="1"/>
  <c r="G787" i="57"/>
  <c r="H787" i="57" s="1"/>
  <c r="W762" i="57"/>
  <c r="X762" i="57" s="1"/>
  <c r="S762" i="57"/>
  <c r="T762" i="57" s="1"/>
  <c r="S677" i="57"/>
  <c r="T677" i="57" s="1"/>
  <c r="K658" i="57"/>
  <c r="L658" i="57" s="1"/>
  <c r="K669" i="57"/>
  <c r="L669" i="57" s="1"/>
  <c r="S787" i="57"/>
  <c r="T787" i="57" s="1"/>
  <c r="K787" i="57"/>
  <c r="Y787" i="59"/>
  <c r="AC793" i="59" s="1"/>
  <c r="L787" i="59"/>
  <c r="S592" i="57"/>
  <c r="S608" i="57"/>
  <c r="K636" i="57"/>
  <c r="L636" i="57" s="1"/>
  <c r="K647" i="57"/>
  <c r="L647" i="57" s="1"/>
  <c r="S546" i="57"/>
  <c r="T546" i="57" s="1"/>
  <c r="S612" i="57"/>
  <c r="T612" i="57" s="1"/>
  <c r="S743" i="57"/>
  <c r="T743" i="57" s="1"/>
  <c r="S601" i="57"/>
  <c r="T601" i="57" s="1"/>
  <c r="G666" i="57"/>
  <c r="H666" i="57" s="1"/>
  <c r="AO29" i="9"/>
  <c r="G721" i="57"/>
  <c r="H721" i="57" s="1"/>
  <c r="S652" i="57"/>
  <c r="T652" i="57" s="1"/>
  <c r="W652" i="57"/>
  <c r="X652" i="57" s="1"/>
  <c r="S597" i="57"/>
  <c r="S556" i="57"/>
  <c r="S570" i="57"/>
  <c r="W570" i="57"/>
  <c r="J20" i="10"/>
  <c r="M20" i="10" s="1"/>
  <c r="N20" i="10" s="1"/>
  <c r="AO14" i="9"/>
  <c r="AO12" i="9"/>
  <c r="AO13" i="9"/>
  <c r="J19" i="10"/>
  <c r="M19" i="10" s="1"/>
  <c r="N19" i="10" s="1"/>
  <c r="Y721" i="59"/>
  <c r="AC727" i="59" s="1"/>
  <c r="T721" i="59"/>
  <c r="K614" i="57"/>
  <c r="L614" i="57" s="1"/>
  <c r="W619" i="57"/>
  <c r="K765" i="57"/>
  <c r="L765" i="57" s="1"/>
  <c r="G743" i="57"/>
  <c r="H743" i="57" s="1"/>
  <c r="G765" i="57"/>
  <c r="H765" i="57" s="1"/>
  <c r="G688" i="57"/>
  <c r="H688" i="57" s="1"/>
  <c r="K655" i="57"/>
  <c r="L655" i="57" s="1"/>
  <c r="G677" i="57"/>
  <c r="H677" i="57" s="1"/>
  <c r="K732" i="57"/>
  <c r="L732" i="57" s="1"/>
  <c r="S732" i="57"/>
  <c r="T732" i="57" s="1"/>
  <c r="S754" i="57"/>
  <c r="T754" i="57" s="1"/>
  <c r="G776" i="57"/>
  <c r="S776" i="57"/>
  <c r="T776" i="57" s="1"/>
  <c r="S765" i="57"/>
  <c r="T765" i="57" s="1"/>
  <c r="S619" i="57"/>
  <c r="W564" i="57"/>
  <c r="Y765" i="59"/>
  <c r="AC771" i="59" s="1"/>
  <c r="L765" i="59"/>
  <c r="Y743" i="59"/>
  <c r="AC749" i="59" s="1"/>
  <c r="H743" i="59"/>
  <c r="H776" i="59"/>
  <c r="Y776" i="59"/>
  <c r="AC782" i="59" s="1"/>
  <c r="H677" i="59"/>
  <c r="Y677" i="59"/>
  <c r="AC683" i="59" s="1"/>
  <c r="Y754" i="59"/>
  <c r="AC760" i="59" s="1"/>
  <c r="H754" i="59"/>
  <c r="Y666" i="59"/>
  <c r="AC672" i="59" s="1"/>
  <c r="T666" i="59"/>
  <c r="Y688" i="59"/>
  <c r="AC694" i="59" s="1"/>
  <c r="T688" i="59"/>
  <c r="Y655" i="59"/>
  <c r="AC661" i="59" s="1"/>
  <c r="L655" i="59"/>
  <c r="H699" i="59"/>
  <c r="Y699" i="59"/>
  <c r="AC705" i="59" s="1"/>
  <c r="Y732" i="59"/>
  <c r="AC738" i="59" s="1"/>
  <c r="L732" i="59"/>
  <c r="Y710" i="59"/>
  <c r="AC716" i="59" s="1"/>
  <c r="T710" i="59"/>
  <c r="K743" i="57"/>
  <c r="L743" i="57" s="1"/>
  <c r="W556" i="57"/>
  <c r="W625" i="57"/>
  <c r="W614" i="57"/>
  <c r="S688" i="57"/>
  <c r="T688" i="57" s="1"/>
  <c r="K559" i="57"/>
  <c r="L559" i="57" s="1"/>
  <c r="K548" i="57"/>
  <c r="L548" i="57" s="1"/>
  <c r="S699" i="57"/>
  <c r="Y633" i="59"/>
  <c r="AC639" i="59" s="1"/>
  <c r="W567" i="57"/>
  <c r="W575" i="57"/>
  <c r="W633" i="57"/>
  <c r="W622" i="57"/>
  <c r="T633" i="59"/>
  <c r="G644" i="57"/>
  <c r="Y622" i="59"/>
  <c r="AC628" i="59" s="1"/>
  <c r="Y644" i="59"/>
  <c r="AC650" i="59" s="1"/>
  <c r="H644" i="59"/>
  <c r="Y534" i="59"/>
  <c r="AC540" i="59" s="1"/>
  <c r="T534" i="59"/>
  <c r="Y512" i="59"/>
  <c r="AC518" i="59" s="1"/>
  <c r="H512" i="59"/>
  <c r="Y545" i="59"/>
  <c r="AC551" i="59" s="1"/>
  <c r="H545" i="59"/>
  <c r="Y611" i="59"/>
  <c r="AC617" i="59" s="1"/>
  <c r="H611" i="59"/>
  <c r="Y589" i="59"/>
  <c r="AC595" i="59" s="1"/>
  <c r="H589" i="59"/>
  <c r="Y523" i="59"/>
  <c r="AC529" i="59" s="1"/>
  <c r="T523" i="59"/>
  <c r="Y578" i="59"/>
  <c r="AC584" i="59" s="1"/>
  <c r="L578" i="59"/>
  <c r="Y567" i="59"/>
  <c r="AC573" i="59" s="1"/>
  <c r="H567" i="59"/>
  <c r="Y600" i="59"/>
  <c r="AC606" i="59" s="1"/>
  <c r="H600" i="59"/>
  <c r="Y556" i="59"/>
  <c r="AC562" i="59" s="1"/>
  <c r="L556" i="59"/>
  <c r="E7" i="68"/>
  <c r="D7" i="68"/>
  <c r="A117" i="9" l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18" i="9"/>
  <c r="Y633" i="57"/>
  <c r="AC638" i="57" s="1"/>
  <c r="Y589" i="57"/>
  <c r="AC594" i="57" s="1"/>
  <c r="Y798" i="57"/>
  <c r="AC803" i="57" s="1"/>
  <c r="T798" i="57"/>
  <c r="Y809" i="57"/>
  <c r="AC814" i="57" s="1"/>
  <c r="T809" i="57"/>
  <c r="Y644" i="57"/>
  <c r="AC649" i="57" s="1"/>
  <c r="Y787" i="57"/>
  <c r="AC792" i="57" s="1"/>
  <c r="L787" i="57"/>
  <c r="Y754" i="57"/>
  <c r="AC759" i="57" s="1"/>
  <c r="Y655" i="57"/>
  <c r="AC660" i="57" s="1"/>
  <c r="H776" i="57"/>
  <c r="Y776" i="57"/>
  <c r="AC781" i="57" s="1"/>
  <c r="Y732" i="57"/>
  <c r="AC737" i="57" s="1"/>
  <c r="Y677" i="57"/>
  <c r="AC682" i="57" s="1"/>
  <c r="Y765" i="57"/>
  <c r="AC770" i="57" s="1"/>
  <c r="Y611" i="57"/>
  <c r="AC616" i="57" s="1"/>
  <c r="Y743" i="57"/>
  <c r="AC748" i="57" s="1"/>
  <c r="Y556" i="57"/>
  <c r="AC561" i="57" s="1"/>
  <c r="Y688" i="57"/>
  <c r="AC693" i="57" s="1"/>
  <c r="T699" i="57"/>
  <c r="H644" i="57"/>
  <c r="U456" i="59"/>
  <c r="Q456" i="59"/>
  <c r="L456" i="59"/>
  <c r="H456" i="59"/>
  <c r="U455" i="59"/>
  <c r="Q455" i="59"/>
  <c r="L455" i="59"/>
  <c r="H455" i="59"/>
  <c r="L454" i="59"/>
  <c r="H454" i="59"/>
  <c r="U453" i="59"/>
  <c r="Q453" i="59"/>
  <c r="L453" i="59"/>
  <c r="H453" i="59"/>
  <c r="L452" i="59"/>
  <c r="H452" i="59"/>
  <c r="U451" i="59"/>
  <c r="Q451" i="59"/>
  <c r="L451" i="59"/>
  <c r="H451" i="59"/>
  <c r="U450" i="59"/>
  <c r="Q450" i="59"/>
  <c r="I450" i="59"/>
  <c r="H450" i="59"/>
  <c r="I449" i="59"/>
  <c r="H449" i="59"/>
  <c r="U448" i="59"/>
  <c r="Q448" i="59"/>
  <c r="L448" i="59"/>
  <c r="H448" i="59"/>
  <c r="U447" i="59"/>
  <c r="Q447" i="59"/>
  <c r="U434" i="59"/>
  <c r="L434" i="59"/>
  <c r="H434" i="59"/>
  <c r="U433" i="59"/>
  <c r="L433" i="59"/>
  <c r="H433" i="59"/>
  <c r="L432" i="59"/>
  <c r="H432" i="59"/>
  <c r="U431" i="59"/>
  <c r="L431" i="59"/>
  <c r="H431" i="59"/>
  <c r="L430" i="59"/>
  <c r="H430" i="59"/>
  <c r="U429" i="59"/>
  <c r="L429" i="59"/>
  <c r="H429" i="59"/>
  <c r="U428" i="59"/>
  <c r="I428" i="59"/>
  <c r="H428" i="59"/>
  <c r="I427" i="59"/>
  <c r="H427" i="59"/>
  <c r="U426" i="59"/>
  <c r="L426" i="59"/>
  <c r="H426" i="59"/>
  <c r="U425" i="59"/>
  <c r="U423" i="59"/>
  <c r="L423" i="59"/>
  <c r="H423" i="59"/>
  <c r="U422" i="59"/>
  <c r="L422" i="59"/>
  <c r="H422" i="59"/>
  <c r="L421" i="59"/>
  <c r="H421" i="59"/>
  <c r="U420" i="59"/>
  <c r="L420" i="59"/>
  <c r="H420" i="59"/>
  <c r="L419" i="59"/>
  <c r="H419" i="59"/>
  <c r="U418" i="59"/>
  <c r="L418" i="59"/>
  <c r="H418" i="59"/>
  <c r="U417" i="59"/>
  <c r="I417" i="59"/>
  <c r="H417" i="59"/>
  <c r="I416" i="59"/>
  <c r="H416" i="59"/>
  <c r="U415" i="59"/>
  <c r="L415" i="59"/>
  <c r="H415" i="59"/>
  <c r="U414" i="59"/>
  <c r="U412" i="59"/>
  <c r="L412" i="59"/>
  <c r="H412" i="59"/>
  <c r="U411" i="59"/>
  <c r="L411" i="59"/>
  <c r="H411" i="59"/>
  <c r="L410" i="59"/>
  <c r="H410" i="59"/>
  <c r="U409" i="59"/>
  <c r="L409" i="59"/>
  <c r="H409" i="59"/>
  <c r="L408" i="59"/>
  <c r="H408" i="59"/>
  <c r="U407" i="59"/>
  <c r="L407" i="59"/>
  <c r="H407" i="59"/>
  <c r="U406" i="59"/>
  <c r="I406" i="59"/>
  <c r="H406" i="59"/>
  <c r="I405" i="59"/>
  <c r="H405" i="59"/>
  <c r="U404" i="59"/>
  <c r="L404" i="59"/>
  <c r="H404" i="59"/>
  <c r="U403" i="59"/>
  <c r="U401" i="59"/>
  <c r="L401" i="59"/>
  <c r="H401" i="59"/>
  <c r="U400" i="59"/>
  <c r="L400" i="59"/>
  <c r="H400" i="59"/>
  <c r="L399" i="59"/>
  <c r="H399" i="59"/>
  <c r="U398" i="59"/>
  <c r="L398" i="59"/>
  <c r="H398" i="59"/>
  <c r="L397" i="59"/>
  <c r="H397" i="59"/>
  <c r="U396" i="59"/>
  <c r="L396" i="59"/>
  <c r="H396" i="59"/>
  <c r="U395" i="59"/>
  <c r="I395" i="59"/>
  <c r="H395" i="59"/>
  <c r="I394" i="59"/>
  <c r="H394" i="59"/>
  <c r="U393" i="59"/>
  <c r="L393" i="59"/>
  <c r="H393" i="59"/>
  <c r="U392" i="59"/>
  <c r="U500" i="59"/>
  <c r="Q500" i="59"/>
  <c r="L500" i="59"/>
  <c r="H500" i="59"/>
  <c r="U499" i="59"/>
  <c r="Q499" i="59"/>
  <c r="L499" i="59"/>
  <c r="H499" i="59"/>
  <c r="L498" i="59"/>
  <c r="H498" i="59"/>
  <c r="U497" i="59"/>
  <c r="Q497" i="59"/>
  <c r="L497" i="59"/>
  <c r="H497" i="59"/>
  <c r="L496" i="59"/>
  <c r="H496" i="59"/>
  <c r="U495" i="59"/>
  <c r="Q495" i="59"/>
  <c r="L495" i="59"/>
  <c r="H495" i="59"/>
  <c r="U494" i="59"/>
  <c r="Q494" i="59"/>
  <c r="I494" i="59"/>
  <c r="H494" i="59"/>
  <c r="I493" i="59"/>
  <c r="H493" i="59"/>
  <c r="U492" i="59"/>
  <c r="Q492" i="59"/>
  <c r="L492" i="59"/>
  <c r="H492" i="59"/>
  <c r="U491" i="59"/>
  <c r="Q491" i="59"/>
  <c r="U445" i="59"/>
  <c r="L445" i="59"/>
  <c r="H445" i="59"/>
  <c r="U444" i="59"/>
  <c r="L444" i="59"/>
  <c r="H444" i="59"/>
  <c r="L443" i="59"/>
  <c r="H443" i="59"/>
  <c r="U442" i="59"/>
  <c r="L442" i="59"/>
  <c r="H442" i="59"/>
  <c r="L441" i="59"/>
  <c r="H441" i="59"/>
  <c r="U440" i="59"/>
  <c r="L440" i="59"/>
  <c r="H440" i="59"/>
  <c r="U439" i="59"/>
  <c r="I439" i="59"/>
  <c r="H439" i="59"/>
  <c r="I438" i="59"/>
  <c r="H438" i="59"/>
  <c r="U437" i="59"/>
  <c r="L437" i="59"/>
  <c r="H437" i="59"/>
  <c r="U436" i="59"/>
  <c r="U390" i="59"/>
  <c r="L390" i="59"/>
  <c r="H390" i="59"/>
  <c r="U389" i="59"/>
  <c r="L389" i="59"/>
  <c r="H389" i="59"/>
  <c r="L388" i="59"/>
  <c r="H388" i="59"/>
  <c r="U387" i="59"/>
  <c r="L387" i="59"/>
  <c r="H387" i="59"/>
  <c r="L386" i="59"/>
  <c r="H386" i="59"/>
  <c r="U385" i="59"/>
  <c r="L385" i="59"/>
  <c r="H385" i="59"/>
  <c r="U384" i="59"/>
  <c r="I384" i="59"/>
  <c r="H384" i="59"/>
  <c r="I383" i="59"/>
  <c r="H383" i="59"/>
  <c r="U382" i="59"/>
  <c r="L382" i="59"/>
  <c r="H382" i="59"/>
  <c r="U381" i="59"/>
  <c r="U379" i="59"/>
  <c r="L379" i="59"/>
  <c r="H379" i="59"/>
  <c r="U378" i="59"/>
  <c r="L378" i="59"/>
  <c r="H378" i="59"/>
  <c r="L377" i="59"/>
  <c r="H377" i="59"/>
  <c r="U376" i="59"/>
  <c r="L376" i="59"/>
  <c r="H376" i="59"/>
  <c r="L375" i="59"/>
  <c r="H375" i="59"/>
  <c r="U374" i="59"/>
  <c r="L374" i="59"/>
  <c r="H374" i="59"/>
  <c r="U373" i="59"/>
  <c r="I373" i="59"/>
  <c r="H373" i="59"/>
  <c r="I372" i="59"/>
  <c r="H372" i="59"/>
  <c r="U371" i="59"/>
  <c r="L371" i="59"/>
  <c r="H371" i="59"/>
  <c r="U370" i="59"/>
  <c r="U368" i="59"/>
  <c r="L368" i="59"/>
  <c r="H368" i="59"/>
  <c r="U367" i="59"/>
  <c r="L367" i="59"/>
  <c r="H367" i="59"/>
  <c r="L366" i="59"/>
  <c r="H366" i="59"/>
  <c r="U365" i="59"/>
  <c r="L365" i="59"/>
  <c r="H365" i="59"/>
  <c r="L364" i="59"/>
  <c r="H364" i="59"/>
  <c r="U363" i="59"/>
  <c r="H363" i="59"/>
  <c r="U362" i="59"/>
  <c r="I362" i="59"/>
  <c r="H362" i="59"/>
  <c r="I361" i="59"/>
  <c r="H361" i="59"/>
  <c r="U360" i="59"/>
  <c r="L360" i="59"/>
  <c r="H360" i="59"/>
  <c r="U359" i="59"/>
  <c r="U357" i="59"/>
  <c r="L357" i="59"/>
  <c r="H357" i="59"/>
  <c r="U356" i="59"/>
  <c r="L356" i="59"/>
  <c r="H356" i="59"/>
  <c r="L355" i="59"/>
  <c r="H355" i="59"/>
  <c r="U354" i="59"/>
  <c r="L354" i="59"/>
  <c r="H354" i="59"/>
  <c r="L353" i="59"/>
  <c r="H353" i="59"/>
  <c r="U352" i="59"/>
  <c r="L352" i="59"/>
  <c r="H352" i="59"/>
  <c r="U351" i="59"/>
  <c r="I351" i="59"/>
  <c r="H351" i="59"/>
  <c r="I350" i="59"/>
  <c r="H350" i="59"/>
  <c r="U349" i="59"/>
  <c r="L349" i="59"/>
  <c r="H349" i="59"/>
  <c r="U348" i="59"/>
  <c r="U346" i="59"/>
  <c r="L346" i="59"/>
  <c r="H346" i="59"/>
  <c r="U345" i="59"/>
  <c r="L345" i="59"/>
  <c r="H345" i="59"/>
  <c r="L344" i="59"/>
  <c r="H344" i="59"/>
  <c r="U343" i="59"/>
  <c r="L343" i="59"/>
  <c r="H343" i="59"/>
  <c r="L342" i="59"/>
  <c r="H342" i="59"/>
  <c r="U341" i="59"/>
  <c r="L341" i="59"/>
  <c r="H341" i="59"/>
  <c r="U340" i="59"/>
  <c r="I340" i="59"/>
  <c r="H340" i="59"/>
  <c r="I339" i="59"/>
  <c r="H339" i="59"/>
  <c r="U338" i="59"/>
  <c r="L338" i="59"/>
  <c r="H338" i="59"/>
  <c r="U337" i="59"/>
  <c r="U335" i="59"/>
  <c r="L335" i="59"/>
  <c r="H335" i="59"/>
  <c r="U334" i="59"/>
  <c r="L334" i="59"/>
  <c r="H334" i="59"/>
  <c r="L333" i="59"/>
  <c r="H333" i="59"/>
  <c r="U332" i="59"/>
  <c r="L332" i="59"/>
  <c r="H332" i="59"/>
  <c r="L331" i="59"/>
  <c r="H331" i="59"/>
  <c r="U330" i="59"/>
  <c r="L330" i="59"/>
  <c r="H330" i="59"/>
  <c r="U329" i="59"/>
  <c r="I329" i="59"/>
  <c r="H329" i="59"/>
  <c r="I328" i="59"/>
  <c r="H328" i="59"/>
  <c r="U327" i="59"/>
  <c r="L327" i="59"/>
  <c r="H327" i="59"/>
  <c r="U326" i="59"/>
  <c r="U324" i="59"/>
  <c r="L324" i="59"/>
  <c r="H324" i="59"/>
  <c r="U323" i="59"/>
  <c r="L323" i="59"/>
  <c r="H323" i="59"/>
  <c r="L322" i="59"/>
  <c r="H322" i="59"/>
  <c r="U321" i="59"/>
  <c r="L321" i="59"/>
  <c r="H321" i="59"/>
  <c r="L320" i="59"/>
  <c r="H320" i="59"/>
  <c r="U319" i="59"/>
  <c r="L319" i="59"/>
  <c r="H319" i="59"/>
  <c r="U318" i="59"/>
  <c r="I318" i="59"/>
  <c r="H318" i="59"/>
  <c r="I317" i="59"/>
  <c r="H317" i="59"/>
  <c r="U316" i="59"/>
  <c r="L316" i="59"/>
  <c r="H316" i="59"/>
  <c r="U315" i="59"/>
  <c r="U313" i="59"/>
  <c r="L313" i="59"/>
  <c r="H313" i="59"/>
  <c r="U312" i="59"/>
  <c r="L312" i="59"/>
  <c r="H312" i="59"/>
  <c r="L311" i="59"/>
  <c r="H311" i="59"/>
  <c r="U310" i="59"/>
  <c r="L310" i="59"/>
  <c r="H310" i="59"/>
  <c r="L309" i="59"/>
  <c r="H309" i="59"/>
  <c r="U308" i="59"/>
  <c r="L308" i="59"/>
  <c r="H308" i="59"/>
  <c r="U307" i="59"/>
  <c r="I307" i="59"/>
  <c r="H307" i="59"/>
  <c r="I306" i="59"/>
  <c r="H306" i="59"/>
  <c r="U305" i="59"/>
  <c r="L305" i="59"/>
  <c r="H305" i="59"/>
  <c r="U304" i="59"/>
  <c r="U302" i="59"/>
  <c r="L302" i="59"/>
  <c r="H302" i="59"/>
  <c r="U301" i="59"/>
  <c r="L301" i="59"/>
  <c r="H301" i="59"/>
  <c r="L300" i="59"/>
  <c r="H300" i="59"/>
  <c r="U299" i="59"/>
  <c r="L299" i="59"/>
  <c r="H299" i="59"/>
  <c r="L298" i="59"/>
  <c r="H298" i="59"/>
  <c r="U297" i="59"/>
  <c r="L297" i="59"/>
  <c r="H297" i="59"/>
  <c r="U296" i="59"/>
  <c r="I296" i="59"/>
  <c r="H296" i="59"/>
  <c r="I295" i="59"/>
  <c r="H295" i="59"/>
  <c r="U294" i="59"/>
  <c r="L294" i="59"/>
  <c r="H294" i="59"/>
  <c r="U293" i="59"/>
  <c r="U291" i="59"/>
  <c r="L291" i="59"/>
  <c r="H291" i="59"/>
  <c r="U290" i="59"/>
  <c r="L290" i="59"/>
  <c r="H290" i="59"/>
  <c r="L289" i="59"/>
  <c r="H289" i="59"/>
  <c r="U288" i="59"/>
  <c r="L288" i="59"/>
  <c r="H288" i="59"/>
  <c r="L287" i="59"/>
  <c r="H287" i="59"/>
  <c r="U286" i="59"/>
  <c r="L286" i="59"/>
  <c r="H286" i="59"/>
  <c r="U285" i="59"/>
  <c r="I285" i="59"/>
  <c r="H285" i="59"/>
  <c r="I284" i="59"/>
  <c r="H284" i="59"/>
  <c r="U283" i="59"/>
  <c r="L283" i="59"/>
  <c r="H283" i="59"/>
  <c r="U282" i="59"/>
  <c r="U280" i="59"/>
  <c r="L280" i="59"/>
  <c r="H280" i="59"/>
  <c r="U279" i="59"/>
  <c r="L279" i="59"/>
  <c r="H279" i="59"/>
  <c r="L278" i="59"/>
  <c r="H278" i="59"/>
  <c r="U277" i="59"/>
  <c r="L277" i="59"/>
  <c r="H277" i="59"/>
  <c r="L276" i="59"/>
  <c r="H276" i="59"/>
  <c r="U275" i="59"/>
  <c r="L275" i="59"/>
  <c r="H275" i="59"/>
  <c r="U274" i="59"/>
  <c r="I274" i="59"/>
  <c r="H274" i="59"/>
  <c r="I273" i="59"/>
  <c r="H273" i="59"/>
  <c r="U272" i="59"/>
  <c r="L272" i="59"/>
  <c r="H272" i="59"/>
  <c r="U271" i="59"/>
  <c r="U423" i="57"/>
  <c r="Q423" i="57"/>
  <c r="U422" i="57"/>
  <c r="Q422" i="57"/>
  <c r="U420" i="57"/>
  <c r="Q420" i="57"/>
  <c r="U418" i="57"/>
  <c r="Q418" i="57"/>
  <c r="U417" i="57"/>
  <c r="Q417" i="57"/>
  <c r="I417" i="57"/>
  <c r="I416" i="57"/>
  <c r="U415" i="57"/>
  <c r="Q415" i="57"/>
  <c r="U414" i="57"/>
  <c r="Q414" i="57"/>
  <c r="U412" i="57"/>
  <c r="Q412" i="57"/>
  <c r="U411" i="57"/>
  <c r="Q411" i="57"/>
  <c r="U409" i="57"/>
  <c r="Q409" i="57"/>
  <c r="U407" i="57"/>
  <c r="Q407" i="57"/>
  <c r="U406" i="57"/>
  <c r="Q406" i="57"/>
  <c r="I406" i="57"/>
  <c r="I405" i="57"/>
  <c r="U404" i="57"/>
  <c r="Q404" i="57"/>
  <c r="U403" i="57"/>
  <c r="Q403" i="57"/>
  <c r="U401" i="57"/>
  <c r="Q401" i="57"/>
  <c r="U400" i="57"/>
  <c r="Q400" i="57"/>
  <c r="U398" i="57"/>
  <c r="Q398" i="57"/>
  <c r="U396" i="57"/>
  <c r="Q396" i="57"/>
  <c r="U395" i="57"/>
  <c r="Q395" i="57"/>
  <c r="I395" i="57"/>
  <c r="I394" i="57"/>
  <c r="U393" i="57"/>
  <c r="Q393" i="57"/>
  <c r="U392" i="57"/>
  <c r="Q392" i="57"/>
  <c r="U390" i="57"/>
  <c r="Q390" i="57"/>
  <c r="U389" i="57"/>
  <c r="Q389" i="57"/>
  <c r="U387" i="57"/>
  <c r="Q387" i="57"/>
  <c r="U385" i="57"/>
  <c r="Q385" i="57"/>
  <c r="U384" i="57"/>
  <c r="Q384" i="57"/>
  <c r="I384" i="57"/>
  <c r="I383" i="57"/>
  <c r="U382" i="57"/>
  <c r="Q382" i="57"/>
  <c r="U381" i="57"/>
  <c r="Q381" i="57"/>
  <c r="U379" i="57"/>
  <c r="Q379" i="57"/>
  <c r="U378" i="57"/>
  <c r="Q378" i="57"/>
  <c r="U376" i="57"/>
  <c r="Q376" i="57"/>
  <c r="U374" i="57"/>
  <c r="Q374" i="57"/>
  <c r="U373" i="57"/>
  <c r="Q373" i="57"/>
  <c r="I373" i="57"/>
  <c r="I372" i="57"/>
  <c r="U371" i="57"/>
  <c r="Q371" i="57"/>
  <c r="U370" i="57"/>
  <c r="Q370" i="57"/>
  <c r="U368" i="57"/>
  <c r="Q368" i="57"/>
  <c r="U367" i="57"/>
  <c r="Q367" i="57"/>
  <c r="U365" i="57"/>
  <c r="Q365" i="57"/>
  <c r="U363" i="57"/>
  <c r="Q363" i="57"/>
  <c r="U362" i="57"/>
  <c r="Q362" i="57"/>
  <c r="I362" i="57"/>
  <c r="I361" i="57"/>
  <c r="U360" i="57"/>
  <c r="Q360" i="57"/>
  <c r="U359" i="57"/>
  <c r="Q359" i="57"/>
  <c r="U357" i="57"/>
  <c r="Q357" i="57"/>
  <c r="U356" i="57"/>
  <c r="Q356" i="57"/>
  <c r="U354" i="57"/>
  <c r="Q354" i="57"/>
  <c r="U352" i="57"/>
  <c r="Q352" i="57"/>
  <c r="U351" i="57"/>
  <c r="Q351" i="57"/>
  <c r="I351" i="57"/>
  <c r="I350" i="57"/>
  <c r="U349" i="57"/>
  <c r="Q349" i="57"/>
  <c r="U348" i="57"/>
  <c r="Q348" i="57"/>
  <c r="U346" i="57"/>
  <c r="Q346" i="57"/>
  <c r="U345" i="57"/>
  <c r="Q345" i="57"/>
  <c r="U343" i="57"/>
  <c r="Q343" i="57"/>
  <c r="U341" i="57"/>
  <c r="Q341" i="57"/>
  <c r="U340" i="57"/>
  <c r="Q340" i="57"/>
  <c r="I340" i="57"/>
  <c r="I339" i="57"/>
  <c r="U338" i="57"/>
  <c r="Q338" i="57"/>
  <c r="U337" i="57"/>
  <c r="Q337" i="57"/>
  <c r="U335" i="57"/>
  <c r="Q335" i="57"/>
  <c r="U334" i="57"/>
  <c r="Q334" i="57"/>
  <c r="U332" i="57"/>
  <c r="Q332" i="57"/>
  <c r="U330" i="57"/>
  <c r="Q330" i="57"/>
  <c r="U329" i="57"/>
  <c r="Q329" i="57"/>
  <c r="I329" i="57"/>
  <c r="I328" i="57"/>
  <c r="U327" i="57"/>
  <c r="Q327" i="57"/>
  <c r="U326" i="57"/>
  <c r="Q326" i="57"/>
  <c r="U324" i="57"/>
  <c r="Q324" i="57"/>
  <c r="U323" i="57"/>
  <c r="Q323" i="57"/>
  <c r="U321" i="57"/>
  <c r="Q321" i="57"/>
  <c r="U319" i="57"/>
  <c r="Q319" i="57"/>
  <c r="U318" i="57"/>
  <c r="Q318" i="57"/>
  <c r="I318" i="57"/>
  <c r="I317" i="57"/>
  <c r="U316" i="57"/>
  <c r="Q316" i="57"/>
  <c r="U315" i="57"/>
  <c r="Q315" i="57"/>
  <c r="U313" i="57"/>
  <c r="Q313" i="57"/>
  <c r="U312" i="57"/>
  <c r="Q312" i="57"/>
  <c r="U310" i="57"/>
  <c r="Q310" i="57"/>
  <c r="U308" i="57"/>
  <c r="Q308" i="57"/>
  <c r="U307" i="57"/>
  <c r="Q307" i="57"/>
  <c r="I307" i="57"/>
  <c r="I306" i="57"/>
  <c r="U305" i="57"/>
  <c r="Q305" i="57"/>
  <c r="U304" i="57"/>
  <c r="Q304" i="57"/>
  <c r="U302" i="57"/>
  <c r="Q302" i="57"/>
  <c r="U301" i="57"/>
  <c r="Q301" i="57"/>
  <c r="U299" i="57"/>
  <c r="Q299" i="57"/>
  <c r="U297" i="57"/>
  <c r="Q297" i="57"/>
  <c r="U296" i="57"/>
  <c r="Q296" i="57"/>
  <c r="I296" i="57"/>
  <c r="I295" i="57"/>
  <c r="U294" i="57"/>
  <c r="Q294" i="57"/>
  <c r="U293" i="57"/>
  <c r="Q293" i="57"/>
  <c r="U291" i="57"/>
  <c r="Q291" i="57"/>
  <c r="U290" i="57"/>
  <c r="Q290" i="57"/>
  <c r="U288" i="57"/>
  <c r="Q288" i="57"/>
  <c r="U286" i="57"/>
  <c r="Q286" i="57"/>
  <c r="U285" i="57"/>
  <c r="Q285" i="57"/>
  <c r="I285" i="57"/>
  <c r="I284" i="57"/>
  <c r="U283" i="57"/>
  <c r="Q283" i="57"/>
  <c r="U282" i="57"/>
  <c r="Q282" i="57"/>
  <c r="U280" i="57"/>
  <c r="Q280" i="57"/>
  <c r="U279" i="57"/>
  <c r="Q279" i="57"/>
  <c r="U277" i="57"/>
  <c r="Q277" i="57"/>
  <c r="U275" i="57"/>
  <c r="Q275" i="57"/>
  <c r="U274" i="57"/>
  <c r="Q274" i="57"/>
  <c r="I274" i="57"/>
  <c r="I273" i="57"/>
  <c r="U272" i="57"/>
  <c r="Q272" i="57"/>
  <c r="U271" i="57"/>
  <c r="Q271" i="57"/>
  <c r="AS3" i="10"/>
  <c r="AS4" i="10"/>
  <c r="N54" i="10" s="1"/>
  <c r="AS5" i="10"/>
  <c r="AS6" i="10"/>
  <c r="AS7" i="10"/>
  <c r="AS8" i="10"/>
  <c r="AS2" i="10"/>
  <c r="N52" i="10" l="1"/>
  <c r="B462" i="59"/>
  <c r="B473" i="59"/>
  <c r="B484" i="59"/>
  <c r="B495" i="59"/>
  <c r="B429" i="59"/>
  <c r="B440" i="59"/>
  <c r="B451" i="59"/>
  <c r="B418" i="60" l="1"/>
  <c r="B418" i="59"/>
  <c r="B396" i="60"/>
  <c r="B396" i="59"/>
  <c r="B374" i="60"/>
  <c r="B374" i="59"/>
  <c r="B352" i="60"/>
  <c r="B352" i="59"/>
  <c r="B506" i="57"/>
  <c r="W504" i="57" s="1"/>
  <c r="B506" i="59"/>
  <c r="B407" i="60"/>
  <c r="B407" i="59"/>
  <c r="B385" i="60"/>
  <c r="B385" i="59"/>
  <c r="B363" i="60"/>
  <c r="B363" i="59"/>
  <c r="B517" i="57"/>
  <c r="W514" i="57" s="1"/>
  <c r="X514" i="57" s="1"/>
  <c r="W467" i="59"/>
  <c r="X467" i="59" s="1"/>
  <c r="S461" i="59"/>
  <c r="T461" i="59" s="1"/>
  <c r="S459" i="59"/>
  <c r="T459" i="59" s="1"/>
  <c r="W458" i="59"/>
  <c r="X458" i="59" s="1"/>
  <c r="O458" i="59"/>
  <c r="P458" i="59" s="1"/>
  <c r="S458" i="59"/>
  <c r="T458" i="59" s="1"/>
  <c r="K461" i="59"/>
  <c r="L461" i="59" s="1"/>
  <c r="W461" i="59"/>
  <c r="X461" i="59" s="1"/>
  <c r="W459" i="59"/>
  <c r="X459" i="59" s="1"/>
  <c r="S457" i="59"/>
  <c r="W464" i="59"/>
  <c r="X464" i="59" s="1"/>
  <c r="W462" i="59"/>
  <c r="X462" i="59" s="1"/>
  <c r="O457" i="59"/>
  <c r="P457" i="59" s="1"/>
  <c r="W460" i="59"/>
  <c r="S467" i="59"/>
  <c r="T467" i="59" s="1"/>
  <c r="W465" i="59"/>
  <c r="K457" i="59"/>
  <c r="W466" i="59"/>
  <c r="X466" i="59" s="1"/>
  <c r="W457" i="59"/>
  <c r="S464" i="59"/>
  <c r="T464" i="59" s="1"/>
  <c r="G457" i="59"/>
  <c r="K460" i="59"/>
  <c r="L460" i="59" s="1"/>
  <c r="S466" i="59"/>
  <c r="T466" i="59" s="1"/>
  <c r="G458" i="59"/>
  <c r="K458" i="59"/>
  <c r="S460" i="59"/>
  <c r="S463" i="59"/>
  <c r="W463" i="59"/>
  <c r="S465" i="59"/>
  <c r="S462" i="59"/>
  <c r="T462" i="59" s="1"/>
  <c r="W483" i="59"/>
  <c r="X483" i="59" s="1"/>
  <c r="K483" i="59"/>
  <c r="L483" i="59" s="1"/>
  <c r="S482" i="59"/>
  <c r="W481" i="59"/>
  <c r="X481" i="59" s="1"/>
  <c r="S480" i="59"/>
  <c r="T480" i="59" s="1"/>
  <c r="G480" i="59"/>
  <c r="K479" i="59"/>
  <c r="W489" i="59"/>
  <c r="X489" i="59" s="1"/>
  <c r="K482" i="59"/>
  <c r="L482" i="59" s="1"/>
  <c r="W479" i="59"/>
  <c r="G479" i="59"/>
  <c r="W488" i="59"/>
  <c r="X488" i="59" s="1"/>
  <c r="W486" i="59"/>
  <c r="X486" i="59" s="1"/>
  <c r="W484" i="59"/>
  <c r="X484" i="59" s="1"/>
  <c r="W485" i="59"/>
  <c r="O480" i="59"/>
  <c r="P480" i="59" s="1"/>
  <c r="W487" i="59"/>
  <c r="S483" i="59"/>
  <c r="T483" i="59" s="1"/>
  <c r="W482" i="59"/>
  <c r="S481" i="59"/>
  <c r="T481" i="59" s="1"/>
  <c r="W480" i="59"/>
  <c r="X480" i="59" s="1"/>
  <c r="K480" i="59"/>
  <c r="S479" i="59"/>
  <c r="S489" i="59"/>
  <c r="T489" i="59" s="1"/>
  <c r="O479" i="59"/>
  <c r="P479" i="59" s="1"/>
  <c r="S486" i="59"/>
  <c r="T486" i="59" s="1"/>
  <c r="S485" i="59"/>
  <c r="S487" i="59"/>
  <c r="S488" i="59"/>
  <c r="T488" i="59" s="1"/>
  <c r="S484" i="59"/>
  <c r="T484" i="59" s="1"/>
  <c r="W478" i="59"/>
  <c r="X478" i="59" s="1"/>
  <c r="S472" i="59"/>
  <c r="T472" i="59" s="1"/>
  <c r="S470" i="59"/>
  <c r="T470" i="59" s="1"/>
  <c r="W469" i="59"/>
  <c r="X469" i="59" s="1"/>
  <c r="O469" i="59"/>
  <c r="P469" i="59" s="1"/>
  <c r="W475" i="59"/>
  <c r="X475" i="59" s="1"/>
  <c r="S469" i="59"/>
  <c r="T469" i="59" s="1"/>
  <c r="K472" i="59"/>
  <c r="L472" i="59" s="1"/>
  <c r="W472" i="59"/>
  <c r="X472" i="59" s="1"/>
  <c r="W470" i="59"/>
  <c r="X470" i="59" s="1"/>
  <c r="S468" i="59"/>
  <c r="K468" i="59"/>
  <c r="W477" i="59"/>
  <c r="X477" i="59" s="1"/>
  <c r="O468" i="59"/>
  <c r="P468" i="59" s="1"/>
  <c r="W471" i="59"/>
  <c r="S478" i="59"/>
  <c r="T478" i="59" s="1"/>
  <c r="W476" i="59"/>
  <c r="G469" i="59"/>
  <c r="W468" i="59"/>
  <c r="S475" i="59"/>
  <c r="T475" i="59" s="1"/>
  <c r="W473" i="59"/>
  <c r="X473" i="59" s="1"/>
  <c r="G468" i="59"/>
  <c r="K471" i="59"/>
  <c r="L471" i="59" s="1"/>
  <c r="S474" i="59"/>
  <c r="K469" i="59"/>
  <c r="S476" i="59"/>
  <c r="S477" i="59"/>
  <c r="T477" i="59" s="1"/>
  <c r="S471" i="59"/>
  <c r="W474" i="59"/>
  <c r="S473" i="59"/>
  <c r="T473" i="59" s="1"/>
  <c r="B440" i="57"/>
  <c r="O436" i="57" s="1"/>
  <c r="P436" i="57" s="1"/>
  <c r="B440" i="60"/>
  <c r="B528" i="57"/>
  <c r="B484" i="57"/>
  <c r="O480" i="57" s="1"/>
  <c r="P480" i="57" s="1"/>
  <c r="B462" i="57"/>
  <c r="O458" i="57" s="1"/>
  <c r="P458" i="57" s="1"/>
  <c r="B462" i="60"/>
  <c r="B451" i="57"/>
  <c r="B451" i="60"/>
  <c r="B539" i="57"/>
  <c r="B495" i="57"/>
  <c r="S500" i="57" s="1"/>
  <c r="B473" i="57"/>
  <c r="S478" i="57" s="1"/>
  <c r="B473" i="60"/>
  <c r="G886" i="57"/>
  <c r="K886" i="57"/>
  <c r="O886" i="57"/>
  <c r="P886" i="57" s="1"/>
  <c r="S886" i="57"/>
  <c r="W886" i="57"/>
  <c r="K505" i="57"/>
  <c r="O502" i="57"/>
  <c r="P502" i="57" s="1"/>
  <c r="B429" i="60"/>
  <c r="B429" i="57"/>
  <c r="W416" i="60"/>
  <c r="S416" i="60"/>
  <c r="G414" i="60"/>
  <c r="W413" i="60"/>
  <c r="S419" i="60"/>
  <c r="W415" i="60"/>
  <c r="X415" i="60" s="1"/>
  <c r="S414" i="60"/>
  <c r="T414" i="60" s="1"/>
  <c r="O414" i="60"/>
  <c r="P414" i="60" s="1"/>
  <c r="S423" i="60"/>
  <c r="T423" i="60" s="1"/>
  <c r="W422" i="60"/>
  <c r="X422" i="60" s="1"/>
  <c r="W418" i="60"/>
  <c r="X418" i="60" s="1"/>
  <c r="S418" i="60"/>
  <c r="T418" i="60" s="1"/>
  <c r="K417" i="60"/>
  <c r="L417" i="60" s="1"/>
  <c r="W420" i="60"/>
  <c r="X420" i="60" s="1"/>
  <c r="S400" i="60"/>
  <c r="T400" i="60" s="1"/>
  <c r="S396" i="60"/>
  <c r="T396" i="60" s="1"/>
  <c r="G392" i="60"/>
  <c r="W379" i="60"/>
  <c r="X379" i="60" s="1"/>
  <c r="S379" i="60"/>
  <c r="T379" i="60" s="1"/>
  <c r="S378" i="60"/>
  <c r="T378" i="60" s="1"/>
  <c r="S377" i="60"/>
  <c r="W376" i="60"/>
  <c r="X376" i="60" s="1"/>
  <c r="W375" i="60"/>
  <c r="S375" i="60"/>
  <c r="W374" i="60"/>
  <c r="X374" i="60" s="1"/>
  <c r="W373" i="60"/>
  <c r="X373" i="60" s="1"/>
  <c r="S373" i="60"/>
  <c r="T373" i="60" s="1"/>
  <c r="K373" i="60"/>
  <c r="L373" i="60" s="1"/>
  <c r="S371" i="60"/>
  <c r="T371" i="60" s="1"/>
  <c r="W370" i="60"/>
  <c r="X370" i="60" s="1"/>
  <c r="O370" i="60"/>
  <c r="P370" i="60" s="1"/>
  <c r="G369" i="60"/>
  <c r="S372" i="60"/>
  <c r="K370" i="60"/>
  <c r="O369" i="60"/>
  <c r="P369" i="60" s="1"/>
  <c r="W372" i="60"/>
  <c r="G370" i="60"/>
  <c r="S357" i="60"/>
  <c r="T357" i="60" s="1"/>
  <c r="S356" i="60"/>
  <c r="T356" i="60" s="1"/>
  <c r="W354" i="60"/>
  <c r="X354" i="60" s="1"/>
  <c r="S353" i="60"/>
  <c r="S352" i="60"/>
  <c r="T352" i="60" s="1"/>
  <c r="K351" i="60"/>
  <c r="L351" i="60" s="1"/>
  <c r="S349" i="60"/>
  <c r="T349" i="60" s="1"/>
  <c r="S348" i="60"/>
  <c r="T348" i="60" s="1"/>
  <c r="W350" i="60"/>
  <c r="O347" i="60"/>
  <c r="P347" i="60" s="1"/>
  <c r="G348" i="60"/>
  <c r="B418" i="57"/>
  <c r="S416" i="57" s="1"/>
  <c r="B396" i="57"/>
  <c r="S394" i="57" s="1"/>
  <c r="B374" i="57"/>
  <c r="S372" i="57" s="1"/>
  <c r="B352" i="57"/>
  <c r="W353" i="57" s="1"/>
  <c r="B407" i="57"/>
  <c r="S412" i="57" s="1"/>
  <c r="B385" i="57"/>
  <c r="S390" i="57" s="1"/>
  <c r="B363" i="57"/>
  <c r="S368" i="57" s="1"/>
  <c r="B253" i="59"/>
  <c r="W427" i="60" l="1"/>
  <c r="W367" i="60"/>
  <c r="X367" i="60" s="1"/>
  <c r="S408" i="60"/>
  <c r="W357" i="60"/>
  <c r="X357" i="60" s="1"/>
  <c r="S401" i="60"/>
  <c r="T401" i="60" s="1"/>
  <c r="W389" i="60"/>
  <c r="X389" i="60" s="1"/>
  <c r="W378" i="60"/>
  <c r="X378" i="60" s="1"/>
  <c r="K416" i="60"/>
  <c r="L416" i="60" s="1"/>
  <c r="O392" i="60"/>
  <c r="P392" i="60" s="1"/>
  <c r="W405" i="60"/>
  <c r="S511" i="57"/>
  <c r="T511" i="57" s="1"/>
  <c r="W358" i="60"/>
  <c r="S388" i="60"/>
  <c r="W366" i="60"/>
  <c r="S407" i="60"/>
  <c r="T407" i="60" s="1"/>
  <c r="K348" i="60"/>
  <c r="W348" i="60"/>
  <c r="X348" i="60" s="1"/>
  <c r="S351" i="60"/>
  <c r="T351" i="60" s="1"/>
  <c r="S354" i="60"/>
  <c r="T354" i="60" s="1"/>
  <c r="W356" i="60"/>
  <c r="X356" i="60" s="1"/>
  <c r="W391" i="60"/>
  <c r="S393" i="60"/>
  <c r="T393" i="60" s="1"/>
  <c r="W397" i="60"/>
  <c r="W401" i="60"/>
  <c r="X401" i="60" s="1"/>
  <c r="K358" i="60"/>
  <c r="S367" i="60"/>
  <c r="T367" i="60" s="1"/>
  <c r="S411" i="60"/>
  <c r="T411" i="60" s="1"/>
  <c r="K392" i="60"/>
  <c r="W393" i="60"/>
  <c r="X393" i="60" s="1"/>
  <c r="S398" i="60"/>
  <c r="T398" i="60" s="1"/>
  <c r="S362" i="60"/>
  <c r="T362" i="60" s="1"/>
  <c r="W412" i="60"/>
  <c r="X412" i="60" s="1"/>
  <c r="K350" i="60"/>
  <c r="L350" i="60" s="1"/>
  <c r="G347" i="60"/>
  <c r="S350" i="60"/>
  <c r="W352" i="60"/>
  <c r="X352" i="60" s="1"/>
  <c r="S355" i="60"/>
  <c r="K394" i="60"/>
  <c r="L394" i="60" s="1"/>
  <c r="K391" i="60"/>
  <c r="W395" i="60"/>
  <c r="X395" i="60" s="1"/>
  <c r="W399" i="60"/>
  <c r="W362" i="60"/>
  <c r="X362" i="60" s="1"/>
  <c r="G403" i="60"/>
  <c r="S405" i="60"/>
  <c r="S522" i="57"/>
  <c r="T522" i="57" s="1"/>
  <c r="W501" i="57"/>
  <c r="K504" i="57"/>
  <c r="L504" i="57" s="1"/>
  <c r="S502" i="57"/>
  <c r="T502" i="57" s="1"/>
  <c r="S509" i="57"/>
  <c r="W505" i="57"/>
  <c r="X505" i="57" s="1"/>
  <c r="S508" i="57"/>
  <c r="T508" i="57" s="1"/>
  <c r="K501" i="57"/>
  <c r="S383" i="60"/>
  <c r="W503" i="57"/>
  <c r="X503" i="57" s="1"/>
  <c r="O501" i="57"/>
  <c r="P501" i="57" s="1"/>
  <c r="G502" i="57"/>
  <c r="W394" i="60"/>
  <c r="S394" i="60"/>
  <c r="S392" i="60"/>
  <c r="T392" i="60" s="1"/>
  <c r="K395" i="60"/>
  <c r="L395" i="60" s="1"/>
  <c r="W396" i="60"/>
  <c r="X396" i="60" s="1"/>
  <c r="W398" i="60"/>
  <c r="X398" i="60" s="1"/>
  <c r="W400" i="60"/>
  <c r="X400" i="60" s="1"/>
  <c r="O359" i="60"/>
  <c r="P359" i="60" s="1"/>
  <c r="S364" i="60"/>
  <c r="W407" i="60"/>
  <c r="X407" i="60" s="1"/>
  <c r="W408" i="60"/>
  <c r="W347" i="60"/>
  <c r="O348" i="60"/>
  <c r="P348" i="60" s="1"/>
  <c r="W349" i="60"/>
  <c r="X349" i="60" s="1"/>
  <c r="W351" i="60"/>
  <c r="X351" i="60" s="1"/>
  <c r="W353" i="60"/>
  <c r="W355" i="60"/>
  <c r="O391" i="60"/>
  <c r="P391" i="60" s="1"/>
  <c r="G391" i="60"/>
  <c r="W392" i="60"/>
  <c r="X392" i="60" s="1"/>
  <c r="S395" i="60"/>
  <c r="T395" i="60" s="1"/>
  <c r="S397" i="60"/>
  <c r="S399" i="60"/>
  <c r="O358" i="60"/>
  <c r="P358" i="60" s="1"/>
  <c r="W359" i="60"/>
  <c r="X359" i="60" s="1"/>
  <c r="S365" i="60"/>
  <c r="T365" i="60" s="1"/>
  <c r="W403" i="60"/>
  <c r="X403" i="60" s="1"/>
  <c r="S410" i="60"/>
  <c r="K359" i="60"/>
  <c r="W360" i="60"/>
  <c r="X360" i="60" s="1"/>
  <c r="W364" i="60"/>
  <c r="S368" i="60"/>
  <c r="T368" i="60" s="1"/>
  <c r="W406" i="60"/>
  <c r="X406" i="60" s="1"/>
  <c r="S404" i="60"/>
  <c r="T404" i="60" s="1"/>
  <c r="W409" i="60"/>
  <c r="X409" i="60" s="1"/>
  <c r="G359" i="60"/>
  <c r="G358" i="60"/>
  <c r="S360" i="60"/>
  <c r="T360" i="60" s="1"/>
  <c r="S363" i="60"/>
  <c r="T363" i="60" s="1"/>
  <c r="S366" i="60"/>
  <c r="W368" i="60"/>
  <c r="X368" i="60" s="1"/>
  <c r="K406" i="60"/>
  <c r="L406" i="60" s="1"/>
  <c r="S403" i="60"/>
  <c r="T403" i="60" s="1"/>
  <c r="W411" i="60"/>
  <c r="X411" i="60" s="1"/>
  <c r="K402" i="60"/>
  <c r="W361" i="60"/>
  <c r="S361" i="60"/>
  <c r="S359" i="60"/>
  <c r="T359" i="60" s="1"/>
  <c r="K362" i="60"/>
  <c r="L362" i="60" s="1"/>
  <c r="W363" i="60"/>
  <c r="X363" i="60" s="1"/>
  <c r="W365" i="60"/>
  <c r="X365" i="60" s="1"/>
  <c r="S384" i="60"/>
  <c r="T384" i="60" s="1"/>
  <c r="S406" i="60"/>
  <c r="T406" i="60" s="1"/>
  <c r="O403" i="60"/>
  <c r="P403" i="60" s="1"/>
  <c r="W404" i="60"/>
  <c r="X404" i="60" s="1"/>
  <c r="O402" i="60"/>
  <c r="P402" i="60" s="1"/>
  <c r="K403" i="60"/>
  <c r="S412" i="60"/>
  <c r="T412" i="60" s="1"/>
  <c r="S409" i="60"/>
  <c r="T409" i="60" s="1"/>
  <c r="K405" i="60"/>
  <c r="L405" i="60" s="1"/>
  <c r="G402" i="60"/>
  <c r="T368" i="57"/>
  <c r="T412" i="57"/>
  <c r="T390" i="57"/>
  <c r="T478" i="57"/>
  <c r="L505" i="57"/>
  <c r="T500" i="57"/>
  <c r="K483" i="57"/>
  <c r="O380" i="60"/>
  <c r="P380" i="60" s="1"/>
  <c r="S382" i="60"/>
  <c r="T382" i="60" s="1"/>
  <c r="W386" i="60"/>
  <c r="W390" i="60"/>
  <c r="X390" i="60" s="1"/>
  <c r="W520" i="57"/>
  <c r="K380" i="60"/>
  <c r="W384" i="60"/>
  <c r="X384" i="60" s="1"/>
  <c r="W388" i="60"/>
  <c r="S521" i="57"/>
  <c r="K383" i="60"/>
  <c r="L383" i="60" s="1"/>
  <c r="W381" i="60"/>
  <c r="X381" i="60" s="1"/>
  <c r="S386" i="60"/>
  <c r="S390" i="60"/>
  <c r="T390" i="60" s="1"/>
  <c r="O512" i="57"/>
  <c r="P512" i="57" s="1"/>
  <c r="K512" i="57"/>
  <c r="W517" i="57"/>
  <c r="X517" i="57" s="1"/>
  <c r="O513" i="57"/>
  <c r="P513" i="57" s="1"/>
  <c r="S514" i="57"/>
  <c r="W512" i="57"/>
  <c r="G513" i="57"/>
  <c r="S518" i="57"/>
  <c r="S519" i="57"/>
  <c r="G512" i="57"/>
  <c r="K372" i="60"/>
  <c r="L372" i="60" s="1"/>
  <c r="W369" i="60"/>
  <c r="K369" i="60"/>
  <c r="W371" i="60"/>
  <c r="X371" i="60" s="1"/>
  <c r="S374" i="60"/>
  <c r="T374" i="60" s="1"/>
  <c r="S376" i="60"/>
  <c r="T376" i="60" s="1"/>
  <c r="W419" i="60"/>
  <c r="S417" i="60"/>
  <c r="T417" i="60" s="1"/>
  <c r="W421" i="60"/>
  <c r="W423" i="60"/>
  <c r="X423" i="60" s="1"/>
  <c r="W414" i="60"/>
  <c r="X414" i="60" s="1"/>
  <c r="S421" i="60"/>
  <c r="K414" i="60"/>
  <c r="G381" i="60"/>
  <c r="W380" i="60"/>
  <c r="O381" i="60"/>
  <c r="P381" i="60" s="1"/>
  <c r="W382" i="60"/>
  <c r="X382" i="60" s="1"/>
  <c r="S385" i="60"/>
  <c r="T385" i="60" s="1"/>
  <c r="S387" i="60"/>
  <c r="T387" i="60" s="1"/>
  <c r="S389" i="60"/>
  <c r="T389" i="60" s="1"/>
  <c r="S517" i="57"/>
  <c r="W518" i="57"/>
  <c r="W522" i="57"/>
  <c r="X522" i="57" s="1"/>
  <c r="S515" i="57"/>
  <c r="K515" i="57"/>
  <c r="K516" i="57"/>
  <c r="S512" i="57"/>
  <c r="W507" i="57"/>
  <c r="S507" i="57"/>
  <c r="W508" i="57"/>
  <c r="X508" i="57" s="1"/>
  <c r="W510" i="57"/>
  <c r="X510" i="57" s="1"/>
  <c r="S504" i="57"/>
  <c r="S506" i="57"/>
  <c r="W502" i="57"/>
  <c r="X502" i="57" s="1"/>
  <c r="S420" i="60"/>
  <c r="T420" i="60" s="1"/>
  <c r="W417" i="60"/>
  <c r="X417" i="60" s="1"/>
  <c r="S422" i="60"/>
  <c r="T422" i="60" s="1"/>
  <c r="G413" i="60"/>
  <c r="S415" i="60"/>
  <c r="T415" i="60" s="1"/>
  <c r="O413" i="60"/>
  <c r="P413" i="60" s="1"/>
  <c r="W383" i="60"/>
  <c r="K381" i="60"/>
  <c r="S381" i="60"/>
  <c r="T381" i="60" s="1"/>
  <c r="K384" i="60"/>
  <c r="L384" i="60" s="1"/>
  <c r="W385" i="60"/>
  <c r="X385" i="60" s="1"/>
  <c r="W387" i="60"/>
  <c r="X387" i="60" s="1"/>
  <c r="S520" i="57"/>
  <c r="W519" i="57"/>
  <c r="X519" i="57" s="1"/>
  <c r="W516" i="57"/>
  <c r="X516" i="57" s="1"/>
  <c r="S516" i="57"/>
  <c r="T516" i="57" s="1"/>
  <c r="W515" i="57"/>
  <c r="W521" i="57"/>
  <c r="X521" i="57" s="1"/>
  <c r="W513" i="57"/>
  <c r="X513" i="57" s="1"/>
  <c r="S510" i="57"/>
  <c r="S505" i="57"/>
  <c r="T505" i="57" s="1"/>
  <c r="S503" i="57"/>
  <c r="W511" i="57"/>
  <c r="X511" i="57" s="1"/>
  <c r="W506" i="57"/>
  <c r="X506" i="57" s="1"/>
  <c r="W509" i="57"/>
  <c r="W460" i="57"/>
  <c r="S444" i="57"/>
  <c r="S258" i="59"/>
  <c r="T258" i="59" s="1"/>
  <c r="S253" i="59"/>
  <c r="T253" i="59" s="1"/>
  <c r="S254" i="59"/>
  <c r="S255" i="59"/>
  <c r="T255" i="59" s="1"/>
  <c r="S256" i="59"/>
  <c r="S257" i="59"/>
  <c r="T257" i="59" s="1"/>
  <c r="W252" i="59"/>
  <c r="X252" i="59" s="1"/>
  <c r="W251" i="59"/>
  <c r="W250" i="59"/>
  <c r="X250" i="59" s="1"/>
  <c r="O249" i="59"/>
  <c r="P249" i="59" s="1"/>
  <c r="W248" i="59"/>
  <c r="K248" i="59"/>
  <c r="W257" i="59"/>
  <c r="X257" i="59" s="1"/>
  <c r="W255" i="59"/>
  <c r="X255" i="59" s="1"/>
  <c r="W253" i="59"/>
  <c r="X253" i="59" s="1"/>
  <c r="S251" i="59"/>
  <c r="S249" i="59"/>
  <c r="T249" i="59" s="1"/>
  <c r="G248" i="59"/>
  <c r="K252" i="59"/>
  <c r="L252" i="59" s="1"/>
  <c r="K251" i="59"/>
  <c r="L251" i="59" s="1"/>
  <c r="W249" i="59"/>
  <c r="X249" i="59" s="1"/>
  <c r="K249" i="59"/>
  <c r="O248" i="59"/>
  <c r="P248" i="59" s="1"/>
  <c r="W258" i="59"/>
  <c r="X258" i="59" s="1"/>
  <c r="W256" i="59"/>
  <c r="W254" i="59"/>
  <c r="S252" i="59"/>
  <c r="T252" i="59" s="1"/>
  <c r="S250" i="59"/>
  <c r="T250" i="59" s="1"/>
  <c r="G249" i="59"/>
  <c r="S248" i="59"/>
  <c r="S452" i="57"/>
  <c r="O446" i="57"/>
  <c r="P446" i="57" s="1"/>
  <c r="S487" i="57"/>
  <c r="W447" i="57"/>
  <c r="X447" i="57" s="1"/>
  <c r="W485" i="57"/>
  <c r="W453" i="57"/>
  <c r="X453" i="57" s="1"/>
  <c r="W489" i="57"/>
  <c r="X489" i="57" s="1"/>
  <c r="W449" i="57"/>
  <c r="W451" i="57"/>
  <c r="X451" i="57" s="1"/>
  <c r="S489" i="57"/>
  <c r="S453" i="57"/>
  <c r="W456" i="57"/>
  <c r="X456" i="57" s="1"/>
  <c r="S481" i="57"/>
  <c r="O479" i="57"/>
  <c r="P479" i="57" s="1"/>
  <c r="K479" i="57"/>
  <c r="W454" i="57"/>
  <c r="S449" i="57"/>
  <c r="S450" i="57"/>
  <c r="T450" i="57" s="1"/>
  <c r="S488" i="57"/>
  <c r="S485" i="57"/>
  <c r="S480" i="57"/>
  <c r="T480" i="57" s="1"/>
  <c r="W450" i="57"/>
  <c r="X450" i="57" s="1"/>
  <c r="S454" i="57"/>
  <c r="G447" i="57"/>
  <c r="S448" i="57"/>
  <c r="W446" i="57"/>
  <c r="K450" i="57"/>
  <c r="W488" i="57"/>
  <c r="X488" i="57" s="1"/>
  <c r="S486" i="57"/>
  <c r="S484" i="57"/>
  <c r="K482" i="57"/>
  <c r="W479" i="57"/>
  <c r="G446" i="57"/>
  <c r="K446" i="57"/>
  <c r="O447" i="57"/>
  <c r="P447" i="57" s="1"/>
  <c r="W448" i="57"/>
  <c r="X448" i="57" s="1"/>
  <c r="S451" i="57"/>
  <c r="W487" i="57"/>
  <c r="S482" i="57"/>
  <c r="W486" i="57"/>
  <c r="X486" i="57" s="1"/>
  <c r="W484" i="57"/>
  <c r="X484" i="57" s="1"/>
  <c r="W483" i="57"/>
  <c r="X483" i="57" s="1"/>
  <c r="G479" i="57"/>
  <c r="S475" i="57"/>
  <c r="O468" i="57"/>
  <c r="P468" i="57" s="1"/>
  <c r="S476" i="57"/>
  <c r="O469" i="57"/>
  <c r="P469" i="57" s="1"/>
  <c r="W478" i="57"/>
  <c r="X478" i="57" s="1"/>
  <c r="S470" i="57"/>
  <c r="W471" i="57"/>
  <c r="W468" i="57"/>
  <c r="W467" i="57"/>
  <c r="X467" i="57" s="1"/>
  <c r="S462" i="57"/>
  <c r="W462" i="57"/>
  <c r="X462" i="57" s="1"/>
  <c r="S491" i="57"/>
  <c r="T491" i="57" s="1"/>
  <c r="W493" i="57"/>
  <c r="W491" i="57"/>
  <c r="X491" i="57" s="1"/>
  <c r="O491" i="57"/>
  <c r="P491" i="57" s="1"/>
  <c r="W495" i="57"/>
  <c r="X495" i="57" s="1"/>
  <c r="S499" i="57"/>
  <c r="W494" i="57"/>
  <c r="X494" i="57" s="1"/>
  <c r="S494" i="57"/>
  <c r="T494" i="57" s="1"/>
  <c r="W497" i="57"/>
  <c r="X497" i="57" s="1"/>
  <c r="S493" i="57"/>
  <c r="G490" i="57"/>
  <c r="S492" i="57"/>
  <c r="W496" i="57"/>
  <c r="W500" i="57"/>
  <c r="X500" i="57" s="1"/>
  <c r="W438" i="57"/>
  <c r="W458" i="57"/>
  <c r="X458" i="57" s="1"/>
  <c r="W464" i="57"/>
  <c r="X464" i="57" s="1"/>
  <c r="S465" i="57"/>
  <c r="S463" i="57"/>
  <c r="W472" i="57"/>
  <c r="X472" i="57" s="1"/>
  <c r="W476" i="57"/>
  <c r="S471" i="57"/>
  <c r="W474" i="57"/>
  <c r="G469" i="57"/>
  <c r="S477" i="57"/>
  <c r="S468" i="57"/>
  <c r="K471" i="57"/>
  <c r="S469" i="57"/>
  <c r="T469" i="57" s="1"/>
  <c r="W477" i="57"/>
  <c r="X477" i="57" s="1"/>
  <c r="W469" i="57"/>
  <c r="X469" i="57" s="1"/>
  <c r="S474" i="57"/>
  <c r="S473" i="57"/>
  <c r="K472" i="57"/>
  <c r="K460" i="57"/>
  <c r="G457" i="57"/>
  <c r="S461" i="57"/>
  <c r="T461" i="57" s="1"/>
  <c r="W435" i="57"/>
  <c r="W470" i="57"/>
  <c r="X470" i="57" s="1"/>
  <c r="K468" i="57"/>
  <c r="G468" i="57"/>
  <c r="W475" i="57"/>
  <c r="X475" i="57" s="1"/>
  <c r="S472" i="57"/>
  <c r="T472" i="57" s="1"/>
  <c r="W473" i="57"/>
  <c r="X473" i="57" s="1"/>
  <c r="S498" i="57"/>
  <c r="W492" i="57"/>
  <c r="X492" i="57" s="1"/>
  <c r="G491" i="57"/>
  <c r="K493" i="57"/>
  <c r="S459" i="57"/>
  <c r="W463" i="57"/>
  <c r="K457" i="57"/>
  <c r="S436" i="57"/>
  <c r="T436" i="57" s="1"/>
  <c r="K449" i="57"/>
  <c r="S447" i="57"/>
  <c r="T447" i="57" s="1"/>
  <c r="W455" i="57"/>
  <c r="X455" i="57" s="1"/>
  <c r="W452" i="57"/>
  <c r="S456" i="57"/>
  <c r="S455" i="57"/>
  <c r="G480" i="57"/>
  <c r="S479" i="57"/>
  <c r="W480" i="57"/>
  <c r="X480" i="57" s="1"/>
  <c r="S483" i="57"/>
  <c r="T483" i="57" s="1"/>
  <c r="W481" i="57"/>
  <c r="X481" i="57" s="1"/>
  <c r="W482" i="57"/>
  <c r="O490" i="57"/>
  <c r="P490" i="57" s="1"/>
  <c r="K490" i="57"/>
  <c r="S497" i="57"/>
  <c r="S496" i="57"/>
  <c r="W499" i="57"/>
  <c r="X499" i="57" s="1"/>
  <c r="K494" i="57"/>
  <c r="S495" i="57"/>
  <c r="G435" i="57"/>
  <c r="W440" i="57"/>
  <c r="X440" i="57" s="1"/>
  <c r="K435" i="57"/>
  <c r="G436" i="57"/>
  <c r="S442" i="57"/>
  <c r="S445" i="57"/>
  <c r="W444" i="57"/>
  <c r="X444" i="57" s="1"/>
  <c r="Y468" i="59"/>
  <c r="AC474" i="59" s="1"/>
  <c r="W437" i="57"/>
  <c r="X437" i="57" s="1"/>
  <c r="S439" i="57"/>
  <c r="T439" i="57" s="1"/>
  <c r="S435" i="57"/>
  <c r="S443" i="57"/>
  <c r="K461" i="57"/>
  <c r="W466" i="57"/>
  <c r="X466" i="57" s="1"/>
  <c r="S458" i="57"/>
  <c r="T458" i="57" s="1"/>
  <c r="S467" i="57"/>
  <c r="W461" i="57"/>
  <c r="X461" i="57" s="1"/>
  <c r="W459" i="57"/>
  <c r="X459" i="57" s="1"/>
  <c r="S460" i="57"/>
  <c r="G458" i="57"/>
  <c r="Y457" i="59"/>
  <c r="AC463" i="59" s="1"/>
  <c r="Y479" i="59"/>
  <c r="AC485" i="59" s="1"/>
  <c r="S464" i="57"/>
  <c r="W465" i="57"/>
  <c r="O457" i="57"/>
  <c r="P457" i="57" s="1"/>
  <c r="W457" i="57"/>
  <c r="S466" i="57"/>
  <c r="W442" i="57"/>
  <c r="X442" i="57" s="1"/>
  <c r="O435" i="57"/>
  <c r="P435" i="57" s="1"/>
  <c r="W436" i="57"/>
  <c r="X436" i="57" s="1"/>
  <c r="S441" i="57"/>
  <c r="S440" i="57"/>
  <c r="W441" i="57"/>
  <c r="K439" i="57"/>
  <c r="W445" i="57"/>
  <c r="X445" i="57" s="1"/>
  <c r="K438" i="57"/>
  <c r="W439" i="57"/>
  <c r="X439" i="57" s="1"/>
  <c r="S438" i="57"/>
  <c r="S437" i="57"/>
  <c r="W443" i="57"/>
  <c r="W472" i="60"/>
  <c r="W468" i="60"/>
  <c r="O468" i="60"/>
  <c r="P468" i="60" s="1"/>
  <c r="S471" i="60"/>
  <c r="O469" i="60"/>
  <c r="P469" i="60" s="1"/>
  <c r="W469" i="60"/>
  <c r="W470" i="60"/>
  <c r="T472" i="60"/>
  <c r="X473" i="60"/>
  <c r="X474" i="60"/>
  <c r="X475" i="60"/>
  <c r="X476" i="60"/>
  <c r="X477" i="60"/>
  <c r="X478" i="60"/>
  <c r="G468" i="60"/>
  <c r="S468" i="60"/>
  <c r="G469" i="60"/>
  <c r="S469" i="60"/>
  <c r="S470" i="60"/>
  <c r="K471" i="60"/>
  <c r="W471" i="60"/>
  <c r="S472" i="60"/>
  <c r="T473" i="60"/>
  <c r="T474" i="60"/>
  <c r="T475" i="60"/>
  <c r="T476" i="60"/>
  <c r="T477" i="60"/>
  <c r="T478" i="60"/>
  <c r="K469" i="60"/>
  <c r="K468" i="60"/>
  <c r="L471" i="60"/>
  <c r="S473" i="60"/>
  <c r="S475" i="60"/>
  <c r="S477" i="60"/>
  <c r="X469" i="60"/>
  <c r="T471" i="60"/>
  <c r="X472" i="60"/>
  <c r="W474" i="60"/>
  <c r="W476" i="60"/>
  <c r="W478" i="60"/>
  <c r="H469" i="60"/>
  <c r="T470" i="60"/>
  <c r="K472" i="60"/>
  <c r="S474" i="60"/>
  <c r="S476" i="60"/>
  <c r="S478" i="60"/>
  <c r="L468" i="60"/>
  <c r="L469" i="60"/>
  <c r="X470" i="60"/>
  <c r="L472" i="60"/>
  <c r="W473" i="60"/>
  <c r="W475" i="60"/>
  <c r="W477" i="60"/>
  <c r="T498" i="60"/>
  <c r="W500" i="60"/>
  <c r="T500" i="60"/>
  <c r="W499" i="60"/>
  <c r="T499" i="60"/>
  <c r="W498" i="60"/>
  <c r="T496" i="60"/>
  <c r="W495" i="60"/>
  <c r="T495" i="60"/>
  <c r="X500" i="60"/>
  <c r="W494" i="60"/>
  <c r="T494" i="60"/>
  <c r="K494" i="60"/>
  <c r="X493" i="60"/>
  <c r="T493" i="60"/>
  <c r="W492" i="60"/>
  <c r="T492" i="60"/>
  <c r="W491" i="60"/>
  <c r="T491" i="60"/>
  <c r="L491" i="60"/>
  <c r="H491" i="60"/>
  <c r="O490" i="60"/>
  <c r="P490" i="60" s="1"/>
  <c r="K490" i="60"/>
  <c r="G490" i="60"/>
  <c r="W497" i="60"/>
  <c r="T497" i="60"/>
  <c r="W496" i="60"/>
  <c r="X494" i="60"/>
  <c r="S494" i="60"/>
  <c r="L494" i="60"/>
  <c r="W493" i="60"/>
  <c r="K493" i="60"/>
  <c r="X492" i="60"/>
  <c r="S492" i="60"/>
  <c r="X491" i="60"/>
  <c r="S491" i="60"/>
  <c r="O491" i="60"/>
  <c r="P491" i="60" s="1"/>
  <c r="G491" i="60"/>
  <c r="S490" i="60"/>
  <c r="S493" i="60"/>
  <c r="K491" i="60"/>
  <c r="W490" i="60"/>
  <c r="S495" i="60"/>
  <c r="S496" i="60"/>
  <c r="X496" i="60"/>
  <c r="X497" i="60"/>
  <c r="X498" i="60"/>
  <c r="X499" i="60"/>
  <c r="S498" i="60"/>
  <c r="S500" i="60"/>
  <c r="X495" i="60"/>
  <c r="S497" i="60"/>
  <c r="S499" i="60"/>
  <c r="W456" i="60"/>
  <c r="T454" i="60"/>
  <c r="X450" i="60"/>
  <c r="S450" i="60"/>
  <c r="L450" i="60"/>
  <c r="W449" i="60"/>
  <c r="K449" i="60"/>
  <c r="X448" i="60"/>
  <c r="S448" i="60"/>
  <c r="X447" i="60"/>
  <c r="S447" i="60"/>
  <c r="L447" i="60"/>
  <c r="X446" i="60"/>
  <c r="L446" i="60"/>
  <c r="T452" i="60"/>
  <c r="S449" i="60"/>
  <c r="H447" i="60"/>
  <c r="G446" i="60"/>
  <c r="O446" i="60"/>
  <c r="P446" i="60" s="1"/>
  <c r="W446" i="60"/>
  <c r="K447" i="60"/>
  <c r="T447" i="60"/>
  <c r="T448" i="60"/>
  <c r="X449" i="60"/>
  <c r="T450" i="60"/>
  <c r="X456" i="60"/>
  <c r="W451" i="60"/>
  <c r="T453" i="60"/>
  <c r="W454" i="60"/>
  <c r="W455" i="60"/>
  <c r="X451" i="60"/>
  <c r="S453" i="60"/>
  <c r="S454" i="60"/>
  <c r="S455" i="60"/>
  <c r="S456" i="60"/>
  <c r="K446" i="60"/>
  <c r="G447" i="60"/>
  <c r="W447" i="60"/>
  <c r="T449" i="60"/>
  <c r="W450" i="60"/>
  <c r="W452" i="60"/>
  <c r="T455" i="60"/>
  <c r="S452" i="60"/>
  <c r="X453" i="60"/>
  <c r="X455" i="60"/>
  <c r="S446" i="60"/>
  <c r="O447" i="60"/>
  <c r="P447" i="60" s="1"/>
  <c r="W448" i="60"/>
  <c r="K450" i="60"/>
  <c r="T451" i="60"/>
  <c r="W453" i="60"/>
  <c r="T456" i="60"/>
  <c r="S451" i="60"/>
  <c r="X452" i="60"/>
  <c r="X454" i="60"/>
  <c r="W467" i="60"/>
  <c r="T463" i="60"/>
  <c r="W461" i="60"/>
  <c r="T461" i="60"/>
  <c r="K461" i="60"/>
  <c r="X460" i="60"/>
  <c r="L460" i="60"/>
  <c r="W459" i="60"/>
  <c r="T459" i="60"/>
  <c r="W458" i="60"/>
  <c r="T458" i="60"/>
  <c r="O458" i="60"/>
  <c r="P458" i="60" s="1"/>
  <c r="G458" i="60"/>
  <c r="S457" i="60"/>
  <c r="K457" i="60"/>
  <c r="T465" i="60"/>
  <c r="W462" i="60"/>
  <c r="T462" i="60"/>
  <c r="X467" i="60"/>
  <c r="T460" i="60"/>
  <c r="K458" i="60"/>
  <c r="W457" i="60"/>
  <c r="O457" i="60"/>
  <c r="P457" i="60" s="1"/>
  <c r="G457" i="60"/>
  <c r="L457" i="60"/>
  <c r="X457" i="60"/>
  <c r="L458" i="60"/>
  <c r="X458" i="60"/>
  <c r="X459" i="60"/>
  <c r="S460" i="60"/>
  <c r="L461" i="60"/>
  <c r="X461" i="60"/>
  <c r="T464" i="60"/>
  <c r="W465" i="60"/>
  <c r="W466" i="60"/>
  <c r="S462" i="60"/>
  <c r="S463" i="60"/>
  <c r="X463" i="60"/>
  <c r="X464" i="60"/>
  <c r="X466" i="60"/>
  <c r="H458" i="60"/>
  <c r="S459" i="60"/>
  <c r="W460" i="60"/>
  <c r="W463" i="60"/>
  <c r="T466" i="60"/>
  <c r="S465" i="60"/>
  <c r="S467" i="60"/>
  <c r="S458" i="60"/>
  <c r="K460" i="60"/>
  <c r="S461" i="60"/>
  <c r="W464" i="60"/>
  <c r="T467" i="60"/>
  <c r="X462" i="60"/>
  <c r="S464" i="60"/>
  <c r="S466" i="60"/>
  <c r="W489" i="60"/>
  <c r="T489" i="60"/>
  <c r="W488" i="60"/>
  <c r="T488" i="60"/>
  <c r="W487" i="60"/>
  <c r="W486" i="60"/>
  <c r="T486" i="60"/>
  <c r="W485" i="60"/>
  <c r="X483" i="60"/>
  <c r="S483" i="60"/>
  <c r="L483" i="60"/>
  <c r="W482" i="60"/>
  <c r="S482" i="60"/>
  <c r="K482" i="60"/>
  <c r="X481" i="60"/>
  <c r="S481" i="60"/>
  <c r="X480" i="60"/>
  <c r="T485" i="60"/>
  <c r="W483" i="60"/>
  <c r="T483" i="60"/>
  <c r="K483" i="60"/>
  <c r="L482" i="60"/>
  <c r="W481" i="60"/>
  <c r="T481" i="60"/>
  <c r="W480" i="60"/>
  <c r="T480" i="60"/>
  <c r="O480" i="60"/>
  <c r="P480" i="60" s="1"/>
  <c r="K480" i="60"/>
  <c r="G480" i="60"/>
  <c r="W479" i="60"/>
  <c r="S479" i="60"/>
  <c r="O479" i="60"/>
  <c r="P479" i="60" s="1"/>
  <c r="K479" i="60"/>
  <c r="G479" i="60"/>
  <c r="T487" i="60"/>
  <c r="W484" i="60"/>
  <c r="T484" i="60"/>
  <c r="X489" i="60"/>
  <c r="S480" i="60"/>
  <c r="L480" i="60"/>
  <c r="H480" i="60"/>
  <c r="L479" i="60"/>
  <c r="X484" i="60"/>
  <c r="S486" i="60"/>
  <c r="S487" i="60"/>
  <c r="S488" i="60"/>
  <c r="S489" i="60"/>
  <c r="S485" i="60"/>
  <c r="X486" i="60"/>
  <c r="X488" i="60"/>
  <c r="S484" i="60"/>
  <c r="X485" i="60"/>
  <c r="W533" i="57"/>
  <c r="X533" i="57" s="1"/>
  <c r="W530" i="57"/>
  <c r="X530" i="57" s="1"/>
  <c r="W527" i="57"/>
  <c r="X527" i="57" s="1"/>
  <c r="S527" i="57"/>
  <c r="T527" i="57" s="1"/>
  <c r="K527" i="57"/>
  <c r="W526" i="57"/>
  <c r="S523" i="57"/>
  <c r="W528" i="57"/>
  <c r="X528" i="57" s="1"/>
  <c r="K526" i="57"/>
  <c r="W525" i="57"/>
  <c r="X525" i="57" s="1"/>
  <c r="S525" i="57"/>
  <c r="W524" i="57"/>
  <c r="X524" i="57" s="1"/>
  <c r="S524" i="57"/>
  <c r="T524" i="57" s="1"/>
  <c r="G524" i="57"/>
  <c r="W532" i="57"/>
  <c r="X532" i="57" s="1"/>
  <c r="K523" i="57"/>
  <c r="O523" i="57"/>
  <c r="P523" i="57" s="1"/>
  <c r="O524" i="57"/>
  <c r="P524" i="57" s="1"/>
  <c r="S533" i="57"/>
  <c r="W531" i="57"/>
  <c r="S529" i="57"/>
  <c r="S530" i="57"/>
  <c r="S532" i="57"/>
  <c r="G523" i="57"/>
  <c r="W523" i="57"/>
  <c r="S526" i="57"/>
  <c r="W529" i="57"/>
  <c r="S528" i="57"/>
  <c r="S531" i="57"/>
  <c r="W544" i="57"/>
  <c r="X544" i="57" s="1"/>
  <c r="W542" i="57"/>
  <c r="W540" i="57"/>
  <c r="S544" i="57"/>
  <c r="S537" i="57"/>
  <c r="G535" i="57"/>
  <c r="K534" i="57"/>
  <c r="W543" i="57"/>
  <c r="X543" i="57" s="1"/>
  <c r="W539" i="57"/>
  <c r="X539" i="57" s="1"/>
  <c r="K537" i="57"/>
  <c r="W536" i="57"/>
  <c r="X536" i="57" s="1"/>
  <c r="S536" i="57"/>
  <c r="W535" i="57"/>
  <c r="X535" i="57" s="1"/>
  <c r="S535" i="57"/>
  <c r="T535" i="57" s="1"/>
  <c r="O535" i="57"/>
  <c r="P535" i="57" s="1"/>
  <c r="O534" i="57"/>
  <c r="P534" i="57" s="1"/>
  <c r="W541" i="57"/>
  <c r="X541" i="57" s="1"/>
  <c r="W538" i="57"/>
  <c r="X538" i="57" s="1"/>
  <c r="S538" i="57"/>
  <c r="T538" i="57" s="1"/>
  <c r="K538" i="57"/>
  <c r="W537" i="57"/>
  <c r="W534" i="57"/>
  <c r="G534" i="57"/>
  <c r="S539" i="57"/>
  <c r="S542" i="57"/>
  <c r="S540" i="57"/>
  <c r="S543" i="57"/>
  <c r="S541" i="57"/>
  <c r="W433" i="60"/>
  <c r="X433" i="60" s="1"/>
  <c r="W428" i="60"/>
  <c r="X428" i="60" s="1"/>
  <c r="W431" i="60"/>
  <c r="X431" i="60" s="1"/>
  <c r="S433" i="60"/>
  <c r="T433" i="60" s="1"/>
  <c r="S426" i="60"/>
  <c r="T426" i="60" s="1"/>
  <c r="S432" i="60"/>
  <c r="S429" i="60"/>
  <c r="T429" i="60" s="1"/>
  <c r="W424" i="60"/>
  <c r="K428" i="60"/>
  <c r="L428" i="60" s="1"/>
  <c r="O425" i="60"/>
  <c r="P425" i="60" s="1"/>
  <c r="K425" i="60"/>
  <c r="W434" i="60"/>
  <c r="X434" i="60" s="1"/>
  <c r="S431" i="60"/>
  <c r="T431" i="60" s="1"/>
  <c r="W426" i="60"/>
  <c r="X426" i="60" s="1"/>
  <c r="K427" i="60"/>
  <c r="L427" i="60" s="1"/>
  <c r="W432" i="60"/>
  <c r="K424" i="60"/>
  <c r="W429" i="60"/>
  <c r="X429" i="60" s="1"/>
  <c r="W425" i="60"/>
  <c r="X425" i="60" s="1"/>
  <c r="O424" i="60"/>
  <c r="P424" i="60" s="1"/>
  <c r="S427" i="60"/>
  <c r="S434" i="60"/>
  <c r="T434" i="60" s="1"/>
  <c r="S428" i="60"/>
  <c r="T428" i="60" s="1"/>
  <c r="W430" i="60"/>
  <c r="S425" i="60"/>
  <c r="T425" i="60" s="1"/>
  <c r="S430" i="60"/>
  <c r="G425" i="60"/>
  <c r="W434" i="57"/>
  <c r="X434" i="57" s="1"/>
  <c r="W433" i="57"/>
  <c r="X433" i="57" s="1"/>
  <c r="S431" i="57"/>
  <c r="S430" i="57"/>
  <c r="S427" i="57"/>
  <c r="W426" i="57"/>
  <c r="X426" i="57" s="1"/>
  <c r="W425" i="57"/>
  <c r="X425" i="57" s="1"/>
  <c r="O425" i="57"/>
  <c r="P425" i="57" s="1"/>
  <c r="G424" i="57"/>
  <c r="W432" i="57"/>
  <c r="W431" i="57"/>
  <c r="X431" i="57" s="1"/>
  <c r="S429" i="57"/>
  <c r="S428" i="57"/>
  <c r="T428" i="57" s="1"/>
  <c r="K425" i="57"/>
  <c r="W424" i="57"/>
  <c r="O424" i="57"/>
  <c r="P424" i="57" s="1"/>
  <c r="S434" i="57"/>
  <c r="W430" i="57"/>
  <c r="W429" i="57"/>
  <c r="X429" i="57" s="1"/>
  <c r="W427" i="57"/>
  <c r="K427" i="57"/>
  <c r="S426" i="57"/>
  <c r="S425" i="57"/>
  <c r="T425" i="57" s="1"/>
  <c r="K424" i="57"/>
  <c r="S433" i="57"/>
  <c r="S432" i="57"/>
  <c r="W428" i="57"/>
  <c r="X428" i="57" s="1"/>
  <c r="K428" i="57"/>
  <c r="G425" i="57"/>
  <c r="S424" i="57"/>
  <c r="W422" i="57"/>
  <c r="X422" i="57" s="1"/>
  <c r="O359" i="57"/>
  <c r="P359" i="57" s="1"/>
  <c r="O391" i="57"/>
  <c r="P391" i="57" s="1"/>
  <c r="S403" i="57"/>
  <c r="T403" i="57" s="1"/>
  <c r="W399" i="57"/>
  <c r="S356" i="57"/>
  <c r="W380" i="57"/>
  <c r="G359" i="57"/>
  <c r="W358" i="57"/>
  <c r="W405" i="57"/>
  <c r="S349" i="57"/>
  <c r="W355" i="57"/>
  <c r="G391" i="57"/>
  <c r="W362" i="57"/>
  <c r="X362" i="57" s="1"/>
  <c r="W365" i="57"/>
  <c r="X365" i="57" s="1"/>
  <c r="W408" i="57"/>
  <c r="W409" i="57"/>
  <c r="X409" i="57" s="1"/>
  <c r="K351" i="57"/>
  <c r="S396" i="57"/>
  <c r="S393" i="57"/>
  <c r="S363" i="57"/>
  <c r="W360" i="57"/>
  <c r="X360" i="57" s="1"/>
  <c r="S411" i="57"/>
  <c r="W347" i="57"/>
  <c r="S357" i="57"/>
  <c r="S395" i="57"/>
  <c r="T395" i="57" s="1"/>
  <c r="S401" i="57"/>
  <c r="O369" i="57"/>
  <c r="P369" i="57" s="1"/>
  <c r="W419" i="57"/>
  <c r="G381" i="57"/>
  <c r="W369" i="57"/>
  <c r="K369" i="57"/>
  <c r="S420" i="57"/>
  <c r="S381" i="57"/>
  <c r="T381" i="57" s="1"/>
  <c r="S388" i="57"/>
  <c r="S382" i="57"/>
  <c r="K384" i="57"/>
  <c r="S383" i="57"/>
  <c r="S377" i="57"/>
  <c r="W370" i="57"/>
  <c r="X370" i="57" s="1"/>
  <c r="W372" i="57"/>
  <c r="O370" i="57"/>
  <c r="P370" i="57" s="1"/>
  <c r="K413" i="57"/>
  <c r="W421" i="57"/>
  <c r="O413" i="57"/>
  <c r="P413" i="57" s="1"/>
  <c r="S389" i="57"/>
  <c r="W384" i="57"/>
  <c r="X384" i="57" s="1"/>
  <c r="W387" i="57"/>
  <c r="X387" i="57" s="1"/>
  <c r="S378" i="57"/>
  <c r="W371" i="57"/>
  <c r="X371" i="57" s="1"/>
  <c r="S373" i="57"/>
  <c r="T373" i="57" s="1"/>
  <c r="S379" i="57"/>
  <c r="S414" i="57"/>
  <c r="T414" i="57" s="1"/>
  <c r="W416" i="57"/>
  <c r="O414" i="57"/>
  <c r="P414" i="57" s="1"/>
  <c r="S386" i="57"/>
  <c r="W388" i="57"/>
  <c r="W390" i="57"/>
  <c r="X390" i="57" s="1"/>
  <c r="S375" i="57"/>
  <c r="W374" i="57"/>
  <c r="X374" i="57" s="1"/>
  <c r="W375" i="57"/>
  <c r="W378" i="57"/>
  <c r="X378" i="57" s="1"/>
  <c r="S418" i="57"/>
  <c r="S415" i="57"/>
  <c r="S417" i="57"/>
  <c r="T417" i="57" s="1"/>
  <c r="S423" i="57"/>
  <c r="S367" i="57"/>
  <c r="W361" i="57"/>
  <c r="W364" i="57"/>
  <c r="S359" i="57"/>
  <c r="T359" i="57" s="1"/>
  <c r="K359" i="57"/>
  <c r="W367" i="57"/>
  <c r="X367" i="57" s="1"/>
  <c r="S387" i="57"/>
  <c r="W381" i="57"/>
  <c r="X381" i="57" s="1"/>
  <c r="W385" i="57"/>
  <c r="X385" i="57" s="1"/>
  <c r="W383" i="57"/>
  <c r="W386" i="57"/>
  <c r="K381" i="57"/>
  <c r="W389" i="57"/>
  <c r="X389" i="57" s="1"/>
  <c r="S409" i="57"/>
  <c r="K406" i="57"/>
  <c r="W412" i="57"/>
  <c r="X412" i="57" s="1"/>
  <c r="W403" i="57"/>
  <c r="X403" i="57" s="1"/>
  <c r="W407" i="57"/>
  <c r="X407" i="57" s="1"/>
  <c r="K403" i="57"/>
  <c r="W411" i="57"/>
  <c r="X411" i="57" s="1"/>
  <c r="S354" i="57"/>
  <c r="K348" i="57"/>
  <c r="W349" i="57"/>
  <c r="X349" i="57" s="1"/>
  <c r="S351" i="57"/>
  <c r="T351" i="57" s="1"/>
  <c r="G348" i="57"/>
  <c r="W354" i="57"/>
  <c r="X354" i="57" s="1"/>
  <c r="W357" i="57"/>
  <c r="X357" i="57" s="1"/>
  <c r="S376" i="57"/>
  <c r="K370" i="57"/>
  <c r="W373" i="57"/>
  <c r="X373" i="57" s="1"/>
  <c r="G370" i="57"/>
  <c r="W376" i="57"/>
  <c r="X376" i="57" s="1"/>
  <c r="S400" i="57"/>
  <c r="K392" i="57"/>
  <c r="W395" i="57"/>
  <c r="X395" i="57" s="1"/>
  <c r="W391" i="57"/>
  <c r="W393" i="57"/>
  <c r="X393" i="57" s="1"/>
  <c r="G392" i="57"/>
  <c r="W398" i="57"/>
  <c r="X398" i="57" s="1"/>
  <c r="S422" i="57"/>
  <c r="W413" i="57"/>
  <c r="W415" i="57"/>
  <c r="X415" i="57" s="1"/>
  <c r="K414" i="57"/>
  <c r="W417" i="57"/>
  <c r="X417" i="57" s="1"/>
  <c r="G414" i="57"/>
  <c r="W420" i="57"/>
  <c r="X420" i="57" s="1"/>
  <c r="B253" i="60"/>
  <c r="S365" i="57"/>
  <c r="K362" i="57"/>
  <c r="W368" i="57"/>
  <c r="X368" i="57" s="1"/>
  <c r="W359" i="57"/>
  <c r="X359" i="57" s="1"/>
  <c r="W363" i="57"/>
  <c r="X363" i="57" s="1"/>
  <c r="S361" i="57"/>
  <c r="S410" i="57"/>
  <c r="S408" i="57"/>
  <c r="S406" i="57"/>
  <c r="T406" i="57" s="1"/>
  <c r="S404" i="57"/>
  <c r="S405" i="57"/>
  <c r="S355" i="57"/>
  <c r="S353" i="57"/>
  <c r="S348" i="57"/>
  <c r="T348" i="57" s="1"/>
  <c r="W351" i="57"/>
  <c r="X351" i="57" s="1"/>
  <c r="O348" i="57"/>
  <c r="P348" i="57" s="1"/>
  <c r="W352" i="57"/>
  <c r="X352" i="57" s="1"/>
  <c r="S398" i="57"/>
  <c r="W394" i="57"/>
  <c r="W397" i="57"/>
  <c r="S392" i="57"/>
  <c r="T392" i="57" s="1"/>
  <c r="O392" i="57"/>
  <c r="P392" i="57" s="1"/>
  <c r="W400" i="57"/>
  <c r="X400" i="57" s="1"/>
  <c r="S366" i="57"/>
  <c r="S364" i="57"/>
  <c r="S362" i="57"/>
  <c r="T362" i="57" s="1"/>
  <c r="O358" i="57"/>
  <c r="P358" i="57" s="1"/>
  <c r="S360" i="57"/>
  <c r="W366" i="57"/>
  <c r="S385" i="57"/>
  <c r="O381" i="57"/>
  <c r="P381" i="57" s="1"/>
  <c r="W382" i="57"/>
  <c r="X382" i="57" s="1"/>
  <c r="K380" i="57"/>
  <c r="S384" i="57"/>
  <c r="T384" i="57" s="1"/>
  <c r="O380" i="57"/>
  <c r="P380" i="57" s="1"/>
  <c r="S407" i="57"/>
  <c r="G403" i="57"/>
  <c r="W406" i="57"/>
  <c r="X406" i="57" s="1"/>
  <c r="O403" i="57"/>
  <c r="P403" i="57" s="1"/>
  <c r="W404" i="57"/>
  <c r="X404" i="57" s="1"/>
  <c r="O402" i="57"/>
  <c r="P402" i="57" s="1"/>
  <c r="S352" i="57"/>
  <c r="O347" i="57"/>
  <c r="P347" i="57" s="1"/>
  <c r="W348" i="57"/>
  <c r="X348" i="57" s="1"/>
  <c r="W350" i="57"/>
  <c r="W356" i="57"/>
  <c r="X356" i="57" s="1"/>
  <c r="S350" i="57"/>
  <c r="S374" i="57"/>
  <c r="G369" i="57"/>
  <c r="S371" i="57"/>
  <c r="K373" i="57"/>
  <c r="W379" i="57"/>
  <c r="X379" i="57" s="1"/>
  <c r="S399" i="57"/>
  <c r="S397" i="57"/>
  <c r="K395" i="57"/>
  <c r="W401" i="57"/>
  <c r="X401" i="57" s="1"/>
  <c r="W392" i="57"/>
  <c r="X392" i="57" s="1"/>
  <c r="W396" i="57"/>
  <c r="X396" i="57" s="1"/>
  <c r="S421" i="57"/>
  <c r="S419" i="57"/>
  <c r="W414" i="57"/>
  <c r="X414" i="57" s="1"/>
  <c r="W418" i="57"/>
  <c r="X418" i="57" s="1"/>
  <c r="K417" i="57"/>
  <c r="W423" i="57"/>
  <c r="X423" i="57" s="1"/>
  <c r="W399" i="59"/>
  <c r="W396" i="59"/>
  <c r="X396" i="59" s="1"/>
  <c r="W395" i="59"/>
  <c r="X395" i="59" s="1"/>
  <c r="S395" i="59"/>
  <c r="T395" i="59" s="1"/>
  <c r="K395" i="59"/>
  <c r="L395" i="59" s="1"/>
  <c r="S394" i="59"/>
  <c r="W393" i="59"/>
  <c r="X393" i="59" s="1"/>
  <c r="S393" i="59"/>
  <c r="T393" i="59" s="1"/>
  <c r="W392" i="59"/>
  <c r="X392" i="59" s="1"/>
  <c r="S392" i="59"/>
  <c r="T392" i="59" s="1"/>
  <c r="O392" i="59"/>
  <c r="P392" i="59" s="1"/>
  <c r="G392" i="59"/>
  <c r="K391" i="59"/>
  <c r="W401" i="59"/>
  <c r="X401" i="59" s="1"/>
  <c r="S401" i="59"/>
  <c r="T401" i="59" s="1"/>
  <c r="W391" i="59"/>
  <c r="W397" i="59"/>
  <c r="W394" i="59"/>
  <c r="K392" i="59"/>
  <c r="O391" i="59"/>
  <c r="P391" i="59" s="1"/>
  <c r="W398" i="59"/>
  <c r="X398" i="59" s="1"/>
  <c r="S396" i="59"/>
  <c r="T396" i="59" s="1"/>
  <c r="S398" i="59"/>
  <c r="T398" i="59" s="1"/>
  <c r="S400" i="59"/>
  <c r="T400" i="59" s="1"/>
  <c r="W400" i="59"/>
  <c r="X400" i="59" s="1"/>
  <c r="S397" i="59"/>
  <c r="S399" i="59"/>
  <c r="W423" i="59"/>
  <c r="X423" i="59" s="1"/>
  <c r="W419" i="59"/>
  <c r="S423" i="59"/>
  <c r="T423" i="59" s="1"/>
  <c r="W416" i="59"/>
  <c r="O414" i="59"/>
  <c r="P414" i="59" s="1"/>
  <c r="G414" i="59"/>
  <c r="O413" i="59"/>
  <c r="P413" i="59" s="1"/>
  <c r="W421" i="59"/>
  <c r="W417" i="59"/>
  <c r="X417" i="59" s="1"/>
  <c r="S417" i="59"/>
  <c r="T417" i="59" s="1"/>
  <c r="K417" i="59"/>
  <c r="L417" i="59" s="1"/>
  <c r="W415" i="59"/>
  <c r="X415" i="59" s="1"/>
  <c r="S415" i="59"/>
  <c r="T415" i="59" s="1"/>
  <c r="W414" i="59"/>
  <c r="X414" i="59" s="1"/>
  <c r="S414" i="59"/>
  <c r="T414" i="59" s="1"/>
  <c r="W413" i="59"/>
  <c r="K413" i="59"/>
  <c r="W418" i="59"/>
  <c r="X418" i="59" s="1"/>
  <c r="S416" i="59"/>
  <c r="K414" i="59"/>
  <c r="W422" i="59"/>
  <c r="X422" i="59" s="1"/>
  <c r="S419" i="59"/>
  <c r="S421" i="59"/>
  <c r="W420" i="59"/>
  <c r="X420" i="59" s="1"/>
  <c r="S418" i="59"/>
  <c r="T418" i="59" s="1"/>
  <c r="S422" i="59"/>
  <c r="T422" i="59" s="1"/>
  <c r="S420" i="59"/>
  <c r="T420" i="59" s="1"/>
  <c r="O435" i="59"/>
  <c r="P435" i="59" s="1"/>
  <c r="W444" i="59"/>
  <c r="X444" i="59" s="1"/>
  <c r="G436" i="59"/>
  <c r="W438" i="59"/>
  <c r="S445" i="59"/>
  <c r="T445" i="59" s="1"/>
  <c r="W440" i="59"/>
  <c r="X440" i="59" s="1"/>
  <c r="S439" i="59"/>
  <c r="T439" i="59" s="1"/>
  <c r="S438" i="59"/>
  <c r="S437" i="59"/>
  <c r="T437" i="59" s="1"/>
  <c r="S436" i="59"/>
  <c r="T436" i="59" s="1"/>
  <c r="W442" i="59"/>
  <c r="X442" i="59" s="1"/>
  <c r="S440" i="59"/>
  <c r="T440" i="59" s="1"/>
  <c r="S443" i="59"/>
  <c r="W441" i="59"/>
  <c r="K439" i="59"/>
  <c r="L439" i="59" s="1"/>
  <c r="W436" i="59"/>
  <c r="X436" i="59" s="1"/>
  <c r="K435" i="59"/>
  <c r="S441" i="59"/>
  <c r="S444" i="59"/>
  <c r="T444" i="59" s="1"/>
  <c r="O436" i="59"/>
  <c r="P436" i="59" s="1"/>
  <c r="W445" i="59"/>
  <c r="X445" i="59" s="1"/>
  <c r="W439" i="59"/>
  <c r="X439" i="59" s="1"/>
  <c r="W437" i="59"/>
  <c r="X437" i="59" s="1"/>
  <c r="K436" i="59"/>
  <c r="S442" i="59"/>
  <c r="T442" i="59" s="1"/>
  <c r="S500" i="59"/>
  <c r="T500" i="59" s="1"/>
  <c r="G491" i="59"/>
  <c r="O490" i="59"/>
  <c r="P490" i="59" s="1"/>
  <c r="W493" i="59"/>
  <c r="W499" i="59"/>
  <c r="X499" i="59" s="1"/>
  <c r="W490" i="59"/>
  <c r="S491" i="59"/>
  <c r="T491" i="59" s="1"/>
  <c r="S492" i="59"/>
  <c r="T492" i="59" s="1"/>
  <c r="K494" i="59"/>
  <c r="L494" i="59" s="1"/>
  <c r="W494" i="59"/>
  <c r="X494" i="59" s="1"/>
  <c r="W496" i="59"/>
  <c r="S495" i="59"/>
  <c r="T495" i="59" s="1"/>
  <c r="S497" i="59"/>
  <c r="T497" i="59" s="1"/>
  <c r="S499" i="59"/>
  <c r="T499" i="59" s="1"/>
  <c r="W497" i="59"/>
  <c r="X497" i="59" s="1"/>
  <c r="W491" i="59"/>
  <c r="X491" i="59" s="1"/>
  <c r="S493" i="59"/>
  <c r="W495" i="59"/>
  <c r="X495" i="59" s="1"/>
  <c r="W500" i="59"/>
  <c r="X500" i="59" s="1"/>
  <c r="S496" i="59"/>
  <c r="O491" i="59"/>
  <c r="P491" i="59" s="1"/>
  <c r="K491" i="59"/>
  <c r="W492" i="59"/>
  <c r="X492" i="59" s="1"/>
  <c r="S494" i="59"/>
  <c r="T494" i="59" s="1"/>
  <c r="W498" i="59"/>
  <c r="S498" i="59"/>
  <c r="W380" i="59"/>
  <c r="W382" i="59"/>
  <c r="X382" i="59" s="1"/>
  <c r="K384" i="59"/>
  <c r="L384" i="59" s="1"/>
  <c r="W381" i="59"/>
  <c r="X381" i="59" s="1"/>
  <c r="O380" i="59"/>
  <c r="P380" i="59" s="1"/>
  <c r="W383" i="59"/>
  <c r="S385" i="59"/>
  <c r="T385" i="59" s="1"/>
  <c r="S387" i="59"/>
  <c r="T387" i="59" s="1"/>
  <c r="S389" i="59"/>
  <c r="T389" i="59" s="1"/>
  <c r="G380" i="59"/>
  <c r="G381" i="59"/>
  <c r="S382" i="59"/>
  <c r="T382" i="59" s="1"/>
  <c r="S384" i="59"/>
  <c r="T384" i="59" s="1"/>
  <c r="W386" i="59"/>
  <c r="W388" i="59"/>
  <c r="W390" i="59"/>
  <c r="X390" i="59" s="1"/>
  <c r="K381" i="59"/>
  <c r="S386" i="59"/>
  <c r="S390" i="59"/>
  <c r="T390" i="59" s="1"/>
  <c r="S383" i="59"/>
  <c r="W387" i="59"/>
  <c r="X387" i="59" s="1"/>
  <c r="O381" i="59"/>
  <c r="P381" i="59" s="1"/>
  <c r="W384" i="59"/>
  <c r="X384" i="59" s="1"/>
  <c r="S388" i="59"/>
  <c r="S381" i="59"/>
  <c r="T381" i="59" s="1"/>
  <c r="W385" i="59"/>
  <c r="X385" i="59" s="1"/>
  <c r="W389" i="59"/>
  <c r="X389" i="59" s="1"/>
  <c r="W404" i="59"/>
  <c r="X404" i="59" s="1"/>
  <c r="W405" i="59"/>
  <c r="S412" i="59"/>
  <c r="T412" i="59" s="1"/>
  <c r="O403" i="59"/>
  <c r="P403" i="59" s="1"/>
  <c r="W403" i="59"/>
  <c r="X403" i="59" s="1"/>
  <c r="K402" i="59"/>
  <c r="K403" i="59"/>
  <c r="K406" i="59"/>
  <c r="L406" i="59" s="1"/>
  <c r="S410" i="59"/>
  <c r="W411" i="59"/>
  <c r="X411" i="59" s="1"/>
  <c r="W409" i="59"/>
  <c r="X409" i="59" s="1"/>
  <c r="W407" i="59"/>
  <c r="X407" i="59" s="1"/>
  <c r="S405" i="59"/>
  <c r="S408" i="59"/>
  <c r="W406" i="59"/>
  <c r="X406" i="59" s="1"/>
  <c r="S406" i="59"/>
  <c r="T406" i="59" s="1"/>
  <c r="G403" i="59"/>
  <c r="S407" i="59"/>
  <c r="T407" i="59" s="1"/>
  <c r="O402" i="59"/>
  <c r="P402" i="59" s="1"/>
  <c r="W402" i="59"/>
  <c r="S411" i="59"/>
  <c r="T411" i="59" s="1"/>
  <c r="W412" i="59"/>
  <c r="X412" i="59" s="1"/>
  <c r="W408" i="59"/>
  <c r="S404" i="59"/>
  <c r="T404" i="59" s="1"/>
  <c r="G402" i="59"/>
  <c r="S409" i="59"/>
  <c r="T409" i="59" s="1"/>
  <c r="S434" i="59"/>
  <c r="T434" i="59" s="1"/>
  <c r="W427" i="59"/>
  <c r="O425" i="59"/>
  <c r="P425" i="59" s="1"/>
  <c r="G424" i="59"/>
  <c r="O424" i="59"/>
  <c r="P424" i="59" s="1"/>
  <c r="G425" i="59"/>
  <c r="K425" i="59"/>
  <c r="W425" i="59"/>
  <c r="X425" i="59" s="1"/>
  <c r="W426" i="59"/>
  <c r="X426" i="59" s="1"/>
  <c r="K428" i="59"/>
  <c r="L428" i="59" s="1"/>
  <c r="W428" i="59"/>
  <c r="X428" i="59" s="1"/>
  <c r="W430" i="59"/>
  <c r="W434" i="59"/>
  <c r="X434" i="59" s="1"/>
  <c r="W431" i="59"/>
  <c r="X431" i="59" s="1"/>
  <c r="S429" i="59"/>
  <c r="T429" i="59" s="1"/>
  <c r="S432" i="59"/>
  <c r="S425" i="59"/>
  <c r="T425" i="59" s="1"/>
  <c r="S427" i="59"/>
  <c r="W432" i="59"/>
  <c r="S431" i="59"/>
  <c r="T431" i="59" s="1"/>
  <c r="W424" i="59"/>
  <c r="S426" i="59"/>
  <c r="T426" i="59" s="1"/>
  <c r="S428" i="59"/>
  <c r="T428" i="59" s="1"/>
  <c r="W429" i="59"/>
  <c r="X429" i="59" s="1"/>
  <c r="W433" i="59"/>
  <c r="X433" i="59" s="1"/>
  <c r="S430" i="59"/>
  <c r="S433" i="59"/>
  <c r="T433" i="59" s="1"/>
  <c r="W455" i="59"/>
  <c r="X455" i="59" s="1"/>
  <c r="W449" i="59"/>
  <c r="O447" i="59"/>
  <c r="P447" i="59" s="1"/>
  <c r="G446" i="59"/>
  <c r="S456" i="59"/>
  <c r="T456" i="59" s="1"/>
  <c r="G447" i="59"/>
  <c r="W456" i="59"/>
  <c r="X456" i="59" s="1"/>
  <c r="W453" i="59"/>
  <c r="X453" i="59" s="1"/>
  <c r="O446" i="59"/>
  <c r="P446" i="59" s="1"/>
  <c r="W446" i="59"/>
  <c r="S447" i="59"/>
  <c r="T447" i="59" s="1"/>
  <c r="S448" i="59"/>
  <c r="T448" i="59" s="1"/>
  <c r="K450" i="59"/>
  <c r="L450" i="59" s="1"/>
  <c r="W450" i="59"/>
  <c r="X450" i="59" s="1"/>
  <c r="W452" i="59"/>
  <c r="W454" i="59"/>
  <c r="S452" i="59"/>
  <c r="S453" i="59"/>
  <c r="T453" i="59" s="1"/>
  <c r="S455" i="59"/>
  <c r="T455" i="59" s="1"/>
  <c r="K446" i="59"/>
  <c r="W447" i="59"/>
  <c r="X447" i="59" s="1"/>
  <c r="S449" i="59"/>
  <c r="W451" i="59"/>
  <c r="X451" i="59" s="1"/>
  <c r="K447" i="59"/>
  <c r="W448" i="59"/>
  <c r="X448" i="59" s="1"/>
  <c r="S450" i="59"/>
  <c r="T450" i="59" s="1"/>
  <c r="S451" i="59"/>
  <c r="T451" i="59" s="1"/>
  <c r="S454" i="59"/>
  <c r="L417" i="57" l="1"/>
  <c r="L395" i="57"/>
  <c r="L373" i="57"/>
  <c r="T409" i="57"/>
  <c r="T415" i="57"/>
  <c r="T379" i="57"/>
  <c r="T382" i="57"/>
  <c r="T393" i="57"/>
  <c r="T426" i="57"/>
  <c r="T532" i="57"/>
  <c r="T533" i="57"/>
  <c r="T525" i="57"/>
  <c r="L438" i="57"/>
  <c r="T440" i="57"/>
  <c r="L461" i="57"/>
  <c r="T442" i="57"/>
  <c r="L472" i="57"/>
  <c r="T477" i="57"/>
  <c r="T499" i="57"/>
  <c r="T475" i="57"/>
  <c r="T519" i="57"/>
  <c r="T514" i="57"/>
  <c r="T371" i="57"/>
  <c r="T352" i="57"/>
  <c r="T385" i="57"/>
  <c r="T398" i="57"/>
  <c r="T404" i="57"/>
  <c r="L362" i="57"/>
  <c r="T400" i="57"/>
  <c r="T354" i="57"/>
  <c r="T367" i="57"/>
  <c r="T418" i="57"/>
  <c r="T401" i="57"/>
  <c r="T411" i="57"/>
  <c r="T396" i="57"/>
  <c r="T349" i="57"/>
  <c r="T433" i="57"/>
  <c r="L427" i="57"/>
  <c r="T434" i="57"/>
  <c r="T541" i="57"/>
  <c r="T539" i="57"/>
  <c r="L538" i="57"/>
  <c r="T536" i="57"/>
  <c r="T530" i="57"/>
  <c r="T437" i="57"/>
  <c r="T466" i="57"/>
  <c r="T467" i="57"/>
  <c r="T495" i="57"/>
  <c r="T497" i="57"/>
  <c r="L493" i="57"/>
  <c r="T473" i="57"/>
  <c r="L482" i="57"/>
  <c r="L450" i="57"/>
  <c r="T488" i="57"/>
  <c r="T453" i="57"/>
  <c r="T510" i="57"/>
  <c r="L516" i="57"/>
  <c r="T365" i="57"/>
  <c r="T422" i="57"/>
  <c r="T376" i="57"/>
  <c r="T423" i="57"/>
  <c r="T389" i="57"/>
  <c r="L351" i="57"/>
  <c r="T356" i="57"/>
  <c r="L428" i="57"/>
  <c r="T429" i="57"/>
  <c r="T543" i="57"/>
  <c r="T544" i="57"/>
  <c r="L526" i="57"/>
  <c r="L527" i="57"/>
  <c r="L439" i="57"/>
  <c r="T464" i="57"/>
  <c r="L494" i="57"/>
  <c r="T455" i="57"/>
  <c r="L471" i="57"/>
  <c r="T492" i="57"/>
  <c r="T484" i="57"/>
  <c r="T489" i="57"/>
  <c r="T444" i="57"/>
  <c r="T506" i="57"/>
  <c r="L515" i="57"/>
  <c r="T517" i="57"/>
  <c r="T521" i="57"/>
  <c r="T374" i="57"/>
  <c r="T407" i="57"/>
  <c r="T360" i="57"/>
  <c r="L406" i="57"/>
  <c r="T387" i="57"/>
  <c r="T378" i="57"/>
  <c r="L384" i="57"/>
  <c r="T420" i="57"/>
  <c r="T357" i="57"/>
  <c r="T363" i="57"/>
  <c r="T431" i="57"/>
  <c r="L537" i="57"/>
  <c r="T528" i="57"/>
  <c r="T445" i="57"/>
  <c r="T456" i="57"/>
  <c r="L449" i="57"/>
  <c r="T459" i="57"/>
  <c r="L460" i="57"/>
  <c r="T462" i="57"/>
  <c r="T470" i="57"/>
  <c r="T451" i="57"/>
  <c r="T486" i="57"/>
  <c r="T448" i="57"/>
  <c r="T481" i="57"/>
  <c r="T503" i="57"/>
  <c r="L483" i="57"/>
  <c r="Y248" i="59"/>
  <c r="AC254" i="59" s="1"/>
  <c r="Y468" i="57"/>
  <c r="AC473" i="57" s="1"/>
  <c r="Y479" i="57"/>
  <c r="AC484" i="57" s="1"/>
  <c r="Y435" i="57"/>
  <c r="AC440" i="57" s="1"/>
  <c r="Y523" i="57"/>
  <c r="AC528" i="57" s="1"/>
  <c r="Y479" i="60"/>
  <c r="AC484" i="60" s="1"/>
  <c r="Y457" i="60"/>
  <c r="AC462" i="60" s="1"/>
  <c r="Y446" i="60"/>
  <c r="AC452" i="60" s="1"/>
  <c r="Y490" i="60"/>
  <c r="AC496" i="60" s="1"/>
  <c r="Y468" i="60"/>
  <c r="AC474" i="60" s="1"/>
  <c r="Y424" i="57"/>
  <c r="AC429" i="57" s="1"/>
  <c r="W258" i="60"/>
  <c r="X258" i="60" s="1"/>
  <c r="S258" i="60"/>
  <c r="T258" i="60" s="1"/>
  <c r="W257" i="60"/>
  <c r="X257" i="60" s="1"/>
  <c r="S257" i="60"/>
  <c r="T257" i="60" s="1"/>
  <c r="W256" i="60"/>
  <c r="S256" i="60"/>
  <c r="W255" i="60"/>
  <c r="X255" i="60" s="1"/>
  <c r="S255" i="60"/>
  <c r="T255" i="60" s="1"/>
  <c r="W254" i="60"/>
  <c r="S254" i="60"/>
  <c r="W253" i="60"/>
  <c r="X253" i="60" s="1"/>
  <c r="S253" i="60"/>
  <c r="T253" i="60" s="1"/>
  <c r="W252" i="60"/>
  <c r="X252" i="60" s="1"/>
  <c r="S252" i="60"/>
  <c r="T252" i="60" s="1"/>
  <c r="K252" i="60"/>
  <c r="L252" i="60" s="1"/>
  <c r="W250" i="60"/>
  <c r="X250" i="60" s="1"/>
  <c r="S250" i="60"/>
  <c r="T250" i="60" s="1"/>
  <c r="W249" i="60"/>
  <c r="X249" i="60" s="1"/>
  <c r="S249" i="60"/>
  <c r="T249" i="60" s="1"/>
  <c r="O249" i="60"/>
  <c r="P249" i="60" s="1"/>
  <c r="K248" i="60"/>
  <c r="G248" i="60"/>
  <c r="S251" i="60"/>
  <c r="K249" i="60"/>
  <c r="O248" i="60"/>
  <c r="P248" i="60" s="1"/>
  <c r="W251" i="60"/>
  <c r="K251" i="60"/>
  <c r="L251" i="60" s="1"/>
  <c r="G249" i="60"/>
  <c r="W248" i="60"/>
  <c r="G424" i="60"/>
  <c r="K413" i="60"/>
  <c r="S370" i="60"/>
  <c r="T370" i="60" s="1"/>
  <c r="W410" i="60"/>
  <c r="K347" i="60"/>
  <c r="S380" i="60"/>
  <c r="W377" i="60"/>
  <c r="S424" i="60"/>
  <c r="S248" i="60"/>
  <c r="S402" i="60" l="1"/>
  <c r="K361" i="60"/>
  <c r="L361" i="60" s="1"/>
  <c r="S347" i="60"/>
  <c r="S391" i="60"/>
  <c r="Y391" i="60" l="1"/>
  <c r="AC397" i="60" s="1"/>
  <c r="U258" i="57"/>
  <c r="Q258" i="57"/>
  <c r="U257" i="57"/>
  <c r="Q257" i="57"/>
  <c r="U255" i="57"/>
  <c r="Q255" i="57"/>
  <c r="U253" i="57"/>
  <c r="Q253" i="57"/>
  <c r="U252" i="57"/>
  <c r="Q252" i="57"/>
  <c r="I252" i="57"/>
  <c r="I251" i="57"/>
  <c r="U250" i="57"/>
  <c r="Q250" i="57"/>
  <c r="U249" i="57"/>
  <c r="Q249" i="57"/>
  <c r="A2" i="26" l="1"/>
  <c r="A3" i="26" s="1"/>
  <c r="A4" i="26" l="1"/>
  <c r="A5" i="26" s="1"/>
  <c r="A6" i="26" s="1"/>
  <c r="A7" i="26" s="1"/>
  <c r="A8" i="26" s="1"/>
  <c r="A9" i="26" s="1"/>
  <c r="A10" i="26" s="1"/>
  <c r="A11" i="26" s="1"/>
  <c r="A12" i="26" s="1"/>
  <c r="A13" i="26" s="1"/>
  <c r="A14" i="26" s="1"/>
  <c r="A15" i="26" s="1"/>
  <c r="A16" i="26" s="1"/>
  <c r="A17" i="26" s="1"/>
  <c r="A18" i="26" s="1"/>
  <c r="A19" i="26" s="1"/>
  <c r="A20" i="26" s="1"/>
  <c r="A21" i="26" s="1"/>
  <c r="A22" i="26" s="1"/>
  <c r="A23" i="26" s="1"/>
  <c r="A24" i="26" s="1"/>
  <c r="A25" i="26" s="1"/>
  <c r="A26" i="26" s="1"/>
  <c r="A27" i="26" s="1"/>
  <c r="A28" i="26" s="1"/>
  <c r="A29" i="26" s="1"/>
  <c r="A30" i="26" s="1"/>
  <c r="A31" i="26" s="1"/>
  <c r="A32" i="26" s="1"/>
  <c r="A33" i="26" s="1"/>
  <c r="A34" i="26" s="1"/>
  <c r="G36" i="66"/>
  <c r="J5" i="66"/>
  <c r="P3" i="66"/>
  <c r="G28" i="65"/>
  <c r="J5" i="65"/>
  <c r="P3" i="65"/>
  <c r="A35" i="26" l="1"/>
  <c r="O7" i="65"/>
  <c r="A36" i="26" l="1"/>
  <c r="A37" i="26" l="1"/>
  <c r="G33" i="64"/>
  <c r="J5" i="64"/>
  <c r="Q3" i="64"/>
  <c r="A38" i="26" l="1"/>
  <c r="G36" i="63"/>
  <c r="J5" i="63"/>
  <c r="P3" i="63"/>
  <c r="G36" i="62"/>
  <c r="J5" i="62"/>
  <c r="P3" i="62"/>
  <c r="G36" i="61"/>
  <c r="J5" i="61"/>
  <c r="P3" i="61"/>
  <c r="G29" i="38"/>
  <c r="G36" i="25"/>
  <c r="G33" i="40"/>
  <c r="Q2" i="57"/>
  <c r="Q2" i="60"/>
  <c r="Q2" i="59"/>
  <c r="A39" i="26" l="1"/>
  <c r="J5" i="38"/>
  <c r="J5" i="40"/>
  <c r="J5" i="25"/>
  <c r="A40" i="26" l="1"/>
  <c r="A41" i="26" l="1"/>
  <c r="L107" i="59"/>
  <c r="L110" i="59"/>
  <c r="L111" i="59"/>
  <c r="L112" i="59"/>
  <c r="L113" i="59"/>
  <c r="L114" i="59"/>
  <c r="L115" i="59"/>
  <c r="L118" i="59"/>
  <c r="L121" i="59"/>
  <c r="L122" i="59"/>
  <c r="L123" i="59"/>
  <c r="L124" i="59"/>
  <c r="L125" i="59"/>
  <c r="L126" i="59"/>
  <c r="L129" i="59"/>
  <c r="L132" i="59"/>
  <c r="L133" i="59"/>
  <c r="L134" i="59"/>
  <c r="L135" i="59"/>
  <c r="L136" i="59"/>
  <c r="L137" i="59"/>
  <c r="L140" i="59"/>
  <c r="L143" i="59"/>
  <c r="L144" i="59"/>
  <c r="L145" i="59"/>
  <c r="L146" i="59"/>
  <c r="L147" i="59"/>
  <c r="L148" i="59"/>
  <c r="L151" i="59"/>
  <c r="L154" i="59"/>
  <c r="L155" i="59"/>
  <c r="L156" i="59"/>
  <c r="L157" i="59"/>
  <c r="L158" i="59"/>
  <c r="L159" i="59"/>
  <c r="L162" i="59"/>
  <c r="L165" i="59"/>
  <c r="L166" i="59"/>
  <c r="L167" i="59"/>
  <c r="L168" i="59"/>
  <c r="L169" i="59"/>
  <c r="L170" i="59"/>
  <c r="L173" i="59"/>
  <c r="L176" i="59"/>
  <c r="L177" i="59"/>
  <c r="L178" i="59"/>
  <c r="L179" i="59"/>
  <c r="L180" i="59"/>
  <c r="L181" i="59"/>
  <c r="L184" i="59"/>
  <c r="L187" i="59"/>
  <c r="L188" i="59"/>
  <c r="L189" i="59"/>
  <c r="L190" i="59"/>
  <c r="L191" i="59"/>
  <c r="L192" i="59"/>
  <c r="L195" i="59"/>
  <c r="L198" i="59"/>
  <c r="L199" i="59"/>
  <c r="L200" i="59"/>
  <c r="L201" i="59"/>
  <c r="L202" i="59"/>
  <c r="L203" i="59"/>
  <c r="L206" i="59"/>
  <c r="L209" i="59"/>
  <c r="L210" i="59"/>
  <c r="L211" i="59"/>
  <c r="L212" i="59"/>
  <c r="L213" i="59"/>
  <c r="L214" i="59"/>
  <c r="L217" i="59"/>
  <c r="L220" i="59"/>
  <c r="L221" i="59"/>
  <c r="L222" i="59"/>
  <c r="L223" i="59"/>
  <c r="L224" i="59"/>
  <c r="L225" i="59"/>
  <c r="L228" i="59"/>
  <c r="L231" i="59"/>
  <c r="L232" i="59"/>
  <c r="L233" i="59"/>
  <c r="L234" i="59"/>
  <c r="L235" i="59"/>
  <c r="L236" i="59"/>
  <c r="L503" i="59"/>
  <c r="L506" i="59"/>
  <c r="L507" i="59"/>
  <c r="L508" i="59"/>
  <c r="L509" i="59"/>
  <c r="L510" i="59"/>
  <c r="L511" i="59"/>
  <c r="H85" i="59"/>
  <c r="H86" i="59"/>
  <c r="H87" i="59"/>
  <c r="H88" i="59"/>
  <c r="H89" i="59"/>
  <c r="H90" i="59"/>
  <c r="H91" i="59"/>
  <c r="H92" i="59"/>
  <c r="H93" i="59"/>
  <c r="H96" i="59"/>
  <c r="H97" i="59"/>
  <c r="H98" i="59"/>
  <c r="H99" i="59"/>
  <c r="H100" i="59"/>
  <c r="H101" i="59"/>
  <c r="H102" i="59"/>
  <c r="H103" i="59"/>
  <c r="H104" i="59"/>
  <c r="H107" i="59"/>
  <c r="H108" i="59"/>
  <c r="H109" i="59"/>
  <c r="H110" i="59"/>
  <c r="H111" i="59"/>
  <c r="H112" i="59"/>
  <c r="H113" i="59"/>
  <c r="H114" i="59"/>
  <c r="H115" i="59"/>
  <c r="H118" i="59"/>
  <c r="H119" i="59"/>
  <c r="H120" i="59"/>
  <c r="H121" i="59"/>
  <c r="H122" i="59"/>
  <c r="H123" i="59"/>
  <c r="H124" i="59"/>
  <c r="H125" i="59"/>
  <c r="H126" i="59"/>
  <c r="H129" i="59"/>
  <c r="H130" i="59"/>
  <c r="H131" i="59"/>
  <c r="H132" i="59"/>
  <c r="H133" i="59"/>
  <c r="H134" i="59"/>
  <c r="H135" i="59"/>
  <c r="H136" i="59"/>
  <c r="H137" i="59"/>
  <c r="H140" i="59"/>
  <c r="H141" i="59"/>
  <c r="H142" i="59"/>
  <c r="H143" i="59"/>
  <c r="H144" i="59"/>
  <c r="H145" i="59"/>
  <c r="H146" i="59"/>
  <c r="H147" i="59"/>
  <c r="H148" i="59"/>
  <c r="H151" i="59"/>
  <c r="H152" i="59"/>
  <c r="H153" i="59"/>
  <c r="H154" i="59"/>
  <c r="H155" i="59"/>
  <c r="H156" i="59"/>
  <c r="H157" i="59"/>
  <c r="H158" i="59"/>
  <c r="H159" i="59"/>
  <c r="H162" i="59"/>
  <c r="H163" i="59"/>
  <c r="H164" i="59"/>
  <c r="H165" i="59"/>
  <c r="H166" i="59"/>
  <c r="H167" i="59"/>
  <c r="H168" i="59"/>
  <c r="H169" i="59"/>
  <c r="H170" i="59"/>
  <c r="H173" i="59"/>
  <c r="H174" i="59"/>
  <c r="H175" i="59"/>
  <c r="H176" i="59"/>
  <c r="H177" i="59"/>
  <c r="H178" i="59"/>
  <c r="H179" i="59"/>
  <c r="H180" i="59"/>
  <c r="H181" i="59"/>
  <c r="H184" i="59"/>
  <c r="H185" i="59"/>
  <c r="H186" i="59"/>
  <c r="H187" i="59"/>
  <c r="H188" i="59"/>
  <c r="H189" i="59"/>
  <c r="H190" i="59"/>
  <c r="H191" i="59"/>
  <c r="H192" i="59"/>
  <c r="H195" i="59"/>
  <c r="H196" i="59"/>
  <c r="H197" i="59"/>
  <c r="H198" i="59"/>
  <c r="H199" i="59"/>
  <c r="H200" i="59"/>
  <c r="H201" i="59"/>
  <c r="H202" i="59"/>
  <c r="H203" i="59"/>
  <c r="H206" i="59"/>
  <c r="H207" i="59"/>
  <c r="H208" i="59"/>
  <c r="H209" i="59"/>
  <c r="H210" i="59"/>
  <c r="H211" i="59"/>
  <c r="H212" i="59"/>
  <c r="H213" i="59"/>
  <c r="H214" i="59"/>
  <c r="H217" i="59"/>
  <c r="H218" i="59"/>
  <c r="H219" i="59"/>
  <c r="H220" i="59"/>
  <c r="H221" i="59"/>
  <c r="H222" i="59"/>
  <c r="H223" i="59"/>
  <c r="H224" i="59"/>
  <c r="H225" i="59"/>
  <c r="H228" i="59"/>
  <c r="H229" i="59"/>
  <c r="H230" i="59"/>
  <c r="H231" i="59"/>
  <c r="H232" i="59"/>
  <c r="H233" i="59"/>
  <c r="H234" i="59"/>
  <c r="H235" i="59"/>
  <c r="H236" i="59"/>
  <c r="H503" i="59"/>
  <c r="H504" i="59"/>
  <c r="H505" i="59"/>
  <c r="H506" i="59"/>
  <c r="H507" i="59"/>
  <c r="H508" i="59"/>
  <c r="H509" i="59"/>
  <c r="H510" i="59"/>
  <c r="H511" i="59"/>
  <c r="L85" i="59"/>
  <c r="L88" i="59"/>
  <c r="L89" i="59"/>
  <c r="L90" i="59"/>
  <c r="L91" i="59"/>
  <c r="L92" i="59"/>
  <c r="L93" i="59"/>
  <c r="L96" i="59"/>
  <c r="L99" i="59"/>
  <c r="L100" i="59"/>
  <c r="L101" i="59"/>
  <c r="L102" i="59"/>
  <c r="L103" i="59"/>
  <c r="L104" i="59"/>
  <c r="L63" i="59"/>
  <c r="L66" i="59"/>
  <c r="L67" i="59"/>
  <c r="L68" i="59"/>
  <c r="L69" i="59"/>
  <c r="L70" i="59"/>
  <c r="L71" i="59"/>
  <c r="L74" i="59"/>
  <c r="L77" i="59"/>
  <c r="L78" i="59"/>
  <c r="L79" i="59"/>
  <c r="L80" i="59"/>
  <c r="L81" i="59"/>
  <c r="L82" i="59"/>
  <c r="H63" i="59"/>
  <c r="H64" i="59"/>
  <c r="H65" i="59"/>
  <c r="H66" i="59"/>
  <c r="H67" i="59"/>
  <c r="H68" i="59"/>
  <c r="H69" i="59"/>
  <c r="H70" i="59"/>
  <c r="H71" i="59"/>
  <c r="H74" i="59"/>
  <c r="H75" i="59"/>
  <c r="H76" i="59"/>
  <c r="H77" i="59"/>
  <c r="H78" i="59"/>
  <c r="H79" i="59"/>
  <c r="H80" i="59"/>
  <c r="H81" i="59"/>
  <c r="H82" i="59"/>
  <c r="H41" i="59"/>
  <c r="H42" i="59"/>
  <c r="H43" i="59"/>
  <c r="H44" i="59"/>
  <c r="H45" i="59"/>
  <c r="H46" i="59"/>
  <c r="H47" i="59"/>
  <c r="H48" i="59"/>
  <c r="H49" i="59"/>
  <c r="H52" i="59"/>
  <c r="H53" i="59"/>
  <c r="H54" i="59"/>
  <c r="H55" i="59"/>
  <c r="H56" i="59"/>
  <c r="H57" i="59"/>
  <c r="H58" i="59"/>
  <c r="H59" i="59"/>
  <c r="H60" i="59"/>
  <c r="L41" i="59"/>
  <c r="L44" i="59"/>
  <c r="L45" i="59"/>
  <c r="L46" i="59"/>
  <c r="L47" i="59"/>
  <c r="L48" i="59"/>
  <c r="L49" i="59"/>
  <c r="L52" i="59"/>
  <c r="L55" i="59"/>
  <c r="L56" i="59"/>
  <c r="L57" i="59"/>
  <c r="L58" i="59"/>
  <c r="L59" i="59"/>
  <c r="L60" i="59"/>
  <c r="L30" i="59"/>
  <c r="L33" i="59"/>
  <c r="L34" i="59"/>
  <c r="L35" i="59"/>
  <c r="L36" i="59"/>
  <c r="L37" i="59"/>
  <c r="L38" i="59"/>
  <c r="H30" i="59"/>
  <c r="H31" i="59"/>
  <c r="H32" i="59"/>
  <c r="H33" i="59"/>
  <c r="H34" i="59"/>
  <c r="H35" i="59"/>
  <c r="H36" i="59"/>
  <c r="H37" i="59"/>
  <c r="H38" i="59"/>
  <c r="H19" i="59"/>
  <c r="H20" i="59"/>
  <c r="H21" i="59"/>
  <c r="H22" i="59"/>
  <c r="H23" i="59"/>
  <c r="H24" i="59"/>
  <c r="H25" i="59"/>
  <c r="H26" i="59"/>
  <c r="H27" i="59"/>
  <c r="L19" i="59"/>
  <c r="L22" i="59"/>
  <c r="L23" i="59"/>
  <c r="L24" i="59"/>
  <c r="L25" i="59"/>
  <c r="L26" i="59"/>
  <c r="L27" i="59"/>
  <c r="L8" i="59"/>
  <c r="L11" i="59"/>
  <c r="L12" i="59"/>
  <c r="L13" i="59"/>
  <c r="L14" i="59"/>
  <c r="L15" i="59"/>
  <c r="L16" i="59"/>
  <c r="H8" i="59"/>
  <c r="H9" i="59"/>
  <c r="H10" i="59"/>
  <c r="H11" i="59"/>
  <c r="H12" i="59"/>
  <c r="H13" i="59"/>
  <c r="H14" i="59"/>
  <c r="H15" i="59"/>
  <c r="H16" i="59"/>
  <c r="A42" i="26" l="1"/>
  <c r="U445" i="60"/>
  <c r="Q445" i="60"/>
  <c r="U444" i="60"/>
  <c r="Q444" i="60"/>
  <c r="U442" i="60"/>
  <c r="Q442" i="60"/>
  <c r="U440" i="60"/>
  <c r="Q440" i="60"/>
  <c r="U439" i="60"/>
  <c r="Q439" i="60"/>
  <c r="I439" i="60"/>
  <c r="I438" i="60"/>
  <c r="U437" i="60"/>
  <c r="Q437" i="60"/>
  <c r="U436" i="60"/>
  <c r="Q436" i="60"/>
  <c r="U16" i="60"/>
  <c r="Q16" i="60"/>
  <c r="U15" i="60"/>
  <c r="Q15" i="60"/>
  <c r="U13" i="60"/>
  <c r="Q13" i="60"/>
  <c r="U11" i="60"/>
  <c r="Q11" i="60"/>
  <c r="U10" i="60"/>
  <c r="Q10" i="60"/>
  <c r="I10" i="60"/>
  <c r="I9" i="60"/>
  <c r="U8" i="60"/>
  <c r="Q8" i="60"/>
  <c r="U7" i="60"/>
  <c r="Q7" i="60"/>
  <c r="H1" i="60"/>
  <c r="A43" i="26" l="1"/>
  <c r="U511" i="59"/>
  <c r="Q511" i="59"/>
  <c r="U510" i="59"/>
  <c r="Q510" i="59"/>
  <c r="U508" i="59"/>
  <c r="Q508" i="59"/>
  <c r="U506" i="59"/>
  <c r="Q506" i="59"/>
  <c r="U505" i="59"/>
  <c r="Q505" i="59"/>
  <c r="I505" i="59"/>
  <c r="I504" i="59"/>
  <c r="U503" i="59"/>
  <c r="Q503" i="59"/>
  <c r="U502" i="59"/>
  <c r="Q502" i="59"/>
  <c r="U236" i="59"/>
  <c r="U235" i="59"/>
  <c r="U233" i="59"/>
  <c r="U231" i="59"/>
  <c r="U230" i="59"/>
  <c r="I230" i="59"/>
  <c r="I229" i="59"/>
  <c r="U228" i="59"/>
  <c r="U227" i="59"/>
  <c r="U225" i="59"/>
  <c r="U224" i="59"/>
  <c r="U222" i="59"/>
  <c r="U220" i="59"/>
  <c r="U219" i="59"/>
  <c r="I219" i="59"/>
  <c r="I218" i="59"/>
  <c r="U217" i="59"/>
  <c r="U216" i="59"/>
  <c r="U214" i="59"/>
  <c r="U213" i="59"/>
  <c r="U211" i="59"/>
  <c r="U209" i="59"/>
  <c r="U208" i="59"/>
  <c r="I208" i="59"/>
  <c r="I207" i="59"/>
  <c r="U206" i="59"/>
  <c r="U205" i="59"/>
  <c r="U203" i="59"/>
  <c r="U202" i="59"/>
  <c r="U200" i="59"/>
  <c r="U198" i="59"/>
  <c r="U197" i="59"/>
  <c r="I197" i="59"/>
  <c r="I196" i="59"/>
  <c r="U195" i="59"/>
  <c r="U194" i="59"/>
  <c r="U192" i="59"/>
  <c r="U191" i="59"/>
  <c r="U189" i="59"/>
  <c r="U187" i="59"/>
  <c r="U186" i="59"/>
  <c r="I186" i="59"/>
  <c r="I185" i="59"/>
  <c r="U184" i="59"/>
  <c r="U183" i="59"/>
  <c r="U181" i="59"/>
  <c r="U180" i="59"/>
  <c r="U178" i="59"/>
  <c r="U176" i="59"/>
  <c r="U175" i="59"/>
  <c r="I175" i="59"/>
  <c r="I174" i="59"/>
  <c r="U173" i="59"/>
  <c r="U172" i="59"/>
  <c r="U170" i="59"/>
  <c r="U169" i="59"/>
  <c r="U167" i="59"/>
  <c r="U165" i="59"/>
  <c r="U164" i="59"/>
  <c r="I164" i="59"/>
  <c r="I163" i="59"/>
  <c r="U162" i="59"/>
  <c r="U161" i="59"/>
  <c r="U159" i="59"/>
  <c r="U158" i="59"/>
  <c r="U156" i="59"/>
  <c r="U154" i="59"/>
  <c r="U153" i="59"/>
  <c r="I153" i="59"/>
  <c r="I152" i="59"/>
  <c r="U151" i="59"/>
  <c r="U150" i="59"/>
  <c r="U148" i="59"/>
  <c r="U147" i="59"/>
  <c r="U145" i="59"/>
  <c r="U143" i="59"/>
  <c r="U142" i="59"/>
  <c r="I142" i="59"/>
  <c r="I141" i="59"/>
  <c r="U140" i="59"/>
  <c r="U139" i="59"/>
  <c r="U137" i="59"/>
  <c r="U136" i="59"/>
  <c r="U134" i="59"/>
  <c r="U132" i="59"/>
  <c r="U131" i="59"/>
  <c r="I131" i="59"/>
  <c r="I130" i="59"/>
  <c r="U129" i="59"/>
  <c r="U128" i="59"/>
  <c r="U126" i="59"/>
  <c r="U125" i="59"/>
  <c r="U123" i="59"/>
  <c r="U121" i="59"/>
  <c r="U120" i="59"/>
  <c r="I120" i="59"/>
  <c r="I119" i="59"/>
  <c r="U118" i="59"/>
  <c r="U117" i="59"/>
  <c r="U115" i="59"/>
  <c r="U114" i="59"/>
  <c r="U112" i="59"/>
  <c r="U110" i="59"/>
  <c r="U109" i="59"/>
  <c r="I109" i="59"/>
  <c r="I108" i="59"/>
  <c r="U107" i="59"/>
  <c r="U106" i="59"/>
  <c r="U104" i="59"/>
  <c r="U103" i="59"/>
  <c r="U101" i="59"/>
  <c r="U99" i="59"/>
  <c r="U98" i="59"/>
  <c r="I98" i="59"/>
  <c r="I97" i="59"/>
  <c r="U96" i="59"/>
  <c r="U95" i="59"/>
  <c r="U93" i="59"/>
  <c r="U92" i="59"/>
  <c r="U90" i="59"/>
  <c r="U88" i="59"/>
  <c r="U87" i="59"/>
  <c r="I87" i="59"/>
  <c r="I86" i="59"/>
  <c r="U85" i="59"/>
  <c r="U84" i="59"/>
  <c r="U82" i="59"/>
  <c r="U81" i="59"/>
  <c r="U79" i="59"/>
  <c r="U77" i="59"/>
  <c r="U76" i="59"/>
  <c r="I76" i="59"/>
  <c r="I75" i="59"/>
  <c r="U74" i="59"/>
  <c r="U73" i="59"/>
  <c r="U71" i="59"/>
  <c r="U70" i="59"/>
  <c r="U68" i="59"/>
  <c r="U66" i="59"/>
  <c r="U65" i="59"/>
  <c r="I65" i="59"/>
  <c r="I64" i="59"/>
  <c r="U63" i="59"/>
  <c r="U62" i="59"/>
  <c r="U60" i="59"/>
  <c r="U59" i="59"/>
  <c r="U57" i="59"/>
  <c r="U55" i="59"/>
  <c r="U54" i="59"/>
  <c r="I54" i="59"/>
  <c r="I53" i="59"/>
  <c r="U52" i="59"/>
  <c r="U51" i="59"/>
  <c r="U49" i="59"/>
  <c r="U48" i="59"/>
  <c r="U46" i="59"/>
  <c r="U44" i="59"/>
  <c r="U43" i="59"/>
  <c r="I43" i="59"/>
  <c r="I42" i="59"/>
  <c r="U41" i="59"/>
  <c r="U40" i="59"/>
  <c r="U38" i="59"/>
  <c r="U37" i="59"/>
  <c r="U35" i="59"/>
  <c r="U33" i="59"/>
  <c r="U32" i="59"/>
  <c r="I32" i="59"/>
  <c r="I31" i="59"/>
  <c r="U30" i="59"/>
  <c r="U29" i="59"/>
  <c r="U27" i="59"/>
  <c r="Q27" i="59"/>
  <c r="U26" i="59"/>
  <c r="Q26" i="59"/>
  <c r="U24" i="59"/>
  <c r="Q24" i="59"/>
  <c r="U22" i="59"/>
  <c r="Q22" i="59"/>
  <c r="U21" i="59"/>
  <c r="Q21" i="59"/>
  <c r="I21" i="59"/>
  <c r="I20" i="59"/>
  <c r="U19" i="59"/>
  <c r="Q19" i="59"/>
  <c r="U18" i="59"/>
  <c r="Q18" i="59"/>
  <c r="U16" i="59"/>
  <c r="Q16" i="59"/>
  <c r="U15" i="59"/>
  <c r="Q15" i="59"/>
  <c r="U13" i="59"/>
  <c r="Q13" i="59"/>
  <c r="U11" i="59"/>
  <c r="Q11" i="59"/>
  <c r="U10" i="59"/>
  <c r="Q10" i="59"/>
  <c r="I10" i="59"/>
  <c r="I9" i="59"/>
  <c r="U8" i="59"/>
  <c r="Q8" i="59"/>
  <c r="U7" i="59"/>
  <c r="Q7" i="59"/>
  <c r="H1" i="59"/>
  <c r="A44" i="26" l="1"/>
  <c r="B132" i="57"/>
  <c r="O127" i="57" s="1"/>
  <c r="P127" i="57" s="1"/>
  <c r="Q896" i="57"/>
  <c r="U896" i="57"/>
  <c r="U895" i="57"/>
  <c r="Q895" i="57"/>
  <c r="U893" i="57"/>
  <c r="Q893" i="57"/>
  <c r="U891" i="57"/>
  <c r="Q891" i="57"/>
  <c r="U890" i="57"/>
  <c r="Q890" i="57"/>
  <c r="I890" i="57"/>
  <c r="I889" i="57"/>
  <c r="U888" i="57"/>
  <c r="Q888" i="57"/>
  <c r="U887" i="57"/>
  <c r="Q887" i="57"/>
  <c r="U269" i="57"/>
  <c r="Q269" i="57"/>
  <c r="U268" i="57"/>
  <c r="Q268" i="57"/>
  <c r="U266" i="57"/>
  <c r="Q266" i="57"/>
  <c r="U264" i="57"/>
  <c r="Q264" i="57"/>
  <c r="U263" i="57"/>
  <c r="Q263" i="57"/>
  <c r="I263" i="57"/>
  <c r="I262" i="57"/>
  <c r="U261" i="57"/>
  <c r="Q261" i="57"/>
  <c r="U260" i="57"/>
  <c r="Q260" i="57"/>
  <c r="U247" i="57"/>
  <c r="Q247" i="57"/>
  <c r="U246" i="57"/>
  <c r="Q246" i="57"/>
  <c r="U244" i="57"/>
  <c r="Q244" i="57"/>
  <c r="U242" i="57"/>
  <c r="Q242" i="57"/>
  <c r="U241" i="57"/>
  <c r="Q241" i="57"/>
  <c r="I241" i="57"/>
  <c r="I240" i="57"/>
  <c r="U239" i="57"/>
  <c r="Q239" i="57"/>
  <c r="U238" i="57"/>
  <c r="Q238" i="57"/>
  <c r="U236" i="57"/>
  <c r="Q236" i="57"/>
  <c r="U235" i="57"/>
  <c r="Q235" i="57"/>
  <c r="U233" i="57"/>
  <c r="Q233" i="57"/>
  <c r="U231" i="57"/>
  <c r="Q231" i="57"/>
  <c r="U230" i="57"/>
  <c r="Q230" i="57"/>
  <c r="I230" i="57"/>
  <c r="I229" i="57"/>
  <c r="U228" i="57"/>
  <c r="Q228" i="57"/>
  <c r="U227" i="57"/>
  <c r="Q227" i="57"/>
  <c r="U225" i="57"/>
  <c r="Q225" i="57"/>
  <c r="U224" i="57"/>
  <c r="Q224" i="57"/>
  <c r="U222" i="57"/>
  <c r="Q222" i="57"/>
  <c r="U220" i="57"/>
  <c r="Q220" i="57"/>
  <c r="U219" i="57"/>
  <c r="Q219" i="57"/>
  <c r="I219" i="57"/>
  <c r="I218" i="57"/>
  <c r="U217" i="57"/>
  <c r="Q217" i="57"/>
  <c r="U216" i="57"/>
  <c r="Q216" i="57"/>
  <c r="U214" i="57"/>
  <c r="Q214" i="57"/>
  <c r="U213" i="57"/>
  <c r="Q213" i="57"/>
  <c r="U211" i="57"/>
  <c r="Q211" i="57"/>
  <c r="U209" i="57"/>
  <c r="Q209" i="57"/>
  <c r="U208" i="57"/>
  <c r="Q208" i="57"/>
  <c r="I208" i="57"/>
  <c r="I207" i="57"/>
  <c r="U206" i="57"/>
  <c r="Q206" i="57"/>
  <c r="U205" i="57"/>
  <c r="Q205" i="57"/>
  <c r="U203" i="57"/>
  <c r="Q203" i="57"/>
  <c r="U202" i="57"/>
  <c r="Q202" i="57"/>
  <c r="U200" i="57"/>
  <c r="Q200" i="57"/>
  <c r="U198" i="57"/>
  <c r="Q198" i="57"/>
  <c r="U197" i="57"/>
  <c r="Q197" i="57"/>
  <c r="I197" i="57"/>
  <c r="I196" i="57"/>
  <c r="U195" i="57"/>
  <c r="Q195" i="57"/>
  <c r="U194" i="57"/>
  <c r="Q194" i="57"/>
  <c r="U192" i="57"/>
  <c r="Q192" i="57"/>
  <c r="U191" i="57"/>
  <c r="Q191" i="57"/>
  <c r="U189" i="57"/>
  <c r="Q189" i="57"/>
  <c r="U187" i="57"/>
  <c r="Q187" i="57"/>
  <c r="U186" i="57"/>
  <c r="Q186" i="57"/>
  <c r="I186" i="57"/>
  <c r="I185" i="57"/>
  <c r="U184" i="57"/>
  <c r="Q184" i="57"/>
  <c r="U183" i="57"/>
  <c r="Q183" i="57"/>
  <c r="U181" i="57"/>
  <c r="Q181" i="57"/>
  <c r="U180" i="57"/>
  <c r="Q180" i="57"/>
  <c r="U178" i="57"/>
  <c r="Q178" i="57"/>
  <c r="U176" i="57"/>
  <c r="Q176" i="57"/>
  <c r="U175" i="57"/>
  <c r="Q175" i="57"/>
  <c r="I175" i="57"/>
  <c r="I174" i="57"/>
  <c r="U173" i="57"/>
  <c r="Q173" i="57"/>
  <c r="U172" i="57"/>
  <c r="Q172" i="57"/>
  <c r="U170" i="57"/>
  <c r="Q170" i="57"/>
  <c r="U169" i="57"/>
  <c r="Q169" i="57"/>
  <c r="U167" i="57"/>
  <c r="Q167" i="57"/>
  <c r="U165" i="57"/>
  <c r="Q165" i="57"/>
  <c r="U164" i="57"/>
  <c r="Q164" i="57"/>
  <c r="I164" i="57"/>
  <c r="I163" i="57"/>
  <c r="U162" i="57"/>
  <c r="Q162" i="57"/>
  <c r="U161" i="57"/>
  <c r="Q161" i="57"/>
  <c r="U159" i="57"/>
  <c r="Q159" i="57"/>
  <c r="U158" i="57"/>
  <c r="Q158" i="57"/>
  <c r="U156" i="57"/>
  <c r="Q156" i="57"/>
  <c r="U154" i="57"/>
  <c r="Q154" i="57"/>
  <c r="U153" i="57"/>
  <c r="Q153" i="57"/>
  <c r="I153" i="57"/>
  <c r="I152" i="57"/>
  <c r="U151" i="57"/>
  <c r="Q151" i="57"/>
  <c r="U150" i="57"/>
  <c r="Q150" i="57"/>
  <c r="U148" i="57"/>
  <c r="Q148" i="57"/>
  <c r="U147" i="57"/>
  <c r="Q147" i="57"/>
  <c r="U145" i="57"/>
  <c r="Q145" i="57"/>
  <c r="U143" i="57"/>
  <c r="Q143" i="57"/>
  <c r="U142" i="57"/>
  <c r="Q142" i="57"/>
  <c r="I142" i="57"/>
  <c r="I141" i="57"/>
  <c r="U140" i="57"/>
  <c r="Q140" i="57"/>
  <c r="U139" i="57"/>
  <c r="Q139" i="57"/>
  <c r="U137" i="57"/>
  <c r="Q137" i="57"/>
  <c r="U136" i="57"/>
  <c r="Q136" i="57"/>
  <c r="U134" i="57"/>
  <c r="Q134" i="57"/>
  <c r="U132" i="57"/>
  <c r="Q132" i="57"/>
  <c r="U131" i="57"/>
  <c r="Q131" i="57"/>
  <c r="I131" i="57"/>
  <c r="I130" i="57"/>
  <c r="U129" i="57"/>
  <c r="Q129" i="57"/>
  <c r="U128" i="57"/>
  <c r="Q128" i="57"/>
  <c r="U126" i="57"/>
  <c r="Q126" i="57"/>
  <c r="U125" i="57"/>
  <c r="Q125" i="57"/>
  <c r="U123" i="57"/>
  <c r="Q123" i="57"/>
  <c r="U121" i="57"/>
  <c r="Q121" i="57"/>
  <c r="U120" i="57"/>
  <c r="Q120" i="57"/>
  <c r="I120" i="57"/>
  <c r="I119" i="57"/>
  <c r="U118" i="57"/>
  <c r="Q118" i="57"/>
  <c r="U117" i="57"/>
  <c r="Q117" i="57"/>
  <c r="U115" i="57"/>
  <c r="Q115" i="57"/>
  <c r="U114" i="57"/>
  <c r="Q114" i="57"/>
  <c r="U112" i="57"/>
  <c r="Q112" i="57"/>
  <c r="U110" i="57"/>
  <c r="Q110" i="57"/>
  <c r="U109" i="57"/>
  <c r="Q109" i="57"/>
  <c r="I109" i="57"/>
  <c r="I108" i="57"/>
  <c r="U107" i="57"/>
  <c r="Q107" i="57"/>
  <c r="U106" i="57"/>
  <c r="Q106" i="57"/>
  <c r="U104" i="57"/>
  <c r="Q104" i="57"/>
  <c r="U103" i="57"/>
  <c r="Q103" i="57"/>
  <c r="U101" i="57"/>
  <c r="Q101" i="57"/>
  <c r="U99" i="57"/>
  <c r="Q99" i="57"/>
  <c r="U98" i="57"/>
  <c r="Q98" i="57"/>
  <c r="I98" i="57"/>
  <c r="I97" i="57"/>
  <c r="U96" i="57"/>
  <c r="Q96" i="57"/>
  <c r="U95" i="57"/>
  <c r="Q95" i="57"/>
  <c r="U93" i="57"/>
  <c r="Q93" i="57"/>
  <c r="U92" i="57"/>
  <c r="Q92" i="57"/>
  <c r="U90" i="57"/>
  <c r="Q90" i="57"/>
  <c r="U88" i="57"/>
  <c r="Q88" i="57"/>
  <c r="U87" i="57"/>
  <c r="Q87" i="57"/>
  <c r="I87" i="57"/>
  <c r="I86" i="57"/>
  <c r="U85" i="57"/>
  <c r="Q85" i="57"/>
  <c r="U84" i="57"/>
  <c r="Q84" i="57"/>
  <c r="U82" i="57"/>
  <c r="Q82" i="57"/>
  <c r="U81" i="57"/>
  <c r="Q81" i="57"/>
  <c r="U79" i="57"/>
  <c r="Q79" i="57"/>
  <c r="U77" i="57"/>
  <c r="Q77" i="57"/>
  <c r="U76" i="57"/>
  <c r="Q76" i="57"/>
  <c r="I76" i="57"/>
  <c r="I75" i="57"/>
  <c r="U74" i="57"/>
  <c r="Q74" i="57"/>
  <c r="U73" i="57"/>
  <c r="Q73" i="57"/>
  <c r="U71" i="57"/>
  <c r="Q71" i="57"/>
  <c r="U70" i="57"/>
  <c r="Q70" i="57"/>
  <c r="U68" i="57"/>
  <c r="Q68" i="57"/>
  <c r="U66" i="57"/>
  <c r="Q66" i="57"/>
  <c r="U65" i="57"/>
  <c r="Q65" i="57"/>
  <c r="I65" i="57"/>
  <c r="I64" i="57"/>
  <c r="U63" i="57"/>
  <c r="Q63" i="57"/>
  <c r="U62" i="57"/>
  <c r="Q62" i="57"/>
  <c r="U60" i="57"/>
  <c r="Q60" i="57"/>
  <c r="U59" i="57"/>
  <c r="Q59" i="57"/>
  <c r="U57" i="57"/>
  <c r="Q57" i="57"/>
  <c r="U55" i="57"/>
  <c r="Q55" i="57"/>
  <c r="U54" i="57"/>
  <c r="Q54" i="57"/>
  <c r="I54" i="57"/>
  <c r="I53" i="57"/>
  <c r="U52" i="57"/>
  <c r="Q52" i="57"/>
  <c r="U51" i="57"/>
  <c r="Q51" i="57"/>
  <c r="U49" i="57"/>
  <c r="Q49" i="57"/>
  <c r="U48" i="57"/>
  <c r="Q48" i="57"/>
  <c r="U46" i="57"/>
  <c r="Q46" i="57"/>
  <c r="U44" i="57"/>
  <c r="Q44" i="57"/>
  <c r="U43" i="57"/>
  <c r="Q43" i="57"/>
  <c r="I43" i="57"/>
  <c r="I42" i="57"/>
  <c r="U41" i="57"/>
  <c r="Q41" i="57"/>
  <c r="U40" i="57"/>
  <c r="Q40" i="57"/>
  <c r="U38" i="57"/>
  <c r="Q38" i="57"/>
  <c r="U37" i="57"/>
  <c r="Q37" i="57"/>
  <c r="U35" i="57"/>
  <c r="Q35" i="57"/>
  <c r="U33" i="57"/>
  <c r="Q33" i="57"/>
  <c r="U32" i="57"/>
  <c r="Q32" i="57"/>
  <c r="I32" i="57"/>
  <c r="I31" i="57"/>
  <c r="U30" i="57"/>
  <c r="Q30" i="57"/>
  <c r="U29" i="57"/>
  <c r="Q29" i="57"/>
  <c r="U27" i="57"/>
  <c r="Q27" i="57"/>
  <c r="U26" i="57"/>
  <c r="Q26" i="57"/>
  <c r="U24" i="57"/>
  <c r="Q24" i="57"/>
  <c r="U22" i="57"/>
  <c r="Q22" i="57"/>
  <c r="U21" i="57"/>
  <c r="Q21" i="57"/>
  <c r="I21" i="57"/>
  <c r="I20" i="57"/>
  <c r="U19" i="57"/>
  <c r="Q19" i="57"/>
  <c r="U18" i="57"/>
  <c r="Q18" i="57"/>
  <c r="Q10" i="57"/>
  <c r="Q7" i="57"/>
  <c r="A45" i="26" l="1"/>
  <c r="B132" i="59"/>
  <c r="W137" i="59" s="1"/>
  <c r="X137" i="59" s="1"/>
  <c r="B132" i="60"/>
  <c r="S128" i="57"/>
  <c r="T128" i="57" s="1"/>
  <c r="S136" i="57"/>
  <c r="O128" i="57"/>
  <c r="P128" i="57" s="1"/>
  <c r="S131" i="57"/>
  <c r="T131" i="57" s="1"/>
  <c r="G128" i="57"/>
  <c r="W133" i="57"/>
  <c r="W137" i="57"/>
  <c r="X137" i="57" s="1"/>
  <c r="S133" i="57"/>
  <c r="S135" i="57"/>
  <c r="S129" i="57"/>
  <c r="W130" i="57"/>
  <c r="W132" i="57"/>
  <c r="X132" i="57" s="1"/>
  <c r="W134" i="57"/>
  <c r="X134" i="57" s="1"/>
  <c r="W136" i="57"/>
  <c r="X136" i="57" s="1"/>
  <c r="W129" i="57"/>
  <c r="X129" i="57" s="1"/>
  <c r="K131" i="57"/>
  <c r="S137" i="57"/>
  <c r="K127" i="57"/>
  <c r="K128" i="57"/>
  <c r="W128" i="57"/>
  <c r="X128" i="57" s="1"/>
  <c r="S130" i="57"/>
  <c r="W131" i="57"/>
  <c r="X131" i="57" s="1"/>
  <c r="S132" i="57"/>
  <c r="S134" i="57"/>
  <c r="U13" i="57"/>
  <c r="Q13" i="57"/>
  <c r="U16" i="57"/>
  <c r="U15" i="57"/>
  <c r="U10" i="57"/>
  <c r="Q8" i="57"/>
  <c r="T137" i="57" l="1"/>
  <c r="T134" i="57"/>
  <c r="L131" i="57"/>
  <c r="T132" i="57"/>
  <c r="T129" i="57"/>
  <c r="T136" i="57"/>
  <c r="W130" i="60"/>
  <c r="S130" i="60"/>
  <c r="K130" i="60"/>
  <c r="L130" i="60" s="1"/>
  <c r="K128" i="60"/>
  <c r="G128" i="60"/>
  <c r="W127" i="60"/>
  <c r="O127" i="60"/>
  <c r="P127" i="60" s="1"/>
  <c r="W137" i="60"/>
  <c r="X137" i="60" s="1"/>
  <c r="S137" i="60"/>
  <c r="T137" i="60" s="1"/>
  <c r="W136" i="60"/>
  <c r="X136" i="60" s="1"/>
  <c r="S136" i="60"/>
  <c r="T136" i="60" s="1"/>
  <c r="W135" i="60"/>
  <c r="W134" i="60"/>
  <c r="X134" i="60" s="1"/>
  <c r="S134" i="60"/>
  <c r="T134" i="60" s="1"/>
  <c r="W133" i="60"/>
  <c r="W132" i="60"/>
  <c r="X132" i="60" s="1"/>
  <c r="S132" i="60"/>
  <c r="T132" i="60" s="1"/>
  <c r="W131" i="60"/>
  <c r="X131" i="60" s="1"/>
  <c r="S131" i="60"/>
  <c r="T131" i="60" s="1"/>
  <c r="K131" i="60"/>
  <c r="L131" i="60" s="1"/>
  <c r="K127" i="60"/>
  <c r="S135" i="60"/>
  <c r="S133" i="60"/>
  <c r="W129" i="60"/>
  <c r="X129" i="60" s="1"/>
  <c r="S129" i="60"/>
  <c r="T129" i="60" s="1"/>
  <c r="W128" i="60"/>
  <c r="X128" i="60" s="1"/>
  <c r="S128" i="60"/>
  <c r="T128" i="60" s="1"/>
  <c r="O128" i="60"/>
  <c r="P128" i="60" s="1"/>
  <c r="G127" i="60"/>
  <c r="A46" i="26"/>
  <c r="W128" i="59"/>
  <c r="X128" i="59" s="1"/>
  <c r="O127" i="59"/>
  <c r="P127" i="59" s="1"/>
  <c r="S132" i="59"/>
  <c r="T132" i="59" s="1"/>
  <c r="W131" i="59"/>
  <c r="X131" i="59" s="1"/>
  <c r="S137" i="59"/>
  <c r="T137" i="59" s="1"/>
  <c r="O128" i="59"/>
  <c r="P128" i="59" s="1"/>
  <c r="S128" i="59"/>
  <c r="T128" i="59" s="1"/>
  <c r="K128" i="59"/>
  <c r="W134" i="59"/>
  <c r="X134" i="59" s="1"/>
  <c r="W130" i="59"/>
  <c r="S135" i="59"/>
  <c r="K131" i="59"/>
  <c r="L131" i="59" s="1"/>
  <c r="G128" i="59"/>
  <c r="S134" i="59"/>
  <c r="T134" i="59" s="1"/>
  <c r="S131" i="59"/>
  <c r="T131" i="59" s="1"/>
  <c r="K127" i="59"/>
  <c r="W129" i="59"/>
  <c r="X129" i="59" s="1"/>
  <c r="W132" i="59"/>
  <c r="X132" i="59" s="1"/>
  <c r="W136" i="59"/>
  <c r="X136" i="59" s="1"/>
  <c r="S129" i="59"/>
  <c r="T129" i="59" s="1"/>
  <c r="S136" i="59"/>
  <c r="T136" i="59" s="1"/>
  <c r="S133" i="59"/>
  <c r="S130" i="59"/>
  <c r="W133" i="59"/>
  <c r="B22" i="60"/>
  <c r="B33" i="60"/>
  <c r="B44" i="60"/>
  <c r="B55" i="60"/>
  <c r="B66" i="60"/>
  <c r="B77" i="60"/>
  <c r="B88" i="60"/>
  <c r="B99" i="60"/>
  <c r="B110" i="60"/>
  <c r="B121" i="60"/>
  <c r="B143" i="60"/>
  <c r="B154" i="60"/>
  <c r="B165" i="60"/>
  <c r="B176" i="60"/>
  <c r="B187" i="60"/>
  <c r="B209" i="59"/>
  <c r="B264" i="59"/>
  <c r="AO6" i="26" l="1"/>
  <c r="AN6" i="26" s="1"/>
  <c r="AO10" i="26"/>
  <c r="AN10" i="26" s="1"/>
  <c r="AO14" i="26"/>
  <c r="AN14" i="26" s="1"/>
  <c r="AO18" i="26"/>
  <c r="AN18" i="26" s="1"/>
  <c r="AO22" i="26"/>
  <c r="AN22" i="26" s="1"/>
  <c r="AO26" i="26"/>
  <c r="AN26" i="26" s="1"/>
  <c r="AO30" i="26"/>
  <c r="AN30" i="26" s="1"/>
  <c r="L798" i="60" s="1"/>
  <c r="Z798" i="60" s="1"/>
  <c r="AC803" i="60" s="1"/>
  <c r="AO34" i="26"/>
  <c r="AN34" i="26" s="1"/>
  <c r="AO38" i="26"/>
  <c r="AN38" i="26" s="1"/>
  <c r="AO42" i="26"/>
  <c r="AN42" i="26" s="1"/>
  <c r="AO46" i="26"/>
  <c r="AN46" i="26" s="1"/>
  <c r="AO50" i="26"/>
  <c r="AN50" i="26" s="1"/>
  <c r="AO54" i="26"/>
  <c r="AN54" i="26" s="1"/>
  <c r="AO58" i="26"/>
  <c r="AN58" i="26" s="1"/>
  <c r="AO78" i="26"/>
  <c r="AN78" i="26" s="1"/>
  <c r="AO82" i="26"/>
  <c r="AN82" i="26" s="1"/>
  <c r="AO3" i="26"/>
  <c r="AN3" i="26" s="1"/>
  <c r="AO7" i="26"/>
  <c r="AN7" i="26" s="1"/>
  <c r="AO11" i="26"/>
  <c r="AN11" i="26" s="1"/>
  <c r="AO15" i="26"/>
  <c r="AN15" i="26" s="1"/>
  <c r="AO19" i="26"/>
  <c r="AN19" i="26" s="1"/>
  <c r="AO23" i="26"/>
  <c r="AN23" i="26" s="1"/>
  <c r="AO27" i="26"/>
  <c r="AN27" i="26" s="1"/>
  <c r="AO31" i="26"/>
  <c r="AO35" i="26"/>
  <c r="AN35" i="26" s="1"/>
  <c r="AO39" i="26"/>
  <c r="AO43" i="26"/>
  <c r="AN43" i="26" s="1"/>
  <c r="AO47" i="26"/>
  <c r="AO51" i="26"/>
  <c r="AN51" i="26" s="1"/>
  <c r="AO55" i="26"/>
  <c r="AN55" i="26" s="1"/>
  <c r="AO59" i="26"/>
  <c r="AN59" i="26" s="1"/>
  <c r="AO79" i="26"/>
  <c r="AN79" i="26" s="1"/>
  <c r="AO83" i="26"/>
  <c r="AN83" i="26" s="1"/>
  <c r="X608" i="60"/>
  <c r="AO4" i="26"/>
  <c r="AN4" i="26" s="1"/>
  <c r="AO8" i="26"/>
  <c r="AN8" i="26" s="1"/>
  <c r="AO12" i="26"/>
  <c r="AN12" i="26" s="1"/>
  <c r="AO16" i="26"/>
  <c r="AO20" i="26"/>
  <c r="AN20" i="26" s="1"/>
  <c r="AO24" i="26"/>
  <c r="AN24" i="26" s="1"/>
  <c r="AO28" i="26"/>
  <c r="AN28" i="26" s="1"/>
  <c r="AO32" i="26"/>
  <c r="AN32" i="26" s="1"/>
  <c r="AO36" i="26"/>
  <c r="AN36" i="26" s="1"/>
  <c r="AO40" i="26"/>
  <c r="AN40" i="26" s="1"/>
  <c r="AO44" i="26"/>
  <c r="AN44" i="26" s="1"/>
  <c r="AO48" i="26"/>
  <c r="AN48" i="26" s="1"/>
  <c r="AO52" i="26"/>
  <c r="AN52" i="26" s="1"/>
  <c r="AO56" i="26"/>
  <c r="AN56" i="26" s="1"/>
  <c r="AO60" i="26"/>
  <c r="AN60" i="26" s="1"/>
  <c r="AO80" i="26"/>
  <c r="AN80" i="26" s="1"/>
  <c r="AO84" i="26"/>
  <c r="AN84" i="26" s="1"/>
  <c r="AO5" i="26"/>
  <c r="AN5" i="26" s="1"/>
  <c r="AO9" i="26"/>
  <c r="AN9" i="26" s="1"/>
  <c r="AO13" i="26"/>
  <c r="AN13" i="26" s="1"/>
  <c r="AO17" i="26"/>
  <c r="AN17" i="26" s="1"/>
  <c r="AO21" i="26"/>
  <c r="AO25" i="26"/>
  <c r="AN25" i="26" s="1"/>
  <c r="T787" i="60" s="1"/>
  <c r="Z787" i="60" s="1"/>
  <c r="AC792" i="60" s="1"/>
  <c r="AO29" i="26"/>
  <c r="AN29" i="26" s="1"/>
  <c r="AO33" i="26"/>
  <c r="AN33" i="26" s="1"/>
  <c r="AO37" i="26"/>
  <c r="AN37" i="26" s="1"/>
  <c r="AO41" i="26"/>
  <c r="AN41" i="26" s="1"/>
  <c r="AO45" i="26"/>
  <c r="AN45" i="26" s="1"/>
  <c r="AO49" i="26"/>
  <c r="AN49" i="26" s="1"/>
  <c r="AO53" i="26"/>
  <c r="AN53" i="26" s="1"/>
  <c r="AO57" i="26"/>
  <c r="AN57" i="26" s="1"/>
  <c r="AO61" i="26"/>
  <c r="AN61" i="26" s="1"/>
  <c r="AO81" i="26"/>
  <c r="AN81" i="26" s="1"/>
  <c r="AO85" i="26"/>
  <c r="AN85" i="26" s="1"/>
  <c r="AO2" i="26"/>
  <c r="AN2" i="26" s="1"/>
  <c r="D490" i="60"/>
  <c r="C490" i="60"/>
  <c r="D501" i="59"/>
  <c r="C501" i="59"/>
  <c r="B341" i="60"/>
  <c r="B341" i="59"/>
  <c r="B319" i="60"/>
  <c r="B319" i="59"/>
  <c r="B297" i="60"/>
  <c r="B297" i="59"/>
  <c r="W302" i="59" s="1"/>
  <c r="X302" i="59" s="1"/>
  <c r="B275" i="60"/>
  <c r="B275" i="59"/>
  <c r="B242" i="60"/>
  <c r="B242" i="59"/>
  <c r="C248" i="59"/>
  <c r="D248" i="59"/>
  <c r="B330" i="60"/>
  <c r="B330" i="59"/>
  <c r="B308" i="60"/>
  <c r="B308" i="59"/>
  <c r="B286" i="60"/>
  <c r="B286" i="59"/>
  <c r="C281" i="59" s="1"/>
  <c r="C259" i="59"/>
  <c r="S268" i="59"/>
  <c r="T268" i="59" s="1"/>
  <c r="S269" i="59"/>
  <c r="T269" i="59" s="1"/>
  <c r="S267" i="59"/>
  <c r="S265" i="59"/>
  <c r="W263" i="59"/>
  <c r="X263" i="59" s="1"/>
  <c r="K262" i="59"/>
  <c r="L262" i="59" s="1"/>
  <c r="W269" i="59"/>
  <c r="X269" i="59" s="1"/>
  <c r="W267" i="59"/>
  <c r="W265" i="59"/>
  <c r="S263" i="59"/>
  <c r="T263" i="59" s="1"/>
  <c r="S261" i="59"/>
  <c r="T261" i="59" s="1"/>
  <c r="G260" i="59"/>
  <c r="K263" i="59"/>
  <c r="L263" i="59" s="1"/>
  <c r="O260" i="59"/>
  <c r="P260" i="59" s="1"/>
  <c r="O259" i="59"/>
  <c r="P259" i="59" s="1"/>
  <c r="S266" i="59"/>
  <c r="T266" i="59" s="1"/>
  <c r="S264" i="59"/>
  <c r="T264" i="59" s="1"/>
  <c r="W262" i="59"/>
  <c r="W261" i="59"/>
  <c r="X261" i="59" s="1"/>
  <c r="W268" i="59"/>
  <c r="X268" i="59" s="1"/>
  <c r="W266" i="59"/>
  <c r="X266" i="59" s="1"/>
  <c r="W264" i="59"/>
  <c r="X264" i="59" s="1"/>
  <c r="S262" i="59"/>
  <c r="S260" i="59"/>
  <c r="T260" i="59" s="1"/>
  <c r="D259" i="59"/>
  <c r="W260" i="59"/>
  <c r="X260" i="59" s="1"/>
  <c r="K259" i="59"/>
  <c r="K260" i="59"/>
  <c r="W259" i="59"/>
  <c r="S259" i="59"/>
  <c r="G259" i="59"/>
  <c r="D545" i="57"/>
  <c r="C556" i="57"/>
  <c r="D556" i="57"/>
  <c r="C545" i="57"/>
  <c r="C457" i="59"/>
  <c r="D479" i="59"/>
  <c r="D468" i="59"/>
  <c r="C468" i="59"/>
  <c r="D457" i="59"/>
  <c r="C479" i="59"/>
  <c r="D446" i="60"/>
  <c r="D479" i="60"/>
  <c r="C468" i="60"/>
  <c r="D468" i="60"/>
  <c r="C446" i="60"/>
  <c r="C457" i="60"/>
  <c r="D457" i="60"/>
  <c r="C479" i="60"/>
  <c r="D523" i="57"/>
  <c r="C523" i="57"/>
  <c r="D534" i="57"/>
  <c r="C534" i="57"/>
  <c r="D435" i="57"/>
  <c r="C501" i="57"/>
  <c r="C479" i="57"/>
  <c r="C490" i="57"/>
  <c r="D501" i="57"/>
  <c r="C446" i="57"/>
  <c r="D512" i="57"/>
  <c r="D468" i="57"/>
  <c r="C435" i="57"/>
  <c r="C457" i="57"/>
  <c r="D479" i="57"/>
  <c r="D457" i="57"/>
  <c r="D490" i="57"/>
  <c r="D446" i="57"/>
  <c r="C512" i="57"/>
  <c r="C468" i="57"/>
  <c r="D424" i="57"/>
  <c r="C424" i="57"/>
  <c r="W185" i="60"/>
  <c r="S185" i="60"/>
  <c r="K185" i="60"/>
  <c r="L185" i="60" s="1"/>
  <c r="K183" i="60"/>
  <c r="G183" i="60"/>
  <c r="W182" i="60"/>
  <c r="S182" i="60"/>
  <c r="O182" i="60"/>
  <c r="P182" i="60" s="1"/>
  <c r="W192" i="60"/>
  <c r="X192" i="60" s="1"/>
  <c r="S192" i="60"/>
  <c r="T192" i="60" s="1"/>
  <c r="W191" i="60"/>
  <c r="X191" i="60" s="1"/>
  <c r="S191" i="60"/>
  <c r="T191" i="60" s="1"/>
  <c r="W190" i="60"/>
  <c r="S190" i="60"/>
  <c r="W189" i="60"/>
  <c r="X189" i="60" s="1"/>
  <c r="S189" i="60"/>
  <c r="T189" i="60" s="1"/>
  <c r="W188" i="60"/>
  <c r="S188" i="60"/>
  <c r="W187" i="60"/>
  <c r="X187" i="60" s="1"/>
  <c r="S187" i="60"/>
  <c r="T187" i="60" s="1"/>
  <c r="W186" i="60"/>
  <c r="X186" i="60" s="1"/>
  <c r="S186" i="60"/>
  <c r="T186" i="60" s="1"/>
  <c r="K186" i="60"/>
  <c r="L186" i="60" s="1"/>
  <c r="W184" i="60"/>
  <c r="X184" i="60" s="1"/>
  <c r="S184" i="60"/>
  <c r="T184" i="60" s="1"/>
  <c r="W183" i="60"/>
  <c r="X183" i="60" s="1"/>
  <c r="S183" i="60"/>
  <c r="T183" i="60" s="1"/>
  <c r="O183" i="60"/>
  <c r="P183" i="60" s="1"/>
  <c r="K182" i="60"/>
  <c r="G182" i="60"/>
  <c r="W141" i="60"/>
  <c r="S141" i="60"/>
  <c r="K139" i="60"/>
  <c r="G139" i="60"/>
  <c r="W138" i="60"/>
  <c r="S138" i="60"/>
  <c r="O138" i="60"/>
  <c r="P138" i="60" s="1"/>
  <c r="W148" i="60"/>
  <c r="X148" i="60" s="1"/>
  <c r="S148" i="60"/>
  <c r="T148" i="60" s="1"/>
  <c r="W147" i="60"/>
  <c r="X147" i="60" s="1"/>
  <c r="S147" i="60"/>
  <c r="T147" i="60" s="1"/>
  <c r="W146" i="60"/>
  <c r="W145" i="60"/>
  <c r="X145" i="60" s="1"/>
  <c r="S145" i="60"/>
  <c r="T145" i="60" s="1"/>
  <c r="W144" i="60"/>
  <c r="W143" i="60"/>
  <c r="X143" i="60" s="1"/>
  <c r="S143" i="60"/>
  <c r="T143" i="60" s="1"/>
  <c r="W142" i="60"/>
  <c r="X142" i="60" s="1"/>
  <c r="S142" i="60"/>
  <c r="T142" i="60" s="1"/>
  <c r="K142" i="60"/>
  <c r="L142" i="60" s="1"/>
  <c r="K138" i="60"/>
  <c r="S146" i="60"/>
  <c r="S144" i="60"/>
  <c r="W140" i="60"/>
  <c r="X140" i="60" s="1"/>
  <c r="S140" i="60"/>
  <c r="T140" i="60" s="1"/>
  <c r="W139" i="60"/>
  <c r="X139" i="60" s="1"/>
  <c r="S139" i="60"/>
  <c r="T139" i="60" s="1"/>
  <c r="O139" i="60"/>
  <c r="P139" i="60" s="1"/>
  <c r="G138" i="60"/>
  <c r="W86" i="60"/>
  <c r="S86" i="60"/>
  <c r="K86" i="60"/>
  <c r="L86" i="60" s="1"/>
  <c r="K84" i="60"/>
  <c r="G84" i="60"/>
  <c r="W83" i="60"/>
  <c r="S83" i="60"/>
  <c r="O83" i="60"/>
  <c r="P83" i="60" s="1"/>
  <c r="W93" i="60"/>
  <c r="X93" i="60" s="1"/>
  <c r="S93" i="60"/>
  <c r="T93" i="60" s="1"/>
  <c r="W92" i="60"/>
  <c r="X92" i="60" s="1"/>
  <c r="S92" i="60"/>
  <c r="T92" i="60" s="1"/>
  <c r="W91" i="60"/>
  <c r="W90" i="60"/>
  <c r="X90" i="60" s="1"/>
  <c r="S90" i="60"/>
  <c r="T90" i="60" s="1"/>
  <c r="W89" i="60"/>
  <c r="W88" i="60"/>
  <c r="X88" i="60" s="1"/>
  <c r="S88" i="60"/>
  <c r="T88" i="60" s="1"/>
  <c r="W87" i="60"/>
  <c r="X87" i="60" s="1"/>
  <c r="S87" i="60"/>
  <c r="T87" i="60" s="1"/>
  <c r="K87" i="60"/>
  <c r="L87" i="60" s="1"/>
  <c r="K83" i="60"/>
  <c r="S91" i="60"/>
  <c r="S89" i="60"/>
  <c r="W85" i="60"/>
  <c r="X85" i="60" s="1"/>
  <c r="S85" i="60"/>
  <c r="T85" i="60" s="1"/>
  <c r="W84" i="60"/>
  <c r="X84" i="60" s="1"/>
  <c r="S84" i="60"/>
  <c r="T84" i="60" s="1"/>
  <c r="O84" i="60"/>
  <c r="P84" i="60" s="1"/>
  <c r="G83" i="60"/>
  <c r="W64" i="60"/>
  <c r="S64" i="60"/>
  <c r="K64" i="60"/>
  <c r="L64" i="60" s="1"/>
  <c r="K62" i="60"/>
  <c r="G62" i="60"/>
  <c r="W61" i="60"/>
  <c r="O61" i="60"/>
  <c r="P61" i="60" s="1"/>
  <c r="W71" i="60"/>
  <c r="X71" i="60" s="1"/>
  <c r="S71" i="60"/>
  <c r="T71" i="60" s="1"/>
  <c r="W70" i="60"/>
  <c r="X70" i="60" s="1"/>
  <c r="S70" i="60"/>
  <c r="T70" i="60" s="1"/>
  <c r="W69" i="60"/>
  <c r="W68" i="60"/>
  <c r="X68" i="60" s="1"/>
  <c r="S68" i="60"/>
  <c r="T68" i="60" s="1"/>
  <c r="W67" i="60"/>
  <c r="W66" i="60"/>
  <c r="X66" i="60" s="1"/>
  <c r="S66" i="60"/>
  <c r="T66" i="60" s="1"/>
  <c r="W65" i="60"/>
  <c r="X65" i="60" s="1"/>
  <c r="S65" i="60"/>
  <c r="T65" i="60" s="1"/>
  <c r="K65" i="60"/>
  <c r="L65" i="60" s="1"/>
  <c r="K61" i="60"/>
  <c r="S69" i="60"/>
  <c r="S67" i="60"/>
  <c r="W63" i="60"/>
  <c r="X63" i="60" s="1"/>
  <c r="S63" i="60"/>
  <c r="T63" i="60" s="1"/>
  <c r="W62" i="60"/>
  <c r="X62" i="60" s="1"/>
  <c r="S62" i="60"/>
  <c r="T62" i="60" s="1"/>
  <c r="O62" i="60"/>
  <c r="P62" i="60" s="1"/>
  <c r="G61" i="60"/>
  <c r="W20" i="60"/>
  <c r="S20" i="60"/>
  <c r="K20" i="60"/>
  <c r="L20" i="60" s="1"/>
  <c r="K18" i="60"/>
  <c r="G18" i="60"/>
  <c r="W17" i="60"/>
  <c r="O17" i="60"/>
  <c r="P17" i="60" s="1"/>
  <c r="W27" i="60"/>
  <c r="X27" i="60" s="1"/>
  <c r="S27" i="60"/>
  <c r="T27" i="60" s="1"/>
  <c r="W26" i="60"/>
  <c r="X26" i="60" s="1"/>
  <c r="S26" i="60"/>
  <c r="T26" i="60" s="1"/>
  <c r="W25" i="60"/>
  <c r="W24" i="60"/>
  <c r="X24" i="60" s="1"/>
  <c r="S24" i="60"/>
  <c r="T24" i="60" s="1"/>
  <c r="W23" i="60"/>
  <c r="W22" i="60"/>
  <c r="X22" i="60" s="1"/>
  <c r="S22" i="60"/>
  <c r="T22" i="60" s="1"/>
  <c r="W21" i="60"/>
  <c r="X21" i="60" s="1"/>
  <c r="S21" i="60"/>
  <c r="T21" i="60" s="1"/>
  <c r="K21" i="60"/>
  <c r="L21" i="60" s="1"/>
  <c r="K17" i="60"/>
  <c r="S25" i="60"/>
  <c r="S23" i="60"/>
  <c r="W19" i="60"/>
  <c r="X19" i="60" s="1"/>
  <c r="S19" i="60"/>
  <c r="T19" i="60" s="1"/>
  <c r="W18" i="60"/>
  <c r="X18" i="60" s="1"/>
  <c r="S18" i="60"/>
  <c r="T18" i="60" s="1"/>
  <c r="O18" i="60"/>
  <c r="P18" i="60" s="1"/>
  <c r="G17" i="60"/>
  <c r="W174" i="60"/>
  <c r="S174" i="60"/>
  <c r="K174" i="60"/>
  <c r="L174" i="60" s="1"/>
  <c r="K172" i="60"/>
  <c r="G172" i="60"/>
  <c r="W171" i="60"/>
  <c r="O171" i="60"/>
  <c r="P171" i="60" s="1"/>
  <c r="W181" i="60"/>
  <c r="X181" i="60" s="1"/>
  <c r="S181" i="60"/>
  <c r="T181" i="60" s="1"/>
  <c r="W180" i="60"/>
  <c r="X180" i="60" s="1"/>
  <c r="S180" i="60"/>
  <c r="T180" i="60" s="1"/>
  <c r="W179" i="60"/>
  <c r="S179" i="60"/>
  <c r="W178" i="60"/>
  <c r="X178" i="60" s="1"/>
  <c r="S178" i="60"/>
  <c r="T178" i="60" s="1"/>
  <c r="W177" i="60"/>
  <c r="S177" i="60"/>
  <c r="W176" i="60"/>
  <c r="X176" i="60" s="1"/>
  <c r="S176" i="60"/>
  <c r="T176" i="60" s="1"/>
  <c r="W175" i="60"/>
  <c r="X175" i="60" s="1"/>
  <c r="S175" i="60"/>
  <c r="T175" i="60" s="1"/>
  <c r="K175" i="60"/>
  <c r="L175" i="60" s="1"/>
  <c r="W173" i="60"/>
  <c r="X173" i="60" s="1"/>
  <c r="S173" i="60"/>
  <c r="T173" i="60" s="1"/>
  <c r="W172" i="60"/>
  <c r="X172" i="60" s="1"/>
  <c r="S172" i="60"/>
  <c r="T172" i="60" s="1"/>
  <c r="O172" i="60"/>
  <c r="P172" i="60" s="1"/>
  <c r="K171" i="60"/>
  <c r="G171" i="60"/>
  <c r="W152" i="60"/>
  <c r="S152" i="60"/>
  <c r="K152" i="60"/>
  <c r="L152" i="60" s="1"/>
  <c r="K150" i="60"/>
  <c r="G150" i="60"/>
  <c r="W149" i="60"/>
  <c r="O149" i="60"/>
  <c r="P149" i="60" s="1"/>
  <c r="W159" i="60"/>
  <c r="X159" i="60" s="1"/>
  <c r="S159" i="60"/>
  <c r="T159" i="60" s="1"/>
  <c r="W158" i="60"/>
  <c r="X158" i="60" s="1"/>
  <c r="S158" i="60"/>
  <c r="T158" i="60" s="1"/>
  <c r="W157" i="60"/>
  <c r="W156" i="60"/>
  <c r="X156" i="60" s="1"/>
  <c r="S156" i="60"/>
  <c r="T156" i="60" s="1"/>
  <c r="W155" i="60"/>
  <c r="W154" i="60"/>
  <c r="X154" i="60" s="1"/>
  <c r="S154" i="60"/>
  <c r="T154" i="60" s="1"/>
  <c r="W153" i="60"/>
  <c r="X153" i="60" s="1"/>
  <c r="S153" i="60"/>
  <c r="T153" i="60" s="1"/>
  <c r="K153" i="60"/>
  <c r="L153" i="60" s="1"/>
  <c r="K149" i="60"/>
  <c r="S157" i="60"/>
  <c r="S155" i="60"/>
  <c r="W151" i="60"/>
  <c r="X151" i="60" s="1"/>
  <c r="S151" i="60"/>
  <c r="T151" i="60" s="1"/>
  <c r="W150" i="60"/>
  <c r="X150" i="60" s="1"/>
  <c r="S150" i="60"/>
  <c r="T150" i="60" s="1"/>
  <c r="O150" i="60"/>
  <c r="P150" i="60" s="1"/>
  <c r="G149" i="60"/>
  <c r="W119" i="60"/>
  <c r="S119" i="60"/>
  <c r="K119" i="60"/>
  <c r="L119" i="60" s="1"/>
  <c r="K117" i="60"/>
  <c r="G117" i="60"/>
  <c r="O116" i="60"/>
  <c r="P116" i="60" s="1"/>
  <c r="W126" i="60"/>
  <c r="X126" i="60" s="1"/>
  <c r="S126" i="60"/>
  <c r="T126" i="60" s="1"/>
  <c r="W125" i="60"/>
  <c r="X125" i="60" s="1"/>
  <c r="S125" i="60"/>
  <c r="T125" i="60" s="1"/>
  <c r="W124" i="60"/>
  <c r="W123" i="60"/>
  <c r="X123" i="60" s="1"/>
  <c r="S123" i="60"/>
  <c r="T123" i="60" s="1"/>
  <c r="W122" i="60"/>
  <c r="W121" i="60"/>
  <c r="X121" i="60" s="1"/>
  <c r="S121" i="60"/>
  <c r="T121" i="60" s="1"/>
  <c r="W120" i="60"/>
  <c r="X120" i="60" s="1"/>
  <c r="S120" i="60"/>
  <c r="T120" i="60" s="1"/>
  <c r="K120" i="60"/>
  <c r="L120" i="60" s="1"/>
  <c r="K116" i="60"/>
  <c r="S124" i="60"/>
  <c r="S122" i="60"/>
  <c r="W118" i="60"/>
  <c r="X118" i="60" s="1"/>
  <c r="S118" i="60"/>
  <c r="T118" i="60" s="1"/>
  <c r="W117" i="60"/>
  <c r="X117" i="60" s="1"/>
  <c r="S117" i="60"/>
  <c r="T117" i="60" s="1"/>
  <c r="O117" i="60"/>
  <c r="P117" i="60" s="1"/>
  <c r="G116" i="60"/>
  <c r="W97" i="60"/>
  <c r="S97" i="60"/>
  <c r="K95" i="60"/>
  <c r="G95" i="60"/>
  <c r="W94" i="60"/>
  <c r="S94" i="60"/>
  <c r="O94" i="60"/>
  <c r="P94" i="60" s="1"/>
  <c r="W104" i="60"/>
  <c r="X104" i="60" s="1"/>
  <c r="S104" i="60"/>
  <c r="T104" i="60" s="1"/>
  <c r="W103" i="60"/>
  <c r="X103" i="60" s="1"/>
  <c r="S103" i="60"/>
  <c r="T103" i="60" s="1"/>
  <c r="W102" i="60"/>
  <c r="W101" i="60"/>
  <c r="X101" i="60" s="1"/>
  <c r="S101" i="60"/>
  <c r="T101" i="60" s="1"/>
  <c r="W100" i="60"/>
  <c r="W99" i="60"/>
  <c r="X99" i="60" s="1"/>
  <c r="S99" i="60"/>
  <c r="T99" i="60" s="1"/>
  <c r="W98" i="60"/>
  <c r="X98" i="60" s="1"/>
  <c r="S98" i="60"/>
  <c r="T98" i="60" s="1"/>
  <c r="K98" i="60"/>
  <c r="L98" i="60" s="1"/>
  <c r="K94" i="60"/>
  <c r="S102" i="60"/>
  <c r="S100" i="60"/>
  <c r="W96" i="60"/>
  <c r="X96" i="60" s="1"/>
  <c r="S96" i="60"/>
  <c r="T96" i="60" s="1"/>
  <c r="W95" i="60"/>
  <c r="X95" i="60" s="1"/>
  <c r="S95" i="60"/>
  <c r="T95" i="60" s="1"/>
  <c r="O95" i="60"/>
  <c r="P95" i="60" s="1"/>
  <c r="G94" i="60"/>
  <c r="W75" i="60"/>
  <c r="S75" i="60"/>
  <c r="K73" i="60"/>
  <c r="G73" i="60"/>
  <c r="W72" i="60"/>
  <c r="S72" i="60"/>
  <c r="O72" i="60"/>
  <c r="P72" i="60" s="1"/>
  <c r="W82" i="60"/>
  <c r="X82" i="60" s="1"/>
  <c r="S82" i="60"/>
  <c r="T82" i="60" s="1"/>
  <c r="W81" i="60"/>
  <c r="X81" i="60" s="1"/>
  <c r="S81" i="60"/>
  <c r="T81" i="60" s="1"/>
  <c r="W80" i="60"/>
  <c r="W79" i="60"/>
  <c r="X79" i="60" s="1"/>
  <c r="S79" i="60"/>
  <c r="T79" i="60" s="1"/>
  <c r="W78" i="60"/>
  <c r="W77" i="60"/>
  <c r="X77" i="60" s="1"/>
  <c r="S77" i="60"/>
  <c r="T77" i="60" s="1"/>
  <c r="W76" i="60"/>
  <c r="X76" i="60" s="1"/>
  <c r="S76" i="60"/>
  <c r="T76" i="60" s="1"/>
  <c r="K76" i="60"/>
  <c r="L76" i="60" s="1"/>
  <c r="K72" i="60"/>
  <c r="S80" i="60"/>
  <c r="S78" i="60"/>
  <c r="W74" i="60"/>
  <c r="X74" i="60" s="1"/>
  <c r="S74" i="60"/>
  <c r="T74" i="60" s="1"/>
  <c r="W73" i="60"/>
  <c r="X73" i="60" s="1"/>
  <c r="S73" i="60"/>
  <c r="T73" i="60" s="1"/>
  <c r="O73" i="60"/>
  <c r="P73" i="60" s="1"/>
  <c r="G72" i="60"/>
  <c r="W53" i="60"/>
  <c r="S53" i="60"/>
  <c r="K53" i="60"/>
  <c r="L53" i="60" s="1"/>
  <c r="K51" i="60"/>
  <c r="G51" i="60"/>
  <c r="W50" i="60"/>
  <c r="S50" i="60"/>
  <c r="O50" i="60"/>
  <c r="P50" i="60" s="1"/>
  <c r="W60" i="60"/>
  <c r="X60" i="60" s="1"/>
  <c r="S60" i="60"/>
  <c r="T60" i="60" s="1"/>
  <c r="W59" i="60"/>
  <c r="X59" i="60" s="1"/>
  <c r="S59" i="60"/>
  <c r="T59" i="60" s="1"/>
  <c r="W58" i="60"/>
  <c r="W57" i="60"/>
  <c r="X57" i="60" s="1"/>
  <c r="S57" i="60"/>
  <c r="T57" i="60" s="1"/>
  <c r="W56" i="60"/>
  <c r="W55" i="60"/>
  <c r="X55" i="60" s="1"/>
  <c r="S55" i="60"/>
  <c r="T55" i="60" s="1"/>
  <c r="W54" i="60"/>
  <c r="X54" i="60" s="1"/>
  <c r="S54" i="60"/>
  <c r="T54" i="60" s="1"/>
  <c r="K54" i="60"/>
  <c r="L54" i="60" s="1"/>
  <c r="K50" i="60"/>
  <c r="S58" i="60"/>
  <c r="S56" i="60"/>
  <c r="W52" i="60"/>
  <c r="X52" i="60" s="1"/>
  <c r="S52" i="60"/>
  <c r="T52" i="60" s="1"/>
  <c r="W51" i="60"/>
  <c r="X51" i="60" s="1"/>
  <c r="S51" i="60"/>
  <c r="T51" i="60" s="1"/>
  <c r="O51" i="60"/>
  <c r="P51" i="60" s="1"/>
  <c r="G50" i="60"/>
  <c r="W31" i="60"/>
  <c r="S31" i="60"/>
  <c r="K31" i="60"/>
  <c r="L31" i="60" s="1"/>
  <c r="K29" i="60"/>
  <c r="G29" i="60"/>
  <c r="W28" i="60"/>
  <c r="O28" i="60"/>
  <c r="P28" i="60" s="1"/>
  <c r="W38" i="60"/>
  <c r="X38" i="60" s="1"/>
  <c r="S38" i="60"/>
  <c r="T38" i="60" s="1"/>
  <c r="W37" i="60"/>
  <c r="X37" i="60" s="1"/>
  <c r="S37" i="60"/>
  <c r="T37" i="60" s="1"/>
  <c r="W36" i="60"/>
  <c r="W35" i="60"/>
  <c r="X35" i="60" s="1"/>
  <c r="S35" i="60"/>
  <c r="T35" i="60" s="1"/>
  <c r="W34" i="60"/>
  <c r="W33" i="60"/>
  <c r="X33" i="60" s="1"/>
  <c r="S33" i="60"/>
  <c r="T33" i="60" s="1"/>
  <c r="W32" i="60"/>
  <c r="X32" i="60" s="1"/>
  <c r="S32" i="60"/>
  <c r="T32" i="60" s="1"/>
  <c r="K32" i="60"/>
  <c r="L32" i="60" s="1"/>
  <c r="K28" i="60"/>
  <c r="S36" i="60"/>
  <c r="S34" i="60"/>
  <c r="W30" i="60"/>
  <c r="X30" i="60" s="1"/>
  <c r="S30" i="60"/>
  <c r="T30" i="60" s="1"/>
  <c r="W29" i="60"/>
  <c r="X29" i="60" s="1"/>
  <c r="S29" i="60"/>
  <c r="T29" i="60" s="1"/>
  <c r="O29" i="60"/>
  <c r="P29" i="60" s="1"/>
  <c r="G28" i="60"/>
  <c r="W163" i="60"/>
  <c r="S163" i="60"/>
  <c r="K163" i="60"/>
  <c r="L163" i="60" s="1"/>
  <c r="K161" i="60"/>
  <c r="G161" i="60"/>
  <c r="W160" i="60"/>
  <c r="S160" i="60"/>
  <c r="O160" i="60"/>
  <c r="P160" i="60" s="1"/>
  <c r="W170" i="60"/>
  <c r="X170" i="60" s="1"/>
  <c r="S170" i="60"/>
  <c r="T170" i="60" s="1"/>
  <c r="W169" i="60"/>
  <c r="X169" i="60" s="1"/>
  <c r="S169" i="60"/>
  <c r="T169" i="60" s="1"/>
  <c r="W168" i="60"/>
  <c r="W167" i="60"/>
  <c r="X167" i="60" s="1"/>
  <c r="S167" i="60"/>
  <c r="T167" i="60" s="1"/>
  <c r="W166" i="60"/>
  <c r="W165" i="60"/>
  <c r="X165" i="60" s="1"/>
  <c r="S165" i="60"/>
  <c r="T165" i="60" s="1"/>
  <c r="W164" i="60"/>
  <c r="X164" i="60" s="1"/>
  <c r="S164" i="60"/>
  <c r="T164" i="60" s="1"/>
  <c r="K164" i="60"/>
  <c r="L164" i="60" s="1"/>
  <c r="K160" i="60"/>
  <c r="S168" i="60"/>
  <c r="S166" i="60"/>
  <c r="W162" i="60"/>
  <c r="X162" i="60" s="1"/>
  <c r="S162" i="60"/>
  <c r="T162" i="60" s="1"/>
  <c r="W161" i="60"/>
  <c r="X161" i="60" s="1"/>
  <c r="S161" i="60"/>
  <c r="T161" i="60" s="1"/>
  <c r="O161" i="60"/>
  <c r="P161" i="60" s="1"/>
  <c r="G160" i="60"/>
  <c r="W108" i="60"/>
  <c r="S108" i="60"/>
  <c r="K108" i="60"/>
  <c r="L108" i="60" s="1"/>
  <c r="K106" i="60"/>
  <c r="G106" i="60"/>
  <c r="W105" i="60"/>
  <c r="O105" i="60"/>
  <c r="P105" i="60" s="1"/>
  <c r="W115" i="60"/>
  <c r="X115" i="60" s="1"/>
  <c r="S115" i="60"/>
  <c r="T115" i="60" s="1"/>
  <c r="W114" i="60"/>
  <c r="X114" i="60" s="1"/>
  <c r="S114" i="60"/>
  <c r="T114" i="60" s="1"/>
  <c r="W113" i="60"/>
  <c r="W112" i="60"/>
  <c r="X112" i="60" s="1"/>
  <c r="S112" i="60"/>
  <c r="T112" i="60" s="1"/>
  <c r="W111" i="60"/>
  <c r="W110" i="60"/>
  <c r="X110" i="60" s="1"/>
  <c r="S110" i="60"/>
  <c r="T110" i="60" s="1"/>
  <c r="W109" i="60"/>
  <c r="X109" i="60" s="1"/>
  <c r="S109" i="60"/>
  <c r="T109" i="60" s="1"/>
  <c r="K109" i="60"/>
  <c r="L109" i="60" s="1"/>
  <c r="K105" i="60"/>
  <c r="S113" i="60"/>
  <c r="S111" i="60"/>
  <c r="W107" i="60"/>
  <c r="X107" i="60" s="1"/>
  <c r="S107" i="60"/>
  <c r="T107" i="60" s="1"/>
  <c r="W106" i="60"/>
  <c r="X106" i="60" s="1"/>
  <c r="S106" i="60"/>
  <c r="T106" i="60" s="1"/>
  <c r="O106" i="60"/>
  <c r="P106" i="60" s="1"/>
  <c r="G105" i="60"/>
  <c r="W42" i="60"/>
  <c r="S42" i="60"/>
  <c r="K42" i="60"/>
  <c r="L42" i="60" s="1"/>
  <c r="K40" i="60"/>
  <c r="G40" i="60"/>
  <c r="S39" i="60"/>
  <c r="O39" i="60"/>
  <c r="P39" i="60" s="1"/>
  <c r="W49" i="60"/>
  <c r="X49" i="60" s="1"/>
  <c r="S49" i="60"/>
  <c r="T49" i="60" s="1"/>
  <c r="W48" i="60"/>
  <c r="X48" i="60" s="1"/>
  <c r="S48" i="60"/>
  <c r="T48" i="60" s="1"/>
  <c r="W47" i="60"/>
  <c r="W46" i="60"/>
  <c r="X46" i="60" s="1"/>
  <c r="S46" i="60"/>
  <c r="T46" i="60" s="1"/>
  <c r="W45" i="60"/>
  <c r="W44" i="60"/>
  <c r="X44" i="60" s="1"/>
  <c r="S44" i="60"/>
  <c r="T44" i="60" s="1"/>
  <c r="W43" i="60"/>
  <c r="X43" i="60" s="1"/>
  <c r="S43" i="60"/>
  <c r="T43" i="60" s="1"/>
  <c r="K43" i="60"/>
  <c r="L43" i="60" s="1"/>
  <c r="K39" i="60"/>
  <c r="S47" i="60"/>
  <c r="S45" i="60"/>
  <c r="W41" i="60"/>
  <c r="X41" i="60" s="1"/>
  <c r="S41" i="60"/>
  <c r="T41" i="60" s="1"/>
  <c r="W40" i="60"/>
  <c r="X40" i="60" s="1"/>
  <c r="S40" i="60"/>
  <c r="T40" i="60" s="1"/>
  <c r="O40" i="60"/>
  <c r="P40" i="60" s="1"/>
  <c r="G39" i="60"/>
  <c r="D413" i="60"/>
  <c r="C402" i="60"/>
  <c r="C358" i="60"/>
  <c r="D358" i="60"/>
  <c r="D380" i="60"/>
  <c r="C413" i="60"/>
  <c r="D369" i="60"/>
  <c r="C369" i="60"/>
  <c r="D402" i="60"/>
  <c r="D391" i="60"/>
  <c r="C391" i="60"/>
  <c r="D347" i="60"/>
  <c r="C347" i="60"/>
  <c r="C380" i="60"/>
  <c r="D248" i="60"/>
  <c r="C248" i="60"/>
  <c r="B264" i="60"/>
  <c r="B341" i="57"/>
  <c r="W341" i="57" s="1"/>
  <c r="X341" i="57" s="1"/>
  <c r="B319" i="57"/>
  <c r="W322" i="57" s="1"/>
  <c r="B297" i="57"/>
  <c r="W299" i="57" s="1"/>
  <c r="X299" i="57" s="1"/>
  <c r="B275" i="57"/>
  <c r="K271" i="57" s="1"/>
  <c r="B220" i="60"/>
  <c r="B198" i="60"/>
  <c r="D391" i="59"/>
  <c r="C391" i="59"/>
  <c r="C413" i="59"/>
  <c r="D413" i="59"/>
  <c r="C490" i="59"/>
  <c r="D490" i="59"/>
  <c r="Q496" i="59" s="1"/>
  <c r="C380" i="59"/>
  <c r="D380" i="59"/>
  <c r="D402" i="59"/>
  <c r="C424" i="59"/>
  <c r="D424" i="59"/>
  <c r="D446" i="59"/>
  <c r="Q452" i="59" s="1"/>
  <c r="C435" i="59"/>
  <c r="D435" i="59"/>
  <c r="C402" i="59"/>
  <c r="C446" i="59"/>
  <c r="B330" i="57"/>
  <c r="W332" i="57" s="1"/>
  <c r="X332" i="57" s="1"/>
  <c r="B308" i="57"/>
  <c r="S306" i="57" s="1"/>
  <c r="B286" i="57"/>
  <c r="W291" i="57" s="1"/>
  <c r="X291" i="57" s="1"/>
  <c r="B231" i="60"/>
  <c r="B209" i="60"/>
  <c r="D413" i="57"/>
  <c r="C413" i="57"/>
  <c r="D391" i="57"/>
  <c r="C391" i="57"/>
  <c r="C369" i="57"/>
  <c r="D402" i="57"/>
  <c r="C402" i="57"/>
  <c r="C358" i="57"/>
  <c r="D358" i="57"/>
  <c r="D369" i="57"/>
  <c r="C347" i="57"/>
  <c r="D347" i="57"/>
  <c r="D380" i="57"/>
  <c r="C380" i="57"/>
  <c r="A47" i="26"/>
  <c r="B264" i="57"/>
  <c r="S266" i="57" s="1"/>
  <c r="T445" i="60"/>
  <c r="B253" i="57"/>
  <c r="B11" i="60"/>
  <c r="D171" i="60"/>
  <c r="C171" i="60"/>
  <c r="D72" i="60"/>
  <c r="C72" i="60"/>
  <c r="D424" i="60"/>
  <c r="C424" i="60"/>
  <c r="D149" i="60"/>
  <c r="C149" i="60"/>
  <c r="D116" i="60"/>
  <c r="C116" i="60"/>
  <c r="C94" i="60"/>
  <c r="D94" i="60"/>
  <c r="D50" i="60"/>
  <c r="C50" i="60"/>
  <c r="C28" i="60"/>
  <c r="D28" i="60"/>
  <c r="C127" i="60"/>
  <c r="C182" i="60"/>
  <c r="D182" i="60"/>
  <c r="C160" i="60"/>
  <c r="D160" i="60"/>
  <c r="C138" i="60"/>
  <c r="D138" i="60"/>
  <c r="C105" i="60"/>
  <c r="D105" i="60"/>
  <c r="C83" i="60"/>
  <c r="D83" i="60"/>
  <c r="C61" i="60"/>
  <c r="D61" i="60"/>
  <c r="D39" i="60"/>
  <c r="C39" i="60"/>
  <c r="C17" i="60"/>
  <c r="D17" i="60"/>
  <c r="D127" i="60"/>
  <c r="B11" i="59"/>
  <c r="K10" i="59" s="1"/>
  <c r="D127" i="59"/>
  <c r="C127" i="59"/>
  <c r="W894" i="57"/>
  <c r="B220" i="57"/>
  <c r="S225" i="57" s="1"/>
  <c r="B220" i="59"/>
  <c r="B176" i="57"/>
  <c r="W179" i="57" s="1"/>
  <c r="B176" i="59"/>
  <c r="B121" i="57"/>
  <c r="B121" i="59"/>
  <c r="B77" i="57"/>
  <c r="B77" i="59"/>
  <c r="B33" i="57"/>
  <c r="B33" i="59"/>
  <c r="B242" i="57"/>
  <c r="B198" i="57"/>
  <c r="W203" i="57" s="1"/>
  <c r="X203" i="57" s="1"/>
  <c r="B198" i="59"/>
  <c r="B154" i="57"/>
  <c r="W150" i="57" s="1"/>
  <c r="X150" i="57" s="1"/>
  <c r="B154" i="59"/>
  <c r="B99" i="57"/>
  <c r="W102" i="57" s="1"/>
  <c r="B99" i="59"/>
  <c r="B55" i="57"/>
  <c r="B55" i="59"/>
  <c r="B231" i="57"/>
  <c r="O226" i="57" s="1"/>
  <c r="P226" i="57" s="1"/>
  <c r="B231" i="59"/>
  <c r="B209" i="57"/>
  <c r="S213" i="57" s="1"/>
  <c r="B187" i="57"/>
  <c r="S183" i="57" s="1"/>
  <c r="T183" i="57" s="1"/>
  <c r="B187" i="59"/>
  <c r="B165" i="57"/>
  <c r="K161" i="57" s="1"/>
  <c r="B165" i="59"/>
  <c r="B143" i="57"/>
  <c r="B143" i="59"/>
  <c r="B110" i="57"/>
  <c r="B110" i="59"/>
  <c r="B88" i="57"/>
  <c r="W91" i="57" s="1"/>
  <c r="B88" i="59"/>
  <c r="B66" i="57"/>
  <c r="B66" i="59"/>
  <c r="B44" i="57"/>
  <c r="B44" i="59"/>
  <c r="B17" i="57"/>
  <c r="B22" i="59"/>
  <c r="C127" i="57"/>
  <c r="D127" i="57"/>
  <c r="H1" i="57"/>
  <c r="T776" i="60" l="1"/>
  <c r="Z776" i="60" s="1"/>
  <c r="AC781" i="60" s="1"/>
  <c r="H446" i="60"/>
  <c r="X487" i="60"/>
  <c r="H809" i="60"/>
  <c r="AN39" i="26"/>
  <c r="H457" i="60" s="1"/>
  <c r="X465" i="60"/>
  <c r="H655" i="60"/>
  <c r="L669" i="60"/>
  <c r="L523" i="60"/>
  <c r="X644" i="60"/>
  <c r="T482" i="60"/>
  <c r="AN47" i="26"/>
  <c r="L501" i="60"/>
  <c r="AN31" i="26"/>
  <c r="L490" i="60"/>
  <c r="AN21" i="26"/>
  <c r="H578" i="60" s="1"/>
  <c r="L614" i="60"/>
  <c r="L589" i="60"/>
  <c r="AN16" i="26"/>
  <c r="C226" i="60"/>
  <c r="D193" i="60"/>
  <c r="W312" i="60"/>
  <c r="X312" i="60" s="1"/>
  <c r="W280" i="60"/>
  <c r="X280" i="60" s="1"/>
  <c r="S323" i="60"/>
  <c r="T323" i="60" s="1"/>
  <c r="D204" i="60"/>
  <c r="W291" i="60"/>
  <c r="X291" i="60" s="1"/>
  <c r="W334" i="60"/>
  <c r="X334" i="60" s="1"/>
  <c r="S246" i="60"/>
  <c r="T246" i="60" s="1"/>
  <c r="W301" i="60"/>
  <c r="X301" i="60" s="1"/>
  <c r="S345" i="60"/>
  <c r="T345" i="60" s="1"/>
  <c r="X633" i="60"/>
  <c r="X600" i="60"/>
  <c r="X636" i="60"/>
  <c r="X603" i="60"/>
  <c r="T656" i="60"/>
  <c r="T641" i="60"/>
  <c r="T652" i="60"/>
  <c r="H479" i="60"/>
  <c r="T645" i="60"/>
  <c r="T614" i="60"/>
  <c r="X625" i="60"/>
  <c r="C61" i="57"/>
  <c r="G61" i="57"/>
  <c r="G62" i="57"/>
  <c r="S25" i="57"/>
  <c r="W25" i="57"/>
  <c r="W17" i="57"/>
  <c r="S18" i="57"/>
  <c r="T18" i="57" s="1"/>
  <c r="S17" i="57"/>
  <c r="W36" i="57"/>
  <c r="S36" i="57"/>
  <c r="H754" i="60"/>
  <c r="H677" i="60"/>
  <c r="H711" i="60"/>
  <c r="T568" i="60"/>
  <c r="H743" i="60"/>
  <c r="X614" i="60"/>
  <c r="X501" i="60"/>
  <c r="H666" i="60"/>
  <c r="H688" i="60"/>
  <c r="L622" i="60"/>
  <c r="L644" i="60"/>
  <c r="T630" i="60"/>
  <c r="H644" i="60"/>
  <c r="X592" i="60"/>
  <c r="T619" i="60"/>
  <c r="T586" i="60"/>
  <c r="T590" i="60"/>
  <c r="L765" i="60"/>
  <c r="T557" i="60"/>
  <c r="T644" i="60"/>
  <c r="X512" i="60"/>
  <c r="H567" i="60"/>
  <c r="H721" i="60"/>
  <c r="H732" i="60"/>
  <c r="H622" i="60"/>
  <c r="H633" i="60"/>
  <c r="T623" i="60"/>
  <c r="T765" i="60"/>
  <c r="X578" i="60"/>
  <c r="X589" i="60"/>
  <c r="T809" i="60"/>
  <c r="L809" i="60"/>
  <c r="X581" i="60"/>
  <c r="T597" i="60"/>
  <c r="T608" i="60"/>
  <c r="T535" i="60"/>
  <c r="T546" i="60"/>
  <c r="T677" i="60"/>
  <c r="H512" i="60"/>
  <c r="T612" i="60"/>
  <c r="X490" i="60"/>
  <c r="T601" i="60"/>
  <c r="H501" i="60"/>
  <c r="H523" i="60"/>
  <c r="T732" i="60"/>
  <c r="X570" i="60"/>
  <c r="H534" i="60"/>
  <c r="H545" i="60"/>
  <c r="T666" i="60"/>
  <c r="H699" i="60"/>
  <c r="H710" i="60"/>
  <c r="H600" i="60"/>
  <c r="H611" i="60"/>
  <c r="T743" i="60"/>
  <c r="X556" i="60"/>
  <c r="X567" i="60"/>
  <c r="T754" i="60"/>
  <c r="L754" i="60"/>
  <c r="T559" i="60"/>
  <c r="X559" i="60"/>
  <c r="T688" i="60"/>
  <c r="T699" i="60"/>
  <c r="T578" i="60"/>
  <c r="T655" i="60"/>
  <c r="T721" i="60"/>
  <c r="T710" i="60"/>
  <c r="X564" i="60"/>
  <c r="X630" i="60"/>
  <c r="L655" i="60"/>
  <c r="L732" i="60"/>
  <c r="X622" i="60"/>
  <c r="X710" i="60"/>
  <c r="T579" i="60"/>
  <c r="X548" i="60"/>
  <c r="T567" i="60"/>
  <c r="X545" i="60"/>
  <c r="T589" i="60"/>
  <c r="H589" i="60"/>
  <c r="T512" i="60"/>
  <c r="H490" i="60"/>
  <c r="W80" i="57"/>
  <c r="C72" i="57"/>
  <c r="D72" i="57"/>
  <c r="D50" i="57"/>
  <c r="C50" i="57"/>
  <c r="D17" i="57"/>
  <c r="C17" i="57"/>
  <c r="D39" i="57"/>
  <c r="C39" i="57"/>
  <c r="D28" i="57"/>
  <c r="C28" i="57"/>
  <c r="L548" i="60"/>
  <c r="T524" i="60"/>
  <c r="X479" i="60"/>
  <c r="X482" i="60"/>
  <c r="L534" i="60"/>
  <c r="T545" i="60"/>
  <c r="L493" i="60"/>
  <c r="T611" i="60"/>
  <c r="H556" i="60"/>
  <c r="X611" i="60"/>
  <c r="T523" i="60"/>
  <c r="T622" i="60"/>
  <c r="T600" i="60"/>
  <c r="T556" i="60"/>
  <c r="L537" i="60"/>
  <c r="T534" i="60"/>
  <c r="X471" i="60"/>
  <c r="W322" i="60"/>
  <c r="T225" i="57"/>
  <c r="T213" i="57"/>
  <c r="T266" i="57"/>
  <c r="T501" i="60"/>
  <c r="S312" i="60"/>
  <c r="T312" i="60" s="1"/>
  <c r="H468" i="60"/>
  <c r="D281" i="59"/>
  <c r="Q289" i="59" s="1"/>
  <c r="L449" i="60"/>
  <c r="W281" i="60"/>
  <c r="G325" i="60"/>
  <c r="S274" i="60"/>
  <c r="T274" i="60" s="1"/>
  <c r="K314" i="60"/>
  <c r="T490" i="60"/>
  <c r="C292" i="60"/>
  <c r="S288" i="60"/>
  <c r="T288" i="60" s="1"/>
  <c r="O292" i="60"/>
  <c r="P292" i="60" s="1"/>
  <c r="W343" i="60"/>
  <c r="X343" i="60" s="1"/>
  <c r="O304" i="60"/>
  <c r="P304" i="60" s="1"/>
  <c r="S300" i="60"/>
  <c r="S333" i="60"/>
  <c r="K240" i="60"/>
  <c r="L240" i="60" s="1"/>
  <c r="X468" i="60"/>
  <c r="G270" i="60"/>
  <c r="S278" i="60"/>
  <c r="G315" i="60"/>
  <c r="W318" i="60"/>
  <c r="X318" i="60" s="1"/>
  <c r="G304" i="60"/>
  <c r="S308" i="60"/>
  <c r="T308" i="60" s="1"/>
  <c r="T469" i="60"/>
  <c r="W271" i="60"/>
  <c r="X271" i="60" s="1"/>
  <c r="S280" i="60"/>
  <c r="T280" i="60" s="1"/>
  <c r="W314" i="60"/>
  <c r="W320" i="60"/>
  <c r="K304" i="60"/>
  <c r="S310" i="60"/>
  <c r="T310" i="60" s="1"/>
  <c r="D270" i="60"/>
  <c r="U273" i="60" s="1"/>
  <c r="O270" i="60"/>
  <c r="P270" i="60" s="1"/>
  <c r="S276" i="60"/>
  <c r="S316" i="60"/>
  <c r="T316" i="60" s="1"/>
  <c r="W324" i="60"/>
  <c r="X324" i="60" s="1"/>
  <c r="W305" i="60"/>
  <c r="X305" i="60" s="1"/>
  <c r="T446" i="60"/>
  <c r="T457" i="60"/>
  <c r="C325" i="60"/>
  <c r="O282" i="60"/>
  <c r="P282" i="60" s="1"/>
  <c r="S290" i="60"/>
  <c r="T290" i="60" s="1"/>
  <c r="W326" i="60"/>
  <c r="X326" i="60" s="1"/>
  <c r="S335" i="60"/>
  <c r="T335" i="60" s="1"/>
  <c r="S238" i="60"/>
  <c r="T238" i="60" s="1"/>
  <c r="W242" i="60"/>
  <c r="X242" i="60" s="1"/>
  <c r="G292" i="60"/>
  <c r="K339" i="60"/>
  <c r="L339" i="60" s="1"/>
  <c r="W283" i="60"/>
  <c r="X283" i="60" s="1"/>
  <c r="S325" i="60"/>
  <c r="S329" i="60"/>
  <c r="T329" i="60" s="1"/>
  <c r="K241" i="60"/>
  <c r="L241" i="60" s="1"/>
  <c r="W244" i="60"/>
  <c r="X244" i="60" s="1"/>
  <c r="S296" i="60"/>
  <c r="T296" i="60" s="1"/>
  <c r="S339" i="60"/>
  <c r="D325" i="60"/>
  <c r="U328" i="60" s="1"/>
  <c r="D292" i="60"/>
  <c r="U295" i="60" s="1"/>
  <c r="G282" i="60"/>
  <c r="S286" i="60"/>
  <c r="T286" i="60" s="1"/>
  <c r="O325" i="60"/>
  <c r="P325" i="60" s="1"/>
  <c r="S331" i="60"/>
  <c r="S237" i="60"/>
  <c r="W246" i="60"/>
  <c r="X246" i="60" s="1"/>
  <c r="S292" i="60"/>
  <c r="S298" i="60"/>
  <c r="W341" i="60"/>
  <c r="X341" i="60" s="1"/>
  <c r="D314" i="60"/>
  <c r="I315" i="60" s="1"/>
  <c r="C303" i="60"/>
  <c r="K273" i="60"/>
  <c r="L273" i="60" s="1"/>
  <c r="K271" i="60"/>
  <c r="O271" i="60"/>
  <c r="P271" i="60" s="1"/>
  <c r="W272" i="60"/>
  <c r="X272" i="60" s="1"/>
  <c r="S275" i="60"/>
  <c r="T275" i="60" s="1"/>
  <c r="S277" i="60"/>
  <c r="T277" i="60" s="1"/>
  <c r="S279" i="60"/>
  <c r="T279" i="60" s="1"/>
  <c r="W317" i="60"/>
  <c r="S317" i="60"/>
  <c r="S315" i="60"/>
  <c r="T315" i="60" s="1"/>
  <c r="K318" i="60"/>
  <c r="L318" i="60" s="1"/>
  <c r="W319" i="60"/>
  <c r="X319" i="60" s="1"/>
  <c r="W321" i="60"/>
  <c r="X321" i="60" s="1"/>
  <c r="W323" i="60"/>
  <c r="X323" i="60" s="1"/>
  <c r="W306" i="60"/>
  <c r="G303" i="60"/>
  <c r="W304" i="60"/>
  <c r="X304" i="60" s="1"/>
  <c r="S307" i="60"/>
  <c r="T307" i="60" s="1"/>
  <c r="S309" i="60"/>
  <c r="S311" i="60"/>
  <c r="S313" i="60"/>
  <c r="T313" i="60" s="1"/>
  <c r="C270" i="60"/>
  <c r="W273" i="60"/>
  <c r="S273" i="60"/>
  <c r="S271" i="60"/>
  <c r="T271" i="60" s="1"/>
  <c r="K274" i="60"/>
  <c r="L274" i="60" s="1"/>
  <c r="W275" i="60"/>
  <c r="X275" i="60" s="1"/>
  <c r="W277" i="60"/>
  <c r="X277" i="60" s="1"/>
  <c r="W279" i="60"/>
  <c r="X279" i="60" s="1"/>
  <c r="O314" i="60"/>
  <c r="P314" i="60" s="1"/>
  <c r="G314" i="60"/>
  <c r="W315" i="60"/>
  <c r="X315" i="60" s="1"/>
  <c r="S318" i="60"/>
  <c r="T318" i="60" s="1"/>
  <c r="S320" i="60"/>
  <c r="S322" i="60"/>
  <c r="S324" i="60"/>
  <c r="T324" i="60" s="1"/>
  <c r="O303" i="60"/>
  <c r="P303" i="60" s="1"/>
  <c r="K303" i="60"/>
  <c r="S305" i="60"/>
  <c r="T305" i="60" s="1"/>
  <c r="W307" i="60"/>
  <c r="X307" i="60" s="1"/>
  <c r="W309" i="60"/>
  <c r="W311" i="60"/>
  <c r="W313" i="60"/>
  <c r="X313" i="60" s="1"/>
  <c r="C314" i="60"/>
  <c r="D303" i="60"/>
  <c r="U306" i="60" s="1"/>
  <c r="G271" i="60"/>
  <c r="W270" i="60"/>
  <c r="K270" i="60"/>
  <c r="S272" i="60"/>
  <c r="T272" i="60" s="1"/>
  <c r="W274" i="60"/>
  <c r="X274" i="60" s="1"/>
  <c r="W276" i="60"/>
  <c r="W278" i="60"/>
  <c r="K317" i="60"/>
  <c r="L317" i="60" s="1"/>
  <c r="K315" i="60"/>
  <c r="O315" i="60"/>
  <c r="P315" i="60" s="1"/>
  <c r="W316" i="60"/>
  <c r="X316" i="60" s="1"/>
  <c r="S319" i="60"/>
  <c r="T319" i="60" s="1"/>
  <c r="S321" i="60"/>
  <c r="T321" i="60" s="1"/>
  <c r="K306" i="60"/>
  <c r="L306" i="60" s="1"/>
  <c r="S306" i="60"/>
  <c r="S304" i="60"/>
  <c r="T304" i="60" s="1"/>
  <c r="K307" i="60"/>
  <c r="L307" i="60" s="1"/>
  <c r="W308" i="60"/>
  <c r="X308" i="60" s="1"/>
  <c r="W310" i="60"/>
  <c r="X310" i="60" s="1"/>
  <c r="W293" i="60"/>
  <c r="X293" i="60" s="1"/>
  <c r="S302" i="60"/>
  <c r="T302" i="60" s="1"/>
  <c r="S337" i="60"/>
  <c r="T337" i="60" s="1"/>
  <c r="W345" i="60"/>
  <c r="X345" i="60" s="1"/>
  <c r="K340" i="60"/>
  <c r="L340" i="60" s="1"/>
  <c r="D281" i="60"/>
  <c r="I282" i="60" s="1"/>
  <c r="D237" i="60"/>
  <c r="Q243" i="60" s="1"/>
  <c r="D336" i="60"/>
  <c r="U339" i="60" s="1"/>
  <c r="K284" i="60"/>
  <c r="L284" i="60" s="1"/>
  <c r="K282" i="60"/>
  <c r="S282" i="60"/>
  <c r="T282" i="60" s="1"/>
  <c r="K285" i="60"/>
  <c r="L285" i="60" s="1"/>
  <c r="W286" i="60"/>
  <c r="X286" i="60" s="1"/>
  <c r="W288" i="60"/>
  <c r="X288" i="60" s="1"/>
  <c r="W290" i="60"/>
  <c r="X290" i="60" s="1"/>
  <c r="G326" i="60"/>
  <c r="W325" i="60"/>
  <c r="K325" i="60"/>
  <c r="S327" i="60"/>
  <c r="T327" i="60" s="1"/>
  <c r="W329" i="60"/>
  <c r="X329" i="60" s="1"/>
  <c r="W331" i="60"/>
  <c r="W333" i="60"/>
  <c r="W335" i="60"/>
  <c r="X335" i="60" s="1"/>
  <c r="G237" i="60"/>
  <c r="W238" i="60"/>
  <c r="X238" i="60" s="1"/>
  <c r="S241" i="60"/>
  <c r="T241" i="60" s="1"/>
  <c r="W237" i="60"/>
  <c r="S240" i="60"/>
  <c r="S243" i="60"/>
  <c r="S245" i="60"/>
  <c r="S247" i="60"/>
  <c r="T247" i="60" s="1"/>
  <c r="G293" i="60"/>
  <c r="W292" i="60"/>
  <c r="K292" i="60"/>
  <c r="S294" i="60"/>
  <c r="T294" i="60" s="1"/>
  <c r="W296" i="60"/>
  <c r="X296" i="60" s="1"/>
  <c r="W298" i="60"/>
  <c r="W300" i="60"/>
  <c r="W302" i="60"/>
  <c r="X302" i="60" s="1"/>
  <c r="W339" i="60"/>
  <c r="G336" i="60"/>
  <c r="W337" i="60"/>
  <c r="X337" i="60" s="1"/>
  <c r="S340" i="60"/>
  <c r="T340" i="60" s="1"/>
  <c r="S342" i="60"/>
  <c r="S344" i="60"/>
  <c r="S346" i="60"/>
  <c r="T346" i="60" s="1"/>
  <c r="C281" i="60"/>
  <c r="C237" i="60"/>
  <c r="C336" i="60"/>
  <c r="W284" i="60"/>
  <c r="S284" i="60"/>
  <c r="W282" i="60"/>
  <c r="X282" i="60" s="1"/>
  <c r="S285" i="60"/>
  <c r="T285" i="60" s="1"/>
  <c r="S287" i="60"/>
  <c r="S289" i="60"/>
  <c r="S291" i="60"/>
  <c r="T291" i="60" s="1"/>
  <c r="K328" i="60"/>
  <c r="L328" i="60" s="1"/>
  <c r="K326" i="60"/>
  <c r="O326" i="60"/>
  <c r="P326" i="60" s="1"/>
  <c r="W327" i="60"/>
  <c r="X327" i="60" s="1"/>
  <c r="S330" i="60"/>
  <c r="T330" i="60" s="1"/>
  <c r="S332" i="60"/>
  <c r="T332" i="60" s="1"/>
  <c r="S334" i="60"/>
  <c r="T334" i="60" s="1"/>
  <c r="K237" i="60"/>
  <c r="S239" i="60"/>
  <c r="T239" i="60" s="1"/>
  <c r="W241" i="60"/>
  <c r="X241" i="60" s="1"/>
  <c r="G238" i="60"/>
  <c r="W240" i="60"/>
  <c r="W243" i="60"/>
  <c r="W245" i="60"/>
  <c r="W247" i="60"/>
  <c r="X247" i="60" s="1"/>
  <c r="K295" i="60"/>
  <c r="L295" i="60" s="1"/>
  <c r="K293" i="60"/>
  <c r="O293" i="60"/>
  <c r="P293" i="60" s="1"/>
  <c r="W294" i="60"/>
  <c r="X294" i="60" s="1"/>
  <c r="S297" i="60"/>
  <c r="T297" i="60" s="1"/>
  <c r="S299" i="60"/>
  <c r="T299" i="60" s="1"/>
  <c r="S301" i="60"/>
  <c r="T301" i="60" s="1"/>
  <c r="O336" i="60"/>
  <c r="P336" i="60" s="1"/>
  <c r="K336" i="60"/>
  <c r="S338" i="60"/>
  <c r="T338" i="60" s="1"/>
  <c r="W340" i="60"/>
  <c r="X340" i="60" s="1"/>
  <c r="W342" i="60"/>
  <c r="W344" i="60"/>
  <c r="W346" i="60"/>
  <c r="X346" i="60" s="1"/>
  <c r="O281" i="60"/>
  <c r="P281" i="60" s="1"/>
  <c r="K281" i="60"/>
  <c r="S283" i="60"/>
  <c r="T283" i="60" s="1"/>
  <c r="W285" i="60"/>
  <c r="X285" i="60" s="1"/>
  <c r="W287" i="60"/>
  <c r="W289" i="60"/>
  <c r="W328" i="60"/>
  <c r="S328" i="60"/>
  <c r="S326" i="60"/>
  <c r="T326" i="60" s="1"/>
  <c r="K329" i="60"/>
  <c r="L329" i="60" s="1"/>
  <c r="W330" i="60"/>
  <c r="X330" i="60" s="1"/>
  <c r="W332" i="60"/>
  <c r="X332" i="60" s="1"/>
  <c r="O238" i="60"/>
  <c r="P238" i="60" s="1"/>
  <c r="W239" i="60"/>
  <c r="X239" i="60" s="1"/>
  <c r="O237" i="60"/>
  <c r="P237" i="60" s="1"/>
  <c r="K238" i="60"/>
  <c r="S242" i="60"/>
  <c r="T242" i="60" s="1"/>
  <c r="S244" i="60"/>
  <c r="T244" i="60" s="1"/>
  <c r="W295" i="60"/>
  <c r="S295" i="60"/>
  <c r="S293" i="60"/>
  <c r="T293" i="60" s="1"/>
  <c r="K296" i="60"/>
  <c r="L296" i="60" s="1"/>
  <c r="W297" i="60"/>
  <c r="X297" i="60" s="1"/>
  <c r="W299" i="60"/>
  <c r="X299" i="60" s="1"/>
  <c r="G337" i="60"/>
  <c r="K337" i="60"/>
  <c r="O337" i="60"/>
  <c r="P337" i="60" s="1"/>
  <c r="W338" i="60"/>
  <c r="X338" i="60" s="1"/>
  <c r="S341" i="60"/>
  <c r="T341" i="60" s="1"/>
  <c r="S343" i="60"/>
  <c r="T343" i="60" s="1"/>
  <c r="T479" i="60"/>
  <c r="Y259" i="59"/>
  <c r="AC265" i="59" s="1"/>
  <c r="Q259" i="59"/>
  <c r="T259" i="59" s="1"/>
  <c r="Q262" i="59"/>
  <c r="T262" i="59" s="1"/>
  <c r="U259" i="59"/>
  <c r="X259" i="59" s="1"/>
  <c r="U262" i="59"/>
  <c r="X262" i="59" s="1"/>
  <c r="Q267" i="59"/>
  <c r="T267" i="59" s="1"/>
  <c r="U267" i="59"/>
  <c r="X267" i="59" s="1"/>
  <c r="E259" i="59"/>
  <c r="H259" i="59" s="1"/>
  <c r="E260" i="59"/>
  <c r="H260" i="59" s="1"/>
  <c r="I259" i="59"/>
  <c r="L259" i="59" s="1"/>
  <c r="I260" i="59"/>
  <c r="L260" i="59" s="1"/>
  <c r="Q265" i="59"/>
  <c r="T265" i="59" s="1"/>
  <c r="U265" i="59"/>
  <c r="X265" i="59" s="1"/>
  <c r="W288" i="59"/>
  <c r="X288" i="59" s="1"/>
  <c r="S283" i="59"/>
  <c r="T283" i="59" s="1"/>
  <c r="S290" i="59"/>
  <c r="T290" i="59" s="1"/>
  <c r="W290" i="59"/>
  <c r="X290" i="59" s="1"/>
  <c r="S288" i="59"/>
  <c r="T288" i="59" s="1"/>
  <c r="O282" i="59"/>
  <c r="P282" i="59" s="1"/>
  <c r="W285" i="59"/>
  <c r="X285" i="59" s="1"/>
  <c r="S287" i="59"/>
  <c r="S284" i="59"/>
  <c r="S289" i="59"/>
  <c r="S286" i="59"/>
  <c r="T286" i="59" s="1"/>
  <c r="K285" i="59"/>
  <c r="L285" i="59" s="1"/>
  <c r="O281" i="59"/>
  <c r="P281" i="59" s="1"/>
  <c r="S285" i="59"/>
  <c r="T285" i="59" s="1"/>
  <c r="W284" i="59"/>
  <c r="G282" i="59"/>
  <c r="S291" i="59"/>
  <c r="T291" i="59" s="1"/>
  <c r="W283" i="59"/>
  <c r="X283" i="59" s="1"/>
  <c r="W291" i="59"/>
  <c r="X291" i="59" s="1"/>
  <c r="W287" i="59"/>
  <c r="W286" i="59"/>
  <c r="X286" i="59" s="1"/>
  <c r="K282" i="59"/>
  <c r="W282" i="59"/>
  <c r="X282" i="59" s="1"/>
  <c r="I248" i="59"/>
  <c r="L248" i="59" s="1"/>
  <c r="I249" i="59"/>
  <c r="L249" i="59" s="1"/>
  <c r="Q254" i="59"/>
  <c r="T254" i="59" s="1"/>
  <c r="E248" i="59"/>
  <c r="H248" i="59" s="1"/>
  <c r="E249" i="59"/>
  <c r="H249" i="59" s="1"/>
  <c r="U254" i="59"/>
  <c r="X254" i="59" s="1"/>
  <c r="U248" i="59"/>
  <c r="X248" i="59" s="1"/>
  <c r="U251" i="59"/>
  <c r="X251" i="59" s="1"/>
  <c r="Q256" i="59"/>
  <c r="T256" i="59" s="1"/>
  <c r="Q248" i="59"/>
  <c r="T248" i="59" s="1"/>
  <c r="Q251" i="59"/>
  <c r="T251" i="59" s="1"/>
  <c r="U256" i="59"/>
  <c r="X256" i="59" s="1"/>
  <c r="D237" i="59"/>
  <c r="G237" i="59"/>
  <c r="S239" i="59"/>
  <c r="T239" i="59" s="1"/>
  <c r="S240" i="59"/>
  <c r="S241" i="59"/>
  <c r="T241" i="59" s="1"/>
  <c r="C237" i="59"/>
  <c r="S242" i="59"/>
  <c r="T242" i="59" s="1"/>
  <c r="W242" i="59"/>
  <c r="X242" i="59" s="1"/>
  <c r="W243" i="59"/>
  <c r="S244" i="59"/>
  <c r="T244" i="59" s="1"/>
  <c r="W244" i="59"/>
  <c r="X244" i="59" s="1"/>
  <c r="W245" i="59"/>
  <c r="S246" i="59"/>
  <c r="T246" i="59" s="1"/>
  <c r="W246" i="59"/>
  <c r="X246" i="59" s="1"/>
  <c r="S247" i="59"/>
  <c r="T247" i="59" s="1"/>
  <c r="W247" i="59"/>
  <c r="X247" i="59" s="1"/>
  <c r="G238" i="59"/>
  <c r="S238" i="59"/>
  <c r="T238" i="59" s="1"/>
  <c r="S243" i="59"/>
  <c r="S245" i="59"/>
  <c r="W241" i="59"/>
  <c r="X241" i="59" s="1"/>
  <c r="W240" i="59"/>
  <c r="K240" i="59"/>
  <c r="L240" i="59" s="1"/>
  <c r="W238" i="59"/>
  <c r="X238" i="59" s="1"/>
  <c r="K238" i="59"/>
  <c r="W237" i="59"/>
  <c r="O237" i="59"/>
  <c r="P237" i="59" s="1"/>
  <c r="K241" i="59"/>
  <c r="L241" i="59" s="1"/>
  <c r="W239" i="59"/>
  <c r="X239" i="59" s="1"/>
  <c r="O238" i="59"/>
  <c r="P238" i="59" s="1"/>
  <c r="K237" i="59"/>
  <c r="S237" i="59"/>
  <c r="U619" i="57"/>
  <c r="X619" i="57" s="1"/>
  <c r="E611" i="57"/>
  <c r="H611" i="57" s="1"/>
  <c r="E612" i="57"/>
  <c r="H612" i="57" s="1"/>
  <c r="U614" i="57"/>
  <c r="X614" i="57" s="1"/>
  <c r="Q614" i="57"/>
  <c r="T614" i="57" s="1"/>
  <c r="I611" i="57"/>
  <c r="L611" i="57" s="1"/>
  <c r="U617" i="57"/>
  <c r="X617" i="57" s="1"/>
  <c r="Q611" i="57"/>
  <c r="T611" i="57" s="1"/>
  <c r="U611" i="57"/>
  <c r="X611" i="57" s="1"/>
  <c r="I612" i="57"/>
  <c r="L612" i="57" s="1"/>
  <c r="Q619" i="57"/>
  <c r="T619" i="57" s="1"/>
  <c r="U564" i="57"/>
  <c r="X564" i="57" s="1"/>
  <c r="U556" i="57"/>
  <c r="X556" i="57" s="1"/>
  <c r="E557" i="57"/>
  <c r="H557" i="57" s="1"/>
  <c r="Q559" i="57"/>
  <c r="T559" i="57" s="1"/>
  <c r="U562" i="57"/>
  <c r="X562" i="57" s="1"/>
  <c r="I557" i="57"/>
  <c r="L557" i="57" s="1"/>
  <c r="Q564" i="57"/>
  <c r="T564" i="57" s="1"/>
  <c r="E556" i="57"/>
  <c r="H556" i="57" s="1"/>
  <c r="U559" i="57"/>
  <c r="X559" i="57" s="1"/>
  <c r="Q556" i="57"/>
  <c r="T556" i="57" s="1"/>
  <c r="I556" i="57"/>
  <c r="L556" i="57" s="1"/>
  <c r="U630" i="57"/>
  <c r="E623" i="57"/>
  <c r="H623" i="57" s="1"/>
  <c r="I622" i="57"/>
  <c r="L622" i="57" s="1"/>
  <c r="E622" i="57"/>
  <c r="H622" i="57" s="1"/>
  <c r="U622" i="57"/>
  <c r="X622" i="57" s="1"/>
  <c r="Q625" i="57"/>
  <c r="T625" i="57" s="1"/>
  <c r="U628" i="57"/>
  <c r="X628" i="57" s="1"/>
  <c r="Q622" i="57"/>
  <c r="U625" i="57"/>
  <c r="X625" i="57" s="1"/>
  <c r="Q630" i="57"/>
  <c r="T630" i="57" s="1"/>
  <c r="I623" i="57"/>
  <c r="L623" i="57" s="1"/>
  <c r="U608" i="57"/>
  <c r="X608" i="57" s="1"/>
  <c r="I600" i="57"/>
  <c r="E601" i="57"/>
  <c r="H601" i="57" s="1"/>
  <c r="U600" i="57"/>
  <c r="X600" i="57" s="1"/>
  <c r="E600" i="57"/>
  <c r="H600" i="57" s="1"/>
  <c r="U603" i="57"/>
  <c r="X603" i="57" s="1"/>
  <c r="Q603" i="57"/>
  <c r="T603" i="57" s="1"/>
  <c r="U606" i="57"/>
  <c r="X606" i="57" s="1"/>
  <c r="Q600" i="57"/>
  <c r="Q608" i="57"/>
  <c r="T608" i="57" s="1"/>
  <c r="I601" i="57"/>
  <c r="L601" i="57" s="1"/>
  <c r="U487" i="59"/>
  <c r="X487" i="59" s="1"/>
  <c r="I480" i="59"/>
  <c r="L480" i="59" s="1"/>
  <c r="U479" i="59"/>
  <c r="X479" i="59" s="1"/>
  <c r="E480" i="59"/>
  <c r="H480" i="59" s="1"/>
  <c r="U485" i="59"/>
  <c r="X485" i="59" s="1"/>
  <c r="U482" i="59"/>
  <c r="X482" i="59" s="1"/>
  <c r="Q482" i="59"/>
  <c r="T482" i="59" s="1"/>
  <c r="Q487" i="59"/>
  <c r="T487" i="59" s="1"/>
  <c r="E479" i="59"/>
  <c r="H479" i="59" s="1"/>
  <c r="I479" i="59"/>
  <c r="L479" i="59" s="1"/>
  <c r="Q479" i="59"/>
  <c r="T479" i="59" s="1"/>
  <c r="Q485" i="59"/>
  <c r="T485" i="59" s="1"/>
  <c r="U586" i="57"/>
  <c r="X586" i="57" s="1"/>
  <c r="E579" i="57"/>
  <c r="H579" i="57" s="1"/>
  <c r="U581" i="57"/>
  <c r="X581" i="57" s="1"/>
  <c r="Q578" i="57"/>
  <c r="Q586" i="57"/>
  <c r="T586" i="57" s="1"/>
  <c r="U578" i="57"/>
  <c r="X578" i="57" s="1"/>
  <c r="I579" i="57"/>
  <c r="L579" i="57" s="1"/>
  <c r="Q581" i="57"/>
  <c r="T581" i="57" s="1"/>
  <c r="I578" i="57"/>
  <c r="L578" i="57" s="1"/>
  <c r="U584" i="57"/>
  <c r="X584" i="57" s="1"/>
  <c r="E578" i="57"/>
  <c r="H578" i="57" s="1"/>
  <c r="U575" i="57"/>
  <c r="X575" i="57" s="1"/>
  <c r="U567" i="57"/>
  <c r="X567" i="57" s="1"/>
  <c r="E568" i="57"/>
  <c r="H568" i="57" s="1"/>
  <c r="I568" i="57"/>
  <c r="L568" i="57" s="1"/>
  <c r="Q570" i="57"/>
  <c r="T570" i="57" s="1"/>
  <c r="U573" i="57"/>
  <c r="X573" i="57" s="1"/>
  <c r="Q567" i="57"/>
  <c r="I567" i="57"/>
  <c r="L567" i="57" s="1"/>
  <c r="U570" i="57"/>
  <c r="X570" i="57" s="1"/>
  <c r="E567" i="57"/>
  <c r="H567" i="57" s="1"/>
  <c r="Q575" i="57"/>
  <c r="U641" i="57"/>
  <c r="X641" i="57" s="1"/>
  <c r="Q641" i="57"/>
  <c r="T641" i="57" s="1"/>
  <c r="I634" i="57"/>
  <c r="L634" i="57" s="1"/>
  <c r="U639" i="57"/>
  <c r="X639" i="57" s="1"/>
  <c r="E633" i="57"/>
  <c r="H633" i="57" s="1"/>
  <c r="Q633" i="57"/>
  <c r="T633" i="57" s="1"/>
  <c r="U636" i="57"/>
  <c r="X636" i="57" s="1"/>
  <c r="U633" i="57"/>
  <c r="X633" i="57" s="1"/>
  <c r="E634" i="57"/>
  <c r="H634" i="57" s="1"/>
  <c r="Q636" i="57"/>
  <c r="T636" i="57" s="1"/>
  <c r="I633" i="57"/>
  <c r="L633" i="57" s="1"/>
  <c r="U476" i="59"/>
  <c r="X476" i="59" s="1"/>
  <c r="U468" i="59"/>
  <c r="X468" i="59" s="1"/>
  <c r="Q476" i="59"/>
  <c r="T476" i="59" s="1"/>
  <c r="E469" i="59"/>
  <c r="H469" i="59" s="1"/>
  <c r="U474" i="59"/>
  <c r="X474" i="59" s="1"/>
  <c r="I469" i="59"/>
  <c r="L469" i="59" s="1"/>
  <c r="I468" i="59"/>
  <c r="L468" i="59" s="1"/>
  <c r="Q471" i="59"/>
  <c r="T471" i="59" s="1"/>
  <c r="U471" i="59"/>
  <c r="X471" i="59" s="1"/>
  <c r="E468" i="59"/>
  <c r="H468" i="59" s="1"/>
  <c r="Q474" i="59"/>
  <c r="T474" i="59" s="1"/>
  <c r="Q468" i="59"/>
  <c r="T468" i="59" s="1"/>
  <c r="U597" i="57"/>
  <c r="X597" i="57" s="1"/>
  <c r="Q589" i="57"/>
  <c r="T589" i="57" s="1"/>
  <c r="U589" i="57"/>
  <c r="X589" i="57" s="1"/>
  <c r="Q592" i="57"/>
  <c r="T592" i="57" s="1"/>
  <c r="I590" i="57"/>
  <c r="L590" i="57" s="1"/>
  <c r="U595" i="57"/>
  <c r="X595" i="57" s="1"/>
  <c r="E589" i="57"/>
  <c r="H589" i="57" s="1"/>
  <c r="I589" i="57"/>
  <c r="L589" i="57" s="1"/>
  <c r="Q597" i="57"/>
  <c r="T597" i="57" s="1"/>
  <c r="U592" i="57"/>
  <c r="X592" i="57" s="1"/>
  <c r="E590" i="57"/>
  <c r="H590" i="57" s="1"/>
  <c r="U465" i="59"/>
  <c r="X465" i="59" s="1"/>
  <c r="U457" i="59"/>
  <c r="X457" i="59" s="1"/>
  <c r="I457" i="59"/>
  <c r="L457" i="59" s="1"/>
  <c r="E458" i="59"/>
  <c r="H458" i="59" s="1"/>
  <c r="U463" i="59"/>
  <c r="X463" i="59" s="1"/>
  <c r="U460" i="59"/>
  <c r="X460" i="59" s="1"/>
  <c r="I458" i="59"/>
  <c r="L458" i="59" s="1"/>
  <c r="Q460" i="59"/>
  <c r="T460" i="59" s="1"/>
  <c r="Q457" i="59"/>
  <c r="T457" i="59" s="1"/>
  <c r="Q463" i="59"/>
  <c r="T463" i="59" s="1"/>
  <c r="Q465" i="59"/>
  <c r="T465" i="59" s="1"/>
  <c r="E457" i="59"/>
  <c r="H457" i="59" s="1"/>
  <c r="U454" i="60"/>
  <c r="I446" i="60"/>
  <c r="I447" i="60"/>
  <c r="Q454" i="60"/>
  <c r="Q446" i="60"/>
  <c r="U449" i="60"/>
  <c r="U452" i="60"/>
  <c r="Q449" i="60"/>
  <c r="E447" i="60"/>
  <c r="U446" i="60"/>
  <c r="E446" i="60"/>
  <c r="E886" i="57"/>
  <c r="H886" i="57" s="1"/>
  <c r="Q886" i="57"/>
  <c r="T886" i="57" s="1"/>
  <c r="I886" i="57"/>
  <c r="L886" i="57" s="1"/>
  <c r="U886" i="57"/>
  <c r="X886" i="57" s="1"/>
  <c r="U553" i="57"/>
  <c r="X553" i="57" s="1"/>
  <c r="Q545" i="57"/>
  <c r="E545" i="57"/>
  <c r="H545" i="57" s="1"/>
  <c r="I545" i="57"/>
  <c r="L545" i="57" s="1"/>
  <c r="I546" i="57"/>
  <c r="L546" i="57" s="1"/>
  <c r="U551" i="57"/>
  <c r="X551" i="57" s="1"/>
  <c r="E546" i="57"/>
  <c r="H546" i="57" s="1"/>
  <c r="Q548" i="57"/>
  <c r="Q553" i="57"/>
  <c r="T553" i="57" s="1"/>
  <c r="U545" i="57"/>
  <c r="U548" i="57"/>
  <c r="T468" i="60"/>
  <c r="U542" i="57"/>
  <c r="X542" i="57" s="1"/>
  <c r="E534" i="57"/>
  <c r="H534" i="57" s="1"/>
  <c r="I534" i="57"/>
  <c r="L534" i="57" s="1"/>
  <c r="I535" i="57"/>
  <c r="L535" i="57" s="1"/>
  <c r="U540" i="57"/>
  <c r="X540" i="57" s="1"/>
  <c r="Q534" i="57"/>
  <c r="E535" i="57"/>
  <c r="H535" i="57" s="1"/>
  <c r="Q537" i="57"/>
  <c r="T537" i="57" s="1"/>
  <c r="Q542" i="57"/>
  <c r="T542" i="57" s="1"/>
  <c r="U534" i="57"/>
  <c r="X534" i="57" s="1"/>
  <c r="U537" i="57"/>
  <c r="X537" i="57" s="1"/>
  <c r="U531" i="57"/>
  <c r="X531" i="57" s="1"/>
  <c r="E523" i="57"/>
  <c r="H523" i="57" s="1"/>
  <c r="U523" i="57"/>
  <c r="X523" i="57" s="1"/>
  <c r="U526" i="57"/>
  <c r="X526" i="57" s="1"/>
  <c r="E524" i="57"/>
  <c r="H524" i="57" s="1"/>
  <c r="Q531" i="57"/>
  <c r="T531" i="57" s="1"/>
  <c r="I524" i="57"/>
  <c r="L524" i="57" s="1"/>
  <c r="U529" i="57"/>
  <c r="X529" i="57" s="1"/>
  <c r="Q523" i="57"/>
  <c r="T523" i="57" s="1"/>
  <c r="Q526" i="57"/>
  <c r="T526" i="57" s="1"/>
  <c r="I523" i="57"/>
  <c r="L523" i="57" s="1"/>
  <c r="U465" i="60"/>
  <c r="U457" i="60"/>
  <c r="Q460" i="60"/>
  <c r="E457" i="60"/>
  <c r="E458" i="60"/>
  <c r="I457" i="60"/>
  <c r="Q465" i="60"/>
  <c r="U460" i="60"/>
  <c r="U463" i="60"/>
  <c r="I458" i="60"/>
  <c r="Q457" i="60"/>
  <c r="Q471" i="60"/>
  <c r="U468" i="60"/>
  <c r="U476" i="60"/>
  <c r="U471" i="60"/>
  <c r="Q468" i="60"/>
  <c r="Q476" i="60"/>
  <c r="I469" i="60"/>
  <c r="I468" i="60"/>
  <c r="U474" i="60"/>
  <c r="E469" i="60"/>
  <c r="E468" i="60"/>
  <c r="U487" i="60"/>
  <c r="I479" i="60"/>
  <c r="U479" i="60"/>
  <c r="Q487" i="60"/>
  <c r="Q479" i="60"/>
  <c r="U482" i="60"/>
  <c r="U485" i="60"/>
  <c r="Q482" i="60"/>
  <c r="E480" i="60"/>
  <c r="I480" i="60"/>
  <c r="E479" i="60"/>
  <c r="U498" i="60"/>
  <c r="U490" i="60"/>
  <c r="Q493" i="60"/>
  <c r="E490" i="60"/>
  <c r="E491" i="60"/>
  <c r="I490" i="60"/>
  <c r="Q498" i="60"/>
  <c r="U493" i="60"/>
  <c r="U496" i="60"/>
  <c r="I491" i="60"/>
  <c r="Q490" i="60"/>
  <c r="Q457" i="57"/>
  <c r="I458" i="57"/>
  <c r="L458" i="57" s="1"/>
  <c r="U465" i="57"/>
  <c r="X465" i="57" s="1"/>
  <c r="E458" i="57"/>
  <c r="H458" i="57" s="1"/>
  <c r="Q460" i="57"/>
  <c r="T460" i="57" s="1"/>
  <c r="U460" i="57"/>
  <c r="X460" i="57" s="1"/>
  <c r="E457" i="57"/>
  <c r="H457" i="57" s="1"/>
  <c r="U457" i="57"/>
  <c r="X457" i="57" s="1"/>
  <c r="Q465" i="57"/>
  <c r="T465" i="57" s="1"/>
  <c r="I457" i="57"/>
  <c r="L457" i="57" s="1"/>
  <c r="U463" i="57"/>
  <c r="X463" i="57" s="1"/>
  <c r="I468" i="57"/>
  <c r="L468" i="57" s="1"/>
  <c r="I469" i="57"/>
  <c r="L469" i="57" s="1"/>
  <c r="U474" i="57"/>
  <c r="X474" i="57" s="1"/>
  <c r="E468" i="57"/>
  <c r="H468" i="57" s="1"/>
  <c r="E469" i="57"/>
  <c r="H469" i="57" s="1"/>
  <c r="Q471" i="57"/>
  <c r="T471" i="57" s="1"/>
  <c r="Q468" i="57"/>
  <c r="T468" i="57" s="1"/>
  <c r="U468" i="57"/>
  <c r="X468" i="57" s="1"/>
  <c r="U476" i="57"/>
  <c r="X476" i="57" s="1"/>
  <c r="Q476" i="57"/>
  <c r="T476" i="57" s="1"/>
  <c r="U471" i="57"/>
  <c r="X471" i="57" s="1"/>
  <c r="Q479" i="57"/>
  <c r="T479" i="57" s="1"/>
  <c r="U479" i="57"/>
  <c r="X479" i="57" s="1"/>
  <c r="U482" i="57"/>
  <c r="X482" i="57" s="1"/>
  <c r="E480" i="57"/>
  <c r="H480" i="57" s="1"/>
  <c r="I480" i="57"/>
  <c r="L480" i="57" s="1"/>
  <c r="Q482" i="57"/>
  <c r="T482" i="57" s="1"/>
  <c r="U487" i="57"/>
  <c r="X487" i="57" s="1"/>
  <c r="I479" i="57"/>
  <c r="L479" i="57" s="1"/>
  <c r="Q487" i="57"/>
  <c r="T487" i="57" s="1"/>
  <c r="U485" i="57"/>
  <c r="X485" i="57" s="1"/>
  <c r="E479" i="57"/>
  <c r="H479" i="57" s="1"/>
  <c r="U515" i="57"/>
  <c r="X515" i="57" s="1"/>
  <c r="Q515" i="57"/>
  <c r="T515" i="57" s="1"/>
  <c r="I513" i="57"/>
  <c r="L513" i="57" s="1"/>
  <c r="U518" i="57"/>
  <c r="X518" i="57" s="1"/>
  <c r="Q512" i="57"/>
  <c r="T512" i="57" s="1"/>
  <c r="Q520" i="57"/>
  <c r="T520" i="57" s="1"/>
  <c r="I512" i="57"/>
  <c r="L512" i="57" s="1"/>
  <c r="U520" i="57"/>
  <c r="X520" i="57" s="1"/>
  <c r="E512" i="57"/>
  <c r="H512" i="57" s="1"/>
  <c r="E513" i="57"/>
  <c r="H513" i="57" s="1"/>
  <c r="U512" i="57"/>
  <c r="X512" i="57" s="1"/>
  <c r="U449" i="57"/>
  <c r="X449" i="57" s="1"/>
  <c r="U446" i="57"/>
  <c r="X446" i="57" s="1"/>
  <c r="I447" i="57"/>
  <c r="L447" i="57" s="1"/>
  <c r="U452" i="57"/>
  <c r="X452" i="57" s="1"/>
  <c r="E446" i="57"/>
  <c r="H446" i="57" s="1"/>
  <c r="E447" i="57"/>
  <c r="H447" i="57" s="1"/>
  <c r="Q449" i="57"/>
  <c r="T449" i="57" s="1"/>
  <c r="Q454" i="57"/>
  <c r="T454" i="57" s="1"/>
  <c r="Q446" i="57"/>
  <c r="I446" i="57"/>
  <c r="L446" i="57" s="1"/>
  <c r="U454" i="57"/>
  <c r="X454" i="57" s="1"/>
  <c r="Q498" i="57"/>
  <c r="T498" i="57" s="1"/>
  <c r="I491" i="57"/>
  <c r="L491" i="57" s="1"/>
  <c r="Q490" i="57"/>
  <c r="Q493" i="57"/>
  <c r="T493" i="57" s="1"/>
  <c r="U496" i="57"/>
  <c r="X496" i="57" s="1"/>
  <c r="U493" i="57"/>
  <c r="X493" i="57" s="1"/>
  <c r="I490" i="57"/>
  <c r="L490" i="57" s="1"/>
  <c r="E490" i="57"/>
  <c r="H490" i="57" s="1"/>
  <c r="E491" i="57"/>
  <c r="H491" i="57" s="1"/>
  <c r="U498" i="57"/>
  <c r="U490" i="57"/>
  <c r="Q509" i="57"/>
  <c r="T509" i="57" s="1"/>
  <c r="U507" i="57"/>
  <c r="X507" i="57" s="1"/>
  <c r="U504" i="57"/>
  <c r="X504" i="57" s="1"/>
  <c r="I501" i="57"/>
  <c r="L501" i="57" s="1"/>
  <c r="Q501" i="57"/>
  <c r="E502" i="57"/>
  <c r="H502" i="57" s="1"/>
  <c r="U501" i="57"/>
  <c r="X501" i="57" s="1"/>
  <c r="U509" i="57"/>
  <c r="X509" i="57" s="1"/>
  <c r="Q504" i="57"/>
  <c r="T504" i="57" s="1"/>
  <c r="I502" i="57"/>
  <c r="L502" i="57" s="1"/>
  <c r="E501" i="57"/>
  <c r="U443" i="57"/>
  <c r="X443" i="57" s="1"/>
  <c r="I435" i="57"/>
  <c r="L435" i="57" s="1"/>
  <c r="E436" i="57"/>
  <c r="H436" i="57" s="1"/>
  <c r="Q435" i="57"/>
  <c r="T435" i="57" s="1"/>
  <c r="U435" i="57"/>
  <c r="X435" i="57" s="1"/>
  <c r="U441" i="57"/>
  <c r="X441" i="57" s="1"/>
  <c r="U438" i="57"/>
  <c r="X438" i="57" s="1"/>
  <c r="E435" i="57"/>
  <c r="H435" i="57" s="1"/>
  <c r="I436" i="57"/>
  <c r="L436" i="57" s="1"/>
  <c r="Q443" i="57"/>
  <c r="T443" i="57" s="1"/>
  <c r="Q438" i="57"/>
  <c r="T438" i="57" s="1"/>
  <c r="Y182" i="60"/>
  <c r="AC187" i="60" s="1"/>
  <c r="Q432" i="57"/>
  <c r="T432" i="57" s="1"/>
  <c r="E425" i="57"/>
  <c r="H425" i="57" s="1"/>
  <c r="Q424" i="57"/>
  <c r="T424" i="57" s="1"/>
  <c r="Q427" i="57"/>
  <c r="T427" i="57" s="1"/>
  <c r="E424" i="57"/>
  <c r="H424" i="57" s="1"/>
  <c r="U432" i="57"/>
  <c r="X432" i="57" s="1"/>
  <c r="I425" i="57"/>
  <c r="L425" i="57" s="1"/>
  <c r="U424" i="57"/>
  <c r="X424" i="57" s="1"/>
  <c r="U430" i="57"/>
  <c r="X430" i="57" s="1"/>
  <c r="U427" i="57"/>
  <c r="X427" i="57" s="1"/>
  <c r="I424" i="57"/>
  <c r="L424" i="57" s="1"/>
  <c r="C193" i="60"/>
  <c r="D226" i="60"/>
  <c r="Q234" i="60" s="1"/>
  <c r="S297" i="59"/>
  <c r="T297" i="59" s="1"/>
  <c r="G293" i="59"/>
  <c r="D292" i="59"/>
  <c r="Q298" i="59" s="1"/>
  <c r="W297" i="59"/>
  <c r="X297" i="59" s="1"/>
  <c r="K296" i="59"/>
  <c r="L296" i="59" s="1"/>
  <c r="K293" i="59"/>
  <c r="W299" i="59"/>
  <c r="X299" i="59" s="1"/>
  <c r="C204" i="60"/>
  <c r="W293" i="59"/>
  <c r="X293" i="59" s="1"/>
  <c r="C292" i="59"/>
  <c r="S293" i="59"/>
  <c r="T293" i="59" s="1"/>
  <c r="W295" i="59"/>
  <c r="S301" i="59"/>
  <c r="T301" i="59" s="1"/>
  <c r="S296" i="59"/>
  <c r="T296" i="59" s="1"/>
  <c r="W298" i="59"/>
  <c r="U25" i="60"/>
  <c r="X25" i="60" s="1"/>
  <c r="Q25" i="60"/>
  <c r="T25" i="60" s="1"/>
  <c r="U23" i="60"/>
  <c r="X23" i="60" s="1"/>
  <c r="Q23" i="60"/>
  <c r="T23" i="60" s="1"/>
  <c r="I17" i="60"/>
  <c r="L17" i="60" s="1"/>
  <c r="E17" i="60"/>
  <c r="H17" i="60" s="1"/>
  <c r="Q20" i="60"/>
  <c r="T20" i="60" s="1"/>
  <c r="I18" i="60"/>
  <c r="L18" i="60" s="1"/>
  <c r="U17" i="60"/>
  <c r="X17" i="60" s="1"/>
  <c r="U20" i="60"/>
  <c r="X20" i="60" s="1"/>
  <c r="E18" i="60"/>
  <c r="H18" i="60" s="1"/>
  <c r="Q17" i="60"/>
  <c r="U69" i="60"/>
  <c r="X69" i="60" s="1"/>
  <c r="Q69" i="60"/>
  <c r="T69" i="60" s="1"/>
  <c r="U67" i="60"/>
  <c r="X67" i="60" s="1"/>
  <c r="Q67" i="60"/>
  <c r="T67" i="60" s="1"/>
  <c r="I61" i="60"/>
  <c r="L61" i="60" s="1"/>
  <c r="E61" i="60"/>
  <c r="H61" i="60" s="1"/>
  <c r="Q64" i="60"/>
  <c r="T64" i="60" s="1"/>
  <c r="I62" i="60"/>
  <c r="L62" i="60" s="1"/>
  <c r="U61" i="60"/>
  <c r="X61" i="60" s="1"/>
  <c r="U64" i="60"/>
  <c r="X64" i="60" s="1"/>
  <c r="E62" i="60"/>
  <c r="H62" i="60" s="1"/>
  <c r="Q61" i="60"/>
  <c r="U146" i="60"/>
  <c r="X146" i="60" s="1"/>
  <c r="Q146" i="60"/>
  <c r="T146" i="60" s="1"/>
  <c r="U144" i="60"/>
  <c r="X144" i="60" s="1"/>
  <c r="Q144" i="60"/>
  <c r="T144" i="60" s="1"/>
  <c r="I138" i="60"/>
  <c r="L138" i="60" s="1"/>
  <c r="E138" i="60"/>
  <c r="H138" i="60" s="1"/>
  <c r="Q141" i="60"/>
  <c r="T141" i="60" s="1"/>
  <c r="I139" i="60"/>
  <c r="L139" i="60" s="1"/>
  <c r="U138" i="60"/>
  <c r="X138" i="60" s="1"/>
  <c r="U141" i="60"/>
  <c r="X141" i="60" s="1"/>
  <c r="E139" i="60"/>
  <c r="H139" i="60" s="1"/>
  <c r="Q138" i="60"/>
  <c r="T138" i="60" s="1"/>
  <c r="U168" i="60"/>
  <c r="X168" i="60" s="1"/>
  <c r="Q168" i="60"/>
  <c r="T168" i="60" s="1"/>
  <c r="U166" i="60"/>
  <c r="X166" i="60" s="1"/>
  <c r="Q166" i="60"/>
  <c r="T166" i="60" s="1"/>
  <c r="I160" i="60"/>
  <c r="L160" i="60" s="1"/>
  <c r="E160" i="60"/>
  <c r="H160" i="60" s="1"/>
  <c r="Q163" i="60"/>
  <c r="T163" i="60" s="1"/>
  <c r="I161" i="60"/>
  <c r="L161" i="60" s="1"/>
  <c r="U160" i="60"/>
  <c r="X160" i="60" s="1"/>
  <c r="U163" i="60"/>
  <c r="X163" i="60" s="1"/>
  <c r="E161" i="60"/>
  <c r="H161" i="60" s="1"/>
  <c r="Q160" i="60"/>
  <c r="T160" i="60" s="1"/>
  <c r="U124" i="60"/>
  <c r="X124" i="60" s="1"/>
  <c r="Q124" i="60"/>
  <c r="T124" i="60" s="1"/>
  <c r="U122" i="60"/>
  <c r="X122" i="60" s="1"/>
  <c r="Q122" i="60"/>
  <c r="T122" i="60" s="1"/>
  <c r="I116" i="60"/>
  <c r="L116" i="60" s="1"/>
  <c r="E116" i="60"/>
  <c r="H116" i="60" s="1"/>
  <c r="Q119" i="60"/>
  <c r="T119" i="60" s="1"/>
  <c r="I117" i="60"/>
  <c r="L117" i="60" s="1"/>
  <c r="U116" i="60"/>
  <c r="U119" i="60"/>
  <c r="X119" i="60" s="1"/>
  <c r="E117" i="60"/>
  <c r="H117" i="60" s="1"/>
  <c r="Q116" i="60"/>
  <c r="U157" i="60"/>
  <c r="X157" i="60" s="1"/>
  <c r="Q157" i="60"/>
  <c r="T157" i="60" s="1"/>
  <c r="U155" i="60"/>
  <c r="X155" i="60" s="1"/>
  <c r="Q155" i="60"/>
  <c r="T155" i="60" s="1"/>
  <c r="I149" i="60"/>
  <c r="L149" i="60" s="1"/>
  <c r="E149" i="60"/>
  <c r="H149" i="60" s="1"/>
  <c r="Q152" i="60"/>
  <c r="T152" i="60" s="1"/>
  <c r="I150" i="60"/>
  <c r="L150" i="60" s="1"/>
  <c r="U149" i="60"/>
  <c r="X149" i="60" s="1"/>
  <c r="U152" i="60"/>
  <c r="X152" i="60" s="1"/>
  <c r="E150" i="60"/>
  <c r="H150" i="60" s="1"/>
  <c r="Q149" i="60"/>
  <c r="U201" i="60"/>
  <c r="Q201" i="60"/>
  <c r="U199" i="60"/>
  <c r="Q199" i="60"/>
  <c r="I193" i="60"/>
  <c r="E193" i="60"/>
  <c r="U196" i="60"/>
  <c r="Q196" i="60"/>
  <c r="I194" i="60"/>
  <c r="E194" i="60"/>
  <c r="U193" i="60"/>
  <c r="Q193" i="60"/>
  <c r="U80" i="60"/>
  <c r="X80" i="60" s="1"/>
  <c r="Q80" i="60"/>
  <c r="T80" i="60" s="1"/>
  <c r="U78" i="60"/>
  <c r="X78" i="60" s="1"/>
  <c r="Q78" i="60"/>
  <c r="T78" i="60" s="1"/>
  <c r="I72" i="60"/>
  <c r="L72" i="60" s="1"/>
  <c r="E72" i="60"/>
  <c r="H72" i="60" s="1"/>
  <c r="Q75" i="60"/>
  <c r="T75" i="60" s="1"/>
  <c r="I73" i="60"/>
  <c r="L73" i="60" s="1"/>
  <c r="U72" i="60"/>
  <c r="X72" i="60" s="1"/>
  <c r="U75" i="60"/>
  <c r="X75" i="60" s="1"/>
  <c r="E73" i="60"/>
  <c r="H73" i="60" s="1"/>
  <c r="Q72" i="60"/>
  <c r="T72" i="60" s="1"/>
  <c r="U410" i="60"/>
  <c r="X410" i="60" s="1"/>
  <c r="Q410" i="60"/>
  <c r="T410" i="60" s="1"/>
  <c r="U408" i="60"/>
  <c r="X408" i="60" s="1"/>
  <c r="Q408" i="60"/>
  <c r="T408" i="60" s="1"/>
  <c r="U405" i="60"/>
  <c r="X405" i="60" s="1"/>
  <c r="E403" i="60"/>
  <c r="H403" i="60" s="1"/>
  <c r="U402" i="60"/>
  <c r="Q402" i="60"/>
  <c r="T402" i="60" s="1"/>
  <c r="Q405" i="60"/>
  <c r="T405" i="60" s="1"/>
  <c r="I403" i="60"/>
  <c r="L403" i="60" s="1"/>
  <c r="E402" i="60"/>
  <c r="H402" i="60" s="1"/>
  <c r="I402" i="60"/>
  <c r="L402" i="60" s="1"/>
  <c r="U372" i="60"/>
  <c r="X372" i="60" s="1"/>
  <c r="Q372" i="60"/>
  <c r="T372" i="60" s="1"/>
  <c r="I370" i="60"/>
  <c r="L370" i="60" s="1"/>
  <c r="E370" i="60"/>
  <c r="H370" i="60" s="1"/>
  <c r="U369" i="60"/>
  <c r="X369" i="60" s="1"/>
  <c r="Q369" i="60"/>
  <c r="Q377" i="60"/>
  <c r="T377" i="60" s="1"/>
  <c r="Q375" i="60"/>
  <c r="T375" i="60" s="1"/>
  <c r="E369" i="60"/>
  <c r="H369" i="60" s="1"/>
  <c r="U377" i="60"/>
  <c r="X377" i="60" s="1"/>
  <c r="I369" i="60"/>
  <c r="L369" i="60" s="1"/>
  <c r="U375" i="60"/>
  <c r="X375" i="60" s="1"/>
  <c r="U421" i="60"/>
  <c r="X421" i="60" s="1"/>
  <c r="Q421" i="60"/>
  <c r="T421" i="60" s="1"/>
  <c r="U419" i="60"/>
  <c r="X419" i="60" s="1"/>
  <c r="Q419" i="60"/>
  <c r="T419" i="60" s="1"/>
  <c r="I413" i="60"/>
  <c r="L413" i="60" s="1"/>
  <c r="E413" i="60"/>
  <c r="H413" i="60" s="1"/>
  <c r="U416" i="60"/>
  <c r="X416" i="60" s="1"/>
  <c r="E414" i="60"/>
  <c r="H414" i="60" s="1"/>
  <c r="Q413" i="60"/>
  <c r="I414" i="60"/>
  <c r="L414" i="60" s="1"/>
  <c r="Q416" i="60"/>
  <c r="T416" i="60" s="1"/>
  <c r="U413" i="60"/>
  <c r="X413" i="60" s="1"/>
  <c r="U91" i="60"/>
  <c r="X91" i="60" s="1"/>
  <c r="Q91" i="60"/>
  <c r="T91" i="60" s="1"/>
  <c r="U89" i="60"/>
  <c r="X89" i="60" s="1"/>
  <c r="Q89" i="60"/>
  <c r="T89" i="60" s="1"/>
  <c r="I83" i="60"/>
  <c r="L83" i="60" s="1"/>
  <c r="E83" i="60"/>
  <c r="H83" i="60" s="1"/>
  <c r="Q86" i="60"/>
  <c r="T86" i="60" s="1"/>
  <c r="I84" i="60"/>
  <c r="L84" i="60" s="1"/>
  <c r="U83" i="60"/>
  <c r="X83" i="60" s="1"/>
  <c r="U86" i="60"/>
  <c r="X86" i="60" s="1"/>
  <c r="E84" i="60"/>
  <c r="H84" i="60" s="1"/>
  <c r="Q83" i="60"/>
  <c r="T83" i="60" s="1"/>
  <c r="U113" i="60"/>
  <c r="X113" i="60" s="1"/>
  <c r="Q113" i="60"/>
  <c r="T113" i="60" s="1"/>
  <c r="U111" i="60"/>
  <c r="X111" i="60" s="1"/>
  <c r="Q111" i="60"/>
  <c r="T111" i="60" s="1"/>
  <c r="I105" i="60"/>
  <c r="L105" i="60" s="1"/>
  <c r="E105" i="60"/>
  <c r="H105" i="60" s="1"/>
  <c r="Q108" i="60"/>
  <c r="T108" i="60" s="1"/>
  <c r="I106" i="60"/>
  <c r="L106" i="60" s="1"/>
  <c r="U105" i="60"/>
  <c r="X105" i="60" s="1"/>
  <c r="U108" i="60"/>
  <c r="X108" i="60" s="1"/>
  <c r="E106" i="60"/>
  <c r="H106" i="60" s="1"/>
  <c r="Q105" i="60"/>
  <c r="U190" i="60"/>
  <c r="X190" i="60" s="1"/>
  <c r="Q190" i="60"/>
  <c r="T190" i="60" s="1"/>
  <c r="U188" i="60"/>
  <c r="X188" i="60" s="1"/>
  <c r="Q188" i="60"/>
  <c r="T188" i="60" s="1"/>
  <c r="I182" i="60"/>
  <c r="L182" i="60" s="1"/>
  <c r="E182" i="60"/>
  <c r="H182" i="60" s="1"/>
  <c r="U185" i="60"/>
  <c r="X185" i="60" s="1"/>
  <c r="Q185" i="60"/>
  <c r="T185" i="60" s="1"/>
  <c r="I183" i="60"/>
  <c r="L183" i="60" s="1"/>
  <c r="E183" i="60"/>
  <c r="H183" i="60" s="1"/>
  <c r="U182" i="60"/>
  <c r="X182" i="60" s="1"/>
  <c r="Q182" i="60"/>
  <c r="T182" i="60" s="1"/>
  <c r="U58" i="60"/>
  <c r="X58" i="60" s="1"/>
  <c r="Q58" i="60"/>
  <c r="T58" i="60" s="1"/>
  <c r="U56" i="60"/>
  <c r="X56" i="60" s="1"/>
  <c r="Q56" i="60"/>
  <c r="T56" i="60" s="1"/>
  <c r="I50" i="60"/>
  <c r="L50" i="60" s="1"/>
  <c r="E50" i="60"/>
  <c r="H50" i="60" s="1"/>
  <c r="Q53" i="60"/>
  <c r="T53" i="60" s="1"/>
  <c r="I51" i="60"/>
  <c r="L51" i="60" s="1"/>
  <c r="U50" i="60"/>
  <c r="X50" i="60" s="1"/>
  <c r="U53" i="60"/>
  <c r="X53" i="60" s="1"/>
  <c r="E51" i="60"/>
  <c r="H51" i="60" s="1"/>
  <c r="Q50" i="60"/>
  <c r="T50" i="60" s="1"/>
  <c r="U432" i="60"/>
  <c r="X432" i="60" s="1"/>
  <c r="Q432" i="60"/>
  <c r="T432" i="60" s="1"/>
  <c r="U430" i="60"/>
  <c r="X430" i="60" s="1"/>
  <c r="Q430" i="60"/>
  <c r="T430" i="60" s="1"/>
  <c r="I424" i="60"/>
  <c r="L424" i="60" s="1"/>
  <c r="E424" i="60"/>
  <c r="H424" i="60" s="1"/>
  <c r="U427" i="60"/>
  <c r="X427" i="60" s="1"/>
  <c r="E425" i="60"/>
  <c r="H425" i="60" s="1"/>
  <c r="Q424" i="60"/>
  <c r="T424" i="60" s="1"/>
  <c r="Q427" i="60"/>
  <c r="T427" i="60" s="1"/>
  <c r="U424" i="60"/>
  <c r="X424" i="60" s="1"/>
  <c r="I425" i="60"/>
  <c r="L425" i="60" s="1"/>
  <c r="U179" i="60"/>
  <c r="X179" i="60" s="1"/>
  <c r="Q179" i="60"/>
  <c r="T179" i="60" s="1"/>
  <c r="U177" i="60"/>
  <c r="X177" i="60" s="1"/>
  <c r="Q177" i="60"/>
  <c r="T177" i="60" s="1"/>
  <c r="I171" i="60"/>
  <c r="L171" i="60" s="1"/>
  <c r="E171" i="60"/>
  <c r="H171" i="60" s="1"/>
  <c r="U174" i="60"/>
  <c r="X174" i="60" s="1"/>
  <c r="Q174" i="60"/>
  <c r="T174" i="60" s="1"/>
  <c r="I172" i="60"/>
  <c r="L172" i="60" s="1"/>
  <c r="U171" i="60"/>
  <c r="X171" i="60" s="1"/>
  <c r="E172" i="60"/>
  <c r="H172" i="60" s="1"/>
  <c r="Q171" i="60"/>
  <c r="U251" i="60"/>
  <c r="X251" i="60" s="1"/>
  <c r="Q251" i="60"/>
  <c r="T251" i="60" s="1"/>
  <c r="I249" i="60"/>
  <c r="L249" i="60" s="1"/>
  <c r="E249" i="60"/>
  <c r="H249" i="60" s="1"/>
  <c r="U248" i="60"/>
  <c r="X248" i="60" s="1"/>
  <c r="Q248" i="60"/>
  <c r="T248" i="60" s="1"/>
  <c r="Q256" i="60"/>
  <c r="T256" i="60" s="1"/>
  <c r="Q254" i="60"/>
  <c r="T254" i="60" s="1"/>
  <c r="E248" i="60"/>
  <c r="H248" i="60" s="1"/>
  <c r="U256" i="60"/>
  <c r="X256" i="60" s="1"/>
  <c r="U254" i="60"/>
  <c r="X254" i="60" s="1"/>
  <c r="I248" i="60"/>
  <c r="L248" i="60" s="1"/>
  <c r="U383" i="60"/>
  <c r="X383" i="60" s="1"/>
  <c r="Q383" i="60"/>
  <c r="T383" i="60" s="1"/>
  <c r="I381" i="60"/>
  <c r="L381" i="60" s="1"/>
  <c r="E381" i="60"/>
  <c r="H381" i="60" s="1"/>
  <c r="U380" i="60"/>
  <c r="X380" i="60" s="1"/>
  <c r="Q380" i="60"/>
  <c r="T380" i="60" s="1"/>
  <c r="Q388" i="60"/>
  <c r="T388" i="60" s="1"/>
  <c r="Q386" i="60"/>
  <c r="T386" i="60" s="1"/>
  <c r="E380" i="60"/>
  <c r="U386" i="60"/>
  <c r="X386" i="60" s="1"/>
  <c r="U388" i="60"/>
  <c r="X388" i="60" s="1"/>
  <c r="I380" i="60"/>
  <c r="L380" i="60" s="1"/>
  <c r="U135" i="60"/>
  <c r="X135" i="60" s="1"/>
  <c r="Q135" i="60"/>
  <c r="T135" i="60" s="1"/>
  <c r="U133" i="60"/>
  <c r="X133" i="60" s="1"/>
  <c r="Q133" i="60"/>
  <c r="T133" i="60" s="1"/>
  <c r="I127" i="60"/>
  <c r="L127" i="60" s="1"/>
  <c r="E127" i="60"/>
  <c r="H127" i="60" s="1"/>
  <c r="Q130" i="60"/>
  <c r="T130" i="60" s="1"/>
  <c r="I128" i="60"/>
  <c r="L128" i="60" s="1"/>
  <c r="U127" i="60"/>
  <c r="X127" i="60" s="1"/>
  <c r="U130" i="60"/>
  <c r="X130" i="60" s="1"/>
  <c r="E128" i="60"/>
  <c r="H128" i="60" s="1"/>
  <c r="Q127" i="60"/>
  <c r="U47" i="60"/>
  <c r="X47" i="60" s="1"/>
  <c r="Q47" i="60"/>
  <c r="T47" i="60" s="1"/>
  <c r="U45" i="60"/>
  <c r="X45" i="60" s="1"/>
  <c r="Q45" i="60"/>
  <c r="T45" i="60" s="1"/>
  <c r="I39" i="60"/>
  <c r="L39" i="60" s="1"/>
  <c r="E39" i="60"/>
  <c r="H39" i="60" s="1"/>
  <c r="Q42" i="60"/>
  <c r="T42" i="60" s="1"/>
  <c r="I40" i="60"/>
  <c r="L40" i="60" s="1"/>
  <c r="U39" i="60"/>
  <c r="U42" i="60"/>
  <c r="X42" i="60" s="1"/>
  <c r="E40" i="60"/>
  <c r="H40" i="60" s="1"/>
  <c r="Q39" i="60"/>
  <c r="T39" i="60" s="1"/>
  <c r="U212" i="60"/>
  <c r="Q212" i="60"/>
  <c r="U210" i="60"/>
  <c r="Q210" i="60"/>
  <c r="I204" i="60"/>
  <c r="E204" i="60"/>
  <c r="U207" i="60"/>
  <c r="Q207" i="60"/>
  <c r="I205" i="60"/>
  <c r="E205" i="60"/>
  <c r="U204" i="60"/>
  <c r="Q204" i="60"/>
  <c r="U36" i="60"/>
  <c r="X36" i="60" s="1"/>
  <c r="Q36" i="60"/>
  <c r="T36" i="60" s="1"/>
  <c r="U34" i="60"/>
  <c r="X34" i="60" s="1"/>
  <c r="Q34" i="60"/>
  <c r="T34" i="60" s="1"/>
  <c r="I28" i="60"/>
  <c r="L28" i="60" s="1"/>
  <c r="E28" i="60"/>
  <c r="H28" i="60" s="1"/>
  <c r="Q31" i="60"/>
  <c r="T31" i="60" s="1"/>
  <c r="I29" i="60"/>
  <c r="L29" i="60" s="1"/>
  <c r="U28" i="60"/>
  <c r="X28" i="60" s="1"/>
  <c r="U31" i="60"/>
  <c r="X31" i="60" s="1"/>
  <c r="E29" i="60"/>
  <c r="H29" i="60" s="1"/>
  <c r="Q28" i="60"/>
  <c r="U102" i="60"/>
  <c r="X102" i="60" s="1"/>
  <c r="Q102" i="60"/>
  <c r="T102" i="60" s="1"/>
  <c r="U100" i="60"/>
  <c r="X100" i="60" s="1"/>
  <c r="Q100" i="60"/>
  <c r="T100" i="60" s="1"/>
  <c r="I94" i="60"/>
  <c r="L94" i="60" s="1"/>
  <c r="E94" i="60"/>
  <c r="H94" i="60" s="1"/>
  <c r="Q97" i="60"/>
  <c r="T97" i="60" s="1"/>
  <c r="I95" i="60"/>
  <c r="L95" i="60" s="1"/>
  <c r="U94" i="60"/>
  <c r="X94" i="60" s="1"/>
  <c r="U97" i="60"/>
  <c r="X97" i="60" s="1"/>
  <c r="E95" i="60"/>
  <c r="H95" i="60" s="1"/>
  <c r="Q94" i="60"/>
  <c r="T94" i="60" s="1"/>
  <c r="W207" i="60"/>
  <c r="S207" i="60"/>
  <c r="K207" i="60"/>
  <c r="L207" i="60" s="1"/>
  <c r="K205" i="60"/>
  <c r="G205" i="60"/>
  <c r="W204" i="60"/>
  <c r="O204" i="60"/>
  <c r="P204" i="60" s="1"/>
  <c r="W214" i="60"/>
  <c r="X214" i="60" s="1"/>
  <c r="S214" i="60"/>
  <c r="T214" i="60" s="1"/>
  <c r="W213" i="60"/>
  <c r="X213" i="60" s="1"/>
  <c r="S213" i="60"/>
  <c r="T213" i="60" s="1"/>
  <c r="W212" i="60"/>
  <c r="S212" i="60"/>
  <c r="W211" i="60"/>
  <c r="X211" i="60" s="1"/>
  <c r="S211" i="60"/>
  <c r="T211" i="60" s="1"/>
  <c r="W210" i="60"/>
  <c r="S210" i="60"/>
  <c r="W209" i="60"/>
  <c r="X209" i="60" s="1"/>
  <c r="S209" i="60"/>
  <c r="T209" i="60" s="1"/>
  <c r="W208" i="60"/>
  <c r="X208" i="60" s="1"/>
  <c r="S208" i="60"/>
  <c r="T208" i="60" s="1"/>
  <c r="K208" i="60"/>
  <c r="L208" i="60" s="1"/>
  <c r="W206" i="60"/>
  <c r="X206" i="60" s="1"/>
  <c r="S206" i="60"/>
  <c r="T206" i="60" s="1"/>
  <c r="W205" i="60"/>
  <c r="X205" i="60" s="1"/>
  <c r="S205" i="60"/>
  <c r="T205" i="60" s="1"/>
  <c r="O205" i="60"/>
  <c r="P205" i="60" s="1"/>
  <c r="K204" i="60"/>
  <c r="G204" i="60"/>
  <c r="W229" i="60"/>
  <c r="S229" i="60"/>
  <c r="K229" i="60"/>
  <c r="L229" i="60" s="1"/>
  <c r="K227" i="60"/>
  <c r="G227" i="60"/>
  <c r="W226" i="60"/>
  <c r="S226" i="60"/>
  <c r="O226" i="60"/>
  <c r="P226" i="60" s="1"/>
  <c r="W236" i="60"/>
  <c r="X236" i="60" s="1"/>
  <c r="S236" i="60"/>
  <c r="T236" i="60" s="1"/>
  <c r="W235" i="60"/>
  <c r="X235" i="60" s="1"/>
  <c r="S235" i="60"/>
  <c r="T235" i="60" s="1"/>
  <c r="W234" i="60"/>
  <c r="S234" i="60"/>
  <c r="W233" i="60"/>
  <c r="X233" i="60" s="1"/>
  <c r="S233" i="60"/>
  <c r="T233" i="60" s="1"/>
  <c r="W232" i="60"/>
  <c r="S232" i="60"/>
  <c r="W231" i="60"/>
  <c r="X231" i="60" s="1"/>
  <c r="S231" i="60"/>
  <c r="T231" i="60" s="1"/>
  <c r="W230" i="60"/>
  <c r="X230" i="60" s="1"/>
  <c r="S230" i="60"/>
  <c r="T230" i="60" s="1"/>
  <c r="K230" i="60"/>
  <c r="L230" i="60" s="1"/>
  <c r="W228" i="60"/>
  <c r="X228" i="60" s="1"/>
  <c r="S228" i="60"/>
  <c r="T228" i="60" s="1"/>
  <c r="W227" i="60"/>
  <c r="X227" i="60" s="1"/>
  <c r="S227" i="60"/>
  <c r="T227" i="60" s="1"/>
  <c r="O227" i="60"/>
  <c r="P227" i="60" s="1"/>
  <c r="K226" i="60"/>
  <c r="G226" i="60"/>
  <c r="S298" i="59"/>
  <c r="S295" i="59"/>
  <c r="K292" i="59"/>
  <c r="S299" i="59"/>
  <c r="T299" i="59" s="1"/>
  <c r="W294" i="59"/>
  <c r="X294" i="59" s="1"/>
  <c r="S302" i="59"/>
  <c r="T302" i="59" s="1"/>
  <c r="S300" i="59"/>
  <c r="W300" i="59"/>
  <c r="W296" i="59"/>
  <c r="X296" i="59" s="1"/>
  <c r="S294" i="59"/>
  <c r="T294" i="59" s="1"/>
  <c r="W292" i="59"/>
  <c r="W301" i="59"/>
  <c r="X301" i="59" s="1"/>
  <c r="O292" i="59"/>
  <c r="P292" i="59" s="1"/>
  <c r="O293" i="59"/>
  <c r="P293" i="59" s="1"/>
  <c r="W196" i="60"/>
  <c r="S196" i="60"/>
  <c r="K196" i="60"/>
  <c r="L196" i="60" s="1"/>
  <c r="K194" i="60"/>
  <c r="G194" i="60"/>
  <c r="W193" i="60"/>
  <c r="S193" i="60"/>
  <c r="O193" i="60"/>
  <c r="P193" i="60" s="1"/>
  <c r="W203" i="60"/>
  <c r="X203" i="60" s="1"/>
  <c r="S203" i="60"/>
  <c r="T203" i="60" s="1"/>
  <c r="W202" i="60"/>
  <c r="X202" i="60" s="1"/>
  <c r="S202" i="60"/>
  <c r="T202" i="60" s="1"/>
  <c r="W201" i="60"/>
  <c r="S201" i="60"/>
  <c r="W200" i="60"/>
  <c r="X200" i="60" s="1"/>
  <c r="S200" i="60"/>
  <c r="T200" i="60" s="1"/>
  <c r="W199" i="60"/>
  <c r="S199" i="60"/>
  <c r="W198" i="60"/>
  <c r="X198" i="60" s="1"/>
  <c r="S198" i="60"/>
  <c r="T198" i="60" s="1"/>
  <c r="W197" i="60"/>
  <c r="X197" i="60" s="1"/>
  <c r="S197" i="60"/>
  <c r="T197" i="60" s="1"/>
  <c r="K197" i="60"/>
  <c r="L197" i="60" s="1"/>
  <c r="W195" i="60"/>
  <c r="X195" i="60" s="1"/>
  <c r="S195" i="60"/>
  <c r="T195" i="60" s="1"/>
  <c r="W194" i="60"/>
  <c r="X194" i="60" s="1"/>
  <c r="S194" i="60"/>
  <c r="T194" i="60" s="1"/>
  <c r="O194" i="60"/>
  <c r="P194" i="60" s="1"/>
  <c r="K193" i="60"/>
  <c r="G193" i="60"/>
  <c r="C215" i="60"/>
  <c r="W218" i="60"/>
  <c r="S218" i="60"/>
  <c r="K218" i="60"/>
  <c r="L218" i="60" s="1"/>
  <c r="K216" i="60"/>
  <c r="G216" i="60"/>
  <c r="W215" i="60"/>
  <c r="O215" i="60"/>
  <c r="P215" i="60" s="1"/>
  <c r="W225" i="60"/>
  <c r="X225" i="60" s="1"/>
  <c r="S225" i="60"/>
  <c r="T225" i="60" s="1"/>
  <c r="W224" i="60"/>
  <c r="X224" i="60" s="1"/>
  <c r="S224" i="60"/>
  <c r="T224" i="60" s="1"/>
  <c r="W223" i="60"/>
  <c r="S223" i="60"/>
  <c r="W222" i="60"/>
  <c r="X222" i="60" s="1"/>
  <c r="S222" i="60"/>
  <c r="T222" i="60" s="1"/>
  <c r="W221" i="60"/>
  <c r="S221" i="60"/>
  <c r="W220" i="60"/>
  <c r="X220" i="60" s="1"/>
  <c r="S220" i="60"/>
  <c r="T220" i="60" s="1"/>
  <c r="W219" i="60"/>
  <c r="X219" i="60" s="1"/>
  <c r="S219" i="60"/>
  <c r="T219" i="60" s="1"/>
  <c r="K219" i="60"/>
  <c r="L219" i="60" s="1"/>
  <c r="W217" i="60"/>
  <c r="X217" i="60" s="1"/>
  <c r="S217" i="60"/>
  <c r="T217" i="60" s="1"/>
  <c r="W216" i="60"/>
  <c r="X216" i="60" s="1"/>
  <c r="S216" i="60"/>
  <c r="T216" i="60" s="1"/>
  <c r="O216" i="60"/>
  <c r="P216" i="60" s="1"/>
  <c r="K215" i="60"/>
  <c r="G215" i="60"/>
  <c r="W269" i="60"/>
  <c r="X269" i="60" s="1"/>
  <c r="S269" i="60"/>
  <c r="T269" i="60" s="1"/>
  <c r="W268" i="60"/>
  <c r="X268" i="60" s="1"/>
  <c r="S268" i="60"/>
  <c r="T268" i="60" s="1"/>
  <c r="W267" i="60"/>
  <c r="S267" i="60"/>
  <c r="W266" i="60"/>
  <c r="X266" i="60" s="1"/>
  <c r="S266" i="60"/>
  <c r="T266" i="60" s="1"/>
  <c r="W265" i="60"/>
  <c r="S265" i="60"/>
  <c r="W264" i="60"/>
  <c r="X264" i="60" s="1"/>
  <c r="S264" i="60"/>
  <c r="T264" i="60" s="1"/>
  <c r="W263" i="60"/>
  <c r="X263" i="60" s="1"/>
  <c r="S263" i="60"/>
  <c r="T263" i="60" s="1"/>
  <c r="K263" i="60"/>
  <c r="L263" i="60" s="1"/>
  <c r="W261" i="60"/>
  <c r="X261" i="60" s="1"/>
  <c r="S261" i="60"/>
  <c r="T261" i="60" s="1"/>
  <c r="W260" i="60"/>
  <c r="X260" i="60" s="1"/>
  <c r="S260" i="60"/>
  <c r="T260" i="60" s="1"/>
  <c r="O260" i="60"/>
  <c r="P260" i="60" s="1"/>
  <c r="K259" i="60"/>
  <c r="G259" i="60"/>
  <c r="S262" i="60"/>
  <c r="K260" i="60"/>
  <c r="W259" i="60"/>
  <c r="O259" i="60"/>
  <c r="P259" i="60" s="1"/>
  <c r="W262" i="60"/>
  <c r="K262" i="60"/>
  <c r="L262" i="60" s="1"/>
  <c r="G260" i="60"/>
  <c r="U350" i="60"/>
  <c r="X350" i="60" s="1"/>
  <c r="Q350" i="60"/>
  <c r="T350" i="60" s="1"/>
  <c r="Q355" i="60"/>
  <c r="T355" i="60" s="1"/>
  <c r="Q353" i="60"/>
  <c r="T353" i="60" s="1"/>
  <c r="I348" i="60"/>
  <c r="L348" i="60" s="1"/>
  <c r="E348" i="60"/>
  <c r="H348" i="60" s="1"/>
  <c r="U347" i="60"/>
  <c r="X347" i="60" s="1"/>
  <c r="Q347" i="60"/>
  <c r="T347" i="60" s="1"/>
  <c r="U355" i="60"/>
  <c r="X355" i="60" s="1"/>
  <c r="E347" i="60"/>
  <c r="H347" i="60" s="1"/>
  <c r="U353" i="60"/>
  <c r="X353" i="60" s="1"/>
  <c r="I347" i="60"/>
  <c r="L347" i="60" s="1"/>
  <c r="U394" i="60"/>
  <c r="X394" i="60" s="1"/>
  <c r="Q394" i="60"/>
  <c r="T394" i="60" s="1"/>
  <c r="I392" i="60"/>
  <c r="L392" i="60" s="1"/>
  <c r="E392" i="60"/>
  <c r="H392" i="60" s="1"/>
  <c r="U391" i="60"/>
  <c r="X391" i="60" s="1"/>
  <c r="Q391" i="60"/>
  <c r="T391" i="60" s="1"/>
  <c r="Q399" i="60"/>
  <c r="T399" i="60" s="1"/>
  <c r="Q397" i="60"/>
  <c r="T397" i="60" s="1"/>
  <c r="E391" i="60"/>
  <c r="H391" i="60" s="1"/>
  <c r="U399" i="60"/>
  <c r="X399" i="60" s="1"/>
  <c r="I391" i="60"/>
  <c r="L391" i="60" s="1"/>
  <c r="U397" i="60"/>
  <c r="X397" i="60" s="1"/>
  <c r="U361" i="60"/>
  <c r="X361" i="60" s="1"/>
  <c r="Q361" i="60"/>
  <c r="T361" i="60" s="1"/>
  <c r="I359" i="60"/>
  <c r="L359" i="60" s="1"/>
  <c r="E359" i="60"/>
  <c r="H359" i="60" s="1"/>
  <c r="U358" i="60"/>
  <c r="X358" i="60" s="1"/>
  <c r="Q358" i="60"/>
  <c r="Q366" i="60"/>
  <c r="T366" i="60" s="1"/>
  <c r="Q364" i="60"/>
  <c r="T364" i="60" s="1"/>
  <c r="E358" i="60"/>
  <c r="H358" i="60" s="1"/>
  <c r="U364" i="60"/>
  <c r="X364" i="60" s="1"/>
  <c r="U366" i="60"/>
  <c r="X366" i="60" s="1"/>
  <c r="I358" i="60"/>
  <c r="L358" i="60" s="1"/>
  <c r="Q443" i="59"/>
  <c r="T443" i="59" s="1"/>
  <c r="Q441" i="59"/>
  <c r="Q435" i="59"/>
  <c r="Q438" i="59"/>
  <c r="T438" i="59" s="1"/>
  <c r="Q383" i="59"/>
  <c r="T383" i="59" s="1"/>
  <c r="Q388" i="59"/>
  <c r="T388" i="59" s="1"/>
  <c r="Q386" i="59"/>
  <c r="Q380" i="59"/>
  <c r="Q421" i="59"/>
  <c r="T421" i="59" s="1"/>
  <c r="Q419" i="59"/>
  <c r="Q413" i="59"/>
  <c r="Q416" i="59"/>
  <c r="T416" i="59" s="1"/>
  <c r="Q135" i="59"/>
  <c r="T135" i="59" s="1"/>
  <c r="Q133" i="59"/>
  <c r="Q127" i="59"/>
  <c r="Q130" i="59"/>
  <c r="T130" i="59" s="1"/>
  <c r="Q427" i="59"/>
  <c r="T427" i="59" s="1"/>
  <c r="Q432" i="59"/>
  <c r="T432" i="59" s="1"/>
  <c r="Q430" i="59"/>
  <c r="Q424" i="59"/>
  <c r="Q405" i="59"/>
  <c r="T405" i="59" s="1"/>
  <c r="Q410" i="59"/>
  <c r="T410" i="59" s="1"/>
  <c r="Q408" i="59"/>
  <c r="Q402" i="59"/>
  <c r="Q399" i="59"/>
  <c r="T399" i="59" s="1"/>
  <c r="Q397" i="59"/>
  <c r="Q391" i="59"/>
  <c r="Q394" i="59"/>
  <c r="T394" i="59" s="1"/>
  <c r="W43" i="57"/>
  <c r="X43" i="57" s="1"/>
  <c r="B6" i="68"/>
  <c r="S71" i="57"/>
  <c r="B8" i="68"/>
  <c r="S54" i="57"/>
  <c r="T54" i="57" s="1"/>
  <c r="B7" i="68"/>
  <c r="W38" i="57"/>
  <c r="X38" i="57" s="1"/>
  <c r="B5" i="68"/>
  <c r="S19" i="57"/>
  <c r="B4" i="68"/>
  <c r="W346" i="57"/>
  <c r="X346" i="57" s="1"/>
  <c r="C303" i="57"/>
  <c r="W311" i="57"/>
  <c r="S283" i="57"/>
  <c r="C281" i="57"/>
  <c r="S310" i="57"/>
  <c r="S307" i="57"/>
  <c r="T307" i="57" s="1"/>
  <c r="K304" i="57"/>
  <c r="G304" i="57"/>
  <c r="W305" i="57"/>
  <c r="X305" i="57" s="1"/>
  <c r="W310" i="57"/>
  <c r="X310" i="57" s="1"/>
  <c r="O293" i="57"/>
  <c r="P293" i="57" s="1"/>
  <c r="S312" i="57"/>
  <c r="S308" i="57"/>
  <c r="S305" i="57"/>
  <c r="K307" i="57"/>
  <c r="W309" i="57"/>
  <c r="K303" i="57"/>
  <c r="S313" i="57"/>
  <c r="D215" i="60"/>
  <c r="S309" i="57"/>
  <c r="G303" i="57"/>
  <c r="W307" i="57"/>
  <c r="X307" i="57" s="1"/>
  <c r="W313" i="57"/>
  <c r="X313" i="57" s="1"/>
  <c r="O304" i="57"/>
  <c r="P304" i="57" s="1"/>
  <c r="W312" i="57"/>
  <c r="X312" i="57" s="1"/>
  <c r="S311" i="57"/>
  <c r="O303" i="57"/>
  <c r="P303" i="57" s="1"/>
  <c r="W304" i="57"/>
  <c r="X304" i="57" s="1"/>
  <c r="W306" i="57"/>
  <c r="W308" i="57"/>
  <c r="X308" i="57" s="1"/>
  <c r="D303" i="57"/>
  <c r="U311" i="57" s="1"/>
  <c r="S320" i="57"/>
  <c r="S284" i="57"/>
  <c r="K329" i="57"/>
  <c r="W286" i="57"/>
  <c r="X286" i="57" s="1"/>
  <c r="O326" i="57"/>
  <c r="P326" i="57" s="1"/>
  <c r="S286" i="57"/>
  <c r="K281" i="57"/>
  <c r="S277" i="57"/>
  <c r="G293" i="57"/>
  <c r="S296" i="57"/>
  <c r="T296" i="57" s="1"/>
  <c r="W301" i="57"/>
  <c r="X301" i="57" s="1"/>
  <c r="W287" i="57"/>
  <c r="S282" i="57"/>
  <c r="T282" i="57" s="1"/>
  <c r="W284" i="57"/>
  <c r="S291" i="57"/>
  <c r="G282" i="57"/>
  <c r="S332" i="57"/>
  <c r="S326" i="57"/>
  <c r="T326" i="57" s="1"/>
  <c r="W329" i="57"/>
  <c r="X329" i="57" s="1"/>
  <c r="S335" i="57"/>
  <c r="W285" i="57"/>
  <c r="X285" i="57" s="1"/>
  <c r="W281" i="57"/>
  <c r="S288" i="57"/>
  <c r="W283" i="57"/>
  <c r="X283" i="57" s="1"/>
  <c r="O282" i="57"/>
  <c r="P282" i="57" s="1"/>
  <c r="S333" i="57"/>
  <c r="S327" i="57"/>
  <c r="W331" i="57"/>
  <c r="W334" i="57"/>
  <c r="X334" i="57" s="1"/>
  <c r="S289" i="57"/>
  <c r="K285" i="57"/>
  <c r="W290" i="57"/>
  <c r="X290" i="57" s="1"/>
  <c r="S287" i="57"/>
  <c r="W282" i="57"/>
  <c r="X282" i="57" s="1"/>
  <c r="O281" i="57"/>
  <c r="P281" i="57" s="1"/>
  <c r="D325" i="57"/>
  <c r="E325" i="57" s="1"/>
  <c r="C325" i="57"/>
  <c r="O314" i="57"/>
  <c r="P314" i="57" s="1"/>
  <c r="K270" i="57"/>
  <c r="W318" i="57"/>
  <c r="X318" i="57" s="1"/>
  <c r="W275" i="57"/>
  <c r="X275" i="57" s="1"/>
  <c r="S315" i="57"/>
  <c r="T315" i="57" s="1"/>
  <c r="W319" i="57"/>
  <c r="X319" i="57" s="1"/>
  <c r="W272" i="57"/>
  <c r="X272" i="57" s="1"/>
  <c r="S274" i="57"/>
  <c r="T274" i="57" s="1"/>
  <c r="C270" i="57"/>
  <c r="S317" i="57"/>
  <c r="W315" i="57"/>
  <c r="X315" i="57" s="1"/>
  <c r="W279" i="57"/>
  <c r="X279" i="57" s="1"/>
  <c r="D270" i="57"/>
  <c r="E270" i="57" s="1"/>
  <c r="W273" i="57"/>
  <c r="S321" i="57"/>
  <c r="S324" i="57"/>
  <c r="W317" i="57"/>
  <c r="W276" i="57"/>
  <c r="O270" i="57"/>
  <c r="P270" i="57" s="1"/>
  <c r="S298" i="57"/>
  <c r="W294" i="57"/>
  <c r="X294" i="57" s="1"/>
  <c r="W300" i="57"/>
  <c r="K293" i="57"/>
  <c r="S300" i="57"/>
  <c r="W302" i="57"/>
  <c r="X302" i="57" s="1"/>
  <c r="S295" i="57"/>
  <c r="S293" i="57"/>
  <c r="T293" i="57" s="1"/>
  <c r="W296" i="57"/>
  <c r="X296" i="57" s="1"/>
  <c r="D292" i="57"/>
  <c r="U300" i="57" s="1"/>
  <c r="C314" i="57"/>
  <c r="D314" i="57"/>
  <c r="E314" i="57" s="1"/>
  <c r="W324" i="57"/>
  <c r="X324" i="57" s="1"/>
  <c r="S273" i="57"/>
  <c r="S278" i="57"/>
  <c r="S322" i="57"/>
  <c r="W314" i="57"/>
  <c r="W321" i="57"/>
  <c r="X321" i="57" s="1"/>
  <c r="G315" i="57"/>
  <c r="S316" i="57"/>
  <c r="K318" i="57"/>
  <c r="W320" i="57"/>
  <c r="W278" i="57"/>
  <c r="W274" i="57"/>
  <c r="X274" i="57" s="1"/>
  <c r="W271" i="57"/>
  <c r="X271" i="57" s="1"/>
  <c r="S280" i="57"/>
  <c r="S276" i="57"/>
  <c r="G271" i="57"/>
  <c r="W280" i="57"/>
  <c r="X280" i="57" s="1"/>
  <c r="S323" i="57"/>
  <c r="S319" i="57"/>
  <c r="K315" i="57"/>
  <c r="W323" i="57"/>
  <c r="X323" i="57" s="1"/>
  <c r="O315" i="57"/>
  <c r="P315" i="57" s="1"/>
  <c r="W316" i="57"/>
  <c r="X316" i="57" s="1"/>
  <c r="S318" i="57"/>
  <c r="T318" i="57" s="1"/>
  <c r="W277" i="57"/>
  <c r="X277" i="57" s="1"/>
  <c r="K274" i="57"/>
  <c r="O271" i="57"/>
  <c r="P271" i="57" s="1"/>
  <c r="S279" i="57"/>
  <c r="S275" i="57"/>
  <c r="S272" i="57"/>
  <c r="W289" i="57"/>
  <c r="D281" i="57"/>
  <c r="U281" i="57" s="1"/>
  <c r="S290" i="57"/>
  <c r="S285" i="57"/>
  <c r="T285" i="57" s="1"/>
  <c r="K282" i="57"/>
  <c r="W288" i="57"/>
  <c r="X288" i="57" s="1"/>
  <c r="S334" i="57"/>
  <c r="S330" i="57"/>
  <c r="K326" i="57"/>
  <c r="W327" i="57"/>
  <c r="X327" i="57" s="1"/>
  <c r="S329" i="57"/>
  <c r="T329" i="57" s="1"/>
  <c r="W333" i="57"/>
  <c r="S328" i="57"/>
  <c r="W335" i="57"/>
  <c r="X335" i="57" s="1"/>
  <c r="S331" i="57"/>
  <c r="O325" i="57"/>
  <c r="P325" i="57" s="1"/>
  <c r="W326" i="57"/>
  <c r="X326" i="57" s="1"/>
  <c r="W328" i="57"/>
  <c r="W330" i="57"/>
  <c r="X330" i="57" s="1"/>
  <c r="G326" i="57"/>
  <c r="C336" i="57"/>
  <c r="S301" i="57"/>
  <c r="S297" i="57"/>
  <c r="W293" i="57"/>
  <c r="X293" i="57" s="1"/>
  <c r="W295" i="57"/>
  <c r="W297" i="57"/>
  <c r="X297" i="57" s="1"/>
  <c r="C292" i="57"/>
  <c r="K292" i="57"/>
  <c r="S302" i="57"/>
  <c r="K336" i="57"/>
  <c r="S299" i="57"/>
  <c r="G292" i="57"/>
  <c r="S294" i="57"/>
  <c r="K296" i="57"/>
  <c r="W298" i="57"/>
  <c r="O292" i="57"/>
  <c r="P292" i="57" s="1"/>
  <c r="W292" i="57"/>
  <c r="D336" i="57"/>
  <c r="U336" i="57" s="1"/>
  <c r="W340" i="57"/>
  <c r="X340" i="57" s="1"/>
  <c r="S341" i="57"/>
  <c r="S343" i="57"/>
  <c r="S339" i="57"/>
  <c r="W343" i="57"/>
  <c r="X343" i="57" s="1"/>
  <c r="G337" i="57"/>
  <c r="S338" i="57"/>
  <c r="K340" i="57"/>
  <c r="W342" i="57"/>
  <c r="S344" i="57"/>
  <c r="S342" i="57"/>
  <c r="S346" i="57"/>
  <c r="W345" i="57"/>
  <c r="X345" i="57" s="1"/>
  <c r="O337" i="57"/>
  <c r="P337" i="57" s="1"/>
  <c r="W338" i="57"/>
  <c r="X338" i="57" s="1"/>
  <c r="S340" i="57"/>
  <c r="T340" i="57" s="1"/>
  <c r="W344" i="57"/>
  <c r="S345" i="57"/>
  <c r="K337" i="57"/>
  <c r="O336" i="57"/>
  <c r="P336" i="57" s="1"/>
  <c r="W337" i="57"/>
  <c r="X337" i="57" s="1"/>
  <c r="W339" i="57"/>
  <c r="C259" i="60"/>
  <c r="D259" i="60"/>
  <c r="W319" i="59"/>
  <c r="X319" i="59" s="1"/>
  <c r="W322" i="59"/>
  <c r="W317" i="59"/>
  <c r="O315" i="59"/>
  <c r="P315" i="59" s="1"/>
  <c r="O314" i="59"/>
  <c r="P314" i="59" s="1"/>
  <c r="S324" i="59"/>
  <c r="T324" i="59" s="1"/>
  <c r="G315" i="59"/>
  <c r="C314" i="59"/>
  <c r="D314" i="59"/>
  <c r="W314" i="59"/>
  <c r="S315" i="59"/>
  <c r="T315" i="59" s="1"/>
  <c r="S316" i="59"/>
  <c r="T316" i="59" s="1"/>
  <c r="K318" i="59"/>
  <c r="L318" i="59" s="1"/>
  <c r="W318" i="59"/>
  <c r="X318" i="59" s="1"/>
  <c r="W320" i="59"/>
  <c r="W323" i="59"/>
  <c r="X323" i="59" s="1"/>
  <c r="S320" i="59"/>
  <c r="S321" i="59"/>
  <c r="T321" i="59" s="1"/>
  <c r="S323" i="59"/>
  <c r="T323" i="59" s="1"/>
  <c r="K314" i="59"/>
  <c r="W315" i="59"/>
  <c r="X315" i="59" s="1"/>
  <c r="S317" i="59"/>
  <c r="W324" i="59"/>
  <c r="X324" i="59" s="1"/>
  <c r="K315" i="59"/>
  <c r="W316" i="59"/>
  <c r="X316" i="59" s="1"/>
  <c r="S318" i="59"/>
  <c r="T318" i="59" s="1"/>
  <c r="W321" i="59"/>
  <c r="X321" i="59" s="1"/>
  <c r="S319" i="59"/>
  <c r="T319" i="59" s="1"/>
  <c r="S322" i="59"/>
  <c r="S346" i="59"/>
  <c r="T346" i="59" s="1"/>
  <c r="G337" i="59"/>
  <c r="O336" i="59"/>
  <c r="P336" i="59" s="1"/>
  <c r="C336" i="59"/>
  <c r="W339" i="59"/>
  <c r="W341" i="59"/>
  <c r="X341" i="59" s="1"/>
  <c r="O337" i="59"/>
  <c r="P337" i="59" s="1"/>
  <c r="G336" i="59"/>
  <c r="K336" i="59"/>
  <c r="K337" i="59"/>
  <c r="W337" i="59"/>
  <c r="X337" i="59" s="1"/>
  <c r="W338" i="59"/>
  <c r="X338" i="59" s="1"/>
  <c r="S339" i="59"/>
  <c r="S340" i="59"/>
  <c r="T340" i="59" s="1"/>
  <c r="W346" i="59"/>
  <c r="X346" i="59" s="1"/>
  <c r="W345" i="59"/>
  <c r="X345" i="59" s="1"/>
  <c r="S341" i="59"/>
  <c r="T341" i="59" s="1"/>
  <c r="S344" i="59"/>
  <c r="D336" i="59"/>
  <c r="W340" i="59"/>
  <c r="X340" i="59" s="1"/>
  <c r="W344" i="59"/>
  <c r="W342" i="59"/>
  <c r="S342" i="59"/>
  <c r="S345" i="59"/>
  <c r="T345" i="59" s="1"/>
  <c r="S338" i="59"/>
  <c r="T338" i="59" s="1"/>
  <c r="K340" i="59"/>
  <c r="L340" i="59" s="1"/>
  <c r="W343" i="59"/>
  <c r="X343" i="59" s="1"/>
  <c r="S343" i="59"/>
  <c r="T343" i="59" s="1"/>
  <c r="S367" i="59"/>
  <c r="T367" i="59" s="1"/>
  <c r="W359" i="59"/>
  <c r="X359" i="59" s="1"/>
  <c r="S366" i="59"/>
  <c r="W362" i="59"/>
  <c r="X362" i="59" s="1"/>
  <c r="W360" i="59"/>
  <c r="X360" i="59" s="1"/>
  <c r="W358" i="59"/>
  <c r="W368" i="59"/>
  <c r="X368" i="59" s="1"/>
  <c r="W366" i="59"/>
  <c r="W364" i="59"/>
  <c r="S362" i="59"/>
  <c r="T362" i="59" s="1"/>
  <c r="S360" i="59"/>
  <c r="T360" i="59" s="1"/>
  <c r="G359" i="59"/>
  <c r="G358" i="59"/>
  <c r="S363" i="59"/>
  <c r="T363" i="59" s="1"/>
  <c r="S365" i="59"/>
  <c r="T365" i="59" s="1"/>
  <c r="O358" i="59"/>
  <c r="P358" i="59" s="1"/>
  <c r="W361" i="59"/>
  <c r="W367" i="59"/>
  <c r="X367" i="59" s="1"/>
  <c r="W363" i="59"/>
  <c r="X363" i="59" s="1"/>
  <c r="S359" i="59"/>
  <c r="T359" i="59" s="1"/>
  <c r="D358" i="59"/>
  <c r="K359" i="59"/>
  <c r="C358" i="59"/>
  <c r="K362" i="59"/>
  <c r="L362" i="59" s="1"/>
  <c r="S368" i="59"/>
  <c r="T368" i="59" s="1"/>
  <c r="O359" i="59"/>
  <c r="P359" i="59" s="1"/>
  <c r="W365" i="59"/>
  <c r="X365" i="59" s="1"/>
  <c r="S361" i="59"/>
  <c r="S364" i="59"/>
  <c r="U443" i="59"/>
  <c r="I435" i="59"/>
  <c r="L435" i="59" s="1"/>
  <c r="I436" i="59"/>
  <c r="L436" i="59" s="1"/>
  <c r="E435" i="59"/>
  <c r="E436" i="59"/>
  <c r="H436" i="59" s="1"/>
  <c r="U441" i="59"/>
  <c r="X441" i="59" s="1"/>
  <c r="U438" i="59"/>
  <c r="X438" i="59" s="1"/>
  <c r="U435" i="59"/>
  <c r="U454" i="59"/>
  <c r="X454" i="59" s="1"/>
  <c r="U446" i="59"/>
  <c r="X446" i="59" s="1"/>
  <c r="Q454" i="59"/>
  <c r="T454" i="59" s="1"/>
  <c r="I447" i="59"/>
  <c r="L447" i="59" s="1"/>
  <c r="Q446" i="59"/>
  <c r="Q449" i="59"/>
  <c r="T449" i="59" s="1"/>
  <c r="I446" i="59"/>
  <c r="L446" i="59" s="1"/>
  <c r="E447" i="59"/>
  <c r="H447" i="59" s="1"/>
  <c r="U452" i="59"/>
  <c r="X452" i="59" s="1"/>
  <c r="U449" i="59"/>
  <c r="X449" i="59" s="1"/>
  <c r="E446" i="59"/>
  <c r="H446" i="59" s="1"/>
  <c r="U383" i="59"/>
  <c r="X383" i="59" s="1"/>
  <c r="U380" i="59"/>
  <c r="X380" i="59" s="1"/>
  <c r="U386" i="59"/>
  <c r="X386" i="59" s="1"/>
  <c r="I381" i="59"/>
  <c r="L381" i="59" s="1"/>
  <c r="I380" i="59"/>
  <c r="U388" i="59"/>
  <c r="X388" i="59" s="1"/>
  <c r="E381" i="59"/>
  <c r="H381" i="59" s="1"/>
  <c r="E380" i="59"/>
  <c r="H380" i="59" s="1"/>
  <c r="U498" i="59"/>
  <c r="X498" i="59" s="1"/>
  <c r="I491" i="59"/>
  <c r="L491" i="59" s="1"/>
  <c r="Q490" i="59"/>
  <c r="Q498" i="59"/>
  <c r="T498" i="59" s="1"/>
  <c r="I490" i="59"/>
  <c r="Q493" i="59"/>
  <c r="T493" i="59" s="1"/>
  <c r="U496" i="59"/>
  <c r="X496" i="59" s="1"/>
  <c r="E490" i="59"/>
  <c r="U490" i="59"/>
  <c r="X490" i="59" s="1"/>
  <c r="E491" i="59"/>
  <c r="H491" i="59" s="1"/>
  <c r="U493" i="59"/>
  <c r="X493" i="59" s="1"/>
  <c r="U421" i="59"/>
  <c r="X421" i="59" s="1"/>
  <c r="I413" i="59"/>
  <c r="L413" i="59" s="1"/>
  <c r="U416" i="59"/>
  <c r="X416" i="59" s="1"/>
  <c r="U419" i="59"/>
  <c r="X419" i="59" s="1"/>
  <c r="E413" i="59"/>
  <c r="I414" i="59"/>
  <c r="L414" i="59" s="1"/>
  <c r="E414" i="59"/>
  <c r="H414" i="59" s="1"/>
  <c r="U413" i="59"/>
  <c r="X413" i="59" s="1"/>
  <c r="W280" i="59"/>
  <c r="X280" i="59" s="1"/>
  <c r="W277" i="59"/>
  <c r="X277" i="59" s="1"/>
  <c r="W273" i="59"/>
  <c r="O271" i="59"/>
  <c r="P271" i="59" s="1"/>
  <c r="W279" i="59"/>
  <c r="X279" i="59" s="1"/>
  <c r="S280" i="59"/>
  <c r="T280" i="59" s="1"/>
  <c r="G271" i="59"/>
  <c r="O270" i="59"/>
  <c r="P270" i="59" s="1"/>
  <c r="C270" i="59"/>
  <c r="D270" i="59"/>
  <c r="S271" i="59"/>
  <c r="T271" i="59" s="1"/>
  <c r="S272" i="59"/>
  <c r="T272" i="59" s="1"/>
  <c r="K274" i="59"/>
  <c r="L274" i="59" s="1"/>
  <c r="W274" i="59"/>
  <c r="X274" i="59" s="1"/>
  <c r="W276" i="59"/>
  <c r="K270" i="59"/>
  <c r="W271" i="59"/>
  <c r="X271" i="59" s="1"/>
  <c r="S273" i="59"/>
  <c r="W275" i="59"/>
  <c r="X275" i="59" s="1"/>
  <c r="S275" i="59"/>
  <c r="T275" i="59" s="1"/>
  <c r="S278" i="59"/>
  <c r="K271" i="59"/>
  <c r="W272" i="59"/>
  <c r="X272" i="59" s="1"/>
  <c r="S274" i="59"/>
  <c r="T274" i="59" s="1"/>
  <c r="S276" i="59"/>
  <c r="S277" i="59"/>
  <c r="T277" i="59" s="1"/>
  <c r="S279" i="59"/>
  <c r="T279" i="59" s="1"/>
  <c r="W310" i="59"/>
  <c r="X310" i="59" s="1"/>
  <c r="G304" i="59"/>
  <c r="S313" i="59"/>
  <c r="T313" i="59" s="1"/>
  <c r="O303" i="59"/>
  <c r="P303" i="59" s="1"/>
  <c r="W311" i="59"/>
  <c r="W308" i="59"/>
  <c r="X308" i="59" s="1"/>
  <c r="S307" i="59"/>
  <c r="T307" i="59" s="1"/>
  <c r="S306" i="59"/>
  <c r="S305" i="59"/>
  <c r="T305" i="59" s="1"/>
  <c r="C303" i="59"/>
  <c r="W306" i="59"/>
  <c r="S309" i="59"/>
  <c r="S310" i="59"/>
  <c r="T310" i="59" s="1"/>
  <c r="S312" i="59"/>
  <c r="T312" i="59" s="1"/>
  <c r="W309" i="59"/>
  <c r="K307" i="59"/>
  <c r="L307" i="59" s="1"/>
  <c r="W304" i="59"/>
  <c r="X304" i="59" s="1"/>
  <c r="K303" i="59"/>
  <c r="W312" i="59"/>
  <c r="X312" i="59" s="1"/>
  <c r="S308" i="59"/>
  <c r="T308" i="59" s="1"/>
  <c r="S311" i="59"/>
  <c r="D303" i="59"/>
  <c r="W313" i="59"/>
  <c r="X313" i="59" s="1"/>
  <c r="W307" i="59"/>
  <c r="X307" i="59" s="1"/>
  <c r="W305" i="59"/>
  <c r="X305" i="59" s="1"/>
  <c r="K304" i="59"/>
  <c r="O304" i="59"/>
  <c r="P304" i="59" s="1"/>
  <c r="O325" i="59"/>
  <c r="P325" i="59" s="1"/>
  <c r="S335" i="59"/>
  <c r="T335" i="59" s="1"/>
  <c r="C325" i="59"/>
  <c r="G326" i="59"/>
  <c r="W328" i="59"/>
  <c r="W331" i="59"/>
  <c r="D325" i="59"/>
  <c r="W325" i="59"/>
  <c r="S326" i="59"/>
  <c r="T326" i="59" s="1"/>
  <c r="S327" i="59"/>
  <c r="T327" i="59" s="1"/>
  <c r="K329" i="59"/>
  <c r="L329" i="59" s="1"/>
  <c r="W329" i="59"/>
  <c r="X329" i="59" s="1"/>
  <c r="W333" i="59"/>
  <c r="W334" i="59"/>
  <c r="X334" i="59" s="1"/>
  <c r="S330" i="59"/>
  <c r="T330" i="59" s="1"/>
  <c r="S333" i="59"/>
  <c r="G325" i="59"/>
  <c r="K326" i="59"/>
  <c r="W327" i="59"/>
  <c r="X327" i="59" s="1"/>
  <c r="S329" i="59"/>
  <c r="T329" i="59" s="1"/>
  <c r="W332" i="59"/>
  <c r="X332" i="59" s="1"/>
  <c r="S331" i="59"/>
  <c r="S334" i="59"/>
  <c r="T334" i="59" s="1"/>
  <c r="O326" i="59"/>
  <c r="P326" i="59" s="1"/>
  <c r="W335" i="59"/>
  <c r="X335" i="59" s="1"/>
  <c r="K325" i="59"/>
  <c r="W326" i="59"/>
  <c r="X326" i="59" s="1"/>
  <c r="S328" i="59"/>
  <c r="W330" i="59"/>
  <c r="X330" i="59" s="1"/>
  <c r="S332" i="59"/>
  <c r="T332" i="59" s="1"/>
  <c r="W356" i="59"/>
  <c r="X356" i="59" s="1"/>
  <c r="D347" i="59"/>
  <c r="W347" i="59"/>
  <c r="K348" i="59"/>
  <c r="C347" i="59"/>
  <c r="O347" i="59"/>
  <c r="P347" i="59" s="1"/>
  <c r="G348" i="59"/>
  <c r="W350" i="59"/>
  <c r="W357" i="59"/>
  <c r="X357" i="59" s="1"/>
  <c r="W353" i="59"/>
  <c r="W351" i="59"/>
  <c r="X351" i="59" s="1"/>
  <c r="K351" i="59"/>
  <c r="L351" i="59" s="1"/>
  <c r="W349" i="59"/>
  <c r="X349" i="59" s="1"/>
  <c r="W348" i="59"/>
  <c r="X348" i="59" s="1"/>
  <c r="W354" i="59"/>
  <c r="X354" i="59" s="1"/>
  <c r="S352" i="59"/>
  <c r="T352" i="59" s="1"/>
  <c r="S355" i="59"/>
  <c r="S348" i="59"/>
  <c r="T348" i="59" s="1"/>
  <c r="S357" i="59"/>
  <c r="T357" i="59" s="1"/>
  <c r="W352" i="59"/>
  <c r="X352" i="59" s="1"/>
  <c r="S350" i="59"/>
  <c r="S353" i="59"/>
  <c r="S356" i="59"/>
  <c r="T356" i="59" s="1"/>
  <c r="O348" i="59"/>
  <c r="P348" i="59" s="1"/>
  <c r="W355" i="59"/>
  <c r="S351" i="59"/>
  <c r="T351" i="59" s="1"/>
  <c r="S349" i="59"/>
  <c r="T349" i="59" s="1"/>
  <c r="S354" i="59"/>
  <c r="T354" i="59" s="1"/>
  <c r="S379" i="59"/>
  <c r="T379" i="59" s="1"/>
  <c r="W372" i="59"/>
  <c r="O370" i="59"/>
  <c r="P370" i="59" s="1"/>
  <c r="G370" i="59"/>
  <c r="O369" i="59"/>
  <c r="P369" i="59" s="1"/>
  <c r="C369" i="59"/>
  <c r="W373" i="59"/>
  <c r="X373" i="59" s="1"/>
  <c r="S373" i="59"/>
  <c r="T373" i="59" s="1"/>
  <c r="K373" i="59"/>
  <c r="L373" i="59" s="1"/>
  <c r="W371" i="59"/>
  <c r="X371" i="59" s="1"/>
  <c r="S371" i="59"/>
  <c r="T371" i="59" s="1"/>
  <c r="W370" i="59"/>
  <c r="X370" i="59" s="1"/>
  <c r="K369" i="59"/>
  <c r="W374" i="59"/>
  <c r="X374" i="59" s="1"/>
  <c r="S372" i="59"/>
  <c r="K370" i="59"/>
  <c r="D369" i="59"/>
  <c r="W377" i="59"/>
  <c r="W379" i="59"/>
  <c r="X379" i="59" s="1"/>
  <c r="W376" i="59"/>
  <c r="X376" i="59" s="1"/>
  <c r="S375" i="59"/>
  <c r="S376" i="59"/>
  <c r="T376" i="59" s="1"/>
  <c r="S378" i="59"/>
  <c r="T378" i="59" s="1"/>
  <c r="W375" i="59"/>
  <c r="S374" i="59"/>
  <c r="T374" i="59" s="1"/>
  <c r="S377" i="59"/>
  <c r="W378" i="59"/>
  <c r="X378" i="59" s="1"/>
  <c r="U432" i="59"/>
  <c r="X432" i="59" s="1"/>
  <c r="I425" i="59"/>
  <c r="L425" i="59" s="1"/>
  <c r="E424" i="59"/>
  <c r="H424" i="59" s="1"/>
  <c r="U430" i="59"/>
  <c r="X430" i="59" s="1"/>
  <c r="E425" i="59"/>
  <c r="H425" i="59" s="1"/>
  <c r="U427" i="59"/>
  <c r="X427" i="59" s="1"/>
  <c r="U424" i="59"/>
  <c r="X424" i="59" s="1"/>
  <c r="I424" i="59"/>
  <c r="U405" i="59"/>
  <c r="X405" i="59" s="1"/>
  <c r="U402" i="59"/>
  <c r="X402" i="59" s="1"/>
  <c r="U410" i="59"/>
  <c r="U408" i="59"/>
  <c r="X408" i="59" s="1"/>
  <c r="I403" i="59"/>
  <c r="L403" i="59" s="1"/>
  <c r="I402" i="59"/>
  <c r="L402" i="59" s="1"/>
  <c r="E403" i="59"/>
  <c r="H403" i="59" s="1"/>
  <c r="E402" i="59"/>
  <c r="H402" i="59" s="1"/>
  <c r="I391" i="59"/>
  <c r="L391" i="59" s="1"/>
  <c r="U397" i="59"/>
  <c r="X397" i="59" s="1"/>
  <c r="E392" i="59"/>
  <c r="H392" i="59" s="1"/>
  <c r="E391" i="59"/>
  <c r="U394" i="59"/>
  <c r="X394" i="59" s="1"/>
  <c r="U399" i="59"/>
  <c r="X399" i="59" s="1"/>
  <c r="U391" i="59"/>
  <c r="X391" i="59" s="1"/>
  <c r="I392" i="59"/>
  <c r="L392" i="59" s="1"/>
  <c r="U388" i="57"/>
  <c r="X388" i="57" s="1"/>
  <c r="I380" i="57"/>
  <c r="L380" i="57" s="1"/>
  <c r="I381" i="57"/>
  <c r="L381" i="57" s="1"/>
  <c r="Q388" i="57"/>
  <c r="T388" i="57" s="1"/>
  <c r="Q380" i="57"/>
  <c r="U383" i="57"/>
  <c r="X383" i="57" s="1"/>
  <c r="U380" i="57"/>
  <c r="X380" i="57" s="1"/>
  <c r="Q383" i="57"/>
  <c r="T383" i="57" s="1"/>
  <c r="E380" i="57"/>
  <c r="E381" i="57"/>
  <c r="H381" i="57" s="1"/>
  <c r="U386" i="57"/>
  <c r="X386" i="57" s="1"/>
  <c r="U366" i="57"/>
  <c r="X366" i="57" s="1"/>
  <c r="I358" i="57"/>
  <c r="I359" i="57"/>
  <c r="L359" i="57" s="1"/>
  <c r="Q366" i="57"/>
  <c r="T366" i="57" s="1"/>
  <c r="Q358" i="57"/>
  <c r="U361" i="57"/>
  <c r="X361" i="57" s="1"/>
  <c r="U358" i="57"/>
  <c r="X358" i="57" s="1"/>
  <c r="Q361" i="57"/>
  <c r="T361" i="57" s="1"/>
  <c r="E358" i="57"/>
  <c r="E359" i="57"/>
  <c r="H359" i="57" s="1"/>
  <c r="U364" i="57"/>
  <c r="X364" i="57" s="1"/>
  <c r="U399" i="57"/>
  <c r="X399" i="57" s="1"/>
  <c r="I391" i="57"/>
  <c r="I392" i="57"/>
  <c r="L392" i="57" s="1"/>
  <c r="Q399" i="57"/>
  <c r="T399" i="57" s="1"/>
  <c r="Q391" i="57"/>
  <c r="U394" i="57"/>
  <c r="X394" i="57" s="1"/>
  <c r="U391" i="57"/>
  <c r="X391" i="57" s="1"/>
  <c r="Q394" i="57"/>
  <c r="T394" i="57" s="1"/>
  <c r="E391" i="57"/>
  <c r="H391" i="57" s="1"/>
  <c r="E392" i="57"/>
  <c r="H392" i="57" s="1"/>
  <c r="U397" i="57"/>
  <c r="X397" i="57" s="1"/>
  <c r="U421" i="57"/>
  <c r="X421" i="57" s="1"/>
  <c r="I413" i="57"/>
  <c r="L413" i="57" s="1"/>
  <c r="U413" i="57"/>
  <c r="X413" i="57" s="1"/>
  <c r="Q421" i="57"/>
  <c r="T421" i="57" s="1"/>
  <c r="Q413" i="57"/>
  <c r="U416" i="57"/>
  <c r="X416" i="57" s="1"/>
  <c r="I414" i="57"/>
  <c r="L414" i="57" s="1"/>
  <c r="Q416" i="57"/>
  <c r="T416" i="57" s="1"/>
  <c r="E413" i="57"/>
  <c r="E414" i="57"/>
  <c r="H414" i="57" s="1"/>
  <c r="U419" i="57"/>
  <c r="X419" i="57" s="1"/>
  <c r="U355" i="57"/>
  <c r="X355" i="57" s="1"/>
  <c r="I347" i="57"/>
  <c r="I348" i="57"/>
  <c r="L348" i="57" s="1"/>
  <c r="Q355" i="57"/>
  <c r="T355" i="57" s="1"/>
  <c r="Q347" i="57"/>
  <c r="U350" i="57"/>
  <c r="X350" i="57" s="1"/>
  <c r="U347" i="57"/>
  <c r="X347" i="57" s="1"/>
  <c r="Q350" i="57"/>
  <c r="T350" i="57" s="1"/>
  <c r="E347" i="57"/>
  <c r="E348" i="57"/>
  <c r="H348" i="57" s="1"/>
  <c r="U353" i="57"/>
  <c r="X353" i="57" s="1"/>
  <c r="U377" i="57"/>
  <c r="I369" i="57"/>
  <c r="L369" i="57" s="1"/>
  <c r="I370" i="57"/>
  <c r="L370" i="57" s="1"/>
  <c r="Q377" i="57"/>
  <c r="T377" i="57" s="1"/>
  <c r="Q369" i="57"/>
  <c r="U372" i="57"/>
  <c r="X372" i="57" s="1"/>
  <c r="U369" i="57"/>
  <c r="X369" i="57" s="1"/>
  <c r="Q372" i="57"/>
  <c r="T372" i="57" s="1"/>
  <c r="E369" i="57"/>
  <c r="H369" i="57" s="1"/>
  <c r="E370" i="57"/>
  <c r="H370" i="57" s="1"/>
  <c r="U375" i="57"/>
  <c r="X375" i="57" s="1"/>
  <c r="U410" i="57"/>
  <c r="I402" i="57"/>
  <c r="I403" i="57"/>
  <c r="L403" i="57" s="1"/>
  <c r="Q410" i="57"/>
  <c r="T410" i="57" s="1"/>
  <c r="Q402" i="57"/>
  <c r="U405" i="57"/>
  <c r="X405" i="57" s="1"/>
  <c r="U402" i="57"/>
  <c r="Q405" i="57"/>
  <c r="T405" i="57" s="1"/>
  <c r="E402" i="57"/>
  <c r="E403" i="57"/>
  <c r="H403" i="57" s="1"/>
  <c r="U408" i="57"/>
  <c r="X408" i="57" s="1"/>
  <c r="X440" i="60"/>
  <c r="L438" i="60"/>
  <c r="G435" i="60"/>
  <c r="K439" i="60"/>
  <c r="S439" i="60"/>
  <c r="W439" i="60"/>
  <c r="S444" i="60"/>
  <c r="O436" i="60"/>
  <c r="P436" i="60" s="1"/>
  <c r="X439" i="60"/>
  <c r="K436" i="60"/>
  <c r="T438" i="60"/>
  <c r="W441" i="60"/>
  <c r="T440" i="60"/>
  <c r="W438" i="60"/>
  <c r="X444" i="60"/>
  <c r="X442" i="60"/>
  <c r="X445" i="60"/>
  <c r="T437" i="60"/>
  <c r="S445" i="60"/>
  <c r="T442" i="60"/>
  <c r="L435" i="60"/>
  <c r="C435" i="60"/>
  <c r="W444" i="60"/>
  <c r="X435" i="60"/>
  <c r="T441" i="60"/>
  <c r="S436" i="60"/>
  <c r="S443" i="60"/>
  <c r="W437" i="60"/>
  <c r="L439" i="60"/>
  <c r="D435" i="60"/>
  <c r="I436" i="60" s="1"/>
  <c r="O435" i="60"/>
  <c r="P435" i="60" s="1"/>
  <c r="W435" i="60"/>
  <c r="X441" i="60"/>
  <c r="X436" i="60"/>
  <c r="W443" i="60"/>
  <c r="G436" i="60"/>
  <c r="X438" i="60"/>
  <c r="S442" i="60"/>
  <c r="K435" i="60"/>
  <c r="S437" i="60"/>
  <c r="S440" i="60"/>
  <c r="T444" i="60"/>
  <c r="W440" i="60"/>
  <c r="W442" i="60"/>
  <c r="L436" i="60"/>
  <c r="X437" i="60"/>
  <c r="W436" i="60"/>
  <c r="X443" i="60"/>
  <c r="S438" i="60"/>
  <c r="W445" i="60"/>
  <c r="T436" i="60"/>
  <c r="T439" i="60"/>
  <c r="T443" i="60"/>
  <c r="K438" i="60"/>
  <c r="S441" i="60"/>
  <c r="A48" i="26"/>
  <c r="O248" i="57"/>
  <c r="P248" i="57" s="1"/>
  <c r="W258" i="57"/>
  <c r="X258" i="57" s="1"/>
  <c r="S256" i="57"/>
  <c r="W251" i="57"/>
  <c r="O249" i="57"/>
  <c r="P249" i="57" s="1"/>
  <c r="W252" i="57"/>
  <c r="X252" i="57" s="1"/>
  <c r="S250" i="57"/>
  <c r="S251" i="57"/>
  <c r="S258" i="57"/>
  <c r="W253" i="57"/>
  <c r="X253" i="57" s="1"/>
  <c r="W250" i="57"/>
  <c r="X250" i="57" s="1"/>
  <c r="K249" i="57"/>
  <c r="S253" i="57"/>
  <c r="S252" i="57"/>
  <c r="T252" i="57" s="1"/>
  <c r="C248" i="57"/>
  <c r="D248" i="57"/>
  <c r="W255" i="57"/>
  <c r="X255" i="57" s="1"/>
  <c r="K252" i="57"/>
  <c r="W249" i="57"/>
  <c r="X249" i="57" s="1"/>
  <c r="S255" i="57"/>
  <c r="W254" i="57"/>
  <c r="S254" i="57"/>
  <c r="W257" i="57"/>
  <c r="X257" i="57" s="1"/>
  <c r="S257" i="57"/>
  <c r="S15" i="60"/>
  <c r="T15" i="60" s="1"/>
  <c r="W15" i="60"/>
  <c r="X15" i="60" s="1"/>
  <c r="W6" i="60"/>
  <c r="W13" i="60"/>
  <c r="X13" i="60" s="1"/>
  <c r="C6" i="60"/>
  <c r="K10" i="60"/>
  <c r="L10" i="60" s="1"/>
  <c r="S8" i="60"/>
  <c r="T8" i="60" s="1"/>
  <c r="W8" i="60"/>
  <c r="X8" i="60" s="1"/>
  <c r="W7" i="60"/>
  <c r="X7" i="60" s="1"/>
  <c r="D6" i="60"/>
  <c r="W9" i="60"/>
  <c r="G7" i="60"/>
  <c r="S11" i="60"/>
  <c r="T11" i="60" s="1"/>
  <c r="S13" i="60"/>
  <c r="T13" i="60" s="1"/>
  <c r="O7" i="60"/>
  <c r="P7" i="60" s="1"/>
  <c r="S10" i="60"/>
  <c r="T10" i="60" s="1"/>
  <c r="W11" i="60"/>
  <c r="X11" i="60" s="1"/>
  <c r="S16" i="60"/>
  <c r="T16" i="60" s="1"/>
  <c r="W12" i="60"/>
  <c r="G6" i="60"/>
  <c r="W14" i="60"/>
  <c r="S9" i="60"/>
  <c r="O6" i="60"/>
  <c r="P6" i="60" s="1"/>
  <c r="S14" i="60"/>
  <c r="S12" i="60"/>
  <c r="K7" i="60"/>
  <c r="S7" i="60"/>
  <c r="T7" i="60" s="1"/>
  <c r="K6" i="60"/>
  <c r="W16" i="60"/>
  <c r="X16" i="60" s="1"/>
  <c r="W10" i="60"/>
  <c r="X10" i="60" s="1"/>
  <c r="W264" i="57"/>
  <c r="X264" i="57" s="1"/>
  <c r="S124" i="57"/>
  <c r="S224" i="57"/>
  <c r="S172" i="57"/>
  <c r="T172" i="57" s="1"/>
  <c r="W73" i="57"/>
  <c r="X73" i="57" s="1"/>
  <c r="S895" i="57"/>
  <c r="W32" i="57"/>
  <c r="X32" i="57" s="1"/>
  <c r="W120" i="57"/>
  <c r="X120" i="57" s="1"/>
  <c r="S896" i="57"/>
  <c r="W188" i="57"/>
  <c r="W77" i="57"/>
  <c r="X77" i="57" s="1"/>
  <c r="C171" i="57"/>
  <c r="C5" i="68"/>
  <c r="G73" i="57"/>
  <c r="K117" i="57"/>
  <c r="W176" i="57"/>
  <c r="X176" i="57" s="1"/>
  <c r="S218" i="57"/>
  <c r="W64" i="57"/>
  <c r="S31" i="57"/>
  <c r="W75" i="57"/>
  <c r="S120" i="57"/>
  <c r="T120" i="57" s="1"/>
  <c r="W225" i="57"/>
  <c r="X225" i="57" s="1"/>
  <c r="O887" i="57"/>
  <c r="P887" i="57" s="1"/>
  <c r="S32" i="57"/>
  <c r="W33" i="57"/>
  <c r="X33" i="57" s="1"/>
  <c r="W30" i="57"/>
  <c r="X30" i="57" s="1"/>
  <c r="O28" i="57"/>
  <c r="P28" i="57" s="1"/>
  <c r="W82" i="57"/>
  <c r="X82" i="57" s="1"/>
  <c r="S76" i="57"/>
  <c r="T76" i="57" s="1"/>
  <c r="S73" i="57"/>
  <c r="T73" i="57" s="1"/>
  <c r="W117" i="57"/>
  <c r="X117" i="57" s="1"/>
  <c r="K116" i="57"/>
  <c r="D116" i="57"/>
  <c r="Q124" i="57" s="1"/>
  <c r="S178" i="57"/>
  <c r="K172" i="57"/>
  <c r="K175" i="57"/>
  <c r="W221" i="57"/>
  <c r="S894" i="57"/>
  <c r="S890" i="57"/>
  <c r="T890" i="57" s="1"/>
  <c r="G887" i="57"/>
  <c r="S106" i="57"/>
  <c r="T106" i="57" s="1"/>
  <c r="S158" i="57"/>
  <c r="G84" i="57"/>
  <c r="S233" i="57"/>
  <c r="W42" i="57"/>
  <c r="G50" i="57"/>
  <c r="S238" i="57"/>
  <c r="T238" i="57" s="1"/>
  <c r="W37" i="57"/>
  <c r="X37" i="57" s="1"/>
  <c r="W35" i="57"/>
  <c r="X35" i="57" s="1"/>
  <c r="W34" i="57"/>
  <c r="K28" i="57"/>
  <c r="W31" i="57"/>
  <c r="K73" i="57"/>
  <c r="W81" i="57"/>
  <c r="X81" i="57" s="1"/>
  <c r="W79" i="57"/>
  <c r="X79" i="57" s="1"/>
  <c r="W76" i="57"/>
  <c r="X76" i="57" s="1"/>
  <c r="O73" i="57"/>
  <c r="P73" i="57" s="1"/>
  <c r="S75" i="57"/>
  <c r="O72" i="57"/>
  <c r="P72" i="57" s="1"/>
  <c r="S126" i="57"/>
  <c r="W125" i="57"/>
  <c r="X125" i="57" s="1"/>
  <c r="W126" i="57"/>
  <c r="X126" i="57" s="1"/>
  <c r="S118" i="57"/>
  <c r="K120" i="57"/>
  <c r="O116" i="57"/>
  <c r="P116" i="57" s="1"/>
  <c r="W172" i="57"/>
  <c r="X172" i="57" s="1"/>
  <c r="S173" i="57"/>
  <c r="W177" i="57"/>
  <c r="O171" i="57"/>
  <c r="P171" i="57" s="1"/>
  <c r="O172" i="57"/>
  <c r="P172" i="57" s="1"/>
  <c r="S222" i="57"/>
  <c r="S221" i="57"/>
  <c r="S219" i="57"/>
  <c r="T219" i="57" s="1"/>
  <c r="K219" i="57"/>
  <c r="O215" i="57"/>
  <c r="P215" i="57" s="1"/>
  <c r="S220" i="57"/>
  <c r="C215" i="57"/>
  <c r="S893" i="57"/>
  <c r="W895" i="57"/>
  <c r="X895" i="57" s="1"/>
  <c r="W893" i="57"/>
  <c r="X893" i="57" s="1"/>
  <c r="S891" i="57"/>
  <c r="W892" i="57"/>
  <c r="W889" i="57"/>
  <c r="S887" i="57"/>
  <c r="T887" i="57" s="1"/>
  <c r="S90" i="57"/>
  <c r="S187" i="57"/>
  <c r="W230" i="57"/>
  <c r="X230" i="57" s="1"/>
  <c r="S112" i="57"/>
  <c r="D204" i="57"/>
  <c r="E204" i="57" s="1"/>
  <c r="K138" i="57"/>
  <c r="W161" i="57"/>
  <c r="X161" i="57" s="1"/>
  <c r="W97" i="57"/>
  <c r="S20" i="57"/>
  <c r="W93" i="57"/>
  <c r="X93" i="57" s="1"/>
  <c r="K87" i="57"/>
  <c r="S188" i="57"/>
  <c r="G183" i="57"/>
  <c r="K230" i="57"/>
  <c r="K109" i="57"/>
  <c r="S111" i="57"/>
  <c r="K205" i="57"/>
  <c r="S139" i="57"/>
  <c r="T139" i="57" s="1"/>
  <c r="O62" i="57"/>
  <c r="P62" i="57" s="1"/>
  <c r="S57" i="57"/>
  <c r="S96" i="57"/>
  <c r="S154" i="57"/>
  <c r="S241" i="57"/>
  <c r="T241" i="57" s="1"/>
  <c r="S24" i="57"/>
  <c r="S262" i="57"/>
  <c r="W88" i="57"/>
  <c r="X88" i="57" s="1"/>
  <c r="W87" i="57"/>
  <c r="X87" i="57" s="1"/>
  <c r="S85" i="57"/>
  <c r="S92" i="57"/>
  <c r="W186" i="57"/>
  <c r="X186" i="57" s="1"/>
  <c r="S189" i="57"/>
  <c r="S231" i="57"/>
  <c r="S227" i="57"/>
  <c r="T227" i="57" s="1"/>
  <c r="O227" i="57"/>
  <c r="P227" i="57" s="1"/>
  <c r="W232" i="57"/>
  <c r="W112" i="57"/>
  <c r="X112" i="57" s="1"/>
  <c r="W114" i="57"/>
  <c r="X114" i="57" s="1"/>
  <c r="G106" i="57"/>
  <c r="S109" i="57"/>
  <c r="T109" i="57" s="1"/>
  <c r="S208" i="57"/>
  <c r="T208" i="57" s="1"/>
  <c r="S42" i="57"/>
  <c r="W142" i="57"/>
  <c r="X142" i="57" s="1"/>
  <c r="S70" i="57"/>
  <c r="C160" i="57"/>
  <c r="W59" i="57"/>
  <c r="X59" i="57" s="1"/>
  <c r="S100" i="57"/>
  <c r="S155" i="57"/>
  <c r="S199" i="57"/>
  <c r="K21" i="57"/>
  <c r="W269" i="57"/>
  <c r="X269" i="57" s="1"/>
  <c r="C4" i="68"/>
  <c r="W20" i="57"/>
  <c r="W26" i="57"/>
  <c r="X26" i="57" s="1"/>
  <c r="S22" i="57"/>
  <c r="W22" i="57"/>
  <c r="X22" i="57" s="1"/>
  <c r="W19" i="57"/>
  <c r="X19" i="57" s="1"/>
  <c r="W49" i="57"/>
  <c r="X49" i="57" s="1"/>
  <c r="G40" i="57"/>
  <c r="S43" i="57"/>
  <c r="T43" i="57" s="1"/>
  <c r="W44" i="57"/>
  <c r="X44" i="57" s="1"/>
  <c r="W48" i="57"/>
  <c r="X48" i="57" s="1"/>
  <c r="S44" i="57"/>
  <c r="S46" i="57"/>
  <c r="W40" i="57"/>
  <c r="X40" i="57" s="1"/>
  <c r="W68" i="57"/>
  <c r="X68" i="57" s="1"/>
  <c r="W63" i="57"/>
  <c r="X63" i="57" s="1"/>
  <c r="W66" i="57"/>
  <c r="X66" i="57" s="1"/>
  <c r="W67" i="57"/>
  <c r="W61" i="57"/>
  <c r="S66" i="57"/>
  <c r="W69" i="57"/>
  <c r="W146" i="57"/>
  <c r="W144" i="57"/>
  <c r="S146" i="57"/>
  <c r="W147" i="57"/>
  <c r="X147" i="57" s="1"/>
  <c r="K142" i="57"/>
  <c r="S147" i="57"/>
  <c r="W143" i="57"/>
  <c r="X143" i="57" s="1"/>
  <c r="S142" i="57"/>
  <c r="T142" i="57" s="1"/>
  <c r="O160" i="57"/>
  <c r="P160" i="57" s="1"/>
  <c r="W168" i="57"/>
  <c r="S168" i="57"/>
  <c r="S162" i="57"/>
  <c r="S164" i="57"/>
  <c r="T164" i="57" s="1"/>
  <c r="S163" i="57"/>
  <c r="D160" i="57"/>
  <c r="U166" i="57" s="1"/>
  <c r="S166" i="57"/>
  <c r="W214" i="57"/>
  <c r="X214" i="57" s="1"/>
  <c r="W206" i="57"/>
  <c r="X206" i="57" s="1"/>
  <c r="S206" i="57"/>
  <c r="W262" i="57"/>
  <c r="S264" i="57"/>
  <c r="W266" i="57"/>
  <c r="X266" i="57" s="1"/>
  <c r="S267" i="57"/>
  <c r="D259" i="57"/>
  <c r="I259" i="57" s="1"/>
  <c r="W267" i="57"/>
  <c r="S269" i="57"/>
  <c r="W52" i="57"/>
  <c r="X52" i="57" s="1"/>
  <c r="W58" i="57"/>
  <c r="Q50" i="57"/>
  <c r="S56" i="57"/>
  <c r="S58" i="57"/>
  <c r="O50" i="57"/>
  <c r="P50" i="57" s="1"/>
  <c r="S59" i="57"/>
  <c r="W56" i="57"/>
  <c r="S98" i="57"/>
  <c r="T98" i="57" s="1"/>
  <c r="C94" i="57"/>
  <c r="W98" i="57"/>
  <c r="X98" i="57" s="1"/>
  <c r="S101" i="57"/>
  <c r="W95" i="57"/>
  <c r="X95" i="57" s="1"/>
  <c r="O95" i="57"/>
  <c r="P95" i="57" s="1"/>
  <c r="S97" i="57"/>
  <c r="W159" i="57"/>
  <c r="X159" i="57" s="1"/>
  <c r="W151" i="57"/>
  <c r="X151" i="57" s="1"/>
  <c r="S159" i="57"/>
  <c r="G150" i="57"/>
  <c r="K150" i="57"/>
  <c r="O150" i="57"/>
  <c r="P150" i="57" s="1"/>
  <c r="O194" i="57"/>
  <c r="P194" i="57" s="1"/>
  <c r="G194" i="57"/>
  <c r="K194" i="57"/>
  <c r="O193" i="57"/>
  <c r="P193" i="57" s="1"/>
  <c r="C193" i="57"/>
  <c r="S197" i="57"/>
  <c r="T197" i="57" s="1"/>
  <c r="K197" i="57"/>
  <c r="W194" i="57"/>
  <c r="X194" i="57" s="1"/>
  <c r="D237" i="57"/>
  <c r="Q245" i="57" s="1"/>
  <c r="W244" i="57"/>
  <c r="X244" i="57" s="1"/>
  <c r="S240" i="57"/>
  <c r="S245" i="57"/>
  <c r="S242" i="57"/>
  <c r="W246" i="57"/>
  <c r="X246" i="57" s="1"/>
  <c r="O237" i="57"/>
  <c r="P237" i="57" s="1"/>
  <c r="W238" i="57"/>
  <c r="X238" i="57" s="1"/>
  <c r="W84" i="57"/>
  <c r="X84" i="57" s="1"/>
  <c r="S93" i="57"/>
  <c r="W86" i="57"/>
  <c r="S86" i="57"/>
  <c r="C83" i="57"/>
  <c r="W85" i="57"/>
  <c r="X85" i="57" s="1"/>
  <c r="D182" i="57"/>
  <c r="U185" i="57" s="1"/>
  <c r="W191" i="57"/>
  <c r="X191" i="57" s="1"/>
  <c r="O182" i="57"/>
  <c r="P182" i="57" s="1"/>
  <c r="W185" i="57"/>
  <c r="K183" i="57"/>
  <c r="K186" i="57"/>
  <c r="W187" i="57"/>
  <c r="X187" i="57" s="1"/>
  <c r="W190" i="57"/>
  <c r="W231" i="57"/>
  <c r="X231" i="57" s="1"/>
  <c r="W229" i="57"/>
  <c r="W227" i="57"/>
  <c r="X227" i="57" s="1"/>
  <c r="K227" i="57"/>
  <c r="D226" i="57"/>
  <c r="U226" i="57" s="1"/>
  <c r="W233" i="57"/>
  <c r="X233" i="57" s="1"/>
  <c r="W236" i="57"/>
  <c r="X236" i="57" s="1"/>
  <c r="C105" i="57"/>
  <c r="W110" i="57"/>
  <c r="X110" i="57" s="1"/>
  <c r="S107" i="57"/>
  <c r="O106" i="57"/>
  <c r="P106" i="57" s="1"/>
  <c r="O105" i="57"/>
  <c r="P105" i="57" s="1"/>
  <c r="W210" i="57"/>
  <c r="K204" i="57"/>
  <c r="S207" i="57"/>
  <c r="G205" i="57"/>
  <c r="W211" i="57"/>
  <c r="X211" i="57" s="1"/>
  <c r="O205" i="57"/>
  <c r="P205" i="57" s="1"/>
  <c r="S45" i="57"/>
  <c r="S41" i="57"/>
  <c r="K43" i="57"/>
  <c r="S148" i="57"/>
  <c r="S145" i="57"/>
  <c r="K139" i="57"/>
  <c r="W71" i="57"/>
  <c r="X71" i="57" s="1"/>
  <c r="S68" i="57"/>
  <c r="S62" i="57"/>
  <c r="T62" i="57" s="1"/>
  <c r="C8" i="68"/>
  <c r="W166" i="57"/>
  <c r="W163" i="57"/>
  <c r="W162" i="57"/>
  <c r="X162" i="57" s="1"/>
  <c r="S161" i="57"/>
  <c r="T161" i="57" s="1"/>
  <c r="K50" i="57"/>
  <c r="W51" i="57"/>
  <c r="X51" i="57" s="1"/>
  <c r="K51" i="57"/>
  <c r="K54" i="57"/>
  <c r="W96" i="57"/>
  <c r="X96" i="57" s="1"/>
  <c r="S95" i="57"/>
  <c r="T95" i="57" s="1"/>
  <c r="W99" i="57"/>
  <c r="X99" i="57" s="1"/>
  <c r="W152" i="57"/>
  <c r="O149" i="57"/>
  <c r="P149" i="57" s="1"/>
  <c r="C149" i="57"/>
  <c r="W200" i="57"/>
  <c r="X200" i="57" s="1"/>
  <c r="S203" i="57"/>
  <c r="W199" i="57"/>
  <c r="S195" i="57"/>
  <c r="W243" i="57"/>
  <c r="S243" i="57"/>
  <c r="S239" i="57"/>
  <c r="C237" i="57"/>
  <c r="W24" i="57"/>
  <c r="X24" i="57" s="1"/>
  <c r="O18" i="57"/>
  <c r="P18" i="57" s="1"/>
  <c r="S23" i="57"/>
  <c r="S27" i="57"/>
  <c r="S261" i="57"/>
  <c r="O260" i="57"/>
  <c r="P260" i="57" s="1"/>
  <c r="O259" i="57"/>
  <c r="P259" i="57" s="1"/>
  <c r="O29" i="57"/>
  <c r="P29" i="57" s="1"/>
  <c r="W29" i="57"/>
  <c r="X29" i="57" s="1"/>
  <c r="S38" i="57"/>
  <c r="S29" i="57"/>
  <c r="T29" i="57" s="1"/>
  <c r="K29" i="57"/>
  <c r="K32" i="57"/>
  <c r="S33" i="57"/>
  <c r="S30" i="57"/>
  <c r="S37" i="57"/>
  <c r="I28" i="57"/>
  <c r="S34" i="57"/>
  <c r="G29" i="57"/>
  <c r="S74" i="57"/>
  <c r="Q80" i="57"/>
  <c r="S79" i="57"/>
  <c r="K76" i="57"/>
  <c r="S77" i="57"/>
  <c r="W74" i="57"/>
  <c r="X74" i="57" s="1"/>
  <c r="S80" i="57"/>
  <c r="W78" i="57"/>
  <c r="S81" i="57"/>
  <c r="K72" i="57"/>
  <c r="S78" i="57"/>
  <c r="S82" i="57"/>
  <c r="S122" i="57"/>
  <c r="S119" i="57"/>
  <c r="C116" i="57"/>
  <c r="W121" i="57"/>
  <c r="X121" i="57" s="1"/>
  <c r="S123" i="57"/>
  <c r="W118" i="57"/>
  <c r="X118" i="57" s="1"/>
  <c r="S121" i="57"/>
  <c r="O117" i="57"/>
  <c r="P117" i="57" s="1"/>
  <c r="W122" i="57"/>
  <c r="W123" i="57"/>
  <c r="X123" i="57" s="1"/>
  <c r="S125" i="57"/>
  <c r="G117" i="57"/>
  <c r="S117" i="57"/>
  <c r="T117" i="57" s="1"/>
  <c r="W180" i="57"/>
  <c r="X180" i="57" s="1"/>
  <c r="W181" i="57"/>
  <c r="X181" i="57" s="1"/>
  <c r="S176" i="57"/>
  <c r="W178" i="57"/>
  <c r="X178" i="57" s="1"/>
  <c r="D171" i="57"/>
  <c r="E171" i="57" s="1"/>
  <c r="W175" i="57"/>
  <c r="X175" i="57" s="1"/>
  <c r="S181" i="57"/>
  <c r="S180" i="57"/>
  <c r="W173" i="57"/>
  <c r="X173" i="57" s="1"/>
  <c r="S175" i="57"/>
  <c r="T175" i="57" s="1"/>
  <c r="W218" i="57"/>
  <c r="D215" i="57"/>
  <c r="I215" i="57" s="1"/>
  <c r="W217" i="57"/>
  <c r="X217" i="57" s="1"/>
  <c r="W219" i="57"/>
  <c r="X219" i="57" s="1"/>
  <c r="O216" i="57"/>
  <c r="P216" i="57" s="1"/>
  <c r="W224" i="57"/>
  <c r="X224" i="57" s="1"/>
  <c r="W222" i="57"/>
  <c r="X222" i="57" s="1"/>
  <c r="K216" i="57"/>
  <c r="S217" i="57"/>
  <c r="W220" i="57"/>
  <c r="X220" i="57" s="1"/>
  <c r="W216" i="57"/>
  <c r="X216" i="57" s="1"/>
  <c r="G216" i="57"/>
  <c r="S889" i="57"/>
  <c r="W887" i="57"/>
  <c r="X887" i="57" s="1"/>
  <c r="S888" i="57"/>
  <c r="S892" i="57"/>
  <c r="W891" i="57"/>
  <c r="X891" i="57" s="1"/>
  <c r="W890" i="57"/>
  <c r="X890" i="57" s="1"/>
  <c r="W896" i="57"/>
  <c r="X896" i="57" s="1"/>
  <c r="W888" i="57"/>
  <c r="X888" i="57" s="1"/>
  <c r="K890" i="57"/>
  <c r="W90" i="57"/>
  <c r="X90" i="57" s="1"/>
  <c r="S88" i="57"/>
  <c r="O83" i="57"/>
  <c r="P83" i="57" s="1"/>
  <c r="D83" i="57"/>
  <c r="I83" i="57" s="1"/>
  <c r="K84" i="57"/>
  <c r="S87" i="57"/>
  <c r="T87" i="57" s="1"/>
  <c r="K83" i="57"/>
  <c r="S91" i="57"/>
  <c r="W92" i="57"/>
  <c r="X92" i="57" s="1"/>
  <c r="S89" i="57"/>
  <c r="O84" i="57"/>
  <c r="P84" i="57" s="1"/>
  <c r="W89" i="57"/>
  <c r="S84" i="57"/>
  <c r="T84" i="57" s="1"/>
  <c r="S192" i="57"/>
  <c r="S190" i="57"/>
  <c r="W189" i="57"/>
  <c r="X189" i="57" s="1"/>
  <c r="O183" i="57"/>
  <c r="P183" i="57" s="1"/>
  <c r="S185" i="57"/>
  <c r="C182" i="57"/>
  <c r="S191" i="57"/>
  <c r="S184" i="57"/>
  <c r="W192" i="57"/>
  <c r="X192" i="57" s="1"/>
  <c r="W184" i="57"/>
  <c r="X184" i="57" s="1"/>
  <c r="W183" i="57"/>
  <c r="X183" i="57" s="1"/>
  <c r="S186" i="57"/>
  <c r="T186" i="57" s="1"/>
  <c r="S234" i="57"/>
  <c r="W228" i="57"/>
  <c r="X228" i="57" s="1"/>
  <c r="S232" i="57"/>
  <c r="S236" i="57"/>
  <c r="S235" i="57"/>
  <c r="C226" i="57"/>
  <c r="W235" i="57"/>
  <c r="X235" i="57" s="1"/>
  <c r="S230" i="57"/>
  <c r="T230" i="57" s="1"/>
  <c r="S229" i="57"/>
  <c r="S228" i="57"/>
  <c r="S108" i="57"/>
  <c r="W106" i="57"/>
  <c r="X106" i="57" s="1"/>
  <c r="S113" i="57"/>
  <c r="S114" i="57"/>
  <c r="W111" i="57"/>
  <c r="K106" i="57"/>
  <c r="S110" i="57"/>
  <c r="D105" i="57"/>
  <c r="Q105" i="57" s="1"/>
  <c r="S115" i="57"/>
  <c r="W109" i="57"/>
  <c r="X109" i="57" s="1"/>
  <c r="W108" i="57"/>
  <c r="W107" i="57"/>
  <c r="X107" i="57" s="1"/>
  <c r="W113" i="57"/>
  <c r="W115" i="57"/>
  <c r="X115" i="57" s="1"/>
  <c r="W209" i="57"/>
  <c r="X209" i="57" s="1"/>
  <c r="S211" i="57"/>
  <c r="W208" i="57"/>
  <c r="X208" i="57" s="1"/>
  <c r="W207" i="57"/>
  <c r="S210" i="57"/>
  <c r="K208" i="57"/>
  <c r="O204" i="57"/>
  <c r="P204" i="57" s="1"/>
  <c r="S205" i="57"/>
  <c r="T205" i="57" s="1"/>
  <c r="W205" i="57"/>
  <c r="X205" i="57" s="1"/>
  <c r="S209" i="57"/>
  <c r="W213" i="57"/>
  <c r="X213" i="57" s="1"/>
  <c r="S214" i="57"/>
  <c r="C204" i="57"/>
  <c r="E39" i="57"/>
  <c r="W46" i="57"/>
  <c r="X46" i="57" s="1"/>
  <c r="S48" i="57"/>
  <c r="K40" i="57"/>
  <c r="W41" i="57"/>
  <c r="X41" i="57" s="1"/>
  <c r="K39" i="57"/>
  <c r="S40" i="57"/>
  <c r="T40" i="57" s="1"/>
  <c r="W45" i="57"/>
  <c r="S49" i="57"/>
  <c r="W47" i="57"/>
  <c r="C6" i="68"/>
  <c r="O40" i="57"/>
  <c r="P40" i="57" s="1"/>
  <c r="O39" i="57"/>
  <c r="P39" i="57" s="1"/>
  <c r="C138" i="57"/>
  <c r="S144" i="57"/>
  <c r="O139" i="57"/>
  <c r="P139" i="57" s="1"/>
  <c r="S141" i="57"/>
  <c r="W141" i="57"/>
  <c r="O138" i="57"/>
  <c r="P138" i="57" s="1"/>
  <c r="W139" i="57"/>
  <c r="X139" i="57" s="1"/>
  <c r="S140" i="57"/>
  <c r="W140" i="57"/>
  <c r="X140" i="57" s="1"/>
  <c r="S143" i="57"/>
  <c r="W145" i="57"/>
  <c r="X145" i="57" s="1"/>
  <c r="D138" i="57"/>
  <c r="Q138" i="57" s="1"/>
  <c r="W148" i="57"/>
  <c r="X148" i="57" s="1"/>
  <c r="K61" i="57"/>
  <c r="W65" i="57"/>
  <c r="X65" i="57" s="1"/>
  <c r="K62" i="57"/>
  <c r="S69" i="57"/>
  <c r="S64" i="57"/>
  <c r="D61" i="57"/>
  <c r="U61" i="57" s="1"/>
  <c r="S67" i="57"/>
  <c r="W62" i="57"/>
  <c r="X62" i="57" s="1"/>
  <c r="O61" i="57"/>
  <c r="P61" i="57" s="1"/>
  <c r="K65" i="57"/>
  <c r="W70" i="57"/>
  <c r="X70" i="57" s="1"/>
  <c r="S63" i="57"/>
  <c r="S65" i="57"/>
  <c r="T65" i="57" s="1"/>
  <c r="W165" i="57"/>
  <c r="X165" i="57" s="1"/>
  <c r="W164" i="57"/>
  <c r="X164" i="57" s="1"/>
  <c r="S169" i="57"/>
  <c r="S170" i="57"/>
  <c r="S167" i="57"/>
  <c r="W169" i="57"/>
  <c r="X169" i="57" s="1"/>
  <c r="K164" i="57"/>
  <c r="W170" i="57"/>
  <c r="X170" i="57" s="1"/>
  <c r="S165" i="57"/>
  <c r="W167" i="57"/>
  <c r="X167" i="57" s="1"/>
  <c r="G161" i="57"/>
  <c r="O161" i="57"/>
  <c r="P161" i="57" s="1"/>
  <c r="W53" i="57"/>
  <c r="W54" i="57"/>
  <c r="X54" i="57" s="1"/>
  <c r="S52" i="57"/>
  <c r="S53" i="57"/>
  <c r="S60" i="57"/>
  <c r="O51" i="57"/>
  <c r="P51" i="57" s="1"/>
  <c r="W55" i="57"/>
  <c r="X55" i="57" s="1"/>
  <c r="G51" i="57"/>
  <c r="S55" i="57"/>
  <c r="W57" i="57"/>
  <c r="X57" i="57" s="1"/>
  <c r="C7" i="68"/>
  <c r="W60" i="57"/>
  <c r="X60" i="57" s="1"/>
  <c r="S51" i="57"/>
  <c r="T51" i="57" s="1"/>
  <c r="S99" i="57"/>
  <c r="S102" i="57"/>
  <c r="D94" i="57"/>
  <c r="Q102" i="57" s="1"/>
  <c r="K94" i="57"/>
  <c r="W103" i="57"/>
  <c r="X103" i="57" s="1"/>
  <c r="S103" i="57"/>
  <c r="W101" i="57"/>
  <c r="X101" i="57" s="1"/>
  <c r="K98" i="57"/>
  <c r="K95" i="57"/>
  <c r="O94" i="57"/>
  <c r="P94" i="57" s="1"/>
  <c r="W94" i="57"/>
  <c r="W104" i="57"/>
  <c r="X104" i="57" s="1"/>
  <c r="W100" i="57"/>
  <c r="S104" i="57"/>
  <c r="G95" i="57"/>
  <c r="W158" i="57"/>
  <c r="X158" i="57" s="1"/>
  <c r="W157" i="57"/>
  <c r="W156" i="57"/>
  <c r="X156" i="57" s="1"/>
  <c r="W153" i="57"/>
  <c r="X153" i="57" s="1"/>
  <c r="S151" i="57"/>
  <c r="W155" i="57"/>
  <c r="D149" i="57"/>
  <c r="I149" i="57" s="1"/>
  <c r="S152" i="57"/>
  <c r="K153" i="57"/>
  <c r="S153" i="57"/>
  <c r="T153" i="57" s="1"/>
  <c r="S156" i="57"/>
  <c r="W154" i="57"/>
  <c r="X154" i="57" s="1"/>
  <c r="S201" i="57"/>
  <c r="S200" i="57"/>
  <c r="W198" i="57"/>
  <c r="X198" i="57" s="1"/>
  <c r="W197" i="57"/>
  <c r="X197" i="57" s="1"/>
  <c r="W196" i="57"/>
  <c r="S196" i="57"/>
  <c r="D193" i="57"/>
  <c r="U201" i="57" s="1"/>
  <c r="S202" i="57"/>
  <c r="S198" i="57"/>
  <c r="W202" i="57"/>
  <c r="X202" i="57" s="1"/>
  <c r="W195" i="57"/>
  <c r="X195" i="57" s="1"/>
  <c r="K241" i="57"/>
  <c r="W240" i="57"/>
  <c r="K238" i="57"/>
  <c r="O238" i="57"/>
  <c r="P238" i="57" s="1"/>
  <c r="S244" i="57"/>
  <c r="W242" i="57"/>
  <c r="X242" i="57" s="1"/>
  <c r="W247" i="57"/>
  <c r="X247" i="57" s="1"/>
  <c r="W241" i="57"/>
  <c r="X241" i="57" s="1"/>
  <c r="S247" i="57"/>
  <c r="W239" i="57"/>
  <c r="X239" i="57" s="1"/>
  <c r="S246" i="57"/>
  <c r="K237" i="57"/>
  <c r="W21" i="57"/>
  <c r="X21" i="57" s="1"/>
  <c r="W23" i="57"/>
  <c r="W18" i="57"/>
  <c r="X18" i="57" s="1"/>
  <c r="O17" i="57"/>
  <c r="P17" i="57" s="1"/>
  <c r="S21" i="57"/>
  <c r="T21" i="57" s="1"/>
  <c r="K18" i="57"/>
  <c r="U20" i="57"/>
  <c r="W27" i="57"/>
  <c r="X27" i="57" s="1"/>
  <c r="S26" i="57"/>
  <c r="K17" i="57"/>
  <c r="S263" i="57"/>
  <c r="T263" i="57" s="1"/>
  <c r="W261" i="57"/>
  <c r="X261" i="57" s="1"/>
  <c r="W263" i="57"/>
  <c r="X263" i="57" s="1"/>
  <c r="W259" i="57"/>
  <c r="S260" i="57"/>
  <c r="T260" i="57" s="1"/>
  <c r="S268" i="57"/>
  <c r="K259" i="57"/>
  <c r="C259" i="57"/>
  <c r="W265" i="57"/>
  <c r="W260" i="57"/>
  <c r="X260" i="57" s="1"/>
  <c r="W268" i="57"/>
  <c r="X268" i="57" s="1"/>
  <c r="S265" i="57"/>
  <c r="K263" i="57"/>
  <c r="W27" i="59"/>
  <c r="X27" i="59" s="1"/>
  <c r="W26" i="59"/>
  <c r="X26" i="59" s="1"/>
  <c r="W25" i="59"/>
  <c r="W24" i="59"/>
  <c r="X24" i="59" s="1"/>
  <c r="W23" i="59"/>
  <c r="W22" i="59"/>
  <c r="X22" i="59" s="1"/>
  <c r="W21" i="59"/>
  <c r="X21" i="59" s="1"/>
  <c r="K21" i="59"/>
  <c r="L21" i="59" s="1"/>
  <c r="K17" i="59"/>
  <c r="W20" i="59"/>
  <c r="S19" i="59"/>
  <c r="T19" i="59" s="1"/>
  <c r="S18" i="59"/>
  <c r="T18" i="59" s="1"/>
  <c r="S26" i="59"/>
  <c r="T26" i="59" s="1"/>
  <c r="S24" i="59"/>
  <c r="T24" i="59" s="1"/>
  <c r="S22" i="59"/>
  <c r="T22" i="59" s="1"/>
  <c r="S20" i="59"/>
  <c r="W18" i="59"/>
  <c r="X18" i="59" s="1"/>
  <c r="W17" i="59"/>
  <c r="S27" i="59"/>
  <c r="T27" i="59" s="1"/>
  <c r="S23" i="59"/>
  <c r="S21" i="59"/>
  <c r="T21" i="59" s="1"/>
  <c r="W19" i="59"/>
  <c r="X19" i="59" s="1"/>
  <c r="K18" i="59"/>
  <c r="W49" i="59"/>
  <c r="X49" i="59" s="1"/>
  <c r="W48" i="59"/>
  <c r="X48" i="59" s="1"/>
  <c r="W47" i="59"/>
  <c r="W46" i="59"/>
  <c r="X46" i="59" s="1"/>
  <c r="W45" i="59"/>
  <c r="W44" i="59"/>
  <c r="X44" i="59" s="1"/>
  <c r="W43" i="59"/>
  <c r="X43" i="59" s="1"/>
  <c r="K43" i="59"/>
  <c r="L43" i="59" s="1"/>
  <c r="S42" i="59"/>
  <c r="W41" i="59"/>
  <c r="X41" i="59" s="1"/>
  <c r="W40" i="59"/>
  <c r="X40" i="59" s="1"/>
  <c r="K40" i="59"/>
  <c r="K39" i="59"/>
  <c r="S48" i="59"/>
  <c r="T48" i="59" s="1"/>
  <c r="S46" i="59"/>
  <c r="T46" i="59" s="1"/>
  <c r="S44" i="59"/>
  <c r="T44" i="59" s="1"/>
  <c r="W42" i="59"/>
  <c r="S41" i="59"/>
  <c r="T41" i="59" s="1"/>
  <c r="G40" i="59"/>
  <c r="S49" i="59"/>
  <c r="T49" i="59" s="1"/>
  <c r="S45" i="59"/>
  <c r="S43" i="59"/>
  <c r="T43" i="59" s="1"/>
  <c r="S40" i="59"/>
  <c r="T40" i="59" s="1"/>
  <c r="W71" i="59"/>
  <c r="X71" i="59" s="1"/>
  <c r="W70" i="59"/>
  <c r="X70" i="59" s="1"/>
  <c r="W69" i="59"/>
  <c r="W68" i="59"/>
  <c r="X68" i="59" s="1"/>
  <c r="W67" i="59"/>
  <c r="W66" i="59"/>
  <c r="X66" i="59" s="1"/>
  <c r="W65" i="59"/>
  <c r="X65" i="59" s="1"/>
  <c r="K65" i="59"/>
  <c r="L65" i="59" s="1"/>
  <c r="S64" i="59"/>
  <c r="W63" i="59"/>
  <c r="X63" i="59" s="1"/>
  <c r="W62" i="59"/>
  <c r="X62" i="59" s="1"/>
  <c r="K62" i="59"/>
  <c r="W61" i="59"/>
  <c r="K61" i="59"/>
  <c r="S71" i="59"/>
  <c r="T71" i="59" s="1"/>
  <c r="S70" i="59"/>
  <c r="T70" i="59" s="1"/>
  <c r="S69" i="59"/>
  <c r="S68" i="59"/>
  <c r="T68" i="59" s="1"/>
  <c r="S67" i="59"/>
  <c r="S66" i="59"/>
  <c r="T66" i="59" s="1"/>
  <c r="S65" i="59"/>
  <c r="T65" i="59" s="1"/>
  <c r="W64" i="59"/>
  <c r="S63" i="59"/>
  <c r="T63" i="59" s="1"/>
  <c r="G61" i="59"/>
  <c r="S62" i="59"/>
  <c r="T62" i="59" s="1"/>
  <c r="W93" i="59"/>
  <c r="X93" i="59" s="1"/>
  <c r="W92" i="59"/>
  <c r="X92" i="59" s="1"/>
  <c r="W91" i="59"/>
  <c r="W90" i="59"/>
  <c r="X90" i="59" s="1"/>
  <c r="W89" i="59"/>
  <c r="W88" i="59"/>
  <c r="X88" i="59" s="1"/>
  <c r="W87" i="59"/>
  <c r="X87" i="59" s="1"/>
  <c r="K87" i="59"/>
  <c r="L87" i="59" s="1"/>
  <c r="S86" i="59"/>
  <c r="W85" i="59"/>
  <c r="X85" i="59" s="1"/>
  <c r="W84" i="59"/>
  <c r="X84" i="59" s="1"/>
  <c r="K84" i="59"/>
  <c r="K83" i="59"/>
  <c r="S93" i="59"/>
  <c r="T93" i="59" s="1"/>
  <c r="S92" i="59"/>
  <c r="T92" i="59" s="1"/>
  <c r="S91" i="59"/>
  <c r="S90" i="59"/>
  <c r="T90" i="59" s="1"/>
  <c r="S89" i="59"/>
  <c r="S88" i="59"/>
  <c r="T88" i="59" s="1"/>
  <c r="S87" i="59"/>
  <c r="T87" i="59" s="1"/>
  <c r="W86" i="59"/>
  <c r="S85" i="59"/>
  <c r="T85" i="59" s="1"/>
  <c r="S84" i="59"/>
  <c r="T84" i="59" s="1"/>
  <c r="G84" i="59"/>
  <c r="W115" i="59"/>
  <c r="X115" i="59" s="1"/>
  <c r="W114" i="59"/>
  <c r="X114" i="59" s="1"/>
  <c r="W113" i="59"/>
  <c r="W112" i="59"/>
  <c r="X112" i="59" s="1"/>
  <c r="W111" i="59"/>
  <c r="W110" i="59"/>
  <c r="X110" i="59" s="1"/>
  <c r="W109" i="59"/>
  <c r="X109" i="59" s="1"/>
  <c r="K109" i="59"/>
  <c r="L109" i="59" s="1"/>
  <c r="S108" i="59"/>
  <c r="W107" i="59"/>
  <c r="X107" i="59" s="1"/>
  <c r="W106" i="59"/>
  <c r="X106" i="59" s="1"/>
  <c r="K106" i="59"/>
  <c r="S115" i="59"/>
  <c r="T115" i="59" s="1"/>
  <c r="S113" i="59"/>
  <c r="S111" i="59"/>
  <c r="S109" i="59"/>
  <c r="T109" i="59" s="1"/>
  <c r="S106" i="59"/>
  <c r="T106" i="59" s="1"/>
  <c r="S114" i="59"/>
  <c r="T114" i="59" s="1"/>
  <c r="S112" i="59"/>
  <c r="T112" i="59" s="1"/>
  <c r="S110" i="59"/>
  <c r="T110" i="59" s="1"/>
  <c r="W108" i="59"/>
  <c r="S107" i="59"/>
  <c r="T107" i="59" s="1"/>
  <c r="G106" i="59"/>
  <c r="W148" i="59"/>
  <c r="X148" i="59" s="1"/>
  <c r="W147" i="59"/>
  <c r="X147" i="59" s="1"/>
  <c r="W146" i="59"/>
  <c r="W145" i="59"/>
  <c r="X145" i="59" s="1"/>
  <c r="W144" i="59"/>
  <c r="W143" i="59"/>
  <c r="X143" i="59" s="1"/>
  <c r="W142" i="59"/>
  <c r="X142" i="59" s="1"/>
  <c r="K142" i="59"/>
  <c r="L142" i="59" s="1"/>
  <c r="S141" i="59"/>
  <c r="W140" i="59"/>
  <c r="X140" i="59" s="1"/>
  <c r="W139" i="59"/>
  <c r="X139" i="59" s="1"/>
  <c r="K139" i="59"/>
  <c r="K138" i="59"/>
  <c r="S148" i="59"/>
  <c r="T148" i="59" s="1"/>
  <c r="S146" i="59"/>
  <c r="S144" i="59"/>
  <c r="S142" i="59"/>
  <c r="T142" i="59" s="1"/>
  <c r="S139" i="59"/>
  <c r="T139" i="59" s="1"/>
  <c r="S147" i="59"/>
  <c r="T147" i="59" s="1"/>
  <c r="S145" i="59"/>
  <c r="T145" i="59" s="1"/>
  <c r="S143" i="59"/>
  <c r="T143" i="59" s="1"/>
  <c r="W141" i="59"/>
  <c r="S140" i="59"/>
  <c r="T140" i="59" s="1"/>
  <c r="W170" i="59"/>
  <c r="X170" i="59" s="1"/>
  <c r="W169" i="59"/>
  <c r="X169" i="59" s="1"/>
  <c r="W168" i="59"/>
  <c r="W167" i="59"/>
  <c r="X167" i="59" s="1"/>
  <c r="W166" i="59"/>
  <c r="W165" i="59"/>
  <c r="X165" i="59" s="1"/>
  <c r="W164" i="59"/>
  <c r="X164" i="59" s="1"/>
  <c r="K164" i="59"/>
  <c r="L164" i="59" s="1"/>
  <c r="S163" i="59"/>
  <c r="W162" i="59"/>
  <c r="X162" i="59" s="1"/>
  <c r="W161" i="59"/>
  <c r="X161" i="59" s="1"/>
  <c r="K161" i="59"/>
  <c r="S170" i="59"/>
  <c r="T170" i="59" s="1"/>
  <c r="S168" i="59"/>
  <c r="S166" i="59"/>
  <c r="S164" i="59"/>
  <c r="T164" i="59" s="1"/>
  <c r="S161" i="59"/>
  <c r="T161" i="59" s="1"/>
  <c r="S169" i="59"/>
  <c r="T169" i="59" s="1"/>
  <c r="S167" i="59"/>
  <c r="T167" i="59" s="1"/>
  <c r="S165" i="59"/>
  <c r="T165" i="59" s="1"/>
  <c r="W163" i="59"/>
  <c r="S162" i="59"/>
  <c r="T162" i="59" s="1"/>
  <c r="G161" i="59"/>
  <c r="W192" i="59"/>
  <c r="X192" i="59" s="1"/>
  <c r="W191" i="59"/>
  <c r="X191" i="59" s="1"/>
  <c r="W190" i="59"/>
  <c r="W189" i="59"/>
  <c r="X189" i="59" s="1"/>
  <c r="W188" i="59"/>
  <c r="W187" i="59"/>
  <c r="X187" i="59" s="1"/>
  <c r="W186" i="59"/>
  <c r="X186" i="59" s="1"/>
  <c r="K186" i="59"/>
  <c r="L186" i="59" s="1"/>
  <c r="S185" i="59"/>
  <c r="W184" i="59"/>
  <c r="X184" i="59" s="1"/>
  <c r="W183" i="59"/>
  <c r="X183" i="59" s="1"/>
  <c r="K183" i="59"/>
  <c r="S192" i="59"/>
  <c r="T192" i="59" s="1"/>
  <c r="S190" i="59"/>
  <c r="S188" i="59"/>
  <c r="S186" i="59"/>
  <c r="T186" i="59" s="1"/>
  <c r="S183" i="59"/>
  <c r="T183" i="59" s="1"/>
  <c r="S191" i="59"/>
  <c r="T191" i="59" s="1"/>
  <c r="S189" i="59"/>
  <c r="T189" i="59" s="1"/>
  <c r="S187" i="59"/>
  <c r="T187" i="59" s="1"/>
  <c r="W185" i="59"/>
  <c r="S184" i="59"/>
  <c r="T184" i="59" s="1"/>
  <c r="G183" i="59"/>
  <c r="S214" i="59"/>
  <c r="T214" i="59" s="1"/>
  <c r="S213" i="59"/>
  <c r="T213" i="59" s="1"/>
  <c r="S211" i="59"/>
  <c r="T211" i="59" s="1"/>
  <c r="S210" i="59"/>
  <c r="S209" i="59"/>
  <c r="T209" i="59" s="1"/>
  <c r="S208" i="59"/>
  <c r="T208" i="59" s="1"/>
  <c r="W207" i="59"/>
  <c r="S206" i="59"/>
  <c r="T206" i="59" s="1"/>
  <c r="G205" i="59"/>
  <c r="W214" i="59"/>
  <c r="X214" i="59" s="1"/>
  <c r="W210" i="59"/>
  <c r="W208" i="59"/>
  <c r="X208" i="59" s="1"/>
  <c r="S207" i="59"/>
  <c r="W205" i="59"/>
  <c r="X205" i="59" s="1"/>
  <c r="W211" i="59"/>
  <c r="X211" i="59" s="1"/>
  <c r="K208" i="59"/>
  <c r="L208" i="59" s="1"/>
  <c r="K205" i="59"/>
  <c r="W213" i="59"/>
  <c r="X213" i="59" s="1"/>
  <c r="W209" i="59"/>
  <c r="X209" i="59" s="1"/>
  <c r="W206" i="59"/>
  <c r="X206" i="59" s="1"/>
  <c r="K204" i="59"/>
  <c r="S236" i="59"/>
  <c r="T236" i="59" s="1"/>
  <c r="S235" i="59"/>
  <c r="T235" i="59" s="1"/>
  <c r="S234" i="59"/>
  <c r="S233" i="59"/>
  <c r="T233" i="59" s="1"/>
  <c r="S232" i="59"/>
  <c r="S231" i="59"/>
  <c r="T231" i="59" s="1"/>
  <c r="S230" i="59"/>
  <c r="T230" i="59" s="1"/>
  <c r="W229" i="59"/>
  <c r="S228" i="59"/>
  <c r="T228" i="59" s="1"/>
  <c r="S227" i="59"/>
  <c r="T227" i="59" s="1"/>
  <c r="W236" i="59"/>
  <c r="X236" i="59" s="1"/>
  <c r="W232" i="59"/>
  <c r="W230" i="59"/>
  <c r="X230" i="59" s="1"/>
  <c r="S229" i="59"/>
  <c r="W227" i="59"/>
  <c r="X227" i="59" s="1"/>
  <c r="W233" i="59"/>
  <c r="X233" i="59" s="1"/>
  <c r="K230" i="59"/>
  <c r="L230" i="59" s="1"/>
  <c r="K227" i="59"/>
  <c r="W235" i="59"/>
  <c r="X235" i="59" s="1"/>
  <c r="W231" i="59"/>
  <c r="X231" i="59" s="1"/>
  <c r="W228" i="59"/>
  <c r="X228" i="59" s="1"/>
  <c r="S511" i="59"/>
  <c r="T511" i="59" s="1"/>
  <c r="S510" i="59"/>
  <c r="T510" i="59" s="1"/>
  <c r="S509" i="59"/>
  <c r="S508" i="59"/>
  <c r="T508" i="59" s="1"/>
  <c r="S507" i="59"/>
  <c r="S506" i="59"/>
  <c r="T506" i="59" s="1"/>
  <c r="S505" i="59"/>
  <c r="T505" i="59" s="1"/>
  <c r="W504" i="59"/>
  <c r="S503" i="59"/>
  <c r="T503" i="59" s="1"/>
  <c r="W511" i="59"/>
  <c r="X511" i="59" s="1"/>
  <c r="W507" i="59"/>
  <c r="W505" i="59"/>
  <c r="X505" i="59" s="1"/>
  <c r="S504" i="59"/>
  <c r="W502" i="59"/>
  <c r="X502" i="59" s="1"/>
  <c r="W508" i="59"/>
  <c r="X508" i="59" s="1"/>
  <c r="K505" i="59"/>
  <c r="L505" i="59" s="1"/>
  <c r="K502" i="59"/>
  <c r="W510" i="59"/>
  <c r="X510" i="59" s="1"/>
  <c r="W506" i="59"/>
  <c r="X506" i="59" s="1"/>
  <c r="W503" i="59"/>
  <c r="X503" i="59" s="1"/>
  <c r="W60" i="59"/>
  <c r="X60" i="59" s="1"/>
  <c r="W59" i="59"/>
  <c r="X59" i="59" s="1"/>
  <c r="W58" i="59"/>
  <c r="W57" i="59"/>
  <c r="X57" i="59" s="1"/>
  <c r="W56" i="59"/>
  <c r="W55" i="59"/>
  <c r="X55" i="59" s="1"/>
  <c r="W54" i="59"/>
  <c r="X54" i="59" s="1"/>
  <c r="K54" i="59"/>
  <c r="L54" i="59" s="1"/>
  <c r="S53" i="59"/>
  <c r="W52" i="59"/>
  <c r="X52" i="59" s="1"/>
  <c r="W51" i="59"/>
  <c r="X51" i="59" s="1"/>
  <c r="K51" i="59"/>
  <c r="K50" i="59"/>
  <c r="S59" i="59"/>
  <c r="T59" i="59" s="1"/>
  <c r="S57" i="59"/>
  <c r="T57" i="59" s="1"/>
  <c r="S55" i="59"/>
  <c r="T55" i="59" s="1"/>
  <c r="W53" i="59"/>
  <c r="S52" i="59"/>
  <c r="T52" i="59" s="1"/>
  <c r="G51" i="59"/>
  <c r="G50" i="59"/>
  <c r="S60" i="59"/>
  <c r="T60" i="59" s="1"/>
  <c r="S58" i="59"/>
  <c r="S56" i="59"/>
  <c r="S54" i="59"/>
  <c r="T54" i="59" s="1"/>
  <c r="S51" i="59"/>
  <c r="T51" i="59" s="1"/>
  <c r="W104" i="59"/>
  <c r="X104" i="59" s="1"/>
  <c r="W103" i="59"/>
  <c r="X103" i="59" s="1"/>
  <c r="S104" i="59"/>
  <c r="T104" i="59" s="1"/>
  <c r="W102" i="59"/>
  <c r="W101" i="59"/>
  <c r="X101" i="59" s="1"/>
  <c r="W100" i="59"/>
  <c r="W99" i="59"/>
  <c r="X99" i="59" s="1"/>
  <c r="W98" i="59"/>
  <c r="X98" i="59" s="1"/>
  <c r="K98" i="59"/>
  <c r="L98" i="59" s="1"/>
  <c r="S97" i="59"/>
  <c r="W96" i="59"/>
  <c r="X96" i="59" s="1"/>
  <c r="W95" i="59"/>
  <c r="X95" i="59" s="1"/>
  <c r="K95" i="59"/>
  <c r="W94" i="59"/>
  <c r="K94" i="59"/>
  <c r="S103" i="59"/>
  <c r="T103" i="59" s="1"/>
  <c r="S102" i="59"/>
  <c r="S101" i="59"/>
  <c r="T101" i="59" s="1"/>
  <c r="S100" i="59"/>
  <c r="S99" i="59"/>
  <c r="T99" i="59" s="1"/>
  <c r="S98" i="59"/>
  <c r="T98" i="59" s="1"/>
  <c r="W97" i="59"/>
  <c r="S96" i="59"/>
  <c r="T96" i="59" s="1"/>
  <c r="S95" i="59"/>
  <c r="T95" i="59" s="1"/>
  <c r="G95" i="59"/>
  <c r="W159" i="59"/>
  <c r="X159" i="59" s="1"/>
  <c r="W158" i="59"/>
  <c r="X158" i="59" s="1"/>
  <c r="W157" i="59"/>
  <c r="W156" i="59"/>
  <c r="X156" i="59" s="1"/>
  <c r="W155" i="59"/>
  <c r="W154" i="59"/>
  <c r="X154" i="59" s="1"/>
  <c r="W153" i="59"/>
  <c r="X153" i="59" s="1"/>
  <c r="K153" i="59"/>
  <c r="L153" i="59" s="1"/>
  <c r="S152" i="59"/>
  <c r="W151" i="59"/>
  <c r="X151" i="59" s="1"/>
  <c r="W150" i="59"/>
  <c r="X150" i="59" s="1"/>
  <c r="K150" i="59"/>
  <c r="S159" i="59"/>
  <c r="T159" i="59" s="1"/>
  <c r="S155" i="59"/>
  <c r="S153" i="59"/>
  <c r="T153" i="59" s="1"/>
  <c r="S158" i="59"/>
  <c r="T158" i="59" s="1"/>
  <c r="S156" i="59"/>
  <c r="T156" i="59" s="1"/>
  <c r="S154" i="59"/>
  <c r="T154" i="59" s="1"/>
  <c r="W152" i="59"/>
  <c r="S151" i="59"/>
  <c r="T151" i="59" s="1"/>
  <c r="G150" i="59"/>
  <c r="W203" i="59"/>
  <c r="X203" i="59" s="1"/>
  <c r="W202" i="59"/>
  <c r="X202" i="59" s="1"/>
  <c r="W200" i="59"/>
  <c r="X200" i="59" s="1"/>
  <c r="W199" i="59"/>
  <c r="W198" i="59"/>
  <c r="X198" i="59" s="1"/>
  <c r="W197" i="59"/>
  <c r="X197" i="59" s="1"/>
  <c r="K197" i="59"/>
  <c r="L197" i="59" s="1"/>
  <c r="S196" i="59"/>
  <c r="W195" i="59"/>
  <c r="X195" i="59" s="1"/>
  <c r="W194" i="59"/>
  <c r="X194" i="59" s="1"/>
  <c r="K194" i="59"/>
  <c r="K193" i="59"/>
  <c r="S203" i="59"/>
  <c r="T203" i="59" s="1"/>
  <c r="S201" i="59"/>
  <c r="S199" i="59"/>
  <c r="S197" i="59"/>
  <c r="T197" i="59" s="1"/>
  <c r="S202" i="59"/>
  <c r="T202" i="59" s="1"/>
  <c r="S200" i="59"/>
  <c r="T200" i="59" s="1"/>
  <c r="S198" i="59"/>
  <c r="T198" i="59" s="1"/>
  <c r="W196" i="59"/>
  <c r="S195" i="59"/>
  <c r="T195" i="59" s="1"/>
  <c r="G194" i="59"/>
  <c r="W38" i="59"/>
  <c r="X38" i="59" s="1"/>
  <c r="W37" i="59"/>
  <c r="X37" i="59" s="1"/>
  <c r="W35" i="59"/>
  <c r="X35" i="59" s="1"/>
  <c r="W34" i="59"/>
  <c r="W33" i="59"/>
  <c r="X33" i="59" s="1"/>
  <c r="W32" i="59"/>
  <c r="X32" i="59" s="1"/>
  <c r="K32" i="59"/>
  <c r="L32" i="59" s="1"/>
  <c r="S31" i="59"/>
  <c r="W30" i="59"/>
  <c r="X30" i="59" s="1"/>
  <c r="W29" i="59"/>
  <c r="X29" i="59" s="1"/>
  <c r="K29" i="59"/>
  <c r="K28" i="59"/>
  <c r="S37" i="59"/>
  <c r="T37" i="59" s="1"/>
  <c r="S35" i="59"/>
  <c r="T35" i="59" s="1"/>
  <c r="S33" i="59"/>
  <c r="T33" i="59" s="1"/>
  <c r="W31" i="59"/>
  <c r="S30" i="59"/>
  <c r="T30" i="59" s="1"/>
  <c r="G29" i="59"/>
  <c r="S38" i="59"/>
  <c r="T38" i="59" s="1"/>
  <c r="S34" i="59"/>
  <c r="S32" i="59"/>
  <c r="T32" i="59" s="1"/>
  <c r="S29" i="59"/>
  <c r="T29" i="59" s="1"/>
  <c r="W82" i="59"/>
  <c r="X82" i="59" s="1"/>
  <c r="W81" i="59"/>
  <c r="X81" i="59" s="1"/>
  <c r="W80" i="59"/>
  <c r="W79" i="59"/>
  <c r="X79" i="59" s="1"/>
  <c r="W78" i="59"/>
  <c r="W77" i="59"/>
  <c r="X77" i="59" s="1"/>
  <c r="W76" i="59"/>
  <c r="X76" i="59" s="1"/>
  <c r="K76" i="59"/>
  <c r="L76" i="59" s="1"/>
  <c r="S75" i="59"/>
  <c r="W74" i="59"/>
  <c r="X74" i="59" s="1"/>
  <c r="W73" i="59"/>
  <c r="X73" i="59" s="1"/>
  <c r="K73" i="59"/>
  <c r="K72" i="59"/>
  <c r="S82" i="59"/>
  <c r="T82" i="59" s="1"/>
  <c r="S81" i="59"/>
  <c r="T81" i="59" s="1"/>
  <c r="S80" i="59"/>
  <c r="S79" i="59"/>
  <c r="T79" i="59" s="1"/>
  <c r="S78" i="59"/>
  <c r="S77" i="59"/>
  <c r="T77" i="59" s="1"/>
  <c r="S76" i="59"/>
  <c r="T76" i="59" s="1"/>
  <c r="W75" i="59"/>
  <c r="S74" i="59"/>
  <c r="T74" i="59" s="1"/>
  <c r="S73" i="59"/>
  <c r="T73" i="59" s="1"/>
  <c r="G73" i="59"/>
  <c r="W126" i="59"/>
  <c r="X126" i="59" s="1"/>
  <c r="W125" i="59"/>
  <c r="X125" i="59" s="1"/>
  <c r="W123" i="59"/>
  <c r="X123" i="59" s="1"/>
  <c r="W122" i="59"/>
  <c r="W121" i="59"/>
  <c r="X121" i="59" s="1"/>
  <c r="W120" i="59"/>
  <c r="X120" i="59" s="1"/>
  <c r="K120" i="59"/>
  <c r="L120" i="59" s="1"/>
  <c r="S119" i="59"/>
  <c r="W118" i="59"/>
  <c r="X118" i="59" s="1"/>
  <c r="W117" i="59"/>
  <c r="X117" i="59" s="1"/>
  <c r="K117" i="59"/>
  <c r="K116" i="59"/>
  <c r="S126" i="59"/>
  <c r="T126" i="59" s="1"/>
  <c r="S124" i="59"/>
  <c r="S122" i="59"/>
  <c r="S120" i="59"/>
  <c r="T120" i="59" s="1"/>
  <c r="S117" i="59"/>
  <c r="T117" i="59" s="1"/>
  <c r="S125" i="59"/>
  <c r="T125" i="59" s="1"/>
  <c r="S123" i="59"/>
  <c r="T123" i="59" s="1"/>
  <c r="S121" i="59"/>
  <c r="T121" i="59" s="1"/>
  <c r="W119" i="59"/>
  <c r="S118" i="59"/>
  <c r="T118" i="59" s="1"/>
  <c r="G117" i="59"/>
  <c r="W181" i="59"/>
  <c r="X181" i="59" s="1"/>
  <c r="W180" i="59"/>
  <c r="X180" i="59" s="1"/>
  <c r="W179" i="59"/>
  <c r="W178" i="59"/>
  <c r="X178" i="59" s="1"/>
  <c r="W177" i="59"/>
  <c r="W176" i="59"/>
  <c r="X176" i="59" s="1"/>
  <c r="W175" i="59"/>
  <c r="X175" i="59" s="1"/>
  <c r="K175" i="59"/>
  <c r="L175" i="59" s="1"/>
  <c r="W173" i="59"/>
  <c r="X173" i="59" s="1"/>
  <c r="W172" i="59"/>
  <c r="X172" i="59" s="1"/>
  <c r="K172" i="59"/>
  <c r="S181" i="59"/>
  <c r="T181" i="59" s="1"/>
  <c r="S175" i="59"/>
  <c r="T175" i="59" s="1"/>
  <c r="S172" i="59"/>
  <c r="T172" i="59" s="1"/>
  <c r="S180" i="59"/>
  <c r="T180" i="59" s="1"/>
  <c r="S178" i="59"/>
  <c r="T178" i="59" s="1"/>
  <c r="S176" i="59"/>
  <c r="T176" i="59" s="1"/>
  <c r="S173" i="59"/>
  <c r="T173" i="59" s="1"/>
  <c r="S225" i="59"/>
  <c r="T225" i="59" s="1"/>
  <c r="S224" i="59"/>
  <c r="T224" i="59" s="1"/>
  <c r="S222" i="59"/>
  <c r="T222" i="59" s="1"/>
  <c r="S221" i="59"/>
  <c r="S220" i="59"/>
  <c r="T220" i="59" s="1"/>
  <c r="S219" i="59"/>
  <c r="T219" i="59" s="1"/>
  <c r="W218" i="59"/>
  <c r="S217" i="59"/>
  <c r="T217" i="59" s="1"/>
  <c r="G216" i="59"/>
  <c r="W225" i="59"/>
  <c r="X225" i="59" s="1"/>
  <c r="W221" i="59"/>
  <c r="W219" i="59"/>
  <c r="X219" i="59" s="1"/>
  <c r="S218" i="59"/>
  <c r="W216" i="59"/>
  <c r="X216" i="59" s="1"/>
  <c r="W224" i="59"/>
  <c r="X224" i="59" s="1"/>
  <c r="W220" i="59"/>
  <c r="X220" i="59" s="1"/>
  <c r="W217" i="59"/>
  <c r="X217" i="59" s="1"/>
  <c r="W222" i="59"/>
  <c r="X222" i="59" s="1"/>
  <c r="K219" i="59"/>
  <c r="L219" i="59" s="1"/>
  <c r="K216" i="59"/>
  <c r="W16" i="59"/>
  <c r="X16" i="59" s="1"/>
  <c r="W14" i="59"/>
  <c r="W12" i="59"/>
  <c r="W10" i="59"/>
  <c r="X10" i="59" s="1"/>
  <c r="W8" i="59"/>
  <c r="X8" i="59" s="1"/>
  <c r="W6" i="59"/>
  <c r="G6" i="59"/>
  <c r="K6" i="59"/>
  <c r="S15" i="59"/>
  <c r="T15" i="59" s="1"/>
  <c r="S13" i="59"/>
  <c r="S11" i="59"/>
  <c r="T11" i="59" s="1"/>
  <c r="S9" i="59"/>
  <c r="S7" i="59"/>
  <c r="T7" i="59" s="1"/>
  <c r="W13" i="59"/>
  <c r="X13" i="59" s="1"/>
  <c r="W9" i="59"/>
  <c r="K7" i="59"/>
  <c r="S14" i="59"/>
  <c r="S10" i="59"/>
  <c r="W15" i="59"/>
  <c r="X15" i="59" s="1"/>
  <c r="W11" i="59"/>
  <c r="X11" i="59" s="1"/>
  <c r="W7" i="59"/>
  <c r="X7" i="59" s="1"/>
  <c r="L10" i="59"/>
  <c r="S16" i="59"/>
  <c r="T16" i="59" s="1"/>
  <c r="S12" i="59"/>
  <c r="S8" i="59"/>
  <c r="U135" i="59"/>
  <c r="I127" i="59"/>
  <c r="L127" i="59" s="1"/>
  <c r="I128" i="59"/>
  <c r="L128" i="59" s="1"/>
  <c r="E127" i="59"/>
  <c r="E128" i="59"/>
  <c r="H128" i="59" s="1"/>
  <c r="U133" i="59"/>
  <c r="X133" i="59" s="1"/>
  <c r="U127" i="59"/>
  <c r="U130" i="59"/>
  <c r="X130" i="59" s="1"/>
  <c r="K260" i="57"/>
  <c r="O17" i="59"/>
  <c r="P17" i="59" s="1"/>
  <c r="C17" i="59"/>
  <c r="O18" i="59"/>
  <c r="P18" i="59" s="1"/>
  <c r="D17" i="59"/>
  <c r="Q23" i="59" s="1"/>
  <c r="D39" i="59"/>
  <c r="O40" i="59"/>
  <c r="P40" i="59" s="1"/>
  <c r="O39" i="59"/>
  <c r="P39" i="59" s="1"/>
  <c r="C39" i="59"/>
  <c r="O62" i="59"/>
  <c r="P62" i="59" s="1"/>
  <c r="O61" i="59"/>
  <c r="P61" i="59" s="1"/>
  <c r="C61" i="59"/>
  <c r="D61" i="59"/>
  <c r="D83" i="59"/>
  <c r="O84" i="59"/>
  <c r="P84" i="59" s="1"/>
  <c r="O83" i="59"/>
  <c r="P83" i="59" s="1"/>
  <c r="C83" i="59"/>
  <c r="O106" i="59"/>
  <c r="P106" i="59" s="1"/>
  <c r="O105" i="59"/>
  <c r="P105" i="59" s="1"/>
  <c r="C105" i="59"/>
  <c r="D105" i="59"/>
  <c r="O139" i="59"/>
  <c r="P139" i="59" s="1"/>
  <c r="C138" i="59"/>
  <c r="O138" i="59"/>
  <c r="P138" i="59" s="1"/>
  <c r="D138" i="59"/>
  <c r="O161" i="59"/>
  <c r="P161" i="59" s="1"/>
  <c r="C160" i="59"/>
  <c r="O160" i="59"/>
  <c r="P160" i="59" s="1"/>
  <c r="D160" i="59"/>
  <c r="O182" i="59"/>
  <c r="P182" i="59" s="1"/>
  <c r="C182" i="59"/>
  <c r="O183" i="59"/>
  <c r="P183" i="59" s="1"/>
  <c r="D182" i="59"/>
  <c r="O205" i="59"/>
  <c r="P205" i="59" s="1"/>
  <c r="C204" i="59"/>
  <c r="O204" i="59"/>
  <c r="P204" i="59" s="1"/>
  <c r="D204" i="59"/>
  <c r="O227" i="59"/>
  <c r="P227" i="59" s="1"/>
  <c r="O226" i="59"/>
  <c r="P226" i="59" s="1"/>
  <c r="C226" i="59"/>
  <c r="D226" i="59"/>
  <c r="O502" i="59"/>
  <c r="P502" i="59" s="1"/>
  <c r="O501" i="59"/>
  <c r="P501" i="59" s="1"/>
  <c r="O50" i="59"/>
  <c r="P50" i="59" s="1"/>
  <c r="C50" i="59"/>
  <c r="O51" i="59"/>
  <c r="P51" i="59" s="1"/>
  <c r="D50" i="59"/>
  <c r="O94" i="59"/>
  <c r="P94" i="59" s="1"/>
  <c r="C94" i="59"/>
  <c r="O95" i="59"/>
  <c r="P95" i="59" s="1"/>
  <c r="D94" i="59"/>
  <c r="O150" i="59"/>
  <c r="P150" i="59" s="1"/>
  <c r="O149" i="59"/>
  <c r="P149" i="59" s="1"/>
  <c r="C149" i="59"/>
  <c r="D149" i="59"/>
  <c r="O194" i="59"/>
  <c r="P194" i="59" s="1"/>
  <c r="O193" i="59"/>
  <c r="P193" i="59" s="1"/>
  <c r="C193" i="59"/>
  <c r="D193" i="59"/>
  <c r="D28" i="59"/>
  <c r="C28" i="59"/>
  <c r="O29" i="59"/>
  <c r="P29" i="59" s="1"/>
  <c r="O28" i="59"/>
  <c r="P28" i="59" s="1"/>
  <c r="O73" i="59"/>
  <c r="P73" i="59" s="1"/>
  <c r="O72" i="59"/>
  <c r="P72" i="59" s="1"/>
  <c r="C72" i="59"/>
  <c r="D72" i="59"/>
  <c r="O117" i="59"/>
  <c r="P117" i="59" s="1"/>
  <c r="O116" i="59"/>
  <c r="P116" i="59" s="1"/>
  <c r="C116" i="59"/>
  <c r="D116" i="59"/>
  <c r="D171" i="59"/>
  <c r="O172" i="59"/>
  <c r="P172" i="59" s="1"/>
  <c r="O171" i="59"/>
  <c r="P171" i="59" s="1"/>
  <c r="C171" i="59"/>
  <c r="O216" i="59"/>
  <c r="P216" i="59" s="1"/>
  <c r="D215" i="59"/>
  <c r="O215" i="59"/>
  <c r="P215" i="59" s="1"/>
  <c r="C215" i="59"/>
  <c r="O6" i="59"/>
  <c r="P6" i="59" s="1"/>
  <c r="C6" i="59"/>
  <c r="O7" i="59"/>
  <c r="P7" i="59" s="1"/>
  <c r="D6" i="59"/>
  <c r="U133" i="57"/>
  <c r="X133" i="57" s="1"/>
  <c r="U130" i="57"/>
  <c r="X130" i="57" s="1"/>
  <c r="I127" i="57"/>
  <c r="L127" i="57" s="1"/>
  <c r="E128" i="57"/>
  <c r="H128" i="57" s="1"/>
  <c r="Q130" i="57"/>
  <c r="T130" i="57" s="1"/>
  <c r="U135" i="57"/>
  <c r="U127" i="57"/>
  <c r="Q135" i="57"/>
  <c r="T135" i="57" s="1"/>
  <c r="Q127" i="57"/>
  <c r="I128" i="57"/>
  <c r="L128" i="57" s="1"/>
  <c r="E127" i="57"/>
  <c r="AN86" i="26" l="1"/>
  <c r="Z457" i="60"/>
  <c r="AC461" i="60" s="1"/>
  <c r="Q804" i="60"/>
  <c r="Q782" i="60"/>
  <c r="Q793" i="60"/>
  <c r="Z677" i="60"/>
  <c r="AC681" i="60" s="1"/>
  <c r="Z743" i="60"/>
  <c r="AC748" i="60" s="1"/>
  <c r="Z666" i="60"/>
  <c r="AC671" i="60" s="1"/>
  <c r="Z688" i="60"/>
  <c r="AC693" i="60" s="1"/>
  <c r="Z644" i="60"/>
  <c r="AC649" i="60" s="1"/>
  <c r="Z765" i="60"/>
  <c r="AC770" i="60" s="1"/>
  <c r="Z721" i="60"/>
  <c r="AC725" i="60" s="1"/>
  <c r="Z809" i="60"/>
  <c r="AC814" i="60" s="1"/>
  <c r="Z600" i="60"/>
  <c r="AC605" i="60" s="1"/>
  <c r="Z732" i="60"/>
  <c r="AC737" i="60" s="1"/>
  <c r="Z699" i="60"/>
  <c r="AC703" i="60" s="1"/>
  <c r="Z622" i="60"/>
  <c r="AC627" i="60" s="1"/>
  <c r="Z567" i="60"/>
  <c r="AC571" i="60" s="1"/>
  <c r="Z754" i="60"/>
  <c r="AC759" i="60" s="1"/>
  <c r="Z655" i="60"/>
  <c r="AC659" i="60" s="1"/>
  <c r="Z578" i="60"/>
  <c r="AC583" i="60" s="1"/>
  <c r="Z710" i="60"/>
  <c r="AC715" i="60" s="1"/>
  <c r="Z479" i="60"/>
  <c r="AC483" i="60" s="1"/>
  <c r="Q782" i="59"/>
  <c r="T782" i="59" s="1"/>
  <c r="Z776" i="59" s="1"/>
  <c r="AC781" i="59" s="1"/>
  <c r="Q760" i="59"/>
  <c r="T760" i="59" s="1"/>
  <c r="Z754" i="59" s="1"/>
  <c r="AC759" i="59" s="1"/>
  <c r="Q771" i="59"/>
  <c r="T771" i="59" s="1"/>
  <c r="Z765" i="59" s="1"/>
  <c r="AC770" i="59" s="1"/>
  <c r="Q793" i="59"/>
  <c r="T793" i="59" s="1"/>
  <c r="Z787" i="59" s="1"/>
  <c r="AC792" i="59" s="1"/>
  <c r="Q760" i="60"/>
  <c r="Q771" i="60"/>
  <c r="Q738" i="60"/>
  <c r="Q749" i="60"/>
  <c r="Q716" i="60"/>
  <c r="Q727" i="60"/>
  <c r="Q694" i="60"/>
  <c r="Q705" i="60"/>
  <c r="Q672" i="60"/>
  <c r="Q683" i="60"/>
  <c r="Q815" i="60"/>
  <c r="Q661" i="60"/>
  <c r="Q738" i="59"/>
  <c r="T738" i="59" s="1"/>
  <c r="Z732" i="59" s="1"/>
  <c r="AC737" i="59" s="1"/>
  <c r="Q749" i="59"/>
  <c r="T749" i="59" s="1"/>
  <c r="Z743" i="59" s="1"/>
  <c r="AC748" i="59" s="1"/>
  <c r="Q716" i="59"/>
  <c r="T716" i="59" s="1"/>
  <c r="Z710" i="59" s="1"/>
  <c r="AC715" i="59" s="1"/>
  <c r="Q727" i="59"/>
  <c r="T727" i="59" s="1"/>
  <c r="Z721" i="59" s="1"/>
  <c r="AC726" i="59" s="1"/>
  <c r="Q694" i="59"/>
  <c r="T694" i="59" s="1"/>
  <c r="Z688" i="59" s="1"/>
  <c r="AC693" i="59" s="1"/>
  <c r="Q705" i="59"/>
  <c r="T705" i="59" s="1"/>
  <c r="Z699" i="59" s="1"/>
  <c r="AC704" i="59" s="1"/>
  <c r="Q672" i="59"/>
  <c r="T672" i="59" s="1"/>
  <c r="Z666" i="59" s="1"/>
  <c r="AC671" i="59" s="1"/>
  <c r="Q683" i="59"/>
  <c r="T683" i="59" s="1"/>
  <c r="Z677" i="59" s="1"/>
  <c r="AC682" i="59" s="1"/>
  <c r="Q650" i="59"/>
  <c r="T650" i="59" s="1"/>
  <c r="Z644" i="59" s="1"/>
  <c r="AC649" i="59" s="1"/>
  <c r="Q661" i="59"/>
  <c r="T661" i="59" s="1"/>
  <c r="Z655" i="59" s="1"/>
  <c r="AC660" i="59" s="1"/>
  <c r="Z490" i="60"/>
  <c r="AC495" i="60" s="1"/>
  <c r="Z589" i="60"/>
  <c r="AC593" i="60" s="1"/>
  <c r="Z545" i="60"/>
  <c r="AC549" i="60" s="1"/>
  <c r="Z523" i="60"/>
  <c r="AC527" i="60" s="1"/>
  <c r="Z556" i="60"/>
  <c r="AC561" i="60" s="1"/>
  <c r="Z611" i="60"/>
  <c r="AC615" i="60" s="1"/>
  <c r="Z534" i="60"/>
  <c r="AC539" i="60" s="1"/>
  <c r="Q639" i="60"/>
  <c r="Q650" i="60"/>
  <c r="Q617" i="60"/>
  <c r="Q628" i="60"/>
  <c r="Q595" i="60"/>
  <c r="Q606" i="60"/>
  <c r="Q573" i="60"/>
  <c r="Q584" i="60"/>
  <c r="Q551" i="60"/>
  <c r="Q562" i="60"/>
  <c r="Q529" i="60"/>
  <c r="Q540" i="60"/>
  <c r="Q507" i="60"/>
  <c r="Q518" i="60"/>
  <c r="Q628" i="59"/>
  <c r="T628" i="59" s="1"/>
  <c r="Z622" i="59" s="1"/>
  <c r="AC627" i="59" s="1"/>
  <c r="Q639" i="59"/>
  <c r="T639" i="59" s="1"/>
  <c r="Z633" i="59" s="1"/>
  <c r="Q606" i="59"/>
  <c r="T606" i="59" s="1"/>
  <c r="Z600" i="59" s="1"/>
  <c r="AC605" i="59" s="1"/>
  <c r="Q617" i="59"/>
  <c r="T617" i="59" s="1"/>
  <c r="Z611" i="59" s="1"/>
  <c r="Q584" i="59"/>
  <c r="T584" i="59" s="1"/>
  <c r="Z578" i="59" s="1"/>
  <c r="AC583" i="59" s="1"/>
  <c r="Q595" i="59"/>
  <c r="T595" i="59" s="1"/>
  <c r="Z589" i="59" s="1"/>
  <c r="AC594" i="59" s="1"/>
  <c r="Q562" i="59"/>
  <c r="T562" i="59" s="1"/>
  <c r="Z556" i="59" s="1"/>
  <c r="AC561" i="59" s="1"/>
  <c r="Q573" i="59"/>
  <c r="T573" i="59" s="1"/>
  <c r="Z567" i="59" s="1"/>
  <c r="AC572" i="59" s="1"/>
  <c r="Q540" i="59"/>
  <c r="T540" i="59" s="1"/>
  <c r="Z534" i="59" s="1"/>
  <c r="AC539" i="59" s="1"/>
  <c r="Q551" i="59"/>
  <c r="T551" i="59" s="1"/>
  <c r="Z545" i="59" s="1"/>
  <c r="AC550" i="59" s="1"/>
  <c r="Q518" i="59"/>
  <c r="T518" i="59" s="1"/>
  <c r="Z512" i="59" s="1"/>
  <c r="AC517" i="59" s="1"/>
  <c r="Q529" i="59"/>
  <c r="T529" i="59" s="1"/>
  <c r="Z523" i="59" s="1"/>
  <c r="AC528" i="59" s="1"/>
  <c r="T268" i="57"/>
  <c r="T198" i="57"/>
  <c r="L153" i="57"/>
  <c r="T151" i="57"/>
  <c r="L98" i="57"/>
  <c r="T55" i="57"/>
  <c r="T60" i="57"/>
  <c r="T165" i="57"/>
  <c r="T167" i="57"/>
  <c r="L65" i="57"/>
  <c r="T140" i="57"/>
  <c r="T49" i="57"/>
  <c r="T209" i="57"/>
  <c r="L208" i="57"/>
  <c r="T211" i="57"/>
  <c r="T114" i="57"/>
  <c r="T228" i="57"/>
  <c r="T125" i="57"/>
  <c r="T121" i="57"/>
  <c r="L76" i="57"/>
  <c r="T30" i="57"/>
  <c r="T239" i="57"/>
  <c r="L43" i="57"/>
  <c r="L197" i="57"/>
  <c r="T101" i="57"/>
  <c r="T269" i="57"/>
  <c r="T147" i="57"/>
  <c r="L21" i="57"/>
  <c r="T92" i="57"/>
  <c r="T96" i="57"/>
  <c r="T90" i="57"/>
  <c r="T891" i="57"/>
  <c r="T158" i="57"/>
  <c r="T178" i="57"/>
  <c r="T895" i="57"/>
  <c r="T257" i="57"/>
  <c r="T255" i="57"/>
  <c r="T338" i="57"/>
  <c r="T343" i="57"/>
  <c r="T294" i="57"/>
  <c r="T302" i="57"/>
  <c r="T319" i="57"/>
  <c r="L285" i="57"/>
  <c r="T327" i="57"/>
  <c r="T288" i="57"/>
  <c r="T291" i="57"/>
  <c r="L329" i="57"/>
  <c r="L307" i="57"/>
  <c r="T283" i="57"/>
  <c r="T99" i="57"/>
  <c r="L263" i="57"/>
  <c r="T247" i="57"/>
  <c r="L241" i="57"/>
  <c r="T110" i="57"/>
  <c r="T235" i="57"/>
  <c r="T192" i="57"/>
  <c r="T88" i="57"/>
  <c r="T888" i="57"/>
  <c r="T79" i="57"/>
  <c r="T33" i="57"/>
  <c r="T38" i="57"/>
  <c r="T203" i="57"/>
  <c r="L54" i="57"/>
  <c r="T41" i="57"/>
  <c r="T93" i="57"/>
  <c r="T59" i="57"/>
  <c r="T264" i="57"/>
  <c r="L142" i="57"/>
  <c r="T231" i="57"/>
  <c r="T85" i="57"/>
  <c r="T24" i="57"/>
  <c r="T57" i="57"/>
  <c r="T112" i="57"/>
  <c r="T220" i="57"/>
  <c r="L120" i="57"/>
  <c r="T896" i="57"/>
  <c r="T250" i="57"/>
  <c r="T345" i="57"/>
  <c r="T341" i="57"/>
  <c r="T330" i="57"/>
  <c r="T272" i="57"/>
  <c r="L274" i="57"/>
  <c r="T323" i="57"/>
  <c r="T280" i="57"/>
  <c r="T286" i="57"/>
  <c r="T313" i="57"/>
  <c r="T305" i="57"/>
  <c r="T19" i="57"/>
  <c r="T246" i="57"/>
  <c r="T200" i="57"/>
  <c r="T244" i="57"/>
  <c r="T202" i="57"/>
  <c r="T170" i="57"/>
  <c r="T26" i="57"/>
  <c r="T156" i="57"/>
  <c r="T104" i="57"/>
  <c r="T103" i="57"/>
  <c r="T52" i="57"/>
  <c r="L164" i="57"/>
  <c r="T169" i="57"/>
  <c r="T63" i="57"/>
  <c r="T143" i="57"/>
  <c r="T48" i="57"/>
  <c r="T214" i="57"/>
  <c r="T236" i="57"/>
  <c r="T184" i="57"/>
  <c r="T180" i="57"/>
  <c r="T123" i="57"/>
  <c r="T81" i="57"/>
  <c r="L32" i="57"/>
  <c r="T261" i="57"/>
  <c r="T145" i="57"/>
  <c r="T242" i="57"/>
  <c r="T159" i="57"/>
  <c r="T162" i="57"/>
  <c r="T46" i="57"/>
  <c r="T70" i="57"/>
  <c r="T189" i="57"/>
  <c r="L109" i="57"/>
  <c r="L87" i="57"/>
  <c r="T222" i="57"/>
  <c r="T173" i="57"/>
  <c r="T118" i="57"/>
  <c r="T126" i="57"/>
  <c r="L175" i="57"/>
  <c r="L252" i="57"/>
  <c r="T299" i="57"/>
  <c r="T297" i="57"/>
  <c r="T334" i="57"/>
  <c r="T290" i="57"/>
  <c r="T275" i="57"/>
  <c r="L318" i="57"/>
  <c r="T324" i="57"/>
  <c r="T332" i="57"/>
  <c r="T308" i="57"/>
  <c r="T310" i="57"/>
  <c r="T115" i="57"/>
  <c r="T191" i="57"/>
  <c r="L890" i="57"/>
  <c r="T217" i="57"/>
  <c r="T181" i="57"/>
  <c r="T176" i="57"/>
  <c r="T82" i="57"/>
  <c r="T77" i="57"/>
  <c r="T74" i="57"/>
  <c r="T37" i="57"/>
  <c r="T27" i="57"/>
  <c r="T195" i="57"/>
  <c r="T68" i="57"/>
  <c r="T148" i="57"/>
  <c r="T107" i="57"/>
  <c r="L186" i="57"/>
  <c r="T206" i="57"/>
  <c r="T66" i="57"/>
  <c r="T44" i="57"/>
  <c r="T22" i="57"/>
  <c r="T154" i="57"/>
  <c r="L230" i="57"/>
  <c r="T187" i="57"/>
  <c r="T893" i="57"/>
  <c r="L219" i="57"/>
  <c r="T233" i="57"/>
  <c r="T224" i="57"/>
  <c r="T253" i="57"/>
  <c r="T258" i="57"/>
  <c r="T346" i="57"/>
  <c r="L340" i="57"/>
  <c r="L296" i="57"/>
  <c r="T301" i="57"/>
  <c r="T279" i="57"/>
  <c r="T316" i="57"/>
  <c r="T321" i="57"/>
  <c r="T335" i="57"/>
  <c r="T277" i="57"/>
  <c r="T312" i="57"/>
  <c r="T71" i="57"/>
  <c r="I281" i="59"/>
  <c r="U287" i="59"/>
  <c r="X287" i="59" s="1"/>
  <c r="Q284" i="59"/>
  <c r="T284" i="59" s="1"/>
  <c r="E282" i="59"/>
  <c r="H282" i="59" s="1"/>
  <c r="U289" i="59"/>
  <c r="Q281" i="59"/>
  <c r="E281" i="59"/>
  <c r="U284" i="59"/>
  <c r="X284" i="59" s="1"/>
  <c r="Q287" i="59"/>
  <c r="T287" i="59" s="1"/>
  <c r="U281" i="59"/>
  <c r="I282" i="59"/>
  <c r="L282" i="59" s="1"/>
  <c r="U331" i="60"/>
  <c r="X331" i="60" s="1"/>
  <c r="I326" i="60"/>
  <c r="L326" i="60" s="1"/>
  <c r="E337" i="60"/>
  <c r="Q278" i="60"/>
  <c r="T278" i="60" s="1"/>
  <c r="U311" i="60"/>
  <c r="X311" i="60" s="1"/>
  <c r="I238" i="60"/>
  <c r="L238" i="60" s="1"/>
  <c r="Q314" i="60"/>
  <c r="U245" i="60"/>
  <c r="X245" i="60" s="1"/>
  <c r="Q317" i="60"/>
  <c r="T317" i="60" s="1"/>
  <c r="Q245" i="60"/>
  <c r="T245" i="60" s="1"/>
  <c r="U322" i="60"/>
  <c r="X322" i="60" s="1"/>
  <c r="U234" i="60"/>
  <c r="X234" i="60" s="1"/>
  <c r="Q237" i="60"/>
  <c r="T237" i="60" s="1"/>
  <c r="Q240" i="60"/>
  <c r="T240" i="60" s="1"/>
  <c r="E237" i="60"/>
  <c r="H237" i="60" s="1"/>
  <c r="E314" i="60"/>
  <c r="H314" i="60" s="1"/>
  <c r="U314" i="60"/>
  <c r="X314" i="60" s="1"/>
  <c r="U317" i="60"/>
  <c r="X317" i="60" s="1"/>
  <c r="U237" i="60"/>
  <c r="X237" i="60" s="1"/>
  <c r="U240" i="60"/>
  <c r="X240" i="60" s="1"/>
  <c r="I237" i="60"/>
  <c r="L237" i="60" s="1"/>
  <c r="I314" i="60"/>
  <c r="L314" i="60" s="1"/>
  <c r="Q320" i="60"/>
  <c r="T320" i="60" s="1"/>
  <c r="E315" i="60"/>
  <c r="H315" i="60" s="1"/>
  <c r="E238" i="60"/>
  <c r="H238" i="60" s="1"/>
  <c r="U243" i="60"/>
  <c r="X243" i="60" s="1"/>
  <c r="U320" i="60"/>
  <c r="X320" i="60" s="1"/>
  <c r="Q322" i="60"/>
  <c r="T322" i="60" s="1"/>
  <c r="Z446" i="60"/>
  <c r="AC451" i="60" s="1"/>
  <c r="X306" i="60"/>
  <c r="Q331" i="60"/>
  <c r="T331" i="60" s="1"/>
  <c r="I270" i="60"/>
  <c r="L270" i="60" s="1"/>
  <c r="E271" i="60"/>
  <c r="H271" i="60" s="1"/>
  <c r="Q333" i="60"/>
  <c r="T333" i="60" s="1"/>
  <c r="U276" i="60"/>
  <c r="X276" i="60" s="1"/>
  <c r="I271" i="60"/>
  <c r="L271" i="60" s="1"/>
  <c r="Q342" i="60"/>
  <c r="T342" i="60" s="1"/>
  <c r="I325" i="60"/>
  <c r="L325" i="60" s="1"/>
  <c r="E326" i="60"/>
  <c r="H326" i="60" s="1"/>
  <c r="Q276" i="60"/>
  <c r="T276" i="60" s="1"/>
  <c r="X273" i="60"/>
  <c r="U333" i="60"/>
  <c r="X333" i="60" s="1"/>
  <c r="Q325" i="60"/>
  <c r="T325" i="60" s="1"/>
  <c r="Q328" i="60"/>
  <c r="T328" i="60" s="1"/>
  <c r="U278" i="60"/>
  <c r="X278" i="60" s="1"/>
  <c r="Q270" i="60"/>
  <c r="Q273" i="60"/>
  <c r="T273" i="60" s="1"/>
  <c r="I336" i="60"/>
  <c r="L336" i="60" s="1"/>
  <c r="E325" i="60"/>
  <c r="H325" i="60" s="1"/>
  <c r="U325" i="60"/>
  <c r="X325" i="60" s="1"/>
  <c r="E270" i="60"/>
  <c r="H270" i="60" s="1"/>
  <c r="U270" i="60"/>
  <c r="X270" i="60" s="1"/>
  <c r="Q292" i="60"/>
  <c r="T292" i="60" s="1"/>
  <c r="Q303" i="60"/>
  <c r="Q295" i="60"/>
  <c r="T295" i="60" s="1"/>
  <c r="Q306" i="60"/>
  <c r="T306" i="60" s="1"/>
  <c r="Z468" i="60"/>
  <c r="AC473" i="60" s="1"/>
  <c r="U300" i="60"/>
  <c r="X300" i="60" s="1"/>
  <c r="I303" i="60"/>
  <c r="L303" i="60" s="1"/>
  <c r="Q309" i="60"/>
  <c r="T309" i="60" s="1"/>
  <c r="E304" i="60"/>
  <c r="H304" i="60" s="1"/>
  <c r="I292" i="60"/>
  <c r="L292" i="60" s="1"/>
  <c r="Q298" i="60"/>
  <c r="T298" i="60" s="1"/>
  <c r="E293" i="60"/>
  <c r="H293" i="60" s="1"/>
  <c r="U309" i="60"/>
  <c r="X309" i="60" s="1"/>
  <c r="Q311" i="60"/>
  <c r="T311" i="60" s="1"/>
  <c r="I304" i="60"/>
  <c r="L304" i="60" s="1"/>
  <c r="U298" i="60"/>
  <c r="X298" i="60" s="1"/>
  <c r="Q300" i="60"/>
  <c r="T300" i="60" s="1"/>
  <c r="I293" i="60"/>
  <c r="L293" i="60" s="1"/>
  <c r="E303" i="60"/>
  <c r="H303" i="60" s="1"/>
  <c r="U303" i="60"/>
  <c r="E292" i="60"/>
  <c r="H292" i="60" s="1"/>
  <c r="U292" i="60"/>
  <c r="X292" i="60" s="1"/>
  <c r="U289" i="60"/>
  <c r="X289" i="60" s="1"/>
  <c r="Q281" i="60"/>
  <c r="Q284" i="60"/>
  <c r="T284" i="60" s="1"/>
  <c r="L282" i="60"/>
  <c r="H337" i="60"/>
  <c r="E281" i="60"/>
  <c r="U281" i="60"/>
  <c r="X281" i="60" s="1"/>
  <c r="U284" i="60"/>
  <c r="X284" i="60" s="1"/>
  <c r="L315" i="60"/>
  <c r="I281" i="60"/>
  <c r="L281" i="60" s="1"/>
  <c r="Q287" i="60"/>
  <c r="T287" i="60" s="1"/>
  <c r="E282" i="60"/>
  <c r="H282" i="60" s="1"/>
  <c r="U287" i="60"/>
  <c r="X287" i="60" s="1"/>
  <c r="Q289" i="60"/>
  <c r="T289" i="60" s="1"/>
  <c r="Y292" i="60"/>
  <c r="AC297" i="60" s="1"/>
  <c r="X339" i="60"/>
  <c r="U342" i="60"/>
  <c r="X342" i="60" s="1"/>
  <c r="Q344" i="60"/>
  <c r="T344" i="60" s="1"/>
  <c r="I337" i="60"/>
  <c r="L337" i="60" s="1"/>
  <c r="X328" i="60"/>
  <c r="U344" i="60"/>
  <c r="X344" i="60" s="1"/>
  <c r="Q336" i="60"/>
  <c r="Q339" i="60"/>
  <c r="T339" i="60" s="1"/>
  <c r="E336" i="60"/>
  <c r="H336" i="60" s="1"/>
  <c r="U336" i="60"/>
  <c r="X295" i="60"/>
  <c r="Y237" i="60"/>
  <c r="AC243" i="60" s="1"/>
  <c r="Y325" i="60"/>
  <c r="AC331" i="60" s="1"/>
  <c r="T243" i="60"/>
  <c r="T289" i="59"/>
  <c r="E237" i="59"/>
  <c r="H237" i="59" s="1"/>
  <c r="I238" i="59"/>
  <c r="L238" i="59" s="1"/>
  <c r="Q245" i="59"/>
  <c r="T245" i="59" s="1"/>
  <c r="Q243" i="59"/>
  <c r="T243" i="59" s="1"/>
  <c r="U237" i="59"/>
  <c r="X237" i="59" s="1"/>
  <c r="U240" i="59"/>
  <c r="X240" i="59" s="1"/>
  <c r="I237" i="59"/>
  <c r="L237" i="59" s="1"/>
  <c r="U245" i="59"/>
  <c r="X245" i="59" s="1"/>
  <c r="U243" i="59"/>
  <c r="X243" i="59" s="1"/>
  <c r="Q240" i="59"/>
  <c r="T240" i="59" s="1"/>
  <c r="E238" i="59"/>
  <c r="H238" i="59" s="1"/>
  <c r="Q237" i="59"/>
  <c r="T237" i="59" s="1"/>
  <c r="Y237" i="59"/>
  <c r="AC243" i="59" s="1"/>
  <c r="Z248" i="59"/>
  <c r="AC253" i="59" s="1"/>
  <c r="Z259" i="59"/>
  <c r="AC264" i="59" s="1"/>
  <c r="Z457" i="59"/>
  <c r="AC462" i="59" s="1"/>
  <c r="Z468" i="59"/>
  <c r="AC473" i="59" s="1"/>
  <c r="Z479" i="59"/>
  <c r="AC484" i="59" s="1"/>
  <c r="Q485" i="60"/>
  <c r="Q496" i="60"/>
  <c r="Q12" i="60"/>
  <c r="T12" i="60" s="1"/>
  <c r="Q474" i="60"/>
  <c r="Q463" i="60"/>
  <c r="Q452" i="60"/>
  <c r="Q333" i="57"/>
  <c r="T333" i="57" s="1"/>
  <c r="I227" i="60"/>
  <c r="L227" i="60" s="1"/>
  <c r="I226" i="60"/>
  <c r="L226" i="60" s="1"/>
  <c r="U270" i="57"/>
  <c r="U278" i="57"/>
  <c r="X278" i="57" s="1"/>
  <c r="U298" i="57"/>
  <c r="X298" i="57" s="1"/>
  <c r="U317" i="57"/>
  <c r="X317" i="57" s="1"/>
  <c r="Q281" i="57"/>
  <c r="I314" i="57"/>
  <c r="E281" i="57"/>
  <c r="Q317" i="57"/>
  <c r="T317" i="57" s="1"/>
  <c r="U344" i="57"/>
  <c r="X344" i="57" s="1"/>
  <c r="U229" i="60"/>
  <c r="X229" i="60" s="1"/>
  <c r="U226" i="60"/>
  <c r="X226" i="60" s="1"/>
  <c r="U232" i="60"/>
  <c r="X232" i="60" s="1"/>
  <c r="U273" i="57"/>
  <c r="X273" i="57" s="1"/>
  <c r="E271" i="57"/>
  <c r="H271" i="57" s="1"/>
  <c r="Q270" i="57"/>
  <c r="Q295" i="57"/>
  <c r="T295" i="57" s="1"/>
  <c r="Q278" i="57"/>
  <c r="T278" i="57" s="1"/>
  <c r="Q273" i="57"/>
  <c r="T273" i="57" s="1"/>
  <c r="I271" i="57"/>
  <c r="L271" i="57" s="1"/>
  <c r="I270" i="57"/>
  <c r="L270" i="57" s="1"/>
  <c r="U276" i="57"/>
  <c r="X276" i="57" s="1"/>
  <c r="Q292" i="57"/>
  <c r="E336" i="57"/>
  <c r="Q226" i="60"/>
  <c r="T226" i="60" s="1"/>
  <c r="Q229" i="60"/>
  <c r="T229" i="60" s="1"/>
  <c r="Q232" i="60"/>
  <c r="T232" i="60" s="1"/>
  <c r="Q289" i="57"/>
  <c r="T289" i="57" s="1"/>
  <c r="Q336" i="57"/>
  <c r="E227" i="60"/>
  <c r="H227" i="60" s="1"/>
  <c r="E226" i="60"/>
  <c r="H226" i="60" s="1"/>
  <c r="I304" i="57"/>
  <c r="L304" i="57" s="1"/>
  <c r="E303" i="57"/>
  <c r="H303" i="57" s="1"/>
  <c r="I293" i="59"/>
  <c r="L293" i="59" s="1"/>
  <c r="E292" i="59"/>
  <c r="U306" i="57"/>
  <c r="X306" i="57" s="1"/>
  <c r="I303" i="57"/>
  <c r="L303" i="57" s="1"/>
  <c r="Q306" i="57"/>
  <c r="T306" i="57" s="1"/>
  <c r="I292" i="59"/>
  <c r="L292" i="59" s="1"/>
  <c r="U295" i="59"/>
  <c r="X295" i="59" s="1"/>
  <c r="Q303" i="57"/>
  <c r="U309" i="57"/>
  <c r="X309" i="57" s="1"/>
  <c r="U303" i="57"/>
  <c r="U298" i="59"/>
  <c r="X298" i="59" s="1"/>
  <c r="U292" i="59"/>
  <c r="X292" i="59" s="1"/>
  <c r="Q311" i="57"/>
  <c r="T311" i="57" s="1"/>
  <c r="E304" i="57"/>
  <c r="H304" i="57" s="1"/>
  <c r="E293" i="59"/>
  <c r="H293" i="59" s="1"/>
  <c r="U300" i="59"/>
  <c r="X300" i="59" s="1"/>
  <c r="Q300" i="59"/>
  <c r="T300" i="59" s="1"/>
  <c r="X311" i="57"/>
  <c r="Q314" i="57"/>
  <c r="U320" i="57"/>
  <c r="X320" i="57" s="1"/>
  <c r="U314" i="57"/>
  <c r="X314" i="57" s="1"/>
  <c r="U284" i="57"/>
  <c r="X284" i="57" s="1"/>
  <c r="Q284" i="57"/>
  <c r="T284" i="57" s="1"/>
  <c r="U289" i="57"/>
  <c r="X289" i="57" s="1"/>
  <c r="I336" i="57"/>
  <c r="L336" i="57" s="1"/>
  <c r="I337" i="57"/>
  <c r="L337" i="57" s="1"/>
  <c r="E326" i="57"/>
  <c r="H326" i="57" s="1"/>
  <c r="Q322" i="57"/>
  <c r="T322" i="57" s="1"/>
  <c r="E315" i="57"/>
  <c r="H315" i="57" s="1"/>
  <c r="U322" i="57"/>
  <c r="X322" i="57" s="1"/>
  <c r="E282" i="57"/>
  <c r="H282" i="57" s="1"/>
  <c r="U287" i="57"/>
  <c r="X287" i="57" s="1"/>
  <c r="U342" i="57"/>
  <c r="X342" i="57" s="1"/>
  <c r="Q339" i="57"/>
  <c r="T339" i="57" s="1"/>
  <c r="Q344" i="57"/>
  <c r="T344" i="57" s="1"/>
  <c r="U333" i="57"/>
  <c r="X333" i="57" s="1"/>
  <c r="I315" i="57"/>
  <c r="L315" i="57" s="1"/>
  <c r="I281" i="57"/>
  <c r="L281" i="57" s="1"/>
  <c r="I282" i="57"/>
  <c r="L282" i="57" s="1"/>
  <c r="E337" i="57"/>
  <c r="H337" i="57" s="1"/>
  <c r="U339" i="57"/>
  <c r="X339" i="57" s="1"/>
  <c r="Q443" i="60"/>
  <c r="X300" i="57"/>
  <c r="I292" i="57"/>
  <c r="L292" i="57" s="1"/>
  <c r="E292" i="57"/>
  <c r="H292" i="57" s="1"/>
  <c r="U328" i="57"/>
  <c r="X328" i="57" s="1"/>
  <c r="I325" i="57"/>
  <c r="Q328" i="57"/>
  <c r="T328" i="57" s="1"/>
  <c r="U295" i="57"/>
  <c r="X295" i="57" s="1"/>
  <c r="U292" i="57"/>
  <c r="X292" i="57" s="1"/>
  <c r="I293" i="57"/>
  <c r="L293" i="57" s="1"/>
  <c r="Q325" i="57"/>
  <c r="U331" i="57"/>
  <c r="X331" i="57" s="1"/>
  <c r="U325" i="57"/>
  <c r="Q300" i="57"/>
  <c r="T300" i="57" s="1"/>
  <c r="E293" i="57"/>
  <c r="H293" i="57" s="1"/>
  <c r="I326" i="57"/>
  <c r="L326" i="57" s="1"/>
  <c r="Q295" i="59"/>
  <c r="T295" i="59" s="1"/>
  <c r="Q292" i="59"/>
  <c r="U262" i="60"/>
  <c r="X262" i="60" s="1"/>
  <c r="Q262" i="60"/>
  <c r="T262" i="60" s="1"/>
  <c r="I260" i="60"/>
  <c r="L260" i="60" s="1"/>
  <c r="E260" i="60"/>
  <c r="H260" i="60" s="1"/>
  <c r="U259" i="60"/>
  <c r="X259" i="60" s="1"/>
  <c r="Q259" i="60"/>
  <c r="Q267" i="60"/>
  <c r="T267" i="60" s="1"/>
  <c r="Q265" i="60"/>
  <c r="T265" i="60" s="1"/>
  <c r="E259" i="60"/>
  <c r="H259" i="60" s="1"/>
  <c r="U267" i="60"/>
  <c r="X267" i="60" s="1"/>
  <c r="U265" i="60"/>
  <c r="X265" i="60" s="1"/>
  <c r="I259" i="60"/>
  <c r="L259" i="60" s="1"/>
  <c r="T234" i="60"/>
  <c r="H205" i="60"/>
  <c r="T207" i="60"/>
  <c r="H204" i="60"/>
  <c r="T210" i="60"/>
  <c r="T212" i="60"/>
  <c r="T193" i="60"/>
  <c r="H194" i="60"/>
  <c r="T196" i="60"/>
  <c r="H193" i="60"/>
  <c r="T199" i="60"/>
  <c r="T201" i="60"/>
  <c r="U223" i="60"/>
  <c r="X223" i="60" s="1"/>
  <c r="Q223" i="60"/>
  <c r="T223" i="60" s="1"/>
  <c r="U221" i="60"/>
  <c r="X221" i="60" s="1"/>
  <c r="Q221" i="60"/>
  <c r="T221" i="60" s="1"/>
  <c r="I215" i="60"/>
  <c r="L215" i="60" s="1"/>
  <c r="E215" i="60"/>
  <c r="H215" i="60" s="1"/>
  <c r="U218" i="60"/>
  <c r="X218" i="60" s="1"/>
  <c r="Q218" i="60"/>
  <c r="T218" i="60" s="1"/>
  <c r="I216" i="60"/>
  <c r="L216" i="60" s="1"/>
  <c r="E216" i="60"/>
  <c r="H216" i="60" s="1"/>
  <c r="U215" i="60"/>
  <c r="X215" i="60" s="1"/>
  <c r="Q215" i="60"/>
  <c r="X204" i="60"/>
  <c r="L205" i="60"/>
  <c r="X207" i="60"/>
  <c r="L204" i="60"/>
  <c r="X210" i="60"/>
  <c r="X212" i="60"/>
  <c r="X193" i="60"/>
  <c r="L194" i="60"/>
  <c r="X196" i="60"/>
  <c r="L193" i="60"/>
  <c r="X199" i="60"/>
  <c r="X201" i="60"/>
  <c r="Q179" i="59"/>
  <c r="Q177" i="59"/>
  <c r="Q171" i="59"/>
  <c r="Q174" i="59"/>
  <c r="T452" i="59"/>
  <c r="Q12" i="59"/>
  <c r="Q223" i="59"/>
  <c r="Q221" i="59"/>
  <c r="T221" i="59" s="1"/>
  <c r="Q215" i="59"/>
  <c r="Q218" i="59"/>
  <c r="T218" i="59" s="1"/>
  <c r="Q119" i="59"/>
  <c r="T119" i="59" s="1"/>
  <c r="Q124" i="59"/>
  <c r="T124" i="59" s="1"/>
  <c r="Q122" i="59"/>
  <c r="T122" i="59" s="1"/>
  <c r="Q116" i="59"/>
  <c r="Q75" i="59"/>
  <c r="T75" i="59" s="1"/>
  <c r="Q80" i="59"/>
  <c r="T80" i="59" s="1"/>
  <c r="Q78" i="59"/>
  <c r="T78" i="59" s="1"/>
  <c r="Q72" i="59"/>
  <c r="Q201" i="59"/>
  <c r="T201" i="59" s="1"/>
  <c r="Q199" i="59"/>
  <c r="T199" i="59" s="1"/>
  <c r="Q193" i="59"/>
  <c r="Q196" i="59"/>
  <c r="T196" i="59" s="1"/>
  <c r="Q157" i="59"/>
  <c r="Q155" i="59"/>
  <c r="T155" i="59" s="1"/>
  <c r="Q149" i="59"/>
  <c r="Q152" i="59"/>
  <c r="T152" i="59" s="1"/>
  <c r="Q97" i="59"/>
  <c r="T97" i="59" s="1"/>
  <c r="Q102" i="59"/>
  <c r="T102" i="59" s="1"/>
  <c r="Q100" i="59"/>
  <c r="T100" i="59" s="1"/>
  <c r="Q94" i="59"/>
  <c r="Q53" i="59"/>
  <c r="T53" i="59" s="1"/>
  <c r="Q58" i="59"/>
  <c r="T58" i="59" s="1"/>
  <c r="Q56" i="59"/>
  <c r="T56" i="59" s="1"/>
  <c r="Q50" i="59"/>
  <c r="Q229" i="59"/>
  <c r="T229" i="59" s="1"/>
  <c r="Q234" i="59"/>
  <c r="T234" i="59" s="1"/>
  <c r="Q232" i="59"/>
  <c r="T232" i="59" s="1"/>
  <c r="Q226" i="59"/>
  <c r="Q207" i="59"/>
  <c r="T207" i="59" s="1"/>
  <c r="Q212" i="59"/>
  <c r="Q210" i="59"/>
  <c r="T210" i="59" s="1"/>
  <c r="Q204" i="59"/>
  <c r="Q185" i="59"/>
  <c r="T185" i="59" s="1"/>
  <c r="Q190" i="59"/>
  <c r="T190" i="59" s="1"/>
  <c r="Q188" i="59"/>
  <c r="T188" i="59" s="1"/>
  <c r="Q182" i="59"/>
  <c r="Q163" i="59"/>
  <c r="T163" i="59" s="1"/>
  <c r="Q168" i="59"/>
  <c r="T168" i="59" s="1"/>
  <c r="Q166" i="59"/>
  <c r="T166" i="59" s="1"/>
  <c r="Q160" i="59"/>
  <c r="Q141" i="59"/>
  <c r="T141" i="59" s="1"/>
  <c r="Q146" i="59"/>
  <c r="T146" i="59" s="1"/>
  <c r="Q144" i="59"/>
  <c r="T144" i="59" s="1"/>
  <c r="Q138" i="59"/>
  <c r="Q113" i="59"/>
  <c r="T113" i="59" s="1"/>
  <c r="Q111" i="59"/>
  <c r="T111" i="59" s="1"/>
  <c r="Q105" i="59"/>
  <c r="Q108" i="59"/>
  <c r="T108" i="59" s="1"/>
  <c r="Q69" i="59"/>
  <c r="T69" i="59" s="1"/>
  <c r="Q67" i="59"/>
  <c r="T67" i="59" s="1"/>
  <c r="Q61" i="59"/>
  <c r="Q64" i="59"/>
  <c r="T64" i="59" s="1"/>
  <c r="Q377" i="59"/>
  <c r="T377" i="59" s="1"/>
  <c r="Q375" i="59"/>
  <c r="T375" i="59" s="1"/>
  <c r="Q369" i="59"/>
  <c r="Q372" i="59"/>
  <c r="T372" i="59" s="1"/>
  <c r="Q333" i="59"/>
  <c r="T333" i="59" s="1"/>
  <c r="Q331" i="59"/>
  <c r="T331" i="59" s="1"/>
  <c r="Q325" i="59"/>
  <c r="Q328" i="59"/>
  <c r="T328" i="59" s="1"/>
  <c r="Q311" i="59"/>
  <c r="T311" i="59" s="1"/>
  <c r="Q309" i="59"/>
  <c r="T309" i="59" s="1"/>
  <c r="Q303" i="59"/>
  <c r="Q306" i="59"/>
  <c r="T306" i="59" s="1"/>
  <c r="Q339" i="59"/>
  <c r="T339" i="59" s="1"/>
  <c r="Q344" i="59"/>
  <c r="T344" i="59" s="1"/>
  <c r="Q342" i="59"/>
  <c r="T342" i="59" s="1"/>
  <c r="Q336" i="59"/>
  <c r="Q317" i="59"/>
  <c r="T317" i="59" s="1"/>
  <c r="Q322" i="59"/>
  <c r="T322" i="59" s="1"/>
  <c r="Q320" i="59"/>
  <c r="T320" i="59" s="1"/>
  <c r="Q314" i="59"/>
  <c r="Q31" i="59"/>
  <c r="T31" i="59" s="1"/>
  <c r="Q36" i="59"/>
  <c r="Q34" i="59"/>
  <c r="T34" i="59" s="1"/>
  <c r="Q28" i="59"/>
  <c r="Q91" i="59"/>
  <c r="T91" i="59" s="1"/>
  <c r="Q89" i="59"/>
  <c r="T89" i="59" s="1"/>
  <c r="Q83" i="59"/>
  <c r="Q86" i="59"/>
  <c r="T86" i="59" s="1"/>
  <c r="Q47" i="59"/>
  <c r="Q45" i="59"/>
  <c r="T45" i="59" s="1"/>
  <c r="Q39" i="59"/>
  <c r="Q42" i="59"/>
  <c r="T42" i="59" s="1"/>
  <c r="Q355" i="59"/>
  <c r="T355" i="59" s="1"/>
  <c r="Q353" i="59"/>
  <c r="T353" i="59" s="1"/>
  <c r="Q347" i="59"/>
  <c r="Q350" i="59"/>
  <c r="T350" i="59" s="1"/>
  <c r="Q273" i="59"/>
  <c r="T273" i="59" s="1"/>
  <c r="Q278" i="59"/>
  <c r="T278" i="59" s="1"/>
  <c r="Q276" i="59"/>
  <c r="T276" i="59" s="1"/>
  <c r="Q270" i="59"/>
  <c r="Q361" i="59"/>
  <c r="T361" i="59" s="1"/>
  <c r="Q366" i="59"/>
  <c r="T366" i="59" s="1"/>
  <c r="Q364" i="59"/>
  <c r="T364" i="59" s="1"/>
  <c r="Q358" i="59"/>
  <c r="X281" i="57"/>
  <c r="U333" i="59"/>
  <c r="X333" i="59" s="1"/>
  <c r="U325" i="59"/>
  <c r="X325" i="59" s="1"/>
  <c r="U328" i="59"/>
  <c r="X328" i="59" s="1"/>
  <c r="E325" i="59"/>
  <c r="H325" i="59" s="1"/>
  <c r="E326" i="59"/>
  <c r="H326" i="59" s="1"/>
  <c r="U331" i="59"/>
  <c r="X331" i="59" s="1"/>
  <c r="I326" i="59"/>
  <c r="L326" i="59" s="1"/>
  <c r="I325" i="59"/>
  <c r="L325" i="59" s="1"/>
  <c r="U278" i="59"/>
  <c r="U270" i="59"/>
  <c r="U273" i="59"/>
  <c r="X273" i="59" s="1"/>
  <c r="E270" i="59"/>
  <c r="E271" i="59"/>
  <c r="H271" i="59" s="1"/>
  <c r="U276" i="59"/>
  <c r="X276" i="59" s="1"/>
  <c r="I270" i="59"/>
  <c r="L270" i="59" s="1"/>
  <c r="I271" i="59"/>
  <c r="L271" i="59" s="1"/>
  <c r="U322" i="59"/>
  <c r="X322" i="59" s="1"/>
  <c r="U317" i="59"/>
  <c r="X317" i="59" s="1"/>
  <c r="E315" i="59"/>
  <c r="H315" i="59" s="1"/>
  <c r="E314" i="59"/>
  <c r="U320" i="59"/>
  <c r="X320" i="59" s="1"/>
  <c r="U314" i="59"/>
  <c r="X314" i="59" s="1"/>
  <c r="I314" i="59"/>
  <c r="L314" i="59" s="1"/>
  <c r="I315" i="59"/>
  <c r="L315" i="59" s="1"/>
  <c r="U377" i="59"/>
  <c r="X377" i="59" s="1"/>
  <c r="I369" i="59"/>
  <c r="L369" i="59" s="1"/>
  <c r="I370" i="59"/>
  <c r="L370" i="59" s="1"/>
  <c r="U369" i="59"/>
  <c r="E369" i="59"/>
  <c r="U372" i="59"/>
  <c r="X372" i="59" s="1"/>
  <c r="E370" i="59"/>
  <c r="H370" i="59" s="1"/>
  <c r="U375" i="59"/>
  <c r="X375" i="59" s="1"/>
  <c r="U355" i="59"/>
  <c r="X355" i="59" s="1"/>
  <c r="U347" i="59"/>
  <c r="X347" i="59" s="1"/>
  <c r="U350" i="59"/>
  <c r="X350" i="59" s="1"/>
  <c r="E347" i="59"/>
  <c r="E348" i="59"/>
  <c r="H348" i="59" s="1"/>
  <c r="U353" i="59"/>
  <c r="X353" i="59" s="1"/>
  <c r="I348" i="59"/>
  <c r="L348" i="59" s="1"/>
  <c r="I347" i="59"/>
  <c r="U311" i="59"/>
  <c r="X311" i="59" s="1"/>
  <c r="I303" i="59"/>
  <c r="L303" i="59" s="1"/>
  <c r="I304" i="59"/>
  <c r="L304" i="59" s="1"/>
  <c r="U303" i="59"/>
  <c r="E303" i="59"/>
  <c r="U306" i="59"/>
  <c r="X306" i="59" s="1"/>
  <c r="E304" i="59"/>
  <c r="H304" i="59" s="1"/>
  <c r="U309" i="59"/>
  <c r="X309" i="59" s="1"/>
  <c r="I359" i="59"/>
  <c r="L359" i="59" s="1"/>
  <c r="I358" i="59"/>
  <c r="E358" i="59"/>
  <c r="H358" i="59" s="1"/>
  <c r="U361" i="59"/>
  <c r="X361" i="59" s="1"/>
  <c r="U358" i="59"/>
  <c r="X358" i="59" s="1"/>
  <c r="U366" i="59"/>
  <c r="X366" i="59" s="1"/>
  <c r="E359" i="59"/>
  <c r="H359" i="59" s="1"/>
  <c r="U364" i="59"/>
  <c r="X364" i="59" s="1"/>
  <c r="U344" i="59"/>
  <c r="X344" i="59" s="1"/>
  <c r="U336" i="59"/>
  <c r="U339" i="59"/>
  <c r="X339" i="59" s="1"/>
  <c r="E336" i="59"/>
  <c r="H336" i="59" s="1"/>
  <c r="E337" i="59"/>
  <c r="H337" i="59" s="1"/>
  <c r="U342" i="59"/>
  <c r="X342" i="59" s="1"/>
  <c r="I337" i="59"/>
  <c r="L337" i="59" s="1"/>
  <c r="I336" i="59"/>
  <c r="L336" i="59" s="1"/>
  <c r="T430" i="59"/>
  <c r="T419" i="59"/>
  <c r="T397" i="59"/>
  <c r="T408" i="59"/>
  <c r="T386" i="59"/>
  <c r="T496" i="59"/>
  <c r="T441" i="59"/>
  <c r="T298" i="59"/>
  <c r="Q28" i="57"/>
  <c r="Q438" i="60"/>
  <c r="U438" i="60"/>
  <c r="U443" i="60"/>
  <c r="U441" i="60"/>
  <c r="E435" i="60"/>
  <c r="U435" i="60"/>
  <c r="E436" i="60"/>
  <c r="Q435" i="60"/>
  <c r="I435" i="60"/>
  <c r="A49" i="26"/>
  <c r="Q256" i="57"/>
  <c r="T256" i="57" s="1"/>
  <c r="Q248" i="57"/>
  <c r="I249" i="57"/>
  <c r="L249" i="57" s="1"/>
  <c r="U256" i="57"/>
  <c r="E248" i="57"/>
  <c r="U248" i="57"/>
  <c r="U254" i="57"/>
  <c r="X254" i="57" s="1"/>
  <c r="U251" i="57"/>
  <c r="X251" i="57" s="1"/>
  <c r="I248" i="57"/>
  <c r="E249" i="57"/>
  <c r="Q251" i="57"/>
  <c r="T251" i="57" s="1"/>
  <c r="U47" i="57"/>
  <c r="X47" i="57" s="1"/>
  <c r="U894" i="57"/>
  <c r="X894" i="57" s="1"/>
  <c r="Q894" i="57"/>
  <c r="T894" i="57" s="1"/>
  <c r="U892" i="57"/>
  <c r="X892" i="57" s="1"/>
  <c r="E887" i="57"/>
  <c r="H887" i="57" s="1"/>
  <c r="U116" i="57"/>
  <c r="I887" i="57"/>
  <c r="L887" i="57" s="1"/>
  <c r="E117" i="57"/>
  <c r="H117" i="57" s="1"/>
  <c r="U124" i="57"/>
  <c r="U119" i="57"/>
  <c r="I51" i="57"/>
  <c r="L51" i="57" s="1"/>
  <c r="E205" i="57"/>
  <c r="H205" i="57" s="1"/>
  <c r="I116" i="57"/>
  <c r="L116" i="57" s="1"/>
  <c r="Q119" i="57"/>
  <c r="T119" i="57" s="1"/>
  <c r="Q212" i="57"/>
  <c r="Q17" i="57"/>
  <c r="T17" i="57" s="1"/>
  <c r="I138" i="57"/>
  <c r="L138" i="57" s="1"/>
  <c r="Q207" i="57"/>
  <c r="T207" i="57" s="1"/>
  <c r="E18" i="57"/>
  <c r="U31" i="57"/>
  <c r="X31" i="57" s="1"/>
  <c r="U28" i="57"/>
  <c r="U100" i="57"/>
  <c r="X100" i="57" s="1"/>
  <c r="E28" i="57"/>
  <c r="E29" i="57"/>
  <c r="H29" i="57" s="1"/>
  <c r="Q14" i="60"/>
  <c r="T14" i="60" s="1"/>
  <c r="U34" i="57"/>
  <c r="X34" i="57" s="1"/>
  <c r="I7" i="60"/>
  <c r="L7" i="60" s="1"/>
  <c r="I238" i="57"/>
  <c r="L238" i="57" s="1"/>
  <c r="U174" i="57"/>
  <c r="U45" i="57"/>
  <c r="X45" i="57" s="1"/>
  <c r="U102" i="57"/>
  <c r="X102" i="57" s="1"/>
  <c r="I117" i="57"/>
  <c r="L117" i="57" s="1"/>
  <c r="E40" i="57"/>
  <c r="H40" i="57" s="1"/>
  <c r="U14" i="60"/>
  <c r="X14" i="60" s="1"/>
  <c r="I172" i="57"/>
  <c r="L172" i="57" s="1"/>
  <c r="E17" i="57"/>
  <c r="I94" i="57"/>
  <c r="L94" i="57" s="1"/>
  <c r="U138" i="57"/>
  <c r="Q47" i="57"/>
  <c r="Q6" i="60"/>
  <c r="E7" i="60"/>
  <c r="H7" i="60" s="1"/>
  <c r="U6" i="60"/>
  <c r="X6" i="60" s="1"/>
  <c r="U12" i="60"/>
  <c r="X12" i="60" s="1"/>
  <c r="Q441" i="60"/>
  <c r="E6" i="60"/>
  <c r="H6" i="60" s="1"/>
  <c r="U97" i="57"/>
  <c r="X97" i="57" s="1"/>
  <c r="Q94" i="57"/>
  <c r="U39" i="57"/>
  <c r="I39" i="57"/>
  <c r="L39" i="57" s="1"/>
  <c r="Q9" i="60"/>
  <c r="T9" i="60" s="1"/>
  <c r="I6" i="60"/>
  <c r="L6" i="60" s="1"/>
  <c r="U9" i="60"/>
  <c r="X9" i="60" s="1"/>
  <c r="U23" i="57"/>
  <c r="X23" i="57" s="1"/>
  <c r="Q20" i="57"/>
  <c r="T20" i="57" s="1"/>
  <c r="U149" i="57"/>
  <c r="E226" i="57"/>
  <c r="U199" i="57"/>
  <c r="X199" i="57" s="1"/>
  <c r="U75" i="57"/>
  <c r="X75" i="57" s="1"/>
  <c r="I61" i="57"/>
  <c r="L61" i="57" s="1"/>
  <c r="Q223" i="57"/>
  <c r="E182" i="57"/>
  <c r="Q240" i="57"/>
  <c r="T240" i="57" s="1"/>
  <c r="U221" i="57"/>
  <c r="X221" i="57" s="1"/>
  <c r="Q163" i="57"/>
  <c r="T163" i="57" s="1"/>
  <c r="Q75" i="57"/>
  <c r="T75" i="57" s="1"/>
  <c r="Q226" i="57"/>
  <c r="U78" i="57"/>
  <c r="X78" i="57" s="1"/>
  <c r="U152" i="57"/>
  <c r="X152" i="57" s="1"/>
  <c r="E61" i="57"/>
  <c r="H61" i="57" s="1"/>
  <c r="E215" i="57"/>
  <c r="U193" i="57"/>
  <c r="U163" i="57"/>
  <c r="X163" i="57" s="1"/>
  <c r="U190" i="57"/>
  <c r="X190" i="57" s="1"/>
  <c r="Q149" i="57"/>
  <c r="Q61" i="57"/>
  <c r="Q185" i="57"/>
  <c r="T185" i="57" s="1"/>
  <c r="T80" i="57"/>
  <c r="X185" i="57"/>
  <c r="I237" i="57"/>
  <c r="L237" i="57" s="1"/>
  <c r="E149" i="57"/>
  <c r="Q69" i="57"/>
  <c r="T69" i="57" s="1"/>
  <c r="U229" i="57"/>
  <c r="X229" i="57" s="1"/>
  <c r="U223" i="57"/>
  <c r="Q193" i="57"/>
  <c r="I193" i="57"/>
  <c r="Q160" i="57"/>
  <c r="E161" i="57"/>
  <c r="H161" i="57" s="1"/>
  <c r="U182" i="57"/>
  <c r="U188" i="57"/>
  <c r="X188" i="57" s="1"/>
  <c r="U72" i="57"/>
  <c r="I73" i="57"/>
  <c r="L73" i="57" s="1"/>
  <c r="Q889" i="57"/>
  <c r="T889" i="57" s="1"/>
  <c r="U889" i="57"/>
  <c r="X889" i="57" s="1"/>
  <c r="Q237" i="57"/>
  <c r="E237" i="57"/>
  <c r="U243" i="57"/>
  <c r="X243" i="57" s="1"/>
  <c r="I150" i="57"/>
  <c r="L150" i="57" s="1"/>
  <c r="U157" i="57"/>
  <c r="X157" i="57" s="1"/>
  <c r="Q157" i="57"/>
  <c r="U69" i="57"/>
  <c r="X69" i="57" s="1"/>
  <c r="Q64" i="57"/>
  <c r="T64" i="57" s="1"/>
  <c r="U64" i="57"/>
  <c r="X64" i="57" s="1"/>
  <c r="E227" i="57"/>
  <c r="U232" i="57"/>
  <c r="X232" i="57" s="1"/>
  <c r="Q234" i="57"/>
  <c r="T234" i="57" s="1"/>
  <c r="Q215" i="57"/>
  <c r="Q218" i="57"/>
  <c r="T218" i="57" s="1"/>
  <c r="I216" i="57"/>
  <c r="L216" i="57" s="1"/>
  <c r="I194" i="57"/>
  <c r="L194" i="57" s="1"/>
  <c r="U196" i="57"/>
  <c r="X196" i="57" s="1"/>
  <c r="E193" i="57"/>
  <c r="U160" i="57"/>
  <c r="I160" i="57"/>
  <c r="U168" i="57"/>
  <c r="X168" i="57" s="1"/>
  <c r="Q182" i="57"/>
  <c r="E183" i="57"/>
  <c r="H183" i="57" s="1"/>
  <c r="E72" i="57"/>
  <c r="Q72" i="57"/>
  <c r="E73" i="57"/>
  <c r="H73" i="57" s="1"/>
  <c r="U245" i="57"/>
  <c r="I62" i="57"/>
  <c r="L62" i="57" s="1"/>
  <c r="Q229" i="57"/>
  <c r="T229" i="57" s="1"/>
  <c r="U215" i="57"/>
  <c r="Q201" i="57"/>
  <c r="T201" i="57" s="1"/>
  <c r="I183" i="57"/>
  <c r="L183" i="57" s="1"/>
  <c r="I72" i="57"/>
  <c r="L72" i="57" s="1"/>
  <c r="E238" i="57"/>
  <c r="U237" i="57"/>
  <c r="U240" i="57"/>
  <c r="X240" i="57" s="1"/>
  <c r="E150" i="57"/>
  <c r="H150" i="57" s="1"/>
  <c r="Q152" i="57"/>
  <c r="T152" i="57" s="1"/>
  <c r="E62" i="57"/>
  <c r="U67" i="57"/>
  <c r="X67" i="57" s="1"/>
  <c r="I226" i="57"/>
  <c r="I227" i="57"/>
  <c r="L227" i="57" s="1"/>
  <c r="U234" i="57"/>
  <c r="E216" i="57"/>
  <c r="H216" i="57" s="1"/>
  <c r="U218" i="57"/>
  <c r="X218" i="57" s="1"/>
  <c r="E194" i="57"/>
  <c r="H194" i="57" s="1"/>
  <c r="Q196" i="57"/>
  <c r="T196" i="57" s="1"/>
  <c r="Q168" i="57"/>
  <c r="T168" i="57" s="1"/>
  <c r="E160" i="57"/>
  <c r="I161" i="57"/>
  <c r="L161" i="57" s="1"/>
  <c r="I182" i="57"/>
  <c r="Q190" i="57"/>
  <c r="T190" i="57" s="1"/>
  <c r="U80" i="57"/>
  <c r="X80" i="57" s="1"/>
  <c r="U155" i="57"/>
  <c r="X155" i="57" s="1"/>
  <c r="I50" i="57"/>
  <c r="L50" i="57" s="1"/>
  <c r="U212" i="57"/>
  <c r="U122" i="57"/>
  <c r="X122" i="57" s="1"/>
  <c r="Q116" i="57"/>
  <c r="U50" i="57"/>
  <c r="Q113" i="57"/>
  <c r="T113" i="57" s="1"/>
  <c r="T124" i="57"/>
  <c r="Q146" i="57"/>
  <c r="T146" i="57" s="1"/>
  <c r="U141" i="57"/>
  <c r="X141" i="57" s="1"/>
  <c r="Q171" i="57"/>
  <c r="E172" i="57"/>
  <c r="U58" i="57"/>
  <c r="X58" i="57" s="1"/>
  <c r="Q141" i="57"/>
  <c r="T141" i="57" s="1"/>
  <c r="Q174" i="57"/>
  <c r="U56" i="57"/>
  <c r="X56" i="57" s="1"/>
  <c r="Q58" i="57"/>
  <c r="T58" i="57" s="1"/>
  <c r="U204" i="57"/>
  <c r="I204" i="57"/>
  <c r="L204" i="57" s="1"/>
  <c r="E116" i="57"/>
  <c r="U179" i="57"/>
  <c r="X179" i="57" s="1"/>
  <c r="X20" i="57"/>
  <c r="U265" i="57"/>
  <c r="X265" i="57" s="1"/>
  <c r="I84" i="57"/>
  <c r="L84" i="57" s="1"/>
  <c r="E105" i="57"/>
  <c r="I260" i="57"/>
  <c r="L260" i="57" s="1"/>
  <c r="Q86" i="57"/>
  <c r="T86" i="57" s="1"/>
  <c r="U267" i="57"/>
  <c r="X267" i="57" s="1"/>
  <c r="E83" i="57"/>
  <c r="Q108" i="57"/>
  <c r="T108" i="57" s="1"/>
  <c r="Q259" i="57"/>
  <c r="U262" i="57"/>
  <c r="X262" i="57" s="1"/>
  <c r="E84" i="57"/>
  <c r="H84" i="57" s="1"/>
  <c r="U91" i="57"/>
  <c r="X91" i="57" s="1"/>
  <c r="U111" i="57"/>
  <c r="X111" i="57" s="1"/>
  <c r="U113" i="57"/>
  <c r="X113" i="57" s="1"/>
  <c r="Q267" i="57"/>
  <c r="T267" i="57" s="1"/>
  <c r="U89" i="57"/>
  <c r="X89" i="57" s="1"/>
  <c r="Q262" i="57"/>
  <c r="T262" i="57" s="1"/>
  <c r="E260" i="57"/>
  <c r="U86" i="57"/>
  <c r="X86" i="57" s="1"/>
  <c r="Q91" i="57"/>
  <c r="T91" i="57" s="1"/>
  <c r="I106" i="57"/>
  <c r="L106" i="57" s="1"/>
  <c r="E106" i="57"/>
  <c r="H106" i="57" s="1"/>
  <c r="U105" i="57"/>
  <c r="U259" i="57"/>
  <c r="X259" i="57" s="1"/>
  <c r="E259" i="57"/>
  <c r="U83" i="57"/>
  <c r="Q83" i="57"/>
  <c r="U108" i="57"/>
  <c r="X108" i="57" s="1"/>
  <c r="I105" i="57"/>
  <c r="L28" i="57"/>
  <c r="T102" i="57"/>
  <c r="L259" i="57"/>
  <c r="T245" i="57"/>
  <c r="I95" i="57"/>
  <c r="L95" i="57" s="1"/>
  <c r="Q97" i="57"/>
  <c r="T97" i="57" s="1"/>
  <c r="E95" i="57"/>
  <c r="H95" i="57" s="1"/>
  <c r="E94" i="57"/>
  <c r="U94" i="57"/>
  <c r="X94" i="57" s="1"/>
  <c r="X61" i="57"/>
  <c r="U146" i="57"/>
  <c r="X146" i="57" s="1"/>
  <c r="I139" i="57"/>
  <c r="L139" i="57" s="1"/>
  <c r="E138" i="57"/>
  <c r="E139" i="57"/>
  <c r="U144" i="57"/>
  <c r="X144" i="57" s="1"/>
  <c r="L83" i="57"/>
  <c r="I171" i="57"/>
  <c r="U177" i="57"/>
  <c r="X177" i="57" s="1"/>
  <c r="Q179" i="57"/>
  <c r="U171" i="57"/>
  <c r="Q53" i="57"/>
  <c r="T53" i="57" s="1"/>
  <c r="E51" i="57"/>
  <c r="H51" i="57" s="1"/>
  <c r="E50" i="57"/>
  <c r="H50" i="57" s="1"/>
  <c r="U53" i="57"/>
  <c r="X53" i="57" s="1"/>
  <c r="X166" i="57"/>
  <c r="Q204" i="57"/>
  <c r="I205" i="57"/>
  <c r="L205" i="57" s="1"/>
  <c r="U207" i="57"/>
  <c r="X207" i="57" s="1"/>
  <c r="U210" i="57"/>
  <c r="X210" i="57" s="1"/>
  <c r="I29" i="57"/>
  <c r="L29" i="57" s="1"/>
  <c r="U36" i="57"/>
  <c r="Q31" i="57"/>
  <c r="T31" i="57" s="1"/>
  <c r="Q36" i="57"/>
  <c r="T36" i="57" s="1"/>
  <c r="I17" i="57"/>
  <c r="L17" i="57" s="1"/>
  <c r="U25" i="57"/>
  <c r="X25" i="57" s="1"/>
  <c r="U17" i="57"/>
  <c r="X17" i="57" s="1"/>
  <c r="Q25" i="57"/>
  <c r="I18" i="57"/>
  <c r="L18" i="57" s="1"/>
  <c r="I40" i="57"/>
  <c r="L40" i="57" s="1"/>
  <c r="U42" i="57"/>
  <c r="X42" i="57" s="1"/>
  <c r="Q42" i="57"/>
  <c r="T42" i="57" s="1"/>
  <c r="Q39" i="57"/>
  <c r="U116" i="59"/>
  <c r="U124" i="59"/>
  <c r="U119" i="59"/>
  <c r="X119" i="59" s="1"/>
  <c r="I117" i="59"/>
  <c r="L117" i="59" s="1"/>
  <c r="I116" i="59"/>
  <c r="L116" i="59" s="1"/>
  <c r="U122" i="59"/>
  <c r="X122" i="59" s="1"/>
  <c r="E117" i="59"/>
  <c r="H117" i="59" s="1"/>
  <c r="E116" i="59"/>
  <c r="I28" i="59"/>
  <c r="L28" i="59" s="1"/>
  <c r="I29" i="59"/>
  <c r="L29" i="59" s="1"/>
  <c r="U34" i="59"/>
  <c r="X34" i="59" s="1"/>
  <c r="E29" i="59"/>
  <c r="H29" i="59" s="1"/>
  <c r="U31" i="59"/>
  <c r="X31" i="59" s="1"/>
  <c r="U36" i="59"/>
  <c r="U28" i="59"/>
  <c r="E28" i="59"/>
  <c r="U199" i="59"/>
  <c r="X199" i="59" s="1"/>
  <c r="E194" i="59"/>
  <c r="H194" i="59" s="1"/>
  <c r="E193" i="59"/>
  <c r="I193" i="59"/>
  <c r="L193" i="59" s="1"/>
  <c r="U201" i="59"/>
  <c r="U196" i="59"/>
  <c r="X196" i="59" s="1"/>
  <c r="I194" i="59"/>
  <c r="L194" i="59" s="1"/>
  <c r="U193" i="59"/>
  <c r="U155" i="59"/>
  <c r="X155" i="59" s="1"/>
  <c r="E150" i="59"/>
  <c r="H150" i="59" s="1"/>
  <c r="E149" i="59"/>
  <c r="U149" i="59"/>
  <c r="U157" i="59"/>
  <c r="X157" i="59" s="1"/>
  <c r="U152" i="59"/>
  <c r="X152" i="59" s="1"/>
  <c r="I149" i="59"/>
  <c r="I150" i="59"/>
  <c r="L150" i="59" s="1"/>
  <c r="I95" i="59"/>
  <c r="L95" i="59" s="1"/>
  <c r="I94" i="59"/>
  <c r="L94" i="59" s="1"/>
  <c r="U100" i="59"/>
  <c r="X100" i="59" s="1"/>
  <c r="E95" i="59"/>
  <c r="H95" i="59" s="1"/>
  <c r="E94" i="59"/>
  <c r="U94" i="59"/>
  <c r="X94" i="59" s="1"/>
  <c r="U102" i="59"/>
  <c r="X102" i="59" s="1"/>
  <c r="U97" i="59"/>
  <c r="X97" i="59" s="1"/>
  <c r="Q509" i="59"/>
  <c r="T509" i="59" s="1"/>
  <c r="E501" i="59"/>
  <c r="Q501" i="59"/>
  <c r="U504" i="59"/>
  <c r="X504" i="59" s="1"/>
  <c r="U509" i="59"/>
  <c r="U501" i="59"/>
  <c r="Q504" i="59"/>
  <c r="T504" i="59" s="1"/>
  <c r="E502" i="59"/>
  <c r="U507" i="59"/>
  <c r="X507" i="59" s="1"/>
  <c r="I501" i="59"/>
  <c r="I502" i="59"/>
  <c r="L502" i="59" s="1"/>
  <c r="U226" i="59"/>
  <c r="U234" i="59"/>
  <c r="U229" i="59"/>
  <c r="X229" i="59" s="1"/>
  <c r="I227" i="59"/>
  <c r="L227" i="59" s="1"/>
  <c r="I226" i="59"/>
  <c r="U232" i="59"/>
  <c r="X232" i="59" s="1"/>
  <c r="E227" i="59"/>
  <c r="E226" i="59"/>
  <c r="U190" i="59"/>
  <c r="X190" i="59" s="1"/>
  <c r="I182" i="59"/>
  <c r="U188" i="59"/>
  <c r="X188" i="59" s="1"/>
  <c r="I183" i="59"/>
  <c r="L183" i="59" s="1"/>
  <c r="U182" i="59"/>
  <c r="U185" i="59"/>
  <c r="X185" i="59" s="1"/>
  <c r="E183" i="59"/>
  <c r="H183" i="59" s="1"/>
  <c r="E182" i="59"/>
  <c r="Q25" i="59"/>
  <c r="I18" i="59"/>
  <c r="L18" i="59" s="1"/>
  <c r="I17" i="59"/>
  <c r="L17" i="59" s="1"/>
  <c r="U23" i="59"/>
  <c r="X23" i="59" s="1"/>
  <c r="Q17" i="59"/>
  <c r="E18" i="59"/>
  <c r="Q20" i="59"/>
  <c r="T20" i="59" s="1"/>
  <c r="U17" i="59"/>
  <c r="X17" i="59" s="1"/>
  <c r="U25" i="59"/>
  <c r="X25" i="59" s="1"/>
  <c r="U20" i="59"/>
  <c r="X20" i="59" s="1"/>
  <c r="E17" i="59"/>
  <c r="T133" i="59"/>
  <c r="U6" i="59"/>
  <c r="X6" i="59" s="1"/>
  <c r="Q9" i="59"/>
  <c r="T9" i="59" s="1"/>
  <c r="E6" i="59"/>
  <c r="H6" i="59" s="1"/>
  <c r="E7" i="59"/>
  <c r="U12" i="59"/>
  <c r="X12" i="59" s="1"/>
  <c r="Q507" i="59"/>
  <c r="T507" i="59" s="1"/>
  <c r="I6" i="59"/>
  <c r="L6" i="59" s="1"/>
  <c r="I7" i="59"/>
  <c r="L7" i="59" s="1"/>
  <c r="Q14" i="59"/>
  <c r="T14" i="59" s="1"/>
  <c r="Q6" i="59"/>
  <c r="U9" i="59"/>
  <c r="X9" i="59" s="1"/>
  <c r="U14" i="59"/>
  <c r="X14" i="59" s="1"/>
  <c r="T23" i="59"/>
  <c r="U221" i="59"/>
  <c r="X221" i="59" s="1"/>
  <c r="E216" i="59"/>
  <c r="H216" i="59" s="1"/>
  <c r="E215" i="59"/>
  <c r="U215" i="59"/>
  <c r="U223" i="59"/>
  <c r="U218" i="59"/>
  <c r="X218" i="59" s="1"/>
  <c r="I216" i="59"/>
  <c r="L216" i="59" s="1"/>
  <c r="I215" i="59"/>
  <c r="U174" i="59"/>
  <c r="U177" i="59"/>
  <c r="X177" i="59" s="1"/>
  <c r="U171" i="59"/>
  <c r="E171" i="59"/>
  <c r="E172" i="59"/>
  <c r="U179" i="59"/>
  <c r="X179" i="59" s="1"/>
  <c r="I171" i="59"/>
  <c r="I172" i="59"/>
  <c r="L172" i="59" s="1"/>
  <c r="I73" i="59"/>
  <c r="L73" i="59" s="1"/>
  <c r="I72" i="59"/>
  <c r="L72" i="59" s="1"/>
  <c r="E73" i="59"/>
  <c r="H73" i="59" s="1"/>
  <c r="E72" i="59"/>
  <c r="U75" i="59"/>
  <c r="X75" i="59" s="1"/>
  <c r="U72" i="59"/>
  <c r="U80" i="59"/>
  <c r="X80" i="59" s="1"/>
  <c r="U78" i="59"/>
  <c r="X78" i="59" s="1"/>
  <c r="I51" i="59"/>
  <c r="L51" i="59" s="1"/>
  <c r="I50" i="59"/>
  <c r="L50" i="59" s="1"/>
  <c r="U53" i="59"/>
  <c r="X53" i="59" s="1"/>
  <c r="E51" i="59"/>
  <c r="H51" i="59" s="1"/>
  <c r="E50" i="59"/>
  <c r="H50" i="59" s="1"/>
  <c r="U50" i="59"/>
  <c r="U56" i="59"/>
  <c r="X56" i="59" s="1"/>
  <c r="U58" i="59"/>
  <c r="X58" i="59" s="1"/>
  <c r="U204" i="59"/>
  <c r="U212" i="59"/>
  <c r="U210" i="59"/>
  <c r="X210" i="59" s="1"/>
  <c r="I205" i="59"/>
  <c r="L205" i="59" s="1"/>
  <c r="I204" i="59"/>
  <c r="L204" i="59" s="1"/>
  <c r="E205" i="59"/>
  <c r="H205" i="59" s="1"/>
  <c r="E204" i="59"/>
  <c r="U207" i="59"/>
  <c r="X207" i="59" s="1"/>
  <c r="U168" i="59"/>
  <c r="X168" i="59" s="1"/>
  <c r="U163" i="59"/>
  <c r="X163" i="59" s="1"/>
  <c r="U160" i="59"/>
  <c r="E160" i="59"/>
  <c r="U166" i="59"/>
  <c r="X166" i="59" s="1"/>
  <c r="E161" i="59"/>
  <c r="H161" i="59" s="1"/>
  <c r="I161" i="59"/>
  <c r="L161" i="59" s="1"/>
  <c r="I160" i="59"/>
  <c r="U138" i="59"/>
  <c r="U146" i="59"/>
  <c r="X146" i="59" s="1"/>
  <c r="U144" i="59"/>
  <c r="X144" i="59" s="1"/>
  <c r="I139" i="59"/>
  <c r="L139" i="59" s="1"/>
  <c r="I138" i="59"/>
  <c r="L138" i="59" s="1"/>
  <c r="E139" i="59"/>
  <c r="E138" i="59"/>
  <c r="U141" i="59"/>
  <c r="X141" i="59" s="1"/>
  <c r="U113" i="59"/>
  <c r="X113" i="59" s="1"/>
  <c r="U105" i="59"/>
  <c r="E105" i="59"/>
  <c r="E106" i="59"/>
  <c r="H106" i="59" s="1"/>
  <c r="U111" i="59"/>
  <c r="X111" i="59" s="1"/>
  <c r="I105" i="59"/>
  <c r="I106" i="59"/>
  <c r="L106" i="59" s="1"/>
  <c r="U108" i="59"/>
  <c r="X108" i="59" s="1"/>
  <c r="U89" i="59"/>
  <c r="X89" i="59" s="1"/>
  <c r="E84" i="59"/>
  <c r="H84" i="59" s="1"/>
  <c r="E83" i="59"/>
  <c r="U83" i="59"/>
  <c r="U91" i="59"/>
  <c r="X91" i="59" s="1"/>
  <c r="U86" i="59"/>
  <c r="X86" i="59" s="1"/>
  <c r="I84" i="59"/>
  <c r="L84" i="59" s="1"/>
  <c r="I83" i="59"/>
  <c r="L83" i="59" s="1"/>
  <c r="I62" i="59"/>
  <c r="L62" i="59" s="1"/>
  <c r="U69" i="59"/>
  <c r="X69" i="59" s="1"/>
  <c r="U64" i="59"/>
  <c r="X64" i="59" s="1"/>
  <c r="I61" i="59"/>
  <c r="L61" i="59" s="1"/>
  <c r="U67" i="59"/>
  <c r="X67" i="59" s="1"/>
  <c r="E62" i="59"/>
  <c r="E61" i="59"/>
  <c r="H61" i="59" s="1"/>
  <c r="U61" i="59"/>
  <c r="X61" i="59" s="1"/>
  <c r="U47" i="59"/>
  <c r="X47" i="59" s="1"/>
  <c r="U42" i="59"/>
  <c r="X42" i="59" s="1"/>
  <c r="I39" i="59"/>
  <c r="L39" i="59" s="1"/>
  <c r="U45" i="59"/>
  <c r="X45" i="59" s="1"/>
  <c r="E40" i="59"/>
  <c r="H40" i="59" s="1"/>
  <c r="E39" i="59"/>
  <c r="U39" i="59"/>
  <c r="I40" i="59"/>
  <c r="L40" i="59" s="1"/>
  <c r="Z325" i="60" l="1"/>
  <c r="AC330" i="60" s="1"/>
  <c r="Z237" i="59"/>
  <c r="AC242" i="59" s="1"/>
  <c r="K31" i="59"/>
  <c r="L31" i="59" s="1"/>
  <c r="K372" i="59"/>
  <c r="L372" i="59" s="1"/>
  <c r="K416" i="59"/>
  <c r="L416" i="59" s="1"/>
  <c r="K427" i="59"/>
  <c r="L427" i="59" s="1"/>
  <c r="K42" i="59"/>
  <c r="L42" i="59" s="1"/>
  <c r="K339" i="59"/>
  <c r="L339" i="59" s="1"/>
  <c r="K306" i="59"/>
  <c r="L306" i="59" s="1"/>
  <c r="K350" i="59"/>
  <c r="L350" i="59" s="1"/>
  <c r="S490" i="59"/>
  <c r="T490" i="59" s="1"/>
  <c r="K438" i="59"/>
  <c r="L438" i="59" s="1"/>
  <c r="K196" i="59"/>
  <c r="L196" i="59" s="1"/>
  <c r="K317" i="59"/>
  <c r="L317" i="59" s="1"/>
  <c r="K361" i="59"/>
  <c r="L361" i="59" s="1"/>
  <c r="K405" i="59"/>
  <c r="L405" i="59" s="1"/>
  <c r="K449" i="59"/>
  <c r="L449" i="59" s="1"/>
  <c r="K493" i="59"/>
  <c r="L493" i="59" s="1"/>
  <c r="G28" i="59"/>
  <c r="H28" i="59" s="1"/>
  <c r="G182" i="59"/>
  <c r="H182" i="59" s="1"/>
  <c r="A50" i="26"/>
  <c r="G172" i="59"/>
  <c r="H172" i="59" s="1"/>
  <c r="W182" i="59"/>
  <c r="X182" i="59" s="1"/>
  <c r="W127" i="59"/>
  <c r="X127" i="59" s="1"/>
  <c r="W278" i="59"/>
  <c r="X278" i="59" s="1"/>
  <c r="K149" i="59"/>
  <c r="L149" i="59" s="1"/>
  <c r="S150" i="59"/>
  <c r="T150" i="59" s="1"/>
  <c r="G94" i="59"/>
  <c r="H94" i="59" s="1"/>
  <c r="W36" i="59"/>
  <c r="X36" i="59" s="1"/>
  <c r="G105" i="59"/>
  <c r="H105" i="59" s="1"/>
  <c r="W204" i="59"/>
  <c r="X204" i="59" s="1"/>
  <c r="S174" i="59"/>
  <c r="T174" i="59" s="1"/>
  <c r="P3" i="38"/>
  <c r="K262" i="57" l="1"/>
  <c r="K229" i="57"/>
  <c r="K218" i="57"/>
  <c r="K251" i="57"/>
  <c r="S336" i="59"/>
  <c r="T336" i="59" s="1"/>
  <c r="S380" i="59"/>
  <c r="T380" i="59" s="1"/>
  <c r="K328" i="59"/>
  <c r="L328" i="59" s="1"/>
  <c r="W443" i="59"/>
  <c r="X443" i="59" s="1"/>
  <c r="W369" i="59"/>
  <c r="X369" i="59" s="1"/>
  <c r="G281" i="59"/>
  <c r="H281" i="59" s="1"/>
  <c r="K152" i="59"/>
  <c r="L152" i="59" s="1"/>
  <c r="K383" i="59"/>
  <c r="L383" i="59" s="1"/>
  <c r="K273" i="59"/>
  <c r="L273" i="59" s="1"/>
  <c r="K295" i="59"/>
  <c r="L295" i="59" s="1"/>
  <c r="K20" i="59"/>
  <c r="L20" i="59" s="1"/>
  <c r="K229" i="59"/>
  <c r="L229" i="59" s="1"/>
  <c r="K218" i="59"/>
  <c r="L218" i="59" s="1"/>
  <c r="K284" i="59"/>
  <c r="L284" i="59" s="1"/>
  <c r="K504" i="59"/>
  <c r="L504" i="59" s="1"/>
  <c r="S424" i="59"/>
  <c r="T424" i="59" s="1"/>
  <c r="K160" i="59"/>
  <c r="L160" i="59" s="1"/>
  <c r="W39" i="59"/>
  <c r="X39" i="59" s="1"/>
  <c r="G413" i="59"/>
  <c r="H413" i="59" s="1"/>
  <c r="W50" i="59"/>
  <c r="X50" i="59" s="1"/>
  <c r="G490" i="59"/>
  <c r="H490" i="59" s="1"/>
  <c r="W435" i="59"/>
  <c r="X435" i="59" s="1"/>
  <c r="S403" i="59"/>
  <c r="T403" i="59" s="1"/>
  <c r="W410" i="59"/>
  <c r="X410" i="59" s="1"/>
  <c r="K394" i="59"/>
  <c r="L394" i="59" s="1"/>
  <c r="K380" i="59"/>
  <c r="L380" i="59" s="1"/>
  <c r="G314" i="59"/>
  <c r="H314" i="59" s="1"/>
  <c r="K141" i="59"/>
  <c r="L141" i="59" s="1"/>
  <c r="S304" i="59"/>
  <c r="T304" i="59" s="1"/>
  <c r="W281" i="59"/>
  <c r="X281" i="59" s="1"/>
  <c r="W501" i="59"/>
  <c r="X501" i="59" s="1"/>
  <c r="W289" i="59"/>
  <c r="X289" i="59" s="1"/>
  <c r="W509" i="59"/>
  <c r="X509" i="59" s="1"/>
  <c r="S358" i="59"/>
  <c r="T358" i="59" s="1"/>
  <c r="S337" i="59"/>
  <c r="T337" i="59" s="1"/>
  <c r="S370" i="59"/>
  <c r="T370" i="59" s="1"/>
  <c r="K163" i="59"/>
  <c r="L163" i="59" s="1"/>
  <c r="K174" i="59"/>
  <c r="L174" i="59" s="1"/>
  <c r="W116" i="59"/>
  <c r="X116" i="59" s="1"/>
  <c r="K347" i="59"/>
  <c r="L347" i="59" s="1"/>
  <c r="W336" i="59"/>
  <c r="X336" i="59" s="1"/>
  <c r="W303" i="59"/>
  <c r="X303" i="59" s="1"/>
  <c r="G292" i="59"/>
  <c r="H292" i="59" s="1"/>
  <c r="S282" i="59"/>
  <c r="T282" i="59" s="1"/>
  <c r="S502" i="59"/>
  <c r="T502" i="59" s="1"/>
  <c r="W226" i="59"/>
  <c r="X226" i="59" s="1"/>
  <c r="W234" i="59"/>
  <c r="X234" i="59" s="1"/>
  <c r="G171" i="59"/>
  <c r="H171" i="59" s="1"/>
  <c r="K130" i="59"/>
  <c r="L130" i="59" s="1"/>
  <c r="K86" i="59"/>
  <c r="L86" i="59" s="1"/>
  <c r="K9" i="59"/>
  <c r="L9" i="59" s="1"/>
  <c r="G435" i="59"/>
  <c r="H435" i="59" s="1"/>
  <c r="S292" i="59"/>
  <c r="T292" i="59" s="1"/>
  <c r="S435" i="59"/>
  <c r="T435" i="59" s="1"/>
  <c r="S391" i="59"/>
  <c r="T391" i="59" s="1"/>
  <c r="S281" i="59"/>
  <c r="T281" i="59" s="1"/>
  <c r="G39" i="59"/>
  <c r="H39" i="59" s="1"/>
  <c r="S223" i="59"/>
  <c r="T223" i="59" s="1"/>
  <c r="G270" i="59"/>
  <c r="K490" i="59"/>
  <c r="S270" i="59"/>
  <c r="T270" i="59" s="1"/>
  <c r="G369" i="59"/>
  <c r="G391" i="59"/>
  <c r="S216" i="59"/>
  <c r="T216" i="59" s="1"/>
  <c r="S325" i="59"/>
  <c r="K358" i="59"/>
  <c r="G303" i="59"/>
  <c r="W270" i="59"/>
  <c r="X270" i="59" s="1"/>
  <c r="K281" i="59"/>
  <c r="S413" i="59"/>
  <c r="S446" i="59"/>
  <c r="S314" i="59"/>
  <c r="S369" i="59"/>
  <c r="T369" i="59" s="1"/>
  <c r="K207" i="59"/>
  <c r="L207" i="59" s="1"/>
  <c r="S194" i="59"/>
  <c r="T194" i="59" s="1"/>
  <c r="S205" i="59"/>
  <c r="T205" i="59" s="1"/>
  <c r="S402" i="59"/>
  <c r="S347" i="59"/>
  <c r="T347" i="59" s="1"/>
  <c r="G347" i="59"/>
  <c r="K424" i="59"/>
  <c r="S303" i="59"/>
  <c r="T303" i="59" s="1"/>
  <c r="K501" i="59"/>
  <c r="L501" i="59" s="1"/>
  <c r="W135" i="59"/>
  <c r="X135" i="59" s="1"/>
  <c r="K105" i="59"/>
  <c r="L105" i="59" s="1"/>
  <c r="W193" i="59"/>
  <c r="X193" i="59" s="1"/>
  <c r="G502" i="59"/>
  <c r="H502" i="59" s="1"/>
  <c r="G402" i="57"/>
  <c r="K185" i="59"/>
  <c r="L185" i="59" s="1"/>
  <c r="G139" i="59"/>
  <c r="H139" i="59" s="1"/>
  <c r="S501" i="59"/>
  <c r="T501" i="59" s="1"/>
  <c r="G138" i="59"/>
  <c r="H138" i="59" s="1"/>
  <c r="G227" i="59"/>
  <c r="H227" i="59" s="1"/>
  <c r="W212" i="59"/>
  <c r="X212" i="59" s="1"/>
  <c r="W72" i="59"/>
  <c r="X72" i="59" s="1"/>
  <c r="W124" i="59"/>
  <c r="X124" i="59" s="1"/>
  <c r="W138" i="59"/>
  <c r="X138" i="59" s="1"/>
  <c r="K215" i="59"/>
  <c r="L215" i="59" s="1"/>
  <c r="G116" i="59"/>
  <c r="H116" i="59" s="1"/>
  <c r="G72" i="59"/>
  <c r="H72" i="59" s="1"/>
  <c r="G7" i="59"/>
  <c r="H7" i="59" s="1"/>
  <c r="G501" i="59"/>
  <c r="H501" i="59" s="1"/>
  <c r="G215" i="59"/>
  <c r="H215" i="59" s="1"/>
  <c r="S212" i="59"/>
  <c r="T212" i="59" s="1"/>
  <c r="G193" i="59"/>
  <c r="H193" i="59" s="1"/>
  <c r="K53" i="59"/>
  <c r="L53" i="59" s="1"/>
  <c r="A51" i="26"/>
  <c r="W160" i="59"/>
  <c r="X160" i="59" s="1"/>
  <c r="S157" i="59"/>
  <c r="T157" i="59" s="1"/>
  <c r="S105" i="59"/>
  <c r="T105" i="59" s="1"/>
  <c r="K97" i="59"/>
  <c r="L97" i="59" s="1"/>
  <c r="S36" i="59"/>
  <c r="T36" i="59" s="1"/>
  <c r="S413" i="57"/>
  <c r="T413" i="57" s="1"/>
  <c r="K325" i="57"/>
  <c r="L325" i="57" s="1"/>
  <c r="G17" i="59"/>
  <c r="H17" i="59" s="1"/>
  <c r="S380" i="57"/>
  <c r="T380" i="57" s="1"/>
  <c r="W149" i="59"/>
  <c r="X149" i="59" s="1"/>
  <c r="K226" i="59"/>
  <c r="L226" i="59" s="1"/>
  <c r="G83" i="59"/>
  <c r="H83" i="59" s="1"/>
  <c r="G62" i="59"/>
  <c r="H62" i="59" s="1"/>
  <c r="G18" i="59"/>
  <c r="H18" i="59" s="1"/>
  <c r="W174" i="57"/>
  <c r="X174" i="57" s="1"/>
  <c r="W174" i="59"/>
  <c r="X174" i="59" s="1"/>
  <c r="S179" i="57"/>
  <c r="S179" i="59"/>
  <c r="T179" i="59" s="1"/>
  <c r="S177" i="57"/>
  <c r="S177" i="59"/>
  <c r="T177" i="59" s="1"/>
  <c r="W215" i="59"/>
  <c r="X215" i="59" s="1"/>
  <c r="W105" i="59"/>
  <c r="X105" i="59" s="1"/>
  <c r="W223" i="59"/>
  <c r="X223" i="59" s="1"/>
  <c r="W171" i="59"/>
  <c r="X171" i="59" s="1"/>
  <c r="S149" i="59"/>
  <c r="T149" i="59" s="1"/>
  <c r="G127" i="59"/>
  <c r="H127" i="59" s="1"/>
  <c r="K108" i="59"/>
  <c r="L108" i="59" s="1"/>
  <c r="S72" i="59"/>
  <c r="T72" i="59" s="1"/>
  <c r="S50" i="59"/>
  <c r="T50" i="59" s="1"/>
  <c r="S28" i="59"/>
  <c r="T28" i="59" s="1"/>
  <c r="S215" i="59"/>
  <c r="S204" i="59"/>
  <c r="T204" i="59" s="1"/>
  <c r="S174" i="57"/>
  <c r="T174" i="57" s="1"/>
  <c r="S171" i="59"/>
  <c r="T171" i="59" s="1"/>
  <c r="G149" i="59"/>
  <c r="H149" i="59" s="1"/>
  <c r="S127" i="59"/>
  <c r="T127" i="59" s="1"/>
  <c r="K75" i="59"/>
  <c r="L75" i="59" s="1"/>
  <c r="S25" i="59"/>
  <c r="T25" i="59" s="1"/>
  <c r="S6" i="59"/>
  <c r="K182" i="59"/>
  <c r="L182" i="59" s="1"/>
  <c r="S160" i="59"/>
  <c r="T160" i="59" s="1"/>
  <c r="S83" i="59"/>
  <c r="T83" i="59" s="1"/>
  <c r="W28" i="59"/>
  <c r="X28" i="59" s="1"/>
  <c r="W201" i="59"/>
  <c r="X201" i="59" s="1"/>
  <c r="S138" i="59"/>
  <c r="T138" i="59" s="1"/>
  <c r="S116" i="59"/>
  <c r="T116" i="59" s="1"/>
  <c r="G226" i="59"/>
  <c r="H226" i="59" s="1"/>
  <c r="S47" i="59"/>
  <c r="T47" i="59" s="1"/>
  <c r="G204" i="59"/>
  <c r="H204" i="59" s="1"/>
  <c r="S226" i="59"/>
  <c r="T226" i="59" s="1"/>
  <c r="S182" i="59"/>
  <c r="T182" i="59" s="1"/>
  <c r="G160" i="59"/>
  <c r="H160" i="59" s="1"/>
  <c r="K64" i="59"/>
  <c r="L64" i="59" s="1"/>
  <c r="S17" i="59"/>
  <c r="T17" i="59" s="1"/>
  <c r="S94" i="59"/>
  <c r="T94" i="59" s="1"/>
  <c r="S193" i="59"/>
  <c r="T193" i="59" s="1"/>
  <c r="K171" i="59"/>
  <c r="L171" i="59" s="1"/>
  <c r="K119" i="59"/>
  <c r="L119" i="59" s="1"/>
  <c r="W83" i="59"/>
  <c r="X83" i="59" s="1"/>
  <c r="S61" i="59"/>
  <c r="T61" i="59" s="1"/>
  <c r="S39" i="59"/>
  <c r="T39" i="59" s="1"/>
  <c r="K193" i="57"/>
  <c r="L193" i="57" s="1"/>
  <c r="K119" i="57"/>
  <c r="W212" i="57"/>
  <c r="X212" i="57" s="1"/>
  <c r="L218" i="57" l="1"/>
  <c r="T179" i="57"/>
  <c r="L229" i="57"/>
  <c r="H402" i="57"/>
  <c r="L262" i="57"/>
  <c r="L119" i="57"/>
  <c r="L251" i="57"/>
  <c r="Z292" i="59"/>
  <c r="AC297" i="59" s="1"/>
  <c r="G336" i="57"/>
  <c r="K42" i="57"/>
  <c r="K361" i="57"/>
  <c r="S370" i="57"/>
  <c r="K174" i="57"/>
  <c r="W336" i="57"/>
  <c r="X336" i="57" s="1"/>
  <c r="W410" i="57"/>
  <c r="K20" i="57"/>
  <c r="K240" i="57"/>
  <c r="K152" i="57"/>
  <c r="K31" i="57"/>
  <c r="W377" i="57"/>
  <c r="W402" i="57"/>
  <c r="X402" i="57" s="1"/>
  <c r="S271" i="57"/>
  <c r="Y380" i="59"/>
  <c r="AC386" i="59" s="1"/>
  <c r="W50" i="57"/>
  <c r="X50" i="57" s="1"/>
  <c r="K284" i="57"/>
  <c r="K306" i="57"/>
  <c r="K328" i="57"/>
  <c r="K405" i="57"/>
  <c r="K394" i="57"/>
  <c r="K273" i="57"/>
  <c r="K295" i="57"/>
  <c r="K317" i="57"/>
  <c r="K339" i="57"/>
  <c r="K383" i="57"/>
  <c r="K889" i="57"/>
  <c r="K416" i="57"/>
  <c r="K372" i="57"/>
  <c r="Z380" i="59"/>
  <c r="AC385" i="59" s="1"/>
  <c r="K347" i="57"/>
  <c r="L347" i="57" s="1"/>
  <c r="K141" i="57"/>
  <c r="Z336" i="59"/>
  <c r="AC341" i="59" s="1"/>
  <c r="Y292" i="59"/>
  <c r="AC298" i="59" s="1"/>
  <c r="S61" i="57"/>
  <c r="G281" i="57"/>
  <c r="W248" i="57"/>
  <c r="X248" i="57" s="1"/>
  <c r="W256" i="57"/>
  <c r="S304" i="57"/>
  <c r="S337" i="57"/>
  <c r="G182" i="57"/>
  <c r="K314" i="57"/>
  <c r="L314" i="57" s="1"/>
  <c r="W303" i="57"/>
  <c r="X303" i="57" s="1"/>
  <c r="Y336" i="59"/>
  <c r="AC342" i="59" s="1"/>
  <c r="G259" i="57"/>
  <c r="W270" i="57"/>
  <c r="X270" i="57" s="1"/>
  <c r="W226" i="57"/>
  <c r="X226" i="57" s="1"/>
  <c r="S249" i="57"/>
  <c r="T249" i="57" s="1"/>
  <c r="W234" i="57"/>
  <c r="K163" i="57"/>
  <c r="K149" i="57"/>
  <c r="L149" i="57" s="1"/>
  <c r="K130" i="57"/>
  <c r="K86" i="57"/>
  <c r="G28" i="57"/>
  <c r="Z435" i="59"/>
  <c r="AC440" i="59" s="1"/>
  <c r="Y435" i="59"/>
  <c r="AC441" i="59" s="1"/>
  <c r="S402" i="57"/>
  <c r="T402" i="57" s="1"/>
  <c r="W127" i="57"/>
  <c r="X127" i="57" s="1"/>
  <c r="W182" i="57"/>
  <c r="X182" i="57" s="1"/>
  <c r="S259" i="57"/>
  <c r="T259" i="57" s="1"/>
  <c r="G160" i="57"/>
  <c r="W28" i="57"/>
  <c r="X28" i="57" s="1"/>
  <c r="X36" i="57"/>
  <c r="Y347" i="59"/>
  <c r="AC353" i="59" s="1"/>
  <c r="H347" i="59"/>
  <c r="Z347" i="59" s="1"/>
  <c r="AC352" i="59" s="1"/>
  <c r="Y402" i="59"/>
  <c r="AC408" i="59" s="1"/>
  <c r="T402" i="59"/>
  <c r="Z402" i="59" s="1"/>
  <c r="Y446" i="59"/>
  <c r="AC452" i="59" s="1"/>
  <c r="T446" i="59"/>
  <c r="Z446" i="59" s="1"/>
  <c r="AC451" i="59" s="1"/>
  <c r="Y281" i="59"/>
  <c r="AC287" i="59" s="1"/>
  <c r="L281" i="59"/>
  <c r="Z281" i="59" s="1"/>
  <c r="AC286" i="59" s="1"/>
  <c r="Y303" i="59"/>
  <c r="AC309" i="59" s="1"/>
  <c r="H303" i="59"/>
  <c r="Z303" i="59" s="1"/>
  <c r="AC308" i="59" s="1"/>
  <c r="Y358" i="59"/>
  <c r="AC364" i="59" s="1"/>
  <c r="L358" i="59"/>
  <c r="Z358" i="59" s="1"/>
  <c r="AC363" i="59" s="1"/>
  <c r="Y369" i="59"/>
  <c r="AC375" i="59" s="1"/>
  <c r="H369" i="59"/>
  <c r="Z369" i="59" s="1"/>
  <c r="AC374" i="59" s="1"/>
  <c r="Y490" i="59"/>
  <c r="AC496" i="59" s="1"/>
  <c r="L490" i="59"/>
  <c r="Z490" i="59" s="1"/>
  <c r="AC495" i="59" s="1"/>
  <c r="Y270" i="59"/>
  <c r="AC276" i="59" s="1"/>
  <c r="H270" i="59"/>
  <c r="Z270" i="59" s="1"/>
  <c r="AC275" i="59" s="1"/>
  <c r="Y424" i="59"/>
  <c r="AC430" i="59" s="1"/>
  <c r="L424" i="59"/>
  <c r="Z424" i="59" s="1"/>
  <c r="Y314" i="59"/>
  <c r="AC320" i="59" s="1"/>
  <c r="T314" i="59"/>
  <c r="Z314" i="59" s="1"/>
  <c r="AC319" i="59" s="1"/>
  <c r="Y413" i="59"/>
  <c r="AC419" i="59" s="1"/>
  <c r="T413" i="59"/>
  <c r="Z413" i="59" s="1"/>
  <c r="Y325" i="59"/>
  <c r="AC331" i="59" s="1"/>
  <c r="T325" i="59"/>
  <c r="Z325" i="59" s="1"/>
  <c r="AC330" i="59" s="1"/>
  <c r="Y391" i="59"/>
  <c r="AC397" i="59" s="1"/>
  <c r="H391" i="59"/>
  <c r="Z391" i="59" s="1"/>
  <c r="AC396" i="59" s="1"/>
  <c r="G358" i="57"/>
  <c r="K391" i="57"/>
  <c r="G270" i="57"/>
  <c r="G380" i="57"/>
  <c r="G347" i="57"/>
  <c r="G325" i="57"/>
  <c r="K402" i="57"/>
  <c r="S336" i="57"/>
  <c r="G171" i="57"/>
  <c r="K358" i="57"/>
  <c r="G314" i="57"/>
  <c r="S391" i="57"/>
  <c r="S281" i="57"/>
  <c r="S358" i="57"/>
  <c r="T358" i="57" s="1"/>
  <c r="G204" i="57"/>
  <c r="S270" i="57"/>
  <c r="S369" i="57"/>
  <c r="G413" i="57"/>
  <c r="S314" i="57"/>
  <c r="T314" i="57" s="1"/>
  <c r="K248" i="57"/>
  <c r="L248" i="57" s="1"/>
  <c r="S216" i="57"/>
  <c r="S223" i="57"/>
  <c r="K207" i="57"/>
  <c r="S194" i="57"/>
  <c r="W135" i="57"/>
  <c r="S150" i="57"/>
  <c r="K185" i="57"/>
  <c r="S248" i="57"/>
  <c r="T248" i="57" s="1"/>
  <c r="W193" i="57"/>
  <c r="X193" i="57" s="1"/>
  <c r="Z138" i="59"/>
  <c r="AC143" i="59" s="1"/>
  <c r="W124" i="57"/>
  <c r="W204" i="57"/>
  <c r="X204" i="57" s="1"/>
  <c r="K160" i="57"/>
  <c r="L160" i="57" s="1"/>
  <c r="W160" i="57"/>
  <c r="X160" i="57" s="1"/>
  <c r="W138" i="57"/>
  <c r="X138" i="57" s="1"/>
  <c r="K105" i="57"/>
  <c r="L105" i="57" s="1"/>
  <c r="G39" i="57"/>
  <c r="Z501" i="59"/>
  <c r="AC506" i="59" s="1"/>
  <c r="G248" i="57"/>
  <c r="Y501" i="59"/>
  <c r="AC507" i="59" s="1"/>
  <c r="S212" i="57"/>
  <c r="G94" i="57"/>
  <c r="K53" i="57"/>
  <c r="A52" i="26"/>
  <c r="G249" i="57"/>
  <c r="G238" i="57"/>
  <c r="G227" i="57"/>
  <c r="G260" i="57"/>
  <c r="K215" i="57"/>
  <c r="L215" i="57" s="1"/>
  <c r="G193" i="57"/>
  <c r="G172" i="57"/>
  <c r="S157" i="57"/>
  <c r="G139" i="57"/>
  <c r="G116" i="57"/>
  <c r="G105" i="57"/>
  <c r="K97" i="57"/>
  <c r="G72" i="57"/>
  <c r="W72" i="57"/>
  <c r="X72" i="57" s="1"/>
  <c r="S105" i="57"/>
  <c r="T105" i="57" s="1"/>
  <c r="AL34" i="66"/>
  <c r="G17" i="57"/>
  <c r="W105" i="57"/>
  <c r="X105" i="57" s="1"/>
  <c r="S28" i="57"/>
  <c r="W83" i="57"/>
  <c r="X83" i="57" s="1"/>
  <c r="K75" i="57"/>
  <c r="K182" i="57"/>
  <c r="L182" i="57" s="1"/>
  <c r="K171" i="57"/>
  <c r="L171" i="57" s="1"/>
  <c r="W223" i="57"/>
  <c r="X223" i="57" s="1"/>
  <c r="S47" i="57"/>
  <c r="W201" i="57"/>
  <c r="S171" i="57"/>
  <c r="T171" i="57" s="1"/>
  <c r="G149" i="57"/>
  <c r="S160" i="57"/>
  <c r="T160" i="57" s="1"/>
  <c r="G226" i="57"/>
  <c r="W171" i="57"/>
  <c r="X171" i="57" s="1"/>
  <c r="S72" i="57"/>
  <c r="T72" i="57" s="1"/>
  <c r="S127" i="57"/>
  <c r="T127" i="57" s="1"/>
  <c r="S94" i="57"/>
  <c r="S226" i="57"/>
  <c r="T226" i="57" s="1"/>
  <c r="K108" i="57"/>
  <c r="K64" i="57"/>
  <c r="AL34" i="62"/>
  <c r="S50" i="57"/>
  <c r="S193" i="57"/>
  <c r="T193" i="57" s="1"/>
  <c r="G237" i="57"/>
  <c r="G127" i="57"/>
  <c r="W149" i="57"/>
  <c r="X149" i="57" s="1"/>
  <c r="AL34" i="63"/>
  <c r="AL38" i="64"/>
  <c r="G18" i="57"/>
  <c r="K226" i="57"/>
  <c r="L226" i="57" s="1"/>
  <c r="Y105" i="59"/>
  <c r="AC111" i="59" s="1"/>
  <c r="T215" i="59"/>
  <c r="Y215" i="59"/>
  <c r="AC221" i="59" s="1"/>
  <c r="Y171" i="59"/>
  <c r="AC177" i="59" s="1"/>
  <c r="Y6" i="59"/>
  <c r="AC12" i="59" s="1"/>
  <c r="T6" i="59"/>
  <c r="Z6" i="59" s="1"/>
  <c r="Y204" i="59"/>
  <c r="AC210" i="59" s="1"/>
  <c r="Y138" i="59"/>
  <c r="AC144" i="59" s="1"/>
  <c r="Z105" i="59"/>
  <c r="AC110" i="59" s="1"/>
  <c r="Z171" i="59"/>
  <c r="AC176" i="59" s="1"/>
  <c r="Z204" i="59"/>
  <c r="Y39" i="59"/>
  <c r="AC45" i="59" s="1"/>
  <c r="Z39" i="59"/>
  <c r="AC44" i="59" s="1"/>
  <c r="Y193" i="59"/>
  <c r="AC199" i="59" s="1"/>
  <c r="Z193" i="59"/>
  <c r="AC198" i="59" s="1"/>
  <c r="Y17" i="59"/>
  <c r="AC23" i="59" s="1"/>
  <c r="Z17" i="59"/>
  <c r="Y160" i="59"/>
  <c r="AC166" i="59" s="1"/>
  <c r="Z160" i="59"/>
  <c r="AC165" i="59" s="1"/>
  <c r="Z72" i="59"/>
  <c r="AC77" i="59" s="1"/>
  <c r="Y72" i="59"/>
  <c r="AC78" i="59" s="1"/>
  <c r="Y149" i="59"/>
  <c r="AC155" i="59" s="1"/>
  <c r="Z149" i="59"/>
  <c r="AC154" i="59" s="1"/>
  <c r="Y50" i="59"/>
  <c r="AC56" i="59" s="1"/>
  <c r="Z50" i="59"/>
  <c r="AC55" i="59" s="1"/>
  <c r="Y127" i="59"/>
  <c r="AC133" i="59" s="1"/>
  <c r="Z127" i="59"/>
  <c r="AC132" i="59" s="1"/>
  <c r="Z116" i="59"/>
  <c r="AC121" i="59" s="1"/>
  <c r="Y116" i="59"/>
  <c r="AC122" i="59" s="1"/>
  <c r="Y94" i="59"/>
  <c r="AC100" i="59" s="1"/>
  <c r="Z94" i="59"/>
  <c r="AC99" i="59" s="1"/>
  <c r="Z61" i="59"/>
  <c r="Y61" i="59"/>
  <c r="AC67" i="59" s="1"/>
  <c r="Y226" i="59"/>
  <c r="AC232" i="59" s="1"/>
  <c r="Z226" i="59"/>
  <c r="AC231" i="59" s="1"/>
  <c r="Y83" i="59"/>
  <c r="AC89" i="59" s="1"/>
  <c r="Z83" i="59"/>
  <c r="AC88" i="59" s="1"/>
  <c r="Y182" i="59"/>
  <c r="AC188" i="59" s="1"/>
  <c r="Z182" i="59"/>
  <c r="AC187" i="59" s="1"/>
  <c r="Y28" i="59"/>
  <c r="AC34" i="59" s="1"/>
  <c r="Z28" i="59"/>
  <c r="AC33" i="59" s="1"/>
  <c r="Q3" i="40"/>
  <c r="P3" i="25"/>
  <c r="O7" i="38"/>
  <c r="S127" i="60"/>
  <c r="T127" i="60" s="1"/>
  <c r="S204" i="60"/>
  <c r="T204" i="60" s="1"/>
  <c r="S358" i="60"/>
  <c r="T358" i="60" s="1"/>
  <c r="W303" i="60"/>
  <c r="X303" i="60" s="1"/>
  <c r="W402" i="60"/>
  <c r="K97" i="60"/>
  <c r="L97" i="60" s="1"/>
  <c r="S28" i="60"/>
  <c r="G281" i="60"/>
  <c r="H281" i="60" s="1"/>
  <c r="U11" i="57"/>
  <c r="Q11" i="57"/>
  <c r="U8" i="57"/>
  <c r="Q16" i="57"/>
  <c r="Q15" i="57"/>
  <c r="I10" i="57"/>
  <c r="I9" i="57"/>
  <c r="U7" i="57"/>
  <c r="Y248" i="57" l="1"/>
  <c r="AC253" i="57" s="1"/>
  <c r="Y281" i="57"/>
  <c r="AC286" i="57" s="1"/>
  <c r="Y270" i="57"/>
  <c r="AC275" i="57" s="1"/>
  <c r="Y226" i="57"/>
  <c r="AC231" i="57" s="1"/>
  <c r="Y259" i="57"/>
  <c r="AC264" i="57" s="1"/>
  <c r="Y798" i="59"/>
  <c r="AZ1" i="9" s="1"/>
  <c r="AY3" i="9" s="1"/>
  <c r="T25" i="57"/>
  <c r="H105" i="57"/>
  <c r="H172" i="57"/>
  <c r="H227" i="57"/>
  <c r="H39" i="57"/>
  <c r="L185" i="57"/>
  <c r="X135" i="57"/>
  <c r="T216" i="57"/>
  <c r="H171" i="57"/>
  <c r="L391" i="57"/>
  <c r="H160" i="57"/>
  <c r="L86" i="57"/>
  <c r="X234" i="57"/>
  <c r="H259" i="57"/>
  <c r="H182" i="57"/>
  <c r="X256" i="57"/>
  <c r="L383" i="57"/>
  <c r="L273" i="57"/>
  <c r="L328" i="57"/>
  <c r="L240" i="57"/>
  <c r="L174" i="57"/>
  <c r="H336" i="57"/>
  <c r="H237" i="57"/>
  <c r="L64" i="57"/>
  <c r="X201" i="57"/>
  <c r="L75" i="57"/>
  <c r="H17" i="57"/>
  <c r="H116" i="57"/>
  <c r="H193" i="57"/>
  <c r="H238" i="57"/>
  <c r="L53" i="57"/>
  <c r="T194" i="57"/>
  <c r="H204" i="57"/>
  <c r="H358" i="57"/>
  <c r="L130" i="57"/>
  <c r="L372" i="57"/>
  <c r="L339" i="57"/>
  <c r="L306" i="57"/>
  <c r="X377" i="57"/>
  <c r="L20" i="57"/>
  <c r="T370" i="57"/>
  <c r="H226" i="57"/>
  <c r="T47" i="57"/>
  <c r="H72" i="57"/>
  <c r="H139" i="57"/>
  <c r="H94" i="57"/>
  <c r="H248" i="57"/>
  <c r="X124" i="57"/>
  <c r="L207" i="57"/>
  <c r="T337" i="57"/>
  <c r="H281" i="57"/>
  <c r="L141" i="57"/>
  <c r="L416" i="57"/>
  <c r="L317" i="57"/>
  <c r="L394" i="57"/>
  <c r="L284" i="57"/>
  <c r="L31" i="57"/>
  <c r="X410" i="57"/>
  <c r="L361" i="57"/>
  <c r="H62" i="57"/>
  <c r="H18" i="57"/>
  <c r="H149" i="57"/>
  <c r="L97" i="57"/>
  <c r="T157" i="57"/>
  <c r="H260" i="57"/>
  <c r="T212" i="57"/>
  <c r="T150" i="57"/>
  <c r="T223" i="57"/>
  <c r="H270" i="57"/>
  <c r="H28" i="57"/>
  <c r="L163" i="57"/>
  <c r="T304" i="57"/>
  <c r="T61" i="57"/>
  <c r="L295" i="57"/>
  <c r="L405" i="57"/>
  <c r="T271" i="57"/>
  <c r="L152" i="57"/>
  <c r="L42" i="57"/>
  <c r="L889" i="57"/>
  <c r="Y886" i="57"/>
  <c r="AC891" i="57" s="1"/>
  <c r="T28" i="60"/>
  <c r="Y28" i="60"/>
  <c r="AC33" i="60" s="1"/>
  <c r="W336" i="60"/>
  <c r="X336" i="60" s="1"/>
  <c r="Y358" i="60"/>
  <c r="AC363" i="60" s="1"/>
  <c r="S171" i="60"/>
  <c r="T171" i="60" s="1"/>
  <c r="G380" i="60"/>
  <c r="Y402" i="60"/>
  <c r="AC407" i="60" s="1"/>
  <c r="X402" i="60"/>
  <c r="S413" i="60"/>
  <c r="Y413" i="60" s="1"/>
  <c r="AC419" i="60" s="1"/>
  <c r="S116" i="60"/>
  <c r="T116" i="60" s="1"/>
  <c r="K9" i="60"/>
  <c r="L9" i="60" s="1"/>
  <c r="S149" i="60"/>
  <c r="T149" i="60" s="1"/>
  <c r="S281" i="60"/>
  <c r="T281" i="60" s="1"/>
  <c r="K75" i="60"/>
  <c r="L75" i="60" s="1"/>
  <c r="S17" i="60"/>
  <c r="S336" i="60"/>
  <c r="T336" i="60" s="1"/>
  <c r="S369" i="60"/>
  <c r="S270" i="60"/>
  <c r="K141" i="60"/>
  <c r="L141" i="60" s="1"/>
  <c r="S61" i="60"/>
  <c r="T61" i="60" s="1"/>
  <c r="S259" i="60"/>
  <c r="W116" i="60"/>
  <c r="W39" i="60"/>
  <c r="X39" i="60" s="1"/>
  <c r="S303" i="60"/>
  <c r="T303" i="60" s="1"/>
  <c r="S314" i="60"/>
  <c r="S105" i="60"/>
  <c r="T105" i="60" s="1"/>
  <c r="S215" i="60"/>
  <c r="Y347" i="60"/>
  <c r="AC353" i="60" s="1"/>
  <c r="Y248" i="60"/>
  <c r="AC253" i="60" s="1"/>
  <c r="Y413" i="57"/>
  <c r="AC418" i="57" s="1"/>
  <c r="H413" i="57"/>
  <c r="T369" i="57"/>
  <c r="Y369" i="57"/>
  <c r="AC374" i="57" s="1"/>
  <c r="Y391" i="57"/>
  <c r="AC396" i="57" s="1"/>
  <c r="T391" i="57"/>
  <c r="L402" i="57"/>
  <c r="Y402" i="57"/>
  <c r="AC407" i="57" s="1"/>
  <c r="H325" i="57"/>
  <c r="H347" i="57"/>
  <c r="H380" i="57"/>
  <c r="Y380" i="57"/>
  <c r="AC385" i="57" s="1"/>
  <c r="T270" i="57"/>
  <c r="T281" i="57"/>
  <c r="H314" i="57"/>
  <c r="Y314" i="57"/>
  <c r="AC319" i="57" s="1"/>
  <c r="L358" i="57"/>
  <c r="Y358" i="57"/>
  <c r="AC363" i="57" s="1"/>
  <c r="T336" i="57"/>
  <c r="Y336" i="57"/>
  <c r="AC341" i="57" s="1"/>
  <c r="S435" i="60"/>
  <c r="Y435" i="60" s="1"/>
  <c r="AC441" i="60" s="1"/>
  <c r="Y50" i="57"/>
  <c r="AC55" i="57" s="1"/>
  <c r="Y94" i="57"/>
  <c r="AC99" i="57" s="1"/>
  <c r="Y127" i="60"/>
  <c r="AC133" i="60" s="1"/>
  <c r="A53" i="26"/>
  <c r="H249" i="57"/>
  <c r="Y28" i="57"/>
  <c r="Y105" i="57"/>
  <c r="AC110" i="57" s="1"/>
  <c r="T28" i="57"/>
  <c r="Y72" i="57"/>
  <c r="AC77" i="57" s="1"/>
  <c r="Y160" i="57"/>
  <c r="AC165" i="57" s="1"/>
  <c r="Y171" i="57"/>
  <c r="AC176" i="57" s="1"/>
  <c r="L108" i="57"/>
  <c r="Y127" i="57"/>
  <c r="AC132" i="57" s="1"/>
  <c r="T50" i="57"/>
  <c r="T94" i="57"/>
  <c r="H127" i="57"/>
  <c r="Y61" i="57"/>
  <c r="S6" i="60"/>
  <c r="Y424" i="60"/>
  <c r="AC429" i="60" s="1"/>
  <c r="Z215" i="59"/>
  <c r="AC220" i="59" s="1"/>
  <c r="B6" i="57"/>
  <c r="K9" i="57" s="1"/>
  <c r="AR3" i="9"/>
  <c r="AP3" i="9" s="1"/>
  <c r="AC638" i="59" l="1"/>
  <c r="AY2" i="9"/>
  <c r="AC209" i="59"/>
  <c r="T633" i="60"/>
  <c r="T634" i="60"/>
  <c r="AC407" i="59"/>
  <c r="AC418" i="59"/>
  <c r="AC429" i="59"/>
  <c r="AC22" i="59"/>
  <c r="AC11" i="59"/>
  <c r="AC616" i="59"/>
  <c r="AC66" i="59"/>
  <c r="D8" i="68"/>
  <c r="AC66" i="57"/>
  <c r="Z798" i="59"/>
  <c r="AZ2" i="9" s="1"/>
  <c r="D5" i="68"/>
  <c r="AC33" i="57"/>
  <c r="B3" i="68"/>
  <c r="D6" i="57"/>
  <c r="C6" i="57"/>
  <c r="C3" i="68" s="1"/>
  <c r="T513" i="60"/>
  <c r="Z512" i="60" s="1"/>
  <c r="AC517" i="60" s="1"/>
  <c r="L504" i="60"/>
  <c r="Z501" i="60" s="1"/>
  <c r="AC505" i="60" s="1"/>
  <c r="T17" i="60"/>
  <c r="Y17" i="60"/>
  <c r="AC23" i="60" s="1"/>
  <c r="T215" i="60"/>
  <c r="Y215" i="60"/>
  <c r="AC221" i="60" s="1"/>
  <c r="AO3" i="9"/>
  <c r="T413" i="60"/>
  <c r="Y380" i="60"/>
  <c r="AC385" i="60" s="1"/>
  <c r="H380" i="60"/>
  <c r="Y281" i="60"/>
  <c r="AC287" i="60" s="1"/>
  <c r="Y149" i="60"/>
  <c r="AC155" i="60" s="1"/>
  <c r="Y138" i="60"/>
  <c r="AC143" i="60" s="1"/>
  <c r="Y336" i="60"/>
  <c r="AC341" i="60" s="1"/>
  <c r="Y369" i="60"/>
  <c r="AC375" i="60" s="1"/>
  <c r="T369" i="60"/>
  <c r="Z369" i="60" s="1"/>
  <c r="AC374" i="60" s="1"/>
  <c r="Y270" i="60"/>
  <c r="AC275" i="60" s="1"/>
  <c r="T270" i="60"/>
  <c r="Y259" i="60"/>
  <c r="AC265" i="60" s="1"/>
  <c r="T259" i="60"/>
  <c r="Y116" i="60"/>
  <c r="AC121" i="60" s="1"/>
  <c r="X116" i="60"/>
  <c r="Y303" i="60"/>
  <c r="AC309" i="60" s="1"/>
  <c r="Y314" i="60"/>
  <c r="AC319" i="60" s="1"/>
  <c r="T314" i="60"/>
  <c r="Y6" i="60"/>
  <c r="AC11" i="60" s="1"/>
  <c r="T6" i="60"/>
  <c r="Y94" i="60"/>
  <c r="AC99" i="60" s="1"/>
  <c r="Y160" i="60"/>
  <c r="AC165" i="60" s="1"/>
  <c r="Y72" i="60"/>
  <c r="AC77" i="60" s="1"/>
  <c r="Y50" i="60"/>
  <c r="AC55" i="60" s="1"/>
  <c r="Y39" i="60"/>
  <c r="AC45" i="60" s="1"/>
  <c r="Y193" i="60"/>
  <c r="AC199" i="60" s="1"/>
  <c r="Y226" i="60"/>
  <c r="AC231" i="60" s="1"/>
  <c r="A54" i="26"/>
  <c r="A55" i="26" s="1"/>
  <c r="A56" i="26" s="1"/>
  <c r="A57" i="26" s="1"/>
  <c r="A58" i="26" s="1"/>
  <c r="Y61" i="60"/>
  <c r="AC67" i="60" s="1"/>
  <c r="Y105" i="60"/>
  <c r="AC111" i="60" s="1"/>
  <c r="Y204" i="60"/>
  <c r="AC209" i="60" s="1"/>
  <c r="Y83" i="60"/>
  <c r="AC89" i="60" s="1"/>
  <c r="Y171" i="60"/>
  <c r="AC177" i="60" s="1"/>
  <c r="W14" i="57"/>
  <c r="S10" i="57"/>
  <c r="O6" i="57"/>
  <c r="P6" i="57" s="1"/>
  <c r="W13" i="57"/>
  <c r="X13" i="57" s="1"/>
  <c r="W12" i="57"/>
  <c r="S15" i="57"/>
  <c r="O7" i="57"/>
  <c r="P7" i="57" s="1"/>
  <c r="K10" i="57"/>
  <c r="S12" i="57"/>
  <c r="W16" i="57"/>
  <c r="X16" i="57" s="1"/>
  <c r="W8" i="57"/>
  <c r="X8" i="57" s="1"/>
  <c r="W15" i="57"/>
  <c r="X15" i="57" s="1"/>
  <c r="W10" i="57"/>
  <c r="X10" i="57" s="1"/>
  <c r="S13" i="57"/>
  <c r="S8" i="57"/>
  <c r="S16" i="57"/>
  <c r="S11" i="57"/>
  <c r="W9" i="57"/>
  <c r="S6" i="57"/>
  <c r="S9" i="57"/>
  <c r="S7" i="57"/>
  <c r="T7" i="57" s="1"/>
  <c r="W6" i="57"/>
  <c r="K6" i="57"/>
  <c r="G7" i="57"/>
  <c r="G6" i="57"/>
  <c r="W11" i="57"/>
  <c r="X11" i="57" s="1"/>
  <c r="S14" i="57"/>
  <c r="W7" i="57"/>
  <c r="X7" i="57" s="1"/>
  <c r="K7" i="57"/>
  <c r="AL34" i="25"/>
  <c r="AZ3" i="9" l="1"/>
  <c r="Z633" i="60"/>
  <c r="AC637" i="60" s="1"/>
  <c r="Q881" i="57"/>
  <c r="T881" i="57" s="1"/>
  <c r="Z875" i="57" s="1"/>
  <c r="AC879" i="57" s="1"/>
  <c r="Q870" i="57"/>
  <c r="T870" i="57" s="1"/>
  <c r="Z864" i="57" s="1"/>
  <c r="Q859" i="57"/>
  <c r="T859" i="57" s="1"/>
  <c r="Z853" i="57" s="1"/>
  <c r="Q837" i="57"/>
  <c r="T837" i="57" s="1"/>
  <c r="Z831" i="57" s="1"/>
  <c r="Q826" i="57"/>
  <c r="T826" i="57" s="1"/>
  <c r="Z820" i="57" s="1"/>
  <c r="Q804" i="57"/>
  <c r="T804" i="57" s="1"/>
  <c r="Z798" i="57" s="1"/>
  <c r="Q848" i="57"/>
  <c r="T848" i="57" s="1"/>
  <c r="Z842" i="57" s="1"/>
  <c r="Q760" i="57"/>
  <c r="T760" i="57" s="1"/>
  <c r="Z754" i="57" s="1"/>
  <c r="Y820" i="60"/>
  <c r="AT1" i="26" s="1"/>
  <c r="AS2" i="26" s="1"/>
  <c r="Q815" i="57"/>
  <c r="T815" i="57" s="1"/>
  <c r="Z809" i="57" s="1"/>
  <c r="Q793" i="57"/>
  <c r="T793" i="57" s="1"/>
  <c r="Z787" i="57" s="1"/>
  <c r="Q782" i="57"/>
  <c r="T782" i="57" s="1"/>
  <c r="Z776" i="57" s="1"/>
  <c r="Q771" i="57"/>
  <c r="T771" i="57" s="1"/>
  <c r="Z765" i="57" s="1"/>
  <c r="T16" i="57"/>
  <c r="L10" i="57"/>
  <c r="T8" i="57"/>
  <c r="T13" i="57"/>
  <c r="T15" i="57"/>
  <c r="L9" i="57"/>
  <c r="T11" i="57"/>
  <c r="Q738" i="57"/>
  <c r="T738" i="57" s="1"/>
  <c r="Z732" i="57" s="1"/>
  <c r="Q749" i="57"/>
  <c r="T749" i="57" s="1"/>
  <c r="Z743" i="57" s="1"/>
  <c r="Q705" i="57"/>
  <c r="T705" i="57" s="1"/>
  <c r="Q694" i="57"/>
  <c r="T694" i="57" s="1"/>
  <c r="Z688" i="57" s="1"/>
  <c r="Q727" i="57"/>
  <c r="T727" i="57" s="1"/>
  <c r="Q716" i="57"/>
  <c r="T716" i="57" s="1"/>
  <c r="Q672" i="57"/>
  <c r="T672" i="57" s="1"/>
  <c r="Q650" i="57"/>
  <c r="T650" i="57" s="1"/>
  <c r="Z644" i="57" s="1"/>
  <c r="Q661" i="57"/>
  <c r="T661" i="57" s="1"/>
  <c r="Z655" i="57" s="1"/>
  <c r="Q683" i="57"/>
  <c r="T683" i="57" s="1"/>
  <c r="Z677" i="57" s="1"/>
  <c r="Q628" i="57"/>
  <c r="T628" i="57" s="1"/>
  <c r="Q639" i="57"/>
  <c r="T639" i="57" s="1"/>
  <c r="Z633" i="57" s="1"/>
  <c r="Q606" i="57"/>
  <c r="T606" i="57" s="1"/>
  <c r="Q617" i="57"/>
  <c r="T617" i="57" s="1"/>
  <c r="Z611" i="57" s="1"/>
  <c r="Q584" i="57"/>
  <c r="T584" i="57" s="1"/>
  <c r="Q595" i="57"/>
  <c r="T595" i="57" s="1"/>
  <c r="Z589" i="57" s="1"/>
  <c r="Q562" i="57"/>
  <c r="T562" i="57" s="1"/>
  <c r="Z556" i="57" s="1"/>
  <c r="Q573" i="57"/>
  <c r="T573" i="57" s="1"/>
  <c r="Q540" i="57"/>
  <c r="T540" i="57" s="1"/>
  <c r="Q551" i="57"/>
  <c r="T551" i="57" s="1"/>
  <c r="Q518" i="57"/>
  <c r="T518" i="57" s="1"/>
  <c r="Q529" i="57"/>
  <c r="T529" i="57" s="1"/>
  <c r="Z523" i="57" s="1"/>
  <c r="Q496" i="57"/>
  <c r="T496" i="57" s="1"/>
  <c r="Q507" i="57"/>
  <c r="T507" i="57" s="1"/>
  <c r="Q474" i="57"/>
  <c r="T474" i="57" s="1"/>
  <c r="Z468" i="57" s="1"/>
  <c r="Q485" i="57"/>
  <c r="T485" i="57" s="1"/>
  <c r="Z479" i="57" s="1"/>
  <c r="Q452" i="57"/>
  <c r="T452" i="57" s="1"/>
  <c r="Q463" i="57"/>
  <c r="T463" i="57" s="1"/>
  <c r="Q430" i="57"/>
  <c r="T430" i="57" s="1"/>
  <c r="Z424" i="57" s="1"/>
  <c r="Q441" i="57"/>
  <c r="T441" i="57" s="1"/>
  <c r="Z435" i="57" s="1"/>
  <c r="Z292" i="60"/>
  <c r="AC296" i="60" s="1"/>
  <c r="H435" i="60"/>
  <c r="Q419" i="57"/>
  <c r="T419" i="57" s="1"/>
  <c r="Z413" i="57" s="1"/>
  <c r="Q408" i="57"/>
  <c r="T408" i="57" s="1"/>
  <c r="Z402" i="57" s="1"/>
  <c r="Q397" i="57"/>
  <c r="T397" i="57" s="1"/>
  <c r="Z391" i="57" s="1"/>
  <c r="Q386" i="57"/>
  <c r="T386" i="57" s="1"/>
  <c r="Z380" i="57" s="1"/>
  <c r="Q375" i="57"/>
  <c r="T375" i="57" s="1"/>
  <c r="Z369" i="57" s="1"/>
  <c r="Q364" i="57"/>
  <c r="T364" i="57" s="1"/>
  <c r="Z358" i="57" s="1"/>
  <c r="Q353" i="57"/>
  <c r="T353" i="57" s="1"/>
  <c r="Q342" i="57"/>
  <c r="T342" i="57" s="1"/>
  <c r="Z336" i="57" s="1"/>
  <c r="AC340" i="57" s="1"/>
  <c r="Q331" i="57"/>
  <c r="T331" i="57" s="1"/>
  <c r="Q309" i="57"/>
  <c r="T309" i="57" s="1"/>
  <c r="Q298" i="57"/>
  <c r="T298" i="57" s="1"/>
  <c r="Q320" i="57"/>
  <c r="T320" i="57" s="1"/>
  <c r="Z314" i="57" s="1"/>
  <c r="Q254" i="57"/>
  <c r="T254" i="57" s="1"/>
  <c r="Z248" i="57" s="1"/>
  <c r="Q287" i="57"/>
  <c r="T287" i="57" s="1"/>
  <c r="Z281" i="57" s="1"/>
  <c r="Q276" i="57"/>
  <c r="T276" i="57" s="1"/>
  <c r="Z270" i="57" s="1"/>
  <c r="AL38" i="40"/>
  <c r="Q892" i="57"/>
  <c r="T892" i="57" s="1"/>
  <c r="Z886" i="57" s="1"/>
  <c r="AC890" i="57" s="1"/>
  <c r="Q265" i="57"/>
  <c r="T265" i="57" s="1"/>
  <c r="Z259" i="57" s="1"/>
  <c r="Y6" i="57"/>
  <c r="Q232" i="57"/>
  <c r="T232" i="57" s="1"/>
  <c r="Z226" i="57" s="1"/>
  <c r="Q210" i="57"/>
  <c r="T210" i="57" s="1"/>
  <c r="Q199" i="57"/>
  <c r="T199" i="57" s="1"/>
  <c r="Q188" i="57"/>
  <c r="T188" i="57" s="1"/>
  <c r="Q133" i="57"/>
  <c r="T133" i="57" s="1"/>
  <c r="Z127" i="57" s="1"/>
  <c r="Q243" i="57"/>
  <c r="T243" i="57" s="1"/>
  <c r="Q221" i="57"/>
  <c r="T221" i="57" s="1"/>
  <c r="Q166" i="57"/>
  <c r="T166" i="57" s="1"/>
  <c r="Z160" i="57" s="1"/>
  <c r="Q89" i="57"/>
  <c r="T89" i="57" s="1"/>
  <c r="Q100" i="57"/>
  <c r="T100" i="57" s="1"/>
  <c r="Z94" i="57" s="1"/>
  <c r="Q155" i="57"/>
  <c r="T155" i="57" s="1"/>
  <c r="Q144" i="57"/>
  <c r="T144" i="57" s="1"/>
  <c r="Q56" i="57"/>
  <c r="T56" i="57" s="1"/>
  <c r="Z50" i="57" s="1"/>
  <c r="Q45" i="57"/>
  <c r="T45" i="57" s="1"/>
  <c r="Q34" i="57"/>
  <c r="T34" i="57" s="1"/>
  <c r="Z28" i="57" s="1"/>
  <c r="Q78" i="57"/>
  <c r="T78" i="57" s="1"/>
  <c r="Z72" i="57" s="1"/>
  <c r="Q67" i="57"/>
  <c r="T67" i="57" s="1"/>
  <c r="Z61" i="57" s="1"/>
  <c r="Q177" i="57"/>
  <c r="T177" i="57" s="1"/>
  <c r="Z171" i="57" s="1"/>
  <c r="Q122" i="57"/>
  <c r="T122" i="57" s="1"/>
  <c r="Q111" i="57"/>
  <c r="T111" i="57" s="1"/>
  <c r="Z105" i="57" s="1"/>
  <c r="U12" i="57"/>
  <c r="X12" i="57" s="1"/>
  <c r="Q6" i="57"/>
  <c r="T6" i="57" s="1"/>
  <c r="E6" i="57"/>
  <c r="H6" i="57" s="1"/>
  <c r="Q23" i="57"/>
  <c r="T23" i="57" s="1"/>
  <c r="U9" i="57"/>
  <c r="X9" i="57" s="1"/>
  <c r="I7" i="57"/>
  <c r="L7" i="57" s="1"/>
  <c r="U6" i="57"/>
  <c r="X6" i="57" s="1"/>
  <c r="I6" i="57"/>
  <c r="L6" i="57" s="1"/>
  <c r="U14" i="57"/>
  <c r="X14" i="57" s="1"/>
  <c r="Q14" i="57"/>
  <c r="T14" i="57" s="1"/>
  <c r="Q9" i="57"/>
  <c r="T9" i="57" s="1"/>
  <c r="E7" i="57"/>
  <c r="H7" i="57" s="1"/>
  <c r="Q12" i="57"/>
  <c r="T12" i="57" s="1"/>
  <c r="T10" i="57"/>
  <c r="H436" i="60"/>
  <c r="E8" i="68" l="1"/>
  <c r="AC11" i="57"/>
  <c r="E5" i="68"/>
  <c r="AC32" i="57"/>
  <c r="D3" i="68"/>
  <c r="Z402" i="60"/>
  <c r="AC406" i="60" s="1"/>
  <c r="Z391" i="60"/>
  <c r="AC396" i="60" s="1"/>
  <c r="Z116" i="60"/>
  <c r="AC120" i="60" s="1"/>
  <c r="Z347" i="60"/>
  <c r="AC352" i="60" s="1"/>
  <c r="Z380" i="60"/>
  <c r="AC384" i="60" s="1"/>
  <c r="Z413" i="60"/>
  <c r="AC418" i="60" s="1"/>
  <c r="Z270" i="60"/>
  <c r="AC274" i="60" s="1"/>
  <c r="Z358" i="60"/>
  <c r="AC362" i="60" s="1"/>
  <c r="Z336" i="60"/>
  <c r="AC340" i="60" s="1"/>
  <c r="Z259" i="60"/>
  <c r="AC264" i="60" s="1"/>
  <c r="Z281" i="60"/>
  <c r="AC286" i="60" s="1"/>
  <c r="Z248" i="60"/>
  <c r="AC252" i="60" s="1"/>
  <c r="Z303" i="60"/>
  <c r="AC308" i="60" s="1"/>
  <c r="T435" i="60"/>
  <c r="Z435" i="60" s="1"/>
  <c r="AC440" i="60" s="1"/>
  <c r="AM27" i="65"/>
  <c r="Z149" i="60"/>
  <c r="AC154" i="60" s="1"/>
  <c r="Z138" i="60"/>
  <c r="AC142" i="60" s="1"/>
  <c r="Z215" i="60"/>
  <c r="AC220" i="60" s="1"/>
  <c r="Z6" i="57"/>
  <c r="Z6" i="60"/>
  <c r="AC10" i="60" s="1"/>
  <c r="AM28" i="38"/>
  <c r="E3" i="68" l="1"/>
  <c r="Z314" i="60"/>
  <c r="AC318" i="60" s="1"/>
  <c r="Z237" i="60"/>
  <c r="AC242" i="60" s="1"/>
  <c r="Z424" i="60"/>
  <c r="AC428" i="60" s="1"/>
  <c r="Z127" i="60"/>
  <c r="AC132" i="60" s="1"/>
  <c r="Z193" i="60"/>
  <c r="AC198" i="60" s="1"/>
  <c r="Z50" i="60"/>
  <c r="AC54" i="60" s="1"/>
  <c r="Z72" i="60"/>
  <c r="AC76" i="60" s="1"/>
  <c r="Z226" i="60"/>
  <c r="AC230" i="60" s="1"/>
  <c r="Z160" i="60"/>
  <c r="AC164" i="60" s="1"/>
  <c r="Z83" i="60"/>
  <c r="AC88" i="60" s="1"/>
  <c r="Z61" i="60"/>
  <c r="AC66" i="60" s="1"/>
  <c r="Z28" i="60"/>
  <c r="AC32" i="60" s="1"/>
  <c r="Z94" i="60"/>
  <c r="AC98" i="60" s="1"/>
  <c r="Z17" i="60"/>
  <c r="AC22" i="60" s="1"/>
  <c r="Z182" i="60"/>
  <c r="AC186" i="60" s="1"/>
  <c r="Z204" i="60"/>
  <c r="AC208" i="60" s="1"/>
  <c r="AQ1" i="26"/>
  <c r="Z171" i="60"/>
  <c r="AC176" i="60" s="1"/>
  <c r="Z39" i="60"/>
  <c r="AC44" i="60" s="1"/>
  <c r="Z105" i="60"/>
  <c r="AC110" i="60" s="1"/>
  <c r="Z820" i="60" l="1"/>
  <c r="AR1" i="26" s="1"/>
  <c r="AQ2" i="26" s="1"/>
  <c r="A59" i="26" l="1"/>
  <c r="A60" i="26" l="1"/>
  <c r="A61" i="26" l="1"/>
  <c r="A62" i="26" s="1"/>
  <c r="A63" i="26" s="1"/>
  <c r="A64" i="26" s="1"/>
  <c r="A65" i="26" s="1"/>
  <c r="A66" i="26" s="1"/>
  <c r="A67" i="26" s="1"/>
  <c r="A68" i="26" s="1"/>
  <c r="A69" i="26" s="1"/>
  <c r="A70" i="26" s="1"/>
  <c r="A71" i="26" s="1"/>
  <c r="A72" i="26" s="1"/>
  <c r="A73" i="26" s="1"/>
  <c r="A74" i="26" s="1"/>
  <c r="A75" i="26" s="1"/>
  <c r="A76" i="26" s="1"/>
  <c r="A77" i="26" s="1"/>
  <c r="A78" i="26" l="1"/>
  <c r="A79" i="26" l="1"/>
  <c r="A80" i="26" l="1"/>
  <c r="A81" i="26" l="1"/>
  <c r="A82" i="26" l="1"/>
  <c r="A83" i="26" l="1"/>
  <c r="A84" i="26" l="1"/>
  <c r="A85" i="26" l="1"/>
  <c r="X10" i="25" l="1"/>
  <c r="Z33" i="66"/>
  <c r="X12" i="64"/>
  <c r="M29" i="66"/>
  <c r="R18" i="40"/>
  <c r="P18" i="25"/>
  <c r="W25" i="25"/>
  <c r="L24" i="25"/>
  <c r="J10" i="64"/>
  <c r="AB20" i="25"/>
  <c r="AH15" i="40"/>
  <c r="O12" i="25"/>
  <c r="N13" i="66"/>
  <c r="B20" i="66"/>
  <c r="S33" i="66"/>
  <c r="R29" i="66"/>
  <c r="AE24" i="66"/>
  <c r="AD33" i="66"/>
  <c r="Y27" i="66"/>
  <c r="U17" i="66"/>
  <c r="AB17" i="40"/>
  <c r="U16" i="25"/>
  <c r="H23" i="64"/>
  <c r="Z31" i="66"/>
  <c r="AA10" i="25"/>
  <c r="S8" i="40"/>
  <c r="G13" i="25"/>
  <c r="I10" i="40"/>
  <c r="AE28" i="25"/>
  <c r="AB9" i="25"/>
  <c r="T12" i="25"/>
  <c r="C20" i="40"/>
  <c r="H12" i="40"/>
  <c r="AF8" i="66"/>
  <c r="AC23" i="66"/>
  <c r="X32" i="66"/>
  <c r="G28" i="66"/>
  <c r="C28" i="66"/>
  <c r="N24" i="40"/>
  <c r="AH12" i="66"/>
  <c r="C31" i="66"/>
  <c r="P18" i="66"/>
  <c r="V18" i="25"/>
  <c r="D31" i="25"/>
  <c r="AH26" i="66"/>
  <c r="Z16" i="25"/>
  <c r="Z11" i="25"/>
  <c r="N10" i="66"/>
  <c r="U13" i="40"/>
  <c r="R10" i="40"/>
  <c r="L19" i="25"/>
  <c r="V29" i="66"/>
  <c r="K11" i="64"/>
  <c r="K25" i="25"/>
  <c r="S21" i="25"/>
  <c r="AI14" i="25"/>
  <c r="B24" i="25"/>
  <c r="AA28" i="25"/>
  <c r="G11" i="40"/>
  <c r="P21" i="40"/>
  <c r="X12" i="25"/>
  <c r="AF32" i="25"/>
  <c r="AE18" i="25"/>
  <c r="K17" i="40"/>
  <c r="R16" i="25"/>
  <c r="R23" i="25"/>
  <c r="D14" i="25"/>
  <c r="K19" i="40"/>
  <c r="R23" i="40"/>
  <c r="Z22" i="64"/>
  <c r="L20" i="40"/>
  <c r="AE15" i="25"/>
  <c r="AC30" i="25"/>
  <c r="C27" i="25"/>
  <c r="E26" i="64"/>
  <c r="M8" i="64"/>
  <c r="D12" i="25"/>
  <c r="AI12" i="40"/>
  <c r="AI26" i="25"/>
  <c r="O21" i="25"/>
  <c r="N20" i="25"/>
  <c r="R21" i="64"/>
  <c r="L27" i="25"/>
  <c r="AG25" i="64"/>
  <c r="O17" i="25"/>
  <c r="J8" i="25"/>
  <c r="T15" i="64"/>
  <c r="U25" i="40"/>
  <c r="C23" i="25"/>
  <c r="Q17" i="40"/>
  <c r="O13" i="25"/>
  <c r="X21" i="25"/>
  <c r="Q11" i="40"/>
  <c r="Z23" i="40"/>
  <c r="AH29" i="25"/>
  <c r="X33" i="25"/>
  <c r="W18" i="25"/>
  <c r="F16" i="40"/>
  <c r="Z14" i="25"/>
  <c r="J25" i="64"/>
  <c r="R7" i="25"/>
  <c r="Y26" i="40"/>
  <c r="AG9" i="25"/>
  <c r="O24" i="25"/>
  <c r="V25" i="25"/>
  <c r="AD11" i="64"/>
  <c r="C10" i="25"/>
  <c r="U31" i="25"/>
  <c r="T14" i="40"/>
  <c r="S19" i="64"/>
  <c r="H9" i="40"/>
  <c r="N25" i="40"/>
  <c r="N18" i="40"/>
  <c r="N24" i="25"/>
  <c r="T24" i="40"/>
  <c r="B10" i="25"/>
  <c r="AB12" i="40"/>
  <c r="J7" i="25"/>
  <c r="I10" i="64"/>
  <c r="X28" i="25"/>
  <c r="B30" i="64"/>
  <c r="E10" i="25"/>
  <c r="U15" i="40"/>
  <c r="B32" i="25"/>
  <c r="K18" i="25"/>
  <c r="AI19" i="25"/>
  <c r="E8" i="64"/>
  <c r="T31" i="25"/>
  <c r="X8" i="25"/>
  <c r="G7" i="40"/>
  <c r="Y8" i="66"/>
  <c r="L18" i="66"/>
  <c r="N27" i="66"/>
  <c r="AE18" i="66"/>
  <c r="AD11" i="66"/>
  <c r="AA23" i="66"/>
  <c r="D15" i="66"/>
  <c r="X9" i="66"/>
  <c r="AC23" i="64"/>
  <c r="F11" i="66"/>
  <c r="J23" i="66"/>
  <c r="O8" i="40"/>
  <c r="Z12" i="25"/>
  <c r="L15" i="25"/>
  <c r="K14" i="40"/>
  <c r="T28" i="25"/>
  <c r="H30" i="64"/>
  <c r="J24" i="40"/>
  <c r="D7" i="25"/>
  <c r="Y21" i="25"/>
  <c r="Z13" i="66"/>
  <c r="X26" i="66"/>
  <c r="O21" i="66"/>
  <c r="AE19" i="66"/>
  <c r="O18" i="66"/>
  <c r="Z30" i="66"/>
  <c r="K26" i="66"/>
  <c r="AD25" i="40"/>
  <c r="J13" i="66"/>
  <c r="H22" i="66"/>
  <c r="Q14" i="66"/>
  <c r="R23" i="66"/>
  <c r="Y12" i="40"/>
  <c r="AC9" i="64"/>
  <c r="AG26" i="40"/>
  <c r="C10" i="40"/>
  <c r="M13" i="40"/>
  <c r="B28" i="66"/>
  <c r="I26" i="66"/>
  <c r="U24" i="64"/>
  <c r="D22" i="40"/>
  <c r="Y27" i="25"/>
  <c r="K12" i="40"/>
  <c r="D32" i="66"/>
  <c r="P14" i="66"/>
  <c r="T11" i="66"/>
  <c r="AI18" i="66"/>
  <c r="V12" i="66"/>
  <c r="K29" i="66"/>
  <c r="F28" i="66"/>
  <c r="S18" i="66"/>
  <c r="L22" i="66"/>
  <c r="D22" i="66"/>
  <c r="N23" i="64"/>
  <c r="AE27" i="64"/>
  <c r="AA22" i="64"/>
  <c r="G18" i="40"/>
  <c r="AG17" i="25"/>
  <c r="P8" i="40"/>
  <c r="K7" i="40"/>
  <c r="W14" i="40"/>
  <c r="C15" i="40"/>
  <c r="F14" i="40"/>
  <c r="AF22" i="25"/>
  <c r="P29" i="66"/>
  <c r="W16" i="66"/>
  <c r="AE15" i="66"/>
  <c r="T7" i="66"/>
  <c r="L12" i="66"/>
  <c r="Y21" i="66"/>
  <c r="AB22" i="66"/>
  <c r="U14" i="66"/>
  <c r="E19" i="66"/>
  <c r="F13" i="25"/>
  <c r="Z19" i="25"/>
  <c r="P12" i="66"/>
  <c r="Z8" i="66"/>
  <c r="AF10" i="66"/>
  <c r="AD9" i="25"/>
  <c r="E24" i="64"/>
  <c r="J13" i="25"/>
  <c r="J14" i="40"/>
  <c r="Z17" i="25"/>
  <c r="AD19" i="40"/>
  <c r="AG21" i="40"/>
  <c r="Y30" i="25"/>
  <c r="AG9" i="40"/>
  <c r="AH10" i="64"/>
  <c r="AD30" i="25"/>
  <c r="AB31" i="25"/>
  <c r="AH22" i="40"/>
  <c r="V14" i="40"/>
  <c r="AA11" i="25"/>
  <c r="Y24" i="64"/>
  <c r="D21" i="64"/>
  <c r="J30" i="25"/>
  <c r="AD17" i="25"/>
  <c r="AG22" i="25"/>
  <c r="Y12" i="25"/>
  <c r="H8" i="25"/>
  <c r="T30" i="25"/>
  <c r="AI20" i="40"/>
  <c r="Q13" i="40"/>
  <c r="D25" i="40"/>
  <c r="U23" i="40"/>
  <c r="T28" i="64"/>
  <c r="M8" i="40"/>
  <c r="M30" i="25"/>
  <c r="AA17" i="25"/>
  <c r="AB21" i="25"/>
  <c r="I20" i="64"/>
  <c r="AA23" i="40"/>
  <c r="AG22" i="40"/>
  <c r="U26" i="25"/>
  <c r="J25" i="40"/>
  <c r="AE14" i="25"/>
  <c r="E22" i="64"/>
  <c r="AG25" i="25"/>
  <c r="E16" i="40"/>
  <c r="AF8" i="64"/>
  <c r="N30" i="64"/>
  <c r="H13" i="25"/>
  <c r="P14" i="40"/>
  <c r="F29" i="25"/>
  <c r="Z13" i="64"/>
  <c r="T11" i="40"/>
  <c r="J19" i="25"/>
  <c r="M23" i="40"/>
  <c r="AF17" i="40"/>
  <c r="G14" i="25"/>
  <c r="H16" i="40"/>
  <c r="I8" i="25"/>
  <c r="V22" i="64"/>
  <c r="T17" i="40"/>
  <c r="W22" i="25"/>
  <c r="AA24" i="25"/>
  <c r="S10" i="40"/>
  <c r="AE15" i="40"/>
  <c r="AC24" i="25"/>
  <c r="K14" i="25"/>
  <c r="H24" i="25"/>
  <c r="T21" i="40"/>
  <c r="Y15" i="40"/>
  <c r="AB12" i="25"/>
  <c r="AD18" i="40"/>
  <c r="R17" i="64"/>
  <c r="AA9" i="25"/>
  <c r="I9" i="40"/>
  <c r="AF7" i="25"/>
  <c r="AC10" i="25"/>
  <c r="AH19" i="64"/>
  <c r="Y32" i="25"/>
  <c r="L31" i="25"/>
  <c r="C11" i="25"/>
  <c r="Z26" i="64"/>
  <c r="U28" i="25"/>
  <c r="AE16" i="40"/>
  <c r="AB24" i="64"/>
  <c r="AH25" i="25"/>
  <c r="M17" i="64"/>
  <c r="F15" i="25"/>
  <c r="AI30" i="25"/>
  <c r="AD27" i="25"/>
  <c r="AI11" i="40"/>
  <c r="D17" i="66"/>
  <c r="X25" i="66"/>
  <c r="AF7" i="66"/>
  <c r="Z11" i="66"/>
  <c r="AC17" i="66"/>
  <c r="E12" i="66"/>
  <c r="C17" i="66"/>
  <c r="N29" i="66"/>
  <c r="T16" i="40"/>
  <c r="T17" i="66"/>
  <c r="J30" i="66"/>
  <c r="N19" i="64"/>
  <c r="AC28" i="64"/>
  <c r="AH26" i="40"/>
  <c r="M20" i="40"/>
  <c r="S11" i="25"/>
  <c r="O16" i="40"/>
  <c r="AA14" i="25"/>
  <c r="AC19" i="66"/>
  <c r="H27" i="64"/>
  <c r="E29" i="64"/>
  <c r="AD22" i="66"/>
  <c r="AG8" i="66"/>
  <c r="AH14" i="66"/>
  <c r="AA13" i="66"/>
  <c r="W21" i="66"/>
  <c r="U13" i="66"/>
  <c r="I25" i="40"/>
  <c r="C33" i="66"/>
  <c r="W11" i="66"/>
  <c r="T32" i="66"/>
  <c r="Y29" i="66"/>
  <c r="AH19" i="25"/>
  <c r="AI30" i="64"/>
  <c r="H25" i="40"/>
  <c r="B10" i="40"/>
  <c r="W15" i="40"/>
  <c r="X13" i="25"/>
  <c r="AB10" i="40"/>
  <c r="X15" i="25"/>
  <c r="M14" i="25"/>
  <c r="X8" i="40"/>
  <c r="AF23" i="40"/>
  <c r="T29" i="66"/>
  <c r="AH22" i="66"/>
  <c r="R19" i="66"/>
  <c r="AD16" i="66"/>
  <c r="F32" i="66"/>
  <c r="O14" i="66"/>
  <c r="AA30" i="66"/>
  <c r="E25" i="66"/>
  <c r="O17" i="66"/>
  <c r="U23" i="64"/>
  <c r="M18" i="40"/>
  <c r="H12" i="66"/>
  <c r="W30" i="66"/>
  <c r="AB20" i="66"/>
  <c r="O31" i="25"/>
  <c r="S15" i="25"/>
  <c r="AI24" i="25"/>
  <c r="AC19" i="40"/>
  <c r="AH18" i="40"/>
  <c r="E25" i="40"/>
  <c r="G26" i="64"/>
  <c r="R28" i="66"/>
  <c r="AF23" i="66"/>
  <c r="AI8" i="66"/>
  <c r="X15" i="66"/>
  <c r="AH24" i="66"/>
  <c r="V30" i="66"/>
  <c r="U18" i="66"/>
  <c r="AG25" i="66"/>
  <c r="F23" i="66"/>
  <c r="V22" i="25"/>
  <c r="S33" i="25"/>
  <c r="C30" i="66"/>
  <c r="G19" i="40"/>
  <c r="Z9" i="25"/>
  <c r="AG18" i="40"/>
  <c r="W14" i="64"/>
  <c r="AG16" i="25"/>
  <c r="K12" i="25"/>
  <c r="AG20" i="25"/>
  <c r="U7" i="25"/>
  <c r="M12" i="25"/>
  <c r="X9" i="40"/>
  <c r="AG30" i="25"/>
  <c r="F11" i="25"/>
  <c r="R12" i="40"/>
  <c r="AH8" i="40"/>
  <c r="E10" i="40"/>
  <c r="M18" i="25"/>
  <c r="AE33" i="25"/>
  <c r="AB16" i="40"/>
  <c r="P12" i="40"/>
  <c r="B12" i="25"/>
  <c r="L14" i="25"/>
  <c r="Q8" i="25"/>
  <c r="M14" i="40"/>
  <c r="AD28" i="25"/>
  <c r="AI13" i="25"/>
  <c r="E20" i="40"/>
  <c r="W21" i="40"/>
  <c r="N31" i="25"/>
  <c r="Z23" i="64"/>
  <c r="AG11" i="40"/>
  <c r="G17" i="25"/>
  <c r="J11" i="40"/>
  <c r="AB27" i="25"/>
  <c r="E24" i="40"/>
  <c r="J20" i="25"/>
  <c r="AE7" i="40"/>
  <c r="AE26" i="25"/>
  <c r="AI27" i="64"/>
  <c r="M27" i="64"/>
  <c r="E31" i="25"/>
  <c r="AE10" i="25"/>
  <c r="Q14" i="25"/>
  <c r="Z22" i="25"/>
  <c r="Z18" i="40"/>
  <c r="V21" i="40"/>
  <c r="Y11" i="40"/>
  <c r="B15" i="64"/>
  <c r="X11" i="40"/>
  <c r="Z10" i="64"/>
  <c r="L11" i="25"/>
  <c r="Y10" i="25"/>
  <c r="F22" i="25"/>
  <c r="D28" i="25"/>
  <c r="AF10" i="40"/>
  <c r="E18" i="40"/>
  <c r="U9" i="40"/>
  <c r="G30" i="25"/>
  <c r="V19" i="64"/>
  <c r="S7" i="64"/>
  <c r="Y19" i="40"/>
  <c r="R17" i="25"/>
  <c r="Q8" i="40"/>
  <c r="B17" i="25"/>
  <c r="AD20" i="25"/>
  <c r="W23" i="40"/>
  <c r="W21" i="25"/>
  <c r="E12" i="25"/>
  <c r="U19" i="40"/>
  <c r="Q22" i="40"/>
  <c r="AC16" i="64"/>
  <c r="F12" i="40"/>
  <c r="AD24" i="25"/>
  <c r="Q10" i="40"/>
  <c r="B16" i="25"/>
  <c r="V20" i="25"/>
  <c r="W16" i="25"/>
  <c r="J15" i="25"/>
  <c r="P26" i="25"/>
  <c r="U25" i="64"/>
  <c r="R27" i="25"/>
  <c r="I24" i="64"/>
  <c r="J20" i="40"/>
  <c r="W18" i="40"/>
  <c r="AD17" i="40"/>
  <c r="Q20" i="25"/>
  <c r="Y17" i="64"/>
  <c r="AF24" i="64"/>
  <c r="G26" i="40"/>
  <c r="U25" i="66"/>
  <c r="AE17" i="66"/>
  <c r="AI28" i="66"/>
  <c r="D31" i="66"/>
  <c r="H7" i="66"/>
  <c r="T16" i="64"/>
  <c r="F9" i="66"/>
  <c r="K17" i="66"/>
  <c r="D20" i="40"/>
  <c r="B11" i="25"/>
  <c r="F18" i="25"/>
  <c r="D27" i="66"/>
  <c r="W26" i="25"/>
  <c r="M25" i="40"/>
  <c r="AA16" i="40"/>
  <c r="D27" i="64"/>
  <c r="B22" i="25"/>
  <c r="D11" i="40"/>
  <c r="D10" i="40"/>
  <c r="P16" i="64"/>
  <c r="V24" i="25"/>
  <c r="C19" i="66"/>
  <c r="P15" i="66"/>
  <c r="K27" i="66"/>
  <c r="Z26" i="66"/>
  <c r="H20" i="66"/>
  <c r="AF22" i="66"/>
  <c r="Z28" i="66"/>
  <c r="T32" i="25"/>
  <c r="AD21" i="66"/>
  <c r="O19" i="66"/>
  <c r="AH24" i="64"/>
  <c r="M16" i="40"/>
  <c r="C21" i="25"/>
  <c r="AF15" i="25"/>
  <c r="I15" i="66"/>
  <c r="U19" i="25"/>
  <c r="AH26" i="64"/>
  <c r="O28" i="66"/>
  <c r="H31" i="25"/>
  <c r="AA8" i="25"/>
  <c r="AI26" i="64"/>
  <c r="AI33" i="66"/>
  <c r="X29" i="66"/>
  <c r="AA17" i="66"/>
  <c r="C25" i="66"/>
  <c r="N8" i="66"/>
  <c r="AE21" i="66"/>
  <c r="V25" i="40"/>
  <c r="Y31" i="66"/>
  <c r="Z19" i="66"/>
  <c r="C11" i="66"/>
  <c r="AD14" i="66"/>
  <c r="AA30" i="25"/>
  <c r="AI23" i="25"/>
  <c r="S15" i="64"/>
  <c r="W24" i="40"/>
  <c r="T23" i="25"/>
  <c r="B9" i="25"/>
  <c r="H16" i="25"/>
  <c r="K22" i="64"/>
  <c r="H17" i="25"/>
  <c r="W22" i="40"/>
  <c r="AA25" i="66"/>
  <c r="V16" i="66"/>
  <c r="AG20" i="66"/>
  <c r="AB14" i="66"/>
  <c r="S24" i="66"/>
  <c r="G29" i="66"/>
  <c r="X21" i="66"/>
  <c r="O16" i="66"/>
  <c r="AI9" i="66"/>
  <c r="AG17" i="66"/>
  <c r="P13" i="66"/>
  <c r="U11" i="66"/>
  <c r="G10" i="25"/>
  <c r="AD15" i="66"/>
  <c r="G24" i="25"/>
  <c r="L13" i="25"/>
  <c r="AG32" i="25"/>
  <c r="W12" i="40"/>
  <c r="W19" i="64"/>
  <c r="AI17" i="40"/>
  <c r="H14" i="40"/>
  <c r="T18" i="40"/>
  <c r="D26" i="25"/>
  <c r="F10" i="64"/>
  <c r="E13" i="64"/>
  <c r="T23" i="40"/>
  <c r="AH11" i="25"/>
  <c r="E29" i="25"/>
  <c r="M28" i="64"/>
  <c r="H9" i="25"/>
  <c r="AG15" i="25"/>
  <c r="AE18" i="40"/>
  <c r="Q13" i="64"/>
  <c r="Q20" i="40"/>
  <c r="L16" i="25"/>
  <c r="N25" i="25"/>
  <c r="Z11" i="40"/>
  <c r="J29" i="25"/>
  <c r="G25" i="25"/>
  <c r="N13" i="25"/>
  <c r="J28" i="64"/>
  <c r="E14" i="40"/>
  <c r="U17" i="25"/>
  <c r="Y33" i="25"/>
  <c r="F16" i="25"/>
  <c r="S29" i="25"/>
  <c r="AB30" i="64"/>
  <c r="X16" i="25"/>
  <c r="G23" i="25"/>
  <c r="G7" i="64"/>
  <c r="G26" i="25"/>
  <c r="V16" i="40"/>
  <c r="O33" i="25"/>
  <c r="G14" i="40"/>
  <c r="G7" i="25"/>
  <c r="H15" i="40"/>
  <c r="B21" i="25"/>
  <c r="AB11" i="25"/>
  <c r="I9" i="64"/>
  <c r="W10" i="40"/>
  <c r="T20" i="40"/>
  <c r="I13" i="25"/>
  <c r="J33" i="25"/>
  <c r="S28" i="25"/>
  <c r="AI16" i="25"/>
  <c r="M8" i="25"/>
  <c r="F30" i="64"/>
  <c r="E13" i="40"/>
  <c r="V23" i="40"/>
  <c r="R26" i="40"/>
  <c r="AD7" i="40"/>
  <c r="AG13" i="64"/>
  <c r="R32" i="25"/>
  <c r="I19" i="25"/>
  <c r="V19" i="25"/>
  <c r="H13" i="40"/>
  <c r="L9" i="40"/>
  <c r="AG12" i="40"/>
  <c r="AE7" i="64"/>
  <c r="I29" i="64"/>
  <c r="R14" i="40"/>
  <c r="K23" i="40"/>
  <c r="G27" i="25"/>
  <c r="D16" i="40"/>
  <c r="X25" i="40"/>
  <c r="G9" i="25"/>
  <c r="B25" i="40"/>
  <c r="C8" i="25"/>
  <c r="P7" i="40"/>
  <c r="AF16" i="25"/>
  <c r="AG15" i="40"/>
  <c r="AA7" i="40"/>
  <c r="AD13" i="25"/>
  <c r="AC27" i="25"/>
  <c r="V8" i="25"/>
  <c r="AA13" i="25"/>
  <c r="AB7" i="40"/>
  <c r="Q23" i="25"/>
  <c r="E20" i="25"/>
  <c r="X30" i="64"/>
  <c r="F25" i="25"/>
  <c r="D9" i="40"/>
  <c r="AF18" i="40"/>
  <c r="F17" i="40"/>
  <c r="G8" i="25"/>
  <c r="N11" i="40"/>
  <c r="W24" i="64"/>
  <c r="Y10" i="40"/>
  <c r="AE12" i="25"/>
  <c r="Z26" i="25"/>
  <c r="Z31" i="25"/>
  <c r="H33" i="25"/>
  <c r="AH28" i="25"/>
  <c r="K20" i="40"/>
  <c r="R15" i="40"/>
  <c r="S29" i="64"/>
  <c r="AA11" i="64"/>
  <c r="AD8" i="40"/>
  <c r="AF26" i="40"/>
  <c r="C24" i="40"/>
  <c r="N21" i="64"/>
  <c r="AE29" i="66"/>
  <c r="AD7" i="66"/>
  <c r="R12" i="66"/>
  <c r="C29" i="66"/>
  <c r="Z21" i="66"/>
  <c r="AC33" i="25"/>
  <c r="N22" i="66"/>
  <c r="AB16" i="66"/>
  <c r="I14" i="66"/>
  <c r="U8" i="66"/>
  <c r="AC18" i="40"/>
  <c r="AC16" i="25"/>
  <c r="O22" i="40"/>
  <c r="M22" i="64"/>
  <c r="S9" i="66"/>
  <c r="AH13" i="64"/>
  <c r="AC28" i="66"/>
  <c r="AA24" i="40"/>
  <c r="F27" i="66"/>
  <c r="AD30" i="64"/>
  <c r="H10" i="25"/>
  <c r="C13" i="66"/>
  <c r="C26" i="66"/>
  <c r="W7" i="66"/>
  <c r="AC31" i="66"/>
  <c r="X28" i="66"/>
  <c r="H25" i="66"/>
  <c r="B25" i="66"/>
  <c r="D25" i="66"/>
  <c r="AH11" i="40"/>
  <c r="E18" i="66"/>
  <c r="AD20" i="40"/>
  <c r="L8" i="25"/>
  <c r="W24" i="66"/>
  <c r="T12" i="40"/>
  <c r="X8" i="66"/>
  <c r="AI27" i="25"/>
  <c r="AD26" i="25"/>
  <c r="M26" i="64"/>
  <c r="D15" i="25"/>
  <c r="U24" i="40"/>
  <c r="AG19" i="25"/>
  <c r="Y25" i="66"/>
  <c r="Q17" i="66"/>
  <c r="J16" i="66"/>
  <c r="AA11" i="66"/>
  <c r="V14" i="66"/>
  <c r="AB11" i="66"/>
  <c r="AC15" i="66"/>
  <c r="M26" i="66"/>
  <c r="F16" i="66"/>
  <c r="K30" i="66"/>
  <c r="U26" i="66"/>
  <c r="Y12" i="66"/>
  <c r="R8" i="40"/>
  <c r="W9" i="66"/>
  <c r="P13" i="40"/>
  <c r="U30" i="25"/>
  <c r="K7" i="25"/>
  <c r="B19" i="40"/>
  <c r="C15" i="64"/>
  <c r="V13" i="40"/>
  <c r="S24" i="40"/>
  <c r="AI10" i="66"/>
  <c r="Y26" i="66"/>
  <c r="F8" i="66"/>
  <c r="AF19" i="66"/>
  <c r="E10" i="66"/>
  <c r="W12" i="66"/>
  <c r="AF29" i="66"/>
  <c r="J25" i="25"/>
  <c r="N33" i="66"/>
  <c r="B32" i="66"/>
  <c r="C32" i="25"/>
  <c r="S17" i="40"/>
  <c r="AH23" i="40"/>
  <c r="Y9" i="66"/>
  <c r="AE31" i="25"/>
  <c r="G15" i="40"/>
  <c r="Q7" i="40"/>
  <c r="U25" i="25"/>
  <c r="AB20" i="40"/>
  <c r="V9" i="25"/>
  <c r="T30" i="66"/>
  <c r="B23" i="40"/>
  <c r="J23" i="25"/>
  <c r="N19" i="40"/>
  <c r="AI9" i="40"/>
  <c r="H17" i="40"/>
  <c r="Q9" i="64"/>
  <c r="L12" i="64"/>
  <c r="G12" i="40"/>
  <c r="J18" i="25"/>
  <c r="O32" i="25"/>
  <c r="Z14" i="64"/>
  <c r="U22" i="64"/>
  <c r="I22" i="25"/>
  <c r="M17" i="40"/>
  <c r="K16" i="40"/>
  <c r="K16" i="25"/>
  <c r="E7" i="40"/>
  <c r="AD11" i="40"/>
  <c r="U20" i="40"/>
  <c r="AB26" i="40"/>
  <c r="E28" i="25"/>
  <c r="AD20" i="64"/>
  <c r="F21" i="25"/>
  <c r="I11" i="25"/>
  <c r="X12" i="40"/>
  <c r="N10" i="64"/>
  <c r="K8" i="40"/>
  <c r="N7" i="64"/>
  <c r="AE19" i="40"/>
  <c r="S23" i="40"/>
  <c r="R9" i="40"/>
  <c r="B22" i="40"/>
  <c r="X7" i="40"/>
  <c r="R18" i="64"/>
  <c r="C19" i="40"/>
  <c r="Y15" i="25"/>
  <c r="U20" i="64"/>
  <c r="AF20" i="40"/>
  <c r="Q16" i="40"/>
  <c r="T16" i="25"/>
  <c r="T25" i="25"/>
  <c r="I19" i="40"/>
  <c r="Q25" i="64"/>
  <c r="D9" i="25"/>
  <c r="W30" i="64"/>
  <c r="AA23" i="25"/>
  <c r="O17" i="40"/>
  <c r="W8" i="25"/>
  <c r="W8" i="40"/>
  <c r="C8" i="64"/>
  <c r="AC13" i="40"/>
  <c r="U22" i="25"/>
  <c r="AC27" i="64"/>
  <c r="AE26" i="40"/>
  <c r="F33" i="25"/>
  <c r="O15" i="64"/>
  <c r="L9" i="25"/>
  <c r="R28" i="64"/>
  <c r="Z20" i="25"/>
  <c r="P9" i="25"/>
  <c r="V21" i="64"/>
  <c r="Y16" i="25"/>
  <c r="C16" i="40"/>
  <c r="AG17" i="64"/>
  <c r="Z8" i="40"/>
  <c r="H8" i="64"/>
  <c r="W14" i="25"/>
  <c r="F31" i="25"/>
  <c r="D33" i="25"/>
  <c r="AI26" i="40"/>
  <c r="X13" i="64"/>
  <c r="F20" i="64"/>
  <c r="S11" i="64"/>
  <c r="W20" i="40"/>
  <c r="AD16" i="40"/>
  <c r="Y20" i="64"/>
  <c r="L22" i="25"/>
  <c r="AE33" i="66"/>
  <c r="AI12" i="66"/>
  <c r="X17" i="66"/>
  <c r="AB19" i="66"/>
  <c r="AC22" i="66"/>
  <c r="W18" i="66"/>
  <c r="M16" i="66"/>
  <c r="AG23" i="66"/>
  <c r="C15" i="66"/>
  <c r="Z28" i="64"/>
  <c r="Y29" i="25"/>
  <c r="K20" i="66"/>
  <c r="F15" i="66"/>
  <c r="Y7" i="66"/>
  <c r="X18" i="25"/>
  <c r="Y18" i="40"/>
  <c r="AF28" i="25"/>
  <c r="C21" i="64"/>
  <c r="AC28" i="25"/>
  <c r="Y23" i="25"/>
  <c r="P14" i="25"/>
  <c r="AG11" i="66"/>
  <c r="AA32" i="66"/>
  <c r="AD31" i="66"/>
  <c r="L16" i="66"/>
  <c r="B26" i="66"/>
  <c r="G18" i="66"/>
  <c r="G26" i="66"/>
  <c r="AB13" i="40"/>
  <c r="B19" i="66"/>
  <c r="K33" i="66"/>
  <c r="AG10" i="25"/>
  <c r="U11" i="25"/>
  <c r="T18" i="25"/>
  <c r="M11" i="66"/>
  <c r="AE24" i="40"/>
  <c r="AE24" i="25"/>
  <c r="AD7" i="25"/>
  <c r="M21" i="40"/>
  <c r="W29" i="64"/>
  <c r="D7" i="64"/>
  <c r="O25" i="40"/>
  <c r="R11" i="40"/>
  <c r="D14" i="66"/>
  <c r="K24" i="66"/>
  <c r="L10" i="66"/>
  <c r="P8" i="66"/>
  <c r="Z32" i="66"/>
  <c r="U9" i="64"/>
  <c r="I19" i="66"/>
  <c r="J12" i="66"/>
  <c r="Z29" i="66"/>
  <c r="R24" i="64"/>
  <c r="AE12" i="40"/>
  <c r="AH23" i="66"/>
  <c r="Q26" i="64"/>
  <c r="U15" i="25"/>
  <c r="E9" i="66"/>
  <c r="I28" i="25"/>
  <c r="AC29" i="25"/>
  <c r="J18" i="64"/>
  <c r="AG30" i="66"/>
  <c r="Y15" i="66"/>
  <c r="W15" i="66"/>
  <c r="AI30" i="66"/>
  <c r="D18" i="66"/>
  <c r="C16" i="66"/>
  <c r="Z10" i="66"/>
  <c r="AD12" i="66"/>
  <c r="AD8" i="25"/>
  <c r="J7" i="66"/>
  <c r="AE22" i="66"/>
  <c r="AG7" i="66"/>
  <c r="AF26" i="66"/>
  <c r="E15" i="25"/>
  <c r="I22" i="40"/>
  <c r="AI33" i="25"/>
  <c r="AD21" i="40"/>
  <c r="K33" i="25"/>
  <c r="AH17" i="66"/>
  <c r="T23" i="66"/>
  <c r="S24" i="25"/>
  <c r="V11" i="25"/>
  <c r="O25" i="25"/>
  <c r="AF12" i="40"/>
  <c r="AA10" i="40"/>
  <c r="U7" i="40"/>
  <c r="K27" i="25"/>
  <c r="N33" i="25"/>
  <c r="N25" i="64"/>
  <c r="AG23" i="25"/>
  <c r="L33" i="25"/>
  <c r="D27" i="25"/>
  <c r="AC13" i="64"/>
  <c r="S31" i="25"/>
  <c r="W9" i="25"/>
  <c r="U18" i="25"/>
  <c r="H22" i="64"/>
  <c r="M11" i="25"/>
  <c r="R29" i="64"/>
  <c r="Z19" i="40"/>
  <c r="AC11" i="25"/>
  <c r="H26" i="40"/>
  <c r="Z24" i="40"/>
  <c r="V10" i="40"/>
  <c r="T25" i="64"/>
  <c r="AA20" i="25"/>
  <c r="AG30" i="64"/>
  <c r="B19" i="25"/>
  <c r="G25" i="64"/>
  <c r="R21" i="40"/>
  <c r="D25" i="64"/>
  <c r="AB20" i="64"/>
  <c r="U22" i="40"/>
  <c r="AD23" i="25"/>
  <c r="U16" i="64"/>
  <c r="P28" i="25"/>
  <c r="V26" i="25"/>
  <c r="C18" i="25"/>
  <c r="AD31" i="25"/>
  <c r="C31" i="25"/>
  <c r="I11" i="40"/>
  <c r="P11" i="40"/>
  <c r="L32" i="25"/>
  <c r="Y28" i="64"/>
  <c r="AA19" i="40"/>
  <c r="AG19" i="64"/>
  <c r="F24" i="40"/>
  <c r="M24" i="64"/>
  <c r="AD26" i="64"/>
  <c r="AA7" i="25"/>
  <c r="L19" i="40"/>
  <c r="W26" i="40"/>
  <c r="S13" i="25"/>
  <c r="T30" i="64"/>
  <c r="E17" i="64"/>
  <c r="V24" i="40"/>
  <c r="Z23" i="25"/>
  <c r="M26" i="25"/>
  <c r="D25" i="25"/>
  <c r="L23" i="40"/>
  <c r="U33" i="25"/>
  <c r="T24" i="64"/>
  <c r="D26" i="40"/>
  <c r="R22" i="25"/>
  <c r="P11" i="25"/>
  <c r="AC19" i="25"/>
  <c r="AI11" i="64"/>
  <c r="J23" i="64"/>
  <c r="U18" i="40"/>
  <c r="M29" i="25"/>
  <c r="AH8" i="25"/>
  <c r="AI11" i="25"/>
  <c r="AA26" i="64"/>
  <c r="F32" i="25"/>
  <c r="U14" i="25"/>
  <c r="D24" i="25"/>
  <c r="Z19" i="64"/>
  <c r="D18" i="25"/>
  <c r="D18" i="40"/>
  <c r="AD18" i="25"/>
  <c r="AB30" i="25"/>
  <c r="AA21" i="40"/>
  <c r="X30" i="25"/>
  <c r="AA27" i="66"/>
  <c r="J8" i="66"/>
  <c r="N17" i="66"/>
  <c r="V25" i="66"/>
  <c r="M27" i="66"/>
  <c r="AH30" i="66"/>
  <c r="R9" i="66"/>
  <c r="AE25" i="66"/>
  <c r="AA20" i="66"/>
  <c r="X21" i="40"/>
  <c r="AG10" i="40"/>
  <c r="AH27" i="66"/>
  <c r="E17" i="40"/>
  <c r="F23" i="40"/>
  <c r="Z33" i="25"/>
  <c r="I7" i="25"/>
  <c r="R7" i="40"/>
  <c r="K29" i="25"/>
  <c r="P29" i="25"/>
  <c r="Q12" i="40"/>
  <c r="AB17" i="25"/>
  <c r="AH19" i="66"/>
  <c r="O13" i="66"/>
  <c r="E30" i="66"/>
  <c r="G21" i="66"/>
  <c r="E21" i="66"/>
  <c r="AH28" i="66"/>
  <c r="U9" i="66"/>
  <c r="L26" i="25"/>
  <c r="J29" i="66"/>
  <c r="C12" i="66"/>
  <c r="N23" i="40"/>
  <c r="V7" i="40"/>
  <c r="J21" i="25"/>
  <c r="AB19" i="25"/>
  <c r="X16" i="66"/>
  <c r="E13" i="66"/>
  <c r="AB14" i="40"/>
  <c r="AB11" i="64"/>
  <c r="J11" i="25"/>
  <c r="F26" i="25"/>
  <c r="AD9" i="40"/>
  <c r="L23" i="66"/>
  <c r="M9" i="66"/>
  <c r="E16" i="66"/>
  <c r="AG24" i="66"/>
  <c r="AC10" i="66"/>
  <c r="W28" i="66"/>
  <c r="Z17" i="40"/>
  <c r="AF14" i="66"/>
  <c r="L14" i="66"/>
  <c r="AB18" i="66"/>
  <c r="AD32" i="66"/>
  <c r="F23" i="64"/>
  <c r="AH16" i="40"/>
  <c r="I31" i="25"/>
  <c r="U12" i="64"/>
  <c r="Q28" i="25"/>
  <c r="X10" i="66"/>
  <c r="Q23" i="66"/>
  <c r="C12" i="25"/>
  <c r="U12" i="25"/>
  <c r="N11" i="25"/>
  <c r="R13" i="66"/>
  <c r="AB33" i="66"/>
  <c r="F33" i="66"/>
  <c r="F20" i="66"/>
  <c r="R21" i="66"/>
  <c r="K11" i="66"/>
  <c r="S25" i="40"/>
  <c r="R31" i="66"/>
  <c r="D29" i="66"/>
  <c r="R10" i="66"/>
  <c r="AC32" i="66"/>
  <c r="Y16" i="40"/>
  <c r="X27" i="25"/>
  <c r="AG31" i="66"/>
  <c r="AC29" i="66"/>
  <c r="J9" i="40"/>
  <c r="K20" i="25"/>
  <c r="J24" i="64"/>
  <c r="I20" i="25"/>
  <c r="Q13" i="25"/>
  <c r="U21" i="40"/>
  <c r="V30" i="25"/>
  <c r="X16" i="40"/>
  <c r="Q12" i="25"/>
  <c r="AH31" i="25"/>
  <c r="V18" i="40"/>
  <c r="N17" i="25"/>
  <c r="B27" i="25"/>
  <c r="AH10" i="25"/>
  <c r="P30" i="64"/>
  <c r="AI13" i="40"/>
  <c r="E8" i="40"/>
  <c r="AF16" i="40"/>
  <c r="AA20" i="64"/>
  <c r="I8" i="40"/>
  <c r="AG14" i="40"/>
  <c r="I25" i="64"/>
  <c r="Q28" i="64"/>
  <c r="M21" i="64"/>
  <c r="T26" i="40"/>
  <c r="X8" i="64"/>
  <c r="P18" i="40"/>
  <c r="AI29" i="25"/>
  <c r="L12" i="40"/>
  <c r="AH7" i="25"/>
  <c r="L23" i="25"/>
  <c r="J26" i="40"/>
  <c r="X18" i="40"/>
  <c r="W7" i="25"/>
  <c r="G29" i="25"/>
  <c r="AG14" i="64"/>
  <c r="B18" i="64"/>
  <c r="M12" i="40"/>
  <c r="AB13" i="25"/>
  <c r="S22" i="64"/>
  <c r="AE11" i="40"/>
  <c r="Y9" i="25"/>
  <c r="C12" i="40"/>
  <c r="AH14" i="40"/>
  <c r="W29" i="25"/>
  <c r="L30" i="25"/>
  <c r="S22" i="40"/>
  <c r="S21" i="64"/>
  <c r="M19" i="40"/>
  <c r="B7" i="40"/>
  <c r="AI7" i="25"/>
  <c r="E9" i="25"/>
  <c r="Z29" i="25"/>
  <c r="AD15" i="40"/>
  <c r="AF26" i="25"/>
  <c r="O9" i="40"/>
  <c r="AF8" i="25"/>
  <c r="N20" i="40"/>
  <c r="O9" i="25"/>
  <c r="K17" i="25"/>
  <c r="P12" i="64"/>
  <c r="AI24" i="40"/>
  <c r="AE11" i="64"/>
  <c r="R30" i="64"/>
  <c r="AI29" i="64"/>
  <c r="K28" i="25"/>
  <c r="R20" i="40"/>
  <c r="B25" i="64"/>
  <c r="V18" i="64"/>
  <c r="AB24" i="40"/>
  <c r="AA19" i="25"/>
  <c r="W20" i="64"/>
  <c r="AG28" i="64"/>
  <c r="S22" i="25"/>
  <c r="R26" i="25"/>
  <c r="AA25" i="40"/>
  <c r="D30" i="64"/>
  <c r="AD14" i="25"/>
  <c r="C11" i="40"/>
  <c r="J17" i="40"/>
  <c r="W10" i="25"/>
  <c r="H21" i="40"/>
  <c r="AI31" i="25"/>
  <c r="AA12" i="40"/>
  <c r="Y31" i="25"/>
  <c r="I16" i="40"/>
  <c r="K31" i="66"/>
  <c r="Y28" i="66"/>
  <c r="M20" i="66"/>
  <c r="M7" i="66"/>
  <c r="X24" i="66"/>
  <c r="J21" i="66"/>
  <c r="Y32" i="66"/>
  <c r="AI27" i="66"/>
  <c r="V11" i="66"/>
  <c r="AB28" i="66"/>
  <c r="B16" i="40"/>
  <c r="Y13" i="25"/>
  <c r="AB21" i="66"/>
  <c r="H22" i="25"/>
  <c r="J29" i="64"/>
  <c r="C11" i="64"/>
  <c r="M13" i="25"/>
  <c r="AG21" i="25"/>
  <c r="P12" i="25"/>
  <c r="AD25" i="64"/>
  <c r="F9" i="25"/>
  <c r="P26" i="66"/>
  <c r="I16" i="66"/>
  <c r="S23" i="66"/>
  <c r="I10" i="66"/>
  <c r="D24" i="66"/>
  <c r="G25" i="66"/>
  <c r="J25" i="66"/>
  <c r="AB23" i="66"/>
  <c r="C29" i="25"/>
  <c r="AE9" i="66"/>
  <c r="H21" i="66"/>
  <c r="P20" i="25"/>
  <c r="O11" i="40"/>
  <c r="AI21" i="40"/>
  <c r="F29" i="64"/>
  <c r="Y13" i="40"/>
  <c r="AF27" i="25"/>
  <c r="D28" i="64"/>
  <c r="L25" i="66"/>
  <c r="U24" i="25"/>
  <c r="AD29" i="25"/>
  <c r="M25" i="66"/>
  <c r="E27" i="66"/>
  <c r="F30" i="66"/>
  <c r="AG10" i="66"/>
  <c r="AE26" i="66"/>
  <c r="AA24" i="66"/>
  <c r="Z16" i="66"/>
  <c r="H7" i="25"/>
  <c r="AI29" i="66"/>
  <c r="W27" i="66"/>
  <c r="AA27" i="25"/>
  <c r="S13" i="40"/>
  <c r="K24" i="40"/>
  <c r="Q19" i="25"/>
  <c r="Q24" i="66"/>
  <c r="B33" i="66"/>
  <c r="W27" i="64"/>
  <c r="K30" i="64"/>
  <c r="AF22" i="40"/>
  <c r="T7" i="25"/>
  <c r="AA32" i="25"/>
  <c r="AE20" i="66"/>
  <c r="Q18" i="66"/>
  <c r="G23" i="66"/>
  <c r="W31" i="66"/>
  <c r="G8" i="66"/>
  <c r="AI11" i="66"/>
  <c r="Q8" i="66"/>
  <c r="AC22" i="25"/>
  <c r="AC16" i="66"/>
  <c r="C21" i="66"/>
  <c r="B24" i="40"/>
  <c r="S20" i="40"/>
  <c r="AD21" i="25"/>
  <c r="AD33" i="25"/>
  <c r="W14" i="66"/>
  <c r="R10" i="25"/>
  <c r="J23" i="40"/>
  <c r="T13" i="25"/>
  <c r="X25" i="25"/>
  <c r="R11" i="25"/>
  <c r="H33" i="66"/>
  <c r="C29" i="64"/>
  <c r="L10" i="40"/>
  <c r="F11" i="64"/>
  <c r="AC32" i="25"/>
  <c r="F18" i="64"/>
  <c r="W20" i="25"/>
  <c r="AB22" i="40"/>
  <c r="M25" i="25"/>
  <c r="Y18" i="25"/>
  <c r="O21" i="40"/>
  <c r="W23" i="25"/>
  <c r="Z25" i="40"/>
  <c r="AF17" i="25"/>
  <c r="V33" i="25"/>
  <c r="AA30" i="64"/>
  <c r="AG24" i="64"/>
  <c r="AE17" i="40"/>
  <c r="AG27" i="64"/>
  <c r="J10" i="25"/>
  <c r="I21" i="25"/>
  <c r="G11" i="64"/>
  <c r="F7" i="25"/>
  <c r="C18" i="40"/>
  <c r="AD10" i="40"/>
  <c r="AG16" i="64"/>
  <c r="J24" i="25"/>
  <c r="AH26" i="25"/>
  <c r="AF13" i="25"/>
  <c r="K18" i="40"/>
  <c r="AI15" i="64"/>
  <c r="C14" i="25"/>
  <c r="B23" i="64"/>
  <c r="M28" i="25"/>
  <c r="G20" i="64"/>
  <c r="E19" i="25"/>
  <c r="I20" i="40"/>
  <c r="C20" i="25"/>
  <c r="X20" i="25"/>
  <c r="G23" i="64"/>
  <c r="T9" i="25"/>
  <c r="H30" i="25"/>
  <c r="J7" i="40"/>
  <c r="AF29" i="25"/>
  <c r="M15" i="40"/>
  <c r="N9" i="40"/>
  <c r="M9" i="64"/>
  <c r="X21" i="64"/>
  <c r="K15" i="64"/>
  <c r="F21" i="64"/>
  <c r="AD27" i="66"/>
  <c r="AF33" i="66"/>
  <c r="B23" i="66"/>
  <c r="E32" i="66"/>
  <c r="M10" i="66"/>
  <c r="AC13" i="66"/>
  <c r="AA13" i="40"/>
  <c r="M8" i="66"/>
  <c r="U29" i="66"/>
  <c r="H10" i="40"/>
  <c r="AF7" i="40"/>
  <c r="C7" i="40"/>
  <c r="O8" i="66"/>
  <c r="AE20" i="25"/>
  <c r="Q23" i="40"/>
  <c r="E9" i="64"/>
  <c r="D21" i="25"/>
  <c r="AB18" i="40"/>
  <c r="V23" i="25"/>
  <c r="S29" i="66"/>
  <c r="O10" i="25"/>
  <c r="X22" i="66"/>
  <c r="Z7" i="66"/>
  <c r="Z23" i="66"/>
  <c r="P25" i="66"/>
  <c r="E26" i="66"/>
  <c r="AA22" i="66"/>
  <c r="AD20" i="66"/>
  <c r="P17" i="66"/>
  <c r="D23" i="66"/>
  <c r="K22" i="66"/>
  <c r="AD10" i="64"/>
  <c r="N18" i="25"/>
  <c r="AB29" i="25"/>
  <c r="J27" i="64"/>
  <c r="Y17" i="25"/>
  <c r="G27" i="66"/>
  <c r="T19" i="25"/>
  <c r="X19" i="40"/>
  <c r="N32" i="25"/>
  <c r="P13" i="25"/>
  <c r="AD11" i="25"/>
  <c r="AH16" i="66"/>
  <c r="Y23" i="66"/>
  <c r="AA10" i="66"/>
  <c r="W23" i="66"/>
  <c r="S22" i="66"/>
  <c r="V23" i="66"/>
  <c r="G14" i="66"/>
  <c r="M23" i="25"/>
  <c r="Z20" i="66"/>
  <c r="E11" i="66"/>
  <c r="U11" i="40"/>
  <c r="AI15" i="40"/>
  <c r="I17" i="40"/>
  <c r="N26" i="64"/>
  <c r="G31" i="66"/>
  <c r="O23" i="64"/>
  <c r="Q15" i="25"/>
  <c r="S21" i="40"/>
  <c r="M21" i="25"/>
  <c r="U17" i="40"/>
  <c r="P31" i="25"/>
  <c r="U30" i="66"/>
  <c r="AG18" i="66"/>
  <c r="L26" i="66"/>
  <c r="J20" i="66"/>
  <c r="AI7" i="66"/>
  <c r="U10" i="66"/>
  <c r="AA14" i="66"/>
  <c r="Z22" i="66"/>
  <c r="M24" i="25"/>
  <c r="N12" i="66"/>
  <c r="C20" i="66"/>
  <c r="C9" i="66"/>
  <c r="W33" i="66"/>
  <c r="L18" i="25"/>
  <c r="E29" i="66"/>
  <c r="AE21" i="40"/>
  <c r="Q19" i="40"/>
  <c r="AE27" i="25"/>
  <c r="AF30" i="64"/>
  <c r="U10" i="25"/>
  <c r="M22" i="40"/>
  <c r="V13" i="25"/>
  <c r="U12" i="40"/>
  <c r="S9" i="40"/>
  <c r="AG33" i="25"/>
  <c r="L20" i="64"/>
  <c r="Q24" i="64"/>
  <c r="O28" i="25"/>
  <c r="Q25" i="40"/>
  <c r="K30" i="25"/>
  <c r="AI25" i="25"/>
  <c r="Q21" i="25"/>
  <c r="Z15" i="25"/>
  <c r="F19" i="40"/>
  <c r="B14" i="25"/>
  <c r="Y26" i="25"/>
  <c r="H12" i="25"/>
  <c r="C17" i="25"/>
  <c r="F10" i="25"/>
  <c r="K10" i="40"/>
  <c r="L21" i="40"/>
  <c r="AB23" i="25"/>
  <c r="D22" i="25"/>
  <c r="N22" i="25"/>
  <c r="AE29" i="25"/>
  <c r="I10" i="25"/>
  <c r="M7" i="40"/>
  <c r="N14" i="64"/>
  <c r="Q27" i="25"/>
  <c r="AH25" i="64"/>
  <c r="N15" i="40"/>
  <c r="L21" i="25"/>
  <c r="G18" i="25"/>
  <c r="Q17" i="64"/>
  <c r="B26" i="25"/>
  <c r="AF14" i="25"/>
  <c r="T29" i="25"/>
  <c r="P27" i="64"/>
  <c r="W9" i="40"/>
  <c r="R17" i="40"/>
  <c r="Y8" i="40"/>
  <c r="AD26" i="40"/>
  <c r="R21" i="25"/>
  <c r="S30" i="64"/>
  <c r="H16" i="64"/>
  <c r="Z30" i="64"/>
  <c r="Q15" i="40"/>
  <c r="AG19" i="40"/>
  <c r="G19" i="64"/>
  <c r="E21" i="40"/>
  <c r="D29" i="25"/>
  <c r="X23" i="64"/>
  <c r="G22" i="40"/>
  <c r="AA18" i="25"/>
  <c r="B11" i="40"/>
  <c r="L28" i="64"/>
  <c r="F24" i="25"/>
  <c r="J14" i="25"/>
  <c r="S16" i="64"/>
  <c r="Y24" i="25"/>
  <c r="B29" i="25"/>
  <c r="X23" i="40"/>
  <c r="AE23" i="40"/>
  <c r="L18" i="40"/>
  <c r="I26" i="64"/>
  <c r="AB8" i="40"/>
  <c r="H18" i="25"/>
  <c r="Y25" i="40"/>
  <c r="Z22" i="40"/>
  <c r="AC8" i="25"/>
  <c r="L12" i="25"/>
  <c r="AI32" i="25"/>
  <c r="Y17" i="40"/>
  <c r="AF25" i="40"/>
  <c r="Y18" i="64"/>
  <c r="T8" i="64"/>
  <c r="P7" i="25"/>
  <c r="W25" i="64"/>
  <c r="K28" i="66"/>
  <c r="V32" i="66"/>
  <c r="M22" i="66"/>
  <c r="J22" i="66"/>
  <c r="F24" i="66"/>
  <c r="V22" i="40"/>
  <c r="L17" i="66"/>
  <c r="AI25" i="66"/>
  <c r="T28" i="66"/>
  <c r="T27" i="66"/>
  <c r="E13" i="25"/>
  <c r="H7" i="40"/>
  <c r="C9" i="25"/>
  <c r="Q16" i="25"/>
  <c r="X14" i="40"/>
  <c r="D23" i="40"/>
  <c r="AC12" i="25"/>
  <c r="F27" i="25"/>
  <c r="AA12" i="25"/>
  <c r="Q14" i="40"/>
  <c r="T33" i="25"/>
  <c r="B16" i="66"/>
  <c r="O32" i="66"/>
  <c r="P16" i="66"/>
  <c r="F7" i="66"/>
  <c r="P32" i="66"/>
  <c r="I13" i="66"/>
  <c r="AE13" i="66"/>
  <c r="AF12" i="66"/>
  <c r="M17" i="25"/>
  <c r="Q22" i="66"/>
  <c r="H24" i="66"/>
  <c r="H17" i="66"/>
  <c r="AF33" i="25"/>
  <c r="AE7" i="25"/>
  <c r="AF8" i="40"/>
  <c r="X10" i="40"/>
  <c r="AI22" i="25"/>
  <c r="AC26" i="64"/>
  <c r="C22" i="25"/>
  <c r="P10" i="40"/>
  <c r="F13" i="40"/>
  <c r="E20" i="66"/>
  <c r="K10" i="66"/>
  <c r="P33" i="66"/>
  <c r="B27" i="66"/>
  <c r="AC11" i="66"/>
  <c r="U24" i="66"/>
  <c r="O25" i="66"/>
  <c r="R27" i="66"/>
  <c r="AI20" i="66"/>
  <c r="Z17" i="66"/>
  <c r="AF21" i="40"/>
  <c r="E27" i="64"/>
  <c r="E11" i="25"/>
  <c r="Q28" i="66"/>
  <c r="H28" i="25"/>
  <c r="V12" i="40"/>
  <c r="AG13" i="40"/>
  <c r="AG23" i="40"/>
  <c r="C25" i="40"/>
  <c r="I13" i="40"/>
  <c r="S30" i="66"/>
  <c r="AC24" i="66"/>
  <c r="U33" i="66"/>
  <c r="E31" i="66"/>
  <c r="R33" i="66"/>
  <c r="K19" i="66"/>
  <c r="I30" i="66"/>
  <c r="P30" i="66"/>
  <c r="W25" i="40"/>
  <c r="AD23" i="66"/>
  <c r="F17" i="66"/>
  <c r="K10" i="25"/>
  <c r="AB7" i="25"/>
  <c r="L10" i="25"/>
  <c r="N15" i="66"/>
  <c r="D21" i="66"/>
  <c r="F28" i="64"/>
  <c r="G29" i="64"/>
  <c r="H12" i="64"/>
  <c r="X32" i="25"/>
  <c r="AG26" i="25"/>
  <c r="K21" i="40"/>
  <c r="AH17" i="25"/>
  <c r="AE11" i="25"/>
  <c r="AB18" i="25"/>
  <c r="Q21" i="40"/>
  <c r="AE8" i="25"/>
  <c r="O10" i="40"/>
  <c r="C13" i="25"/>
  <c r="N22" i="40"/>
  <c r="B31" i="25"/>
  <c r="Z12" i="40"/>
  <c r="X14" i="25"/>
  <c r="AF12" i="25"/>
  <c r="D13" i="25"/>
  <c r="O26" i="40"/>
  <c r="V25" i="64"/>
  <c r="AG12" i="25"/>
  <c r="F23" i="25"/>
  <c r="AA14" i="40"/>
  <c r="AI16" i="40"/>
  <c r="G17" i="40"/>
  <c r="D12" i="40"/>
  <c r="J9" i="25"/>
  <c r="S26" i="64"/>
  <c r="E11" i="40"/>
  <c r="P22" i="40"/>
  <c r="K24" i="25"/>
  <c r="L11" i="40"/>
  <c r="AI19" i="40"/>
  <c r="L14" i="40"/>
  <c r="L24" i="64"/>
  <c r="D10" i="25"/>
  <c r="AC8" i="40"/>
  <c r="X23" i="25"/>
  <c r="W31" i="25"/>
  <c r="K27" i="64"/>
  <c r="Z9" i="40"/>
  <c r="X16" i="64"/>
  <c r="R13" i="25"/>
  <c r="AB21" i="40"/>
  <c r="AF11" i="40"/>
  <c r="AH13" i="25"/>
  <c r="M11" i="40"/>
  <c r="C21" i="40"/>
  <c r="AG29" i="64"/>
  <c r="P33" i="25"/>
  <c r="I23" i="40"/>
  <c r="AC14" i="40"/>
  <c r="H32" i="25"/>
  <c r="Y11" i="25"/>
  <c r="W7" i="40"/>
  <c r="E22" i="40"/>
  <c r="O27" i="64"/>
  <c r="H15" i="25"/>
  <c r="T21" i="25"/>
  <c r="P9" i="40"/>
  <c r="AG20" i="40"/>
  <c r="S17" i="25"/>
  <c r="P26" i="40"/>
  <c r="N14" i="40"/>
  <c r="AG8" i="25"/>
  <c r="B21" i="40"/>
  <c r="AB24" i="25"/>
  <c r="M10" i="40"/>
  <c r="D20" i="25"/>
  <c r="N17" i="40"/>
  <c r="P22" i="25"/>
  <c r="W32" i="25"/>
  <c r="AI25" i="40"/>
  <c r="K22" i="25"/>
  <c r="S9" i="25"/>
  <c r="D15" i="40"/>
  <c r="Y9" i="40"/>
  <c r="AH16" i="25"/>
  <c r="S18" i="40"/>
  <c r="K31" i="25"/>
  <c r="Z18" i="25"/>
  <c r="T15" i="40"/>
  <c r="P27" i="25"/>
  <c r="S24" i="64"/>
  <c r="Q29" i="25"/>
  <c r="AH7" i="66"/>
  <c r="B10" i="66"/>
  <c r="U7" i="66"/>
  <c r="J9" i="66"/>
  <c r="I31" i="66"/>
  <c r="AB16" i="25"/>
  <c r="Q20" i="66"/>
  <c r="AE23" i="66"/>
  <c r="N9" i="66"/>
  <c r="H31" i="66"/>
  <c r="AE8" i="40"/>
  <c r="K7" i="64"/>
  <c r="I32" i="66"/>
  <c r="AH13" i="40"/>
  <c r="K19" i="25"/>
  <c r="S14" i="25"/>
  <c r="AA23" i="64"/>
  <c r="I30" i="25"/>
  <c r="E26" i="40"/>
  <c r="P24" i="25"/>
  <c r="AG14" i="25"/>
  <c r="L15" i="66"/>
  <c r="T14" i="66"/>
  <c r="W22" i="66"/>
  <c r="AB32" i="66"/>
  <c r="W25" i="66"/>
  <c r="N31" i="66"/>
  <c r="F18" i="66"/>
  <c r="O31" i="66"/>
  <c r="D11" i="25"/>
  <c r="T19" i="66"/>
  <c r="D30" i="66"/>
  <c r="N27" i="25"/>
  <c r="K29" i="64"/>
  <c r="AE29" i="64"/>
  <c r="G21" i="25"/>
  <c r="R19" i="40"/>
  <c r="M22" i="25"/>
  <c r="C23" i="40"/>
  <c r="X13" i="40"/>
  <c r="AC17" i="64"/>
  <c r="I28" i="66"/>
  <c r="J33" i="66"/>
  <c r="G22" i="66"/>
  <c r="K16" i="66"/>
  <c r="N11" i="66"/>
  <c r="G15" i="66"/>
  <c r="N20" i="66"/>
  <c r="L31" i="66"/>
  <c r="S25" i="25"/>
  <c r="S10" i="66"/>
  <c r="AG9" i="66"/>
  <c r="L8" i="64"/>
  <c r="AH22" i="25"/>
  <c r="AF23" i="25"/>
  <c r="T10" i="66"/>
  <c r="AG29" i="25"/>
  <c r="AD24" i="40"/>
  <c r="L23" i="64"/>
  <c r="T13" i="40"/>
  <c r="F28" i="25"/>
  <c r="AA25" i="25"/>
  <c r="B9" i="40"/>
  <c r="AF21" i="66"/>
  <c r="AF24" i="66"/>
  <c r="N25" i="66"/>
  <c r="J26" i="66"/>
  <c r="AA19" i="66"/>
  <c r="I11" i="66"/>
  <c r="AB12" i="66"/>
  <c r="C9" i="40"/>
  <c r="AD29" i="66"/>
  <c r="B18" i="66"/>
  <c r="R30" i="25"/>
  <c r="O16" i="25"/>
  <c r="O11" i="25"/>
  <c r="E27" i="25"/>
  <c r="H13" i="66"/>
  <c r="AF13" i="40"/>
  <c r="Z32" i="25"/>
  <c r="B30" i="66"/>
  <c r="AG29" i="66"/>
  <c r="Z13" i="25"/>
  <c r="V27" i="25"/>
  <c r="B28" i="64"/>
  <c r="D16" i="64"/>
  <c r="X24" i="40"/>
  <c r="AD16" i="25"/>
  <c r="AC18" i="64"/>
  <c r="C30" i="64"/>
  <c r="AH18" i="64"/>
  <c r="W11" i="64"/>
  <c r="AG7" i="40"/>
  <c r="K26" i="64"/>
  <c r="Y9" i="64"/>
  <c r="N16" i="25"/>
  <c r="AH21" i="40"/>
  <c r="L26" i="40"/>
  <c r="AC23" i="25"/>
  <c r="W13" i="40"/>
  <c r="H11" i="25"/>
  <c r="AD14" i="40"/>
  <c r="AF9" i="64"/>
  <c r="AE10" i="40"/>
  <c r="AB32" i="25"/>
  <c r="AF24" i="40"/>
  <c r="AG24" i="40"/>
  <c r="T22" i="25"/>
  <c r="D19" i="25"/>
  <c r="AG18" i="25"/>
  <c r="X15" i="40"/>
  <c r="V31" i="25"/>
  <c r="E30" i="25"/>
  <c r="B14" i="64"/>
  <c r="M9" i="25"/>
  <c r="AH23" i="25"/>
  <c r="AA16" i="25"/>
  <c r="AF28" i="64"/>
  <c r="N12" i="40"/>
  <c r="B13" i="64"/>
  <c r="T24" i="25"/>
  <c r="AH25" i="40"/>
  <c r="AG27" i="25"/>
  <c r="B18" i="25"/>
  <c r="H19" i="25"/>
  <c r="M7" i="25"/>
  <c r="L25" i="64"/>
  <c r="AB25" i="25"/>
  <c r="AA19" i="64"/>
  <c r="G11" i="25"/>
  <c r="AD15" i="64"/>
  <c r="AF10" i="25"/>
  <c r="AB11" i="40"/>
  <c r="O7" i="40"/>
  <c r="AE25" i="25"/>
  <c r="Q26" i="25"/>
  <c r="N23" i="25"/>
  <c r="P19" i="40"/>
  <c r="L22" i="40"/>
  <c r="S12" i="40"/>
  <c r="AI14" i="40"/>
  <c r="Q18" i="25"/>
  <c r="D32" i="25"/>
  <c r="D29" i="64"/>
  <c r="N7" i="40"/>
  <c r="AH20" i="25"/>
  <c r="W12" i="25"/>
  <c r="Q9" i="40"/>
  <c r="AI22" i="40"/>
  <c r="AD10" i="25"/>
  <c r="AH10" i="40"/>
  <c r="AA22" i="25"/>
  <c r="AH23" i="64"/>
  <c r="Y8" i="25"/>
  <c r="R23" i="64"/>
  <c r="W13" i="25"/>
  <c r="I15" i="25"/>
  <c r="AG7" i="25"/>
  <c r="Q7" i="25"/>
  <c r="J16" i="40"/>
  <c r="L29" i="25"/>
  <c r="O24" i="64"/>
  <c r="B13" i="40"/>
  <c r="AB29" i="66"/>
  <c r="B14" i="66"/>
  <c r="P10" i="66"/>
  <c r="AB25" i="66"/>
  <c r="G7" i="66"/>
  <c r="I8" i="66"/>
  <c r="H23" i="66"/>
  <c r="C8" i="66"/>
  <c r="X20" i="66"/>
  <c r="D33" i="66"/>
  <c r="B7" i="25"/>
  <c r="Y14" i="64"/>
  <c r="C24" i="66"/>
  <c r="AD32" i="25"/>
  <c r="E14" i="66"/>
  <c r="B30" i="25"/>
  <c r="P17" i="40"/>
  <c r="AI17" i="25"/>
  <c r="J17" i="25"/>
  <c r="F25" i="40"/>
  <c r="N15" i="25"/>
  <c r="G20" i="25"/>
  <c r="C22" i="66"/>
  <c r="B13" i="66"/>
  <c r="D26" i="66"/>
  <c r="AH13" i="66"/>
  <c r="M18" i="66"/>
  <c r="N14" i="66"/>
  <c r="Q25" i="66"/>
  <c r="H18" i="66"/>
  <c r="AE20" i="40"/>
  <c r="C15" i="25"/>
  <c r="F7" i="40"/>
  <c r="T26" i="66"/>
  <c r="J8" i="40"/>
  <c r="Y14" i="40"/>
  <c r="AD15" i="25"/>
  <c r="AB23" i="40"/>
  <c r="X24" i="25"/>
  <c r="K15" i="25"/>
  <c r="AA31" i="25"/>
  <c r="AC10" i="40"/>
  <c r="AE24" i="64"/>
  <c r="AE12" i="66"/>
  <c r="AE16" i="66"/>
  <c r="AF30" i="66"/>
  <c r="B21" i="66"/>
  <c r="AI31" i="66"/>
  <c r="AB8" i="66"/>
  <c r="X27" i="66"/>
  <c r="Q30" i="66"/>
  <c r="D16" i="25"/>
  <c r="V28" i="66"/>
  <c r="N21" i="66"/>
  <c r="V9" i="66"/>
  <c r="AH24" i="25"/>
  <c r="AC7" i="25"/>
  <c r="W15" i="25"/>
  <c r="O19" i="25"/>
  <c r="T19" i="40"/>
  <c r="G10" i="40"/>
  <c r="AF19" i="40"/>
  <c r="B23" i="25"/>
  <c r="M30" i="66"/>
  <c r="F31" i="66"/>
  <c r="AB7" i="66"/>
  <c r="AH29" i="66"/>
  <c r="T13" i="66"/>
  <c r="C32" i="66"/>
  <c r="AC25" i="66"/>
  <c r="AI13" i="66"/>
  <c r="X31" i="66"/>
  <c r="R18" i="66"/>
  <c r="L29" i="66"/>
  <c r="T25" i="66"/>
  <c r="X29" i="25"/>
  <c r="O20" i="25"/>
  <c r="I32" i="25"/>
  <c r="P15" i="40"/>
  <c r="O29" i="66"/>
  <c r="AI18" i="40"/>
  <c r="R24" i="25"/>
  <c r="X31" i="25"/>
  <c r="E23" i="25"/>
  <c r="O30" i="25"/>
  <c r="O13" i="40"/>
  <c r="AF21" i="25"/>
  <c r="B10" i="64"/>
  <c r="AA18" i="40"/>
  <c r="R25" i="40"/>
  <c r="C7" i="25"/>
  <c r="O18" i="25"/>
  <c r="O20" i="40"/>
  <c r="P16" i="40"/>
  <c r="AB33" i="25"/>
  <c r="V21" i="25"/>
  <c r="N21" i="40"/>
  <c r="X19" i="25"/>
  <c r="S7" i="25"/>
  <c r="F26" i="40"/>
  <c r="D8" i="25"/>
  <c r="Q30" i="25"/>
  <c r="AF23" i="64"/>
  <c r="AC9" i="25"/>
  <c r="AH12" i="40"/>
  <c r="AB15" i="25"/>
  <c r="Z7" i="25"/>
  <c r="K26" i="25"/>
  <c r="H18" i="40"/>
  <c r="AC16" i="40"/>
  <c r="AF14" i="40"/>
  <c r="H14" i="25"/>
  <c r="AH19" i="40"/>
  <c r="O8" i="25"/>
  <c r="AB25" i="40"/>
  <c r="N28" i="25"/>
  <c r="AD21" i="64"/>
  <c r="U32" i="25"/>
  <c r="D23" i="25"/>
  <c r="L17" i="40"/>
  <c r="V8" i="40"/>
  <c r="V32" i="25"/>
  <c r="F30" i="25"/>
  <c r="L16" i="40"/>
  <c r="G16" i="40"/>
  <c r="AC24" i="40"/>
  <c r="G16" i="25"/>
  <c r="E22" i="25"/>
  <c r="M20" i="25"/>
  <c r="AA15" i="40"/>
  <c r="U26" i="64"/>
  <c r="N9" i="25"/>
  <c r="AI7" i="64"/>
  <c r="L25" i="40"/>
  <c r="AI12" i="25"/>
  <c r="S20" i="25"/>
  <c r="U8" i="40"/>
  <c r="N30" i="25"/>
  <c r="AD18" i="64"/>
  <c r="S19" i="40"/>
  <c r="R26" i="64"/>
  <c r="G22" i="25"/>
  <c r="K25" i="40"/>
  <c r="I12" i="25"/>
  <c r="Q25" i="25"/>
  <c r="K22" i="40"/>
  <c r="R16" i="40"/>
  <c r="V15" i="64"/>
  <c r="F8" i="40"/>
  <c r="H8" i="40"/>
  <c r="F19" i="25"/>
  <c r="K9" i="40"/>
  <c r="U26" i="40"/>
  <c r="B17" i="40"/>
  <c r="AE13" i="40"/>
  <c r="C26" i="40"/>
  <c r="F14" i="25"/>
  <c r="R29" i="25"/>
  <c r="AC20" i="40"/>
  <c r="AG9" i="64"/>
  <c r="I18" i="25"/>
  <c r="G15" i="25"/>
  <c r="AB15" i="40"/>
  <c r="I21" i="40"/>
  <c r="AF25" i="66"/>
  <c r="F20" i="40"/>
  <c r="S30" i="25"/>
  <c r="Z20" i="40"/>
  <c r="Z7" i="40"/>
  <c r="F14" i="64"/>
  <c r="AE21" i="25"/>
  <c r="W11" i="40"/>
  <c r="AG28" i="25"/>
  <c r="T11" i="25"/>
  <c r="O29" i="25"/>
  <c r="V30" i="64"/>
  <c r="AB8" i="25"/>
  <c r="L28" i="25"/>
  <c r="H22" i="40"/>
  <c r="AE15" i="64"/>
  <c r="T26" i="25"/>
  <c r="P8" i="25"/>
  <c r="X17" i="25"/>
  <c r="AC14" i="66"/>
  <c r="AA8" i="66"/>
  <c r="M31" i="66"/>
  <c r="K32" i="66"/>
  <c r="Q10" i="66"/>
  <c r="F29" i="66"/>
  <c r="T15" i="66"/>
  <c r="C14" i="66"/>
  <c r="T25" i="40"/>
  <c r="O7" i="66"/>
  <c r="C7" i="66"/>
  <c r="X18" i="66"/>
  <c r="X26" i="25"/>
  <c r="E7" i="25"/>
  <c r="Y10" i="66"/>
  <c r="J13" i="40"/>
  <c r="U20" i="25"/>
  <c r="AE9" i="40"/>
  <c r="AF20" i="25"/>
  <c r="S26" i="40"/>
  <c r="F18" i="40"/>
  <c r="D21" i="40"/>
  <c r="B8" i="66"/>
  <c r="AH31" i="66"/>
  <c r="G19" i="66"/>
  <c r="P21" i="66"/>
  <c r="AD25" i="66"/>
  <c r="S11" i="40"/>
  <c r="G33" i="66"/>
  <c r="Z24" i="66"/>
  <c r="M15" i="66"/>
  <c r="T22" i="40"/>
  <c r="R25" i="25"/>
  <c r="E28" i="66"/>
  <c r="P23" i="25"/>
  <c r="F10" i="40"/>
  <c r="G33" i="25"/>
  <c r="Q17" i="25"/>
  <c r="V14" i="64"/>
  <c r="G9" i="40"/>
  <c r="AA9" i="66"/>
  <c r="C33" i="25"/>
  <c r="AD12" i="25"/>
  <c r="AH21" i="66"/>
  <c r="Q21" i="66"/>
  <c r="AF11" i="66"/>
  <c r="F14" i="66"/>
  <c r="AH32" i="66"/>
  <c r="S25" i="66"/>
  <c r="U19" i="66"/>
  <c r="Q16" i="66"/>
  <c r="T7" i="40"/>
  <c r="AC7" i="66"/>
  <c r="N26" i="66"/>
  <c r="J18" i="40"/>
  <c r="AD22" i="25"/>
  <c r="U29" i="25"/>
  <c r="S18" i="25"/>
  <c r="AF32" i="66"/>
  <c r="R33" i="25"/>
  <c r="B27" i="64"/>
  <c r="AI20" i="25"/>
  <c r="E32" i="25"/>
  <c r="AB28" i="25"/>
  <c r="J15" i="66"/>
  <c r="AE7" i="66"/>
  <c r="B31" i="66"/>
  <c r="T16" i="66"/>
  <c r="H15" i="66"/>
  <c r="AD26" i="66"/>
  <c r="D12" i="66"/>
  <c r="AC30" i="66"/>
  <c r="G12" i="66"/>
  <c r="W13" i="66"/>
  <c r="G25" i="40"/>
  <c r="J22" i="40"/>
  <c r="AD13" i="40"/>
  <c r="B18" i="40"/>
  <c r="C17" i="40"/>
  <c r="AA29" i="25"/>
  <c r="AB22" i="25"/>
  <c r="E24" i="25"/>
  <c r="Z26" i="40"/>
  <c r="AC25" i="40"/>
  <c r="S14" i="40"/>
  <c r="X22" i="64"/>
  <c r="V20" i="40"/>
  <c r="U21" i="64"/>
  <c r="B20" i="25"/>
  <c r="M19" i="25"/>
  <c r="AH24" i="40"/>
  <c r="P17" i="25"/>
  <c r="Q24" i="40"/>
  <c r="L17" i="25"/>
  <c r="U16" i="40"/>
  <c r="AE17" i="25"/>
  <c r="X20" i="64"/>
  <c r="L24" i="40"/>
  <c r="V15" i="40"/>
  <c r="U10" i="40"/>
  <c r="AI9" i="25"/>
  <c r="AI21" i="25"/>
  <c r="O14" i="25"/>
  <c r="AH30" i="25"/>
  <c r="AG20" i="64"/>
  <c r="L13" i="40"/>
  <c r="Y21" i="40"/>
  <c r="W19" i="25"/>
  <c r="M15" i="25"/>
  <c r="J9" i="64"/>
  <c r="H24" i="40"/>
  <c r="O22" i="25"/>
  <c r="AF9" i="40"/>
  <c r="AH12" i="25"/>
  <c r="AI7" i="40"/>
  <c r="J31" i="25"/>
  <c r="K8" i="25"/>
  <c r="AE16" i="25"/>
  <c r="J10" i="40"/>
  <c r="V17" i="25"/>
  <c r="W30" i="25"/>
  <c r="N19" i="25"/>
  <c r="O24" i="40"/>
  <c r="AB19" i="40"/>
  <c r="J26" i="25"/>
  <c r="C19" i="64"/>
  <c r="W27" i="25"/>
  <c r="D12" i="64"/>
  <c r="AE19" i="25"/>
  <c r="X26" i="40"/>
  <c r="J22" i="25"/>
  <c r="W11" i="25"/>
  <c r="AI8" i="25"/>
  <c r="H23" i="40"/>
  <c r="K13" i="25"/>
  <c r="D7" i="40"/>
  <c r="J32" i="25"/>
  <c r="AA7" i="64"/>
  <c r="R10" i="64"/>
  <c r="AI18" i="25"/>
  <c r="L15" i="40"/>
  <c r="C24" i="25"/>
  <c r="AH28" i="64"/>
  <c r="Z10" i="25"/>
  <c r="AG13" i="25"/>
  <c r="H19" i="40"/>
  <c r="Z10" i="40"/>
  <c r="X7" i="25"/>
  <c r="M31" i="25"/>
  <c r="R13" i="40"/>
  <c r="L29" i="64"/>
  <c r="X9" i="25"/>
  <c r="I25" i="25"/>
  <c r="AC9" i="40"/>
  <c r="U13" i="64"/>
  <c r="AI23" i="40"/>
  <c r="I22" i="64"/>
  <c r="G20" i="40"/>
  <c r="L7" i="40"/>
  <c r="P25" i="25"/>
  <c r="K13" i="40"/>
  <c r="K21" i="66"/>
  <c r="AF31" i="66"/>
  <c r="H9" i="66"/>
  <c r="Q19" i="66"/>
  <c r="AF20" i="66"/>
  <c r="AG27" i="66"/>
  <c r="O27" i="66"/>
  <c r="F20" i="25"/>
  <c r="O15" i="66"/>
  <c r="AI24" i="66"/>
  <c r="V15" i="25"/>
  <c r="AA29" i="64"/>
  <c r="I13" i="64"/>
  <c r="N30" i="66"/>
  <c r="U21" i="66"/>
  <c r="AG33" i="66"/>
  <c r="D19" i="40"/>
  <c r="H11" i="40"/>
  <c r="I17" i="64"/>
  <c r="C30" i="25"/>
  <c r="R15" i="25"/>
  <c r="AC25" i="25"/>
  <c r="Y13" i="66"/>
  <c r="M33" i="66"/>
  <c r="O11" i="66"/>
  <c r="Y30" i="66"/>
  <c r="AC9" i="66"/>
  <c r="V8" i="66"/>
  <c r="D19" i="66"/>
  <c r="U31" i="66"/>
  <c r="O23" i="66"/>
  <c r="AA12" i="66"/>
  <c r="G21" i="40"/>
  <c r="Z24" i="25"/>
  <c r="B8" i="40"/>
  <c r="N24" i="66"/>
  <c r="C26" i="25"/>
  <c r="V10" i="25"/>
  <c r="O15" i="25"/>
  <c r="L8" i="40"/>
  <c r="AE32" i="25"/>
  <c r="G24" i="64"/>
  <c r="AF15" i="40"/>
  <c r="AB17" i="66"/>
  <c r="U32" i="66"/>
  <c r="AA21" i="66"/>
  <c r="AG32" i="66"/>
  <c r="AA15" i="66"/>
  <c r="V10" i="66"/>
  <c r="V21" i="66"/>
  <c r="AF17" i="66"/>
  <c r="AA17" i="40"/>
  <c r="U12" i="66"/>
  <c r="J32" i="66"/>
  <c r="AI23" i="64"/>
  <c r="AG15" i="66"/>
  <c r="L27" i="64"/>
  <c r="AG16" i="66"/>
  <c r="W33" i="25"/>
  <c r="AE25" i="40"/>
  <c r="C19" i="25"/>
  <c r="N12" i="25"/>
  <c r="AB12" i="64"/>
  <c r="G27" i="64"/>
  <c r="Q15" i="66"/>
  <c r="AA18" i="66"/>
  <c r="AE32" i="66"/>
  <c r="H11" i="66"/>
  <c r="X14" i="66"/>
  <c r="AB15" i="66"/>
  <c r="K7" i="66"/>
  <c r="AB31" i="66"/>
  <c r="J21" i="40"/>
  <c r="Y33" i="66"/>
  <c r="AD30" i="66"/>
  <c r="O18" i="64"/>
  <c r="AF24" i="25"/>
  <c r="P16" i="25"/>
  <c r="O18" i="40"/>
  <c r="AC21" i="25"/>
  <c r="J12" i="40"/>
  <c r="D8" i="64"/>
  <c r="S26" i="25"/>
  <c r="I24" i="40"/>
  <c r="V11" i="40"/>
  <c r="T20" i="25"/>
  <c r="AG16" i="40"/>
  <c r="AH15" i="25"/>
  <c r="AC20" i="25"/>
  <c r="D24" i="40"/>
  <c r="H26" i="25"/>
  <c r="E12" i="40"/>
  <c r="AC18" i="25"/>
  <c r="G31" i="25"/>
  <c r="U27" i="64"/>
  <c r="X11" i="25"/>
  <c r="J12" i="25"/>
  <c r="C25" i="25"/>
  <c r="O23" i="25"/>
  <c r="Z25" i="25"/>
  <c r="E33" i="25"/>
  <c r="R12" i="25"/>
  <c r="Y23" i="40"/>
  <c r="AH17" i="40"/>
  <c r="F9" i="40"/>
  <c r="Y7" i="25"/>
  <c r="S16" i="25"/>
  <c r="AF27" i="64"/>
  <c r="N10" i="40"/>
  <c r="I30" i="64"/>
  <c r="AA11" i="40"/>
  <c r="AH21" i="25"/>
  <c r="V7" i="25"/>
  <c r="B28" i="25"/>
  <c r="Y7" i="40"/>
  <c r="K11" i="25"/>
  <c r="O15" i="40"/>
  <c r="AC24" i="64"/>
  <c r="Q32" i="25"/>
  <c r="J27" i="25"/>
  <c r="AH27" i="25"/>
  <c r="Q26" i="40"/>
  <c r="AI21" i="64"/>
  <c r="S8" i="25"/>
  <c r="U23" i="25"/>
  <c r="R14" i="64"/>
  <c r="C14" i="40"/>
  <c r="F11" i="40"/>
  <c r="AC12" i="64"/>
  <c r="AB10" i="25"/>
  <c r="AA26" i="25"/>
  <c r="I17" i="25"/>
  <c r="Y14" i="25"/>
  <c r="J15" i="40"/>
  <c r="E23" i="40"/>
  <c r="H20" i="40"/>
  <c r="H27" i="25"/>
  <c r="E16" i="25"/>
  <c r="O23" i="40"/>
  <c r="AC12" i="40"/>
  <c r="J21" i="64"/>
  <c r="R28" i="25"/>
  <c r="L19" i="64"/>
  <c r="T15" i="25"/>
  <c r="T10" i="25"/>
  <c r="D17" i="25"/>
  <c r="AF11" i="25"/>
  <c r="AB26" i="25"/>
  <c r="N8" i="25"/>
  <c r="I23" i="25"/>
  <c r="P24" i="40"/>
  <c r="AB27" i="64"/>
  <c r="G12" i="25"/>
  <c r="N29" i="25"/>
  <c r="G23" i="40"/>
  <c r="V14" i="25"/>
  <c r="E18" i="25"/>
  <c r="AE22" i="40"/>
  <c r="AD25" i="25"/>
  <c r="E12" i="64"/>
  <c r="W19" i="40"/>
  <c r="B8" i="25"/>
  <c r="G32" i="25"/>
  <c r="B14" i="40"/>
  <c r="X20" i="40"/>
  <c r="X23" i="66"/>
  <c r="L21" i="66"/>
  <c r="I22" i="66"/>
  <c r="AA29" i="66"/>
  <c r="Q13" i="66"/>
  <c r="Z15" i="40"/>
  <c r="AG25" i="40"/>
  <c r="AD13" i="66"/>
  <c r="Y14" i="66"/>
  <c r="O19" i="64"/>
  <c r="X17" i="40"/>
  <c r="K26" i="40"/>
  <c r="AF18" i="25"/>
  <c r="D28" i="66"/>
  <c r="P21" i="25"/>
  <c r="U14" i="40"/>
  <c r="G17" i="66"/>
  <c r="T9" i="40"/>
  <c r="P20" i="40"/>
  <c r="E19" i="40"/>
  <c r="T17" i="25"/>
  <c r="R8" i="66"/>
  <c r="V24" i="66"/>
  <c r="AB13" i="66"/>
  <c r="I7" i="66"/>
  <c r="O22" i="66"/>
  <c r="N32" i="66"/>
  <c r="AI23" i="66"/>
  <c r="AD28" i="66"/>
  <c r="S28" i="66"/>
  <c r="L20" i="25"/>
  <c r="AF31" i="25"/>
  <c r="T21" i="66"/>
  <c r="C18" i="66"/>
  <c r="G19" i="25"/>
  <c r="Z16" i="40"/>
  <c r="AE14" i="40"/>
  <c r="I26" i="40"/>
  <c r="AF25" i="25"/>
  <c r="P10" i="25"/>
  <c r="Q22" i="64"/>
  <c r="B15" i="40"/>
  <c r="F26" i="66"/>
  <c r="S11" i="66"/>
  <c r="M13" i="66"/>
  <c r="S8" i="66"/>
  <c r="AA7" i="66"/>
  <c r="AC27" i="66"/>
  <c r="P9" i="66"/>
  <c r="R11" i="66"/>
  <c r="O22" i="64"/>
  <c r="W19" i="66"/>
  <c r="Z18" i="66"/>
  <c r="G24" i="40"/>
  <c r="R20" i="25"/>
  <c r="O7" i="25"/>
  <c r="AD22" i="40"/>
  <c r="AA12" i="64"/>
  <c r="Y24" i="40"/>
  <c r="AC13" i="25"/>
  <c r="AC15" i="40"/>
  <c r="AF19" i="25"/>
  <c r="P17" i="64"/>
  <c r="R16" i="66"/>
  <c r="T24" i="66"/>
  <c r="J17" i="66"/>
  <c r="R14" i="66"/>
  <c r="O20" i="66"/>
  <c r="M21" i="66"/>
  <c r="B29" i="66"/>
  <c r="AG28" i="66"/>
  <c r="B26" i="40"/>
  <c r="L32" i="66"/>
  <c r="L7" i="66"/>
  <c r="AH9" i="40"/>
  <c r="Z14" i="40"/>
  <c r="N8" i="40"/>
  <c r="AH20" i="40"/>
  <c r="Z27" i="25"/>
  <c r="Q18" i="40"/>
  <c r="E21" i="25"/>
  <c r="AB24" i="66"/>
  <c r="O11" i="64"/>
  <c r="M20" i="64"/>
  <c r="V20" i="64"/>
  <c r="S23" i="25"/>
  <c r="F17" i="25"/>
  <c r="Z28" i="25"/>
  <c r="N14" i="25"/>
  <c r="V9" i="40"/>
  <c r="AA26" i="40"/>
  <c r="W17" i="25"/>
  <c r="N16" i="40"/>
  <c r="I14" i="25"/>
  <c r="I15" i="40"/>
  <c r="AD19" i="25"/>
  <c r="N13" i="40"/>
  <c r="H21" i="25"/>
  <c r="C22" i="40"/>
  <c r="AC17" i="25"/>
  <c r="AC21" i="40"/>
  <c r="H21" i="64"/>
  <c r="Z13" i="40"/>
  <c r="AA20" i="40"/>
  <c r="Q29" i="64"/>
  <c r="B9" i="64"/>
  <c r="AE30" i="25"/>
  <c r="S16" i="40"/>
  <c r="I29" i="25"/>
  <c r="N10" i="25"/>
  <c r="T14" i="25"/>
  <c r="J16" i="25"/>
  <c r="AC26" i="40"/>
  <c r="AF30" i="25"/>
  <c r="T8" i="40"/>
  <c r="Z24" i="64"/>
  <c r="AI22" i="64"/>
  <c r="V16" i="25"/>
  <c r="S15" i="40"/>
  <c r="H25" i="25"/>
  <c r="T23" i="64"/>
  <c r="T27" i="25"/>
  <c r="AI24" i="64"/>
  <c r="AH14" i="25"/>
  <c r="AA33" i="25"/>
  <c r="Q18" i="64"/>
  <c r="C16" i="25"/>
  <c r="M32" i="25"/>
  <c r="AC7" i="40"/>
  <c r="AH9" i="25"/>
  <c r="E14" i="25"/>
  <c r="W16" i="40"/>
  <c r="AD17" i="64"/>
  <c r="AC14" i="25"/>
  <c r="S27" i="25"/>
  <c r="I14" i="40"/>
  <c r="U27" i="25"/>
  <c r="V17" i="40"/>
  <c r="AA21" i="25"/>
  <c r="AE19" i="64"/>
  <c r="AD28" i="64"/>
  <c r="AC17" i="40"/>
  <c r="AD12" i="40"/>
  <c r="P25" i="40"/>
  <c r="K23" i="25"/>
  <c r="G30" i="64"/>
  <c r="K32" i="25"/>
  <c r="Y29" i="64"/>
  <c r="I18" i="40"/>
  <c r="C7" i="64"/>
  <c r="J19" i="40"/>
  <c r="O19" i="40"/>
  <c r="D13" i="40"/>
  <c r="AG26" i="64"/>
  <c r="T10" i="40"/>
  <c r="S10" i="25"/>
  <c r="R14" i="25"/>
  <c r="F25" i="64"/>
  <c r="AA27" i="64"/>
  <c r="R22" i="40"/>
  <c r="AB16" i="64"/>
  <c r="O30" i="64"/>
  <c r="U9" i="25"/>
  <c r="Z15" i="66"/>
  <c r="AF18" i="66"/>
  <c r="AE30" i="66"/>
  <c r="J24" i="66"/>
  <c r="K14" i="66"/>
  <c r="G10" i="66"/>
  <c r="AG21" i="66"/>
  <c r="F19" i="66"/>
  <c r="E23" i="66"/>
  <c r="AD10" i="66"/>
  <c r="Z17" i="64"/>
  <c r="Z21" i="40"/>
  <c r="M26" i="40"/>
  <c r="AC22" i="40"/>
  <c r="B25" i="25"/>
  <c r="M19" i="66"/>
  <c r="P23" i="40"/>
  <c r="I33" i="25"/>
  <c r="AE23" i="25"/>
  <c r="D17" i="40"/>
  <c r="Y22" i="40"/>
  <c r="G16" i="66"/>
  <c r="Q9" i="66"/>
  <c r="AF13" i="66"/>
  <c r="T31" i="66"/>
  <c r="W26" i="66"/>
  <c r="I29" i="66"/>
  <c r="F22" i="40"/>
  <c r="Q29" i="66"/>
  <c r="R30" i="66"/>
  <c r="T33" i="66"/>
  <c r="Z12" i="66"/>
  <c r="O30" i="66"/>
  <c r="Q22" i="25"/>
  <c r="Y17" i="66"/>
  <c r="Z8" i="25"/>
  <c r="AH32" i="25"/>
  <c r="AG17" i="40"/>
  <c r="AI28" i="25"/>
  <c r="C22" i="64"/>
  <c r="S32" i="25"/>
  <c r="AG11" i="25"/>
  <c r="K11" i="40"/>
  <c r="Z27" i="66"/>
  <c r="AH8" i="66"/>
  <c r="T22" i="66"/>
  <c r="L13" i="66"/>
  <c r="V17" i="66"/>
  <c r="T12" i="66"/>
  <c r="Y11" i="66"/>
  <c r="Q33" i="66"/>
  <c r="T20" i="66"/>
  <c r="AF22" i="64"/>
  <c r="M16" i="25"/>
  <c r="I23" i="66"/>
  <c r="Q20" i="64"/>
  <c r="AD14" i="64"/>
  <c r="I24" i="25"/>
  <c r="E15" i="40"/>
  <c r="AH33" i="25"/>
  <c r="M33" i="25"/>
  <c r="F15" i="40"/>
  <c r="Y25" i="25"/>
  <c r="S7" i="40"/>
  <c r="U22" i="66"/>
  <c r="AH9" i="66"/>
  <c r="G11" i="66"/>
  <c r="AI15" i="66"/>
  <c r="T8" i="66"/>
  <c r="E7" i="66"/>
  <c r="K13" i="66"/>
  <c r="P19" i="66"/>
  <c r="U13" i="25"/>
  <c r="E26" i="25"/>
  <c r="L16" i="64"/>
  <c r="C10" i="66"/>
  <c r="W10" i="66"/>
  <c r="AI10" i="25"/>
  <c r="M9" i="40"/>
  <c r="N21" i="25"/>
  <c r="O27" i="25"/>
  <c r="P22" i="64"/>
  <c r="O14" i="40"/>
  <c r="N26" i="40"/>
  <c r="AC23" i="40"/>
  <c r="O26" i="25"/>
  <c r="P8" i="64"/>
  <c r="Y28" i="25"/>
  <c r="AC26" i="25"/>
  <c r="B12" i="40"/>
  <c r="H29" i="25"/>
  <c r="F12" i="25"/>
  <c r="K21" i="25"/>
  <c r="H28" i="64"/>
  <c r="Y19" i="25"/>
  <c r="AA8" i="40"/>
  <c r="B15" i="25"/>
  <c r="AE10" i="64"/>
  <c r="T27" i="64"/>
  <c r="G13" i="40"/>
  <c r="D30" i="25"/>
  <c r="D8" i="40"/>
  <c r="F8" i="25"/>
  <c r="AE22" i="25"/>
  <c r="X22" i="40"/>
  <c r="Y20" i="25"/>
  <c r="I26" i="25"/>
  <c r="AB14" i="25"/>
  <c r="AB8" i="64"/>
  <c r="I9" i="25"/>
  <c r="AG8" i="40"/>
  <c r="C13" i="40"/>
  <c r="F21" i="40"/>
  <c r="R19" i="25"/>
  <c r="P15" i="25"/>
  <c r="N18" i="64"/>
  <c r="L7" i="25"/>
  <c r="R9" i="25"/>
  <c r="AE9" i="25"/>
  <c r="E25" i="25"/>
  <c r="AH9" i="64"/>
  <c r="T21" i="64"/>
  <c r="AA15" i="25"/>
  <c r="AF12" i="64"/>
  <c r="AH18" i="25"/>
  <c r="AH7" i="40"/>
  <c r="K15" i="40"/>
  <c r="AI8" i="40"/>
  <c r="K9" i="25"/>
  <c r="S19" i="25"/>
  <c r="J26" i="64"/>
  <c r="H25" i="64"/>
  <c r="E8" i="25"/>
  <c r="AB28" i="64"/>
  <c r="B20" i="40"/>
  <c r="G28" i="25"/>
  <c r="H23" i="25"/>
  <c r="V10" i="64"/>
  <c r="C8" i="40"/>
  <c r="Y22" i="25"/>
  <c r="V26" i="40"/>
  <c r="N7" i="25"/>
  <c r="AG24" i="25"/>
  <c r="AI15" i="25"/>
  <c r="J14" i="64"/>
  <c r="I7" i="40"/>
  <c r="R24" i="40"/>
  <c r="Z21" i="25"/>
  <c r="AI10" i="40"/>
  <c r="E9" i="40"/>
  <c r="T8" i="25"/>
  <c r="M27" i="25"/>
  <c r="W17" i="40"/>
  <c r="K19" i="64"/>
  <c r="W28" i="25"/>
  <c r="O12" i="40"/>
  <c r="R8" i="25"/>
  <c r="R31" i="25"/>
  <c r="V33" i="66"/>
  <c r="C23" i="66"/>
  <c r="AC22" i="64" l="1"/>
  <c r="U20" i="66"/>
  <c r="AA16" i="66"/>
  <c r="N23" i="66"/>
  <c r="AG19" i="66"/>
  <c r="B22" i="66"/>
  <c r="AG13" i="66"/>
  <c r="I20" i="66"/>
  <c r="M17" i="66"/>
  <c r="AI17" i="66"/>
  <c r="S16" i="66"/>
  <c r="AH15" i="64"/>
  <c r="B33" i="25"/>
  <c r="AD23" i="40"/>
  <c r="X30" i="66"/>
  <c r="O28" i="64"/>
  <c r="Q24" i="25"/>
  <c r="J28" i="25"/>
  <c r="Q31" i="25"/>
  <c r="B13" i="25"/>
  <c r="Q11" i="25"/>
  <c r="AJ11" i="25" s="1"/>
  <c r="AI26" i="66"/>
  <c r="H10" i="66"/>
  <c r="G24" i="66"/>
  <c r="AB9" i="66"/>
  <c r="O26" i="66"/>
  <c r="Y16" i="66"/>
  <c r="Q12" i="66"/>
  <c r="AF15" i="66"/>
  <c r="AA33" i="66"/>
  <c r="Q26" i="66"/>
  <c r="Z14" i="66"/>
  <c r="AE28" i="66"/>
  <c r="I9" i="66"/>
  <c r="O34" i="25"/>
  <c r="AJ7" i="25"/>
  <c r="AJ21" i="40"/>
  <c r="F34" i="25"/>
  <c r="T34" i="25"/>
  <c r="AD34" i="25"/>
  <c r="K34" i="25"/>
  <c r="AJ13" i="40"/>
  <c r="AJ18" i="40"/>
  <c r="AJ10" i="40"/>
  <c r="AJ25" i="40"/>
  <c r="AJ16" i="40"/>
  <c r="AJ14" i="25"/>
  <c r="AJ23" i="25"/>
  <c r="AJ26" i="40"/>
  <c r="AB34" i="25"/>
  <c r="AI34" i="25"/>
  <c r="AJ17" i="40"/>
  <c r="G34" i="25"/>
  <c r="R15" i="66"/>
  <c r="E23" i="61"/>
  <c r="D14" i="40"/>
  <c r="J10" i="66"/>
  <c r="T27" i="40"/>
  <c r="M23" i="66"/>
  <c r="AI15" i="62"/>
  <c r="S27" i="66"/>
  <c r="H23" i="63"/>
  <c r="W12" i="64"/>
  <c r="L28" i="40"/>
  <c r="AC14" i="61"/>
  <c r="O26" i="62"/>
  <c r="F22" i="64"/>
  <c r="J22" i="64"/>
  <c r="R11" i="61"/>
  <c r="AF11" i="61"/>
  <c r="AA30" i="62"/>
  <c r="S30" i="61"/>
  <c r="AE8" i="61"/>
  <c r="X27" i="62"/>
  <c r="S7" i="66"/>
  <c r="N20" i="63"/>
  <c r="L8" i="62"/>
  <c r="AA10" i="64"/>
  <c r="W8" i="64"/>
  <c r="AI21" i="66"/>
  <c r="AI9" i="63"/>
  <c r="K27" i="61"/>
  <c r="X21" i="61"/>
  <c r="F21" i="62"/>
  <c r="D32" i="63"/>
  <c r="AA9" i="63"/>
  <c r="AB28" i="62"/>
  <c r="Z8" i="63"/>
  <c r="N27" i="64"/>
  <c r="Q16" i="62"/>
  <c r="AI12" i="64"/>
  <c r="T11" i="62"/>
  <c r="B32" i="61"/>
  <c r="C25" i="64"/>
  <c r="AG29" i="61"/>
  <c r="AI30" i="62"/>
  <c r="F9" i="62"/>
  <c r="D20" i="66"/>
  <c r="AC14" i="64"/>
  <c r="AF13" i="64"/>
  <c r="G13" i="66"/>
  <c r="U33" i="61"/>
  <c r="AH25" i="66"/>
  <c r="Q33" i="61"/>
  <c r="V28" i="25"/>
  <c r="I21" i="66"/>
  <c r="Y12" i="61"/>
  <c r="I31" i="61"/>
  <c r="Z16" i="62"/>
  <c r="E28" i="63"/>
  <c r="L16" i="63"/>
  <c r="L10" i="63"/>
  <c r="U31" i="63"/>
  <c r="F28" i="61"/>
  <c r="Q22" i="63"/>
  <c r="AC25" i="63"/>
  <c r="E16" i="61"/>
  <c r="I25" i="66"/>
  <c r="L10" i="61"/>
  <c r="I27" i="25"/>
  <c r="N16" i="61"/>
  <c r="S15" i="62"/>
  <c r="J31" i="66"/>
  <c r="K17" i="62"/>
  <c r="AC11" i="40"/>
  <c r="AJ11" i="40" s="1"/>
  <c r="AG31" i="63"/>
  <c r="V16" i="62"/>
  <c r="O30" i="61"/>
  <c r="AI20" i="62"/>
  <c r="H13" i="64"/>
  <c r="G10" i="61"/>
  <c r="AF8" i="61"/>
  <c r="AB24" i="62"/>
  <c r="E33" i="62"/>
  <c r="M27" i="63"/>
  <c r="S14" i="61"/>
  <c r="M14" i="64"/>
  <c r="X30" i="63"/>
  <c r="AE16" i="61"/>
  <c r="AF24" i="63"/>
  <c r="C33" i="63"/>
  <c r="M23" i="62"/>
  <c r="X22" i="63"/>
  <c r="B18" i="63"/>
  <c r="M30" i="63"/>
  <c r="X7" i="64"/>
  <c r="R14" i="61"/>
  <c r="V27" i="64"/>
  <c r="Y12" i="62"/>
  <c r="F29" i="40"/>
  <c r="U28" i="61"/>
  <c r="AC16" i="62"/>
  <c r="R33" i="62"/>
  <c r="F21" i="61"/>
  <c r="W31" i="63"/>
  <c r="Y8" i="64"/>
  <c r="AG16" i="61"/>
  <c r="K10" i="62"/>
  <c r="H20" i="62"/>
  <c r="D32" i="62"/>
  <c r="AC9" i="61"/>
  <c r="J15" i="63"/>
  <c r="M23" i="64"/>
  <c r="J32" i="61"/>
  <c r="Y29" i="61"/>
  <c r="M18" i="63"/>
  <c r="M16" i="62"/>
  <c r="J33" i="63"/>
  <c r="F30" i="63"/>
  <c r="AG11" i="63"/>
  <c r="AA14" i="63"/>
  <c r="N15" i="61"/>
  <c r="W13" i="62"/>
  <c r="P21" i="64"/>
  <c r="AG18" i="62"/>
  <c r="R16" i="64"/>
  <c r="AH29" i="64"/>
  <c r="AI30" i="61"/>
  <c r="Z33" i="62"/>
  <c r="N8" i="61"/>
  <c r="AC33" i="62"/>
  <c r="F32" i="61"/>
  <c r="P20" i="63"/>
  <c r="AE12" i="61"/>
  <c r="X26" i="62"/>
  <c r="G33" i="63"/>
  <c r="C15" i="62"/>
  <c r="AH22" i="63"/>
  <c r="S32" i="62"/>
  <c r="W33" i="63"/>
  <c r="X32" i="62"/>
  <c r="X16" i="63"/>
  <c r="Y20" i="61"/>
  <c r="N33" i="62"/>
  <c r="O28" i="61"/>
  <c r="L32" i="62"/>
  <c r="B21" i="62"/>
  <c r="N18" i="61"/>
  <c r="I18" i="64"/>
  <c r="AF31" i="62"/>
  <c r="AI20" i="64"/>
  <c r="U19" i="62"/>
  <c r="L22" i="61"/>
  <c r="AC20" i="61"/>
  <c r="AF16" i="63"/>
  <c r="AA10" i="62"/>
  <c r="AI7" i="63"/>
  <c r="C7" i="62"/>
  <c r="N29" i="61"/>
  <c r="R10" i="61"/>
  <c r="AB13" i="63"/>
  <c r="N23" i="63"/>
  <c r="S18" i="61"/>
  <c r="AI28" i="64"/>
  <c r="AB26" i="64"/>
  <c r="AH18" i="62"/>
  <c r="AI30" i="40"/>
  <c r="F23" i="61"/>
  <c r="X10" i="62"/>
  <c r="AC7" i="62"/>
  <c r="C18" i="63"/>
  <c r="AD8" i="63"/>
  <c r="U21" i="25"/>
  <c r="AJ21" i="25" s="1"/>
  <c r="M20" i="61"/>
  <c r="R17" i="61"/>
  <c r="S32" i="66"/>
  <c r="R18" i="61"/>
  <c r="N26" i="25"/>
  <c r="AE27" i="61"/>
  <c r="C32" i="63"/>
  <c r="Y26" i="62"/>
  <c r="E26" i="62"/>
  <c r="E22" i="62"/>
  <c r="G9" i="63"/>
  <c r="P21" i="63"/>
  <c r="W33" i="62"/>
  <c r="O21" i="64"/>
  <c r="I33" i="62"/>
  <c r="D20" i="63"/>
  <c r="V29" i="40"/>
  <c r="AA27" i="40"/>
  <c r="F31" i="63"/>
  <c r="I18" i="63"/>
  <c r="C28" i="25"/>
  <c r="G14" i="63"/>
  <c r="H16" i="63"/>
  <c r="P24" i="66"/>
  <c r="AA8" i="62"/>
  <c r="AG10" i="64"/>
  <c r="AI17" i="62"/>
  <c r="I12" i="40"/>
  <c r="AJ12" i="40" s="1"/>
  <c r="R25" i="66"/>
  <c r="K23" i="61"/>
  <c r="AH17" i="62"/>
  <c r="AB8" i="61"/>
  <c r="W17" i="64"/>
  <c r="AA25" i="63"/>
  <c r="AD9" i="62"/>
  <c r="AC26" i="63"/>
  <c r="W25" i="62"/>
  <c r="AD10" i="62"/>
  <c r="P28" i="61"/>
  <c r="D22" i="63"/>
  <c r="G17" i="64"/>
  <c r="W8" i="66"/>
  <c r="E9" i="62"/>
  <c r="U28" i="66"/>
  <c r="K11" i="62"/>
  <c r="AA28" i="64"/>
  <c r="R22" i="66"/>
  <c r="E19" i="64"/>
  <c r="O9" i="66"/>
  <c r="C23" i="61"/>
  <c r="Y18" i="61"/>
  <c r="H7" i="64"/>
  <c r="AD11" i="62"/>
  <c r="J21" i="63"/>
  <c r="AA33" i="63"/>
  <c r="AG23" i="64"/>
  <c r="AG29" i="62"/>
  <c r="AD13" i="64"/>
  <c r="D31" i="62"/>
  <c r="K10" i="61"/>
  <c r="C29" i="63"/>
  <c r="M8" i="63"/>
  <c r="AF25" i="61"/>
  <c r="AA28" i="66"/>
  <c r="B7" i="61"/>
  <c r="Z30" i="25"/>
  <c r="Z34" i="25" s="1"/>
  <c r="D16" i="66"/>
  <c r="AH31" i="62"/>
  <c r="V26" i="66"/>
  <c r="G17" i="62"/>
  <c r="N18" i="66"/>
  <c r="C28" i="64"/>
  <c r="H8" i="63"/>
  <c r="AF11" i="64"/>
  <c r="AG28" i="61"/>
  <c r="E23" i="62"/>
  <c r="U15" i="63"/>
  <c r="Y27" i="40"/>
  <c r="I23" i="62"/>
  <c r="Z20" i="64"/>
  <c r="F27" i="62"/>
  <c r="M10" i="62"/>
  <c r="I27" i="62"/>
  <c r="T9" i="64"/>
  <c r="S27" i="40"/>
  <c r="S22" i="62"/>
  <c r="S28" i="64"/>
  <c r="T12" i="62"/>
  <c r="AD14" i="62"/>
  <c r="G14" i="62"/>
  <c r="W7" i="64"/>
  <c r="B24" i="63"/>
  <c r="AI19" i="64"/>
  <c r="AA32" i="62"/>
  <c r="X25" i="64"/>
  <c r="D14" i="61"/>
  <c r="O23" i="63"/>
  <c r="AE33" i="61"/>
  <c r="T18" i="64"/>
  <c r="AD13" i="62"/>
  <c r="S26" i="63"/>
  <c r="Z28" i="63"/>
  <c r="O22" i="63"/>
  <c r="S29" i="61"/>
  <c r="O33" i="62"/>
  <c r="E27" i="61"/>
  <c r="Q7" i="63"/>
  <c r="AE14" i="64"/>
  <c r="O24" i="63"/>
  <c r="P20" i="62"/>
  <c r="Y10" i="61"/>
  <c r="B24" i="61"/>
  <c r="W16" i="64"/>
  <c r="AF27" i="62"/>
  <c r="E14" i="64"/>
  <c r="D24" i="62"/>
  <c r="AI33" i="61"/>
  <c r="I19" i="64"/>
  <c r="AB13" i="61"/>
  <c r="T20" i="63"/>
  <c r="Q11" i="64"/>
  <c r="X27" i="63"/>
  <c r="D19" i="63"/>
  <c r="R28" i="63"/>
  <c r="V26" i="62"/>
  <c r="K12" i="61"/>
  <c r="AB30" i="61"/>
  <c r="L17" i="63"/>
  <c r="H30" i="63"/>
  <c r="E18" i="61"/>
  <c r="Y28" i="63"/>
  <c r="Z13" i="63"/>
  <c r="E15" i="61"/>
  <c r="P27" i="63"/>
  <c r="L28" i="62"/>
  <c r="E30" i="61"/>
  <c r="O29" i="61"/>
  <c r="O26" i="61"/>
  <c r="Y33" i="61"/>
  <c r="AG8" i="61"/>
  <c r="U28" i="64"/>
  <c r="AF32" i="63"/>
  <c r="R14" i="63"/>
  <c r="V31" i="63"/>
  <c r="AD15" i="63"/>
  <c r="K16" i="61"/>
  <c r="Y18" i="63"/>
  <c r="X28" i="40"/>
  <c r="Q12" i="64"/>
  <c r="AG29" i="63"/>
  <c r="AD27" i="63"/>
  <c r="N17" i="63"/>
  <c r="V9" i="62"/>
  <c r="T11" i="63"/>
  <c r="L13" i="63"/>
  <c r="AE25" i="64"/>
  <c r="AB24" i="61"/>
  <c r="V20" i="62"/>
  <c r="L24" i="61"/>
  <c r="AA18" i="61"/>
  <c r="AG15" i="64"/>
  <c r="AB30" i="62"/>
  <c r="AC28" i="63"/>
  <c r="O20" i="63"/>
  <c r="L27" i="40"/>
  <c r="C24" i="62"/>
  <c r="N7" i="66"/>
  <c r="H9" i="62"/>
  <c r="V19" i="40"/>
  <c r="R26" i="66"/>
  <c r="P12" i="63"/>
  <c r="F25" i="66"/>
  <c r="W24" i="62"/>
  <c r="M32" i="66"/>
  <c r="X10" i="63"/>
  <c r="D26" i="61"/>
  <c r="O27" i="40"/>
  <c r="W28" i="63"/>
  <c r="AG19" i="61"/>
  <c r="D29" i="63"/>
  <c r="R26" i="63"/>
  <c r="B19" i="64"/>
  <c r="H8" i="62"/>
  <c r="F16" i="64"/>
  <c r="W13" i="64"/>
  <c r="R17" i="62"/>
  <c r="U14" i="63"/>
  <c r="C27" i="66"/>
  <c r="J24" i="61"/>
  <c r="AC31" i="25"/>
  <c r="V31" i="66"/>
  <c r="AA31" i="62"/>
  <c r="G30" i="66"/>
  <c r="AD12" i="61"/>
  <c r="I27" i="66"/>
  <c r="D30" i="61"/>
  <c r="G12" i="63"/>
  <c r="F8" i="62"/>
  <c r="AB30" i="63"/>
  <c r="Y31" i="63"/>
  <c r="AD9" i="63"/>
  <c r="K21" i="64"/>
  <c r="I11" i="64"/>
  <c r="C30" i="61"/>
  <c r="C28" i="63"/>
  <c r="I19" i="63"/>
  <c r="O19" i="62"/>
  <c r="AE16" i="63"/>
  <c r="S19" i="66"/>
  <c r="Z32" i="63"/>
  <c r="AC15" i="25"/>
  <c r="U23" i="62"/>
  <c r="P11" i="62"/>
  <c r="Y19" i="66"/>
  <c r="P17" i="62"/>
  <c r="J11" i="66"/>
  <c r="I26" i="63"/>
  <c r="Z29" i="64"/>
  <c r="L23" i="63"/>
  <c r="AI27" i="62"/>
  <c r="I28" i="61"/>
  <c r="M13" i="64"/>
  <c r="U21" i="61"/>
  <c r="AF27" i="40"/>
  <c r="Q15" i="62"/>
  <c r="O10" i="61"/>
  <c r="AB9" i="64"/>
  <c r="S15" i="61"/>
  <c r="I18" i="61"/>
  <c r="Z7" i="64"/>
  <c r="H29" i="66"/>
  <c r="L15" i="64"/>
  <c r="L9" i="66"/>
  <c r="D16" i="63"/>
  <c r="AB17" i="62"/>
  <c r="S13" i="66"/>
  <c r="M18" i="64"/>
  <c r="F10" i="66"/>
  <c r="AE11" i="62"/>
  <c r="H33" i="62"/>
  <c r="S10" i="61"/>
  <c r="AB20" i="63"/>
  <c r="P28" i="62"/>
  <c r="G17" i="63"/>
  <c r="C31" i="61"/>
  <c r="G25" i="61"/>
  <c r="Z29" i="63"/>
  <c r="W16" i="63"/>
  <c r="X8" i="62"/>
  <c r="O29" i="40"/>
  <c r="AB17" i="63"/>
  <c r="G32" i="63"/>
  <c r="I9" i="61"/>
  <c r="H14" i="63"/>
  <c r="W9" i="63"/>
  <c r="Q30" i="40"/>
  <c r="D27" i="63"/>
  <c r="J26" i="61"/>
  <c r="M32" i="63"/>
  <c r="L19" i="61"/>
  <c r="D11" i="64"/>
  <c r="I29" i="61"/>
  <c r="X25" i="63"/>
  <c r="AC17" i="63"/>
  <c r="Q28" i="40"/>
  <c r="Z20" i="63"/>
  <c r="W10" i="61"/>
  <c r="J22" i="62"/>
  <c r="G28" i="40"/>
  <c r="H20" i="64"/>
  <c r="M33" i="62"/>
  <c r="S28" i="61"/>
  <c r="N13" i="62"/>
  <c r="G11" i="63"/>
  <c r="Y19" i="62"/>
  <c r="G15" i="61"/>
  <c r="E32" i="63"/>
  <c r="S24" i="62"/>
  <c r="N22" i="64"/>
  <c r="M28" i="63"/>
  <c r="S18" i="63"/>
  <c r="T30" i="61"/>
  <c r="AF18" i="61"/>
  <c r="U18" i="62"/>
  <c r="S31" i="61"/>
  <c r="B16" i="62"/>
  <c r="N10" i="61"/>
  <c r="L32" i="61"/>
  <c r="AE22" i="63"/>
  <c r="AG8" i="62"/>
  <c r="Z19" i="63"/>
  <c r="F26" i="62"/>
  <c r="P19" i="63"/>
  <c r="P27" i="40"/>
  <c r="I21" i="63"/>
  <c r="M15" i="61"/>
  <c r="P13" i="63"/>
  <c r="C12" i="61"/>
  <c r="K11" i="61"/>
  <c r="I11" i="61"/>
  <c r="Y33" i="62"/>
  <c r="AB32" i="61"/>
  <c r="AF26" i="64"/>
  <c r="C18" i="61"/>
  <c r="V13" i="64"/>
  <c r="J8" i="63"/>
  <c r="Q21" i="64"/>
  <c r="AD8" i="61"/>
  <c r="AE24" i="61"/>
  <c r="D12" i="61"/>
  <c r="M7" i="62"/>
  <c r="AG15" i="62"/>
  <c r="X32" i="63"/>
  <c r="AF30" i="63"/>
  <c r="AI10" i="64"/>
  <c r="H15" i="64"/>
  <c r="M7" i="64"/>
  <c r="AB29" i="61"/>
  <c r="Z18" i="64"/>
  <c r="H17" i="63"/>
  <c r="J20" i="62"/>
  <c r="V27" i="62"/>
  <c r="AB15" i="63"/>
  <c r="G22" i="64"/>
  <c r="F26" i="63"/>
  <c r="U27" i="63"/>
  <c r="AB31" i="62"/>
  <c r="B19" i="62"/>
  <c r="X7" i="62"/>
  <c r="F12" i="63"/>
  <c r="U11" i="61"/>
  <c r="E22" i="61"/>
  <c r="AC29" i="61"/>
  <c r="O15" i="61"/>
  <c r="C21" i="62"/>
  <c r="R32" i="66"/>
  <c r="G11" i="61"/>
  <c r="G20" i="66"/>
  <c r="AE22" i="64"/>
  <c r="U17" i="61"/>
  <c r="W17" i="66"/>
  <c r="AH23" i="63"/>
  <c r="E8" i="66"/>
  <c r="AA11" i="62"/>
  <c r="Y7" i="62"/>
  <c r="T16" i="63"/>
  <c r="I24" i="62"/>
  <c r="AG33" i="62"/>
  <c r="AH29" i="40"/>
  <c r="P32" i="62"/>
  <c r="AH22" i="62"/>
  <c r="AG26" i="63"/>
  <c r="AD13" i="61"/>
  <c r="Q20" i="62"/>
  <c r="H32" i="63"/>
  <c r="AC8" i="62"/>
  <c r="Q7" i="66"/>
  <c r="W18" i="63"/>
  <c r="AD11" i="63"/>
  <c r="R23" i="63"/>
  <c r="H27" i="40"/>
  <c r="K23" i="66"/>
  <c r="AG9" i="63"/>
  <c r="S12" i="25"/>
  <c r="T30" i="40"/>
  <c r="G22" i="61"/>
  <c r="C10" i="62"/>
  <c r="O7" i="62"/>
  <c r="L7" i="61"/>
  <c r="B20" i="64"/>
  <c r="AB15" i="62"/>
  <c r="AF9" i="62"/>
  <c r="F13" i="63"/>
  <c r="F17" i="61"/>
  <c r="Y7" i="64"/>
  <c r="AD30" i="62"/>
  <c r="G23" i="61"/>
  <c r="Q26" i="61"/>
  <c r="V12" i="64"/>
  <c r="B11" i="66"/>
  <c r="AA32" i="61"/>
  <c r="X28" i="64"/>
  <c r="AD24" i="66"/>
  <c r="H12" i="62"/>
  <c r="H16" i="66"/>
  <c r="B33" i="61"/>
  <c r="AH33" i="66"/>
  <c r="T26" i="61"/>
  <c r="N9" i="61"/>
  <c r="N11" i="61"/>
  <c r="H15" i="63"/>
  <c r="B29" i="64"/>
  <c r="AG13" i="63"/>
  <c r="U15" i="62"/>
  <c r="AH15" i="63"/>
  <c r="AE21" i="62"/>
  <c r="U29" i="40"/>
  <c r="P7" i="62"/>
  <c r="Z27" i="62"/>
  <c r="AF27" i="61"/>
  <c r="Z8" i="61"/>
  <c r="U27" i="66"/>
  <c r="T33" i="62"/>
  <c r="Y25" i="62"/>
  <c r="AI13" i="62"/>
  <c r="O29" i="64"/>
  <c r="E24" i="66"/>
  <c r="W28" i="61"/>
  <c r="W20" i="66"/>
  <c r="B27" i="63"/>
  <c r="AG23" i="61"/>
  <c r="AF30" i="62"/>
  <c r="M29" i="64"/>
  <c r="AE23" i="63"/>
  <c r="AH29" i="63"/>
  <c r="T21" i="63"/>
  <c r="L7" i="62"/>
  <c r="H15" i="61"/>
  <c r="B13" i="62"/>
  <c r="I8" i="63"/>
  <c r="U12" i="61"/>
  <c r="Y27" i="63"/>
  <c r="J31" i="63"/>
  <c r="Q27" i="62"/>
  <c r="AA9" i="64"/>
  <c r="AA13" i="61"/>
  <c r="C22" i="63"/>
  <c r="N13" i="61"/>
  <c r="AE23" i="61"/>
  <c r="F29" i="63"/>
  <c r="K21" i="63"/>
  <c r="O7" i="64"/>
  <c r="N30" i="63"/>
  <c r="B31" i="62"/>
  <c r="U16" i="61"/>
  <c r="Z15" i="62"/>
  <c r="B19" i="61"/>
  <c r="P28" i="64"/>
  <c r="P9" i="62"/>
  <c r="Z13" i="61"/>
  <c r="F25" i="61"/>
  <c r="E26" i="63"/>
  <c r="AI10" i="61"/>
  <c r="AB22" i="63"/>
  <c r="L14" i="61"/>
  <c r="J23" i="63"/>
  <c r="AC8" i="63"/>
  <c r="AH20" i="64"/>
  <c r="AG22" i="64"/>
  <c r="X23" i="63"/>
  <c r="V7" i="61"/>
  <c r="X31" i="61"/>
  <c r="AE25" i="62"/>
  <c r="T31" i="61"/>
  <c r="AF29" i="63"/>
  <c r="P18" i="64"/>
  <c r="V20" i="63"/>
  <c r="AE32" i="61"/>
  <c r="Q28" i="63"/>
  <c r="O18" i="63"/>
  <c r="H25" i="62"/>
  <c r="W14" i="62"/>
  <c r="AF22" i="62"/>
  <c r="W17" i="63"/>
  <c r="P8" i="62"/>
  <c r="AI18" i="61"/>
  <c r="F33" i="63"/>
  <c r="V29" i="63"/>
  <c r="S7" i="62"/>
  <c r="AA18" i="63"/>
  <c r="AG17" i="63"/>
  <c r="R9" i="64"/>
  <c r="Q29" i="61"/>
  <c r="U12" i="63"/>
  <c r="U9" i="62"/>
  <c r="J27" i="63"/>
  <c r="T17" i="61"/>
  <c r="F14" i="62"/>
  <c r="U9" i="63"/>
  <c r="AI16" i="64"/>
  <c r="AC16" i="63"/>
  <c r="O31" i="61"/>
  <c r="T29" i="40"/>
  <c r="AH10" i="62"/>
  <c r="K31" i="61"/>
  <c r="B29" i="61"/>
  <c r="M17" i="63"/>
  <c r="K32" i="62"/>
  <c r="N31" i="61"/>
  <c r="E18" i="62"/>
  <c r="Z15" i="61"/>
  <c r="U15" i="66"/>
  <c r="T7" i="64"/>
  <c r="AH27" i="62"/>
  <c r="H25" i="61"/>
  <c r="X20" i="63"/>
  <c r="AE31" i="66"/>
  <c r="C27" i="64"/>
  <c r="P19" i="25"/>
  <c r="V8" i="63"/>
  <c r="AH32" i="62"/>
  <c r="G20" i="62"/>
  <c r="F8" i="63"/>
  <c r="AI16" i="63"/>
  <c r="P9" i="64"/>
  <c r="C13" i="61"/>
  <c r="AG31" i="61"/>
  <c r="F24" i="62"/>
  <c r="AE26" i="64"/>
  <c r="AG16" i="63"/>
  <c r="S16" i="61"/>
  <c r="F18" i="61"/>
  <c r="K25" i="66"/>
  <c r="M12" i="61"/>
  <c r="U8" i="64"/>
  <c r="R7" i="66"/>
  <c r="AH11" i="64"/>
  <c r="Y20" i="66"/>
  <c r="O32" i="62"/>
  <c r="X12" i="66"/>
  <c r="R24" i="66"/>
  <c r="R11" i="63"/>
  <c r="P26" i="63"/>
  <c r="S14" i="63"/>
  <c r="Y21" i="64"/>
  <c r="AB25" i="62"/>
  <c r="R9" i="62"/>
  <c r="AF26" i="63"/>
  <c r="AA26" i="62"/>
  <c r="AD29" i="40"/>
  <c r="S33" i="62"/>
  <c r="AD33" i="63"/>
  <c r="Y17" i="61"/>
  <c r="AG15" i="63"/>
  <c r="E16" i="64"/>
  <c r="AE11" i="66"/>
  <c r="L22" i="63"/>
  <c r="J31" i="61"/>
  <c r="R32" i="63"/>
  <c r="W31" i="62"/>
  <c r="O24" i="66"/>
  <c r="L19" i="63"/>
  <c r="C15" i="63"/>
  <c r="Y28" i="62"/>
  <c r="P32" i="61"/>
  <c r="C14" i="61"/>
  <c r="S8" i="63"/>
  <c r="X9" i="64"/>
  <c r="AA12" i="63"/>
  <c r="K31" i="63"/>
  <c r="X18" i="61"/>
  <c r="Z16" i="61"/>
  <c r="AD19" i="61"/>
  <c r="E10" i="62"/>
  <c r="R18" i="25"/>
  <c r="AJ18" i="25" s="1"/>
  <c r="N16" i="66"/>
  <c r="AF8" i="63"/>
  <c r="S15" i="66"/>
  <c r="W19" i="61"/>
  <c r="E23" i="64"/>
  <c r="N28" i="66"/>
  <c r="L14" i="63"/>
  <c r="Q27" i="66"/>
  <c r="S28" i="40"/>
  <c r="Q17" i="62"/>
  <c r="X25" i="62"/>
  <c r="T24" i="63"/>
  <c r="AH26" i="61"/>
  <c r="I25" i="61"/>
  <c r="Q32" i="61"/>
  <c r="AA7" i="61"/>
  <c r="AH25" i="62"/>
  <c r="AF28" i="61"/>
  <c r="F29" i="61"/>
  <c r="L15" i="63"/>
  <c r="J19" i="61"/>
  <c r="AC17" i="61"/>
  <c r="R21" i="61"/>
  <c r="Z30" i="62"/>
  <c r="M33" i="61"/>
  <c r="J23" i="62"/>
  <c r="B7" i="63"/>
  <c r="I16" i="64"/>
  <c r="AB23" i="62"/>
  <c r="AA30" i="61"/>
  <c r="S12" i="62"/>
  <c r="Q31" i="63"/>
  <c r="AC30" i="64"/>
  <c r="P8" i="61"/>
  <c r="G25" i="62"/>
  <c r="G18" i="63"/>
  <c r="N8" i="64"/>
  <c r="J27" i="61"/>
  <c r="Q15" i="63"/>
  <c r="AD14" i="61"/>
  <c r="E25" i="61"/>
  <c r="Y9" i="62"/>
  <c r="R10" i="62"/>
  <c r="L7" i="63"/>
  <c r="H11" i="61"/>
  <c r="AD24" i="62"/>
  <c r="AD32" i="63"/>
  <c r="AI33" i="63"/>
  <c r="E26" i="61"/>
  <c r="W12" i="61"/>
  <c r="R19" i="63"/>
  <c r="AF32" i="62"/>
  <c r="AD16" i="64"/>
  <c r="M10" i="63"/>
  <c r="AH30" i="61"/>
  <c r="L30" i="64"/>
  <c r="C30" i="40"/>
  <c r="B29" i="40"/>
  <c r="AF7" i="62"/>
  <c r="I15" i="62"/>
  <c r="AE20" i="64"/>
  <c r="AI31" i="61"/>
  <c r="R25" i="64"/>
  <c r="AB10" i="63"/>
  <c r="AE19" i="62"/>
  <c r="M24" i="61"/>
  <c r="W19" i="62"/>
  <c r="AI18" i="63"/>
  <c r="D26" i="63"/>
  <c r="AD22" i="61"/>
  <c r="N18" i="63"/>
  <c r="D23" i="62"/>
  <c r="U24" i="63"/>
  <c r="AC29" i="40"/>
  <c r="I18" i="62"/>
  <c r="I9" i="62"/>
  <c r="K18" i="61"/>
  <c r="AA19" i="62"/>
  <c r="R19" i="62"/>
  <c r="W23" i="63"/>
  <c r="R28" i="61"/>
  <c r="AH21" i="61"/>
  <c r="AD30" i="63"/>
  <c r="O8" i="63"/>
  <c r="K28" i="64"/>
  <c r="T25" i="61"/>
  <c r="S29" i="40"/>
  <c r="V28" i="62"/>
  <c r="N32" i="63"/>
  <c r="X12" i="62"/>
  <c r="N10" i="63"/>
  <c r="D8" i="61"/>
  <c r="AD25" i="62"/>
  <c r="T8" i="62"/>
  <c r="V26" i="61"/>
  <c r="AE33" i="62"/>
  <c r="N15" i="64"/>
  <c r="AG7" i="64"/>
  <c r="Q11" i="62"/>
  <c r="AI32" i="61"/>
  <c r="Z11" i="62"/>
  <c r="V25" i="63"/>
  <c r="H24" i="62"/>
  <c r="Y18" i="66"/>
  <c r="AC29" i="62"/>
  <c r="J14" i="66"/>
  <c r="W18" i="64"/>
  <c r="AF9" i="25"/>
  <c r="AF34" i="25" s="1"/>
  <c r="P28" i="66"/>
  <c r="C27" i="63"/>
  <c r="U23" i="66"/>
  <c r="T13" i="64"/>
  <c r="P33" i="61"/>
  <c r="AH30" i="63"/>
  <c r="P26" i="64"/>
  <c r="D16" i="62"/>
  <c r="R20" i="64"/>
  <c r="AI32" i="62"/>
  <c r="Z30" i="40"/>
  <c r="X24" i="62"/>
  <c r="B16" i="61"/>
  <c r="AC27" i="63"/>
  <c r="O14" i="63"/>
  <c r="I24" i="63"/>
  <c r="AD17" i="66"/>
  <c r="H33" i="63"/>
  <c r="S12" i="66"/>
  <c r="K19" i="62"/>
  <c r="K28" i="40"/>
  <c r="Y24" i="66"/>
  <c r="AH8" i="62"/>
  <c r="L28" i="66"/>
  <c r="C19" i="61"/>
  <c r="L30" i="62"/>
  <c r="I23" i="64"/>
  <c r="AC8" i="61"/>
  <c r="B26" i="63"/>
  <c r="K11" i="63"/>
  <c r="I14" i="64"/>
  <c r="T18" i="61"/>
  <c r="B29" i="62"/>
  <c r="Y15" i="62"/>
  <c r="N28" i="61"/>
  <c r="AH16" i="63"/>
  <c r="Z24" i="62"/>
  <c r="Y20" i="63"/>
  <c r="I21" i="64"/>
  <c r="D9" i="66"/>
  <c r="X33" i="61"/>
  <c r="U8" i="25"/>
  <c r="AJ8" i="25" s="1"/>
  <c r="O14" i="62"/>
  <c r="AH31" i="61"/>
  <c r="P27" i="66"/>
  <c r="P29" i="40"/>
  <c r="J19" i="66"/>
  <c r="AG25" i="63"/>
  <c r="P19" i="61"/>
  <c r="C17" i="61"/>
  <c r="AH29" i="61"/>
  <c r="U20" i="61"/>
  <c r="S20" i="61"/>
  <c r="P17" i="63"/>
  <c r="N31" i="63"/>
  <c r="V32" i="63"/>
  <c r="H18" i="61"/>
  <c r="D29" i="61"/>
  <c r="D11" i="62"/>
  <c r="X17" i="61"/>
  <c r="K10" i="63"/>
  <c r="J27" i="66"/>
  <c r="Z20" i="62"/>
  <c r="AC25" i="64"/>
  <c r="P29" i="61"/>
  <c r="AF15" i="63"/>
  <c r="H28" i="66"/>
  <c r="AC19" i="64"/>
  <c r="AI8" i="64"/>
  <c r="E16" i="63"/>
  <c r="AF27" i="63"/>
  <c r="S8" i="62"/>
  <c r="AE12" i="63"/>
  <c r="H26" i="62"/>
  <c r="X9" i="62"/>
  <c r="I12" i="63"/>
  <c r="Q23" i="63"/>
  <c r="Q23" i="61"/>
  <c r="AA11" i="61"/>
  <c r="AD9" i="64"/>
  <c r="AD13" i="63"/>
  <c r="E7" i="62"/>
  <c r="L29" i="63"/>
  <c r="S32" i="63"/>
  <c r="O32" i="63"/>
  <c r="E8" i="62"/>
  <c r="V11" i="62"/>
  <c r="O14" i="61"/>
  <c r="Z7" i="62"/>
  <c r="AD15" i="61"/>
  <c r="F28" i="63"/>
  <c r="T28" i="62"/>
  <c r="AG7" i="62"/>
  <c r="K17" i="63"/>
  <c r="E25" i="63"/>
  <c r="T19" i="62"/>
  <c r="H15" i="62"/>
  <c r="Y30" i="61"/>
  <c r="Q27" i="64"/>
  <c r="AH33" i="61"/>
  <c r="X28" i="62"/>
  <c r="Q28" i="62"/>
  <c r="J14" i="62"/>
  <c r="K8" i="61"/>
  <c r="S27" i="62"/>
  <c r="X8" i="63"/>
  <c r="AA29" i="40"/>
  <c r="E30" i="63"/>
  <c r="L33" i="61"/>
  <c r="F24" i="64"/>
  <c r="AE24" i="63"/>
  <c r="W18" i="62"/>
  <c r="C14" i="62"/>
  <c r="Z21" i="61"/>
  <c r="T14" i="63"/>
  <c r="F33" i="62"/>
  <c r="K15" i="63"/>
  <c r="AI15" i="63"/>
  <c r="M11" i="62"/>
  <c r="V9" i="61"/>
  <c r="U14" i="64"/>
  <c r="AA22" i="62"/>
  <c r="D20" i="62"/>
  <c r="AG31" i="62"/>
  <c r="AB14" i="61"/>
  <c r="K24" i="63"/>
  <c r="R27" i="40"/>
  <c r="B9" i="62"/>
  <c r="AC32" i="63"/>
  <c r="AE28" i="62"/>
  <c r="AG22" i="62"/>
  <c r="W15" i="61"/>
  <c r="Y14" i="61"/>
  <c r="Y23" i="63"/>
  <c r="Y9" i="61"/>
  <c r="F12" i="61"/>
  <c r="W29" i="62"/>
  <c r="E14" i="63"/>
  <c r="AE18" i="62"/>
  <c r="AG28" i="40"/>
  <c r="J26" i="62"/>
  <c r="B8" i="63"/>
  <c r="Z27" i="63"/>
  <c r="S9" i="64"/>
  <c r="P15" i="64"/>
  <c r="AF20" i="61"/>
  <c r="AD28" i="61"/>
  <c r="S14" i="64"/>
  <c r="Y11" i="64"/>
  <c r="AA20" i="63"/>
  <c r="X12" i="61"/>
  <c r="AA24" i="61"/>
  <c r="T20" i="61"/>
  <c r="AB16" i="61"/>
  <c r="Q27" i="61"/>
  <c r="N12" i="64"/>
  <c r="V29" i="61"/>
  <c r="AF28" i="40"/>
  <c r="D9" i="63"/>
  <c r="T13" i="61"/>
  <c r="K13" i="62"/>
  <c r="AH22" i="61"/>
  <c r="AE11" i="61"/>
  <c r="AE18" i="61"/>
  <c r="AF9" i="66"/>
  <c r="AI12" i="63"/>
  <c r="M12" i="64"/>
  <c r="AD33" i="62"/>
  <c r="AA24" i="63"/>
  <c r="I17" i="66"/>
  <c r="R8" i="61"/>
  <c r="G8" i="40"/>
  <c r="X31" i="62"/>
  <c r="Y30" i="40"/>
  <c r="AE29" i="40"/>
  <c r="AH10" i="63"/>
  <c r="AH32" i="63"/>
  <c r="K17" i="61"/>
  <c r="Z9" i="62"/>
  <c r="R15" i="64"/>
  <c r="P30" i="40"/>
  <c r="J16" i="61"/>
  <c r="AI16" i="62"/>
  <c r="W32" i="66"/>
  <c r="Y28" i="61"/>
  <c r="AH11" i="66"/>
  <c r="AI32" i="63"/>
  <c r="AA28" i="62"/>
  <c r="F15" i="64"/>
  <c r="R30" i="62"/>
  <c r="H30" i="66"/>
  <c r="C25" i="61"/>
  <c r="Y20" i="40"/>
  <c r="AJ20" i="40" s="1"/>
  <c r="M15" i="62"/>
  <c r="U30" i="61"/>
  <c r="M7" i="61"/>
  <c r="AB11" i="62"/>
  <c r="M27" i="62"/>
  <c r="Z9" i="63"/>
  <c r="AF31" i="63"/>
  <c r="W28" i="64"/>
  <c r="AI26" i="61"/>
  <c r="M15" i="63"/>
  <c r="G17" i="61"/>
  <c r="T30" i="63"/>
  <c r="V12" i="25"/>
  <c r="V15" i="66"/>
  <c r="AH12" i="63"/>
  <c r="V27" i="66"/>
  <c r="AC7" i="63"/>
  <c r="C26" i="64"/>
  <c r="L33" i="66"/>
  <c r="V8" i="61"/>
  <c r="V13" i="66"/>
  <c r="W31" i="61"/>
  <c r="N12" i="61"/>
  <c r="M23" i="63"/>
  <c r="K24" i="64"/>
  <c r="W12" i="63"/>
  <c r="X33" i="62"/>
  <c r="B23" i="62"/>
  <c r="AG10" i="61"/>
  <c r="O25" i="62"/>
  <c r="AF33" i="63"/>
  <c r="E17" i="61"/>
  <c r="F20" i="63"/>
  <c r="S23" i="63"/>
  <c r="R13" i="63"/>
  <c r="H19" i="66"/>
  <c r="W25" i="61"/>
  <c r="P30" i="25"/>
  <c r="AJ30" i="25" s="1"/>
  <c r="D11" i="63"/>
  <c r="AE9" i="63"/>
  <c r="N19" i="66"/>
  <c r="J11" i="61"/>
  <c r="AC33" i="66"/>
  <c r="Z25" i="62"/>
  <c r="R29" i="63"/>
  <c r="R28" i="40"/>
  <c r="B22" i="64"/>
  <c r="L12" i="62"/>
  <c r="O10" i="64"/>
  <c r="AE30" i="40"/>
  <c r="AG20" i="62"/>
  <c r="X11" i="63"/>
  <c r="AI14" i="62"/>
  <c r="S25" i="63"/>
  <c r="G25" i="63"/>
  <c r="AB21" i="63"/>
  <c r="F17" i="64"/>
  <c r="AE33" i="63"/>
  <c r="J30" i="40"/>
  <c r="P18" i="61"/>
  <c r="Q11" i="63"/>
  <c r="L18" i="61"/>
  <c r="P12" i="62"/>
  <c r="K12" i="63"/>
  <c r="B23" i="63"/>
  <c r="C24" i="64"/>
  <c r="AH20" i="62"/>
  <c r="O13" i="62"/>
  <c r="K8" i="62"/>
  <c r="D22" i="61"/>
  <c r="B22" i="61"/>
  <c r="AG14" i="63"/>
  <c r="AI27" i="61"/>
  <c r="AD29" i="61"/>
  <c r="H12" i="61"/>
  <c r="AI22" i="62"/>
  <c r="O13" i="63"/>
  <c r="H29" i="62"/>
  <c r="C25" i="62"/>
  <c r="AI28" i="62"/>
  <c r="Y32" i="63"/>
  <c r="F10" i="62"/>
  <c r="AH32" i="61"/>
  <c r="AC13" i="62"/>
  <c r="AC10" i="61"/>
  <c r="AA28" i="61"/>
  <c r="T26" i="63"/>
  <c r="AB31" i="63"/>
  <c r="J22" i="61"/>
  <c r="AH21" i="63"/>
  <c r="AG7" i="63"/>
  <c r="J7" i="63"/>
  <c r="T23" i="63"/>
  <c r="O13" i="61"/>
  <c r="AI26" i="63"/>
  <c r="R27" i="64"/>
  <c r="O12" i="62"/>
  <c r="AA16" i="64"/>
  <c r="AE13" i="62"/>
  <c r="H9" i="64"/>
  <c r="M23" i="61"/>
  <c r="L17" i="61"/>
  <c r="S30" i="62"/>
  <c r="X18" i="64"/>
  <c r="B11" i="61"/>
  <c r="AC26" i="62"/>
  <c r="H30" i="62"/>
  <c r="X18" i="62"/>
  <c r="C7" i="63"/>
  <c r="Y11" i="62"/>
  <c r="F24" i="63"/>
  <c r="K27" i="62"/>
  <c r="D7" i="61"/>
  <c r="O16" i="64"/>
  <c r="U16" i="63"/>
  <c r="AH14" i="61"/>
  <c r="E20" i="61"/>
  <c r="E20" i="62"/>
  <c r="M15" i="64"/>
  <c r="I28" i="40"/>
  <c r="AI25" i="61"/>
  <c r="I13" i="61"/>
  <c r="AH16" i="61"/>
  <c r="Y32" i="61"/>
  <c r="B10" i="61"/>
  <c r="AH22" i="64"/>
  <c r="O26" i="64"/>
  <c r="Z16" i="64"/>
  <c r="AA25" i="62"/>
  <c r="L30" i="61"/>
  <c r="V13" i="62"/>
  <c r="G32" i="61"/>
  <c r="AD29" i="63"/>
  <c r="AC31" i="63"/>
  <c r="AF29" i="40"/>
  <c r="AH18" i="63"/>
  <c r="T32" i="62"/>
  <c r="W22" i="62"/>
  <c r="L21" i="62"/>
  <c r="O25" i="64"/>
  <c r="M24" i="66"/>
  <c r="M32" i="61"/>
  <c r="M24" i="40"/>
  <c r="AJ24" i="40" s="1"/>
  <c r="B28" i="40"/>
  <c r="J30" i="61"/>
  <c r="Q32" i="66"/>
  <c r="N21" i="63"/>
  <c r="F13" i="66"/>
  <c r="P11" i="63"/>
  <c r="H30" i="40"/>
  <c r="AF7" i="61"/>
  <c r="J12" i="61"/>
  <c r="P9" i="61"/>
  <c r="AH26" i="62"/>
  <c r="AE12" i="62"/>
  <c r="Z21" i="64"/>
  <c r="Z15" i="63"/>
  <c r="Y25" i="64"/>
  <c r="AB18" i="61"/>
  <c r="AI22" i="63"/>
  <c r="J25" i="61"/>
  <c r="AG22" i="66"/>
  <c r="T17" i="63"/>
  <c r="AB26" i="66"/>
  <c r="S20" i="66"/>
  <c r="AE7" i="62"/>
  <c r="P23" i="66"/>
  <c r="T28" i="61"/>
  <c r="S26" i="66"/>
  <c r="T33" i="61"/>
  <c r="AG21" i="61"/>
  <c r="U23" i="61"/>
  <c r="X17" i="64"/>
  <c r="AA28" i="63"/>
  <c r="Z12" i="63"/>
  <c r="I13" i="62"/>
  <c r="Z22" i="62"/>
  <c r="S11" i="61"/>
  <c r="AC13" i="63"/>
  <c r="B17" i="61"/>
  <c r="Z23" i="62"/>
  <c r="U29" i="61"/>
  <c r="AI27" i="40"/>
  <c r="Y22" i="61"/>
  <c r="P11" i="66"/>
  <c r="E30" i="62"/>
  <c r="C9" i="61"/>
  <c r="F32" i="62"/>
  <c r="AF31" i="61"/>
  <c r="X19" i="66"/>
  <c r="Q15" i="64"/>
  <c r="H20" i="25"/>
  <c r="H34" i="25" s="1"/>
  <c r="I22" i="62"/>
  <c r="I30" i="40"/>
  <c r="AA12" i="61"/>
  <c r="E30" i="64"/>
  <c r="AB8" i="62"/>
  <c r="M14" i="63"/>
  <c r="AE14" i="61"/>
  <c r="J13" i="62"/>
  <c r="F9" i="63"/>
  <c r="Y12" i="64"/>
  <c r="AA27" i="63"/>
  <c r="AC18" i="66"/>
  <c r="AF10" i="61"/>
  <c r="H25" i="63"/>
  <c r="X7" i="66"/>
  <c r="N19" i="61"/>
  <c r="I33" i="66"/>
  <c r="T27" i="63"/>
  <c r="AH24" i="61"/>
  <c r="J18" i="66"/>
  <c r="P23" i="61"/>
  <c r="K21" i="62"/>
  <c r="AD15" i="62"/>
  <c r="P14" i="62"/>
  <c r="R33" i="63"/>
  <c r="X27" i="64"/>
  <c r="T21" i="61"/>
  <c r="U21" i="63"/>
  <c r="J12" i="64"/>
  <c r="K7" i="62"/>
  <c r="B25" i="63"/>
  <c r="AA17" i="61"/>
  <c r="L32" i="63"/>
  <c r="Z33" i="63"/>
  <c r="P26" i="61"/>
  <c r="U26" i="63"/>
  <c r="R20" i="61"/>
  <c r="G26" i="62"/>
  <c r="S28" i="62"/>
  <c r="Y23" i="62"/>
  <c r="L21" i="61"/>
  <c r="J11" i="64"/>
  <c r="Q13" i="63"/>
  <c r="W21" i="62"/>
  <c r="H10" i="61"/>
  <c r="P12" i="61"/>
  <c r="Q19" i="62"/>
  <c r="I16" i="62"/>
  <c r="N27" i="62"/>
  <c r="H11" i="62"/>
  <c r="G24" i="63"/>
  <c r="S31" i="63"/>
  <c r="W21" i="63"/>
  <c r="U25" i="62"/>
  <c r="L26" i="61"/>
  <c r="F27" i="63"/>
  <c r="S12" i="61"/>
  <c r="AE11" i="63"/>
  <c r="C8" i="62"/>
  <c r="M29" i="62"/>
  <c r="N32" i="62"/>
  <c r="AH8" i="63"/>
  <c r="J22" i="63"/>
  <c r="AB22" i="62"/>
  <c r="V15" i="62"/>
  <c r="AB19" i="62"/>
  <c r="AH21" i="64"/>
  <c r="G20" i="63"/>
  <c r="J11" i="63"/>
  <c r="L20" i="63"/>
  <c r="N16" i="64"/>
  <c r="H28" i="62"/>
  <c r="Z20" i="61"/>
  <c r="R20" i="63"/>
  <c r="J26" i="63"/>
  <c r="C11" i="61"/>
  <c r="J7" i="61"/>
  <c r="L30" i="63"/>
  <c r="C9" i="63"/>
  <c r="E11" i="64"/>
  <c r="G31" i="62"/>
  <c r="R31" i="62"/>
  <c r="Z24" i="61"/>
  <c r="AC15" i="64"/>
  <c r="Y16" i="62"/>
  <c r="O8" i="64"/>
  <c r="Q27" i="40"/>
  <c r="Q12" i="61"/>
  <c r="O7" i="63"/>
  <c r="G21" i="63"/>
  <c r="C16" i="64"/>
  <c r="N14" i="61"/>
  <c r="T14" i="64"/>
  <c r="AE13" i="63"/>
  <c r="AC11" i="63"/>
  <c r="AD25" i="63"/>
  <c r="Z17" i="62"/>
  <c r="K23" i="62"/>
  <c r="H31" i="61"/>
  <c r="AB9" i="61"/>
  <c r="AH25" i="63"/>
  <c r="L9" i="62"/>
  <c r="AE31" i="63"/>
  <c r="Q16" i="63"/>
  <c r="N18" i="62"/>
  <c r="E28" i="64"/>
  <c r="AA15" i="61"/>
  <c r="AA32" i="63"/>
  <c r="AD7" i="62"/>
  <c r="AD31" i="63"/>
  <c r="T29" i="61"/>
  <c r="AF12" i="63"/>
  <c r="AI14" i="64"/>
  <c r="Y12" i="63"/>
  <c r="F26" i="61"/>
  <c r="S18" i="64"/>
  <c r="V33" i="62"/>
  <c r="F23" i="63"/>
  <c r="F9" i="61"/>
  <c r="C30" i="63"/>
  <c r="F15" i="61"/>
  <c r="AI25" i="64"/>
  <c r="AG10" i="62"/>
  <c r="AC20" i="66"/>
  <c r="AI16" i="66"/>
  <c r="R13" i="62"/>
  <c r="E33" i="66"/>
  <c r="AF18" i="63"/>
  <c r="AE14" i="66"/>
  <c r="N13" i="64"/>
  <c r="S26" i="62"/>
  <c r="E17" i="66"/>
  <c r="T19" i="61"/>
  <c r="AI14" i="63"/>
  <c r="N28" i="64"/>
  <c r="W28" i="40"/>
  <c r="AC12" i="62"/>
  <c r="H29" i="61"/>
  <c r="Y31" i="62"/>
  <c r="U8" i="63"/>
  <c r="N12" i="63"/>
  <c r="H8" i="61"/>
  <c r="M25" i="61"/>
  <c r="S7" i="63"/>
  <c r="AH28" i="63"/>
  <c r="AF7" i="64"/>
  <c r="P18" i="62"/>
  <c r="E22" i="66"/>
  <c r="AH28" i="61"/>
  <c r="AE17" i="62"/>
  <c r="T12" i="64"/>
  <c r="U10" i="64"/>
  <c r="Y22" i="66"/>
  <c r="W20" i="62"/>
  <c r="AG25" i="61"/>
  <c r="X27" i="61"/>
  <c r="AE30" i="63"/>
  <c r="Z26" i="62"/>
  <c r="J24" i="63"/>
  <c r="AF21" i="61"/>
  <c r="B16" i="63"/>
  <c r="U7" i="63"/>
  <c r="B8" i="62"/>
  <c r="K9" i="62"/>
  <c r="G30" i="61"/>
  <c r="I22" i="63"/>
  <c r="AI23" i="62"/>
  <c r="N29" i="64"/>
  <c r="O12" i="66"/>
  <c r="R27" i="62"/>
  <c r="V7" i="66"/>
  <c r="Y13" i="62"/>
  <c r="AG31" i="25"/>
  <c r="AG34" i="25" s="1"/>
  <c r="B15" i="66"/>
  <c r="I22" i="61"/>
  <c r="P20" i="66"/>
  <c r="E7" i="61"/>
  <c r="AH25" i="61"/>
  <c r="L15" i="62"/>
  <c r="AD33" i="61"/>
  <c r="F20" i="61"/>
  <c r="AD17" i="63"/>
  <c r="N19" i="62"/>
  <c r="E11" i="61"/>
  <c r="AF14" i="64"/>
  <c r="U28" i="63"/>
  <c r="AE23" i="64"/>
  <c r="AC15" i="63"/>
  <c r="W14" i="63"/>
  <c r="D7" i="62"/>
  <c r="F12" i="66"/>
  <c r="AA17" i="63"/>
  <c r="AD29" i="64"/>
  <c r="AB21" i="61"/>
  <c r="F19" i="64"/>
  <c r="AD31" i="62"/>
  <c r="D33" i="62"/>
  <c r="AE10" i="66"/>
  <c r="D26" i="62"/>
  <c r="M31" i="61"/>
  <c r="F31" i="61"/>
  <c r="G19" i="62"/>
  <c r="E31" i="61"/>
  <c r="W7" i="61"/>
  <c r="K29" i="63"/>
  <c r="AC12" i="61"/>
  <c r="G22" i="63"/>
  <c r="W21" i="64"/>
  <c r="AE15" i="63"/>
  <c r="D31" i="63"/>
  <c r="X14" i="61"/>
  <c r="P15" i="62"/>
  <c r="AG11" i="62"/>
  <c r="N30" i="40"/>
  <c r="C26" i="62"/>
  <c r="H20" i="63"/>
  <c r="F12" i="62"/>
  <c r="P24" i="61"/>
  <c r="Z31" i="61"/>
  <c r="AE26" i="63"/>
  <c r="B11" i="62"/>
  <c r="R22" i="62"/>
  <c r="S10" i="64"/>
  <c r="Q16" i="61"/>
  <c r="AI28" i="61"/>
  <c r="W29" i="61"/>
  <c r="AF24" i="62"/>
  <c r="Y7" i="63"/>
  <c r="J33" i="61"/>
  <c r="O17" i="62"/>
  <c r="Q21" i="61"/>
  <c r="S11" i="62"/>
  <c r="AC30" i="63"/>
  <c r="AH14" i="63"/>
  <c r="F9" i="64"/>
  <c r="K17" i="64"/>
  <c r="W29" i="40"/>
  <c r="AB27" i="62"/>
  <c r="J21" i="61"/>
  <c r="AE8" i="64"/>
  <c r="AI19" i="63"/>
  <c r="C29" i="62"/>
  <c r="M14" i="61"/>
  <c r="K18" i="64"/>
  <c r="G10" i="62"/>
  <c r="Y31" i="61"/>
  <c r="R28" i="62"/>
  <c r="R11" i="64"/>
  <c r="D12" i="63"/>
  <c r="G33" i="61"/>
  <c r="P13" i="62"/>
  <c r="AF19" i="61"/>
  <c r="K9" i="61"/>
  <c r="AI24" i="62"/>
  <c r="R22" i="61"/>
  <c r="AA8" i="61"/>
  <c r="Y15" i="64"/>
  <c r="E27" i="40"/>
  <c r="AI20" i="61"/>
  <c r="H26" i="63"/>
  <c r="Q29" i="40"/>
  <c r="C17" i="64"/>
  <c r="G20" i="61"/>
  <c r="V17" i="62"/>
  <c r="AE25" i="63"/>
  <c r="K23" i="63"/>
  <c r="X9" i="63"/>
  <c r="N15" i="62"/>
  <c r="Z8" i="62"/>
  <c r="S22" i="63"/>
  <c r="G22" i="62"/>
  <c r="K26" i="62"/>
  <c r="AD23" i="64"/>
  <c r="N20" i="61"/>
  <c r="AI9" i="61"/>
  <c r="V24" i="62"/>
  <c r="O22" i="62"/>
  <c r="C13" i="64"/>
  <c r="AI28" i="40"/>
  <c r="AA18" i="64"/>
  <c r="T20" i="62"/>
  <c r="M31" i="62"/>
  <c r="M16" i="61"/>
  <c r="G23" i="62"/>
  <c r="AG12" i="63"/>
  <c r="N24" i="64"/>
  <c r="X13" i="63"/>
  <c r="Z13" i="62"/>
  <c r="B28" i="62"/>
  <c r="E12" i="63"/>
  <c r="W27" i="61"/>
  <c r="Q8" i="63"/>
  <c r="K8" i="64"/>
  <c r="H26" i="66"/>
  <c r="AB7" i="64"/>
  <c r="AA23" i="61"/>
  <c r="H19" i="62"/>
  <c r="AC21" i="63"/>
  <c r="L18" i="62"/>
  <c r="B22" i="63"/>
  <c r="I24" i="66"/>
  <c r="AI7" i="62"/>
  <c r="AI24" i="61"/>
  <c r="H31" i="62"/>
  <c r="M32" i="62"/>
  <c r="V23" i="64"/>
  <c r="Q25" i="62"/>
  <c r="AG9" i="62"/>
  <c r="W25" i="63"/>
  <c r="C22" i="62"/>
  <c r="AC21" i="64"/>
  <c r="K25" i="62"/>
  <c r="U14" i="62"/>
  <c r="M28" i="62"/>
  <c r="AH15" i="66"/>
  <c r="Y23" i="61"/>
  <c r="P32" i="25"/>
  <c r="AJ32" i="25" s="1"/>
  <c r="AH13" i="61"/>
  <c r="D17" i="63"/>
  <c r="AA31" i="66"/>
  <c r="AA14" i="61"/>
  <c r="AC8" i="66"/>
  <c r="G16" i="63"/>
  <c r="AF10" i="62"/>
  <c r="F16" i="63"/>
  <c r="D24" i="64"/>
  <c r="Y26" i="61"/>
  <c r="N25" i="63"/>
  <c r="H26" i="64"/>
  <c r="I27" i="63"/>
  <c r="W30" i="62"/>
  <c r="G15" i="64"/>
  <c r="AG19" i="63"/>
  <c r="T18" i="63"/>
  <c r="K12" i="66"/>
  <c r="Z27" i="40"/>
  <c r="V13" i="63"/>
  <c r="AC21" i="66"/>
  <c r="W15" i="63"/>
  <c r="U16" i="66"/>
  <c r="H30" i="61"/>
  <c r="U33" i="62"/>
  <c r="AD8" i="66"/>
  <c r="E21" i="63"/>
  <c r="J25" i="63"/>
  <c r="Y29" i="63"/>
  <c r="M21" i="63"/>
  <c r="C21" i="63"/>
  <c r="M26" i="62"/>
  <c r="F11" i="63"/>
  <c r="AF9" i="63"/>
  <c r="T28" i="63"/>
  <c r="C14" i="63"/>
  <c r="AI21" i="62"/>
  <c r="K28" i="61"/>
  <c r="J29" i="63"/>
  <c r="Q9" i="25"/>
  <c r="AD18" i="66"/>
  <c r="H28" i="40"/>
  <c r="AG14" i="66"/>
  <c r="J24" i="62"/>
  <c r="AB30" i="66"/>
  <c r="Q11" i="66"/>
  <c r="E17" i="25"/>
  <c r="AJ17" i="25" s="1"/>
  <c r="B12" i="66"/>
  <c r="I25" i="63"/>
  <c r="Q17" i="61"/>
  <c r="I7" i="61"/>
  <c r="Y22" i="62"/>
  <c r="L20" i="62"/>
  <c r="AC30" i="61"/>
  <c r="X21" i="63"/>
  <c r="V14" i="61"/>
  <c r="T18" i="62"/>
  <c r="AG26" i="61"/>
  <c r="Y21" i="63"/>
  <c r="W9" i="62"/>
  <c r="Q24" i="61"/>
  <c r="K22" i="62"/>
  <c r="Q9" i="61"/>
  <c r="AD7" i="63"/>
  <c r="T23" i="61"/>
  <c r="H23" i="62"/>
  <c r="K20" i="64"/>
  <c r="M20" i="63"/>
  <c r="Z27" i="64"/>
  <c r="Z12" i="61"/>
  <c r="AA29" i="63"/>
  <c r="AH13" i="62"/>
  <c r="N33" i="63"/>
  <c r="AD12" i="63"/>
  <c r="Y30" i="62"/>
  <c r="W32" i="63"/>
  <c r="U27" i="61"/>
  <c r="AA16" i="63"/>
  <c r="M19" i="64"/>
  <c r="AG32" i="62"/>
  <c r="N12" i="62"/>
  <c r="Q30" i="62"/>
  <c r="AH27" i="61"/>
  <c r="AD18" i="63"/>
  <c r="AC18" i="62"/>
  <c r="I25" i="62"/>
  <c r="AG23" i="62"/>
  <c r="T16" i="62"/>
  <c r="T8" i="63"/>
  <c r="D10" i="61"/>
  <c r="V10" i="61"/>
  <c r="AA31" i="63"/>
  <c r="J17" i="64"/>
  <c r="B15" i="61"/>
  <c r="C8" i="63"/>
  <c r="Y20" i="62"/>
  <c r="AD23" i="61"/>
  <c r="F7" i="61"/>
  <c r="AH27" i="63"/>
  <c r="G24" i="61"/>
  <c r="Q21" i="62"/>
  <c r="V26" i="64"/>
  <c r="AF13" i="63"/>
  <c r="O22" i="61"/>
  <c r="U8" i="61"/>
  <c r="AB14" i="63"/>
  <c r="Z29" i="61"/>
  <c r="AA24" i="62"/>
  <c r="V18" i="62"/>
  <c r="AC11" i="62"/>
  <c r="P21" i="61"/>
  <c r="AG11" i="64"/>
  <c r="B21" i="63"/>
  <c r="AE16" i="64"/>
  <c r="R24" i="62"/>
  <c r="F14" i="61"/>
  <c r="H22" i="61"/>
  <c r="T10" i="62"/>
  <c r="Z22" i="63"/>
  <c r="W20" i="61"/>
  <c r="AB15" i="61"/>
  <c r="N28" i="40"/>
  <c r="AA21" i="64"/>
  <c r="Q12" i="63"/>
  <c r="AD10" i="63"/>
  <c r="O11" i="61"/>
  <c r="T27" i="61"/>
  <c r="R19" i="61"/>
  <c r="Z10" i="63"/>
  <c r="D7" i="63"/>
  <c r="AI8" i="63"/>
  <c r="AB28" i="63"/>
  <c r="AA28" i="40"/>
  <c r="U10" i="63"/>
  <c r="B29" i="63"/>
  <c r="T9" i="61"/>
  <c r="T30" i="62"/>
  <c r="F27" i="64"/>
  <c r="AA31" i="61"/>
  <c r="V29" i="62"/>
  <c r="S17" i="62"/>
  <c r="H28" i="63"/>
  <c r="AF16" i="64"/>
  <c r="AD9" i="66"/>
  <c r="T7" i="63"/>
  <c r="B17" i="66"/>
  <c r="T24" i="62"/>
  <c r="Q10" i="25"/>
  <c r="Q31" i="66"/>
  <c r="AF30" i="40"/>
  <c r="M12" i="66"/>
  <c r="K16" i="62"/>
  <c r="F23" i="62"/>
  <c r="AB22" i="64"/>
  <c r="K24" i="61"/>
  <c r="B13" i="61"/>
  <c r="E29" i="40"/>
  <c r="AI31" i="63"/>
  <c r="W26" i="62"/>
  <c r="Z9" i="61"/>
  <c r="AC30" i="62"/>
  <c r="V32" i="61"/>
  <c r="AH7" i="64"/>
  <c r="K18" i="66"/>
  <c r="H14" i="66"/>
  <c r="W24" i="61"/>
  <c r="O33" i="66"/>
  <c r="L13" i="61"/>
  <c r="B7" i="66"/>
  <c r="S14" i="66"/>
  <c r="AH8" i="61"/>
  <c r="H32" i="66"/>
  <c r="AB19" i="64"/>
  <c r="T22" i="63"/>
  <c r="AF10" i="64"/>
  <c r="H14" i="62"/>
  <c r="C9" i="64"/>
  <c r="S10" i="62"/>
  <c r="V12" i="61"/>
  <c r="M21" i="61"/>
  <c r="W11" i="62"/>
  <c r="T19" i="63"/>
  <c r="AI9" i="64"/>
  <c r="J14" i="61"/>
  <c r="B33" i="62"/>
  <c r="G11" i="62"/>
  <c r="U22" i="63"/>
  <c r="M28" i="66"/>
  <c r="Q28" i="61"/>
  <c r="L25" i="25"/>
  <c r="AJ25" i="25" s="1"/>
  <c r="V24" i="61"/>
  <c r="U21" i="62"/>
  <c r="N17" i="62"/>
  <c r="E9" i="61"/>
  <c r="AC12" i="66"/>
  <c r="AI18" i="64"/>
  <c r="AB9" i="62"/>
  <c r="X20" i="62"/>
  <c r="P13" i="64"/>
  <c r="S13" i="61"/>
  <c r="M30" i="64"/>
  <c r="V17" i="64"/>
  <c r="AB7" i="63"/>
  <c r="AH11" i="61"/>
  <c r="AF25" i="64"/>
  <c r="H29" i="64"/>
  <c r="O10" i="66"/>
  <c r="AC27" i="62"/>
  <c r="E24" i="61"/>
  <c r="L19" i="66"/>
  <c r="AA21" i="62"/>
  <c r="D13" i="66"/>
  <c r="P33" i="63"/>
  <c r="N32" i="61"/>
  <c r="V15" i="63"/>
  <c r="AI8" i="61"/>
  <c r="N29" i="63"/>
  <c r="X25" i="61"/>
  <c r="M13" i="63"/>
  <c r="AH11" i="62"/>
  <c r="AG32" i="63"/>
  <c r="S17" i="63"/>
  <c r="N11" i="64"/>
  <c r="P26" i="62"/>
  <c r="AF26" i="62"/>
  <c r="J28" i="40"/>
  <c r="R30" i="40"/>
  <c r="L26" i="64"/>
  <c r="AH19" i="61"/>
  <c r="T27" i="62"/>
  <c r="K19" i="61"/>
  <c r="I7" i="62"/>
  <c r="F13" i="61"/>
  <c r="C10" i="64"/>
  <c r="I23" i="63"/>
  <c r="H27" i="62"/>
  <c r="AH19" i="63"/>
  <c r="N11" i="62"/>
  <c r="AD28" i="40"/>
  <c r="W13" i="63"/>
  <c r="N22" i="61"/>
  <c r="U30" i="63"/>
  <c r="G27" i="63"/>
  <c r="AD25" i="61"/>
  <c r="AF29" i="62"/>
  <c r="M14" i="62"/>
  <c r="K18" i="63"/>
  <c r="K14" i="64"/>
  <c r="V28" i="63"/>
  <c r="H7" i="63"/>
  <c r="F15" i="62"/>
  <c r="C32" i="62"/>
  <c r="J10" i="61"/>
  <c r="I8" i="61"/>
  <c r="C23" i="63"/>
  <c r="X10" i="61"/>
  <c r="D13" i="64"/>
  <c r="D28" i="61"/>
  <c r="AE10" i="62"/>
  <c r="AF8" i="62"/>
  <c r="P28" i="63"/>
  <c r="AH16" i="62"/>
  <c r="F22" i="62"/>
  <c r="AD8" i="62"/>
  <c r="B14" i="62"/>
  <c r="I14" i="62"/>
  <c r="C13" i="62"/>
  <c r="T22" i="61"/>
  <c r="L28" i="63"/>
  <c r="AH11" i="63"/>
  <c r="D32" i="61"/>
  <c r="O25" i="63"/>
  <c r="Y14" i="63"/>
  <c r="B16" i="64"/>
  <c r="H19" i="61"/>
  <c r="AC31" i="61"/>
  <c r="N17" i="61"/>
  <c r="G9" i="64"/>
  <c r="O27" i="62"/>
  <c r="AD20" i="62"/>
  <c r="AB20" i="62"/>
  <c r="AG27" i="62"/>
  <c r="AH30" i="40"/>
  <c r="P32" i="63"/>
  <c r="M20" i="62"/>
  <c r="F18" i="62"/>
  <c r="AH23" i="62"/>
  <c r="AH20" i="61"/>
  <c r="J18" i="63"/>
  <c r="O8" i="62"/>
  <c r="X11" i="61"/>
  <c r="Y8" i="62"/>
  <c r="V30" i="61"/>
  <c r="Z15" i="64"/>
  <c r="AF23" i="61"/>
  <c r="E21" i="64"/>
  <c r="Z22" i="61"/>
  <c r="C23" i="62"/>
  <c r="Y23" i="64"/>
  <c r="O31" i="62"/>
  <c r="U20" i="62"/>
  <c r="AI29" i="63"/>
  <c r="E31" i="62"/>
  <c r="L21" i="64"/>
  <c r="Q15" i="61"/>
  <c r="I27" i="61"/>
  <c r="Y19" i="61"/>
  <c r="M26" i="63"/>
  <c r="G16" i="62"/>
  <c r="V19" i="61"/>
  <c r="R29" i="62"/>
  <c r="G7" i="61"/>
  <c r="Y13" i="61"/>
  <c r="Z31" i="62"/>
  <c r="S21" i="66"/>
  <c r="B7" i="62"/>
  <c r="M14" i="66"/>
  <c r="B15" i="62"/>
  <c r="G26" i="61"/>
  <c r="X28" i="63"/>
  <c r="S19" i="61"/>
  <c r="AB28" i="61"/>
  <c r="B11" i="63"/>
  <c r="U18" i="61"/>
  <c r="O9" i="61"/>
  <c r="I19" i="62"/>
  <c r="AC11" i="61"/>
  <c r="D11" i="61"/>
  <c r="V28" i="61"/>
  <c r="AB13" i="62"/>
  <c r="M9" i="62"/>
  <c r="W9" i="61"/>
  <c r="M24" i="63"/>
  <c r="AA19" i="63"/>
  <c r="AF28" i="63"/>
  <c r="D7" i="66"/>
  <c r="AC22" i="62"/>
  <c r="X12" i="63"/>
  <c r="B12" i="64"/>
  <c r="B17" i="63"/>
  <c r="AC26" i="66"/>
  <c r="X26" i="64"/>
  <c r="I16" i="25"/>
  <c r="AJ16" i="25" s="1"/>
  <c r="U7" i="64"/>
  <c r="AC7" i="61"/>
  <c r="V14" i="62"/>
  <c r="AG13" i="61"/>
  <c r="AC12" i="63"/>
  <c r="AE13" i="61"/>
  <c r="V11" i="61"/>
  <c r="AE30" i="62"/>
  <c r="AG27" i="61"/>
  <c r="AE29" i="61"/>
  <c r="AB17" i="61"/>
  <c r="AA33" i="61"/>
  <c r="F22" i="66"/>
  <c r="V19" i="66"/>
  <c r="U32" i="61"/>
  <c r="R17" i="66"/>
  <c r="X11" i="62"/>
  <c r="V18" i="66"/>
  <c r="AG12" i="66"/>
  <c r="AB25" i="64"/>
  <c r="AF28" i="66"/>
  <c r="S10" i="63"/>
  <c r="U32" i="62"/>
  <c r="C8" i="61"/>
  <c r="V27" i="63"/>
  <c r="O21" i="62"/>
  <c r="Z12" i="62"/>
  <c r="AA7" i="63"/>
  <c r="S26" i="61"/>
  <c r="T31" i="62"/>
  <c r="AA24" i="64"/>
  <c r="Q18" i="61"/>
  <c r="AG22" i="61"/>
  <c r="AH7" i="61"/>
  <c r="V29" i="25"/>
  <c r="AJ29" i="25" s="1"/>
  <c r="AD11" i="61"/>
  <c r="F30" i="40"/>
  <c r="AD19" i="66"/>
  <c r="V10" i="63"/>
  <c r="X22" i="25"/>
  <c r="AJ22" i="25" s="1"/>
  <c r="D9" i="62"/>
  <c r="X10" i="64"/>
  <c r="G9" i="66"/>
  <c r="AH17" i="64"/>
  <c r="T13" i="62"/>
  <c r="AE18" i="64"/>
  <c r="AG25" i="62"/>
  <c r="AG27" i="63"/>
  <c r="AC33" i="63"/>
  <c r="I26" i="61"/>
  <c r="F13" i="64"/>
  <c r="U17" i="62"/>
  <c r="K12" i="62"/>
  <c r="S20" i="63"/>
  <c r="G14" i="61"/>
  <c r="N27" i="40"/>
  <c r="M9" i="63"/>
  <c r="Y27" i="61"/>
  <c r="V20" i="61"/>
  <c r="N27" i="61"/>
  <c r="N21" i="62"/>
  <c r="AB7" i="62"/>
  <c r="F33" i="61"/>
  <c r="W11" i="63"/>
  <c r="T29" i="63"/>
  <c r="L14" i="62"/>
  <c r="W16" i="61"/>
  <c r="Q10" i="62"/>
  <c r="J19" i="63"/>
  <c r="Y15" i="61"/>
  <c r="X14" i="62"/>
  <c r="V16" i="61"/>
  <c r="R22" i="63"/>
  <c r="H29" i="63"/>
  <c r="P19" i="62"/>
  <c r="I31" i="62"/>
  <c r="J16" i="63"/>
  <c r="J21" i="62"/>
  <c r="AE29" i="62"/>
  <c r="AB14" i="64"/>
  <c r="C33" i="62"/>
  <c r="AI19" i="61"/>
  <c r="E21" i="61"/>
  <c r="W32" i="61"/>
  <c r="D30" i="63"/>
  <c r="M33" i="63"/>
  <c r="AC30" i="40"/>
  <c r="S21" i="61"/>
  <c r="AE13" i="64"/>
  <c r="S23" i="64"/>
  <c r="AA26" i="63"/>
  <c r="L22" i="64"/>
  <c r="AB19" i="61"/>
  <c r="G28" i="63"/>
  <c r="C31" i="63"/>
  <c r="K9" i="63"/>
  <c r="U7" i="61"/>
  <c r="AF20" i="63"/>
  <c r="AG24" i="63"/>
  <c r="L11" i="64"/>
  <c r="R32" i="61"/>
  <c r="R8" i="63"/>
  <c r="P7" i="64"/>
  <c r="F28" i="62"/>
  <c r="AD28" i="63"/>
  <c r="J32" i="63"/>
  <c r="N7" i="61"/>
  <c r="AE24" i="62"/>
  <c r="X14" i="64"/>
  <c r="T15" i="62"/>
  <c r="F29" i="62"/>
  <c r="Q14" i="61"/>
  <c r="T15" i="61"/>
  <c r="X18" i="63"/>
  <c r="N22" i="62"/>
  <c r="Q33" i="63"/>
  <c r="G19" i="63"/>
  <c r="R17" i="63"/>
  <c r="L31" i="62"/>
  <c r="X26" i="63"/>
  <c r="Y21" i="61"/>
  <c r="AC13" i="61"/>
  <c r="AF30" i="61"/>
  <c r="B26" i="61"/>
  <c r="V30" i="40"/>
  <c r="E32" i="62"/>
  <c r="AB23" i="61"/>
  <c r="M16" i="63"/>
  <c r="D28" i="40"/>
  <c r="T32" i="63"/>
  <c r="E27" i="63"/>
  <c r="K20" i="62"/>
  <c r="M10" i="61"/>
  <c r="L26" i="63"/>
  <c r="I28" i="64"/>
  <c r="I10" i="61"/>
  <c r="U23" i="63"/>
  <c r="T18" i="66"/>
  <c r="X7" i="61"/>
  <c r="O9" i="62"/>
  <c r="C20" i="63"/>
  <c r="P30" i="61"/>
  <c r="L20" i="66"/>
  <c r="C17" i="62"/>
  <c r="T31" i="63"/>
  <c r="Q31" i="61"/>
  <c r="AF33" i="61"/>
  <c r="N15" i="63"/>
  <c r="F30" i="61"/>
  <c r="AF17" i="63"/>
  <c r="M30" i="61"/>
  <c r="AG30" i="63"/>
  <c r="L15" i="61"/>
  <c r="K15" i="61"/>
  <c r="R23" i="62"/>
  <c r="Y13" i="64"/>
  <c r="AG26" i="66"/>
  <c r="F19" i="63"/>
  <c r="L24" i="66"/>
  <c r="N20" i="64"/>
  <c r="AE13" i="25"/>
  <c r="AE34" i="25" s="1"/>
  <c r="AI22" i="66"/>
  <c r="C23" i="64"/>
  <c r="P31" i="66"/>
  <c r="Z30" i="61"/>
  <c r="R26" i="62"/>
  <c r="U30" i="40"/>
  <c r="U13" i="62"/>
  <c r="V24" i="64"/>
  <c r="V19" i="63"/>
  <c r="F12" i="64"/>
  <c r="AE22" i="62"/>
  <c r="U19" i="61"/>
  <c r="AF15" i="62"/>
  <c r="B9" i="63"/>
  <c r="N25" i="61"/>
  <c r="Z9" i="66"/>
  <c r="G29" i="63"/>
  <c r="AC31" i="62"/>
  <c r="B24" i="66"/>
  <c r="AF19" i="62"/>
  <c r="AH18" i="66"/>
  <c r="L9" i="64"/>
  <c r="C16" i="62"/>
  <c r="M11" i="61"/>
  <c r="V32" i="62"/>
  <c r="N23" i="61"/>
  <c r="O17" i="63"/>
  <c r="AD28" i="62"/>
  <c r="AA20" i="62"/>
  <c r="G8" i="63"/>
  <c r="K16" i="63"/>
  <c r="Z19" i="61"/>
  <c r="Z28" i="61"/>
  <c r="Z24" i="63"/>
  <c r="V18" i="61"/>
  <c r="T10" i="61"/>
  <c r="P23" i="62"/>
  <c r="AA26" i="66"/>
  <c r="F20" i="62"/>
  <c r="AA9" i="40"/>
  <c r="L27" i="66"/>
  <c r="O33" i="61"/>
  <c r="K15" i="66"/>
  <c r="Q29" i="63"/>
  <c r="D8" i="66"/>
  <c r="AF17" i="61"/>
  <c r="Y14" i="62"/>
  <c r="AG18" i="61"/>
  <c r="M30" i="40"/>
  <c r="O28" i="62"/>
  <c r="AH33" i="62"/>
  <c r="V23" i="61"/>
  <c r="X13" i="61"/>
  <c r="U30" i="64"/>
  <c r="AI17" i="64"/>
  <c r="D33" i="61"/>
  <c r="AE12" i="64"/>
  <c r="F14" i="63"/>
  <c r="G9" i="61"/>
  <c r="G27" i="40"/>
  <c r="U31" i="62"/>
  <c r="AD16" i="63"/>
  <c r="X32" i="61"/>
  <c r="N17" i="64"/>
  <c r="N24" i="62"/>
  <c r="R30" i="61"/>
  <c r="O16" i="62"/>
  <c r="C27" i="40"/>
  <c r="T10" i="63"/>
  <c r="H31" i="63"/>
  <c r="M25" i="64"/>
  <c r="W26" i="61"/>
  <c r="AB10" i="64"/>
  <c r="L25" i="63"/>
  <c r="Q19" i="61"/>
  <c r="L31" i="63"/>
  <c r="T22" i="64"/>
  <c r="AC27" i="40"/>
  <c r="AG12" i="62"/>
  <c r="F31" i="62"/>
  <c r="U20" i="63"/>
  <c r="E13" i="61"/>
  <c r="R8" i="64"/>
  <c r="Q22" i="62"/>
  <c r="N16" i="62"/>
  <c r="Y10" i="63"/>
  <c r="B15" i="63"/>
  <c r="AI10" i="62"/>
  <c r="W8" i="63"/>
  <c r="AA18" i="62"/>
  <c r="G13" i="61"/>
  <c r="V30" i="63"/>
  <c r="G28" i="62"/>
  <c r="I28" i="63"/>
  <c r="H21" i="62"/>
  <c r="N11" i="63"/>
  <c r="AE9" i="62"/>
  <c r="Q12" i="62"/>
  <c r="P11" i="64"/>
  <c r="AF28" i="62"/>
  <c r="M9" i="61"/>
  <c r="AB9" i="63"/>
  <c r="AH20" i="63"/>
  <c r="P10" i="64"/>
  <c r="Y24" i="63"/>
  <c r="E25" i="64"/>
  <c r="R27" i="63"/>
  <c r="J7" i="62"/>
  <c r="E15" i="63"/>
  <c r="AG26" i="62"/>
  <c r="O19" i="63"/>
  <c r="W22" i="61"/>
  <c r="R9" i="61"/>
  <c r="AA14" i="64"/>
  <c r="R29" i="61"/>
  <c r="AD32" i="61"/>
  <c r="Z23" i="63"/>
  <c r="I9" i="63"/>
  <c r="S33" i="63"/>
  <c r="M27" i="40"/>
  <c r="R14" i="62"/>
  <c r="F25" i="62"/>
  <c r="V8" i="62"/>
  <c r="J29" i="61"/>
  <c r="B24" i="62"/>
  <c r="X24" i="64"/>
  <c r="K13" i="64"/>
  <c r="G23" i="63"/>
  <c r="W22" i="63"/>
  <c r="AA17" i="62"/>
  <c r="AI21" i="61"/>
  <c r="Z10" i="61"/>
  <c r="AG12" i="61"/>
  <c r="D20" i="64"/>
  <c r="AE31" i="62"/>
  <c r="C26" i="63"/>
  <c r="AG32" i="61"/>
  <c r="G21" i="61"/>
  <c r="H32" i="61"/>
  <c r="G31" i="63"/>
  <c r="L11" i="66"/>
  <c r="B32" i="62"/>
  <c r="O10" i="63"/>
  <c r="E15" i="66"/>
  <c r="V33" i="61"/>
  <c r="S17" i="66"/>
  <c r="Q32" i="62"/>
  <c r="G32" i="66"/>
  <c r="X33" i="66"/>
  <c r="M10" i="64"/>
  <c r="AH26" i="63"/>
  <c r="I29" i="63"/>
  <c r="AC15" i="62"/>
  <c r="I24" i="61"/>
  <c r="AE8" i="62"/>
  <c r="T20" i="64"/>
  <c r="H18" i="63"/>
  <c r="AB26" i="63"/>
  <c r="AE17" i="61"/>
  <c r="V11" i="64"/>
  <c r="I29" i="40"/>
  <c r="J28" i="66"/>
  <c r="J16" i="62"/>
  <c r="H18" i="62"/>
  <c r="AE8" i="66"/>
  <c r="AH33" i="63"/>
  <c r="AI32" i="66"/>
  <c r="N9" i="62"/>
  <c r="W27" i="62"/>
  <c r="AC25" i="61"/>
  <c r="N33" i="61"/>
  <c r="AG18" i="64"/>
  <c r="L13" i="62"/>
  <c r="O19" i="61"/>
  <c r="O14" i="64"/>
  <c r="AD20" i="63"/>
  <c r="AD7" i="64"/>
  <c r="AB27" i="63"/>
  <c r="T26" i="62"/>
  <c r="L25" i="62"/>
  <c r="J13" i="64"/>
  <c r="AA13" i="64"/>
  <c r="Y25" i="63"/>
  <c r="AB25" i="63"/>
  <c r="AA22" i="40"/>
  <c r="AJ22" i="40" s="1"/>
  <c r="AD18" i="61"/>
  <c r="AG17" i="62"/>
  <c r="AB27" i="66"/>
  <c r="C20" i="64"/>
  <c r="W24" i="25"/>
  <c r="AJ24" i="25" s="1"/>
  <c r="U16" i="62"/>
  <c r="M25" i="63"/>
  <c r="AI19" i="66"/>
  <c r="J29" i="62"/>
  <c r="J30" i="62"/>
  <c r="Z19" i="62"/>
  <c r="I20" i="62"/>
  <c r="H19" i="63"/>
  <c r="C20" i="62"/>
  <c r="AF12" i="61"/>
  <c r="N14" i="62"/>
  <c r="AD7" i="61"/>
  <c r="AH9" i="62"/>
  <c r="L14" i="64"/>
  <c r="Z25" i="66"/>
  <c r="H17" i="61"/>
  <c r="AG9" i="61"/>
  <c r="P24" i="62"/>
  <c r="E12" i="62"/>
  <c r="I12" i="66"/>
  <c r="R25" i="61"/>
  <c r="V15" i="61"/>
  <c r="S27" i="61"/>
  <c r="K27" i="63"/>
  <c r="D14" i="62"/>
  <c r="AB14" i="62"/>
  <c r="K29" i="62"/>
  <c r="AC10" i="62"/>
  <c r="E10" i="63"/>
  <c r="D13" i="61"/>
  <c r="F16" i="61"/>
  <c r="S23" i="61"/>
  <c r="AC28" i="61"/>
  <c r="L29" i="61"/>
  <c r="X23" i="61"/>
  <c r="C31" i="62"/>
  <c r="G8" i="64"/>
  <c r="L33" i="62"/>
  <c r="W20" i="63"/>
  <c r="J7" i="64"/>
  <c r="P10" i="61"/>
  <c r="H13" i="61"/>
  <c r="Y7" i="61"/>
  <c r="M22" i="62"/>
  <c r="U29" i="62"/>
  <c r="D12" i="62"/>
  <c r="V16" i="64"/>
  <c r="P16" i="63"/>
  <c r="U8" i="62"/>
  <c r="F10" i="63"/>
  <c r="AH9" i="63"/>
  <c r="C11" i="62"/>
  <c r="X24" i="61"/>
  <c r="U32" i="63"/>
  <c r="AD26" i="62"/>
  <c r="K28" i="62"/>
  <c r="G24" i="62"/>
  <c r="F25" i="63"/>
  <c r="Q9" i="63"/>
  <c r="AE17" i="63"/>
  <c r="K32" i="61"/>
  <c r="P27" i="62"/>
  <c r="R15" i="61"/>
  <c r="H9" i="63"/>
  <c r="Z18" i="61"/>
  <c r="P20" i="64"/>
  <c r="AD22" i="64"/>
  <c r="H9" i="61"/>
  <c r="P23" i="63"/>
  <c r="C14" i="64"/>
  <c r="G18" i="64"/>
  <c r="W23" i="61"/>
  <c r="L16" i="61"/>
  <c r="Z14" i="63"/>
  <c r="AH23" i="61"/>
  <c r="O29" i="63"/>
  <c r="AE21" i="63"/>
  <c r="O29" i="62"/>
  <c r="AC10" i="64"/>
  <c r="I32" i="62"/>
  <c r="S21" i="63"/>
  <c r="AE25" i="61"/>
  <c r="C28" i="61"/>
  <c r="E14" i="62"/>
  <c r="I28" i="62"/>
  <c r="K16" i="64"/>
  <c r="Q30" i="64"/>
  <c r="S16" i="63"/>
  <c r="O33" i="63"/>
  <c r="P14" i="63"/>
  <c r="U26" i="61"/>
  <c r="V13" i="61"/>
  <c r="Z23" i="61"/>
  <c r="T14" i="61"/>
  <c r="G16" i="64"/>
  <c r="U10" i="61"/>
  <c r="AF33" i="62"/>
  <c r="E24" i="63"/>
  <c r="AA30" i="40"/>
  <c r="U18" i="63"/>
  <c r="AB25" i="61"/>
  <c r="AA23" i="63"/>
  <c r="P28" i="40"/>
  <c r="AF24" i="61"/>
  <c r="Q11" i="61"/>
  <c r="AD30" i="40"/>
  <c r="AG24" i="62"/>
  <c r="AH24" i="63"/>
  <c r="V22" i="63"/>
  <c r="AC22" i="61"/>
  <c r="J11" i="62"/>
  <c r="Q21" i="63"/>
  <c r="P33" i="62"/>
  <c r="AA8" i="64"/>
  <c r="I30" i="63"/>
  <c r="T17" i="62"/>
  <c r="V7" i="63"/>
  <c r="J19" i="62"/>
  <c r="O23" i="62"/>
  <c r="AD19" i="64"/>
  <c r="T32" i="61"/>
  <c r="U29" i="63"/>
  <c r="AF16" i="66"/>
  <c r="B9" i="61"/>
  <c r="K10" i="64"/>
  <c r="B30" i="63"/>
  <c r="L28" i="61"/>
  <c r="P15" i="63"/>
  <c r="I26" i="62"/>
  <c r="L11" i="62"/>
  <c r="AC19" i="62"/>
  <c r="AH9" i="61"/>
  <c r="AI29" i="61"/>
  <c r="R19" i="64"/>
  <c r="AG13" i="62"/>
  <c r="X11" i="64"/>
  <c r="N10" i="62"/>
  <c r="M11" i="64"/>
  <c r="T12" i="63"/>
  <c r="C29" i="61"/>
  <c r="S29" i="63"/>
  <c r="H8" i="66"/>
  <c r="AH7" i="62"/>
  <c r="Q33" i="25"/>
  <c r="AJ33" i="25" s="1"/>
  <c r="AE15" i="62"/>
  <c r="AG12" i="64"/>
  <c r="Q30" i="63"/>
  <c r="AG29" i="40"/>
  <c r="K9" i="66"/>
  <c r="V28" i="64"/>
  <c r="AE28" i="64"/>
  <c r="I17" i="63"/>
  <c r="H22" i="62"/>
  <c r="D14" i="63"/>
  <c r="AD24" i="63"/>
  <c r="K26" i="63"/>
  <c r="AH29" i="62"/>
  <c r="AI33" i="62"/>
  <c r="AD16" i="61"/>
  <c r="D19" i="62"/>
  <c r="E28" i="40"/>
  <c r="AE27" i="66"/>
  <c r="O18" i="62"/>
  <c r="AA15" i="64"/>
  <c r="L8" i="66"/>
  <c r="Q31" i="62"/>
  <c r="T9" i="66"/>
  <c r="T34" i="66" s="1"/>
  <c r="K29" i="61"/>
  <c r="R20" i="66"/>
  <c r="Q13" i="61"/>
  <c r="W10" i="63"/>
  <c r="AA21" i="63"/>
  <c r="C20" i="61"/>
  <c r="G7" i="62"/>
  <c r="C12" i="62"/>
  <c r="C30" i="62"/>
  <c r="AE21" i="64"/>
  <c r="AI31" i="62"/>
  <c r="S12" i="63"/>
  <c r="J27" i="62"/>
  <c r="W8" i="62"/>
  <c r="D18" i="64"/>
  <c r="Y9" i="63"/>
  <c r="I18" i="66"/>
  <c r="J28" i="62"/>
  <c r="AD21" i="61"/>
  <c r="H27" i="66"/>
  <c r="O24" i="61"/>
  <c r="W29" i="66"/>
  <c r="AJ29" i="66" s="1"/>
  <c r="D31" i="61"/>
  <c r="AB9" i="40"/>
  <c r="F21" i="66"/>
  <c r="F22" i="61"/>
  <c r="AE26" i="61"/>
  <c r="AA33" i="62"/>
  <c r="K26" i="61"/>
  <c r="AE7" i="63"/>
  <c r="I16" i="61"/>
  <c r="AI17" i="61"/>
  <c r="AE20" i="61"/>
  <c r="AE30" i="64"/>
  <c r="O17" i="61"/>
  <c r="AD29" i="62"/>
  <c r="T21" i="62"/>
  <c r="I20" i="61"/>
  <c r="E17" i="62"/>
  <c r="AG8" i="63"/>
  <c r="N27" i="63"/>
  <c r="J9" i="62"/>
  <c r="N26" i="61"/>
  <c r="I19" i="61"/>
  <c r="AD26" i="63"/>
  <c r="AA7" i="62"/>
  <c r="D29" i="62"/>
  <c r="D9" i="64"/>
  <c r="AC25" i="62"/>
  <c r="AC23" i="61"/>
  <c r="K28" i="63"/>
  <c r="Q8" i="62"/>
  <c r="D15" i="61"/>
  <c r="E13" i="62"/>
  <c r="P9" i="63"/>
  <c r="Z21" i="62"/>
  <c r="AE7" i="61"/>
  <c r="V11" i="63"/>
  <c r="F24" i="61"/>
  <c r="AG18" i="63"/>
  <c r="S23" i="62"/>
  <c r="AI23" i="63"/>
  <c r="AF14" i="61"/>
  <c r="AD17" i="62"/>
  <c r="N22" i="63"/>
  <c r="S25" i="61"/>
  <c r="AE27" i="40"/>
  <c r="P25" i="63"/>
  <c r="AF11" i="62"/>
  <c r="D30" i="62"/>
  <c r="Y32" i="62"/>
  <c r="B33" i="63"/>
  <c r="B31" i="61"/>
  <c r="X31" i="63"/>
  <c r="L17" i="64"/>
  <c r="O30" i="63"/>
  <c r="AB33" i="61"/>
  <c r="AD24" i="64"/>
  <c r="X21" i="62"/>
  <c r="J30" i="64"/>
  <c r="I17" i="62"/>
  <c r="AE16" i="62"/>
  <c r="G28" i="64"/>
  <c r="F11" i="62"/>
  <c r="S33" i="61"/>
  <c r="L27" i="61"/>
  <c r="T11" i="61"/>
  <c r="AG19" i="62"/>
  <c r="AG28" i="63"/>
  <c r="W15" i="62"/>
  <c r="W17" i="62"/>
  <c r="K25" i="63"/>
  <c r="AB16" i="63"/>
  <c r="AG20" i="63"/>
  <c r="E9" i="63"/>
  <c r="AE18" i="63"/>
  <c r="U27" i="40"/>
  <c r="Z7" i="63"/>
  <c r="C24" i="63"/>
  <c r="AH17" i="63"/>
  <c r="E19" i="63"/>
  <c r="AA13" i="62"/>
  <c r="AC9" i="63"/>
  <c r="U19" i="63"/>
  <c r="V17" i="63"/>
  <c r="L29" i="40"/>
  <c r="Q19" i="63"/>
  <c r="H18" i="64"/>
  <c r="AF21" i="63"/>
  <c r="AB18" i="63"/>
  <c r="Q20" i="61"/>
  <c r="D22" i="62"/>
  <c r="T9" i="62"/>
  <c r="W32" i="62"/>
  <c r="AI30" i="63"/>
  <c r="J20" i="61"/>
  <c r="E28" i="62"/>
  <c r="D14" i="64"/>
  <c r="O12" i="61"/>
  <c r="AB33" i="63"/>
  <c r="AI19" i="62"/>
  <c r="X13" i="66"/>
  <c r="Q8" i="61"/>
  <c r="AA16" i="61"/>
  <c r="V20" i="66"/>
  <c r="AC18" i="61"/>
  <c r="AH20" i="66"/>
  <c r="L10" i="64"/>
  <c r="P23" i="64"/>
  <c r="X11" i="66"/>
  <c r="Y17" i="62"/>
  <c r="AH27" i="64"/>
  <c r="Y19" i="64"/>
  <c r="B27" i="40"/>
  <c r="S9" i="63"/>
  <c r="AE23" i="62"/>
  <c r="O20" i="62"/>
  <c r="K7" i="63"/>
  <c r="V25" i="62"/>
  <c r="X29" i="62"/>
  <c r="AC9" i="62"/>
  <c r="AB20" i="61"/>
  <c r="D11" i="66"/>
  <c r="N26" i="63"/>
  <c r="I21" i="61"/>
  <c r="L30" i="66"/>
  <c r="M13" i="62"/>
  <c r="B9" i="66"/>
  <c r="H27" i="63"/>
  <c r="M10" i="25"/>
  <c r="M34" i="25" s="1"/>
  <c r="D10" i="66"/>
  <c r="I17" i="61"/>
  <c r="AB10" i="62"/>
  <c r="S24" i="61"/>
  <c r="L18" i="64"/>
  <c r="G15" i="62"/>
  <c r="S24" i="63"/>
  <c r="S9" i="61"/>
  <c r="E11" i="62"/>
  <c r="B12" i="61"/>
  <c r="AH16" i="64"/>
  <c r="F16" i="62"/>
  <c r="AH21" i="62"/>
  <c r="K8" i="66"/>
  <c r="U31" i="61"/>
  <c r="X29" i="40"/>
  <c r="AG16" i="62"/>
  <c r="U15" i="61"/>
  <c r="AF27" i="66"/>
  <c r="R16" i="62"/>
  <c r="H7" i="62"/>
  <c r="AB10" i="61"/>
  <c r="B22" i="62"/>
  <c r="AC10" i="63"/>
  <c r="M19" i="62"/>
  <c r="AD32" i="62"/>
  <c r="I16" i="63"/>
  <c r="L19" i="62"/>
  <c r="Z25" i="63"/>
  <c r="X19" i="62"/>
  <c r="J33" i="62"/>
  <c r="T28" i="40"/>
  <c r="I12" i="64"/>
  <c r="Z27" i="61"/>
  <c r="J18" i="61"/>
  <c r="P7" i="66"/>
  <c r="AF26" i="61"/>
  <c r="AH10" i="66"/>
  <c r="AI14" i="66"/>
  <c r="B28" i="63"/>
  <c r="P22" i="66"/>
  <c r="I7" i="63"/>
  <c r="AB10" i="66"/>
  <c r="L29" i="62"/>
  <c r="O21" i="61"/>
  <c r="AI23" i="61"/>
  <c r="AB16" i="62"/>
  <c r="D24" i="61"/>
  <c r="AD27" i="62"/>
  <c r="Q14" i="62"/>
  <c r="Z8" i="64"/>
  <c r="W30" i="40"/>
  <c r="N29" i="62"/>
  <c r="V17" i="61"/>
  <c r="U24" i="61"/>
  <c r="T7" i="62"/>
  <c r="U12" i="62"/>
  <c r="N19" i="63"/>
  <c r="F32" i="63"/>
  <c r="K22" i="63"/>
  <c r="L8" i="63"/>
  <c r="AD27" i="64"/>
  <c r="E31" i="63"/>
  <c r="AI26" i="62"/>
  <c r="AE19" i="63"/>
  <c r="J9" i="63"/>
  <c r="J17" i="61"/>
  <c r="V22" i="62"/>
  <c r="J27" i="40"/>
  <c r="J8" i="64"/>
  <c r="O20" i="64"/>
  <c r="P29" i="62"/>
  <c r="O30" i="40"/>
  <c r="D26" i="64"/>
  <c r="R24" i="63"/>
  <c r="AD26" i="61"/>
  <c r="L25" i="61"/>
  <c r="AD23" i="63"/>
  <c r="AH12" i="61"/>
  <c r="U28" i="62"/>
  <c r="Y11" i="61"/>
  <c r="Q14" i="63"/>
  <c r="AA29" i="61"/>
  <c r="J32" i="62"/>
  <c r="AD19" i="63"/>
  <c r="H23" i="61"/>
  <c r="V14" i="63"/>
  <c r="R16" i="63"/>
  <c r="O24" i="62"/>
  <c r="T10" i="64"/>
  <c r="AE21" i="61"/>
  <c r="AB24" i="63"/>
  <c r="M13" i="61"/>
  <c r="E29" i="62"/>
  <c r="T9" i="63"/>
  <c r="V19" i="62"/>
  <c r="Y11" i="63"/>
  <c r="Q7" i="61"/>
  <c r="AE20" i="63"/>
  <c r="C21" i="61"/>
  <c r="AF21" i="62"/>
  <c r="Y22" i="64"/>
  <c r="K9" i="64"/>
  <c r="W17" i="61"/>
  <c r="J14" i="63"/>
  <c r="K7" i="61"/>
  <c r="L10" i="62"/>
  <c r="Y10" i="64"/>
  <c r="Y29" i="62"/>
  <c r="P25" i="61"/>
  <c r="U7" i="62"/>
  <c r="B31" i="63"/>
  <c r="Q10" i="64"/>
  <c r="K33" i="61"/>
  <c r="S25" i="64"/>
  <c r="N14" i="63"/>
  <c r="G28" i="61"/>
  <c r="X15" i="62"/>
  <c r="U26" i="62"/>
  <c r="Q13" i="62"/>
  <c r="AF16" i="62"/>
  <c r="P8" i="63"/>
  <c r="U24" i="62"/>
  <c r="M22" i="61"/>
  <c r="O9" i="64"/>
  <c r="G8" i="61"/>
  <c r="E7" i="64"/>
  <c r="W12" i="62"/>
  <c r="AA9" i="62"/>
  <c r="C9" i="62"/>
  <c r="AH12" i="64"/>
  <c r="O12" i="63"/>
  <c r="AD27" i="40"/>
  <c r="G32" i="62"/>
  <c r="AG11" i="61"/>
  <c r="F7" i="64"/>
  <c r="K20" i="63"/>
  <c r="E15" i="62"/>
  <c r="S28" i="63"/>
  <c r="I13" i="63"/>
  <c r="Z26" i="61"/>
  <c r="AI10" i="63"/>
  <c r="V21" i="63"/>
  <c r="AA13" i="63"/>
  <c r="H26" i="61"/>
  <c r="P31" i="62"/>
  <c r="I11" i="63"/>
  <c r="L8" i="61"/>
  <c r="D10" i="62"/>
  <c r="E29" i="61"/>
  <c r="J28" i="63"/>
  <c r="G10" i="64"/>
  <c r="Q27" i="63"/>
  <c r="V12" i="62"/>
  <c r="AH14" i="62"/>
  <c r="AE9" i="61"/>
  <c r="R7" i="63"/>
  <c r="AC28" i="62"/>
  <c r="N9" i="64"/>
  <c r="N28" i="62"/>
  <c r="AB26" i="61"/>
  <c r="Z17" i="63"/>
  <c r="K13" i="63"/>
  <c r="K24" i="62"/>
  <c r="F19" i="61"/>
  <c r="AA10" i="61"/>
  <c r="V7" i="64"/>
  <c r="AA19" i="61"/>
  <c r="R9" i="63"/>
  <c r="U22" i="62"/>
  <c r="AA26" i="61"/>
  <c r="C27" i="62"/>
  <c r="U30" i="62"/>
  <c r="I8" i="64"/>
  <c r="AA17" i="64"/>
  <c r="J28" i="61"/>
  <c r="O9" i="63"/>
  <c r="AC14" i="63"/>
  <c r="H24" i="64"/>
  <c r="S18" i="62"/>
  <c r="C27" i="61"/>
  <c r="AH8" i="64"/>
  <c r="AG21" i="64"/>
  <c r="W30" i="63"/>
  <c r="L11" i="61"/>
  <c r="D25" i="61"/>
  <c r="Z28" i="40"/>
  <c r="D22" i="64"/>
  <c r="AF32" i="61"/>
  <c r="Q20" i="63"/>
  <c r="L17" i="62"/>
  <c r="V25" i="61"/>
  <c r="L33" i="63"/>
  <c r="S22" i="61"/>
  <c r="L24" i="63"/>
  <c r="K29" i="40"/>
  <c r="Y33" i="63"/>
  <c r="E20" i="63"/>
  <c r="I32" i="61"/>
  <c r="AF15" i="64"/>
  <c r="D27" i="62"/>
  <c r="U28" i="40"/>
  <c r="R25" i="63"/>
  <c r="C10" i="63"/>
  <c r="Q25" i="61"/>
  <c r="P13" i="61"/>
  <c r="H20" i="61"/>
  <c r="AB17" i="64"/>
  <c r="AB15" i="64"/>
  <c r="V16" i="63"/>
  <c r="E8" i="63"/>
  <c r="H13" i="62"/>
  <c r="D17" i="64"/>
  <c r="AE26" i="62"/>
  <c r="AB33" i="62"/>
  <c r="D19" i="61"/>
  <c r="S14" i="62"/>
  <c r="Q24" i="62"/>
  <c r="AB28" i="40"/>
  <c r="R7" i="62"/>
  <c r="L27" i="62"/>
  <c r="E19" i="61"/>
  <c r="R15" i="62"/>
  <c r="B19" i="63"/>
  <c r="H17" i="64"/>
  <c r="E10" i="61"/>
  <c r="W10" i="62"/>
  <c r="B7" i="64"/>
  <c r="D23" i="64"/>
  <c r="AB18" i="62"/>
  <c r="AE30" i="61"/>
  <c r="AF18" i="64"/>
  <c r="G8" i="62"/>
  <c r="AF23" i="62"/>
  <c r="V24" i="63"/>
  <c r="Z7" i="61"/>
  <c r="Y8" i="63"/>
  <c r="AI17" i="63"/>
  <c r="C11" i="63"/>
  <c r="C12" i="63"/>
  <c r="V31" i="62"/>
  <c r="V30" i="62"/>
  <c r="E10" i="64"/>
  <c r="I12" i="62"/>
  <c r="AG8" i="64"/>
  <c r="K22" i="61"/>
  <c r="V8" i="64"/>
  <c r="AC29" i="64"/>
  <c r="AB23" i="63"/>
  <c r="H27" i="61"/>
  <c r="AB29" i="64"/>
  <c r="M28" i="40"/>
  <c r="J9" i="61"/>
  <c r="R33" i="61"/>
  <c r="Q25" i="63"/>
  <c r="AF29" i="64"/>
  <c r="C12" i="64"/>
  <c r="M8" i="61"/>
  <c r="F30" i="62"/>
  <c r="AI13" i="64"/>
  <c r="AH18" i="61"/>
  <c r="B8" i="61"/>
  <c r="AH7" i="63"/>
  <c r="D28" i="63"/>
  <c r="M30" i="62"/>
  <c r="E8" i="61"/>
  <c r="AF25" i="63"/>
  <c r="J31" i="62"/>
  <c r="N28" i="63"/>
  <c r="V9" i="63"/>
  <c r="AD17" i="61"/>
  <c r="AC33" i="61"/>
  <c r="AI11" i="61"/>
  <c r="Z32" i="61"/>
  <c r="G18" i="61"/>
  <c r="AC21" i="61"/>
  <c r="B24" i="64"/>
  <c r="X17" i="62"/>
  <c r="AB27" i="40"/>
  <c r="D19" i="64"/>
  <c r="W30" i="61"/>
  <c r="K8" i="63"/>
  <c r="AD21" i="63"/>
  <c r="AA9" i="61"/>
  <c r="R12" i="63"/>
  <c r="Z11" i="63"/>
  <c r="AA10" i="63"/>
  <c r="C25" i="63"/>
  <c r="Q23" i="64"/>
  <c r="W29" i="63"/>
  <c r="S17" i="61"/>
  <c r="Q19" i="64"/>
  <c r="M18" i="62"/>
  <c r="I33" i="63"/>
  <c r="V10" i="62"/>
  <c r="AB13" i="64"/>
  <c r="AB32" i="62"/>
  <c r="D30" i="40"/>
  <c r="X13" i="62"/>
  <c r="AB12" i="62"/>
  <c r="D17" i="61"/>
  <c r="W24" i="63"/>
  <c r="H12" i="63"/>
  <c r="Z31" i="63"/>
  <c r="K12" i="64"/>
  <c r="Z17" i="61"/>
  <c r="Y13" i="63"/>
  <c r="H24" i="63"/>
  <c r="N8" i="62"/>
  <c r="E19" i="62"/>
  <c r="AD12" i="62"/>
  <c r="M8" i="62"/>
  <c r="B14" i="63"/>
  <c r="E11" i="63"/>
  <c r="Y19" i="63"/>
  <c r="T24" i="61"/>
  <c r="D16" i="61"/>
  <c r="AA12" i="62"/>
  <c r="AF16" i="61"/>
  <c r="O16" i="61"/>
  <c r="U11" i="64"/>
  <c r="Q8" i="64"/>
  <c r="G30" i="40"/>
  <c r="AE20" i="62"/>
  <c r="AH12" i="62"/>
  <c r="E33" i="63"/>
  <c r="C29" i="40"/>
  <c r="J15" i="61"/>
  <c r="D13" i="63"/>
  <c r="AD22" i="62"/>
  <c r="W10" i="64"/>
  <c r="AC18" i="63"/>
  <c r="T13" i="63"/>
  <c r="S27" i="64"/>
  <c r="L26" i="62"/>
  <c r="L23" i="62"/>
  <c r="E12" i="61"/>
  <c r="AI29" i="40"/>
  <c r="AD10" i="61"/>
  <c r="S27" i="63"/>
  <c r="AG22" i="63"/>
  <c r="AD30" i="61"/>
  <c r="K21" i="61"/>
  <c r="U13" i="63"/>
  <c r="J12" i="63"/>
  <c r="AE28" i="61"/>
  <c r="K31" i="62"/>
  <c r="S13" i="63"/>
  <c r="O26" i="63"/>
  <c r="AH15" i="62"/>
  <c r="O15" i="63"/>
  <c r="Y30" i="64"/>
  <c r="G26" i="63"/>
  <c r="Z29" i="62"/>
  <c r="I27" i="40"/>
  <c r="L9" i="63"/>
  <c r="F13" i="62"/>
  <c r="N21" i="61"/>
  <c r="AF17" i="62"/>
  <c r="AB30" i="40"/>
  <c r="H10" i="64"/>
  <c r="F22" i="63"/>
  <c r="S31" i="66"/>
  <c r="W26" i="63"/>
  <c r="AF11" i="63"/>
  <c r="F17" i="63"/>
  <c r="H22" i="63"/>
  <c r="W21" i="61"/>
  <c r="Z25" i="61"/>
  <c r="K25" i="64"/>
  <c r="X8" i="61"/>
  <c r="X15" i="61"/>
  <c r="X14" i="63"/>
  <c r="V21" i="61"/>
  <c r="AI25" i="63"/>
  <c r="AC29" i="63"/>
  <c r="AA29" i="62"/>
  <c r="N8" i="63"/>
  <c r="AF23" i="63"/>
  <c r="AA15" i="62"/>
  <c r="O25" i="61"/>
  <c r="W22" i="64"/>
  <c r="G10" i="63"/>
  <c r="AC20" i="63"/>
  <c r="B25" i="62"/>
  <c r="X27" i="40"/>
  <c r="AA27" i="62"/>
  <c r="AF12" i="62"/>
  <c r="AD31" i="61"/>
  <c r="M22" i="63"/>
  <c r="O15" i="62"/>
  <c r="P15" i="61"/>
  <c r="Q22" i="61"/>
  <c r="R23" i="61"/>
  <c r="AC17" i="62"/>
  <c r="W23" i="62"/>
  <c r="X15" i="64"/>
  <c r="W19" i="63"/>
  <c r="U11" i="62"/>
  <c r="J29" i="40"/>
  <c r="B27" i="62"/>
  <c r="X19" i="64"/>
  <c r="AI12" i="62"/>
  <c r="X20" i="61"/>
  <c r="P31" i="63"/>
  <c r="D18" i="61"/>
  <c r="R32" i="62"/>
  <c r="B32" i="63"/>
  <c r="O10" i="62"/>
  <c r="J30" i="63"/>
  <c r="H11" i="64"/>
  <c r="B26" i="64"/>
  <c r="S9" i="62"/>
  <c r="AH14" i="64"/>
  <c r="T22" i="62"/>
  <c r="R13" i="64"/>
  <c r="I27" i="64"/>
  <c r="AG28" i="62"/>
  <c r="R20" i="62"/>
  <c r="AE32" i="63"/>
  <c r="L7" i="64"/>
  <c r="AC26" i="61"/>
  <c r="U17" i="64"/>
  <c r="I7" i="64"/>
  <c r="AH30" i="62"/>
  <c r="D15" i="62"/>
  <c r="C7" i="61"/>
  <c r="W23" i="64"/>
  <c r="S21" i="62"/>
  <c r="D25" i="62"/>
  <c r="M12" i="63"/>
  <c r="C15" i="61"/>
  <c r="T14" i="62"/>
  <c r="B28" i="61"/>
  <c r="K14" i="61"/>
  <c r="R29" i="40"/>
  <c r="AC22" i="63"/>
  <c r="Q7" i="62"/>
  <c r="AI20" i="63"/>
  <c r="AD9" i="61"/>
  <c r="O27" i="63"/>
  <c r="Z14" i="61"/>
  <c r="D23" i="61"/>
  <c r="G18" i="62"/>
  <c r="B30" i="62"/>
  <c r="AA14" i="62"/>
  <c r="T23" i="62"/>
  <c r="AC23" i="62"/>
  <c r="O17" i="64"/>
  <c r="N24" i="63"/>
  <c r="I21" i="62"/>
  <c r="I12" i="61"/>
  <c r="P21" i="62"/>
  <c r="H7" i="61"/>
  <c r="AC28" i="40"/>
  <c r="G27" i="62"/>
  <c r="M27" i="61"/>
  <c r="H17" i="62"/>
  <c r="AF20" i="62"/>
  <c r="AB11" i="63"/>
  <c r="F7" i="63"/>
  <c r="AF9" i="61"/>
  <c r="AG33" i="63"/>
  <c r="AD20" i="61"/>
  <c r="H28" i="61"/>
  <c r="U15" i="64"/>
  <c r="G30" i="63"/>
  <c r="G29" i="40"/>
  <c r="G7" i="63"/>
  <c r="AI24" i="63"/>
  <c r="X7" i="63"/>
  <c r="AF21" i="64"/>
  <c r="N23" i="62"/>
  <c r="W7" i="63"/>
  <c r="V27" i="40"/>
  <c r="Z25" i="64"/>
  <c r="Q18" i="63"/>
  <c r="K18" i="62"/>
  <c r="AI28" i="63"/>
  <c r="D8" i="62"/>
  <c r="AG14" i="61"/>
  <c r="S31" i="62"/>
  <c r="R25" i="62"/>
  <c r="U33" i="63"/>
  <c r="N7" i="62"/>
  <c r="J18" i="62"/>
  <c r="S13" i="64"/>
  <c r="D29" i="40"/>
  <c r="AG23" i="63"/>
  <c r="AE10" i="63"/>
  <c r="V12" i="63"/>
  <c r="U13" i="61"/>
  <c r="Q7" i="64"/>
  <c r="I15" i="64"/>
  <c r="K30" i="62"/>
  <c r="H16" i="62"/>
  <c r="E13" i="63"/>
  <c r="AH28" i="62"/>
  <c r="J17" i="62"/>
  <c r="B18" i="62"/>
  <c r="F18" i="63"/>
  <c r="X23" i="62"/>
  <c r="AB21" i="62"/>
  <c r="AI15" i="61"/>
  <c r="H13" i="63"/>
  <c r="F17" i="62"/>
  <c r="Z9" i="64"/>
  <c r="Q9" i="62"/>
  <c r="Q10" i="61"/>
  <c r="G30" i="62"/>
  <c r="AD18" i="62"/>
  <c r="S13" i="62"/>
  <c r="C16" i="63"/>
  <c r="L31" i="61"/>
  <c r="S8" i="64"/>
  <c r="R27" i="61"/>
  <c r="M19" i="63"/>
  <c r="X29" i="64"/>
  <c r="AB29" i="40"/>
  <c r="B21" i="64"/>
  <c r="AH31" i="63"/>
  <c r="C18" i="64"/>
  <c r="K20" i="61"/>
  <c r="AH24" i="62"/>
  <c r="J13" i="63"/>
  <c r="AC15" i="61"/>
  <c r="J8" i="62"/>
  <c r="U11" i="63"/>
  <c r="AC24" i="61"/>
  <c r="G15" i="63"/>
  <c r="AD24" i="61"/>
  <c r="T33" i="63"/>
  <c r="J20" i="64"/>
  <c r="AB12" i="61"/>
  <c r="I15" i="61"/>
  <c r="V21" i="62"/>
  <c r="T17" i="64"/>
  <c r="M31" i="63"/>
  <c r="Y16" i="63"/>
  <c r="P7" i="63"/>
  <c r="X17" i="63"/>
  <c r="AG30" i="61"/>
  <c r="T19" i="64"/>
  <c r="V9" i="64"/>
  <c r="P31" i="61"/>
  <c r="D10" i="63"/>
  <c r="J15" i="64"/>
  <c r="Z33" i="61"/>
  <c r="S30" i="40"/>
  <c r="AG24" i="61"/>
  <c r="AB29" i="62"/>
  <c r="O31" i="63"/>
  <c r="I14" i="63"/>
  <c r="AI16" i="61"/>
  <c r="R21" i="62"/>
  <c r="AE32" i="62"/>
  <c r="AD19" i="62"/>
  <c r="P22" i="62"/>
  <c r="N9" i="63"/>
  <c r="U10" i="62"/>
  <c r="D21" i="61"/>
  <c r="Y28" i="40"/>
  <c r="R18" i="63"/>
  <c r="AA27" i="61"/>
  <c r="Q26" i="62"/>
  <c r="Q16" i="64"/>
  <c r="Y10" i="62"/>
  <c r="B17" i="62"/>
  <c r="AF13" i="61"/>
  <c r="T25" i="63"/>
  <c r="C33" i="61"/>
  <c r="C17" i="63"/>
  <c r="V7" i="62"/>
  <c r="W13" i="61"/>
  <c r="M29" i="40"/>
  <c r="L9" i="61"/>
  <c r="E33" i="61"/>
  <c r="I31" i="63"/>
  <c r="AG33" i="61"/>
  <c r="T29" i="64"/>
  <c r="E18" i="63"/>
  <c r="B17" i="64"/>
  <c r="AA21" i="61"/>
  <c r="AB18" i="64"/>
  <c r="AG20" i="61"/>
  <c r="AH10" i="61"/>
  <c r="D18" i="63"/>
  <c r="K30" i="63"/>
  <c r="P14" i="61"/>
  <c r="H16" i="61"/>
  <c r="W33" i="61"/>
  <c r="U27" i="62"/>
  <c r="AG17" i="61"/>
  <c r="AF17" i="64"/>
  <c r="E14" i="61"/>
  <c r="V22" i="66"/>
  <c r="S29" i="62"/>
  <c r="R30" i="63"/>
  <c r="O27" i="61"/>
  <c r="P24" i="63"/>
  <c r="S19" i="63"/>
  <c r="S30" i="63"/>
  <c r="X16" i="61"/>
  <c r="F27" i="61"/>
  <c r="AI8" i="62"/>
  <c r="P25" i="64"/>
  <c r="I23" i="61"/>
  <c r="P24" i="64"/>
  <c r="R7" i="64"/>
  <c r="J25" i="62"/>
  <c r="M16" i="64"/>
  <c r="U22" i="61"/>
  <c r="B30" i="61"/>
  <c r="D27" i="40"/>
  <c r="AD23" i="62"/>
  <c r="J16" i="64"/>
  <c r="D21" i="62"/>
  <c r="L12" i="61"/>
  <c r="C28" i="62"/>
  <c r="Y26" i="64"/>
  <c r="AB26" i="62"/>
  <c r="L16" i="62"/>
  <c r="O32" i="61"/>
  <c r="AG30" i="62"/>
  <c r="AF29" i="61"/>
  <c r="W14" i="61"/>
  <c r="Q10" i="63"/>
  <c r="Q26" i="63"/>
  <c r="M18" i="61"/>
  <c r="U25" i="61"/>
  <c r="AF19" i="64"/>
  <c r="P29" i="64"/>
  <c r="U14" i="61"/>
  <c r="M19" i="61"/>
  <c r="S8" i="61"/>
  <c r="X29" i="63"/>
  <c r="AG14" i="62"/>
  <c r="AG27" i="40"/>
  <c r="AD21" i="62"/>
  <c r="V31" i="61"/>
  <c r="B14" i="61"/>
  <c r="AI13" i="61"/>
  <c r="S32" i="61"/>
  <c r="X9" i="61"/>
  <c r="AD22" i="63"/>
  <c r="Y21" i="62"/>
  <c r="Z18" i="63"/>
  <c r="Y16" i="61"/>
  <c r="AI22" i="61"/>
  <c r="H14" i="64"/>
  <c r="S15" i="63"/>
  <c r="AE22" i="61"/>
  <c r="G12" i="64"/>
  <c r="K32" i="63"/>
  <c r="X22" i="61"/>
  <c r="X33" i="63"/>
  <c r="D27" i="61"/>
  <c r="Z21" i="63"/>
  <c r="L13" i="64"/>
  <c r="B12" i="63"/>
  <c r="AF19" i="63"/>
  <c r="B21" i="61"/>
  <c r="E23" i="63"/>
  <c r="AE28" i="63"/>
  <c r="Z12" i="64"/>
  <c r="B8" i="64"/>
  <c r="M29" i="63"/>
  <c r="R21" i="63"/>
  <c r="AC24" i="63"/>
  <c r="M29" i="61"/>
  <c r="J23" i="61"/>
  <c r="G29" i="61"/>
  <c r="V18" i="63"/>
  <c r="R22" i="64"/>
  <c r="F8" i="61"/>
  <c r="D13" i="62"/>
  <c r="T25" i="62"/>
  <c r="AE9" i="64"/>
  <c r="D15" i="63"/>
  <c r="P11" i="61"/>
  <c r="AC8" i="64"/>
  <c r="X30" i="40"/>
  <c r="E7" i="63"/>
  <c r="U19" i="64"/>
  <c r="K27" i="40"/>
  <c r="J20" i="63"/>
  <c r="V22" i="61"/>
  <c r="AH28" i="40"/>
  <c r="Q24" i="63"/>
  <c r="AF15" i="61"/>
  <c r="AH27" i="40"/>
  <c r="AF13" i="62"/>
  <c r="AE27" i="63"/>
  <c r="L27" i="63"/>
  <c r="N30" i="62"/>
  <c r="AG30" i="40"/>
  <c r="P10" i="63"/>
  <c r="O8" i="61"/>
  <c r="K33" i="62"/>
  <c r="J10" i="63"/>
  <c r="E32" i="61"/>
  <c r="Z16" i="63"/>
  <c r="AC20" i="62"/>
  <c r="D17" i="62"/>
  <c r="Y29" i="40"/>
  <c r="Y24" i="61"/>
  <c r="E16" i="62"/>
  <c r="AF25" i="62"/>
  <c r="J19" i="64"/>
  <c r="N13" i="63"/>
  <c r="AI11" i="62"/>
  <c r="B23" i="61"/>
  <c r="C32" i="61"/>
  <c r="G21" i="62"/>
  <c r="G31" i="61"/>
  <c r="AD14" i="63"/>
  <c r="H10" i="62"/>
  <c r="G33" i="62"/>
  <c r="N16" i="63"/>
  <c r="O18" i="61"/>
  <c r="B10" i="63"/>
  <c r="P29" i="63"/>
  <c r="R11" i="62"/>
  <c r="K14" i="62"/>
  <c r="Y22" i="63"/>
  <c r="I14" i="61"/>
  <c r="I10" i="62"/>
  <c r="R8" i="62"/>
  <c r="V23" i="62"/>
  <c r="P16" i="61"/>
  <c r="Y16" i="64"/>
  <c r="AC27" i="61"/>
  <c r="E21" i="62"/>
  <c r="S19" i="62"/>
  <c r="C22" i="61"/>
  <c r="B18" i="61"/>
  <c r="Y15" i="63"/>
  <c r="AF18" i="62"/>
  <c r="M28" i="61"/>
  <c r="G12" i="62"/>
  <c r="R24" i="61"/>
  <c r="X19" i="63"/>
  <c r="AA30" i="63"/>
  <c r="Z11" i="61"/>
  <c r="AC14" i="62"/>
  <c r="AC20" i="64"/>
  <c r="B11" i="64"/>
  <c r="P10" i="62"/>
  <c r="AG21" i="63"/>
  <c r="C24" i="61"/>
  <c r="B20" i="63"/>
  <c r="N24" i="61"/>
  <c r="R31" i="63"/>
  <c r="B30" i="40"/>
  <c r="C18" i="62"/>
  <c r="D20" i="61"/>
  <c r="H10" i="63"/>
  <c r="Q32" i="63"/>
  <c r="G9" i="62"/>
  <c r="Z30" i="63"/>
  <c r="P7" i="61"/>
  <c r="E27" i="62"/>
  <c r="W9" i="64"/>
  <c r="AI25" i="62"/>
  <c r="P30" i="62"/>
  <c r="AA25" i="64"/>
  <c r="P18" i="63"/>
  <c r="N20" i="62"/>
  <c r="Z18" i="62"/>
  <c r="AF14" i="62"/>
  <c r="AB23" i="64"/>
  <c r="D10" i="64"/>
  <c r="M11" i="63"/>
  <c r="N25" i="62"/>
  <c r="AE17" i="64"/>
  <c r="P25" i="62"/>
  <c r="D25" i="63"/>
  <c r="AG15" i="61"/>
  <c r="AA22" i="63"/>
  <c r="AF22" i="61"/>
  <c r="P30" i="63"/>
  <c r="AB27" i="61"/>
  <c r="F11" i="61"/>
  <c r="F8" i="64"/>
  <c r="P22" i="63"/>
  <c r="R26" i="61"/>
  <c r="T11" i="64"/>
  <c r="AG7" i="61"/>
  <c r="O11" i="63"/>
  <c r="AH30" i="64"/>
  <c r="V23" i="63"/>
  <c r="U9" i="61"/>
  <c r="I11" i="62"/>
  <c r="O23" i="61"/>
  <c r="W28" i="62"/>
  <c r="AE14" i="63"/>
  <c r="X30" i="61"/>
  <c r="G14" i="64"/>
  <c r="V28" i="40"/>
  <c r="S25" i="62"/>
  <c r="AF20" i="64"/>
  <c r="AD12" i="64"/>
  <c r="U18" i="64"/>
  <c r="AC32" i="61"/>
  <c r="G13" i="62"/>
  <c r="AI21" i="63"/>
  <c r="P19" i="64"/>
  <c r="U29" i="64"/>
  <c r="K13" i="61"/>
  <c r="G19" i="61"/>
  <c r="AC23" i="63"/>
  <c r="AI9" i="62"/>
  <c r="U25" i="63"/>
  <c r="H21" i="63"/>
  <c r="C19" i="62"/>
  <c r="T12" i="61"/>
  <c r="G12" i="61"/>
  <c r="Y8" i="61"/>
  <c r="W26" i="64"/>
  <c r="L21" i="63"/>
  <c r="R18" i="62"/>
  <c r="AE10" i="61"/>
  <c r="C26" i="61"/>
  <c r="O16" i="63"/>
  <c r="O11" i="62"/>
  <c r="J13" i="61"/>
  <c r="AC19" i="63"/>
  <c r="U17" i="63"/>
  <c r="K33" i="63"/>
  <c r="M17" i="62"/>
  <c r="O28" i="40"/>
  <c r="B12" i="62"/>
  <c r="AC32" i="62"/>
  <c r="F19" i="62"/>
  <c r="AB32" i="63"/>
  <c r="Z29" i="40"/>
  <c r="Q23" i="62"/>
  <c r="O21" i="63"/>
  <c r="X24" i="63"/>
  <c r="AE28" i="40"/>
  <c r="L18" i="63"/>
  <c r="X19" i="61"/>
  <c r="O30" i="62"/>
  <c r="Y25" i="61"/>
  <c r="F28" i="40"/>
  <c r="B20" i="62"/>
  <c r="AB7" i="61"/>
  <c r="E24" i="62"/>
  <c r="AI14" i="61"/>
  <c r="T16" i="61"/>
  <c r="N26" i="62"/>
  <c r="G29" i="62"/>
  <c r="K30" i="61"/>
  <c r="Q14" i="64"/>
  <c r="K23" i="64"/>
  <c r="AB11" i="61"/>
  <c r="P20" i="61"/>
  <c r="R7" i="61"/>
  <c r="M25" i="62"/>
  <c r="W11" i="61"/>
  <c r="N7" i="63"/>
  <c r="P16" i="62"/>
  <c r="H11" i="63"/>
  <c r="I32" i="63"/>
  <c r="D28" i="62"/>
  <c r="AI11" i="63"/>
  <c r="AG21" i="62"/>
  <c r="AE19" i="61"/>
  <c r="W18" i="61"/>
  <c r="AD8" i="64"/>
  <c r="Y18" i="62"/>
  <c r="AC7" i="64"/>
  <c r="V27" i="61"/>
  <c r="AB19" i="63"/>
  <c r="H29" i="40"/>
  <c r="X30" i="62"/>
  <c r="Q29" i="62"/>
  <c r="AE14" i="62"/>
  <c r="I30" i="62"/>
  <c r="E20" i="64"/>
  <c r="G13" i="64"/>
  <c r="E18" i="64"/>
  <c r="AI7" i="61"/>
  <c r="H21" i="61"/>
  <c r="D9" i="61"/>
  <c r="Y30" i="63"/>
  <c r="R13" i="61"/>
  <c r="AC19" i="61"/>
  <c r="E22" i="63"/>
  <c r="O28" i="63"/>
  <c r="J17" i="63"/>
  <c r="R16" i="61"/>
  <c r="E29" i="63"/>
  <c r="W16" i="62"/>
  <c r="I29" i="62"/>
  <c r="AA16" i="62"/>
  <c r="W7" i="62"/>
  <c r="P14" i="64"/>
  <c r="R31" i="61"/>
  <c r="B25" i="61"/>
  <c r="I33" i="61"/>
  <c r="I8" i="62"/>
  <c r="AC24" i="62"/>
  <c r="C19" i="63"/>
  <c r="E30" i="40"/>
  <c r="AB8" i="63"/>
  <c r="AE31" i="61"/>
  <c r="O7" i="61"/>
  <c r="AD16" i="62"/>
  <c r="AF10" i="63"/>
  <c r="AE15" i="61"/>
  <c r="S7" i="61"/>
  <c r="R12" i="61"/>
  <c r="J10" i="62"/>
  <c r="M17" i="61"/>
  <c r="S16" i="62"/>
  <c r="W27" i="63"/>
  <c r="I30" i="61"/>
  <c r="AB22" i="61"/>
  <c r="C13" i="63"/>
  <c r="E17" i="63"/>
  <c r="H14" i="61"/>
  <c r="AH19" i="62"/>
  <c r="AI13" i="63"/>
  <c r="V29" i="64"/>
  <c r="V26" i="63"/>
  <c r="M7" i="63"/>
  <c r="AC21" i="62"/>
  <c r="AB29" i="63"/>
  <c r="AA8" i="63"/>
  <c r="AF7" i="63"/>
  <c r="H24" i="61"/>
  <c r="R12" i="64"/>
  <c r="W27" i="40"/>
  <c r="T15" i="63"/>
  <c r="L23" i="61"/>
  <c r="Z32" i="62"/>
  <c r="F15" i="63"/>
  <c r="AA11" i="63"/>
  <c r="G21" i="64"/>
  <c r="G16" i="61"/>
  <c r="S20" i="62"/>
  <c r="Y17" i="63"/>
  <c r="S20" i="64"/>
  <c r="J8" i="61"/>
  <c r="AA20" i="61"/>
  <c r="AI18" i="62"/>
  <c r="Q17" i="63"/>
  <c r="P27" i="61"/>
  <c r="Q33" i="62"/>
  <c r="H32" i="62"/>
  <c r="Y24" i="62"/>
  <c r="R15" i="63"/>
  <c r="S12" i="64"/>
  <c r="K14" i="63"/>
  <c r="C28" i="40"/>
  <c r="AA25" i="61"/>
  <c r="X29" i="61"/>
  <c r="H19" i="64"/>
  <c r="D33" i="63"/>
  <c r="M21" i="62"/>
  <c r="Z11" i="64"/>
  <c r="Y27" i="62"/>
  <c r="I10" i="63"/>
  <c r="AB31" i="61"/>
  <c r="C10" i="61"/>
  <c r="AH13" i="63"/>
  <c r="D23" i="63"/>
  <c r="M12" i="62"/>
  <c r="J15" i="62"/>
  <c r="AA15" i="63"/>
  <c r="M26" i="61"/>
  <c r="J12" i="62"/>
  <c r="N31" i="62"/>
  <c r="Y27" i="64"/>
  <c r="P22" i="61"/>
  <c r="G13" i="63"/>
  <c r="T7" i="61"/>
  <c r="AE27" i="62"/>
  <c r="AD27" i="61"/>
  <c r="Z26" i="63"/>
  <c r="O20" i="61"/>
  <c r="P17" i="61"/>
  <c r="X16" i="62"/>
  <c r="N29" i="40"/>
  <c r="O12" i="64"/>
  <c r="S17" i="64"/>
  <c r="H33" i="61"/>
  <c r="D15" i="64"/>
  <c r="B27" i="61"/>
  <c r="W8" i="61"/>
  <c r="B13" i="63"/>
  <c r="L12" i="63"/>
  <c r="Z14" i="62"/>
  <c r="AI27" i="63"/>
  <c r="F26" i="64"/>
  <c r="Q30" i="61"/>
  <c r="V33" i="63"/>
  <c r="AF14" i="63"/>
  <c r="R12" i="62"/>
  <c r="T26" i="64"/>
  <c r="Q18" i="62"/>
  <c r="N30" i="61"/>
  <c r="O13" i="64"/>
  <c r="X22" i="62"/>
  <c r="AI12" i="61"/>
  <c r="E15" i="64"/>
  <c r="Y26" i="63"/>
  <c r="X15" i="63"/>
  <c r="AE8" i="63"/>
  <c r="AA22" i="61"/>
  <c r="Z28" i="62"/>
  <c r="I20" i="63"/>
  <c r="AB21" i="64"/>
  <c r="F10" i="61"/>
  <c r="T8" i="61"/>
  <c r="AI29" i="62"/>
  <c r="I15" i="63"/>
  <c r="B10" i="62"/>
  <c r="D8" i="63"/>
  <c r="D21" i="63"/>
  <c r="R10" i="63"/>
  <c r="F21" i="63"/>
  <c r="AE29" i="63"/>
  <c r="C16" i="61"/>
  <c r="M24" i="62"/>
  <c r="B20" i="61"/>
  <c r="AG10" i="63"/>
  <c r="K19" i="63"/>
  <c r="AC11" i="64"/>
  <c r="X26" i="61"/>
  <c r="K15" i="62"/>
  <c r="AF22" i="63"/>
  <c r="L20" i="61"/>
  <c r="L11" i="63"/>
  <c r="Z10" i="62"/>
  <c r="E28" i="61"/>
  <c r="D18" i="62"/>
  <c r="AH17" i="61"/>
  <c r="W15" i="64"/>
  <c r="AA23" i="62"/>
  <c r="L24" i="62"/>
  <c r="AH15" i="61"/>
  <c r="AB12" i="63"/>
  <c r="AC16" i="61"/>
  <c r="D24" i="63"/>
  <c r="K30" i="40"/>
  <c r="K25" i="61"/>
  <c r="B26" i="62"/>
  <c r="F7" i="62"/>
  <c r="S11" i="63"/>
  <c r="F27" i="40"/>
  <c r="E25" i="62"/>
  <c r="T29" i="62"/>
  <c r="L30" i="40"/>
  <c r="X28" i="61"/>
  <c r="G27" i="61"/>
  <c r="L22" i="62"/>
  <c r="AJ15" i="40"/>
  <c r="AJ23" i="40"/>
  <c r="S34" i="25"/>
  <c r="AH34" i="25"/>
  <c r="AJ7" i="40"/>
  <c r="AJ14" i="40"/>
  <c r="N34" i="25"/>
  <c r="AJ26" i="25"/>
  <c r="Y34" i="25"/>
  <c r="AJ27" i="25"/>
  <c r="AJ19" i="25"/>
  <c r="AJ8" i="40"/>
  <c r="AA34" i="25"/>
  <c r="AJ15" i="25"/>
  <c r="U34" i="25"/>
  <c r="J34" i="25"/>
  <c r="J34" i="66" l="1"/>
  <c r="E34" i="66"/>
  <c r="AJ7" i="66"/>
  <c r="AJ30" i="66"/>
  <c r="AI31" i="40"/>
  <c r="Q31" i="40"/>
  <c r="I34" i="25"/>
  <c r="AF31" i="40"/>
  <c r="M34" i="66"/>
  <c r="AJ19" i="66"/>
  <c r="T31" i="40"/>
  <c r="AJ31" i="25"/>
  <c r="AC31" i="40"/>
  <c r="AJ26" i="66"/>
  <c r="P31" i="40"/>
  <c r="AJ10" i="25"/>
  <c r="W34" i="66"/>
  <c r="X34" i="25"/>
  <c r="N31" i="40"/>
  <c r="AJ22" i="64"/>
  <c r="K34" i="66"/>
  <c r="H34" i="66"/>
  <c r="AB34" i="66"/>
  <c r="L31" i="40"/>
  <c r="N31" i="64"/>
  <c r="F34" i="66"/>
  <c r="L34" i="66"/>
  <c r="I34" i="66"/>
  <c r="W34" i="25"/>
  <c r="W31" i="40"/>
  <c r="AJ31" i="66"/>
  <c r="I31" i="40"/>
  <c r="AJ14" i="66"/>
  <c r="AH34" i="66"/>
  <c r="U31" i="40"/>
  <c r="AD31" i="40"/>
  <c r="G31" i="40"/>
  <c r="AJ10" i="66"/>
  <c r="AJ27" i="66"/>
  <c r="AJ24" i="64"/>
  <c r="F34" i="62"/>
  <c r="AJ28" i="25"/>
  <c r="X31" i="40"/>
  <c r="AJ27" i="64"/>
  <c r="O31" i="40"/>
  <c r="AB31" i="40"/>
  <c r="AJ21" i="66"/>
  <c r="AA34" i="66"/>
  <c r="M31" i="40"/>
  <c r="S34" i="61"/>
  <c r="AH31" i="40"/>
  <c r="AG31" i="40"/>
  <c r="AI34" i="66"/>
  <c r="AJ18" i="66"/>
  <c r="Y31" i="40"/>
  <c r="AJ8" i="64"/>
  <c r="AJ29" i="64"/>
  <c r="AJ15" i="66"/>
  <c r="G31" i="64"/>
  <c r="K31" i="40"/>
  <c r="AJ17" i="64"/>
  <c r="AJ25" i="62"/>
  <c r="F31" i="40"/>
  <c r="N34" i="63"/>
  <c r="AJ13" i="64"/>
  <c r="AJ26" i="64"/>
  <c r="AC34" i="25"/>
  <c r="AJ28" i="61"/>
  <c r="T34" i="61"/>
  <c r="AJ18" i="64"/>
  <c r="AE34" i="66"/>
  <c r="AC34" i="66"/>
  <c r="R31" i="40"/>
  <c r="AJ28" i="66"/>
  <c r="AJ23" i="66"/>
  <c r="AJ20" i="66"/>
  <c r="AJ17" i="63"/>
  <c r="AJ30" i="40"/>
  <c r="W34" i="62"/>
  <c r="AJ32" i="61"/>
  <c r="AA31" i="64"/>
  <c r="AJ32" i="66"/>
  <c r="AJ9" i="40"/>
  <c r="Q34" i="25"/>
  <c r="K31" i="64"/>
  <c r="V34" i="25"/>
  <c r="AJ16" i="66"/>
  <c r="H31" i="40"/>
  <c r="V31" i="40"/>
  <c r="S31" i="40"/>
  <c r="O34" i="66"/>
  <c r="Z31" i="40"/>
  <c r="AE31" i="64"/>
  <c r="AJ13" i="66"/>
  <c r="AF34" i="66"/>
  <c r="AI31" i="64"/>
  <c r="AJ12" i="25"/>
  <c r="AJ11" i="66"/>
  <c r="AJ25" i="66"/>
  <c r="S31" i="64"/>
  <c r="AJ12" i="64"/>
  <c r="AJ9" i="66"/>
  <c r="AG34" i="66"/>
  <c r="AD34" i="66"/>
  <c r="AJ9" i="64"/>
  <c r="AJ12" i="66"/>
  <c r="Y34" i="66"/>
  <c r="P34" i="25"/>
  <c r="R34" i="61"/>
  <c r="AJ27" i="62"/>
  <c r="W34" i="63"/>
  <c r="H34" i="61"/>
  <c r="Q34" i="62"/>
  <c r="AJ33" i="63"/>
  <c r="AJ11" i="63"/>
  <c r="AJ19" i="62"/>
  <c r="AJ8" i="61"/>
  <c r="AJ10" i="61"/>
  <c r="AJ19" i="61"/>
  <c r="AJ20" i="63"/>
  <c r="AJ29" i="61"/>
  <c r="AJ15" i="62"/>
  <c r="K34" i="61"/>
  <c r="Q34" i="61"/>
  <c r="AJ29" i="62"/>
  <c r="I34" i="63"/>
  <c r="AH34" i="62"/>
  <c r="Y34" i="61"/>
  <c r="AJ12" i="62"/>
  <c r="AD31" i="64"/>
  <c r="AJ15" i="63"/>
  <c r="AJ32" i="62"/>
  <c r="AB34" i="62"/>
  <c r="AH34" i="61"/>
  <c r="AC34" i="61"/>
  <c r="AJ24" i="61"/>
  <c r="AJ29" i="40"/>
  <c r="T34" i="63"/>
  <c r="AI34" i="62"/>
  <c r="AJ12" i="63"/>
  <c r="AJ27" i="40"/>
  <c r="U34" i="63"/>
  <c r="AF31" i="64"/>
  <c r="AJ28" i="64"/>
  <c r="K34" i="62"/>
  <c r="AJ30" i="62"/>
  <c r="AE34" i="62"/>
  <c r="AJ20" i="62"/>
  <c r="AJ25" i="63"/>
  <c r="AF34" i="62"/>
  <c r="AJ10" i="62"/>
  <c r="AJ18" i="62"/>
  <c r="AJ26" i="63"/>
  <c r="P34" i="62"/>
  <c r="Z31" i="64"/>
  <c r="AJ18" i="61"/>
  <c r="AJ27" i="61"/>
  <c r="AJ22" i="62"/>
  <c r="AJ16" i="61"/>
  <c r="AJ13" i="25"/>
  <c r="R34" i="25"/>
  <c r="AJ22" i="63"/>
  <c r="P34" i="61"/>
  <c r="AJ21" i="62"/>
  <c r="R31" i="64"/>
  <c r="AJ18" i="63"/>
  <c r="AJ33" i="61"/>
  <c r="V34" i="62"/>
  <c r="AJ13" i="63"/>
  <c r="Q31" i="64"/>
  <c r="N34" i="62"/>
  <c r="G34" i="63"/>
  <c r="F34" i="63"/>
  <c r="L31" i="64"/>
  <c r="AJ12" i="61"/>
  <c r="R34" i="63"/>
  <c r="J31" i="40"/>
  <c r="H34" i="62"/>
  <c r="AJ11" i="62"/>
  <c r="AJ9" i="63"/>
  <c r="AE31" i="40"/>
  <c r="AJ17" i="62"/>
  <c r="G34" i="62"/>
  <c r="AJ24" i="63"/>
  <c r="J34" i="62"/>
  <c r="Z34" i="66"/>
  <c r="U34" i="61"/>
  <c r="U31" i="64"/>
  <c r="G34" i="61"/>
  <c r="AJ21" i="64"/>
  <c r="I34" i="62"/>
  <c r="AD34" i="63"/>
  <c r="E34" i="61"/>
  <c r="AJ7" i="61"/>
  <c r="AD34" i="62"/>
  <c r="O34" i="63"/>
  <c r="J34" i="61"/>
  <c r="AJ20" i="61"/>
  <c r="AC34" i="63"/>
  <c r="AJ14" i="63"/>
  <c r="AJ8" i="62"/>
  <c r="AJ7" i="62"/>
  <c r="E34" i="62"/>
  <c r="AJ16" i="63"/>
  <c r="AG31" i="64"/>
  <c r="T31" i="64"/>
  <c r="S34" i="62"/>
  <c r="L34" i="62"/>
  <c r="L34" i="61"/>
  <c r="Q34" i="66"/>
  <c r="Y34" i="62"/>
  <c r="X34" i="62"/>
  <c r="M31" i="64"/>
  <c r="AJ32" i="63"/>
  <c r="AJ15" i="61"/>
  <c r="AJ26" i="62"/>
  <c r="AC34" i="62"/>
  <c r="AJ9" i="25"/>
  <c r="G34" i="66"/>
  <c r="L34" i="25"/>
  <c r="O34" i="61"/>
  <c r="AJ20" i="64"/>
  <c r="AC31" i="64"/>
  <c r="AJ24" i="62"/>
  <c r="AG34" i="61"/>
  <c r="P34" i="63"/>
  <c r="I31" i="64"/>
  <c r="Z34" i="61"/>
  <c r="R34" i="62"/>
  <c r="F31" i="64"/>
  <c r="T34" i="62"/>
  <c r="P34" i="66"/>
  <c r="K34" i="63"/>
  <c r="Z34" i="63"/>
  <c r="AJ13" i="62"/>
  <c r="AA34" i="62"/>
  <c r="AE34" i="63"/>
  <c r="AJ28" i="40"/>
  <c r="V34" i="63"/>
  <c r="AJ10" i="63"/>
  <c r="AA34" i="63"/>
  <c r="AJ31" i="62"/>
  <c r="AB34" i="63"/>
  <c r="AH31" i="64"/>
  <c r="I34" i="61"/>
  <c r="AJ21" i="63"/>
  <c r="Y34" i="63"/>
  <c r="W34" i="61"/>
  <c r="AJ11" i="61"/>
  <c r="AJ22" i="66"/>
  <c r="S34" i="63"/>
  <c r="AJ17" i="66"/>
  <c r="AJ11" i="64"/>
  <c r="AJ30" i="64"/>
  <c r="J34" i="63"/>
  <c r="AJ17" i="61"/>
  <c r="AG34" i="62"/>
  <c r="Z34" i="62"/>
  <c r="AJ26" i="61"/>
  <c r="AJ25" i="61"/>
  <c r="AJ23" i="64"/>
  <c r="R34" i="66"/>
  <c r="U34" i="66"/>
  <c r="O31" i="64"/>
  <c r="O34" i="62"/>
  <c r="AJ22" i="61"/>
  <c r="AJ30" i="61"/>
  <c r="AJ23" i="62"/>
  <c r="H31" i="64"/>
  <c r="AJ19" i="64"/>
  <c r="AI34" i="63"/>
  <c r="S34" i="66"/>
  <c r="AJ23" i="61"/>
  <c r="AJ20" i="25"/>
  <c r="AA31" i="40"/>
  <c r="AJ19" i="40"/>
  <c r="AJ29" i="63"/>
  <c r="E31" i="40"/>
  <c r="AJ15" i="64"/>
  <c r="AF34" i="63"/>
  <c r="M34" i="63"/>
  <c r="AI34" i="61"/>
  <c r="AB34" i="61"/>
  <c r="AJ16" i="62"/>
  <c r="AJ7" i="63"/>
  <c r="E34" i="63"/>
  <c r="AJ23" i="63"/>
  <c r="AJ14" i="61"/>
  <c r="X34" i="63"/>
  <c r="AH34" i="63"/>
  <c r="AJ10" i="64"/>
  <c r="AJ8" i="63"/>
  <c r="V31" i="64"/>
  <c r="E31" i="64"/>
  <c r="AJ7" i="64"/>
  <c r="U34" i="62"/>
  <c r="AJ31" i="63"/>
  <c r="AJ28" i="62"/>
  <c r="AJ19" i="63"/>
  <c r="AE34" i="61"/>
  <c r="AJ14" i="62"/>
  <c r="J31" i="64"/>
  <c r="AD34" i="61"/>
  <c r="AJ25" i="64"/>
  <c r="AJ13" i="61"/>
  <c r="X34" i="61"/>
  <c r="AJ27" i="63"/>
  <c r="N34" i="61"/>
  <c r="P31" i="64"/>
  <c r="AJ21" i="61"/>
  <c r="H34" i="63"/>
  <c r="AJ9" i="61"/>
  <c r="F34" i="61"/>
  <c r="AB31" i="64"/>
  <c r="AJ31" i="61"/>
  <c r="V34" i="66"/>
  <c r="AJ33" i="66"/>
  <c r="X34" i="66"/>
  <c r="AF34" i="61"/>
  <c r="AG34" i="63"/>
  <c r="M34" i="61"/>
  <c r="AJ30" i="63"/>
  <c r="L34" i="63"/>
  <c r="AA34" i="61"/>
  <c r="AJ16" i="64"/>
  <c r="V34" i="61"/>
  <c r="AJ24" i="66"/>
  <c r="Y31" i="64"/>
  <c r="AJ8" i="66"/>
  <c r="M34" i="62"/>
  <c r="N34" i="66"/>
  <c r="AJ14" i="64"/>
  <c r="Q34" i="63"/>
  <c r="W31" i="64"/>
  <c r="AJ9" i="62"/>
  <c r="X31" i="64"/>
  <c r="AJ33" i="62"/>
  <c r="AJ28" i="63"/>
  <c r="E34" i="25"/>
  <c r="AJ34" i="25" l="1"/>
  <c r="AJ31" i="40"/>
  <c r="AJ34" i="66"/>
  <c r="AJ31" i="64"/>
  <c r="AJ34" i="63"/>
  <c r="AJ34" i="62"/>
  <c r="AJ34" i="61"/>
  <c r="AD15" i="65" l="1"/>
  <c r="J14" i="65"/>
  <c r="I21" i="38"/>
  <c r="K10" i="65"/>
  <c r="T8" i="38"/>
  <c r="F13" i="38"/>
  <c r="X15" i="38"/>
  <c r="U24" i="65"/>
  <c r="AH24" i="65"/>
  <c r="AD18" i="65"/>
  <c r="H15" i="38"/>
  <c r="S7" i="38"/>
  <c r="P7" i="65"/>
  <c r="J25" i="38"/>
  <c r="R11" i="38"/>
  <c r="N20" i="38"/>
  <c r="E25" i="65"/>
  <c r="B17" i="38"/>
  <c r="AA24" i="65"/>
  <c r="M8" i="38"/>
  <c r="K13" i="65"/>
  <c r="G9" i="38"/>
  <c r="AI8" i="38"/>
  <c r="B18" i="65"/>
  <c r="P19" i="38"/>
  <c r="T17" i="38"/>
  <c r="AB10" i="65"/>
  <c r="AI13" i="65"/>
  <c r="L12" i="38"/>
  <c r="S19" i="38"/>
  <c r="AF19" i="65"/>
  <c r="L16" i="38"/>
  <c r="P15" i="65"/>
  <c r="AH15" i="38"/>
  <c r="AB8" i="65"/>
  <c r="J9" i="65"/>
  <c r="H11" i="65"/>
  <c r="O24" i="38"/>
  <c r="Q18" i="38"/>
  <c r="O13" i="65"/>
  <c r="Q9" i="38"/>
  <c r="AD17" i="38"/>
  <c r="AF25" i="65"/>
  <c r="Y14" i="38"/>
  <c r="Q16" i="38"/>
  <c r="AI9" i="65"/>
  <c r="H18" i="65"/>
  <c r="P25" i="65"/>
  <c r="AI18" i="38"/>
  <c r="AI18" i="65"/>
  <c r="AG15" i="38"/>
  <c r="AE11" i="65"/>
  <c r="D15" i="65"/>
  <c r="L25" i="38"/>
  <c r="AG9" i="65"/>
  <c r="AB23" i="38"/>
  <c r="D26" i="38"/>
  <c r="S13" i="65"/>
  <c r="X25" i="65"/>
  <c r="L21" i="65"/>
  <c r="Y25" i="65"/>
  <c r="R18" i="38"/>
  <c r="AA12" i="38"/>
  <c r="I7" i="65"/>
  <c r="M17" i="38"/>
  <c r="AA10" i="38"/>
  <c r="O12" i="65"/>
  <c r="I16" i="65"/>
  <c r="AC10" i="65"/>
  <c r="D23" i="65"/>
  <c r="AF14" i="38"/>
  <c r="AI15" i="38"/>
  <c r="AA13" i="65"/>
  <c r="H8" i="65"/>
  <c r="N19" i="65"/>
  <c r="S17" i="65"/>
  <c r="W14" i="38"/>
  <c r="D10" i="38"/>
  <c r="H24" i="38"/>
  <c r="AG21" i="65"/>
  <c r="L20" i="65"/>
  <c r="C22" i="38"/>
  <c r="AE24" i="65"/>
  <c r="Z26" i="38"/>
  <c r="J18" i="65"/>
  <c r="Y17" i="38"/>
  <c r="U19" i="38"/>
  <c r="L19" i="65"/>
  <c r="AF7" i="38"/>
  <c r="I8" i="65"/>
  <c r="AC15" i="65"/>
  <c r="C24" i="65"/>
  <c r="Z11" i="38"/>
  <c r="K21" i="38"/>
  <c r="M8" i="65"/>
  <c r="Y17" i="65"/>
  <c r="D10" i="65"/>
  <c r="M17" i="65"/>
  <c r="H14" i="38"/>
  <c r="R22" i="38"/>
  <c r="H7" i="65"/>
  <c r="AF11" i="65"/>
  <c r="AI25" i="38"/>
  <c r="T9" i="65"/>
  <c r="Z8" i="38"/>
  <c r="Y7" i="65"/>
  <c r="T16" i="38"/>
  <c r="M21" i="65"/>
  <c r="D17" i="65"/>
  <c r="E16" i="38"/>
  <c r="O9" i="65"/>
  <c r="AA19" i="65"/>
  <c r="R16" i="38"/>
  <c r="AF8" i="65"/>
  <c r="AB14" i="65"/>
  <c r="Q13" i="38"/>
  <c r="L22" i="38"/>
  <c r="AI10" i="38"/>
  <c r="L9" i="38"/>
  <c r="Y18" i="65"/>
  <c r="J11" i="65"/>
  <c r="G24" i="65"/>
  <c r="AG18" i="38"/>
  <c r="G22" i="38"/>
  <c r="Z24" i="38"/>
  <c r="AA17" i="38"/>
  <c r="AC25" i="65"/>
  <c r="W15" i="38"/>
  <c r="K26" i="38"/>
  <c r="Y10" i="38"/>
  <c r="E19" i="65"/>
  <c r="T19" i="65"/>
  <c r="E10" i="65"/>
  <c r="AC9" i="38"/>
  <c r="V19" i="65"/>
  <c r="AA22" i="65"/>
  <c r="U18" i="65"/>
  <c r="O23" i="38"/>
  <c r="X22" i="65"/>
  <c r="Z14" i="65"/>
  <c r="O18" i="38"/>
  <c r="K17" i="38"/>
  <c r="AI7" i="38"/>
  <c r="AH24" i="38"/>
  <c r="H15" i="65"/>
  <c r="J25" i="65"/>
  <c r="AH13" i="65"/>
  <c r="X12" i="65"/>
  <c r="R10" i="38"/>
  <c r="S26" i="38"/>
  <c r="J16" i="65"/>
  <c r="V20" i="38"/>
  <c r="F12" i="65"/>
  <c r="K14" i="38"/>
  <c r="O24" i="65"/>
  <c r="AI11" i="38"/>
  <c r="X9" i="65"/>
  <c r="AC21" i="38"/>
  <c r="AB15" i="65"/>
  <c r="AG14" i="65"/>
  <c r="AB11" i="38"/>
  <c r="AG20" i="65"/>
  <c r="M14" i="38"/>
  <c r="N8" i="38"/>
  <c r="L14" i="65"/>
  <c r="Y23" i="38"/>
  <c r="M18" i="38"/>
  <c r="T23" i="38"/>
  <c r="AB19" i="65"/>
  <c r="U10" i="38"/>
  <c r="AB7" i="65"/>
  <c r="V13" i="38"/>
  <c r="K19" i="65"/>
  <c r="S14" i="65"/>
  <c r="U25" i="38"/>
  <c r="AC23" i="38"/>
  <c r="X16" i="38"/>
  <c r="U21" i="38"/>
  <c r="AF24" i="38"/>
  <c r="S25" i="38"/>
  <c r="I20" i="65"/>
  <c r="I13" i="65"/>
  <c r="Y23" i="65"/>
  <c r="C16" i="38"/>
  <c r="R7" i="38"/>
  <c r="N9" i="38"/>
  <c r="AH12" i="65"/>
  <c r="X17" i="65"/>
  <c r="E22" i="38"/>
  <c r="S9" i="38"/>
  <c r="J21" i="65"/>
  <c r="S23" i="38"/>
  <c r="W8" i="65"/>
  <c r="O25" i="38"/>
  <c r="T20" i="65"/>
  <c r="K19" i="38"/>
  <c r="U8" i="38"/>
  <c r="G20" i="65"/>
  <c r="AI16" i="38"/>
  <c r="Y26" i="38"/>
  <c r="F10" i="65"/>
  <c r="N7" i="65"/>
  <c r="E15" i="65"/>
  <c r="X23" i="38"/>
  <c r="AD20" i="65"/>
  <c r="D8" i="65"/>
  <c r="AH22" i="38"/>
  <c r="Y24" i="38"/>
  <c r="L19" i="38"/>
  <c r="K12" i="38"/>
  <c r="D20" i="65"/>
  <c r="O18" i="65"/>
  <c r="Y16" i="38"/>
  <c r="AB18" i="65"/>
  <c r="N11" i="38"/>
  <c r="R18" i="65"/>
  <c r="U17" i="38"/>
  <c r="Z25" i="38"/>
  <c r="O22" i="65"/>
  <c r="S16" i="65"/>
  <c r="G16" i="38"/>
  <c r="AI20" i="38"/>
  <c r="X16" i="65"/>
  <c r="O9" i="38"/>
  <c r="U7" i="38"/>
  <c r="B25" i="38"/>
  <c r="V16" i="38"/>
  <c r="AF22" i="38"/>
  <c r="AI12" i="38"/>
  <c r="C13" i="65"/>
  <c r="Q20" i="65"/>
  <c r="N18" i="65"/>
  <c r="P13" i="38"/>
  <c r="AB21" i="38"/>
  <c r="AG24" i="38"/>
  <c r="Q22" i="38"/>
  <c r="C19" i="65"/>
  <c r="M24" i="38"/>
  <c r="AC9" i="65"/>
  <c r="X18" i="38"/>
  <c r="F22" i="38"/>
  <c r="L21" i="38"/>
  <c r="Z17" i="65"/>
  <c r="F25" i="38"/>
  <c r="Z24" i="65"/>
  <c r="T23" i="65"/>
  <c r="Z9" i="65"/>
  <c r="U15" i="65"/>
  <c r="AA18" i="38"/>
  <c r="R20" i="65"/>
  <c r="X13" i="65"/>
  <c r="T25" i="65"/>
  <c r="E13" i="38"/>
  <c r="I15" i="65"/>
  <c r="B10" i="65"/>
  <c r="M16" i="38"/>
  <c r="AD26" i="38"/>
  <c r="L26" i="38"/>
  <c r="U22" i="65"/>
  <c r="R13" i="38"/>
  <c r="D12" i="65"/>
  <c r="J7" i="65"/>
  <c r="J23" i="65"/>
  <c r="AH15" i="65"/>
  <c r="Z12" i="38"/>
  <c r="I25" i="38"/>
  <c r="AI24" i="65"/>
  <c r="W23" i="65"/>
  <c r="L11" i="38"/>
  <c r="N17" i="65"/>
  <c r="D11" i="38"/>
  <c r="AE23" i="65"/>
  <c r="M22" i="65"/>
  <c r="AA17" i="65"/>
  <c r="F20" i="65"/>
  <c r="F18" i="38"/>
  <c r="R21" i="38"/>
  <c r="J14" i="38"/>
  <c r="AB25" i="65"/>
  <c r="Z16" i="38"/>
  <c r="Z23" i="65"/>
  <c r="C11" i="65"/>
  <c r="B16" i="65"/>
  <c r="E20" i="65"/>
  <c r="K8" i="65"/>
  <c r="J20" i="65"/>
  <c r="K23" i="38"/>
  <c r="L23" i="65"/>
  <c r="H13" i="65"/>
  <c r="S18" i="38"/>
  <c r="B10" i="38"/>
  <c r="N12" i="65"/>
  <c r="D23" i="38"/>
  <c r="AD25" i="38"/>
  <c r="AB12" i="38"/>
  <c r="F17" i="65"/>
  <c r="V15" i="65"/>
  <c r="B17" i="65"/>
  <c r="G21" i="38"/>
  <c r="D24" i="65"/>
  <c r="AC19" i="38"/>
  <c r="X25" i="38"/>
  <c r="AD23" i="65"/>
  <c r="AH9" i="38"/>
  <c r="D12" i="38"/>
  <c r="AD8" i="38"/>
  <c r="AA26" i="38"/>
  <c r="Q17" i="38"/>
  <c r="Z17" i="38"/>
  <c r="Y20" i="38"/>
  <c r="H13" i="38"/>
  <c r="R19" i="38"/>
  <c r="T10" i="38"/>
  <c r="E8" i="65"/>
  <c r="Q12" i="38"/>
  <c r="AE15" i="38"/>
  <c r="I25" i="65"/>
  <c r="U13" i="38"/>
  <c r="V21" i="65"/>
  <c r="G8" i="38"/>
  <c r="H9" i="38"/>
  <c r="C19" i="38"/>
  <c r="AF20" i="38"/>
  <c r="T12" i="38"/>
  <c r="Y19" i="38"/>
  <c r="AG25" i="65"/>
  <c r="F20" i="38"/>
  <c r="AA23" i="65"/>
  <c r="B12" i="65"/>
  <c r="AD19" i="65"/>
  <c r="T8" i="65"/>
  <c r="P18" i="65"/>
  <c r="L7" i="65"/>
  <c r="AF7" i="65"/>
  <c r="N16" i="38"/>
  <c r="AA16" i="38"/>
  <c r="O11" i="38"/>
  <c r="L15" i="38"/>
  <c r="B8" i="38"/>
  <c r="AI19" i="38"/>
  <c r="AD11" i="65"/>
  <c r="AE12" i="65"/>
  <c r="Q21" i="38"/>
  <c r="AI24" i="38"/>
  <c r="AD7" i="38"/>
  <c r="Z20" i="65"/>
  <c r="AF13" i="38"/>
  <c r="AH14" i="65"/>
  <c r="AC7" i="65"/>
  <c r="AA9" i="65"/>
  <c r="I10" i="38"/>
  <c r="B18" i="38"/>
  <c r="W17" i="38"/>
  <c r="H16" i="38"/>
  <c r="AE7" i="38"/>
  <c r="AD11" i="38"/>
  <c r="F22" i="65"/>
  <c r="AF15" i="65"/>
  <c r="T7" i="65"/>
  <c r="AG23" i="38"/>
  <c r="F9" i="65"/>
  <c r="H21" i="38"/>
  <c r="Z22" i="38"/>
  <c r="U20" i="65"/>
  <c r="Q13" i="65"/>
  <c r="AI22" i="38"/>
  <c r="B19" i="65"/>
  <c r="C18" i="65"/>
  <c r="E18" i="65"/>
  <c r="AD15" i="38"/>
  <c r="AD7" i="65"/>
  <c r="AH17" i="38"/>
  <c r="AG25" i="38"/>
  <c r="Y19" i="65"/>
  <c r="L13" i="38"/>
  <c r="I17" i="65"/>
  <c r="AE10" i="65"/>
  <c r="D14" i="38"/>
  <c r="AH8" i="65"/>
  <c r="K22" i="38"/>
  <c r="W12" i="65"/>
  <c r="T10" i="65"/>
  <c r="H21" i="65"/>
  <c r="K25" i="38"/>
  <c r="K11" i="65"/>
  <c r="C9" i="38"/>
  <c r="Q8" i="38"/>
  <c r="F23" i="65"/>
  <c r="I24" i="65"/>
  <c r="E14" i="38"/>
  <c r="F26" i="38"/>
  <c r="W19" i="38"/>
  <c r="AD25" i="65"/>
  <c r="B23" i="38"/>
  <c r="D24" i="38"/>
  <c r="F14" i="38"/>
  <c r="B21" i="38"/>
  <c r="W24" i="65"/>
  <c r="X19" i="65"/>
  <c r="Z25" i="65"/>
  <c r="V24" i="65"/>
  <c r="N20" i="65"/>
  <c r="AE22" i="65"/>
  <c r="K11" i="38"/>
  <c r="H16" i="65"/>
  <c r="AD10" i="65"/>
  <c r="W25" i="65"/>
  <c r="J12" i="38"/>
  <c r="O21" i="38"/>
  <c r="U25" i="65"/>
  <c r="F19" i="65"/>
  <c r="I16" i="38"/>
  <c r="Y24" i="65"/>
  <c r="AH25" i="38"/>
  <c r="S11" i="65"/>
  <c r="AC14" i="38"/>
  <c r="E14" i="65"/>
  <c r="Z15" i="38"/>
  <c r="D21" i="65"/>
  <c r="AC22" i="38"/>
  <c r="N23" i="65"/>
  <c r="H19" i="65"/>
  <c r="Q11" i="38"/>
  <c r="G19" i="65"/>
  <c r="Q10" i="65"/>
  <c r="C23" i="38"/>
  <c r="G23" i="65"/>
  <c r="AI23" i="38"/>
  <c r="X21" i="65"/>
  <c r="AE13" i="65"/>
  <c r="AI17" i="38"/>
  <c r="AB17" i="65"/>
  <c r="T13" i="38"/>
  <c r="B11" i="65"/>
  <c r="B16" i="38"/>
  <c r="K16" i="65"/>
  <c r="S21" i="38"/>
  <c r="G13" i="38"/>
  <c r="N21" i="65"/>
  <c r="T14" i="38"/>
  <c r="U8" i="65"/>
  <c r="AH19" i="65"/>
  <c r="Q18" i="65"/>
  <c r="Y8" i="38"/>
  <c r="AD9" i="38"/>
  <c r="AF26" i="38"/>
  <c r="J13" i="65"/>
  <c r="Q7" i="38"/>
  <c r="AC8" i="38"/>
  <c r="V25" i="65"/>
  <c r="AD24" i="65"/>
  <c r="M13" i="65"/>
  <c r="Z21" i="38"/>
  <c r="G12" i="38"/>
  <c r="J12" i="65"/>
  <c r="Y10" i="65"/>
  <c r="M18" i="65"/>
  <c r="S20" i="65"/>
  <c r="AI17" i="65"/>
  <c r="AI16" i="65"/>
  <c r="K15" i="38"/>
  <c r="AF20" i="65"/>
  <c r="AA8" i="65"/>
  <c r="U23" i="65"/>
  <c r="AB7" i="38"/>
  <c r="C21" i="65"/>
  <c r="AE16" i="38"/>
  <c r="AD14" i="65"/>
  <c r="V11" i="38"/>
  <c r="H24" i="65"/>
  <c r="M9" i="38"/>
  <c r="AI22" i="65"/>
  <c r="V8" i="65"/>
  <c r="Q22" i="65"/>
  <c r="P9" i="65"/>
  <c r="K9" i="38"/>
  <c r="G15" i="65"/>
  <c r="U16" i="38"/>
  <c r="H23" i="65"/>
  <c r="X8" i="38"/>
  <c r="AG10" i="38"/>
  <c r="T19" i="38"/>
  <c r="V17" i="38"/>
  <c r="H12" i="38"/>
  <c r="I14" i="38"/>
  <c r="B14" i="38"/>
  <c r="AH26" i="38"/>
  <c r="D13" i="65"/>
  <c r="Z10" i="65"/>
  <c r="L24" i="65"/>
  <c r="V19" i="38"/>
  <c r="V25" i="38"/>
  <c r="R22" i="65"/>
  <c r="G24" i="38"/>
  <c r="AF24" i="65"/>
  <c r="AE8" i="65"/>
  <c r="AF16" i="65"/>
  <c r="H20" i="38"/>
  <c r="AE11" i="38"/>
  <c r="W14" i="65"/>
  <c r="W22" i="38"/>
  <c r="W16" i="65"/>
  <c r="O25" i="65"/>
  <c r="M21" i="38"/>
  <c r="D7" i="65"/>
  <c r="AA15" i="65"/>
  <c r="P23" i="38"/>
  <c r="AA20" i="65"/>
  <c r="AG13" i="65"/>
  <c r="L12" i="65"/>
  <c r="O19" i="38"/>
  <c r="F24" i="38"/>
  <c r="AB19" i="38"/>
  <c r="S23" i="65"/>
  <c r="T12" i="65"/>
  <c r="R14" i="38"/>
  <c r="V13" i="65"/>
  <c r="U13" i="65"/>
  <c r="F7" i="38"/>
  <c r="AE20" i="38"/>
  <c r="D18" i="65"/>
  <c r="R25" i="38"/>
  <c r="R17" i="65"/>
  <c r="AG24" i="65"/>
  <c r="AF23" i="65"/>
  <c r="P21" i="38"/>
  <c r="AF9" i="38"/>
  <c r="Q19" i="65"/>
  <c r="F14" i="65"/>
  <c r="X14" i="38"/>
  <c r="S17" i="38"/>
  <c r="P7" i="38"/>
  <c r="N15" i="65"/>
  <c r="B13" i="65"/>
  <c r="L18" i="38"/>
  <c r="M19" i="38"/>
  <c r="W17" i="65"/>
  <c r="V22" i="65"/>
  <c r="S12" i="65"/>
  <c r="E21" i="38"/>
  <c r="R9" i="38"/>
  <c r="V11" i="65"/>
  <c r="AA21" i="38"/>
  <c r="AD16" i="38"/>
  <c r="N12" i="38"/>
  <c r="O11" i="65"/>
  <c r="AC20" i="65"/>
  <c r="C26" i="38"/>
  <c r="I24" i="38"/>
  <c r="T21" i="38"/>
  <c r="W10" i="65"/>
  <c r="C22" i="65"/>
  <c r="O17" i="65"/>
  <c r="R10" i="65"/>
  <c r="AG26" i="38"/>
  <c r="AH12" i="38"/>
  <c r="P10" i="65"/>
  <c r="K21" i="65"/>
  <c r="Q15" i="65"/>
  <c r="AE19" i="65"/>
  <c r="C21" i="38"/>
  <c r="H10" i="65"/>
  <c r="M15" i="65"/>
  <c r="W21" i="65"/>
  <c r="F7" i="65"/>
  <c r="V10" i="65"/>
  <c r="AD16" i="65"/>
  <c r="AD18" i="38"/>
  <c r="AB15" i="38"/>
  <c r="F15" i="38"/>
  <c r="AB24" i="65"/>
  <c r="AD12" i="65"/>
  <c r="E12" i="38"/>
  <c r="N14" i="65"/>
  <c r="AI26" i="38"/>
  <c r="M24" i="65"/>
  <c r="G22" i="65"/>
  <c r="AH21" i="65"/>
  <c r="K16" i="38"/>
  <c r="T18" i="65"/>
  <c r="AA25" i="65"/>
  <c r="R25" i="65"/>
  <c r="W26" i="38"/>
  <c r="E18" i="38"/>
  <c r="D7" i="38"/>
  <c r="H20" i="65"/>
  <c r="E20" i="38"/>
  <c r="AH18" i="38"/>
  <c r="I12" i="65"/>
  <c r="X22" i="38"/>
  <c r="U12" i="38"/>
  <c r="K23" i="65"/>
  <c r="X20" i="38"/>
  <c r="C11" i="38"/>
  <c r="AB13" i="65"/>
  <c r="P21" i="65"/>
  <c r="I19" i="65"/>
  <c r="O16" i="38"/>
  <c r="B23" i="65"/>
  <c r="R8" i="65"/>
  <c r="AE19" i="38"/>
  <c r="G19" i="38"/>
  <c r="AF16" i="38"/>
  <c r="U26" i="38"/>
  <c r="AA22" i="38"/>
  <c r="AF18" i="65"/>
  <c r="Z8" i="65"/>
  <c r="B25" i="65"/>
  <c r="E24" i="65"/>
  <c r="AH18" i="65"/>
  <c r="AC13" i="38"/>
  <c r="J17" i="38"/>
  <c r="T9" i="38"/>
  <c r="V9" i="65"/>
  <c r="AH25" i="65"/>
  <c r="I17" i="38"/>
  <c r="P11" i="65"/>
  <c r="G18" i="38"/>
  <c r="F23" i="38"/>
  <c r="P8" i="65"/>
  <c r="F18" i="65"/>
  <c r="C14" i="38"/>
  <c r="AF12" i="38"/>
  <c r="H7" i="38"/>
  <c r="Q24" i="38"/>
  <c r="V26" i="38"/>
  <c r="R24" i="65"/>
  <c r="M14" i="65"/>
  <c r="C17" i="65"/>
  <c r="Q21" i="65"/>
  <c r="S22" i="65"/>
  <c r="AA11" i="65"/>
  <c r="J19" i="65"/>
  <c r="U21" i="65"/>
  <c r="X20" i="65"/>
  <c r="AA14" i="38"/>
  <c r="J10" i="38"/>
  <c r="P17" i="38"/>
  <c r="G18" i="65"/>
  <c r="J8" i="65"/>
  <c r="AB20" i="65"/>
  <c r="AF17" i="65"/>
  <c r="AF11" i="38"/>
  <c r="AG8" i="38"/>
  <c r="AB18" i="38"/>
  <c r="W10" i="38"/>
  <c r="V9" i="38"/>
  <c r="N24" i="65"/>
  <c r="U15" i="38"/>
  <c r="U23" i="38"/>
  <c r="F19" i="38"/>
  <c r="P15" i="38"/>
  <c r="AE9" i="38"/>
  <c r="S24" i="38"/>
  <c r="D19" i="38"/>
  <c r="AA18" i="65"/>
  <c r="Y9" i="38"/>
  <c r="AG22" i="65"/>
  <c r="S15" i="65"/>
  <c r="J8" i="38"/>
  <c r="D25" i="38"/>
  <c r="X21" i="38"/>
  <c r="AE23" i="38"/>
  <c r="I7" i="38"/>
  <c r="G11" i="65"/>
  <c r="P14" i="38"/>
  <c r="AI25" i="65"/>
  <c r="G10" i="38"/>
  <c r="F8" i="65"/>
  <c r="E7" i="65"/>
  <c r="T24" i="65"/>
  <c r="L15" i="65"/>
  <c r="AC15" i="38"/>
  <c r="C14" i="65"/>
  <c r="AB16" i="65"/>
  <c r="S24" i="65"/>
  <c r="AF23" i="38"/>
  <c r="I23" i="65"/>
  <c r="AF8" i="38"/>
  <c r="AI20" i="65"/>
  <c r="AD19" i="38"/>
  <c r="AE9" i="65"/>
  <c r="AG23" i="65"/>
  <c r="E17" i="65"/>
  <c r="K12" i="65"/>
  <c r="X15" i="65"/>
  <c r="L20" i="38"/>
  <c r="Z23" i="38"/>
  <c r="H12" i="65"/>
  <c r="AH19" i="38"/>
  <c r="C17" i="38"/>
  <c r="P10" i="38"/>
  <c r="E22" i="65"/>
  <c r="Q25" i="65"/>
  <c r="V15" i="38"/>
  <c r="X9" i="38"/>
  <c r="AE21" i="38"/>
  <c r="B15" i="65"/>
  <c r="P18" i="38"/>
  <c r="X12" i="38"/>
  <c r="B15" i="38"/>
  <c r="T26" i="38"/>
  <c r="J13" i="38"/>
  <c r="L10" i="38"/>
  <c r="M13" i="38"/>
  <c r="S19" i="65"/>
  <c r="E23" i="65"/>
  <c r="Z14" i="38"/>
  <c r="AH23" i="65"/>
  <c r="AF19" i="38"/>
  <c r="K14" i="65"/>
  <c r="H18" i="38"/>
  <c r="H19" i="38"/>
  <c r="E21" i="65"/>
  <c r="Q15" i="38"/>
  <c r="T22" i="38"/>
  <c r="M12" i="65"/>
  <c r="AI21" i="38"/>
  <c r="B24" i="65"/>
  <c r="X8" i="65"/>
  <c r="AD12" i="38"/>
  <c r="AB11" i="65"/>
  <c r="S8" i="65"/>
  <c r="AE8" i="38"/>
  <c r="D8" i="38"/>
  <c r="W8" i="38"/>
  <c r="AE10" i="38"/>
  <c r="N13" i="65"/>
  <c r="L25" i="65"/>
  <c r="AG13" i="38"/>
  <c r="AG10" i="65"/>
  <c r="W21" i="38"/>
  <c r="Q12" i="65"/>
  <c r="J15" i="65"/>
  <c r="G20" i="38"/>
  <c r="O13" i="38"/>
  <c r="S18" i="65"/>
  <c r="B9" i="38"/>
  <c r="E11" i="38"/>
  <c r="G11" i="38"/>
  <c r="C10" i="65"/>
  <c r="AG12" i="38"/>
  <c r="Q17" i="65"/>
  <c r="AI23" i="65"/>
  <c r="K18" i="38"/>
  <c r="V14" i="38"/>
  <c r="Q14" i="38"/>
  <c r="J18" i="38"/>
  <c r="Z20" i="38"/>
  <c r="Y12" i="65"/>
  <c r="F11" i="38"/>
  <c r="V18" i="65"/>
  <c r="C15" i="38"/>
  <c r="H26" i="38"/>
  <c r="G14" i="65"/>
  <c r="AC13" i="65"/>
  <c r="G17" i="65"/>
  <c r="D25" i="65"/>
  <c r="U10" i="65"/>
  <c r="AD8" i="65"/>
  <c r="R8" i="38"/>
  <c r="Z21" i="65"/>
  <c r="O20" i="65"/>
  <c r="E19" i="38"/>
  <c r="W18" i="65"/>
  <c r="AH22" i="65"/>
  <c r="AA16" i="65"/>
  <c r="U12" i="65"/>
  <c r="P19" i="65"/>
  <c r="C16" i="65"/>
  <c r="Y13" i="65"/>
  <c r="W9" i="38"/>
  <c r="P24" i="65"/>
  <c r="I20" i="38"/>
  <c r="L7" i="38"/>
  <c r="AD14" i="38"/>
  <c r="D11" i="65"/>
  <c r="B22" i="65"/>
  <c r="AG15" i="65"/>
  <c r="AC24" i="65"/>
  <c r="K8" i="38"/>
  <c r="B21" i="65"/>
  <c r="H25" i="38"/>
  <c r="P20" i="65"/>
  <c r="AB9" i="38"/>
  <c r="AC24" i="38"/>
  <c r="Y18" i="38"/>
  <c r="P14" i="65"/>
  <c r="AA13" i="38"/>
  <c r="R7" i="65"/>
  <c r="X11" i="38"/>
  <c r="AG12" i="65"/>
  <c r="O14" i="38"/>
  <c r="R16" i="65"/>
  <c r="T21" i="65"/>
  <c r="K10" i="38"/>
  <c r="AA21" i="65"/>
  <c r="E9" i="38"/>
  <c r="W13" i="65"/>
  <c r="R12" i="38"/>
  <c r="AG7" i="65"/>
  <c r="K24" i="38"/>
  <c r="AC25" i="38"/>
  <c r="AD23" i="38"/>
  <c r="G23" i="38"/>
  <c r="AE14" i="65"/>
  <c r="AC23" i="65"/>
  <c r="AE16" i="65"/>
  <c r="AC17" i="65"/>
  <c r="X11" i="65"/>
  <c r="M16" i="65"/>
  <c r="H11" i="38"/>
  <c r="T18" i="38"/>
  <c r="AI10" i="65"/>
  <c r="AI14" i="65"/>
  <c r="Q14" i="65"/>
  <c r="L13" i="65"/>
  <c r="B22" i="38"/>
  <c r="AF10" i="65"/>
  <c r="U9" i="38"/>
  <c r="AE20" i="65"/>
  <c r="AA9" i="38"/>
  <c r="C25" i="38"/>
  <c r="AC18" i="38"/>
  <c r="P22" i="38"/>
  <c r="I9" i="65"/>
  <c r="O10" i="38"/>
  <c r="AA11" i="38"/>
  <c r="Q20" i="38"/>
  <c r="P11" i="38"/>
  <c r="T7" i="38"/>
  <c r="J9" i="38"/>
  <c r="AH21" i="38"/>
  <c r="J23" i="38"/>
  <c r="AG20" i="38"/>
  <c r="V17" i="65"/>
  <c r="AH9" i="65"/>
  <c r="X24" i="38"/>
  <c r="N7" i="38"/>
  <c r="S16" i="38"/>
  <c r="B11" i="38"/>
  <c r="G14" i="38"/>
  <c r="P12" i="38"/>
  <c r="D16" i="65"/>
  <c r="P25" i="38"/>
  <c r="I11" i="38"/>
  <c r="AF15" i="38"/>
  <c r="E24" i="38"/>
  <c r="AF25" i="38"/>
  <c r="B20" i="65"/>
  <c r="P8" i="38"/>
  <c r="Y22" i="38"/>
  <c r="Y21" i="65"/>
  <c r="Z19" i="38"/>
  <c r="V7" i="65"/>
  <c r="Z7" i="38"/>
  <c r="AI13" i="38"/>
  <c r="B9" i="65"/>
  <c r="W20" i="38"/>
  <c r="R15" i="65"/>
  <c r="B13" i="38"/>
  <c r="M26" i="38"/>
  <c r="X13" i="38"/>
  <c r="I10" i="65"/>
  <c r="J24" i="38"/>
  <c r="AC26" i="38"/>
  <c r="AE24" i="38"/>
  <c r="N11" i="65"/>
  <c r="W7" i="65"/>
  <c r="AG22" i="38"/>
  <c r="K25" i="65"/>
  <c r="P9" i="38"/>
  <c r="AI8" i="65"/>
  <c r="W15" i="65"/>
  <c r="AB14" i="38"/>
  <c r="V23" i="65"/>
  <c r="AG9" i="38"/>
  <c r="L14" i="38"/>
  <c r="O10" i="65"/>
  <c r="W25" i="38"/>
  <c r="I18" i="65"/>
  <c r="O8" i="65"/>
  <c r="Q7" i="65"/>
  <c r="I14" i="65"/>
  <c r="F21" i="38"/>
  <c r="S10" i="38"/>
  <c r="K7" i="65"/>
  <c r="AC17" i="38"/>
  <c r="AE25" i="38"/>
  <c r="V12" i="65"/>
  <c r="N19" i="38"/>
  <c r="W19" i="65"/>
  <c r="E9" i="65"/>
  <c r="G25" i="65"/>
  <c r="AF12" i="65"/>
  <c r="S20" i="38"/>
  <c r="T11" i="38"/>
  <c r="J7" i="38"/>
  <c r="H14" i="65"/>
  <c r="M25" i="65"/>
  <c r="S11" i="38"/>
  <c r="O17" i="38"/>
  <c r="AD13" i="38"/>
  <c r="C8" i="65"/>
  <c r="AI21" i="65"/>
  <c r="R20" i="38"/>
  <c r="Y25" i="38"/>
  <c r="U11" i="65"/>
  <c r="H10" i="38"/>
  <c r="G25" i="38"/>
  <c r="N13" i="38"/>
  <c r="AF9" i="65"/>
  <c r="I13" i="38"/>
  <c r="Q11" i="65"/>
  <c r="Y12" i="38"/>
  <c r="AC22" i="65"/>
  <c r="Z15" i="65"/>
  <c r="AA20" i="38"/>
  <c r="AC10" i="38"/>
  <c r="S9" i="65"/>
  <c r="Z13" i="38"/>
  <c r="U9" i="65"/>
  <c r="H8" i="38"/>
  <c r="R12" i="65"/>
  <c r="R11" i="65"/>
  <c r="C15" i="65"/>
  <c r="I11" i="65"/>
  <c r="AB16" i="38"/>
  <c r="Y15" i="65"/>
  <c r="K9" i="65"/>
  <c r="C8" i="38"/>
  <c r="R23" i="38"/>
  <c r="R21" i="65"/>
  <c r="Q16" i="65"/>
  <c r="I23" i="38"/>
  <c r="M25" i="38"/>
  <c r="AA24" i="38"/>
  <c r="N21" i="38"/>
  <c r="AI14" i="38"/>
  <c r="Q25" i="38"/>
  <c r="O14" i="65"/>
  <c r="U20" i="38"/>
  <c r="B14" i="65"/>
  <c r="L10" i="65"/>
  <c r="V23" i="38"/>
  <c r="X18" i="65"/>
  <c r="G21" i="65"/>
  <c r="AE12" i="38"/>
  <c r="T16" i="65"/>
  <c r="I8" i="38"/>
  <c r="Y22" i="65"/>
  <c r="M15" i="38"/>
  <c r="H17" i="38"/>
  <c r="E8" i="38"/>
  <c r="AH20" i="65"/>
  <c r="I22" i="38"/>
  <c r="Z11" i="65"/>
  <c r="H22" i="38"/>
  <c r="J26" i="38"/>
  <c r="H22" i="65"/>
  <c r="Z7" i="65"/>
  <c r="AB22" i="65"/>
  <c r="AD22" i="38"/>
  <c r="M11" i="38"/>
  <c r="O26" i="38"/>
  <c r="B19" i="38"/>
  <c r="M12" i="38"/>
  <c r="AE14" i="38"/>
  <c r="D14" i="65"/>
  <c r="R26" i="38"/>
  <c r="D13" i="38"/>
  <c r="F21" i="65"/>
  <c r="O20" i="38"/>
  <c r="AA25" i="38"/>
  <c r="C9" i="65"/>
  <c r="AC19" i="65"/>
  <c r="Q9" i="65"/>
  <c r="M10" i="38"/>
  <c r="F16" i="38"/>
  <c r="O16" i="65"/>
  <c r="N14" i="38"/>
  <c r="J19" i="38"/>
  <c r="AB13" i="38"/>
  <c r="N23" i="38"/>
  <c r="P12" i="65"/>
  <c r="O21" i="65"/>
  <c r="Y7" i="38"/>
  <c r="AH16" i="38"/>
  <c r="AD22" i="65"/>
  <c r="I21" i="65"/>
  <c r="AI11" i="65"/>
  <c r="V24" i="38"/>
  <c r="K18" i="65"/>
  <c r="M19" i="65"/>
  <c r="AA7" i="38"/>
  <c r="AE25" i="65"/>
  <c r="AC14" i="65"/>
  <c r="AD17" i="65"/>
  <c r="L17" i="38"/>
  <c r="K22" i="65"/>
  <c r="P26" i="38"/>
  <c r="O8" i="38"/>
  <c r="Y11" i="38"/>
  <c r="D21" i="38"/>
  <c r="J16" i="38"/>
  <c r="E15" i="38"/>
  <c r="K20" i="65"/>
  <c r="AH11" i="65"/>
  <c r="V20" i="65"/>
  <c r="D20" i="38"/>
  <c r="B7" i="65"/>
  <c r="AH14" i="38"/>
  <c r="G7" i="38"/>
  <c r="M11" i="65"/>
  <c r="W12" i="38"/>
  <c r="C20" i="38"/>
  <c r="L23" i="38"/>
  <c r="F11" i="65"/>
  <c r="F8" i="38"/>
  <c r="AB10" i="38"/>
  <c r="AF21" i="65"/>
  <c r="AC20" i="38"/>
  <c r="E23" i="38"/>
  <c r="L9" i="65"/>
  <c r="X17" i="38"/>
  <c r="X10" i="38"/>
  <c r="L8" i="65"/>
  <c r="C7" i="38"/>
  <c r="G10" i="65"/>
  <c r="X26" i="38"/>
  <c r="AC7" i="38"/>
  <c r="V14" i="65"/>
  <c r="Y16" i="65"/>
  <c r="I19" i="38"/>
  <c r="E7" i="38"/>
  <c r="D22" i="38"/>
  <c r="AC11" i="65"/>
  <c r="AC12" i="38"/>
  <c r="W9" i="65"/>
  <c r="AC8" i="65"/>
  <c r="AH23" i="38"/>
  <c r="R17" i="38"/>
  <c r="Q26" i="38"/>
  <c r="AE26" i="38"/>
  <c r="AA23" i="38"/>
  <c r="AI7" i="65"/>
  <c r="I9" i="38"/>
  <c r="X7" i="38"/>
  <c r="Z16" i="65"/>
  <c r="N22" i="65"/>
  <c r="J22" i="65"/>
  <c r="S7" i="65"/>
  <c r="AA15" i="38"/>
  <c r="AB23" i="65"/>
  <c r="AD21" i="65"/>
  <c r="AE17" i="65"/>
  <c r="AF13" i="65"/>
  <c r="R24" i="38"/>
  <c r="S25" i="65"/>
  <c r="AH8" i="38"/>
  <c r="AF14" i="65"/>
  <c r="H25" i="65"/>
  <c r="AC16" i="65"/>
  <c r="AD21" i="38"/>
  <c r="B26" i="38"/>
  <c r="T15" i="65"/>
  <c r="B24" i="38"/>
  <c r="T20" i="38"/>
  <c r="AB25" i="38"/>
  <c r="AH7" i="38"/>
  <c r="T24" i="38"/>
  <c r="P20" i="38"/>
  <c r="AG11" i="38"/>
  <c r="T13" i="65"/>
  <c r="E26" i="38"/>
  <c r="W11" i="65"/>
  <c r="AB26" i="38"/>
  <c r="I15" i="38"/>
  <c r="W13" i="38"/>
  <c r="X10" i="65"/>
  <c r="J21" i="38"/>
  <c r="AB21" i="65"/>
  <c r="AE22" i="38"/>
  <c r="AB22" i="38"/>
  <c r="Z13" i="65"/>
  <c r="L8" i="38"/>
  <c r="B8" i="65"/>
  <c r="AB12" i="65"/>
  <c r="O22" i="38"/>
  <c r="N24" i="38"/>
  <c r="P16" i="38"/>
  <c r="M20" i="65"/>
  <c r="AG17" i="65"/>
  <c r="J24" i="65"/>
  <c r="V10" i="38"/>
  <c r="U7" i="65"/>
  <c r="N8" i="65"/>
  <c r="U11" i="38"/>
  <c r="L18" i="65"/>
  <c r="E16" i="65"/>
  <c r="S22" i="38"/>
  <c r="U14" i="65"/>
  <c r="M23" i="65"/>
  <c r="Q10" i="38"/>
  <c r="F17" i="38"/>
  <c r="W11" i="38"/>
  <c r="T17" i="65"/>
  <c r="V12" i="38"/>
  <c r="N25" i="65"/>
  <c r="V8" i="38"/>
  <c r="F10" i="38"/>
  <c r="T14" i="65"/>
  <c r="E25" i="38"/>
  <c r="AG14" i="38"/>
  <c r="C20" i="65"/>
  <c r="AI15" i="65"/>
  <c r="S13" i="38"/>
  <c r="Z9" i="38"/>
  <c r="U19" i="65"/>
  <c r="F16" i="65"/>
  <c r="AB24" i="38"/>
  <c r="H17" i="65"/>
  <c r="O23" i="65"/>
  <c r="G15" i="38"/>
  <c r="I22" i="65"/>
  <c r="D22" i="65"/>
  <c r="AF21" i="38"/>
  <c r="G12" i="65"/>
  <c r="E13" i="65"/>
  <c r="M7" i="65"/>
  <c r="N9" i="65"/>
  <c r="C23" i="65"/>
  <c r="E12" i="65"/>
  <c r="Y13" i="38"/>
  <c r="AH16" i="65"/>
  <c r="AG16" i="38"/>
  <c r="B7" i="38"/>
  <c r="AH10" i="38"/>
  <c r="W23" i="38"/>
  <c r="Y21" i="38"/>
  <c r="J10" i="65"/>
  <c r="B20" i="38"/>
  <c r="AF17" i="38"/>
  <c r="AA12" i="65"/>
  <c r="G13" i="65"/>
  <c r="Y8" i="65"/>
  <c r="AD9" i="65"/>
  <c r="C24" i="38"/>
  <c r="AA14" i="65"/>
  <c r="Y11" i="65"/>
  <c r="D16" i="38"/>
  <c r="N25" i="38"/>
  <c r="S15" i="38"/>
  <c r="C12" i="65"/>
  <c r="M22" i="38"/>
  <c r="AA8" i="38"/>
  <c r="AA7" i="65"/>
  <c r="AH11" i="38"/>
  <c r="M20" i="38"/>
  <c r="AE18" i="38"/>
  <c r="R13" i="65"/>
  <c r="P24" i="38"/>
  <c r="F25" i="65"/>
  <c r="U22" i="38"/>
  <c r="H9" i="65"/>
  <c r="C25" i="65"/>
  <c r="AI19" i="65"/>
  <c r="AG18" i="65"/>
  <c r="S21" i="65"/>
  <c r="K15" i="65"/>
  <c r="Z10" i="38"/>
  <c r="W18" i="38"/>
  <c r="AG7" i="38"/>
  <c r="M23" i="38"/>
  <c r="L11" i="65"/>
  <c r="W16" i="38"/>
  <c r="AE18" i="65"/>
  <c r="AF18" i="38"/>
  <c r="R9" i="65"/>
  <c r="J11" i="38"/>
  <c r="L24" i="38"/>
  <c r="N26" i="38"/>
  <c r="Y20" i="65"/>
  <c r="W20" i="65"/>
  <c r="R23" i="65"/>
  <c r="AG11" i="65"/>
  <c r="Q23" i="38"/>
  <c r="Q19" i="38"/>
  <c r="P17" i="65"/>
  <c r="F15" i="65"/>
  <c r="B12" i="38"/>
  <c r="AE13" i="38"/>
  <c r="D17" i="38"/>
  <c r="X7" i="65"/>
  <c r="AG16" i="65"/>
  <c r="T25" i="38"/>
  <c r="AD13" i="65"/>
  <c r="L16" i="65"/>
  <c r="AC18" i="65"/>
  <c r="AH17" i="65"/>
  <c r="O15" i="38"/>
  <c r="AE21" i="65"/>
  <c r="X24" i="65"/>
  <c r="G9" i="65"/>
  <c r="E11" i="65"/>
  <c r="M9" i="65"/>
  <c r="AB8" i="38"/>
  <c r="J22" i="38"/>
  <c r="Y14" i="65"/>
  <c r="AC12" i="65"/>
  <c r="P13" i="65"/>
  <c r="Z18" i="65"/>
  <c r="W7" i="38"/>
  <c r="X19" i="38"/>
  <c r="AG8" i="65"/>
  <c r="S10" i="65"/>
  <c r="S8" i="38"/>
  <c r="AI9" i="38"/>
  <c r="R14" i="65"/>
  <c r="W22" i="65"/>
  <c r="H23" i="38"/>
  <c r="AB9" i="65"/>
  <c r="U18" i="38"/>
  <c r="Z22" i="65"/>
  <c r="N18" i="38"/>
  <c r="U14" i="38"/>
  <c r="G16" i="65"/>
  <c r="G26" i="38"/>
  <c r="R15" i="38"/>
  <c r="Y15" i="38"/>
  <c r="Q23" i="65"/>
  <c r="Z12" i="65"/>
  <c r="F12" i="38"/>
  <c r="I18" i="38"/>
  <c r="T22" i="65"/>
  <c r="AA10" i="65"/>
  <c r="N22" i="38"/>
  <c r="K13" i="38"/>
  <c r="D15" i="38"/>
  <c r="AG19" i="65"/>
  <c r="O15" i="65"/>
  <c r="O19" i="65"/>
  <c r="X14" i="65"/>
  <c r="K20" i="38"/>
  <c r="J17" i="65"/>
  <c r="AA19" i="38"/>
  <c r="N10" i="65"/>
  <c r="AC21" i="65"/>
  <c r="AC16" i="38"/>
  <c r="P22" i="65"/>
  <c r="AB17" i="38"/>
  <c r="AG21" i="38"/>
  <c r="AB20" i="38"/>
  <c r="AG19" i="38"/>
  <c r="AH10" i="65"/>
  <c r="U17" i="65"/>
  <c r="AC11" i="38"/>
  <c r="T11" i="65"/>
  <c r="L17" i="65"/>
  <c r="AH13" i="38"/>
  <c r="AH20" i="38"/>
  <c r="C7" i="65"/>
  <c r="Q24" i="65"/>
  <c r="S14" i="38"/>
  <c r="AE17" i="38"/>
  <c r="AF10" i="38"/>
  <c r="I26" i="38"/>
  <c r="G17" i="38"/>
  <c r="Z18" i="38"/>
  <c r="V18" i="38"/>
  <c r="AD20" i="38"/>
  <c r="N16" i="65"/>
  <c r="V22" i="38"/>
  <c r="C12" i="38"/>
  <c r="J15" i="38"/>
  <c r="AE15" i="65"/>
  <c r="W24" i="38"/>
  <c r="N10" i="38"/>
  <c r="G7" i="65"/>
  <c r="Y9" i="65"/>
  <c r="K24" i="65"/>
  <c r="AD24" i="38"/>
  <c r="AI12" i="65"/>
  <c r="V21" i="38"/>
  <c r="L22" i="65"/>
  <c r="D19" i="65"/>
  <c r="D18" i="38"/>
  <c r="AF22" i="65"/>
  <c r="I12" i="38" l="1"/>
  <c r="I27" i="38" s="1"/>
  <c r="M10" i="65"/>
  <c r="AJ10" i="65" s="1"/>
  <c r="K7" i="38"/>
  <c r="K27" i="38" s="1"/>
  <c r="N15" i="38"/>
  <c r="Z19" i="65"/>
  <c r="R19" i="65"/>
  <c r="R26" i="65" s="1"/>
  <c r="V7" i="38"/>
  <c r="V27" i="38" s="1"/>
  <c r="Q8" i="65"/>
  <c r="Q26" i="65" s="1"/>
  <c r="V16" i="65"/>
  <c r="V26" i="65" s="1"/>
  <c r="AG17" i="38"/>
  <c r="AG27" i="38" s="1"/>
  <c r="J20" i="38"/>
  <c r="AJ20" i="38" s="1"/>
  <c r="C18" i="38"/>
  <c r="X23" i="65"/>
  <c r="X26" i="65" s="1"/>
  <c r="K17" i="65"/>
  <c r="AJ17" i="65" s="1"/>
  <c r="N17" i="38"/>
  <c r="S12" i="38"/>
  <c r="S27" i="38" s="1"/>
  <c r="E17" i="38"/>
  <c r="AD10" i="38"/>
  <c r="AD27" i="38" s="1"/>
  <c r="P23" i="65"/>
  <c r="U24" i="38"/>
  <c r="AJ24" i="38" s="1"/>
  <c r="F13" i="65"/>
  <c r="C10" i="38"/>
  <c r="C13" i="38"/>
  <c r="P16" i="65"/>
  <c r="F24" i="65"/>
  <c r="AJ24" i="65" s="1"/>
  <c r="F9" i="38"/>
  <c r="F27" i="38" s="1"/>
  <c r="AH7" i="65"/>
  <c r="AH26" i="65" s="1"/>
  <c r="G8" i="65"/>
  <c r="AJ8" i="65" s="1"/>
  <c r="U16" i="65"/>
  <c r="D9" i="38"/>
  <c r="D9" i="65"/>
  <c r="T15" i="38"/>
  <c r="AJ15" i="38" s="1"/>
  <c r="O12" i="38"/>
  <c r="O27" i="38" s="1"/>
  <c r="E10" i="38"/>
  <c r="M7" i="38"/>
  <c r="M27" i="38" s="1"/>
  <c r="AE7" i="65"/>
  <c r="AE26" i="65" s="1"/>
  <c r="AI27" i="38"/>
  <c r="H27" i="38"/>
  <c r="I26" i="65"/>
  <c r="X27" i="38"/>
  <c r="J26" i="65"/>
  <c r="R27" i="38"/>
  <c r="L27" i="38"/>
  <c r="H26" i="65"/>
  <c r="AJ25" i="65"/>
  <c r="AF26" i="65"/>
  <c r="P27" i="38"/>
  <c r="AF27" i="38"/>
  <c r="AG26" i="65"/>
  <c r="M26" i="65"/>
  <c r="AB26" i="65"/>
  <c r="E26" i="65"/>
  <c r="AJ13" i="38"/>
  <c r="AJ19" i="38"/>
  <c r="W26" i="65"/>
  <c r="AA27" i="38"/>
  <c r="AJ25" i="38"/>
  <c r="Y27" i="38"/>
  <c r="AJ26" i="38"/>
  <c r="AJ12" i="65"/>
  <c r="W27" i="38"/>
  <c r="AE27" i="38"/>
  <c r="AJ11" i="38"/>
  <c r="AJ16" i="38"/>
  <c r="Q27" i="38"/>
  <c r="AJ20" i="65"/>
  <c r="S26" i="65"/>
  <c r="AA26" i="65"/>
  <c r="AJ21" i="65"/>
  <c r="T26" i="65"/>
  <c r="AC26" i="65"/>
  <c r="AJ18" i="65"/>
  <c r="AJ8" i="38"/>
  <c r="AJ9" i="65"/>
  <c r="AJ14" i="65"/>
  <c r="AJ11" i="65"/>
  <c r="AD26" i="65"/>
  <c r="AJ23" i="38"/>
  <c r="AJ18" i="38"/>
  <c r="O26" i="65"/>
  <c r="AJ22" i="38"/>
  <c r="AC27" i="38"/>
  <c r="Z27" i="38"/>
  <c r="AB27" i="38"/>
  <c r="N26" i="65"/>
  <c r="L26" i="65"/>
  <c r="AH27" i="38"/>
  <c r="G27" i="38"/>
  <c r="AJ14" i="38"/>
  <c r="AJ15" i="65"/>
  <c r="Y26" i="65"/>
  <c r="AJ21" i="38"/>
  <c r="AI26" i="65"/>
  <c r="AJ22" i="65"/>
  <c r="AJ19" i="65" l="1"/>
  <c r="Z26" i="65"/>
  <c r="J27" i="38"/>
  <c r="AJ23" i="65"/>
  <c r="K26" i="65"/>
  <c r="AJ17" i="38"/>
  <c r="N27" i="38"/>
  <c r="E27" i="38"/>
  <c r="AJ9" i="38"/>
  <c r="F26" i="65"/>
  <c r="AJ13" i="65"/>
  <c r="U27" i="38"/>
  <c r="P26" i="65"/>
  <c r="AJ16" i="65"/>
  <c r="U26" i="65"/>
  <c r="G26" i="65"/>
  <c r="T27" i="38"/>
  <c r="AJ12" i="38"/>
  <c r="AJ10" i="38"/>
  <c r="AJ7" i="65"/>
  <c r="AJ7" i="38"/>
  <c r="W119" i="57"/>
  <c r="X119" i="57" s="1"/>
  <c r="S579" i="57"/>
  <c r="T579" i="57" s="1"/>
  <c r="AO68" i="9"/>
  <c r="AO69" i="9"/>
  <c r="S325" i="57"/>
  <c r="S567" i="57"/>
  <c r="T567" i="57" s="1"/>
  <c r="AO56" i="9"/>
  <c r="AO45" i="9"/>
  <c r="AO41" i="9"/>
  <c r="AO88" i="9"/>
  <c r="AO85" i="9"/>
  <c r="AO46" i="9"/>
  <c r="AO92" i="9"/>
  <c r="AO73" i="9"/>
  <c r="AO101" i="9"/>
  <c r="S575" i="57"/>
  <c r="T575" i="57" s="1"/>
  <c r="G138" i="57"/>
  <c r="H138" i="57" s="1"/>
  <c r="S182" i="57"/>
  <c r="Y182" i="57" s="1"/>
  <c r="AC187" i="57" s="1"/>
  <c r="AO20" i="9"/>
  <c r="AO22" i="9"/>
  <c r="AO58" i="9"/>
  <c r="W116" i="57"/>
  <c r="X116" i="57" s="1"/>
  <c r="AO48" i="9"/>
  <c r="AO72" i="9"/>
  <c r="S292" i="57"/>
  <c r="T292" i="57" s="1"/>
  <c r="Z292" i="57" s="1"/>
  <c r="AO100" i="9"/>
  <c r="AO49" i="9"/>
  <c r="G501" i="57"/>
  <c r="AO84" i="9"/>
  <c r="AO28" i="9"/>
  <c r="S545" i="57"/>
  <c r="T545" i="57" s="1"/>
  <c r="S721" i="57"/>
  <c r="Y721" i="57" s="1"/>
  <c r="AC726" i="57" s="1"/>
  <c r="AO96" i="9"/>
  <c r="AO21" i="9"/>
  <c r="K600" i="57"/>
  <c r="AO98" i="9"/>
  <c r="AO40" i="9"/>
  <c r="AO24" i="9"/>
  <c r="AO60" i="9"/>
  <c r="AO74" i="9"/>
  <c r="AO94" i="9"/>
  <c r="AO16" i="9"/>
  <c r="W545" i="57"/>
  <c r="X545" i="57" s="1"/>
  <c r="W325" i="57"/>
  <c r="X325" i="57" s="1"/>
  <c r="AO17" i="9"/>
  <c r="AO39" i="9"/>
  <c r="S237" i="57"/>
  <c r="T237" i="57" s="1"/>
  <c r="S39" i="57"/>
  <c r="T39" i="57" s="1"/>
  <c r="AO23" i="9"/>
  <c r="AO50" i="9"/>
  <c r="S501" i="57"/>
  <c r="T501" i="57" s="1"/>
  <c r="AO70" i="9"/>
  <c r="AC868" i="57" s="1"/>
  <c r="AO43" i="9"/>
  <c r="AO27" i="9"/>
  <c r="S215" i="57"/>
  <c r="T215" i="57" s="1"/>
  <c r="AO26" i="9"/>
  <c r="W630" i="57"/>
  <c r="X630" i="57" s="1"/>
  <c r="AO89" i="9"/>
  <c r="AO59" i="9"/>
  <c r="AO19" i="9"/>
  <c r="AO71" i="9"/>
  <c r="W215" i="57"/>
  <c r="X215" i="57" s="1"/>
  <c r="AO95" i="9"/>
  <c r="AO18" i="9"/>
  <c r="AO42" i="9"/>
  <c r="AO47" i="9"/>
  <c r="W707" i="57"/>
  <c r="X707" i="57" s="1"/>
  <c r="W245" i="57"/>
  <c r="X245" i="57" s="1"/>
  <c r="W490" i="57"/>
  <c r="X490" i="57" s="1"/>
  <c r="S710" i="57"/>
  <c r="T710" i="57" s="1"/>
  <c r="AO86" i="9"/>
  <c r="AO93" i="9"/>
  <c r="S204" i="57"/>
  <c r="T204" i="57" s="1"/>
  <c r="Z204" i="57" s="1"/>
  <c r="AO91" i="9"/>
  <c r="S600" i="57"/>
  <c r="T600" i="57" s="1"/>
  <c r="AO97" i="9"/>
  <c r="Y17" i="57"/>
  <c r="S666" i="57"/>
  <c r="Y666" i="57" s="1"/>
  <c r="AC671" i="57" s="1"/>
  <c r="S347" i="57"/>
  <c r="T347" i="57" s="1"/>
  <c r="W548" i="57"/>
  <c r="X548" i="57" s="1"/>
  <c r="S446" i="57"/>
  <c r="Y446" i="57" s="1"/>
  <c r="AC451" i="57" s="1"/>
  <c r="S548" i="57"/>
  <c r="S457" i="57"/>
  <c r="Y457" i="57" s="1"/>
  <c r="AC462" i="57" s="1"/>
  <c r="S138" i="57"/>
  <c r="W237" i="57"/>
  <c r="X237" i="57" s="1"/>
  <c r="G215" i="57"/>
  <c r="H215" i="57" s="1"/>
  <c r="AO15" i="9"/>
  <c r="W498" i="57"/>
  <c r="X498" i="57" s="1"/>
  <c r="S116" i="57"/>
  <c r="S490" i="57"/>
  <c r="T490" i="57" s="1"/>
  <c r="S83" i="57"/>
  <c r="T83" i="57" s="1"/>
  <c r="S513" i="57"/>
  <c r="Y512" i="57" s="1"/>
  <c r="AC517" i="57" s="1"/>
  <c r="S303" i="57"/>
  <c r="T303" i="57" s="1"/>
  <c r="Z303" i="57" s="1"/>
  <c r="W39" i="57"/>
  <c r="X39" i="57" s="1"/>
  <c r="AO99" i="9"/>
  <c r="AO90" i="9"/>
  <c r="AO57" i="9"/>
  <c r="AO44" i="9"/>
  <c r="W702" i="57"/>
  <c r="W710" i="57"/>
  <c r="X710" i="57" s="1"/>
  <c r="S622" i="57"/>
  <c r="S578" i="57"/>
  <c r="AO38" i="9"/>
  <c r="AO67" i="9"/>
  <c r="AO87" i="9"/>
  <c r="AO25" i="9"/>
  <c r="K196" i="57"/>
  <c r="Y193" i="57" s="1"/>
  <c r="AC198" i="57" s="1"/>
  <c r="G710" i="57"/>
  <c r="K350" i="57"/>
  <c r="L350" i="57" s="1"/>
  <c r="S534" i="57"/>
  <c r="T534" i="57" s="1"/>
  <c r="Z534" i="57" s="1"/>
  <c r="S149" i="57"/>
  <c r="Y149" i="57" s="1"/>
  <c r="AC154" i="57" s="1"/>
  <c r="G83" i="57"/>
  <c r="H83" i="57" s="1"/>
  <c r="AC824" i="57" l="1"/>
  <c r="AC846" i="57"/>
  <c r="AC835" i="57"/>
  <c r="AC857" i="57"/>
  <c r="AC76" i="57"/>
  <c r="AC395" i="57"/>
  <c r="Y622" i="57"/>
  <c r="AC627" i="57" s="1"/>
  <c r="AC10" i="57"/>
  <c r="Y138" i="57"/>
  <c r="AC143" i="57" s="1"/>
  <c r="AJ27" i="38"/>
  <c r="AC637" i="57"/>
  <c r="AJ26" i="65"/>
  <c r="AC681" i="57"/>
  <c r="AC560" i="57"/>
  <c r="AC802" i="57"/>
  <c r="AC791" i="57"/>
  <c r="AC813" i="57"/>
  <c r="AC692" i="57"/>
  <c r="AC736" i="57"/>
  <c r="Y545" i="57"/>
  <c r="AC550" i="57" s="1"/>
  <c r="AC406" i="57"/>
  <c r="AC439" i="57"/>
  <c r="AC65" i="57"/>
  <c r="AC54" i="57"/>
  <c r="AC230" i="57"/>
  <c r="AC318" i="57"/>
  <c r="AC362" i="57"/>
  <c r="AC373" i="57"/>
  <c r="AC428" i="57"/>
  <c r="AC780" i="57"/>
  <c r="AC252" i="57"/>
  <c r="AC164" i="57"/>
  <c r="AC175" i="57"/>
  <c r="AC747" i="57"/>
  <c r="AC769" i="57"/>
  <c r="AC758" i="57"/>
  <c r="AC659" i="57"/>
  <c r="AC648" i="57"/>
  <c r="AC615" i="57"/>
  <c r="AC593" i="57"/>
  <c r="AC527" i="57"/>
  <c r="AC483" i="57"/>
  <c r="AC472" i="57"/>
  <c r="AC417" i="57"/>
  <c r="AC384" i="57"/>
  <c r="AC285" i="57"/>
  <c r="AC131" i="57"/>
  <c r="AC263" i="57"/>
  <c r="AC274" i="57"/>
  <c r="AC109" i="57"/>
  <c r="AC98" i="57"/>
  <c r="AC208" i="57"/>
  <c r="Y578" i="57"/>
  <c r="AC583" i="57" s="1"/>
  <c r="Z215" i="57"/>
  <c r="AC219" i="57" s="1"/>
  <c r="Y699" i="57"/>
  <c r="AC704" i="57" s="1"/>
  <c r="Y116" i="57"/>
  <c r="AC121" i="57" s="1"/>
  <c r="AC307" i="57"/>
  <c r="AC22" i="57"/>
  <c r="AC538" i="57"/>
  <c r="AC296" i="57"/>
  <c r="AL34" i="61"/>
  <c r="Y710" i="57"/>
  <c r="AC715" i="57" s="1"/>
  <c r="Y83" i="57"/>
  <c r="AC88" i="57" s="1"/>
  <c r="Y347" i="57"/>
  <c r="AC352" i="57" s="1"/>
  <c r="H710" i="57"/>
  <c r="T138" i="57"/>
  <c r="Z138" i="57" s="1"/>
  <c r="AC142" i="57" s="1"/>
  <c r="AV1" i="9"/>
  <c r="X702" i="57"/>
  <c r="Z699" i="57" s="1"/>
  <c r="AC703" i="57" s="1"/>
  <c r="T548" i="57"/>
  <c r="Z545" i="57" s="1"/>
  <c r="AC549" i="57" s="1"/>
  <c r="Y600" i="57"/>
  <c r="AC605" i="57" s="1"/>
  <c r="Z490" i="57"/>
  <c r="AC494" i="57" s="1"/>
  <c r="Z17" i="57"/>
  <c r="Z710" i="57"/>
  <c r="AC714" i="57" s="1"/>
  <c r="Y567" i="57"/>
  <c r="AC572" i="57" s="1"/>
  <c r="T578" i="57"/>
  <c r="Z578" i="57" s="1"/>
  <c r="AC582" i="57" s="1"/>
  <c r="Z347" i="57"/>
  <c r="AC351" i="57" s="1"/>
  <c r="T149" i="57"/>
  <c r="Z149" i="57" s="1"/>
  <c r="AC153" i="57" s="1"/>
  <c r="L196" i="57"/>
  <c r="Z193" i="57" s="1"/>
  <c r="AC197" i="57" s="1"/>
  <c r="T116" i="57"/>
  <c r="Z116" i="57" s="1"/>
  <c r="AC120" i="57" s="1"/>
  <c r="Y501" i="57"/>
  <c r="AC506" i="57" s="1"/>
  <c r="Y325" i="57"/>
  <c r="AC330" i="57" s="1"/>
  <c r="Z237" i="57"/>
  <c r="AC241" i="57" s="1"/>
  <c r="Z83" i="57"/>
  <c r="AC87" i="57" s="1"/>
  <c r="D4" i="68"/>
  <c r="Z567" i="57"/>
  <c r="AC571" i="57" s="1"/>
  <c r="Z39" i="57"/>
  <c r="E6" i="68" s="1"/>
  <c r="Y303" i="57"/>
  <c r="AC308" i="57" s="1"/>
  <c r="Y39" i="57"/>
  <c r="T721" i="57"/>
  <c r="Z721" i="57" s="1"/>
  <c r="AC725" i="57" s="1"/>
  <c r="T182" i="57"/>
  <c r="Z182" i="57" s="1"/>
  <c r="AC186" i="57" s="1"/>
  <c r="T325" i="57"/>
  <c r="Z325" i="57" s="1"/>
  <c r="AC329" i="57" s="1"/>
  <c r="T457" i="57"/>
  <c r="Z457" i="57" s="1"/>
  <c r="AC461" i="57" s="1"/>
  <c r="T446" i="57"/>
  <c r="Z446" i="57" s="1"/>
  <c r="AC450" i="57" s="1"/>
  <c r="Y490" i="57"/>
  <c r="AC495" i="57" s="1"/>
  <c r="T666" i="57"/>
  <c r="Z666" i="57" s="1"/>
  <c r="AC670" i="57" s="1"/>
  <c r="Y204" i="57"/>
  <c r="AC209" i="57" s="1"/>
  <c r="Y292" i="57"/>
  <c r="AC297" i="57" s="1"/>
  <c r="Y534" i="57"/>
  <c r="AC539" i="57" s="1"/>
  <c r="T622" i="57"/>
  <c r="Z622" i="57" s="1"/>
  <c r="AC626" i="57" s="1"/>
  <c r="T513" i="57"/>
  <c r="Z512" i="57" s="1"/>
  <c r="AC516" i="57" s="1"/>
  <c r="Y215" i="57"/>
  <c r="AC220" i="57" s="1"/>
  <c r="Y237" i="57"/>
  <c r="AC242" i="57" s="1"/>
  <c r="L600" i="57"/>
  <c r="Z600" i="57" s="1"/>
  <c r="AC604" i="57" s="1"/>
  <c r="H501" i="57"/>
  <c r="Z501" i="57" s="1"/>
  <c r="AC505" i="57" s="1"/>
  <c r="D6" i="68" l="1"/>
  <c r="AC44" i="57"/>
  <c r="Y897" i="57"/>
  <c r="E4" i="68"/>
  <c r="Z897" i="57"/>
  <c r="AW1" i="9" s="1"/>
  <c r="AW2" i="9" s="1"/>
  <c r="AC43" i="57"/>
  <c r="AC21" i="57"/>
  <c r="AU1" i="9" l="1"/>
</calcChain>
</file>

<file path=xl/sharedStrings.xml><?xml version="1.0" encoding="utf-8"?>
<sst xmlns="http://schemas.openxmlformats.org/spreadsheetml/2006/main" count="1115" uniqueCount="401">
  <si>
    <t>Ф. И. О.</t>
  </si>
  <si>
    <t>р/р</t>
  </si>
  <si>
    <t>изд</t>
  </si>
  <si>
    <t>2/4</t>
  </si>
  <si>
    <t>3/16</t>
  </si>
  <si>
    <t>4/8</t>
  </si>
  <si>
    <t>3/4</t>
  </si>
  <si>
    <t>месяц</t>
  </si>
  <si>
    <t>год</t>
  </si>
  <si>
    <t>коэф</t>
  </si>
  <si>
    <t>партия</t>
  </si>
  <si>
    <t>2</t>
  </si>
  <si>
    <t>3</t>
  </si>
  <si>
    <t>6</t>
  </si>
  <si>
    <t>9</t>
  </si>
  <si>
    <t>10</t>
  </si>
  <si>
    <t>13</t>
  </si>
  <si>
    <t>16</t>
  </si>
  <si>
    <t>17</t>
  </si>
  <si>
    <t>20</t>
  </si>
  <si>
    <t>23</t>
  </si>
  <si>
    <t>24</t>
  </si>
  <si>
    <t>27</t>
  </si>
  <si>
    <t>Таб №</t>
  </si>
  <si>
    <t>разряд</t>
  </si>
  <si>
    <t>Разряд работы</t>
  </si>
  <si>
    <t>Стоимость</t>
  </si>
  <si>
    <t>8%</t>
  </si>
  <si>
    <t>12%</t>
  </si>
  <si>
    <t>16%</t>
  </si>
  <si>
    <t>24%</t>
  </si>
  <si>
    <t>3/24</t>
  </si>
  <si>
    <t>4/24</t>
  </si>
  <si>
    <t>ФИО</t>
  </si>
  <si>
    <t>Табельный номер</t>
  </si>
  <si>
    <t>разряд работника</t>
  </si>
  <si>
    <t>итого часы</t>
  </si>
  <si>
    <t xml:space="preserve">итого сумма, руб </t>
  </si>
  <si>
    <t xml:space="preserve">подпись работник </t>
  </si>
  <si>
    <t>тариф</t>
  </si>
  <si>
    <t>коэффициент</t>
  </si>
  <si>
    <t>часы</t>
  </si>
  <si>
    <t>сумма</t>
  </si>
  <si>
    <t>ЗП</t>
  </si>
  <si>
    <t>7</t>
  </si>
  <si>
    <t>8</t>
  </si>
  <si>
    <t>1</t>
  </si>
  <si>
    <t>14</t>
  </si>
  <si>
    <t>15</t>
  </si>
  <si>
    <t>21</t>
  </si>
  <si>
    <t>22</t>
  </si>
  <si>
    <t>28</t>
  </si>
  <si>
    <t>29</t>
  </si>
  <si>
    <t>30</t>
  </si>
  <si>
    <t>4</t>
  </si>
  <si>
    <t>5</t>
  </si>
  <si>
    <t>11</t>
  </si>
  <si>
    <t>12</t>
  </si>
  <si>
    <t>18</t>
  </si>
  <si>
    <t>19</t>
  </si>
  <si>
    <t>25</t>
  </si>
  <si>
    <t>26</t>
  </si>
  <si>
    <t>31</t>
  </si>
  <si>
    <t>ИТОГО</t>
  </si>
  <si>
    <t xml:space="preserve">Мастер участка </t>
  </si>
  <si>
    <t>3-22</t>
  </si>
  <si>
    <t>4-22</t>
  </si>
  <si>
    <t>4/16</t>
  </si>
  <si>
    <t>Изделие №</t>
  </si>
  <si>
    <t xml:space="preserve">Итого </t>
  </si>
  <si>
    <t>Столбец1</t>
  </si>
  <si>
    <t>2/8</t>
  </si>
  <si>
    <t>Исполнитель_______________</t>
  </si>
  <si>
    <t>Бухгалтер _______________________</t>
  </si>
  <si>
    <t>присвоенный
 разряд</t>
  </si>
  <si>
    <t>Технологическая   карта</t>
  </si>
  <si>
    <t>подборы</t>
  </si>
  <si>
    <t xml:space="preserve">чертеж </t>
  </si>
  <si>
    <t>ОТК</t>
  </si>
  <si>
    <t>ВП</t>
  </si>
  <si>
    <t>наст</t>
  </si>
  <si>
    <t>ПИ</t>
  </si>
  <si>
    <t>брак</t>
  </si>
  <si>
    <t>СВЕРХУРОЧНАЯ  РАБОТА</t>
  </si>
  <si>
    <t>Ефремова Т.В.</t>
  </si>
  <si>
    <t>валовые</t>
  </si>
  <si>
    <t>вых</t>
  </si>
  <si>
    <t>разряд 
работника</t>
  </si>
  <si>
    <t>Волокитин В.Ю.</t>
  </si>
  <si>
    <t>Производственный цех №3, мастерская 39</t>
  </si>
  <si>
    <t>Конова Л.М.</t>
  </si>
  <si>
    <t>Бычкова Е.Н.</t>
  </si>
  <si>
    <t>мастер</t>
  </si>
  <si>
    <t>Столбец2</t>
  </si>
  <si>
    <t xml:space="preserve">сумма по наряду </t>
  </si>
  <si>
    <t>ДИШВ.773919.008</t>
  </si>
  <si>
    <t>ДИШВ.773911.501</t>
  </si>
  <si>
    <t>ДИШВ.773924.408</t>
  </si>
  <si>
    <t>ДИШВ.773951.510</t>
  </si>
  <si>
    <t>Производственный цех №3, мастерская 61 Б</t>
  </si>
  <si>
    <t>Производственный цех №3, мастерская 61 Б ДУЗы</t>
  </si>
  <si>
    <t>Производственный цех №3, мастерская 175/9</t>
  </si>
  <si>
    <t>Производственный цех №3, мастерская 15, 48, 61 В</t>
  </si>
  <si>
    <t>мес</t>
  </si>
  <si>
    <t>сумма2</t>
  </si>
  <si>
    <t>19-22</t>
  </si>
  <si>
    <t>21-22</t>
  </si>
  <si>
    <t>22-22</t>
  </si>
  <si>
    <t>Курбацкая Н.В.</t>
  </si>
  <si>
    <t>23-22</t>
  </si>
  <si>
    <t>ДИШВ.773949.002</t>
  </si>
  <si>
    <t>ДИШВ.773949.001</t>
  </si>
  <si>
    <t>ЛД34.391.000</t>
  </si>
  <si>
    <t>ЛД34.418.004</t>
  </si>
  <si>
    <t>ЛД34.400.044</t>
  </si>
  <si>
    <t>ЛД34.420.009</t>
  </si>
  <si>
    <t>ЛД34.402.016</t>
  </si>
  <si>
    <t>ДИШВ.773922.001</t>
  </si>
  <si>
    <t>ЛД34.330.001</t>
  </si>
  <si>
    <t>ЛД34.342.000</t>
  </si>
  <si>
    <t>ЛД34.300.039</t>
  </si>
  <si>
    <t>ЛД34.300.016</t>
  </si>
  <si>
    <t>ЛД34.400.011</t>
  </si>
  <si>
    <t>ЛД34.342.017</t>
  </si>
  <si>
    <t>ЛД34.300.015-01</t>
  </si>
  <si>
    <t>ЛД34.300.015</t>
  </si>
  <si>
    <t>ЛД.34310.002</t>
  </si>
  <si>
    <t>ЛД34.369.000</t>
  </si>
  <si>
    <t>169</t>
  </si>
  <si>
    <t>ЛД34387.022</t>
  </si>
  <si>
    <t>ЛД34.310.007</t>
  </si>
  <si>
    <t>ЛД34.300.012</t>
  </si>
  <si>
    <t>186-02</t>
  </si>
  <si>
    <t xml:space="preserve">ЛД34.320.023-02 </t>
  </si>
  <si>
    <t>186-01</t>
  </si>
  <si>
    <t>ЛД34.320.023-01</t>
  </si>
  <si>
    <t>ЛД34.452.009</t>
  </si>
  <si>
    <t>ЛД34.400.012</t>
  </si>
  <si>
    <t>ЛД34.414.000</t>
  </si>
  <si>
    <t>ЛД34.450.011</t>
  </si>
  <si>
    <t>ЛД34.450.012</t>
  </si>
  <si>
    <t>ЛД34.387.013</t>
  </si>
  <si>
    <t>ЛД34.450.010</t>
  </si>
  <si>
    <t>232-01</t>
  </si>
  <si>
    <t>ЛД34.367.030-01</t>
  </si>
  <si>
    <t>232-03</t>
  </si>
  <si>
    <t>ЛД34.367.030-03</t>
  </si>
  <si>
    <t>ЛД34.328.023</t>
  </si>
  <si>
    <t>ЛД34.328.035</t>
  </si>
  <si>
    <t>ЛД34.402.007</t>
  </si>
  <si>
    <t>249-02</t>
  </si>
  <si>
    <t>ЛД34.410.013-02</t>
  </si>
  <si>
    <t>Заряд ЛД34.476.055</t>
  </si>
  <si>
    <t>ЛД34.334.014</t>
  </si>
  <si>
    <t>257-10</t>
  </si>
  <si>
    <t>ЛД34.334.014-10</t>
  </si>
  <si>
    <t>257-12</t>
  </si>
  <si>
    <t>ЛД34.334.014-12</t>
  </si>
  <si>
    <t>257-09</t>
  </si>
  <si>
    <t>ЛД34.334.014-09</t>
  </si>
  <si>
    <t>257-06</t>
  </si>
  <si>
    <t>ЛД34.334.014-06</t>
  </si>
  <si>
    <t>257-07</t>
  </si>
  <si>
    <t>ЛД34.334.014-07</t>
  </si>
  <si>
    <t>257-13</t>
  </si>
  <si>
    <t>ЛД34.334.014-13</t>
  </si>
  <si>
    <t>266-06</t>
  </si>
  <si>
    <t>ЛД34.440.024-06</t>
  </si>
  <si>
    <t>266-08</t>
  </si>
  <si>
    <t>ЛД34.440.025-08</t>
  </si>
  <si>
    <t>ЛД34.440.024</t>
  </si>
  <si>
    <t>269-01</t>
  </si>
  <si>
    <t>ЛД34.470.039-01</t>
  </si>
  <si>
    <t>ЛД34.340.007</t>
  </si>
  <si>
    <t>ЛД34.340.008</t>
  </si>
  <si>
    <t>ЛД34.342.022-01</t>
  </si>
  <si>
    <t>ДИШВ.716351.000</t>
  </si>
  <si>
    <t>ЛД34.430.003</t>
  </si>
  <si>
    <t>ЛД34.385.001-01</t>
  </si>
  <si>
    <t>ЛД34.367.013</t>
  </si>
  <si>
    <t>ЛД34.470.051-01</t>
  </si>
  <si>
    <t>ЛД34.440.015</t>
  </si>
  <si>
    <t>125-00-0</t>
  </si>
  <si>
    <t>ЛД34.369.002</t>
  </si>
  <si>
    <t>ЛД34.369.006</t>
  </si>
  <si>
    <t>ЛД36.418.000-01</t>
  </si>
  <si>
    <t>ЛД34.440.022</t>
  </si>
  <si>
    <t>М.483.05.001 Сн</t>
  </si>
  <si>
    <t>426-01</t>
  </si>
  <si>
    <t>ЛД34.440.014-01</t>
  </si>
  <si>
    <t>ЛД34.428.009</t>
  </si>
  <si>
    <t>ЛД34.470.022</t>
  </si>
  <si>
    <t>434</t>
  </si>
  <si>
    <t>ЛД34470.070-04</t>
  </si>
  <si>
    <t>ТУ84.601-130-87</t>
  </si>
  <si>
    <t>ДИШВ.773924.004</t>
  </si>
  <si>
    <t>ДИШВ.773924.003</t>
  </si>
  <si>
    <t>ЛД34.367.017-03</t>
  </si>
  <si>
    <t>ЛД34.452.001-01</t>
  </si>
  <si>
    <t>ЛД34.390.003</t>
  </si>
  <si>
    <t>546-02</t>
  </si>
  <si>
    <t>ЛД34.470.047-02</t>
  </si>
  <si>
    <t>ТУ84.601-065-78</t>
  </si>
  <si>
    <t>ЛД34.476.071</t>
  </si>
  <si>
    <t>ДИШВ.773911.004</t>
  </si>
  <si>
    <t>ДИШВ.773911.006</t>
  </si>
  <si>
    <t>ЛД36.476.105-04</t>
  </si>
  <si>
    <t>ДИШВ.773955.501</t>
  </si>
  <si>
    <t>ДИШВ.773955.504</t>
  </si>
  <si>
    <t>ДИШВ.773941.303</t>
  </si>
  <si>
    <t>ДИШВ.773911.504</t>
  </si>
  <si>
    <t>ДИШВ.773911.506</t>
  </si>
  <si>
    <t>ДИШВ.773941.007</t>
  </si>
  <si>
    <t>ДИШВ.773975.009</t>
  </si>
  <si>
    <t>ДИШВ.773911.502</t>
  </si>
  <si>
    <t>ДИШВ.773941.002</t>
  </si>
  <si>
    <t>ДИШВ.773941.304</t>
  </si>
  <si>
    <t>ЯБГИ.773976.001</t>
  </si>
  <si>
    <t>ДИШВ.773924.602</t>
  </si>
  <si>
    <t>ДИШВ.773924.402-02</t>
  </si>
  <si>
    <t>ДИШВ.773941.010</t>
  </si>
  <si>
    <t>ДИШВ.773911.503</t>
  </si>
  <si>
    <t>ДИШВ.773955.506</t>
  </si>
  <si>
    <t>ЛД34.470.082-03</t>
  </si>
  <si>
    <t>728-01</t>
  </si>
  <si>
    <t>ЛД34.418.008-01</t>
  </si>
  <si>
    <t>ДИШВ773975.015</t>
  </si>
  <si>
    <t>ДИШВ773975.016</t>
  </si>
  <si>
    <t>736</t>
  </si>
  <si>
    <t>ДИШВ773975.016-01</t>
  </si>
  <si>
    <t>ДИШВ773975.017</t>
  </si>
  <si>
    <t>738</t>
  </si>
  <si>
    <t>ДИШВ773975.017-01</t>
  </si>
  <si>
    <t>ЛД34.350.012</t>
  </si>
  <si>
    <t>740-01</t>
  </si>
  <si>
    <t>ЛД34.350.012-01</t>
  </si>
  <si>
    <t>ДИШВ.773924.808</t>
  </si>
  <si>
    <t>743</t>
  </si>
  <si>
    <t>ДИШВ.773922.003</t>
  </si>
  <si>
    <t>ДИШВ.773983.045</t>
  </si>
  <si>
    <t>ЛД34.384.000-01</t>
  </si>
  <si>
    <t>ДИШВ.773924.414</t>
  </si>
  <si>
    <t>753-01</t>
  </si>
  <si>
    <t>ЛД34.470.082-01</t>
  </si>
  <si>
    <t>ЛД34.470.082</t>
  </si>
  <si>
    <t>ДИШВ.773912003</t>
  </si>
  <si>
    <t>Начальник цеха 3</t>
  </si>
  <si>
    <t>Итог</t>
  </si>
  <si>
    <t>часов</t>
  </si>
  <si>
    <t>труд</t>
  </si>
  <si>
    <t>Начальник    ______________________ Курбацкая Н.В.</t>
  </si>
  <si>
    <t>Бородицкая Ирина Борисовна</t>
  </si>
  <si>
    <t>Грешнова Ольга Викторовна</t>
  </si>
  <si>
    <t>Груздева Олеся Изидоровна</t>
  </si>
  <si>
    <t>Егоров Дмитрий Геннадьевич</t>
  </si>
  <si>
    <t>Егорова Татьяна Владимировна</t>
  </si>
  <si>
    <t>Ерошина Ирина Павловна</t>
  </si>
  <si>
    <t>Зоидзе Ирина Сергеевна</t>
  </si>
  <si>
    <t>Маркова Ольга Евгеньевна</t>
  </si>
  <si>
    <t>Набойченко Седа Хамидовна</t>
  </si>
  <si>
    <t>Оленева Анна Викторовна</t>
  </si>
  <si>
    <t>Петрова Анна Сергеевна</t>
  </si>
  <si>
    <t>Полушкина Анастасия Юрьевна</t>
  </si>
  <si>
    <t>Потемкина Елена Анатольевна</t>
  </si>
  <si>
    <t>Пригоженкова Ольга Сергеевна</t>
  </si>
  <si>
    <t>Смирнова Елена Евгеньевна</t>
  </si>
  <si>
    <t>Томилова Антонина Викторовна</t>
  </si>
  <si>
    <t>Худякова Ольга Николаевна</t>
  </si>
  <si>
    <t>Овчинников Глеб Эдуардович</t>
  </si>
  <si>
    <t xml:space="preserve">итого, руб </t>
  </si>
  <si>
    <t>Аксенова Диана Владимировна</t>
  </si>
  <si>
    <t>Авдокушина Елена Николаевна</t>
  </si>
  <si>
    <t>Журавлева Мария Валентиновна</t>
  </si>
  <si>
    <t>Минко Елена Анатольевна</t>
  </si>
  <si>
    <t>Бадьялова Елена Сергеевна</t>
  </si>
  <si>
    <t>Бунчук Виктория Ивановна</t>
  </si>
  <si>
    <t>Елькина Татьяна Владимировна</t>
  </si>
  <si>
    <t>Иванченко Ульяна Леонидовна</t>
  </si>
  <si>
    <t>Кабанова Анастасия Евгеньевна</t>
  </si>
  <si>
    <t>Кравченко Светлана Александровна</t>
  </si>
  <si>
    <t>Марченко Ирина Вячеславовна</t>
  </si>
  <si>
    <t>Михно Татьяна Николаевна</t>
  </si>
  <si>
    <t>Аксенов Александр Юрьевич</t>
  </si>
  <si>
    <t>Алиева Диана Арифовна</t>
  </si>
  <si>
    <t>Иванова Оксана Михайловна</t>
  </si>
  <si>
    <t>Шамарина Светлана Владимировна</t>
  </si>
  <si>
    <t>Шишина Наталья Александровна</t>
  </si>
  <si>
    <t>Орленко Людмила Викторовна</t>
  </si>
  <si>
    <t>Кузнецова Анастасия Андреевна</t>
  </si>
  <si>
    <t>Кувшинов А.Г.</t>
  </si>
  <si>
    <t>Александрович Екатерина Сергеевна</t>
  </si>
  <si>
    <t>Сайпулаева Феодосия Андреевна</t>
  </si>
  <si>
    <t>Иванова Екатерина Борисовна</t>
  </si>
  <si>
    <t>Мельникова Анна Юрьевна</t>
  </si>
  <si>
    <t>Николаев П.</t>
  </si>
  <si>
    <t>Глинка Екатерина Юрьевна</t>
  </si>
  <si>
    <t>Киселёва Надежда Игоревна</t>
  </si>
  <si>
    <t>Пириева Виктория Хозеиновна</t>
  </si>
  <si>
    <t>Зинина Екатерина Олеговна</t>
  </si>
  <si>
    <t>Маргиева Фатима Александровна</t>
  </si>
  <si>
    <t>Иванова Ольга Анатольевна</t>
  </si>
  <si>
    <t>Костюченко Александр Валентинович</t>
  </si>
  <si>
    <t>Дорофеева Юлия Николаевна</t>
  </si>
  <si>
    <t>Никифорова Юлия Анатольевна</t>
  </si>
  <si>
    <t>Бекетова Надежда Ильинична</t>
  </si>
  <si>
    <t>Лебига Людмила Тихоновна</t>
  </si>
  <si>
    <t>8-23</t>
  </si>
  <si>
    <t>51-23</t>
  </si>
  <si>
    <t>52-23</t>
  </si>
  <si>
    <t>Попова Ольга Геннадьевна</t>
  </si>
  <si>
    <t>Климонтович Янина Анатольевна</t>
  </si>
  <si>
    <t>9-23</t>
  </si>
  <si>
    <t>10-23</t>
  </si>
  <si>
    <t>60-23</t>
  </si>
  <si>
    <t>61-23</t>
  </si>
  <si>
    <t>62-23</t>
  </si>
  <si>
    <t>64-23</t>
  </si>
  <si>
    <t>65-23</t>
  </si>
  <si>
    <t>66-23</t>
  </si>
  <si>
    <t>67-23</t>
  </si>
  <si>
    <t>Арефьева Инна Владимировна</t>
  </si>
  <si>
    <t>Аристанбекова Юлия Александровна</t>
  </si>
  <si>
    <t>Волошина Светлана Владимировна</t>
  </si>
  <si>
    <t>Ефремова Екатерина Сергеевна</t>
  </si>
  <si>
    <t>Кабакова Алина Дмитриевна</t>
  </si>
  <si>
    <t>Кириллова Надежда Вячеславовна</t>
  </si>
  <si>
    <t>Коричева Юлия Владимировна</t>
  </si>
  <si>
    <t>Кочеткова Мария Андреевна</t>
  </si>
  <si>
    <t>Лапина Елена Сергеевна</t>
  </si>
  <si>
    <t>Рысев Иван Александрович</t>
  </si>
  <si>
    <t>Самойленко Наталья Олеговна</t>
  </si>
  <si>
    <t>Старичкова Полина Анатольевна</t>
  </si>
  <si>
    <t>Степанова Ольга Юрьевна</t>
  </si>
  <si>
    <t>будни</t>
  </si>
  <si>
    <t xml:space="preserve">св </t>
  </si>
  <si>
    <t>итого</t>
  </si>
  <si>
    <t>разница</t>
  </si>
  <si>
    <t>утро</t>
  </si>
  <si>
    <t>НАЧАЛО РАБ ДНЯ</t>
  </si>
  <si>
    <t>ОКОНЧАНИЕ РАБ ДНЯ</t>
  </si>
  <si>
    <t>ОБЕД</t>
  </si>
  <si>
    <t>-  ОБЕД</t>
  </si>
  <si>
    <t>+ ОБЕД</t>
  </si>
  <si>
    <t>вечер</t>
  </si>
  <si>
    <t>Столбец3</t>
  </si>
  <si>
    <t>бригада</t>
  </si>
  <si>
    <t>4/2</t>
  </si>
  <si>
    <t>Аполосова Ольга Николаевна</t>
  </si>
  <si>
    <t>Скрынникова Виктория Геннадьевна</t>
  </si>
  <si>
    <t>Аполосова Юлиана Александровна</t>
  </si>
  <si>
    <t xml:space="preserve"> </t>
  </si>
  <si>
    <t>60рк</t>
  </si>
  <si>
    <t>Лезина Анастасия Юрьевна</t>
  </si>
  <si>
    <t>Новикова Александра Владимировна</t>
  </si>
  <si>
    <t>Исаева Инна Игоревна</t>
  </si>
  <si>
    <t>6001дл</t>
  </si>
  <si>
    <t>Михалочкина Наталья Ивановна</t>
  </si>
  <si>
    <t>Соболева Наталья Александровна</t>
  </si>
  <si>
    <t>Малышева Анна Евгеньевна</t>
  </si>
  <si>
    <t>Саидова Ольга Владимировна</t>
  </si>
  <si>
    <t>Ескина Ксения Анатольевна</t>
  </si>
  <si>
    <t>Черкасова Дарья Викторовна</t>
  </si>
  <si>
    <t>Матыгулина Наталья Энвировна</t>
  </si>
  <si>
    <t>Нагловская Наталья Анатольевна</t>
  </si>
  <si>
    <t>декабрь</t>
  </si>
  <si>
    <t>26-23</t>
  </si>
  <si>
    <t>27-23</t>
  </si>
  <si>
    <t>28-23</t>
  </si>
  <si>
    <t>29-23</t>
  </si>
  <si>
    <t>116-23</t>
  </si>
  <si>
    <t>117-23</t>
  </si>
  <si>
    <t>23-23</t>
  </si>
  <si>
    <t>22-23</t>
  </si>
  <si>
    <t>24-23</t>
  </si>
  <si>
    <t>119-23</t>
  </si>
  <si>
    <t>126-23</t>
  </si>
  <si>
    <t>1-24</t>
  </si>
  <si>
    <t>2-24</t>
  </si>
  <si>
    <t>3-24</t>
  </si>
  <si>
    <t>4-24</t>
  </si>
  <si>
    <t>12-23</t>
  </si>
  <si>
    <t>13-23</t>
  </si>
  <si>
    <t>130-23</t>
  </si>
  <si>
    <t>5-24</t>
  </si>
  <si>
    <t>6-24</t>
  </si>
  <si>
    <t>Силаева Ольга Владимировна</t>
  </si>
  <si>
    <t>Васильева Марина Витальевна</t>
  </si>
  <si>
    <t>=I4*32</t>
  </si>
  <si>
    <t>Ефремова Юлия Сергеевна</t>
  </si>
  <si>
    <t>Ерошевич Дарья Александровна</t>
  </si>
  <si>
    <t>Машталяр Анна Сергеевна</t>
  </si>
  <si>
    <t>Ополченова Ольга Валерьевна</t>
  </si>
  <si>
    <t>Яблокова Дарья Александровна</t>
  </si>
  <si>
    <t>60</t>
  </si>
  <si>
    <t>11-24</t>
  </si>
  <si>
    <t>85</t>
  </si>
  <si>
    <t>757</t>
  </si>
  <si>
    <t>185</t>
  </si>
  <si>
    <t>1,4</t>
  </si>
  <si>
    <t>57</t>
  </si>
  <si>
    <t>1,2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</si>
</sst>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"/>
    <numFmt numFmtId="165" formatCode="yyyy"/>
    <numFmt numFmtId="166" formatCode="General;;"/>
    <numFmt numFmtId="167" formatCode="#,##0.00\ &quot;₽&quot;"/>
    <numFmt numFmtId="168" formatCode="#,##0.00\ _₽"/>
    <numFmt numFmtId="169" formatCode="#,##0.0"/>
    <numFmt numFmtId="170" formatCode="d/m;@"/>
    <numFmt numFmtId="171" formatCode="d"/>
  </numFmts>
  <fonts count="101">
    <font>
      <sz val="11"/>
      <color theme="1"/>
      <name val="Calibri"/>
      <family val="2"/>
      <charset val="204"/>
      <scheme val="minor"/>
    </font>
    <font>
      <i/>
      <sz val="10"/>
      <name val="Arial"/>
      <family val="2"/>
      <charset val="204"/>
    </font>
    <font>
      <sz val="10"/>
      <name val="Arial"/>
      <family val="2"/>
      <charset val="204"/>
    </font>
    <font>
      <sz val="8"/>
      <name val="Calibri"/>
      <family val="2"/>
      <charset val="204"/>
    </font>
    <font>
      <sz val="11"/>
      <name val="Times New Roman"/>
      <family val="1"/>
      <charset val="204"/>
    </font>
    <font>
      <b/>
      <i/>
      <sz val="11"/>
      <name val="Times New Roman"/>
      <family val="1"/>
      <charset val="204"/>
    </font>
    <font>
      <sz val="12"/>
      <name val="Times New Roman"/>
      <family val="1"/>
      <charset val="204"/>
    </font>
    <font>
      <sz val="11"/>
      <color indexed="8"/>
      <name val="Sans"/>
      <family val="2"/>
      <charset val="204"/>
    </font>
    <font>
      <i/>
      <sz val="14"/>
      <name val="Arial"/>
      <family val="2"/>
      <charset val="204"/>
    </font>
    <font>
      <sz val="14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Liberation Sans"/>
      <family val="2"/>
      <charset val="204"/>
    </font>
    <font>
      <sz val="11"/>
      <color rgb="FF000000"/>
      <name val="Arial"/>
      <family val="2"/>
      <charset val="204"/>
    </font>
    <font>
      <sz val="10"/>
      <color theme="1"/>
      <name val="Arial"/>
      <family val="2"/>
      <charset val="204"/>
    </font>
    <font>
      <i/>
      <sz val="10"/>
      <color theme="1"/>
      <name val="Arial"/>
      <family val="2"/>
      <charset val="204"/>
    </font>
    <font>
      <b/>
      <sz val="10"/>
      <color rgb="FFFF0000"/>
      <name val="Arial"/>
      <family val="2"/>
      <charset val="204"/>
    </font>
    <font>
      <b/>
      <i/>
      <sz val="10"/>
      <color rgb="FFFF0000"/>
      <name val="Arial"/>
      <family val="2"/>
      <charset val="204"/>
    </font>
    <font>
      <sz val="12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color rgb="FF00000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i/>
      <sz val="11"/>
      <color theme="1"/>
      <name val="Calibri"/>
      <family val="2"/>
      <charset val="204"/>
      <scheme val="minor"/>
    </font>
    <font>
      <i/>
      <sz val="10"/>
      <color rgb="FF0070C0"/>
      <name val="Arial"/>
      <family val="2"/>
      <charset val="204"/>
    </font>
    <font>
      <sz val="18"/>
      <color theme="1"/>
      <name val="Calibri"/>
      <family val="2"/>
      <charset val="204"/>
      <scheme val="minor"/>
    </font>
    <font>
      <i/>
      <sz val="18"/>
      <color theme="1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sz val="14"/>
      <color theme="1"/>
      <name val="Arial"/>
      <family val="2"/>
      <charset val="204"/>
    </font>
    <font>
      <i/>
      <sz val="16"/>
      <color theme="1"/>
      <name val="Arial"/>
      <family val="2"/>
      <charset val="204"/>
    </font>
    <font>
      <sz val="14"/>
      <color theme="1"/>
      <name val="Calibri"/>
      <family val="2"/>
      <charset val="204"/>
      <scheme val="minor"/>
    </font>
    <font>
      <b/>
      <i/>
      <sz val="10"/>
      <color theme="1" tint="4.9989318521683403E-2"/>
      <name val="Arial"/>
      <family val="2"/>
      <charset val="204"/>
    </font>
    <font>
      <b/>
      <sz val="10"/>
      <color theme="1" tint="4.9989318521683403E-2"/>
      <name val="Arial"/>
      <family val="2"/>
      <charset val="204"/>
    </font>
    <font>
      <b/>
      <sz val="11"/>
      <color theme="1" tint="4.9989318521683403E-2"/>
      <name val="Arial"/>
      <family val="2"/>
      <charset val="204"/>
    </font>
    <font>
      <sz val="10"/>
      <color theme="1" tint="4.9989318521683403E-2"/>
      <name val="Arial"/>
      <family val="2"/>
      <charset val="204"/>
    </font>
    <font>
      <b/>
      <i/>
      <sz val="18"/>
      <color theme="1"/>
      <name val="Arial"/>
      <family val="2"/>
      <charset val="204"/>
    </font>
    <font>
      <sz val="12"/>
      <color theme="1"/>
      <name val="Arial"/>
      <family val="2"/>
      <charset val="204"/>
    </font>
    <font>
      <sz val="14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4"/>
      <color rgb="FF000000"/>
      <name val="Times New Roman"/>
      <family val="1"/>
      <charset val="204"/>
    </font>
    <font>
      <sz val="16"/>
      <color theme="1"/>
      <name val="Times New Roman"/>
      <family val="1"/>
      <charset val="204"/>
    </font>
    <font>
      <b/>
      <sz val="18"/>
      <color theme="1"/>
      <name val="Times New Roman"/>
      <family val="1"/>
      <charset val="204"/>
    </font>
    <font>
      <b/>
      <sz val="36"/>
      <color theme="1"/>
      <name val="Calibri"/>
      <family val="2"/>
      <charset val="204"/>
      <scheme val="minor"/>
    </font>
    <font>
      <b/>
      <i/>
      <sz val="16"/>
      <color theme="1"/>
      <name val="Arial"/>
      <family val="2"/>
      <charset val="204"/>
    </font>
    <font>
      <i/>
      <sz val="10"/>
      <name val="Arial"/>
      <family val="2"/>
      <charset val="204"/>
    </font>
    <font>
      <b/>
      <sz val="11"/>
      <color theme="1" tint="4.9989318521683403E-2"/>
      <name val="Arial"/>
      <family val="2"/>
      <charset val="204"/>
    </font>
    <font>
      <i/>
      <sz val="20"/>
      <color theme="1"/>
      <name val="Arial"/>
      <family val="2"/>
      <charset val="204"/>
    </font>
    <font>
      <i/>
      <sz val="22"/>
      <color theme="1"/>
      <name val="Arial"/>
      <family val="2"/>
      <charset val="204"/>
    </font>
    <font>
      <sz val="16"/>
      <color theme="1" tint="4.9989318521683403E-2"/>
      <name val="Arial"/>
      <family val="2"/>
      <charset val="204"/>
    </font>
    <font>
      <i/>
      <sz val="16"/>
      <color theme="1" tint="4.9989318521683403E-2"/>
      <name val="Arial"/>
      <family val="2"/>
      <charset val="204"/>
    </font>
    <font>
      <sz val="14"/>
      <color theme="1" tint="4.9989318521683403E-2"/>
      <name val="Arial"/>
      <family val="2"/>
      <charset val="204"/>
    </font>
    <font>
      <b/>
      <i/>
      <sz val="14"/>
      <color theme="1"/>
      <name val="Arial"/>
      <family val="2"/>
      <charset val="204"/>
    </font>
    <font>
      <sz val="16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b/>
      <i/>
      <sz val="8"/>
      <color theme="1" tint="4.9989318521683403E-2"/>
      <name val="Arial"/>
      <family val="2"/>
      <charset val="204"/>
    </font>
    <font>
      <sz val="8"/>
      <color theme="1"/>
      <name val="Arial"/>
      <family val="2"/>
      <charset val="204"/>
    </font>
    <font>
      <sz val="9"/>
      <color theme="1" tint="4.9989318521683403E-2"/>
      <name val="Arial"/>
      <family val="2"/>
      <charset val="204"/>
    </font>
    <font>
      <sz val="9"/>
      <name val="Arial"/>
      <family val="2"/>
      <charset val="204"/>
    </font>
    <font>
      <sz val="18"/>
      <color theme="1"/>
      <name val="Arial"/>
      <family val="2"/>
      <charset val="204"/>
    </font>
    <font>
      <i/>
      <sz val="18"/>
      <name val="Arial"/>
      <family val="2"/>
      <charset val="204"/>
    </font>
    <font>
      <i/>
      <sz val="18"/>
      <color theme="1"/>
      <name val="Arial"/>
      <family val="2"/>
      <charset val="204"/>
    </font>
    <font>
      <i/>
      <sz val="10"/>
      <name val="Arial"/>
      <family val="2"/>
      <charset val="204"/>
    </font>
    <font>
      <i/>
      <sz val="10"/>
      <color theme="1"/>
      <name val="Arial"/>
      <family val="2"/>
      <charset val="204"/>
    </font>
    <font>
      <b/>
      <sz val="18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b/>
      <sz val="11"/>
      <color theme="1" tint="4.9989318521683403E-2"/>
      <name val="Arial"/>
      <family val="2"/>
      <charset val="204"/>
    </font>
    <font>
      <sz val="24"/>
      <color rgb="FFFF0000"/>
      <name val="Calibri"/>
      <family val="2"/>
      <charset val="204"/>
      <scheme val="minor"/>
    </font>
    <font>
      <b/>
      <sz val="26"/>
      <color rgb="FFFFFF00"/>
      <name val="Calibri"/>
      <family val="2"/>
      <charset val="204"/>
      <scheme val="minor"/>
    </font>
    <font>
      <sz val="28"/>
      <color rgb="FFFFFF00"/>
      <name val="Calibri"/>
      <family val="2"/>
      <charset val="204"/>
      <scheme val="minor"/>
    </font>
    <font>
      <b/>
      <i/>
      <sz val="16"/>
      <name val="Arial"/>
      <family val="2"/>
      <charset val="204"/>
    </font>
    <font>
      <sz val="11"/>
      <color rgb="FF000000"/>
      <name val="Times New Roman"/>
      <family val="1"/>
      <charset val="204"/>
    </font>
    <font>
      <sz val="16"/>
      <color rgb="FF000000"/>
      <name val="Times New Roman"/>
      <family val="1"/>
      <charset val="204"/>
    </font>
    <font>
      <b/>
      <sz val="11"/>
      <color rgb="FFFF0000"/>
      <name val="Calibri"/>
      <family val="2"/>
      <charset val="204"/>
      <scheme val="minor"/>
    </font>
    <font>
      <b/>
      <i/>
      <sz val="18"/>
      <name val="Arial"/>
      <family val="2"/>
      <charset val="204"/>
    </font>
    <font>
      <sz val="18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2"/>
      <color rgb="FFFF0000"/>
      <name val="Times New Roman"/>
      <family val="1"/>
      <charset val="204"/>
    </font>
    <font>
      <b/>
      <sz val="12"/>
      <color rgb="FFFF0000"/>
      <name val="Calibri"/>
      <family val="2"/>
      <charset val="204"/>
      <scheme val="minor"/>
    </font>
    <font>
      <b/>
      <sz val="11"/>
      <color rgb="FF002060"/>
      <name val="Arial"/>
      <family val="2"/>
      <charset val="204"/>
    </font>
    <font>
      <b/>
      <sz val="11"/>
      <color theme="8" tint="-0.499984740745262"/>
      <name val="Arial"/>
      <family val="2"/>
      <charset val="204"/>
    </font>
    <font>
      <b/>
      <i/>
      <sz val="8"/>
      <color theme="8" tint="-0.499984740745262"/>
      <name val="Arial"/>
      <family val="2"/>
      <charset val="204"/>
    </font>
    <font>
      <b/>
      <i/>
      <sz val="10"/>
      <color theme="8" tint="-0.499984740745262"/>
      <name val="Arial"/>
      <family val="2"/>
      <charset val="204"/>
    </font>
    <font>
      <b/>
      <sz val="8"/>
      <color theme="8" tint="-0.499984740745262"/>
      <name val="Arial"/>
      <family val="2"/>
      <charset val="204"/>
    </font>
    <font>
      <b/>
      <sz val="10"/>
      <color theme="8" tint="-0.499984740745262"/>
      <name val="Arial"/>
      <family val="2"/>
      <charset val="204"/>
    </font>
    <font>
      <sz val="11"/>
      <name val="Arial"/>
      <family val="2"/>
      <charset val="204"/>
    </font>
    <font>
      <sz val="11"/>
      <color rgb="FFFF0000"/>
      <name val="Calibri"/>
      <family val="2"/>
      <charset val="204"/>
      <scheme val="minor"/>
    </font>
    <font>
      <sz val="9"/>
      <color theme="1"/>
      <name val="Times New Roman"/>
      <family val="1"/>
      <charset val="204"/>
    </font>
    <font>
      <b/>
      <sz val="11"/>
      <color rgb="FFFF0000"/>
      <name val="Arial"/>
      <family val="2"/>
      <charset val="204"/>
    </font>
    <font>
      <b/>
      <sz val="18"/>
      <color rgb="FFFFFF00"/>
      <name val="Times New Roman"/>
      <family val="1"/>
      <charset val="204"/>
    </font>
    <font>
      <sz val="18"/>
      <color rgb="FFFFFF00"/>
      <name val="Times New Roman"/>
      <family val="1"/>
      <charset val="204"/>
    </font>
    <font>
      <b/>
      <sz val="12"/>
      <color rgb="FFFFFF00"/>
      <name val="Times New Roman"/>
      <family val="1"/>
      <charset val="204"/>
    </font>
    <font>
      <sz val="10"/>
      <color rgb="FFFF0000"/>
      <name val="Arial"/>
      <family val="2"/>
      <charset val="204"/>
    </font>
    <font>
      <i/>
      <sz val="10"/>
      <name val="Arial"/>
    </font>
    <font>
      <sz val="10"/>
      <color theme="1"/>
      <name val="Arial"/>
    </font>
    <font>
      <i/>
      <sz val="10"/>
      <color theme="1"/>
      <name val="Arial"/>
    </font>
    <font>
      <sz val="10"/>
      <name val="Arial"/>
    </font>
    <font>
      <sz val="11"/>
      <color theme="1"/>
      <name val="Times New Roman"/>
    </font>
    <font>
      <i/>
      <sz val="10"/>
      <color rgb="FF0070C0"/>
      <name val="Arial"/>
    </font>
    <font>
      <b/>
      <sz val="16"/>
      <color rgb="FFFFFF00"/>
      <name val="Times New Roman"/>
      <family val="1"/>
      <charset val="204"/>
    </font>
    <font>
      <sz val="16"/>
      <color rgb="FFFFFF00"/>
      <name val="Times New Roman"/>
      <family val="1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93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8"/>
      </left>
      <right style="dotted">
        <color indexed="8"/>
      </right>
      <top style="dotted">
        <color indexed="8"/>
      </top>
      <bottom/>
      <diagonal/>
    </border>
    <border>
      <left/>
      <right/>
      <top/>
      <bottom style="dotted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dotted">
        <color indexed="8"/>
      </left>
      <right/>
      <top/>
      <bottom style="thin">
        <color theme="4" tint="0.39997558519241921"/>
      </bottom>
      <diagonal/>
    </border>
    <border>
      <left style="dotted">
        <color indexed="64"/>
      </left>
      <right style="dotted">
        <color indexed="64"/>
      </right>
      <top style="dotted">
        <color indexed="8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 rgb="4472C4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tted">
        <color indexed="8"/>
      </left>
      <right style="dotted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 rgb="4472C4"/>
      </top>
      <bottom style="thin">
        <color theme="4" tint="0.59999389629810485"/>
      </bottom>
      <diagonal/>
    </border>
    <border>
      <left/>
      <right style="thin">
        <color theme="4" tint="0.59999389629810485"/>
      </right>
      <top style="thin">
        <color theme="4" tint="0.59999389629810485" rgb="4472C4"/>
      </top>
      <bottom style="thin">
        <color theme="4" tint="0.59999389629810485"/>
      </bottom>
      <diagonal/>
    </border>
    <border>
      <top style="thin"/>
    </border>
    <border>
      <top style="thin"/>
      <bottom style="thin"/>
    </border>
    <border>
      <left style="thin"/>
      <top style="thin"/>
      <bottom style="thin"/>
    </border>
    <border>
      <left style="thin"/>
      <right style="thin"/>
      <top style="thin"/>
      <bottom style="thin"/>
    </border>
  </borders>
  <cellStyleXfs count="11">
    <xf numFmtId="0" fontId="0" fillId="0" borderId="0"/>
    <xf numFmtId="0" fontId="7" fillId="0" borderId="0" applyBorder="0" applyProtection="0"/>
    <xf numFmtId="0" fontId="12" fillId="0" borderId="0"/>
    <xf numFmtId="0" fontId="2" fillId="0" borderId="0"/>
    <xf numFmtId="0" fontId="10" fillId="0" borderId="0"/>
    <xf numFmtId="0" fontId="10" fillId="0" borderId="0"/>
    <xf numFmtId="0" fontId="13" fillId="0" borderId="0"/>
    <xf numFmtId="0" fontId="2" fillId="0" borderId="0"/>
    <xf numFmtId="0" fontId="10" fillId="0" borderId="0"/>
    <xf numFmtId="0" fontId="10" fillId="0" borderId="0"/>
    <xf numFmtId="0" fontId="12" fillId="0" borderId="0"/>
  </cellStyleXfs>
  <cellXfs count="904">
    <xf numFmtId="0" fontId="0" fillId="0" borderId="0" xfId="0"/>
    <xf numFmtId="0" fontId="14" fillId="0" borderId="0" xfId="0" applyFont="1" applyFill="1"/>
    <xf numFmtId="0" fontId="1" fillId="0" borderId="0" xfId="0" applyFont="1" applyFill="1"/>
    <xf numFmtId="49" fontId="1" fillId="0" borderId="1" xfId="0" applyNumberFormat="1" applyFont="1" applyFill="1" applyBorder="1" applyAlignment="1">
      <alignment horizontal="center" vertical="center" wrapText="1"/>
    </xf>
    <xf numFmtId="0" fontId="14" fillId="0" borderId="0" xfId="0" applyFont="1" applyFill="1" applyBorder="1"/>
    <xf numFmtId="0" fontId="14" fillId="0" borderId="0" xfId="0" applyFont="1" applyFill="1" applyAlignment="1">
      <alignment horizontal="center" vertical="center"/>
    </xf>
    <xf numFmtId="0" fontId="14" fillId="0" borderId="0" xfId="0" applyFont="1" applyFill="1" applyAlignment="1">
      <alignment vertical="center"/>
    </xf>
    <xf numFmtId="165" fontId="14" fillId="0" borderId="0" xfId="0" applyNumberFormat="1" applyFont="1" applyFill="1" applyAlignment="1">
      <alignment horizontal="center" vertical="center"/>
    </xf>
    <xf numFmtId="0" fontId="16" fillId="0" borderId="66" xfId="0" applyFont="1" applyFill="1" applyBorder="1" applyAlignment="1">
      <alignment horizontal="center" vertical="center"/>
    </xf>
    <xf numFmtId="0" fontId="17" fillId="0" borderId="67" xfId="0" applyFont="1" applyFill="1" applyBorder="1" applyAlignment="1">
      <alignment horizontal="center" vertical="center" wrapText="1"/>
    </xf>
    <xf numFmtId="0" fontId="0" fillId="0" borderId="0" xfId="0" applyFill="1"/>
    <xf numFmtId="0" fontId="20" fillId="0" borderId="0" xfId="0" applyFont="1" applyBorder="1" applyAlignment="1">
      <alignment horizontal="center"/>
    </xf>
    <xf numFmtId="0" fontId="18" fillId="0" borderId="0" xfId="0" applyFont="1" applyBorder="1"/>
    <xf numFmtId="0" fontId="21" fillId="0" borderId="0" xfId="0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left" vertical="center"/>
    </xf>
    <xf numFmtId="49" fontId="22" fillId="0" borderId="0" xfId="0" applyNumberFormat="1" applyFont="1" applyFill="1" applyBorder="1" applyAlignment="1">
      <alignment horizontal="center" vertical="center"/>
    </xf>
    <xf numFmtId="0" fontId="22" fillId="0" borderId="0" xfId="0" applyNumberFormat="1" applyFont="1" applyFill="1" applyBorder="1" applyAlignment="1">
      <alignment horizontal="center" vertical="center"/>
    </xf>
    <xf numFmtId="4" fontId="22" fillId="0" borderId="0" xfId="0" applyNumberFormat="1" applyFont="1" applyFill="1" applyBorder="1" applyAlignment="1">
      <alignment horizontal="center" vertical="center"/>
    </xf>
    <xf numFmtId="164" fontId="22" fillId="0" borderId="0" xfId="0" applyNumberFormat="1" applyFont="1" applyFill="1" applyBorder="1" applyAlignment="1">
      <alignment horizontal="left" vertical="center"/>
    </xf>
    <xf numFmtId="2" fontId="22" fillId="0" borderId="0" xfId="0" applyNumberFormat="1" applyFont="1" applyFill="1" applyBorder="1" applyAlignment="1">
      <alignment horizontal="center" vertical="center"/>
    </xf>
    <xf numFmtId="0" fontId="22" fillId="0" borderId="0" xfId="0" applyFont="1" applyBorder="1"/>
    <xf numFmtId="164" fontId="14" fillId="0" borderId="0" xfId="0" applyNumberFormat="1" applyFont="1" applyFill="1"/>
    <xf numFmtId="4" fontId="6" fillId="0" borderId="10" xfId="0" applyNumberFormat="1" applyFont="1" applyFill="1" applyBorder="1" applyAlignment="1">
      <alignment vertical="center"/>
    </xf>
    <xf numFmtId="4" fontId="6" fillId="0" borderId="12" xfId="0" applyNumberFormat="1" applyFont="1" applyFill="1" applyBorder="1" applyAlignment="1">
      <alignment horizontal="center" vertical="center"/>
    </xf>
    <xf numFmtId="4" fontId="6" fillId="0" borderId="13" xfId="0" applyNumberFormat="1" applyFont="1" applyFill="1" applyBorder="1" applyAlignment="1">
      <alignment vertical="center"/>
    </xf>
    <xf numFmtId="4" fontId="6" fillId="0" borderId="14" xfId="0" applyNumberFormat="1" applyFont="1" applyFill="1" applyBorder="1" applyAlignment="1">
      <alignment horizontal="center" vertical="center"/>
    </xf>
    <xf numFmtId="4" fontId="6" fillId="0" borderId="16" xfId="0" applyNumberFormat="1" applyFont="1" applyFill="1" applyBorder="1" applyAlignment="1">
      <alignment horizontal="center" vertical="center"/>
    </xf>
    <xf numFmtId="4" fontId="6" fillId="0" borderId="17" xfId="0" applyNumberFormat="1" applyFont="1" applyFill="1" applyBorder="1" applyAlignment="1">
      <alignment horizontal="center" vertical="center"/>
    </xf>
    <xf numFmtId="4" fontId="6" fillId="0" borderId="18" xfId="0" applyNumberFormat="1" applyFont="1" applyFill="1" applyBorder="1" applyAlignment="1">
      <alignment horizontal="center" vertical="center"/>
    </xf>
    <xf numFmtId="4" fontId="6" fillId="0" borderId="20" xfId="0" applyNumberFormat="1" applyFont="1" applyFill="1" applyBorder="1" applyAlignment="1">
      <alignment horizontal="center" vertical="center"/>
    </xf>
    <xf numFmtId="4" fontId="6" fillId="0" borderId="22" xfId="0" applyNumberFormat="1" applyFont="1" applyFill="1" applyBorder="1" applyAlignment="1">
      <alignment horizontal="center" vertical="center"/>
    </xf>
    <xf numFmtId="49" fontId="14" fillId="0" borderId="0" xfId="0" applyNumberFormat="1" applyFont="1" applyFill="1" applyAlignment="1">
      <alignment horizontal="center"/>
    </xf>
    <xf numFmtId="0" fontId="14" fillId="0" borderId="0" xfId="0" applyFont="1"/>
    <xf numFmtId="0" fontId="23" fillId="0" borderId="1" xfId="0" applyFont="1" applyBorder="1" applyAlignment="1">
      <alignment horizontal="left"/>
    </xf>
    <xf numFmtId="166" fontId="0" fillId="0" borderId="1" xfId="0" applyNumberFormat="1" applyBorder="1"/>
    <xf numFmtId="166" fontId="0" fillId="0" borderId="24" xfId="0" applyNumberFormat="1" applyBorder="1"/>
    <xf numFmtId="0" fontId="0" fillId="0" borderId="1" xfId="0" applyBorder="1"/>
    <xf numFmtId="0" fontId="23" fillId="0" borderId="0" xfId="0" applyFont="1" applyAlignment="1">
      <alignment horizontal="left"/>
    </xf>
    <xf numFmtId="4" fontId="6" fillId="0" borderId="30" xfId="0" applyNumberFormat="1" applyFont="1" applyFill="1" applyBorder="1" applyAlignment="1">
      <alignment vertical="center"/>
    </xf>
    <xf numFmtId="4" fontId="6" fillId="0" borderId="31" xfId="0" applyNumberFormat="1" applyFont="1" applyFill="1" applyBorder="1" applyAlignment="1">
      <alignment vertical="center"/>
    </xf>
    <xf numFmtId="49" fontId="15" fillId="0" borderId="35" xfId="0" applyNumberFormat="1" applyFont="1" applyFill="1" applyBorder="1" applyAlignment="1">
      <alignment horizontal="center"/>
    </xf>
    <xf numFmtId="49" fontId="1" fillId="0" borderId="36" xfId="0" applyNumberFormat="1" applyFont="1" applyFill="1" applyBorder="1" applyAlignment="1">
      <alignment horizontal="center" vertical="center" wrapText="1"/>
    </xf>
    <xf numFmtId="0" fontId="27" fillId="0" borderId="0" xfId="0" applyFont="1" applyAlignment="1"/>
    <xf numFmtId="0" fontId="28" fillId="0" borderId="0" xfId="0" applyFont="1" applyFill="1"/>
    <xf numFmtId="49" fontId="29" fillId="0" borderId="0" xfId="0" applyNumberFormat="1" applyFont="1" applyFill="1"/>
    <xf numFmtId="0" fontId="0" fillId="0" borderId="0" xfId="0"/>
    <xf numFmtId="0" fontId="14" fillId="0" borderId="0" xfId="0" applyFont="1" applyFill="1"/>
    <xf numFmtId="49" fontId="1" fillId="0" borderId="4" xfId="0" applyNumberFormat="1" applyFont="1" applyFill="1" applyBorder="1" applyAlignment="1">
      <alignment horizontal="center" vertical="center" wrapText="1"/>
    </xf>
    <xf numFmtId="164" fontId="1" fillId="0" borderId="4" xfId="0" applyNumberFormat="1" applyFont="1" applyFill="1" applyBorder="1" applyAlignment="1">
      <alignment horizontal="center" vertical="center" wrapText="1"/>
    </xf>
    <xf numFmtId="164" fontId="1" fillId="0" borderId="4" xfId="0" applyNumberFormat="1" applyFont="1" applyFill="1" applyBorder="1" applyAlignment="1" applyProtection="1">
      <alignment horizontal="center" vertical="center" wrapText="1"/>
      <protection locked="0"/>
    </xf>
    <xf numFmtId="0" fontId="23" fillId="0" borderId="0" xfId="0" applyFont="1" applyAlignment="1">
      <alignment horizontal="left"/>
    </xf>
    <xf numFmtId="164" fontId="1" fillId="0" borderId="28" xfId="0" applyNumberFormat="1" applyFont="1" applyFill="1" applyBorder="1" applyAlignment="1">
      <alignment horizontal="center" vertical="center" wrapText="1"/>
    </xf>
    <xf numFmtId="0" fontId="28" fillId="0" borderId="0" xfId="0" applyFont="1" applyFill="1" applyAlignment="1">
      <alignment horizontal="right"/>
    </xf>
    <xf numFmtId="0" fontId="0" fillId="0" borderId="0" xfId="0" applyAlignment="1">
      <alignment horizontal="center" vertical="center"/>
    </xf>
    <xf numFmtId="49" fontId="5" fillId="0" borderId="0" xfId="0" applyNumberFormat="1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0" fillId="0" borderId="35" xfId="0" applyFill="1" applyBorder="1"/>
    <xf numFmtId="0" fontId="34" fillId="0" borderId="0" xfId="0" applyFont="1" applyFill="1" applyAlignment="1">
      <alignment horizontal="center" vertical="center"/>
    </xf>
    <xf numFmtId="0" fontId="22" fillId="0" borderId="0" xfId="0" applyFont="1" applyFill="1" applyBorder="1" applyAlignment="1">
      <alignment vertical="center"/>
    </xf>
    <xf numFmtId="4" fontId="6" fillId="0" borderId="40" xfId="0" applyNumberFormat="1" applyFont="1" applyFill="1" applyBorder="1" applyAlignment="1">
      <alignment vertical="center"/>
    </xf>
    <xf numFmtId="0" fontId="15" fillId="0" borderId="4" xfId="0" applyFont="1" applyFill="1" applyBorder="1" applyAlignment="1">
      <alignment horizontal="center" vertical="center"/>
    </xf>
    <xf numFmtId="49" fontId="14" fillId="0" borderId="4" xfId="0" applyNumberFormat="1" applyFont="1" applyFill="1" applyBorder="1" applyAlignment="1">
      <alignment horizontal="center" vertical="center"/>
    </xf>
    <xf numFmtId="0" fontId="25" fillId="0" borderId="0" xfId="0" applyFont="1"/>
    <xf numFmtId="0" fontId="26" fillId="0" borderId="0" xfId="0" applyFont="1" applyAlignment="1">
      <alignment horizontal="left"/>
    </xf>
    <xf numFmtId="0" fontId="30" fillId="0" borderId="0" xfId="0" applyFont="1"/>
    <xf numFmtId="0" fontId="28" fillId="0" borderId="0" xfId="0" applyFont="1"/>
    <xf numFmtId="0" fontId="1" fillId="0" borderId="4" xfId="0" applyFont="1" applyFill="1" applyBorder="1" applyAlignment="1">
      <alignment horizontal="center" vertical="center"/>
    </xf>
    <xf numFmtId="4" fontId="6" fillId="0" borderId="42" xfId="0" applyNumberFormat="1" applyFont="1" applyFill="1" applyBorder="1" applyAlignment="1">
      <alignment vertical="center"/>
    </xf>
    <xf numFmtId="4" fontId="6" fillId="0" borderId="4" xfId="0" applyNumberFormat="1" applyFont="1" applyFill="1" applyBorder="1" applyAlignment="1">
      <alignment vertical="center"/>
    </xf>
    <xf numFmtId="4" fontId="6" fillId="0" borderId="44" xfId="0" applyNumberFormat="1" applyFont="1" applyFill="1" applyBorder="1" applyAlignment="1">
      <alignment vertical="center"/>
    </xf>
    <xf numFmtId="0" fontId="36" fillId="0" borderId="0" xfId="0" applyFont="1"/>
    <xf numFmtId="4" fontId="4" fillId="0" borderId="10" xfId="0" applyNumberFormat="1" applyFont="1" applyFill="1" applyBorder="1" applyAlignment="1">
      <alignment vertical="center"/>
    </xf>
    <xf numFmtId="4" fontId="4" fillId="0" borderId="19" xfId="0" applyNumberFormat="1" applyFont="1" applyFill="1" applyBorder="1" applyAlignment="1">
      <alignment horizontal="center" vertical="center"/>
    </xf>
    <xf numFmtId="4" fontId="4" fillId="0" borderId="30" xfId="0" applyNumberFormat="1" applyFont="1" applyFill="1" applyBorder="1" applyAlignment="1">
      <alignment horizontal="center" vertical="center"/>
    </xf>
    <xf numFmtId="4" fontId="4" fillId="0" borderId="29" xfId="0" applyNumberFormat="1" applyFont="1" applyFill="1" applyBorder="1" applyAlignment="1">
      <alignment horizontal="center" vertical="center"/>
    </xf>
    <xf numFmtId="4" fontId="4" fillId="0" borderId="10" xfId="0" applyNumberFormat="1" applyFont="1" applyFill="1" applyBorder="1" applyAlignment="1">
      <alignment horizontal="center" vertical="center"/>
    </xf>
    <xf numFmtId="4" fontId="4" fillId="0" borderId="33" xfId="0" applyNumberFormat="1" applyFont="1" applyFill="1" applyBorder="1" applyAlignment="1">
      <alignment horizontal="center" vertical="center"/>
    </xf>
    <xf numFmtId="4" fontId="4" fillId="0" borderId="11" xfId="0" applyNumberFormat="1" applyFont="1" applyFill="1" applyBorder="1" applyAlignment="1">
      <alignment horizontal="center" vertical="center"/>
    </xf>
    <xf numFmtId="4" fontId="4" fillId="0" borderId="23" xfId="0" applyNumberFormat="1" applyFont="1" applyFill="1" applyBorder="1" applyAlignment="1">
      <alignment horizontal="center" vertical="center"/>
    </xf>
    <xf numFmtId="4" fontId="4" fillId="0" borderId="4" xfId="0" applyNumberFormat="1" applyFont="1" applyFill="1" applyBorder="1" applyAlignment="1">
      <alignment horizontal="center" vertical="center"/>
    </xf>
    <xf numFmtId="4" fontId="4" fillId="0" borderId="34" xfId="0" applyNumberFormat="1" applyFont="1" applyFill="1" applyBorder="1" applyAlignment="1">
      <alignment horizontal="center" vertical="center"/>
    </xf>
    <xf numFmtId="4" fontId="4" fillId="0" borderId="13" xfId="0" applyNumberFormat="1" applyFont="1" applyFill="1" applyBorder="1" applyAlignment="1">
      <alignment horizontal="center" vertical="center"/>
    </xf>
    <xf numFmtId="4" fontId="4" fillId="0" borderId="44" xfId="0" applyNumberFormat="1" applyFont="1" applyFill="1" applyBorder="1" applyAlignment="1">
      <alignment horizontal="center" vertical="center"/>
    </xf>
    <xf numFmtId="4" fontId="4" fillId="0" borderId="32" xfId="0" applyNumberFormat="1" applyFont="1" applyFill="1" applyBorder="1" applyAlignment="1">
      <alignment horizontal="center" vertical="center"/>
    </xf>
    <xf numFmtId="4" fontId="4" fillId="0" borderId="43" xfId="0" applyNumberFormat="1" applyFont="1" applyFill="1" applyBorder="1" applyAlignment="1">
      <alignment horizontal="center" vertical="center"/>
    </xf>
    <xf numFmtId="4" fontId="4" fillId="0" borderId="40" xfId="0" applyNumberFormat="1" applyFont="1" applyFill="1" applyBorder="1" applyAlignment="1">
      <alignment horizontal="center" vertical="center"/>
    </xf>
    <xf numFmtId="4" fontId="9" fillId="0" borderId="30" xfId="0" applyNumberFormat="1" applyFont="1" applyFill="1" applyBorder="1" applyAlignment="1">
      <alignment vertical="center"/>
    </xf>
    <xf numFmtId="4" fontId="9" fillId="0" borderId="18" xfId="0" applyNumberFormat="1" applyFont="1" applyFill="1" applyBorder="1" applyAlignment="1">
      <alignment horizontal="center" vertical="center"/>
    </xf>
    <xf numFmtId="4" fontId="9" fillId="0" borderId="10" xfId="0" applyNumberFormat="1" applyFont="1" applyFill="1" applyBorder="1" applyAlignment="1">
      <alignment vertical="center"/>
    </xf>
    <xf numFmtId="4" fontId="9" fillId="0" borderId="14" xfId="0" applyNumberFormat="1" applyFont="1" applyFill="1" applyBorder="1" applyAlignment="1">
      <alignment horizontal="center" vertical="center"/>
    </xf>
    <xf numFmtId="4" fontId="9" fillId="0" borderId="16" xfId="0" applyNumberFormat="1" applyFont="1" applyFill="1" applyBorder="1" applyAlignment="1">
      <alignment horizontal="center" vertical="center"/>
    </xf>
    <xf numFmtId="4" fontId="9" fillId="0" borderId="4" xfId="0" applyNumberFormat="1" applyFont="1" applyFill="1" applyBorder="1" applyAlignment="1">
      <alignment vertical="center"/>
    </xf>
    <xf numFmtId="4" fontId="9" fillId="0" borderId="22" xfId="0" applyNumberFormat="1" applyFont="1" applyFill="1" applyBorder="1" applyAlignment="1">
      <alignment horizontal="center" vertical="center"/>
    </xf>
    <xf numFmtId="4" fontId="9" fillId="0" borderId="17" xfId="0" applyNumberFormat="1" applyFont="1" applyFill="1" applyBorder="1" applyAlignment="1">
      <alignment horizontal="center" vertical="center"/>
    </xf>
    <xf numFmtId="4" fontId="9" fillId="0" borderId="20" xfId="0" applyNumberFormat="1" applyFont="1" applyFill="1" applyBorder="1" applyAlignment="1">
      <alignment horizontal="center" vertical="center"/>
    </xf>
    <xf numFmtId="4" fontId="9" fillId="0" borderId="30" xfId="0" applyNumberFormat="1" applyFont="1" applyFill="1" applyBorder="1" applyAlignment="1">
      <alignment horizontal="center" vertical="center"/>
    </xf>
    <xf numFmtId="4" fontId="9" fillId="0" borderId="10" xfId="0" applyNumberFormat="1" applyFont="1" applyFill="1" applyBorder="1" applyAlignment="1">
      <alignment horizontal="center" vertical="center"/>
    </xf>
    <xf numFmtId="4" fontId="9" fillId="0" borderId="11" xfId="0" applyNumberFormat="1" applyFont="1" applyFill="1" applyBorder="1" applyAlignment="1">
      <alignment horizontal="center" vertical="center"/>
    </xf>
    <xf numFmtId="4" fontId="9" fillId="0" borderId="4" xfId="0" applyNumberFormat="1" applyFont="1" applyFill="1" applyBorder="1" applyAlignment="1">
      <alignment horizontal="center" vertical="center"/>
    </xf>
    <xf numFmtId="4" fontId="9" fillId="0" borderId="34" xfId="0" applyNumberFormat="1" applyFont="1" applyFill="1" applyBorder="1" applyAlignment="1">
      <alignment horizontal="center" vertical="center"/>
    </xf>
    <xf numFmtId="4" fontId="9" fillId="0" borderId="40" xfId="0" applyNumberFormat="1" applyFont="1" applyFill="1" applyBorder="1" applyAlignment="1">
      <alignment horizontal="center" vertical="center"/>
    </xf>
    <xf numFmtId="4" fontId="4" fillId="0" borderId="49" xfId="0" applyNumberFormat="1" applyFont="1" applyFill="1" applyBorder="1" applyAlignment="1">
      <alignment horizontal="center" vertical="center"/>
    </xf>
    <xf numFmtId="4" fontId="9" fillId="0" borderId="12" xfId="0" applyNumberFormat="1" applyFont="1" applyFill="1" applyBorder="1" applyAlignment="1">
      <alignment horizontal="center" vertical="center"/>
    </xf>
    <xf numFmtId="4" fontId="9" fillId="0" borderId="50" xfId="0" applyNumberFormat="1" applyFont="1" applyFill="1" applyBorder="1" applyAlignment="1">
      <alignment horizontal="center" vertical="center"/>
    </xf>
    <xf numFmtId="4" fontId="9" fillId="0" borderId="28" xfId="0" applyNumberFormat="1" applyFont="1" applyFill="1" applyBorder="1" applyAlignment="1">
      <alignment horizontal="center" vertical="center"/>
    </xf>
    <xf numFmtId="4" fontId="4" fillId="0" borderId="42" xfId="0" applyNumberFormat="1" applyFont="1" applyFill="1" applyBorder="1" applyAlignment="1">
      <alignment horizontal="center" vertical="center"/>
    </xf>
    <xf numFmtId="4" fontId="4" fillId="0" borderId="28" xfId="0" applyNumberFormat="1" applyFont="1" applyFill="1" applyBorder="1" applyAlignment="1">
      <alignment horizontal="center" vertical="center"/>
    </xf>
    <xf numFmtId="0" fontId="43" fillId="0" borderId="0" xfId="0" applyFont="1" applyFill="1" applyAlignment="1">
      <alignment horizontal="center" vertical="center"/>
    </xf>
    <xf numFmtId="49" fontId="35" fillId="0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22" fillId="0" borderId="0" xfId="2" applyNumberFormat="1" applyFont="1" applyFill="1" applyBorder="1" applyAlignment="1"/>
    <xf numFmtId="49" fontId="22" fillId="0" borderId="0" xfId="2" applyNumberFormat="1" applyFont="1" applyFill="1" applyBorder="1" applyAlignment="1">
      <alignment horizontal="center"/>
    </xf>
    <xf numFmtId="0" fontId="31" fillId="4" borderId="38" xfId="0" applyNumberFormat="1" applyFont="1" applyFill="1" applyBorder="1" applyAlignment="1">
      <alignment horizontal="center" vertical="center"/>
    </xf>
    <xf numFmtId="0" fontId="31" fillId="4" borderId="38" xfId="0" applyFont="1" applyFill="1" applyBorder="1" applyAlignment="1">
      <alignment horizontal="center" vertical="center"/>
    </xf>
    <xf numFmtId="49" fontId="32" fillId="4" borderId="38" xfId="0" applyNumberFormat="1" applyFont="1" applyFill="1" applyBorder="1" applyAlignment="1">
      <alignment horizontal="center" vertical="center"/>
    </xf>
    <xf numFmtId="0" fontId="32" fillId="4" borderId="39" xfId="0" applyFont="1" applyFill="1" applyBorder="1" applyAlignment="1">
      <alignment horizontal="center" vertical="center" wrapText="1"/>
    </xf>
    <xf numFmtId="0" fontId="31" fillId="4" borderId="39" xfId="0" applyFont="1" applyFill="1" applyBorder="1" applyAlignment="1">
      <alignment horizontal="center" vertical="center" wrapText="1"/>
    </xf>
    <xf numFmtId="0" fontId="33" fillId="4" borderId="39" xfId="0" applyFont="1" applyFill="1" applyBorder="1" applyAlignment="1" applyProtection="1">
      <alignment horizontal="center" vertical="center"/>
    </xf>
    <xf numFmtId="0" fontId="33" fillId="4" borderId="38" xfId="0" applyFont="1" applyFill="1" applyBorder="1" applyAlignment="1">
      <alignment horizontal="center" vertical="center"/>
    </xf>
    <xf numFmtId="0" fontId="45" fillId="4" borderId="38" xfId="0" applyFont="1" applyFill="1" applyBorder="1" applyAlignment="1" applyProtection="1">
      <alignment horizontal="center" vertical="center" wrapText="1"/>
    </xf>
    <xf numFmtId="164" fontId="24" fillId="4" borderId="28" xfId="0" applyNumberFormat="1" applyFont="1" applyFill="1" applyBorder="1" applyAlignment="1" applyProtection="1">
      <alignment horizontal="center" vertical="center" wrapText="1"/>
      <protection hidden="1"/>
    </xf>
    <xf numFmtId="1" fontId="44" fillId="4" borderId="10" xfId="0" applyNumberFormat="1" applyFont="1" applyFill="1" applyBorder="1" applyAlignment="1" applyProtection="1">
      <alignment horizontal="center" vertical="center" wrapText="1"/>
      <protection hidden="1"/>
    </xf>
    <xf numFmtId="49" fontId="35" fillId="0" borderId="0" xfId="0" applyNumberFormat="1" applyFont="1" applyFill="1" applyBorder="1" applyAlignment="1">
      <alignment horizontal="center" vertical="center"/>
    </xf>
    <xf numFmtId="0" fontId="35" fillId="0" borderId="0" xfId="0" applyFont="1" applyFill="1" applyAlignment="1">
      <alignment horizontal="left" vertical="center"/>
    </xf>
    <xf numFmtId="0" fontId="35" fillId="0" borderId="26" xfId="0" applyFont="1" applyFill="1" applyBorder="1" applyAlignment="1">
      <alignment horizontal="center" vertical="center"/>
    </xf>
    <xf numFmtId="0" fontId="47" fillId="0" borderId="26" xfId="0" applyFont="1" applyFill="1" applyBorder="1" applyAlignment="1">
      <alignment horizontal="center" vertical="center"/>
    </xf>
    <xf numFmtId="0" fontId="29" fillId="0" borderId="26" xfId="0" applyFont="1" applyFill="1" applyBorder="1" applyAlignment="1">
      <alignment horizontal="center" vertical="center"/>
    </xf>
    <xf numFmtId="0" fontId="14" fillId="0" borderId="26" xfId="0" applyFont="1" applyFill="1" applyBorder="1"/>
    <xf numFmtId="49" fontId="29" fillId="0" borderId="26" xfId="0" applyNumberFormat="1" applyFont="1" applyFill="1" applyBorder="1"/>
    <xf numFmtId="0" fontId="47" fillId="0" borderId="0" xfId="0" applyFont="1" applyFill="1" applyAlignment="1">
      <alignment horizontal="center" vertical="center"/>
    </xf>
    <xf numFmtId="0" fontId="25" fillId="0" borderId="69" xfId="0" applyFont="1" applyBorder="1" applyAlignment="1">
      <alignment horizontal="center"/>
    </xf>
    <xf numFmtId="0" fontId="26" fillId="0" borderId="69" xfId="0" applyFont="1" applyBorder="1" applyAlignment="1">
      <alignment horizontal="left"/>
    </xf>
    <xf numFmtId="166" fontId="30" fillId="0" borderId="69" xfId="0" applyNumberFormat="1" applyFont="1" applyBorder="1" applyAlignment="1">
      <alignment horizontal="center" vertical="center"/>
    </xf>
    <xf numFmtId="0" fontId="50" fillId="0" borderId="68" xfId="0" applyFont="1" applyFill="1" applyBorder="1" applyAlignment="1">
      <alignment horizontal="center" vertical="center" wrapText="1"/>
    </xf>
    <xf numFmtId="0" fontId="48" fillId="0" borderId="68" xfId="0" applyNumberFormat="1" applyFont="1" applyFill="1" applyBorder="1" applyAlignment="1">
      <alignment horizontal="center" vertical="center" wrapText="1"/>
    </xf>
    <xf numFmtId="0" fontId="49" fillId="0" borderId="68" xfId="0" applyFont="1" applyFill="1" applyBorder="1" applyAlignment="1">
      <alignment horizontal="center" vertical="center" wrapText="1"/>
    </xf>
    <xf numFmtId="0" fontId="48" fillId="0" borderId="68" xfId="0" applyNumberFormat="1" applyFont="1" applyFill="1" applyBorder="1" applyAlignment="1">
      <alignment horizontal="center" vertical="center"/>
    </xf>
    <xf numFmtId="0" fontId="28" fillId="0" borderId="1" xfId="0" applyFont="1" applyFill="1" applyBorder="1"/>
    <xf numFmtId="0" fontId="28" fillId="0" borderId="0" xfId="0" applyFont="1" applyFill="1" applyAlignment="1">
      <alignment vertical="top"/>
    </xf>
    <xf numFmtId="166" fontId="52" fillId="0" borderId="1" xfId="0" applyNumberFormat="1" applyFont="1" applyBorder="1"/>
    <xf numFmtId="166" fontId="52" fillId="0" borderId="24" xfId="0" applyNumberFormat="1" applyFont="1" applyBorder="1"/>
    <xf numFmtId="166" fontId="52" fillId="0" borderId="25" xfId="0" applyNumberFormat="1" applyFont="1" applyBorder="1"/>
    <xf numFmtId="0" fontId="35" fillId="0" borderId="0" xfId="0" applyFont="1" applyFill="1" applyAlignment="1">
      <alignment horizontal="center" vertical="center"/>
    </xf>
    <xf numFmtId="0" fontId="46" fillId="0" borderId="0" xfId="0" applyFont="1" applyFill="1" applyBorder="1" applyAlignment="1">
      <alignment horizontal="center" vertical="center"/>
    </xf>
    <xf numFmtId="2" fontId="14" fillId="0" borderId="0" xfId="0" applyNumberFormat="1" applyFont="1" applyFill="1"/>
    <xf numFmtId="166" fontId="11" fillId="0" borderId="1" xfId="0" applyNumberFormat="1" applyFont="1" applyFill="1" applyBorder="1"/>
    <xf numFmtId="166" fontId="30" fillId="0" borderId="69" xfId="0" applyNumberFormat="1" applyFont="1" applyBorder="1" applyAlignment="1">
      <alignment horizontal="right"/>
    </xf>
    <xf numFmtId="0" fontId="35" fillId="0" borderId="0" xfId="0" applyFont="1" applyFill="1" applyAlignment="1">
      <alignment vertical="center"/>
    </xf>
    <xf numFmtId="0" fontId="0" fillId="0" borderId="0" xfId="0" applyProtection="1">
      <protection locked="0"/>
    </xf>
    <xf numFmtId="0" fontId="23" fillId="0" borderId="0" xfId="0" applyFont="1" applyAlignment="1" applyProtection="1">
      <alignment horizontal="left"/>
      <protection locked="0"/>
    </xf>
    <xf numFmtId="166" fontId="0" fillId="0" borderId="24" xfId="0" applyNumberFormat="1" applyBorder="1" applyProtection="1">
      <protection locked="0"/>
    </xf>
    <xf numFmtId="0" fontId="14" fillId="0" borderId="0" xfId="0" applyFont="1" applyProtection="1">
      <protection locked="0"/>
    </xf>
    <xf numFmtId="0" fontId="35" fillId="0" borderId="0" xfId="0" applyFont="1" applyFill="1" applyAlignment="1" applyProtection="1">
      <alignment vertical="center"/>
      <protection locked="0"/>
    </xf>
    <xf numFmtId="0" fontId="14" fillId="0" borderId="0" xfId="0" applyFont="1" applyFill="1" applyProtection="1">
      <protection locked="0"/>
    </xf>
    <xf numFmtId="0" fontId="28" fillId="0" borderId="0" xfId="0" applyFont="1" applyFill="1" applyProtection="1">
      <protection locked="0"/>
    </xf>
    <xf numFmtId="0" fontId="28" fillId="0" borderId="0" xfId="0" applyFont="1" applyProtection="1">
      <protection locked="0"/>
    </xf>
    <xf numFmtId="0" fontId="27" fillId="0" borderId="0" xfId="0" applyFont="1" applyAlignment="1" applyProtection="1">
      <protection locked="0"/>
    </xf>
    <xf numFmtId="0" fontId="35" fillId="0" borderId="0" xfId="0" applyFont="1" applyFill="1" applyAlignment="1" applyProtection="1">
      <alignment horizontal="center" vertical="center"/>
      <protection locked="0"/>
    </xf>
    <xf numFmtId="49" fontId="29" fillId="0" borderId="0" xfId="0" applyNumberFormat="1" applyFont="1" applyFill="1" applyProtection="1">
      <protection locked="0"/>
    </xf>
    <xf numFmtId="0" fontId="43" fillId="0" borderId="0" xfId="0" applyFont="1" applyFill="1" applyAlignment="1" applyProtection="1">
      <alignment horizontal="center" vertical="center"/>
      <protection locked="0"/>
    </xf>
    <xf numFmtId="49" fontId="35" fillId="0" borderId="0" xfId="0" applyNumberFormat="1" applyFont="1" applyFill="1" applyBorder="1" applyAlignment="1" applyProtection="1">
      <alignment horizontal="center" vertical="center"/>
      <protection locked="0"/>
    </xf>
    <xf numFmtId="0" fontId="28" fillId="0" borderId="0" xfId="0" applyFont="1" applyFill="1" applyAlignment="1" applyProtection="1">
      <alignment vertical="top"/>
      <protection locked="0"/>
    </xf>
    <xf numFmtId="0" fontId="35" fillId="0" borderId="0" xfId="0" applyFont="1" applyFill="1" applyAlignment="1" applyProtection="1">
      <alignment horizontal="left" vertical="center"/>
      <protection locked="0"/>
    </xf>
    <xf numFmtId="0" fontId="35" fillId="0" borderId="26" xfId="0" applyFont="1" applyFill="1" applyBorder="1" applyAlignment="1" applyProtection="1">
      <alignment horizontal="center" vertical="center"/>
      <protection locked="0"/>
    </xf>
    <xf numFmtId="49" fontId="35" fillId="0" borderId="0" xfId="0" applyNumberFormat="1" applyFont="1" applyFill="1" applyAlignment="1" applyProtection="1">
      <alignment horizontal="center" vertical="center"/>
      <protection locked="0"/>
    </xf>
    <xf numFmtId="0" fontId="47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Protection="1">
      <protection locked="0"/>
    </xf>
    <xf numFmtId="0" fontId="20" fillId="0" borderId="0" xfId="0" applyFont="1" applyBorder="1" applyAlignment="1" applyProtection="1">
      <alignment horizontal="center" vertical="center" wrapText="1"/>
      <protection locked="0"/>
    </xf>
    <xf numFmtId="4" fontId="20" fillId="0" borderId="0" xfId="0" applyNumberFormat="1" applyFont="1" applyBorder="1" applyAlignment="1" applyProtection="1">
      <alignment horizontal="center" vertical="center" wrapText="1"/>
      <protection locked="0"/>
    </xf>
    <xf numFmtId="164" fontId="20" fillId="0" borderId="0" xfId="0" applyNumberFormat="1" applyFont="1" applyBorder="1" applyAlignment="1" applyProtection="1">
      <alignment horizontal="center" vertical="center" wrapText="1"/>
      <protection locked="0"/>
    </xf>
    <xf numFmtId="0" fontId="20" fillId="0" borderId="0" xfId="0" applyFont="1" applyBorder="1" applyAlignment="1" applyProtection="1">
      <alignment horizontal="center"/>
      <protection locked="0"/>
    </xf>
    <xf numFmtId="164" fontId="19" fillId="0" borderId="0" xfId="0" applyNumberFormat="1" applyFont="1" applyBorder="1" applyAlignment="1" applyProtection="1">
      <alignment horizontal="center" vertical="center" wrapText="1"/>
      <protection locked="0"/>
    </xf>
    <xf numFmtId="1" fontId="19" fillId="0" borderId="0" xfId="0" applyNumberFormat="1" applyFont="1" applyBorder="1" applyAlignment="1" applyProtection="1">
      <alignment horizontal="center" vertical="center" wrapText="1"/>
      <protection locked="0"/>
    </xf>
    <xf numFmtId="2" fontId="20" fillId="0" borderId="0" xfId="0" applyNumberFormat="1" applyFont="1" applyBorder="1" applyAlignment="1" applyProtection="1">
      <alignment horizontal="center" vertical="center" wrapText="1"/>
      <protection locked="0"/>
    </xf>
    <xf numFmtId="0" fontId="20" fillId="0" borderId="0" xfId="0" applyFont="1" applyBorder="1" applyAlignment="1" applyProtection="1">
      <alignment horizontal="right" vertical="center"/>
      <protection locked="0"/>
    </xf>
    <xf numFmtId="0" fontId="18" fillId="0" borderId="9" xfId="0" applyFont="1" applyBorder="1" applyProtection="1">
      <protection locked="0"/>
    </xf>
    <xf numFmtId="0" fontId="20" fillId="0" borderId="9" xfId="0" applyFont="1" applyBorder="1" applyAlignment="1" applyProtection="1">
      <protection locked="0"/>
    </xf>
    <xf numFmtId="0" fontId="20" fillId="0" borderId="0" xfId="0" applyFont="1" applyBorder="1" applyAlignment="1" applyProtection="1">
      <protection locked="0"/>
    </xf>
    <xf numFmtId="0" fontId="18" fillId="0" borderId="0" xfId="0" applyFont="1" applyBorder="1" applyProtection="1">
      <protection locked="0"/>
    </xf>
    <xf numFmtId="0" fontId="22" fillId="0" borderId="0" xfId="0" applyFont="1" applyFill="1" applyBorder="1" applyAlignment="1" applyProtection="1">
      <alignment horizontal="left" vertical="center"/>
      <protection locked="0"/>
    </xf>
    <xf numFmtId="49" fontId="22" fillId="0" borderId="0" xfId="0" applyNumberFormat="1" applyFont="1" applyFill="1" applyBorder="1" applyAlignment="1" applyProtection="1">
      <alignment horizontal="center" vertical="center"/>
      <protection locked="0"/>
    </xf>
    <xf numFmtId="0" fontId="22" fillId="0" borderId="0" xfId="0" applyNumberFormat="1" applyFont="1" applyFill="1" applyBorder="1" applyAlignment="1" applyProtection="1">
      <alignment horizontal="center" vertical="center"/>
      <protection locked="0"/>
    </xf>
    <xf numFmtId="4" fontId="22" fillId="0" borderId="0" xfId="0" applyNumberFormat="1" applyFont="1" applyFill="1" applyBorder="1" applyAlignment="1" applyProtection="1">
      <alignment horizontal="center" vertical="center"/>
      <protection locked="0"/>
    </xf>
    <xf numFmtId="164" fontId="22" fillId="0" borderId="0" xfId="0" applyNumberFormat="1" applyFont="1" applyFill="1" applyBorder="1" applyAlignment="1" applyProtection="1">
      <alignment horizontal="left" vertical="center"/>
      <protection locked="0"/>
    </xf>
    <xf numFmtId="2" fontId="22" fillId="0" borderId="0" xfId="0" applyNumberFormat="1" applyFont="1" applyFill="1" applyBorder="1" applyAlignment="1" applyProtection="1">
      <alignment horizontal="center" vertical="center"/>
      <protection locked="0"/>
    </xf>
    <xf numFmtId="0" fontId="22" fillId="0" borderId="0" xfId="0" applyFont="1" applyBorder="1" applyProtection="1">
      <protection locked="0"/>
    </xf>
    <xf numFmtId="0" fontId="37" fillId="0" borderId="0" xfId="0" applyFont="1" applyAlignment="1" applyProtection="1">
      <alignment horizontal="left" vertical="center"/>
      <protection locked="0"/>
    </xf>
    <xf numFmtId="0" fontId="22" fillId="0" borderId="0" xfId="0" applyFont="1" applyAlignment="1" applyProtection="1">
      <alignment horizontal="left" vertical="center"/>
      <protection locked="0"/>
    </xf>
    <xf numFmtId="164" fontId="22" fillId="0" borderId="0" xfId="0" applyNumberFormat="1" applyFont="1" applyAlignment="1" applyProtection="1">
      <alignment horizontal="left" vertical="center"/>
      <protection locked="0"/>
    </xf>
    <xf numFmtId="4" fontId="22" fillId="0" borderId="0" xfId="0" applyNumberFormat="1" applyFont="1" applyAlignment="1" applyProtection="1">
      <alignment horizontal="center" vertical="center"/>
      <protection locked="0"/>
    </xf>
    <xf numFmtId="49" fontId="18" fillId="0" borderId="0" xfId="0" applyNumberFormat="1" applyFont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center" vertical="center"/>
      <protection locked="0"/>
    </xf>
    <xf numFmtId="164" fontId="38" fillId="0" borderId="0" xfId="0" applyNumberFormat="1" applyFont="1" applyAlignment="1" applyProtection="1">
      <alignment horizontal="left" vertical="center"/>
      <protection locked="0"/>
    </xf>
    <xf numFmtId="164" fontId="37" fillId="0" borderId="0" xfId="0" applyNumberFormat="1" applyFont="1" applyAlignment="1" applyProtection="1">
      <alignment horizontal="center" vertical="center"/>
      <protection locked="0"/>
    </xf>
    <xf numFmtId="168" fontId="37" fillId="0" borderId="0" xfId="0" applyNumberFormat="1" applyFont="1" applyAlignment="1" applyProtection="1">
      <alignment horizontal="center" vertical="center"/>
      <protection locked="0"/>
    </xf>
    <xf numFmtId="164" fontId="20" fillId="0" borderId="0" xfId="0" applyNumberFormat="1" applyFont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left" vertical="center"/>
      <protection locked="0"/>
    </xf>
    <xf numFmtId="164" fontId="18" fillId="0" borderId="0" xfId="0" applyNumberFormat="1" applyFont="1" applyAlignment="1" applyProtection="1">
      <alignment horizontal="left" vertical="center"/>
      <protection locked="0"/>
    </xf>
    <xf numFmtId="168" fontId="18" fillId="0" borderId="0" xfId="0" applyNumberFormat="1" applyFont="1" applyAlignment="1" applyProtection="1">
      <alignment horizontal="left" vertical="center"/>
      <protection locked="0"/>
    </xf>
    <xf numFmtId="164" fontId="37" fillId="0" borderId="0" xfId="0" applyNumberFormat="1" applyFont="1" applyAlignment="1" applyProtection="1">
      <alignment horizontal="left" vertical="center"/>
      <protection locked="0"/>
    </xf>
    <xf numFmtId="168" fontId="37" fillId="0" borderId="0" xfId="0" applyNumberFormat="1" applyFont="1" applyAlignment="1" applyProtection="1">
      <alignment horizontal="left" vertical="center"/>
      <protection locked="0"/>
    </xf>
    <xf numFmtId="164" fontId="20" fillId="0" borderId="0" xfId="0" applyNumberFormat="1" applyFont="1" applyAlignment="1" applyProtection="1">
      <alignment horizontal="left" vertical="center"/>
      <protection locked="0"/>
    </xf>
    <xf numFmtId="0" fontId="39" fillId="0" borderId="46" xfId="0" applyFont="1" applyBorder="1" applyAlignment="1" applyProtection="1">
      <alignment vertical="center" wrapText="1"/>
      <protection locked="0"/>
    </xf>
    <xf numFmtId="0" fontId="14" fillId="0" borderId="4" xfId="0" applyNumberFormat="1" applyFont="1" applyFill="1" applyBorder="1" applyAlignment="1" applyProtection="1">
      <alignment horizontal="center" vertical="center"/>
      <protection locked="0"/>
    </xf>
    <xf numFmtId="49" fontId="14" fillId="0" borderId="4" xfId="0" applyNumberFormat="1" applyFont="1" applyFill="1" applyBorder="1" applyAlignment="1" applyProtection="1">
      <alignment horizontal="center" vertical="center"/>
      <protection locked="0"/>
    </xf>
    <xf numFmtId="49" fontId="1" fillId="0" borderId="4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4" xfId="0" applyFont="1" applyFill="1" applyBorder="1" applyAlignment="1" applyProtection="1">
      <alignment horizontal="center" vertical="center"/>
      <protection locked="0"/>
    </xf>
    <xf numFmtId="0" fontId="14" fillId="0" borderId="0" xfId="0" applyFont="1" applyFill="1" applyAlignment="1">
      <alignment horizontal="center"/>
    </xf>
    <xf numFmtId="0" fontId="31" fillId="4" borderId="37" xfId="0" applyFont="1" applyFill="1" applyBorder="1" applyAlignment="1">
      <alignment horizontal="center" vertical="center"/>
    </xf>
    <xf numFmtId="49" fontId="1" fillId="0" borderId="25" xfId="0" applyNumberFormat="1" applyFont="1" applyFill="1" applyBorder="1" applyAlignment="1">
      <alignment horizontal="center" vertical="center" wrapText="1"/>
    </xf>
    <xf numFmtId="49" fontId="2" fillId="0" borderId="4" xfId="0" applyNumberFormat="1" applyFont="1" applyFill="1" applyBorder="1" applyAlignment="1">
      <alignment horizontal="center" vertical="center" wrapText="1"/>
    </xf>
    <xf numFmtId="164" fontId="24" fillId="0" borderId="28" xfId="0" applyNumberFormat="1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/>
    </xf>
    <xf numFmtId="49" fontId="14" fillId="0" borderId="28" xfId="0" applyNumberFormat="1" applyFont="1" applyFill="1" applyBorder="1" applyAlignment="1" applyProtection="1">
      <alignment horizontal="center" vertical="center"/>
      <protection locked="0"/>
    </xf>
    <xf numFmtId="164" fontId="1" fillId="0" borderId="28" xfId="0" applyNumberFormat="1" applyFont="1" applyFill="1" applyBorder="1" applyAlignment="1" applyProtection="1">
      <alignment horizontal="center" vertical="center" wrapText="1"/>
      <protection locked="0"/>
    </xf>
    <xf numFmtId="0" fontId="39" fillId="0" borderId="41" xfId="0" applyFont="1" applyBorder="1" applyAlignment="1" applyProtection="1">
      <alignment vertical="center" wrapText="1"/>
      <protection locked="0"/>
    </xf>
    <xf numFmtId="4" fontId="6" fillId="0" borderId="4" xfId="0" applyNumberFormat="1" applyFont="1" applyFill="1" applyBorder="1" applyAlignment="1">
      <alignment horizontal="center" vertical="center"/>
    </xf>
    <xf numFmtId="4" fontId="4" fillId="0" borderId="52" xfId="0" applyNumberFormat="1" applyFont="1" applyFill="1" applyBorder="1" applyAlignment="1">
      <alignment horizontal="center" vertical="center"/>
    </xf>
    <xf numFmtId="4" fontId="6" fillId="0" borderId="28" xfId="0" applyNumberFormat="1" applyFont="1" applyFill="1" applyBorder="1" applyAlignment="1">
      <alignment vertical="center"/>
    </xf>
    <xf numFmtId="4" fontId="6" fillId="0" borderId="50" xfId="0" applyNumberFormat="1" applyFont="1" applyFill="1" applyBorder="1" applyAlignment="1">
      <alignment horizontal="center" vertical="center"/>
    </xf>
    <xf numFmtId="4" fontId="4" fillId="0" borderId="15" xfId="0" applyNumberFormat="1" applyFont="1" applyFill="1" applyBorder="1" applyAlignment="1">
      <alignment horizontal="center" vertical="center"/>
    </xf>
    <xf numFmtId="0" fontId="0" fillId="0" borderId="0" xfId="0" applyBorder="1" applyProtection="1">
      <protection locked="0"/>
    </xf>
    <xf numFmtId="0" fontId="4" fillId="0" borderId="4" xfId="0" applyFont="1" applyBorder="1" applyAlignment="1">
      <alignment horizontal="center" wrapText="1"/>
    </xf>
    <xf numFmtId="0" fontId="0" fillId="0" borderId="4" xfId="0" applyBorder="1" applyAlignment="1">
      <alignment horizontal="center"/>
    </xf>
    <xf numFmtId="49" fontId="1" fillId="0" borderId="0" xfId="0" applyNumberFormat="1" applyFont="1" applyFill="1" applyBorder="1" applyAlignment="1">
      <alignment horizontal="center" vertical="center" wrapText="1"/>
    </xf>
    <xf numFmtId="49" fontId="32" fillId="4" borderId="39" xfId="0" applyNumberFormat="1" applyFont="1" applyFill="1" applyBorder="1" applyAlignment="1">
      <alignment horizontal="center" vertical="center" wrapText="1"/>
    </xf>
    <xf numFmtId="49" fontId="14" fillId="0" borderId="0" xfId="0" applyNumberFormat="1" applyFont="1" applyFill="1" applyAlignment="1">
      <alignment vertical="center"/>
    </xf>
    <xf numFmtId="0" fontId="33" fillId="4" borderId="39" xfId="0" applyNumberFormat="1" applyFont="1" applyFill="1" applyBorder="1" applyAlignment="1">
      <alignment horizontal="center" vertical="center" wrapText="1"/>
    </xf>
    <xf numFmtId="0" fontId="54" fillId="0" borderId="0" xfId="0" applyNumberFormat="1" applyFont="1" applyFill="1" applyAlignment="1">
      <alignment horizontal="left"/>
    </xf>
    <xf numFmtId="0" fontId="55" fillId="4" borderId="38" xfId="0" applyNumberFormat="1" applyFont="1" applyFill="1" applyBorder="1" applyAlignment="1">
      <alignment horizontal="center" vertical="center"/>
    </xf>
    <xf numFmtId="0" fontId="56" fillId="0" borderId="4" xfId="0" applyNumberFormat="1" applyFont="1" applyFill="1" applyBorder="1" applyAlignment="1">
      <alignment horizontal="center" vertical="center"/>
    </xf>
    <xf numFmtId="165" fontId="56" fillId="0" borderId="0" xfId="0" applyNumberFormat="1" applyFont="1" applyFill="1" applyAlignment="1">
      <alignment horizontal="center" vertical="center"/>
    </xf>
    <xf numFmtId="2" fontId="53" fillId="0" borderId="0" xfId="0" applyNumberFormat="1" applyFont="1" applyFill="1" applyAlignment="1">
      <alignment vertical="center"/>
    </xf>
    <xf numFmtId="4" fontId="57" fillId="0" borderId="0" xfId="0" applyNumberFormat="1" applyFont="1" applyFill="1" applyAlignment="1">
      <alignment horizontal="center" vertical="center"/>
    </xf>
    <xf numFmtId="0" fontId="0" fillId="0" borderId="0" xfId="0" applyBorder="1"/>
    <xf numFmtId="0" fontId="39" fillId="0" borderId="45" xfId="0" applyFont="1" applyBorder="1" applyAlignment="1" applyProtection="1">
      <alignment vertical="center" wrapText="1"/>
      <protection locked="0"/>
    </xf>
    <xf numFmtId="4" fontId="9" fillId="0" borderId="28" xfId="0" applyNumberFormat="1" applyFont="1" applyFill="1" applyBorder="1" applyAlignment="1">
      <alignment vertical="center"/>
    </xf>
    <xf numFmtId="0" fontId="22" fillId="0" borderId="45" xfId="0" applyFont="1" applyFill="1" applyBorder="1" applyAlignment="1" applyProtection="1">
      <alignment horizontal="left" vertical="center"/>
      <protection locked="0"/>
    </xf>
    <xf numFmtId="4" fontId="9" fillId="0" borderId="60" xfId="0" applyNumberFormat="1" applyFont="1" applyFill="1" applyBorder="1" applyAlignment="1">
      <alignment horizontal="center" vertical="center"/>
    </xf>
    <xf numFmtId="0" fontId="14" fillId="0" borderId="28" xfId="0" applyNumberFormat="1" applyFont="1" applyFill="1" applyBorder="1" applyAlignment="1" applyProtection="1">
      <alignment horizontal="center" vertical="center"/>
      <protection locked="0"/>
    </xf>
    <xf numFmtId="49" fontId="2" fillId="0" borderId="28" xfId="0" applyNumberFormat="1" applyFont="1" applyFill="1" applyBorder="1" applyAlignment="1" applyProtection="1">
      <alignment horizontal="center" vertical="center" wrapText="1"/>
      <protection locked="0"/>
    </xf>
    <xf numFmtId="49" fontId="1" fillId="0" borderId="28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4" xfId="0" applyNumberFormat="1" applyFont="1" applyFill="1" applyBorder="1" applyAlignment="1" applyProtection="1">
      <alignment horizontal="center" vertical="center" wrapText="1"/>
      <protection locked="0"/>
    </xf>
    <xf numFmtId="0" fontId="53" fillId="0" borderId="0" xfId="0" applyFont="1" applyFill="1" applyBorder="1" applyAlignment="1">
      <alignment vertical="center"/>
    </xf>
    <xf numFmtId="0" fontId="58" fillId="0" borderId="0" xfId="0" applyFont="1" applyFill="1" applyBorder="1" applyAlignment="1">
      <alignment vertical="center"/>
    </xf>
    <xf numFmtId="9" fontId="18" fillId="0" borderId="0" xfId="0" applyNumberFormat="1" applyFont="1" applyBorder="1" applyAlignment="1">
      <alignment horizontal="center" vertical="center" wrapText="1"/>
    </xf>
    <xf numFmtId="2" fontId="18" fillId="0" borderId="0" xfId="0" applyNumberFormat="1" applyFont="1" applyBorder="1" applyAlignment="1">
      <alignment horizontal="center" vertical="center" wrapText="1"/>
    </xf>
    <xf numFmtId="0" fontId="59" fillId="0" borderId="0" xfId="0" applyFont="1" applyFill="1" applyAlignment="1" applyProtection="1">
      <alignment vertical="top"/>
      <protection locked="0"/>
    </xf>
    <xf numFmtId="0" fontId="59" fillId="0" borderId="0" xfId="0" applyFont="1" applyProtection="1">
      <protection locked="0"/>
    </xf>
    <xf numFmtId="0" fontId="61" fillId="0" borderId="0" xfId="0" applyFont="1" applyFill="1" applyBorder="1" applyAlignment="1" applyProtection="1">
      <alignment horizontal="center" vertical="center"/>
      <protection locked="0"/>
    </xf>
    <xf numFmtId="0" fontId="59" fillId="0" borderId="0" xfId="0" applyFont="1" applyFill="1" applyBorder="1" applyProtection="1">
      <protection locked="0"/>
    </xf>
    <xf numFmtId="0" fontId="59" fillId="0" borderId="0" xfId="0" applyFont="1" applyFill="1" applyProtection="1">
      <protection locked="0"/>
    </xf>
    <xf numFmtId="49" fontId="61" fillId="0" borderId="0" xfId="0" applyNumberFormat="1" applyFont="1" applyFill="1" applyProtection="1">
      <protection locked="0"/>
    </xf>
    <xf numFmtId="0" fontId="61" fillId="0" borderId="26" xfId="0" applyFont="1" applyFill="1" applyBorder="1" applyAlignment="1" applyProtection="1">
      <alignment horizontal="center" vertical="center"/>
      <protection locked="0"/>
    </xf>
    <xf numFmtId="0" fontId="59" fillId="0" borderId="26" xfId="0" applyFont="1" applyFill="1" applyBorder="1" applyProtection="1">
      <protection locked="0"/>
    </xf>
    <xf numFmtId="49" fontId="61" fillId="0" borderId="26" xfId="0" applyNumberFormat="1" applyFont="1" applyFill="1" applyBorder="1" applyProtection="1">
      <protection locked="0"/>
    </xf>
    <xf numFmtId="0" fontId="61" fillId="0" borderId="0" xfId="0" applyFont="1" applyFill="1" applyBorder="1" applyAlignment="1" applyProtection="1">
      <alignment horizontal="center" vertical="center"/>
      <protection locked="0"/>
    </xf>
    <xf numFmtId="164" fontId="62" fillId="0" borderId="28" xfId="0" applyNumberFormat="1" applyFont="1" applyFill="1" applyBorder="1" applyAlignment="1">
      <alignment horizontal="center" vertical="center" wrapText="1"/>
    </xf>
    <xf numFmtId="0" fontId="26" fillId="0" borderId="26" xfId="0" applyFont="1" applyBorder="1" applyAlignment="1">
      <alignment horizontal="left"/>
    </xf>
    <xf numFmtId="0" fontId="25" fillId="0" borderId="26" xfId="0" applyFont="1" applyBorder="1"/>
    <xf numFmtId="0" fontId="25" fillId="0" borderId="0" xfId="0" applyFont="1" applyBorder="1"/>
    <xf numFmtId="0" fontId="25" fillId="0" borderId="0" xfId="0" applyFont="1" applyProtection="1">
      <protection locked="0"/>
    </xf>
    <xf numFmtId="0" fontId="25" fillId="0" borderId="26" xfId="0" applyFont="1" applyBorder="1" applyProtection="1">
      <protection locked="0"/>
    </xf>
    <xf numFmtId="0" fontId="64" fillId="0" borderId="0" xfId="0" applyFont="1" applyAlignment="1" applyProtection="1">
      <protection locked="0"/>
    </xf>
    <xf numFmtId="0" fontId="61" fillId="0" borderId="0" xfId="0" applyFont="1" applyFill="1" applyAlignment="1" applyProtection="1">
      <alignment horizontal="center" vertical="center"/>
      <protection locked="0"/>
    </xf>
    <xf numFmtId="0" fontId="60" fillId="0" borderId="0" xfId="0" applyFont="1" applyFill="1" applyProtection="1">
      <protection locked="0"/>
    </xf>
    <xf numFmtId="0" fontId="16" fillId="3" borderId="2" xfId="0" applyFont="1" applyFill="1" applyBorder="1" applyAlignment="1">
      <alignment horizontal="left" vertical="center" wrapText="1"/>
    </xf>
    <xf numFmtId="0" fontId="4" fillId="5" borderId="70" xfId="0" applyFont="1" applyFill="1" applyBorder="1" applyAlignment="1">
      <alignment horizontal="left" wrapText="1"/>
    </xf>
    <xf numFmtId="0" fontId="0" fillId="0" borderId="0" xfId="0" applyAlignment="1">
      <alignment horizontal="left"/>
    </xf>
    <xf numFmtId="169" fontId="4" fillId="0" borderId="30" xfId="0" applyNumberFormat="1" applyFont="1" applyFill="1" applyBorder="1" applyAlignment="1">
      <alignment horizontal="center" vertical="center"/>
    </xf>
    <xf numFmtId="169" fontId="4" fillId="0" borderId="10" xfId="0" applyNumberFormat="1" applyFont="1" applyFill="1" applyBorder="1" applyAlignment="1">
      <alignment horizontal="center" vertical="center"/>
    </xf>
    <xf numFmtId="169" fontId="4" fillId="0" borderId="4" xfId="0" applyNumberFormat="1" applyFont="1" applyFill="1" applyBorder="1" applyAlignment="1">
      <alignment horizontal="center" vertical="center"/>
    </xf>
    <xf numFmtId="169" fontId="4" fillId="0" borderId="40" xfId="0" applyNumberFormat="1" applyFont="1" applyFill="1" applyBorder="1" applyAlignment="1">
      <alignment horizontal="center" vertical="center"/>
    </xf>
    <xf numFmtId="169" fontId="4" fillId="0" borderId="11" xfId="0" applyNumberFormat="1" applyFont="1" applyFill="1" applyBorder="1" applyAlignment="1">
      <alignment horizontal="center" vertical="center"/>
    </xf>
    <xf numFmtId="169" fontId="4" fillId="0" borderId="28" xfId="0" applyNumberFormat="1" applyFont="1" applyFill="1" applyBorder="1" applyAlignment="1">
      <alignment horizontal="center" vertical="center"/>
    </xf>
    <xf numFmtId="169" fontId="4" fillId="0" borderId="34" xfId="0" applyNumberFormat="1" applyFont="1" applyFill="1" applyBorder="1" applyAlignment="1">
      <alignment horizontal="center" vertical="center"/>
    </xf>
    <xf numFmtId="169" fontId="6" fillId="0" borderId="30" xfId="0" applyNumberFormat="1" applyFont="1" applyFill="1" applyBorder="1" applyAlignment="1">
      <alignment horizontal="center" vertical="center"/>
    </xf>
    <xf numFmtId="169" fontId="6" fillId="0" borderId="10" xfId="0" applyNumberFormat="1" applyFont="1" applyFill="1" applyBorder="1" applyAlignment="1">
      <alignment horizontal="center" vertical="center"/>
    </xf>
    <xf numFmtId="169" fontId="6" fillId="0" borderId="4" xfId="0" applyNumberFormat="1" applyFont="1" applyFill="1" applyBorder="1" applyAlignment="1">
      <alignment horizontal="center" vertical="center"/>
    </xf>
    <xf numFmtId="169" fontId="6" fillId="0" borderId="11" xfId="0" applyNumberFormat="1" applyFont="1" applyFill="1" applyBorder="1" applyAlignment="1">
      <alignment horizontal="center" vertical="center"/>
    </xf>
    <xf numFmtId="4" fontId="6" fillId="0" borderId="72" xfId="0" applyNumberFormat="1" applyFont="1" applyFill="1" applyBorder="1" applyAlignment="1">
      <alignment horizontal="center" vertical="center"/>
    </xf>
    <xf numFmtId="4" fontId="6" fillId="0" borderId="73" xfId="0" applyNumberFormat="1" applyFont="1" applyFill="1" applyBorder="1" applyAlignment="1">
      <alignment horizontal="center" vertical="center"/>
    </xf>
    <xf numFmtId="4" fontId="6" fillId="0" borderId="48" xfId="0" applyNumberFormat="1" applyFont="1" applyFill="1" applyBorder="1" applyAlignment="1">
      <alignment horizontal="center" vertical="center"/>
    </xf>
    <xf numFmtId="4" fontId="18" fillId="0" borderId="47" xfId="0" applyNumberFormat="1" applyFont="1" applyFill="1" applyBorder="1" applyAlignment="1">
      <alignment horizontal="center" vertical="center" textRotation="90" wrapText="1"/>
    </xf>
    <xf numFmtId="164" fontId="18" fillId="0" borderId="8" xfId="0" applyNumberFormat="1" applyFont="1" applyFill="1" applyBorder="1" applyAlignment="1">
      <alignment horizontal="center" vertical="center" textRotation="90" wrapText="1"/>
    </xf>
    <xf numFmtId="4" fontId="18" fillId="0" borderId="21" xfId="0" applyNumberFormat="1" applyFont="1" applyFill="1" applyBorder="1" applyAlignment="1">
      <alignment horizontal="center" vertical="center" textRotation="90" wrapText="1"/>
    </xf>
    <xf numFmtId="4" fontId="18" fillId="0" borderId="51" xfId="0" applyNumberFormat="1" applyFont="1" applyFill="1" applyBorder="1" applyAlignment="1">
      <alignment horizontal="center" vertical="center" textRotation="90" wrapText="1"/>
    </xf>
    <xf numFmtId="4" fontId="6" fillId="0" borderId="30" xfId="0" applyNumberFormat="1" applyFont="1" applyFill="1" applyBorder="1" applyAlignment="1">
      <alignment horizontal="center" vertical="center"/>
    </xf>
    <xf numFmtId="4" fontId="6" fillId="0" borderId="11" xfId="0" applyNumberFormat="1" applyFont="1" applyFill="1" applyBorder="1" applyAlignment="1">
      <alignment horizontal="center" vertical="center"/>
    </xf>
    <xf numFmtId="4" fontId="6" fillId="0" borderId="74" xfId="0" applyNumberFormat="1" applyFont="1" applyFill="1" applyBorder="1" applyAlignment="1">
      <alignment horizontal="center" vertical="center"/>
    </xf>
    <xf numFmtId="164" fontId="62" fillId="0" borderId="10" xfId="0" applyNumberFormat="1" applyFont="1" applyFill="1" applyBorder="1" applyAlignment="1">
      <alignment horizontal="center" vertical="center" wrapText="1"/>
    </xf>
    <xf numFmtId="2" fontId="66" fillId="4" borderId="38" xfId="0" applyNumberFormat="1" applyFont="1" applyFill="1" applyBorder="1" applyAlignment="1">
      <alignment horizontal="center" vertical="center"/>
    </xf>
    <xf numFmtId="2" fontId="62" fillId="0" borderId="10" xfId="0" applyNumberFormat="1" applyFont="1" applyFill="1" applyBorder="1" applyAlignment="1">
      <alignment horizontal="center" vertical="center" wrapText="1"/>
    </xf>
    <xf numFmtId="0" fontId="67" fillId="0" borderId="0" xfId="0" applyFont="1" applyAlignment="1"/>
    <xf numFmtId="2" fontId="33" fillId="4" borderId="38" xfId="0" applyNumberFormat="1" applyFont="1" applyFill="1" applyBorder="1" applyAlignment="1">
      <alignment horizontal="center" vertical="center"/>
    </xf>
    <xf numFmtId="0" fontId="25" fillId="0" borderId="0" xfId="0" applyFont="1" applyBorder="1" applyProtection="1">
      <protection locked="0"/>
    </xf>
    <xf numFmtId="0" fontId="26" fillId="0" borderId="0" xfId="0" applyFont="1" applyBorder="1" applyAlignment="1" applyProtection="1">
      <alignment horizontal="left"/>
      <protection locked="0"/>
    </xf>
    <xf numFmtId="14" fontId="14" fillId="0" borderId="0" xfId="0" applyNumberFormat="1" applyFont="1" applyFill="1"/>
    <xf numFmtId="0" fontId="41" fillId="0" borderId="0" xfId="0" applyFont="1" applyBorder="1" applyAlignment="1" applyProtection="1">
      <alignment vertical="center" wrapText="1"/>
      <protection locked="0"/>
    </xf>
    <xf numFmtId="0" fontId="63" fillId="0" borderId="4" xfId="0" applyFont="1" applyFill="1" applyBorder="1" applyAlignment="1">
      <alignment horizontal="center" vertical="center"/>
    </xf>
    <xf numFmtId="164" fontId="62" fillId="0" borderId="4" xfId="0" applyNumberFormat="1" applyFont="1" applyFill="1" applyBorder="1" applyAlignment="1" applyProtection="1">
      <alignment horizontal="center" vertical="center" wrapText="1"/>
      <protection locked="0"/>
    </xf>
    <xf numFmtId="171" fontId="33" fillId="9" borderId="4" xfId="0" applyNumberFormat="1" applyFont="1" applyFill="1" applyBorder="1" applyAlignment="1">
      <alignment horizontal="center" vertical="center"/>
    </xf>
    <xf numFmtId="4" fontId="6" fillId="0" borderId="28" xfId="0" applyNumberFormat="1" applyFont="1" applyFill="1" applyBorder="1" applyAlignment="1">
      <alignment horizontal="center" vertical="center"/>
    </xf>
    <xf numFmtId="4" fontId="4" fillId="0" borderId="65" xfId="0" applyNumberFormat="1" applyFont="1" applyFill="1" applyBorder="1" applyAlignment="1">
      <alignment horizontal="center" vertical="center"/>
    </xf>
    <xf numFmtId="0" fontId="22" fillId="0" borderId="45" xfId="0" applyFont="1" applyFill="1" applyBorder="1" applyAlignment="1" applyProtection="1">
      <alignment horizontal="center" vertical="center"/>
      <protection locked="0"/>
    </xf>
    <xf numFmtId="164" fontId="9" fillId="0" borderId="4" xfId="0" applyNumberFormat="1" applyFont="1" applyFill="1" applyBorder="1" applyAlignment="1">
      <alignment horizontal="center" vertical="center"/>
    </xf>
    <xf numFmtId="0" fontId="22" fillId="0" borderId="75" xfId="0" applyFont="1" applyFill="1" applyBorder="1" applyAlignment="1">
      <alignment horizontal="center" vertical="center"/>
    </xf>
    <xf numFmtId="0" fontId="22" fillId="0" borderId="4" xfId="0" applyFont="1" applyFill="1" applyBorder="1" applyAlignment="1">
      <alignment horizontal="center" vertical="center"/>
    </xf>
    <xf numFmtId="4" fontId="6" fillId="0" borderId="76" xfId="0" applyNumberFormat="1" applyFont="1" applyFill="1" applyBorder="1" applyAlignment="1">
      <alignment horizontal="center" vertical="center"/>
    </xf>
    <xf numFmtId="4" fontId="6" fillId="0" borderId="10" xfId="0" applyNumberFormat="1" applyFont="1" applyFill="1" applyBorder="1" applyAlignment="1">
      <alignment horizontal="center" vertical="center"/>
    </xf>
    <xf numFmtId="4" fontId="4" fillId="0" borderId="31" xfId="0" applyNumberFormat="1" applyFont="1" applyFill="1" applyBorder="1" applyAlignment="1">
      <alignment horizontal="center" vertical="center"/>
    </xf>
    <xf numFmtId="4" fontId="9" fillId="0" borderId="73" xfId="0" applyNumberFormat="1" applyFont="1" applyFill="1" applyBorder="1" applyAlignment="1">
      <alignment horizontal="center" vertical="center"/>
    </xf>
    <xf numFmtId="0" fontId="22" fillId="0" borderId="11" xfId="0" applyFont="1" applyFill="1" applyBorder="1" applyAlignment="1">
      <alignment horizontal="center" vertical="center"/>
    </xf>
    <xf numFmtId="0" fontId="22" fillId="0" borderId="20" xfId="0" applyFont="1" applyFill="1" applyBorder="1" applyAlignment="1">
      <alignment horizontal="center" vertical="center"/>
    </xf>
    <xf numFmtId="0" fontId="22" fillId="0" borderId="44" xfId="0" applyFont="1" applyFill="1" applyBorder="1" applyAlignment="1">
      <alignment horizontal="center" vertical="center"/>
    </xf>
    <xf numFmtId="4" fontId="6" fillId="0" borderId="60" xfId="0" applyNumberFormat="1" applyFont="1" applyFill="1" applyBorder="1" applyAlignment="1">
      <alignment horizontal="center" vertical="center"/>
    </xf>
    <xf numFmtId="4" fontId="9" fillId="0" borderId="76" xfId="0" applyNumberFormat="1" applyFont="1" applyFill="1" applyBorder="1" applyAlignment="1">
      <alignment horizontal="center" vertical="center"/>
    </xf>
    <xf numFmtId="4" fontId="9" fillId="0" borderId="72" xfId="0" applyNumberFormat="1" applyFont="1" applyFill="1" applyBorder="1" applyAlignment="1">
      <alignment horizontal="center" vertical="center"/>
    </xf>
    <xf numFmtId="0" fontId="22" fillId="0" borderId="45" xfId="0" applyFont="1" applyFill="1" applyBorder="1" applyAlignment="1" applyProtection="1">
      <alignment horizontal="center" vertical="center"/>
      <protection locked="0"/>
    </xf>
    <xf numFmtId="0" fontId="22" fillId="0" borderId="40" xfId="0" applyFont="1" applyFill="1" applyBorder="1" applyAlignment="1">
      <alignment horizontal="center" vertical="center"/>
    </xf>
    <xf numFmtId="0" fontId="22" fillId="0" borderId="82" xfId="0" applyFont="1" applyFill="1" applyBorder="1" applyAlignment="1">
      <alignment horizontal="center" vertical="center"/>
    </xf>
    <xf numFmtId="2" fontId="18" fillId="0" borderId="21" xfId="0" applyNumberFormat="1" applyFont="1" applyFill="1" applyBorder="1" applyAlignment="1">
      <alignment horizontal="center" vertical="center" textRotation="90" wrapText="1"/>
    </xf>
    <xf numFmtId="0" fontId="22" fillId="0" borderId="34" xfId="0" applyFont="1" applyFill="1" applyBorder="1" applyAlignment="1">
      <alignment horizontal="center" vertical="center"/>
    </xf>
    <xf numFmtId="0" fontId="22" fillId="0" borderId="64" xfId="0" applyFont="1" applyFill="1" applyBorder="1" applyAlignment="1">
      <alignment horizontal="center" vertical="center"/>
    </xf>
    <xf numFmtId="4" fontId="6" fillId="0" borderId="42" xfId="0" applyNumberFormat="1" applyFont="1" applyFill="1" applyBorder="1" applyAlignment="1">
      <alignment horizontal="center" vertical="center"/>
    </xf>
    <xf numFmtId="4" fontId="6" fillId="0" borderId="40" xfId="0" applyNumberFormat="1" applyFont="1" applyFill="1" applyBorder="1" applyAlignment="1">
      <alignment horizontal="center" vertical="center"/>
    </xf>
    <xf numFmtId="0" fontId="22" fillId="0" borderId="63" xfId="0" applyFont="1" applyFill="1" applyBorder="1" applyAlignment="1">
      <alignment horizontal="center" vertical="center"/>
    </xf>
    <xf numFmtId="4" fontId="6" fillId="0" borderId="32" xfId="0" applyNumberFormat="1" applyFont="1" applyFill="1" applyBorder="1" applyAlignment="1">
      <alignment horizontal="center" vertical="center"/>
    </xf>
    <xf numFmtId="4" fontId="6" fillId="0" borderId="34" xfId="0" applyNumberFormat="1" applyFont="1" applyFill="1" applyBorder="1" applyAlignment="1">
      <alignment horizontal="center" vertical="center"/>
    </xf>
    <xf numFmtId="2" fontId="4" fillId="0" borderId="31" xfId="0" applyNumberFormat="1" applyFont="1" applyFill="1" applyBorder="1" applyAlignment="1">
      <alignment horizontal="center" vertical="center"/>
    </xf>
    <xf numFmtId="2" fontId="4" fillId="0" borderId="44" xfId="0" applyNumberFormat="1" applyFont="1" applyFill="1" applyBorder="1" applyAlignment="1">
      <alignment horizontal="center" vertical="center"/>
    </xf>
    <xf numFmtId="2" fontId="4" fillId="0" borderId="23" xfId="0" applyNumberFormat="1" applyFont="1" applyFill="1" applyBorder="1" applyAlignment="1">
      <alignment horizontal="center" vertical="center"/>
    </xf>
    <xf numFmtId="2" fontId="4" fillId="0" borderId="13" xfId="0" applyNumberFormat="1" applyFont="1" applyFill="1" applyBorder="1" applyAlignment="1">
      <alignment horizontal="center" vertical="center"/>
    </xf>
    <xf numFmtId="0" fontId="22" fillId="0" borderId="28" xfId="0" applyFont="1" applyFill="1" applyBorder="1" applyAlignment="1">
      <alignment horizontal="center" vertical="center"/>
    </xf>
    <xf numFmtId="4" fontId="6" fillId="0" borderId="44" xfId="0" applyNumberFormat="1" applyFont="1" applyFill="1" applyBorder="1" applyAlignment="1">
      <alignment horizontal="center" vertical="center"/>
    </xf>
    <xf numFmtId="4" fontId="9" fillId="0" borderId="75" xfId="0" applyNumberFormat="1" applyFont="1" applyFill="1" applyBorder="1" applyAlignment="1">
      <alignment horizontal="center" vertical="center"/>
    </xf>
    <xf numFmtId="0" fontId="22" fillId="0" borderId="78" xfId="0" applyFont="1" applyFill="1" applyBorder="1" applyAlignment="1">
      <alignment horizontal="center" vertical="center"/>
    </xf>
    <xf numFmtId="0" fontId="22" fillId="0" borderId="10" xfId="0" applyFont="1" applyFill="1" applyBorder="1" applyAlignment="1">
      <alignment horizontal="center" vertical="center"/>
    </xf>
    <xf numFmtId="4" fontId="6" fillId="0" borderId="31" xfId="0" applyNumberFormat="1" applyFont="1" applyFill="1" applyBorder="1" applyAlignment="1">
      <alignment horizontal="center" vertical="center"/>
    </xf>
    <xf numFmtId="0" fontId="22" fillId="0" borderId="31" xfId="0" applyFont="1" applyFill="1" applyBorder="1" applyAlignment="1">
      <alignment horizontal="center" vertical="center"/>
    </xf>
    <xf numFmtId="0" fontId="22" fillId="0" borderId="30" xfId="0" applyFont="1" applyFill="1" applyBorder="1" applyAlignment="1">
      <alignment horizontal="center" vertical="center"/>
    </xf>
    <xf numFmtId="0" fontId="22" fillId="0" borderId="79" xfId="0" applyFont="1" applyFill="1" applyBorder="1" applyAlignment="1">
      <alignment horizontal="center" vertical="center"/>
    </xf>
    <xf numFmtId="0" fontId="22" fillId="0" borderId="18" xfId="0" applyFont="1" applyFill="1" applyBorder="1" applyAlignment="1">
      <alignment horizontal="center" vertical="center"/>
    </xf>
    <xf numFmtId="0" fontId="22" fillId="0" borderId="16" xfId="0" applyFont="1" applyFill="1" applyBorder="1" applyAlignment="1">
      <alignment horizontal="center" vertical="center"/>
    </xf>
    <xf numFmtId="4" fontId="6" fillId="0" borderId="13" xfId="0" applyNumberFormat="1" applyFont="1" applyFill="1" applyBorder="1" applyAlignment="1">
      <alignment horizontal="center" vertical="center"/>
    </xf>
    <xf numFmtId="4" fontId="6" fillId="0" borderId="65" xfId="0" applyNumberFormat="1" applyFont="1" applyFill="1" applyBorder="1" applyAlignment="1">
      <alignment horizontal="center" vertical="center"/>
    </xf>
    <xf numFmtId="0" fontId="22" fillId="0" borderId="65" xfId="0" applyFont="1" applyFill="1" applyBorder="1" applyAlignment="1">
      <alignment horizontal="center" vertical="center"/>
    </xf>
    <xf numFmtId="0" fontId="22" fillId="0" borderId="15" xfId="0" applyFont="1" applyFill="1" applyBorder="1" applyAlignment="1">
      <alignment horizontal="center" vertical="center"/>
    </xf>
    <xf numFmtId="4" fontId="6" fillId="0" borderId="15" xfId="0" applyNumberFormat="1" applyFont="1" applyFill="1" applyBorder="1" applyAlignment="1">
      <alignment horizontal="center" vertical="center"/>
    </xf>
    <xf numFmtId="0" fontId="22" fillId="0" borderId="13" xfId="0" applyFont="1" applyFill="1" applyBorder="1" applyAlignment="1">
      <alignment horizontal="center" vertical="center"/>
    </xf>
    <xf numFmtId="0" fontId="22" fillId="0" borderId="50" xfId="0" applyFont="1" applyFill="1" applyBorder="1" applyAlignment="1">
      <alignment horizontal="center" vertical="center"/>
    </xf>
    <xf numFmtId="0" fontId="22" fillId="0" borderId="12" xfId="0" applyFont="1" applyFill="1" applyBorder="1" applyAlignment="1">
      <alignment horizontal="center" vertical="center"/>
    </xf>
    <xf numFmtId="0" fontId="22" fillId="0" borderId="46" xfId="0" applyFont="1" applyFill="1" applyBorder="1" applyAlignment="1" applyProtection="1">
      <alignment horizontal="left" vertical="center"/>
      <protection locked="0"/>
    </xf>
    <xf numFmtId="2" fontId="71" fillId="0" borderId="44" xfId="0" applyNumberFormat="1" applyFont="1" applyFill="1" applyBorder="1" applyAlignment="1">
      <alignment horizontal="center" vertical="center"/>
    </xf>
    <xf numFmtId="2" fontId="71" fillId="0" borderId="81" xfId="0" applyNumberFormat="1" applyFont="1" applyFill="1" applyBorder="1" applyAlignment="1">
      <alignment horizontal="center" vertical="center"/>
    </xf>
    <xf numFmtId="0" fontId="71" fillId="0" borderId="4" xfId="0" applyFont="1" applyFill="1" applyBorder="1" applyAlignment="1">
      <alignment horizontal="center" vertical="center"/>
    </xf>
    <xf numFmtId="2" fontId="71" fillId="0" borderId="80" xfId="0" applyNumberFormat="1" applyFont="1" applyFill="1" applyBorder="1" applyAlignment="1">
      <alignment horizontal="center" vertical="center"/>
    </xf>
    <xf numFmtId="2" fontId="71" fillId="0" borderId="71" xfId="0" applyNumberFormat="1" applyFont="1" applyFill="1" applyBorder="1" applyAlignment="1">
      <alignment horizontal="center" vertical="center"/>
    </xf>
    <xf numFmtId="2" fontId="71" fillId="0" borderId="0" xfId="0" applyNumberFormat="1" applyFont="1" applyFill="1" applyBorder="1" applyAlignment="1">
      <alignment horizontal="center" vertical="center"/>
    </xf>
    <xf numFmtId="2" fontId="71" fillId="0" borderId="9" xfId="0" applyNumberFormat="1" applyFont="1" applyFill="1" applyBorder="1" applyAlignment="1">
      <alignment horizontal="center" vertical="center"/>
    </xf>
    <xf numFmtId="2" fontId="71" fillId="0" borderId="13" xfId="0" applyNumberFormat="1" applyFont="1" applyFill="1" applyBorder="1" applyAlignment="1">
      <alignment horizontal="center" vertical="center"/>
    </xf>
    <xf numFmtId="0" fontId="71" fillId="0" borderId="44" xfId="0" applyFont="1" applyFill="1" applyBorder="1" applyAlignment="1">
      <alignment horizontal="center" vertical="center"/>
    </xf>
    <xf numFmtId="0" fontId="71" fillId="0" borderId="65" xfId="0" applyFont="1" applyFill="1" applyBorder="1" applyAlignment="1">
      <alignment horizontal="center" vertical="center"/>
    </xf>
    <xf numFmtId="0" fontId="71" fillId="0" borderId="31" xfId="0" applyFont="1" applyFill="1" applyBorder="1" applyAlignment="1">
      <alignment horizontal="center" vertical="center"/>
    </xf>
    <xf numFmtId="0" fontId="71" fillId="0" borderId="15" xfId="0" applyFont="1" applyFill="1" applyBorder="1" applyAlignment="1">
      <alignment horizontal="center" vertical="center"/>
    </xf>
    <xf numFmtId="0" fontId="71" fillId="0" borderId="19" xfId="0" applyFont="1" applyFill="1" applyBorder="1" applyAlignment="1">
      <alignment horizontal="center" vertical="center"/>
    </xf>
    <xf numFmtId="0" fontId="71" fillId="0" borderId="23" xfId="0" applyFont="1" applyFill="1" applyBorder="1" applyAlignment="1">
      <alignment horizontal="center" vertical="center"/>
    </xf>
    <xf numFmtId="0" fontId="71" fillId="0" borderId="49" xfId="0" applyFont="1" applyFill="1" applyBorder="1" applyAlignment="1">
      <alignment horizontal="center" vertical="center"/>
    </xf>
    <xf numFmtId="0" fontId="71" fillId="0" borderId="13" xfId="0" applyFont="1" applyFill="1" applyBorder="1" applyAlignment="1">
      <alignment horizontal="center" vertical="center"/>
    </xf>
    <xf numFmtId="0" fontId="71" fillId="0" borderId="52" xfId="0" applyFont="1" applyFill="1" applyBorder="1" applyAlignment="1">
      <alignment horizontal="center" vertical="center"/>
    </xf>
    <xf numFmtId="0" fontId="71" fillId="0" borderId="29" xfId="0" applyFont="1" applyFill="1" applyBorder="1" applyAlignment="1">
      <alignment horizontal="center" vertical="center"/>
    </xf>
    <xf numFmtId="0" fontId="21" fillId="0" borderId="0" xfId="0" applyFont="1" applyFill="1" applyBorder="1" applyAlignment="1" applyProtection="1">
      <alignment horizontal="center" vertical="center"/>
      <protection locked="0"/>
    </xf>
    <xf numFmtId="4" fontId="18" fillId="0" borderId="51" xfId="0" applyNumberFormat="1" applyFont="1" applyFill="1" applyBorder="1" applyAlignment="1" applyProtection="1">
      <alignment horizontal="center" vertical="center" textRotation="90" wrapText="1"/>
      <protection locked="0"/>
    </xf>
    <xf numFmtId="164" fontId="18" fillId="0" borderId="8" xfId="0" applyNumberFormat="1" applyFont="1" applyFill="1" applyBorder="1" applyAlignment="1" applyProtection="1">
      <alignment horizontal="center" vertical="center" textRotation="90" wrapText="1"/>
      <protection locked="0"/>
    </xf>
    <xf numFmtId="4" fontId="18" fillId="0" borderId="21" xfId="0" applyNumberFormat="1" applyFont="1" applyFill="1" applyBorder="1" applyAlignment="1" applyProtection="1">
      <alignment horizontal="center" vertical="center" textRotation="90" wrapText="1"/>
      <protection locked="0"/>
    </xf>
    <xf numFmtId="4" fontId="18" fillId="0" borderId="47" xfId="0" applyNumberFormat="1" applyFont="1" applyFill="1" applyBorder="1" applyAlignment="1" applyProtection="1">
      <alignment horizontal="center" vertical="center" textRotation="90" wrapText="1"/>
      <protection locked="0"/>
    </xf>
    <xf numFmtId="2" fontId="18" fillId="0" borderId="21" xfId="0" applyNumberFormat="1" applyFont="1" applyFill="1" applyBorder="1" applyAlignment="1" applyProtection="1">
      <alignment horizontal="center" vertical="center" textRotation="90" wrapText="1"/>
      <protection locked="0"/>
    </xf>
    <xf numFmtId="4" fontId="4" fillId="0" borderId="19" xfId="0" applyNumberFormat="1" applyFont="1" applyFill="1" applyBorder="1" applyAlignment="1" applyProtection="1">
      <alignment horizontal="center" vertical="center"/>
      <protection locked="0"/>
    </xf>
    <xf numFmtId="169" fontId="4" fillId="0" borderId="30" xfId="0" applyNumberFormat="1" applyFont="1" applyFill="1" applyBorder="1" applyAlignment="1" applyProtection="1">
      <alignment horizontal="center" vertical="center"/>
      <protection locked="0"/>
    </xf>
    <xf numFmtId="4" fontId="9" fillId="0" borderId="30" xfId="0" applyNumberFormat="1" applyFont="1" applyFill="1" applyBorder="1" applyAlignment="1" applyProtection="1">
      <alignment vertical="center"/>
      <protection locked="0"/>
    </xf>
    <xf numFmtId="4" fontId="9" fillId="0" borderId="18" xfId="0" applyNumberFormat="1" applyFont="1" applyFill="1" applyBorder="1" applyAlignment="1" applyProtection="1">
      <alignment horizontal="center" vertical="center"/>
      <protection locked="0"/>
    </xf>
    <xf numFmtId="4" fontId="4" fillId="0" borderId="31" xfId="0" applyNumberFormat="1" applyFont="1" applyFill="1" applyBorder="1" applyAlignment="1" applyProtection="1">
      <alignment horizontal="center" vertical="center"/>
      <protection locked="0"/>
    </xf>
    <xf numFmtId="4" fontId="6" fillId="0" borderId="30" xfId="0" applyNumberFormat="1" applyFont="1" applyFill="1" applyBorder="1" applyAlignment="1" applyProtection="1">
      <alignment vertical="center"/>
      <protection locked="0"/>
    </xf>
    <xf numFmtId="4" fontId="6" fillId="0" borderId="18" xfId="0" applyNumberFormat="1" applyFont="1" applyFill="1" applyBorder="1" applyAlignment="1" applyProtection="1">
      <alignment horizontal="center" vertical="center"/>
      <protection locked="0"/>
    </xf>
    <xf numFmtId="4" fontId="6" fillId="0" borderId="31" xfId="0" applyNumberFormat="1" applyFont="1" applyFill="1" applyBorder="1" applyAlignment="1" applyProtection="1">
      <alignment vertical="center"/>
      <protection locked="0"/>
    </xf>
    <xf numFmtId="4" fontId="6" fillId="0" borderId="72" xfId="0" applyNumberFormat="1" applyFont="1" applyFill="1" applyBorder="1" applyAlignment="1" applyProtection="1">
      <alignment horizontal="center" vertical="center"/>
      <protection locked="0"/>
    </xf>
    <xf numFmtId="4" fontId="4" fillId="0" borderId="30" xfId="0" applyNumberFormat="1" applyFont="1" applyFill="1" applyBorder="1" applyAlignment="1" applyProtection="1">
      <alignment horizontal="center" vertical="center"/>
      <protection locked="0"/>
    </xf>
    <xf numFmtId="4" fontId="9" fillId="0" borderId="30" xfId="0" applyNumberFormat="1" applyFont="1" applyFill="1" applyBorder="1" applyAlignment="1" applyProtection="1">
      <alignment horizontal="center" vertical="center"/>
      <protection locked="0"/>
    </xf>
    <xf numFmtId="2" fontId="4" fillId="0" borderId="31" xfId="0" applyNumberFormat="1" applyFont="1" applyFill="1" applyBorder="1" applyAlignment="1" applyProtection="1">
      <alignment horizontal="center" vertical="center"/>
      <protection locked="0"/>
    </xf>
    <xf numFmtId="4" fontId="4" fillId="0" borderId="23" xfId="0" applyNumberFormat="1" applyFont="1" applyFill="1" applyBorder="1" applyAlignment="1" applyProtection="1">
      <alignment horizontal="center" vertical="center"/>
      <protection locked="0"/>
    </xf>
    <xf numFmtId="169" fontId="4" fillId="0" borderId="4" xfId="0" applyNumberFormat="1" applyFont="1" applyFill="1" applyBorder="1" applyAlignment="1" applyProtection="1">
      <alignment horizontal="center" vertical="center"/>
      <protection locked="0"/>
    </xf>
    <xf numFmtId="4" fontId="9" fillId="0" borderId="4" xfId="0" applyNumberFormat="1" applyFont="1" applyFill="1" applyBorder="1" applyAlignment="1" applyProtection="1">
      <alignment vertical="center"/>
      <protection locked="0"/>
    </xf>
    <xf numFmtId="4" fontId="9" fillId="0" borderId="20" xfId="0" applyNumberFormat="1" applyFont="1" applyFill="1" applyBorder="1" applyAlignment="1" applyProtection="1">
      <alignment horizontal="center" vertical="center"/>
      <protection locked="0"/>
    </xf>
    <xf numFmtId="4" fontId="4" fillId="0" borderId="44" xfId="0" applyNumberFormat="1" applyFont="1" applyFill="1" applyBorder="1" applyAlignment="1" applyProtection="1">
      <alignment horizontal="center" vertical="center"/>
      <protection locked="0"/>
    </xf>
    <xf numFmtId="4" fontId="6" fillId="0" borderId="4" xfId="0" applyNumberFormat="1" applyFont="1" applyFill="1" applyBorder="1" applyAlignment="1" applyProtection="1">
      <alignment vertical="center"/>
      <protection locked="0"/>
    </xf>
    <xf numFmtId="4" fontId="6" fillId="0" borderId="20" xfId="0" applyNumberFormat="1" applyFont="1" applyFill="1" applyBorder="1" applyAlignment="1" applyProtection="1">
      <alignment horizontal="center" vertical="center"/>
      <protection locked="0"/>
    </xf>
    <xf numFmtId="4" fontId="6" fillId="0" borderId="13" xfId="0" applyNumberFormat="1" applyFont="1" applyFill="1" applyBorder="1" applyAlignment="1" applyProtection="1">
      <alignment vertical="center"/>
      <protection locked="0"/>
    </xf>
    <xf numFmtId="4" fontId="6" fillId="0" borderId="10" xfId="0" applyNumberFormat="1" applyFont="1" applyFill="1" applyBorder="1" applyAlignment="1" applyProtection="1">
      <alignment vertical="center"/>
      <protection locked="0"/>
    </xf>
    <xf numFmtId="4" fontId="6" fillId="0" borderId="73" xfId="0" applyNumberFormat="1" applyFont="1" applyFill="1" applyBorder="1" applyAlignment="1" applyProtection="1">
      <alignment horizontal="center" vertical="center"/>
      <protection locked="0"/>
    </xf>
    <xf numFmtId="4" fontId="4" fillId="0" borderId="4" xfId="0" applyNumberFormat="1" applyFont="1" applyFill="1" applyBorder="1" applyAlignment="1" applyProtection="1">
      <alignment horizontal="center" vertical="center"/>
      <protection locked="0"/>
    </xf>
    <xf numFmtId="4" fontId="9" fillId="0" borderId="4" xfId="0" applyNumberFormat="1" applyFont="1" applyFill="1" applyBorder="1" applyAlignment="1" applyProtection="1">
      <alignment horizontal="center" vertical="center"/>
      <protection locked="0"/>
    </xf>
    <xf numFmtId="2" fontId="4" fillId="0" borderId="44" xfId="0" applyNumberFormat="1" applyFont="1" applyFill="1" applyBorder="1" applyAlignment="1" applyProtection="1">
      <alignment horizontal="center" vertical="center"/>
      <protection locked="0"/>
    </xf>
    <xf numFmtId="4" fontId="9" fillId="0" borderId="12" xfId="0" applyNumberFormat="1" applyFont="1" applyFill="1" applyBorder="1" applyAlignment="1" applyProtection="1">
      <alignment horizontal="center" vertical="center"/>
      <protection locked="0"/>
    </xf>
    <xf numFmtId="169" fontId="4" fillId="0" borderId="28" xfId="0" applyNumberFormat="1" applyFont="1" applyFill="1" applyBorder="1" applyAlignment="1" applyProtection="1">
      <alignment horizontal="center" vertical="center"/>
      <protection locked="0"/>
    </xf>
    <xf numFmtId="2" fontId="4" fillId="0" borderId="23" xfId="0" applyNumberFormat="1" applyFont="1" applyFill="1" applyBorder="1" applyAlignment="1" applyProtection="1">
      <alignment horizontal="center" vertical="center"/>
      <protection locked="0"/>
    </xf>
    <xf numFmtId="4" fontId="6" fillId="0" borderId="44" xfId="0" applyNumberFormat="1" applyFont="1" applyFill="1" applyBorder="1" applyAlignment="1" applyProtection="1">
      <alignment vertical="center"/>
      <protection locked="0"/>
    </xf>
    <xf numFmtId="4" fontId="6" fillId="0" borderId="22" xfId="0" applyNumberFormat="1" applyFont="1" applyFill="1" applyBorder="1" applyAlignment="1" applyProtection="1">
      <alignment horizontal="center" vertical="center"/>
      <protection locked="0"/>
    </xf>
    <xf numFmtId="4" fontId="4" fillId="0" borderId="28" xfId="0" applyNumberFormat="1" applyFont="1" applyFill="1" applyBorder="1" applyAlignment="1" applyProtection="1">
      <alignment horizontal="center" vertical="center"/>
      <protection locked="0"/>
    </xf>
    <xf numFmtId="4" fontId="9" fillId="0" borderId="28" xfId="0" applyNumberFormat="1" applyFont="1" applyFill="1" applyBorder="1" applyAlignment="1" applyProtection="1">
      <alignment horizontal="center" vertical="center"/>
      <protection locked="0"/>
    </xf>
    <xf numFmtId="4" fontId="9" fillId="0" borderId="50" xfId="0" applyNumberFormat="1" applyFont="1" applyFill="1" applyBorder="1" applyAlignment="1" applyProtection="1">
      <alignment horizontal="center" vertical="center"/>
      <protection locked="0"/>
    </xf>
    <xf numFmtId="2" fontId="71" fillId="0" borderId="44" xfId="0" applyNumberFormat="1" applyFont="1" applyFill="1" applyBorder="1" applyAlignment="1" applyProtection="1">
      <alignment horizontal="center" vertical="center"/>
      <protection locked="0"/>
    </xf>
    <xf numFmtId="0" fontId="71" fillId="0" borderId="4" xfId="0" applyFont="1" applyFill="1" applyBorder="1" applyAlignment="1" applyProtection="1">
      <alignment horizontal="center" vertical="center"/>
      <protection locked="0"/>
    </xf>
    <xf numFmtId="0" fontId="22" fillId="0" borderId="4" xfId="0" applyFont="1" applyFill="1" applyBorder="1" applyAlignment="1" applyProtection="1">
      <alignment horizontal="center" vertical="center"/>
      <protection locked="0"/>
    </xf>
    <xf numFmtId="4" fontId="6" fillId="0" borderId="42" xfId="0" applyNumberFormat="1" applyFont="1" applyFill="1" applyBorder="1" applyAlignment="1" applyProtection="1">
      <alignment vertical="center"/>
      <protection locked="0"/>
    </xf>
    <xf numFmtId="4" fontId="6" fillId="0" borderId="40" xfId="0" applyNumberFormat="1" applyFont="1" applyFill="1" applyBorder="1" applyAlignment="1" applyProtection="1">
      <alignment vertical="center"/>
      <protection locked="0"/>
    </xf>
    <xf numFmtId="4" fontId="6" fillId="0" borderId="48" xfId="0" applyNumberFormat="1" applyFont="1" applyFill="1" applyBorder="1" applyAlignment="1" applyProtection="1">
      <alignment horizontal="center" vertical="center"/>
      <protection locked="0"/>
    </xf>
    <xf numFmtId="4" fontId="4" fillId="0" borderId="10" xfId="0" applyNumberFormat="1" applyFont="1" applyFill="1" applyBorder="1" applyAlignment="1" applyProtection="1">
      <alignment horizontal="center" vertical="center"/>
      <protection locked="0"/>
    </xf>
    <xf numFmtId="169" fontId="4" fillId="0" borderId="10" xfId="0" applyNumberFormat="1" applyFont="1" applyFill="1" applyBorder="1" applyAlignment="1" applyProtection="1">
      <alignment horizontal="center" vertical="center"/>
      <protection locked="0"/>
    </xf>
    <xf numFmtId="4" fontId="9" fillId="0" borderId="10" xfId="0" applyNumberFormat="1" applyFont="1" applyFill="1" applyBorder="1" applyAlignment="1" applyProtection="1">
      <alignment horizontal="center" vertical="center"/>
      <protection locked="0"/>
    </xf>
    <xf numFmtId="2" fontId="4" fillId="0" borderId="13" xfId="0" applyNumberFormat="1" applyFont="1" applyFill="1" applyBorder="1" applyAlignment="1" applyProtection="1">
      <alignment horizontal="center" vertical="center"/>
      <protection locked="0"/>
    </xf>
    <xf numFmtId="4" fontId="4" fillId="0" borderId="52" xfId="0" applyNumberFormat="1" applyFont="1" applyFill="1" applyBorder="1" applyAlignment="1" applyProtection="1">
      <alignment horizontal="center" vertical="center"/>
      <protection locked="0"/>
    </xf>
    <xf numFmtId="4" fontId="9" fillId="0" borderId="28" xfId="0" applyNumberFormat="1" applyFont="1" applyFill="1" applyBorder="1" applyAlignment="1" applyProtection="1">
      <alignment vertical="center"/>
      <protection locked="0"/>
    </xf>
    <xf numFmtId="4" fontId="4" fillId="0" borderId="65" xfId="0" applyNumberFormat="1" applyFont="1" applyFill="1" applyBorder="1" applyAlignment="1" applyProtection="1">
      <alignment horizontal="center" vertical="center"/>
      <protection locked="0"/>
    </xf>
    <xf numFmtId="4" fontId="6" fillId="0" borderId="28" xfId="0" applyNumberFormat="1" applyFont="1" applyFill="1" applyBorder="1" applyAlignment="1" applyProtection="1">
      <alignment vertical="center"/>
      <protection locked="0"/>
    </xf>
    <xf numFmtId="4" fontId="6" fillId="0" borderId="50" xfId="0" applyNumberFormat="1" applyFont="1" applyFill="1" applyBorder="1" applyAlignment="1" applyProtection="1">
      <alignment horizontal="center" vertical="center"/>
      <protection locked="0"/>
    </xf>
    <xf numFmtId="2" fontId="71" fillId="0" borderId="81" xfId="0" applyNumberFormat="1" applyFont="1" applyFill="1" applyBorder="1" applyAlignment="1" applyProtection="1">
      <alignment horizontal="center" vertical="center"/>
      <protection locked="0"/>
    </xf>
    <xf numFmtId="4" fontId="6" fillId="0" borderId="31" xfId="0" applyNumberFormat="1" applyFont="1" applyFill="1" applyBorder="1" applyAlignment="1" applyProtection="1">
      <alignment horizontal="center" vertical="center"/>
      <protection locked="0"/>
    </xf>
    <xf numFmtId="169" fontId="6" fillId="0" borderId="30" xfId="0" applyNumberFormat="1" applyFont="1" applyFill="1" applyBorder="1" applyAlignment="1" applyProtection="1">
      <alignment horizontal="center" vertical="center"/>
      <protection locked="0"/>
    </xf>
    <xf numFmtId="4" fontId="6" fillId="0" borderId="30" xfId="0" applyNumberFormat="1" applyFont="1" applyFill="1" applyBorder="1" applyAlignment="1" applyProtection="1">
      <alignment horizontal="center" vertical="center"/>
      <protection locked="0"/>
    </xf>
    <xf numFmtId="0" fontId="71" fillId="0" borderId="31" xfId="0" applyFont="1" applyFill="1" applyBorder="1" applyAlignment="1" applyProtection="1">
      <alignment horizontal="center" vertical="center"/>
      <protection locked="0"/>
    </xf>
    <xf numFmtId="0" fontId="22" fillId="0" borderId="30" xfId="0" applyFont="1" applyFill="1" applyBorder="1" applyAlignment="1" applyProtection="1">
      <alignment horizontal="center" vertical="center"/>
      <protection locked="0"/>
    </xf>
    <xf numFmtId="2" fontId="71" fillId="0" borderId="80" xfId="0" applyNumberFormat="1" applyFont="1" applyFill="1" applyBorder="1" applyAlignment="1" applyProtection="1">
      <alignment horizontal="center" vertical="center"/>
      <protection locked="0"/>
    </xf>
    <xf numFmtId="4" fontId="6" fillId="0" borderId="44" xfId="0" applyNumberFormat="1" applyFont="1" applyFill="1" applyBorder="1" applyAlignment="1" applyProtection="1">
      <alignment horizontal="center" vertical="center"/>
      <protection locked="0"/>
    </xf>
    <xf numFmtId="169" fontId="6" fillId="0" borderId="4" xfId="0" applyNumberFormat="1" applyFont="1" applyFill="1" applyBorder="1" applyAlignment="1" applyProtection="1">
      <alignment horizontal="center" vertical="center"/>
      <protection locked="0"/>
    </xf>
    <xf numFmtId="4" fontId="6" fillId="0" borderId="4" xfId="0" applyNumberFormat="1" applyFont="1" applyFill="1" applyBorder="1" applyAlignment="1" applyProtection="1">
      <alignment horizontal="center" vertical="center"/>
      <protection locked="0"/>
    </xf>
    <xf numFmtId="0" fontId="71" fillId="0" borderId="44" xfId="0" applyFont="1" applyFill="1" applyBorder="1" applyAlignment="1" applyProtection="1">
      <alignment horizontal="center" vertical="center"/>
      <protection locked="0"/>
    </xf>
    <xf numFmtId="2" fontId="71" fillId="0" borderId="71" xfId="0" applyNumberFormat="1" applyFont="1" applyFill="1" applyBorder="1" applyAlignment="1" applyProtection="1">
      <alignment horizontal="center" vertical="center"/>
      <protection locked="0"/>
    </xf>
    <xf numFmtId="4" fontId="4" fillId="0" borderId="43" xfId="0" applyNumberFormat="1" applyFont="1" applyFill="1" applyBorder="1" applyAlignment="1" applyProtection="1">
      <alignment horizontal="center" vertical="center"/>
      <protection locked="0"/>
    </xf>
    <xf numFmtId="169" fontId="4" fillId="0" borderId="40" xfId="0" applyNumberFormat="1" applyFont="1" applyFill="1" applyBorder="1" applyAlignment="1" applyProtection="1">
      <alignment horizontal="center" vertical="center"/>
      <protection locked="0"/>
    </xf>
    <xf numFmtId="4" fontId="9" fillId="0" borderId="40" xfId="0" applyNumberFormat="1" applyFont="1" applyFill="1" applyBorder="1" applyAlignment="1" applyProtection="1">
      <alignment horizontal="center" vertical="center"/>
      <protection locked="0"/>
    </xf>
    <xf numFmtId="4" fontId="9" fillId="0" borderId="14" xfId="0" applyNumberFormat="1" applyFont="1" applyFill="1" applyBorder="1" applyAlignment="1" applyProtection="1">
      <alignment horizontal="center" vertical="center"/>
      <protection locked="0"/>
    </xf>
    <xf numFmtId="4" fontId="6" fillId="0" borderId="42" xfId="0" applyNumberFormat="1" applyFont="1" applyFill="1" applyBorder="1" applyAlignment="1" applyProtection="1">
      <alignment horizontal="center" vertical="center"/>
      <protection locked="0"/>
    </xf>
    <xf numFmtId="4" fontId="6" fillId="0" borderId="40" xfId="0" applyNumberFormat="1" applyFont="1" applyFill="1" applyBorder="1" applyAlignment="1" applyProtection="1">
      <alignment horizontal="center" vertical="center"/>
      <protection locked="0"/>
    </xf>
    <xf numFmtId="4" fontId="4" fillId="0" borderId="40" xfId="0" applyNumberFormat="1" applyFont="1" applyFill="1" applyBorder="1" applyAlignment="1" applyProtection="1">
      <alignment horizontal="center" vertical="center"/>
      <protection locked="0"/>
    </xf>
    <xf numFmtId="2" fontId="71" fillId="0" borderId="0" xfId="0" applyNumberFormat="1" applyFont="1" applyFill="1" applyBorder="1" applyAlignment="1" applyProtection="1">
      <alignment horizontal="center" vertical="center"/>
      <protection locked="0"/>
    </xf>
    <xf numFmtId="4" fontId="4" fillId="0" borderId="33" xfId="0" applyNumberFormat="1" applyFont="1" applyFill="1" applyBorder="1" applyAlignment="1" applyProtection="1">
      <alignment horizontal="center" vertical="center"/>
      <protection locked="0"/>
    </xf>
    <xf numFmtId="169" fontId="4" fillId="0" borderId="34" xfId="0" applyNumberFormat="1" applyFont="1" applyFill="1" applyBorder="1" applyAlignment="1" applyProtection="1">
      <alignment horizontal="center" vertical="center"/>
      <protection locked="0"/>
    </xf>
    <xf numFmtId="4" fontId="9" fillId="0" borderId="34" xfId="0" applyNumberFormat="1" applyFont="1" applyFill="1" applyBorder="1" applyAlignment="1" applyProtection="1">
      <alignment horizontal="center" vertical="center"/>
      <protection locked="0"/>
    </xf>
    <xf numFmtId="4" fontId="6" fillId="0" borderId="32" xfId="0" applyNumberFormat="1" applyFont="1" applyFill="1" applyBorder="1" applyAlignment="1" applyProtection="1">
      <alignment horizontal="center" vertical="center"/>
      <protection locked="0"/>
    </xf>
    <xf numFmtId="4" fontId="6" fillId="0" borderId="34" xfId="0" applyNumberFormat="1" applyFont="1" applyFill="1" applyBorder="1" applyAlignment="1" applyProtection="1">
      <alignment horizontal="center" vertical="center"/>
      <protection locked="0"/>
    </xf>
    <xf numFmtId="4" fontId="4" fillId="0" borderId="34" xfId="0" applyNumberFormat="1" applyFont="1" applyFill="1" applyBorder="1" applyAlignment="1" applyProtection="1">
      <alignment horizontal="center" vertical="center"/>
      <protection locked="0"/>
    </xf>
    <xf numFmtId="4" fontId="4" fillId="0" borderId="13" xfId="0" applyNumberFormat="1" applyFont="1" applyFill="1" applyBorder="1" applyAlignment="1" applyProtection="1">
      <alignment horizontal="center" vertical="center"/>
      <protection locked="0"/>
    </xf>
    <xf numFmtId="4" fontId="6" fillId="0" borderId="13" xfId="0" applyNumberFormat="1" applyFont="1" applyFill="1" applyBorder="1" applyAlignment="1" applyProtection="1">
      <alignment horizontal="center" vertical="center"/>
      <protection locked="0"/>
    </xf>
    <xf numFmtId="4" fontId="6" fillId="0" borderId="10" xfId="0" applyNumberFormat="1" applyFont="1" applyFill="1" applyBorder="1" applyAlignment="1" applyProtection="1">
      <alignment horizontal="center" vertical="center"/>
      <protection locked="0"/>
    </xf>
    <xf numFmtId="2" fontId="71" fillId="0" borderId="13" xfId="0" applyNumberFormat="1" applyFont="1" applyFill="1" applyBorder="1" applyAlignment="1" applyProtection="1">
      <alignment horizontal="center" vertical="center"/>
      <protection locked="0"/>
    </xf>
    <xf numFmtId="0" fontId="22" fillId="0" borderId="10" xfId="0" applyFont="1" applyFill="1" applyBorder="1" applyAlignment="1" applyProtection="1">
      <alignment horizontal="center" vertical="center"/>
      <protection locked="0"/>
    </xf>
    <xf numFmtId="169" fontId="6" fillId="0" borderId="11" xfId="0" applyNumberFormat="1" applyFont="1" applyFill="1" applyBorder="1" applyAlignment="1" applyProtection="1">
      <alignment horizontal="center" vertical="center"/>
      <protection locked="0"/>
    </xf>
    <xf numFmtId="4" fontId="6" fillId="0" borderId="11" xfId="0" applyNumberFormat="1" applyFont="1" applyFill="1" applyBorder="1" applyAlignment="1" applyProtection="1">
      <alignment horizontal="center" vertical="center"/>
      <protection locked="0"/>
    </xf>
    <xf numFmtId="4" fontId="6" fillId="0" borderId="16" xfId="0" applyNumberFormat="1" applyFont="1" applyFill="1" applyBorder="1" applyAlignment="1" applyProtection="1">
      <alignment horizontal="center" vertical="center"/>
      <protection locked="0"/>
    </xf>
    <xf numFmtId="4" fontId="6" fillId="0" borderId="65" xfId="0" applyNumberFormat="1" applyFont="1" applyFill="1" applyBorder="1" applyAlignment="1" applyProtection="1">
      <alignment horizontal="center" vertical="center"/>
      <protection locked="0"/>
    </xf>
    <xf numFmtId="4" fontId="6" fillId="0" borderId="28" xfId="0" applyNumberFormat="1" applyFont="1" applyFill="1" applyBorder="1" applyAlignment="1" applyProtection="1">
      <alignment horizontal="center" vertical="center"/>
      <protection locked="0"/>
    </xf>
    <xf numFmtId="2" fontId="71" fillId="0" borderId="65" xfId="0" applyNumberFormat="1" applyFont="1" applyFill="1" applyBorder="1" applyAlignment="1" applyProtection="1">
      <alignment horizontal="center" vertical="center"/>
      <protection locked="0"/>
    </xf>
    <xf numFmtId="2" fontId="71" fillId="0" borderId="31" xfId="0" applyNumberFormat="1" applyFont="1" applyFill="1" applyBorder="1" applyAlignment="1" applyProtection="1">
      <alignment horizontal="center" vertical="center"/>
      <protection locked="0"/>
    </xf>
    <xf numFmtId="4" fontId="4" fillId="0" borderId="15" xfId="0" applyNumberFormat="1" applyFont="1" applyFill="1" applyBorder="1" applyAlignment="1" applyProtection="1">
      <alignment horizontal="center" vertical="center"/>
      <protection locked="0"/>
    </xf>
    <xf numFmtId="169" fontId="4" fillId="0" borderId="11" xfId="0" applyNumberFormat="1" applyFont="1" applyFill="1" applyBorder="1" applyAlignment="1" applyProtection="1">
      <alignment horizontal="center" vertical="center"/>
      <protection locked="0"/>
    </xf>
    <xf numFmtId="4" fontId="9" fillId="0" borderId="11" xfId="0" applyNumberFormat="1" applyFont="1" applyFill="1" applyBorder="1" applyAlignment="1" applyProtection="1">
      <alignment horizontal="center" vertical="center"/>
      <protection locked="0"/>
    </xf>
    <xf numFmtId="4" fontId="6" fillId="0" borderId="15" xfId="0" applyNumberFormat="1" applyFont="1" applyFill="1" applyBorder="1" applyAlignment="1" applyProtection="1">
      <alignment horizontal="center" vertical="center"/>
      <protection locked="0"/>
    </xf>
    <xf numFmtId="4" fontId="4" fillId="0" borderId="11" xfId="0" applyNumberFormat="1" applyFont="1" applyFill="1" applyBorder="1" applyAlignment="1" applyProtection="1">
      <alignment horizontal="center" vertical="center"/>
      <protection locked="0"/>
    </xf>
    <xf numFmtId="4" fontId="9" fillId="0" borderId="16" xfId="0" applyNumberFormat="1" applyFont="1" applyFill="1" applyBorder="1" applyAlignment="1" applyProtection="1">
      <alignment horizontal="center" vertical="center"/>
      <protection locked="0"/>
    </xf>
    <xf numFmtId="2" fontId="71" fillId="0" borderId="15" xfId="0" applyNumberFormat="1" applyFont="1" applyFill="1" applyBorder="1" applyAlignment="1" applyProtection="1">
      <alignment horizontal="center" vertical="center"/>
      <protection locked="0"/>
    </xf>
    <xf numFmtId="0" fontId="22" fillId="0" borderId="11" xfId="0" applyFont="1" applyFill="1" applyBorder="1" applyAlignment="1" applyProtection="1">
      <alignment horizontal="center" vertical="center"/>
      <protection locked="0"/>
    </xf>
    <xf numFmtId="2" fontId="71" fillId="0" borderId="19" xfId="0" applyNumberFormat="1" applyFont="1" applyFill="1" applyBorder="1" applyAlignment="1" applyProtection="1">
      <alignment horizontal="center" vertical="center"/>
      <protection locked="0"/>
    </xf>
    <xf numFmtId="2" fontId="71" fillId="0" borderId="23" xfId="0" applyNumberFormat="1" applyFont="1" applyFill="1" applyBorder="1" applyAlignment="1" applyProtection="1">
      <alignment horizontal="center" vertical="center"/>
      <protection locked="0"/>
    </xf>
    <xf numFmtId="4" fontId="4" fillId="0" borderId="49" xfId="0" applyNumberFormat="1" applyFont="1" applyFill="1" applyBorder="1" applyAlignment="1" applyProtection="1">
      <alignment horizontal="center" vertical="center"/>
      <protection locked="0"/>
    </xf>
    <xf numFmtId="2" fontId="71" fillId="0" borderId="49" xfId="0" applyNumberFormat="1" applyFont="1" applyFill="1" applyBorder="1" applyAlignment="1" applyProtection="1">
      <alignment horizontal="center" vertical="center"/>
      <protection locked="0"/>
    </xf>
    <xf numFmtId="169" fontId="6" fillId="0" borderId="10" xfId="0" applyNumberFormat="1" applyFont="1" applyFill="1" applyBorder="1" applyAlignment="1" applyProtection="1">
      <alignment horizontal="center" vertical="center"/>
      <protection locked="0"/>
    </xf>
    <xf numFmtId="4" fontId="6" fillId="0" borderId="60" xfId="0" applyNumberFormat="1" applyFont="1" applyFill="1" applyBorder="1" applyAlignment="1" applyProtection="1">
      <alignment horizontal="center" vertical="center"/>
      <protection locked="0"/>
    </xf>
    <xf numFmtId="0" fontId="22" fillId="0" borderId="31" xfId="0" applyFont="1" applyFill="1" applyBorder="1" applyAlignment="1" applyProtection="1">
      <alignment horizontal="center" vertical="center"/>
      <protection locked="0"/>
    </xf>
    <xf numFmtId="0" fontId="22" fillId="0" borderId="44" xfId="0" applyFont="1" applyFill="1" applyBorder="1" applyAlignment="1" applyProtection="1">
      <alignment horizontal="center" vertical="center"/>
      <protection locked="0"/>
    </xf>
    <xf numFmtId="4" fontId="6" fillId="0" borderId="76" xfId="0" applyNumberFormat="1" applyFont="1" applyFill="1" applyBorder="1" applyAlignment="1" applyProtection="1">
      <alignment horizontal="center" vertical="center"/>
      <protection locked="0"/>
    </xf>
    <xf numFmtId="0" fontId="22" fillId="0" borderId="15" xfId="0" applyFont="1" applyFill="1" applyBorder="1" applyAlignment="1" applyProtection="1">
      <alignment horizontal="center" vertical="center"/>
      <protection locked="0"/>
    </xf>
    <xf numFmtId="4" fontId="4" fillId="0" borderId="29" xfId="0" applyNumberFormat="1" applyFont="1" applyFill="1" applyBorder="1" applyAlignment="1" applyProtection="1">
      <alignment horizontal="center" vertical="center"/>
      <protection locked="0"/>
    </xf>
    <xf numFmtId="2" fontId="71" fillId="0" borderId="52" xfId="0" applyNumberFormat="1" applyFont="1" applyFill="1" applyBorder="1" applyAlignment="1" applyProtection="1">
      <alignment horizontal="center" vertical="center"/>
      <protection locked="0"/>
    </xf>
    <xf numFmtId="0" fontId="22" fillId="0" borderId="13" xfId="0" applyFont="1" applyFill="1" applyBorder="1" applyAlignment="1" applyProtection="1">
      <alignment horizontal="center" vertical="center"/>
      <protection locked="0"/>
    </xf>
    <xf numFmtId="4" fontId="6" fillId="0" borderId="12" xfId="0" applyNumberFormat="1" applyFont="1" applyFill="1" applyBorder="1" applyAlignment="1" applyProtection="1">
      <alignment horizontal="center" vertical="center"/>
      <protection locked="0"/>
    </xf>
    <xf numFmtId="2" fontId="71" fillId="0" borderId="29" xfId="0" applyNumberFormat="1" applyFont="1" applyFill="1" applyBorder="1" applyAlignment="1" applyProtection="1">
      <alignment horizontal="center" vertical="center"/>
      <protection locked="0"/>
    </xf>
    <xf numFmtId="4" fontId="9" fillId="0" borderId="10" xfId="0" applyNumberFormat="1" applyFont="1" applyFill="1" applyBorder="1" applyAlignment="1" applyProtection="1">
      <alignment vertical="center"/>
      <protection locked="0"/>
    </xf>
    <xf numFmtId="4" fontId="4" fillId="0" borderId="10" xfId="0" applyNumberFormat="1" applyFont="1" applyFill="1" applyBorder="1" applyAlignment="1" applyProtection="1">
      <alignment vertical="center"/>
      <protection locked="0"/>
    </xf>
    <xf numFmtId="0" fontId="22" fillId="0" borderId="0" xfId="0" applyFont="1" applyFill="1" applyBorder="1" applyAlignment="1" applyProtection="1">
      <alignment vertical="center"/>
      <protection locked="0"/>
    </xf>
    <xf numFmtId="2" fontId="9" fillId="0" borderId="30" xfId="0" applyNumberFormat="1" applyFont="1" applyFill="1" applyBorder="1" applyAlignment="1" applyProtection="1">
      <alignment horizontal="center" vertical="center"/>
      <protection locked="0"/>
    </xf>
    <xf numFmtId="2" fontId="9" fillId="0" borderId="18" xfId="0" applyNumberFormat="1" applyFont="1" applyFill="1" applyBorder="1" applyAlignment="1" applyProtection="1">
      <alignment horizontal="center" vertical="center"/>
      <protection locked="0"/>
    </xf>
    <xf numFmtId="2" fontId="9" fillId="0" borderId="4" xfId="0" applyNumberFormat="1" applyFont="1" applyFill="1" applyBorder="1" applyAlignment="1" applyProtection="1">
      <alignment horizontal="center" vertical="center"/>
      <protection locked="0"/>
    </xf>
    <xf numFmtId="2" fontId="9" fillId="0" borderId="12" xfId="0" applyNumberFormat="1" applyFont="1" applyFill="1" applyBorder="1" applyAlignment="1" applyProtection="1">
      <alignment horizontal="center" vertical="center"/>
      <protection locked="0"/>
    </xf>
    <xf numFmtId="2" fontId="9" fillId="0" borderId="20" xfId="0" applyNumberFormat="1" applyFont="1" applyFill="1" applyBorder="1" applyAlignment="1" applyProtection="1">
      <alignment horizontal="center" vertical="center"/>
      <protection locked="0"/>
    </xf>
    <xf numFmtId="2" fontId="22" fillId="0" borderId="4" xfId="0" applyNumberFormat="1" applyFont="1" applyFill="1" applyBorder="1" applyAlignment="1" applyProtection="1">
      <alignment horizontal="center" vertical="center"/>
      <protection locked="0"/>
    </xf>
    <xf numFmtId="2" fontId="9" fillId="0" borderId="10" xfId="0" applyNumberFormat="1" applyFont="1" applyFill="1" applyBorder="1" applyAlignment="1" applyProtection="1">
      <alignment horizontal="center" vertical="center"/>
      <protection locked="0"/>
    </xf>
    <xf numFmtId="2" fontId="22" fillId="0" borderId="28" xfId="0" applyNumberFormat="1" applyFont="1" applyFill="1" applyBorder="1" applyAlignment="1" applyProtection="1">
      <alignment horizontal="center" vertical="center"/>
      <protection locked="0"/>
    </xf>
    <xf numFmtId="2" fontId="22" fillId="0" borderId="30" xfId="0" applyNumberFormat="1" applyFont="1" applyFill="1" applyBorder="1" applyAlignment="1" applyProtection="1">
      <alignment horizontal="center" vertical="center"/>
      <protection locked="0"/>
    </xf>
    <xf numFmtId="2" fontId="22" fillId="0" borderId="40" xfId="0" applyNumberFormat="1" applyFont="1" applyFill="1" applyBorder="1" applyAlignment="1" applyProtection="1">
      <alignment horizontal="center" vertical="center"/>
      <protection locked="0"/>
    </xf>
    <xf numFmtId="2" fontId="22" fillId="0" borderId="34" xfId="0" applyNumberFormat="1" applyFont="1" applyFill="1" applyBorder="1" applyAlignment="1" applyProtection="1">
      <alignment horizontal="center" vertical="center"/>
      <protection locked="0"/>
    </xf>
    <xf numFmtId="2" fontId="22" fillId="0" borderId="10" xfId="0" applyNumberFormat="1" applyFont="1" applyFill="1" applyBorder="1" applyAlignment="1" applyProtection="1">
      <alignment horizontal="center" vertical="center"/>
      <protection locked="0"/>
    </xf>
    <xf numFmtId="2" fontId="22" fillId="0" borderId="11" xfId="0" applyNumberFormat="1" applyFont="1" applyFill="1" applyBorder="1" applyAlignment="1" applyProtection="1">
      <alignment horizontal="center" vertical="center"/>
      <protection locked="0"/>
    </xf>
    <xf numFmtId="2" fontId="22" fillId="0" borderId="31" xfId="0" applyNumberFormat="1" applyFont="1" applyFill="1" applyBorder="1" applyAlignment="1" applyProtection="1">
      <alignment horizontal="center" vertical="center"/>
      <protection locked="0"/>
    </xf>
    <xf numFmtId="2" fontId="22" fillId="0" borderId="44" xfId="0" applyNumberFormat="1" applyFont="1" applyFill="1" applyBorder="1" applyAlignment="1" applyProtection="1">
      <alignment horizontal="center" vertical="center"/>
      <protection locked="0"/>
    </xf>
    <xf numFmtId="2" fontId="22" fillId="0" borderId="15" xfId="0" applyNumberFormat="1" applyFont="1" applyFill="1" applyBorder="1" applyAlignment="1" applyProtection="1">
      <alignment horizontal="center" vertical="center"/>
      <protection locked="0"/>
    </xf>
    <xf numFmtId="2" fontId="22" fillId="0" borderId="13" xfId="0" applyNumberFormat="1" applyFont="1" applyFill="1" applyBorder="1" applyAlignment="1" applyProtection="1">
      <alignment horizontal="center" vertical="center"/>
      <protection locked="0"/>
    </xf>
    <xf numFmtId="2" fontId="22" fillId="0" borderId="65" xfId="0" applyNumberFormat="1" applyFont="1" applyFill="1" applyBorder="1" applyAlignment="1" applyProtection="1">
      <alignment horizontal="center" vertical="center"/>
      <protection locked="0"/>
    </xf>
    <xf numFmtId="2" fontId="9" fillId="0" borderId="28" xfId="0" applyNumberFormat="1" applyFont="1" applyFill="1" applyBorder="1" applyAlignment="1" applyProtection="1">
      <alignment horizontal="center" vertical="center"/>
      <protection locked="0"/>
    </xf>
    <xf numFmtId="2" fontId="9" fillId="0" borderId="50" xfId="0" applyNumberFormat="1" applyFont="1" applyFill="1" applyBorder="1" applyAlignment="1" applyProtection="1">
      <alignment horizontal="center" vertical="center"/>
      <protection locked="0"/>
    </xf>
    <xf numFmtId="2" fontId="9" fillId="0" borderId="40" xfId="0" applyNumberFormat="1" applyFont="1" applyFill="1" applyBorder="1" applyAlignment="1" applyProtection="1">
      <alignment horizontal="center" vertical="center"/>
      <protection locked="0"/>
    </xf>
    <xf numFmtId="2" fontId="9" fillId="0" borderId="14" xfId="0" applyNumberFormat="1" applyFont="1" applyFill="1" applyBorder="1" applyAlignment="1" applyProtection="1">
      <alignment horizontal="center" vertical="center"/>
      <protection locked="0"/>
    </xf>
    <xf numFmtId="2" fontId="9" fillId="0" borderId="34" xfId="0" applyNumberFormat="1" applyFont="1" applyFill="1" applyBorder="1" applyAlignment="1" applyProtection="1">
      <alignment horizontal="center" vertical="center"/>
      <protection locked="0"/>
    </xf>
    <xf numFmtId="2" fontId="9" fillId="0" borderId="11" xfId="0" applyNumberFormat="1" applyFont="1" applyFill="1" applyBorder="1" applyAlignment="1" applyProtection="1">
      <alignment horizontal="center" vertical="center"/>
      <protection locked="0"/>
    </xf>
    <xf numFmtId="2" fontId="9" fillId="0" borderId="16" xfId="0" applyNumberFormat="1" applyFont="1" applyFill="1" applyBorder="1" applyAlignment="1" applyProtection="1">
      <alignment horizontal="center" vertical="center"/>
      <protection locked="0"/>
    </xf>
    <xf numFmtId="4" fontId="4" fillId="0" borderId="65" xfId="0" applyNumberFormat="1" applyFont="1" applyFill="1" applyBorder="1" applyAlignment="1" applyProtection="1">
      <alignment vertical="center"/>
      <protection locked="0"/>
    </xf>
    <xf numFmtId="4" fontId="4" fillId="0" borderId="42" xfId="0" applyNumberFormat="1" applyFont="1" applyFill="1" applyBorder="1" applyAlignment="1" applyProtection="1">
      <alignment horizontal="center" vertical="center"/>
      <protection locked="0"/>
    </xf>
    <xf numFmtId="4" fontId="6" fillId="0" borderId="21" xfId="0" applyNumberFormat="1" applyFont="1" applyFill="1" applyBorder="1" applyAlignment="1" applyProtection="1">
      <alignment horizontal="center" vertical="center"/>
      <protection locked="0"/>
    </xf>
    <xf numFmtId="0" fontId="71" fillId="0" borderId="10" xfId="0" applyFont="1" applyFill="1" applyBorder="1" applyAlignment="1" applyProtection="1">
      <alignment horizontal="center" vertical="center"/>
      <protection locked="0"/>
    </xf>
    <xf numFmtId="4" fontId="9" fillId="0" borderId="21" xfId="0" applyNumberFormat="1" applyFont="1" applyFill="1" applyBorder="1" applyAlignment="1" applyProtection="1">
      <alignment horizontal="center" vertical="center"/>
      <protection locked="0"/>
    </xf>
    <xf numFmtId="2" fontId="71" fillId="0" borderId="42" xfId="0" applyNumberFormat="1" applyFont="1" applyFill="1" applyBorder="1" applyAlignment="1" applyProtection="1">
      <alignment horizontal="center" vertical="center"/>
      <protection locked="0"/>
    </xf>
    <xf numFmtId="2" fontId="71" fillId="0" borderId="32" xfId="0" applyNumberFormat="1" applyFont="1" applyFill="1" applyBorder="1" applyAlignment="1" applyProtection="1">
      <alignment horizontal="center" vertical="center"/>
      <protection locked="0"/>
    </xf>
    <xf numFmtId="2" fontId="71" fillId="0" borderId="83" xfId="0" applyNumberFormat="1" applyFont="1" applyFill="1" applyBorder="1" applyAlignment="1" applyProtection="1">
      <alignment horizontal="center" vertical="center"/>
      <protection locked="0"/>
    </xf>
    <xf numFmtId="0" fontId="22" fillId="0" borderId="45" xfId="0" applyFont="1" applyFill="1" applyBorder="1" applyAlignment="1" applyProtection="1">
      <alignment horizontal="center" vertical="center"/>
      <protection locked="0"/>
    </xf>
    <xf numFmtId="4" fontId="6" fillId="0" borderId="18" xfId="0" applyNumberFormat="1" applyFont="1" applyFill="1" applyBorder="1" applyAlignment="1" applyProtection="1">
      <alignment vertical="center"/>
      <protection locked="0"/>
    </xf>
    <xf numFmtId="4" fontId="6" fillId="0" borderId="20" xfId="0" applyNumberFormat="1" applyFont="1" applyFill="1" applyBorder="1" applyAlignment="1" applyProtection="1">
      <alignment vertical="center"/>
      <protection locked="0"/>
    </xf>
    <xf numFmtId="164" fontId="9" fillId="0" borderId="4" xfId="0" applyNumberFormat="1" applyFont="1" applyFill="1" applyBorder="1" applyAlignment="1" applyProtection="1">
      <alignment horizontal="center" vertical="center"/>
      <protection locked="0"/>
    </xf>
    <xf numFmtId="2" fontId="71" fillId="0" borderId="27" xfId="0" applyNumberFormat="1" applyFont="1" applyFill="1" applyBorder="1" applyAlignment="1" applyProtection="1">
      <alignment horizontal="center" vertical="center"/>
      <protection locked="0"/>
    </xf>
    <xf numFmtId="0" fontId="22" fillId="0" borderId="28" xfId="0" applyFont="1" applyFill="1" applyBorder="1" applyAlignment="1" applyProtection="1">
      <alignment horizontal="center" vertical="center"/>
      <protection locked="0"/>
    </xf>
    <xf numFmtId="0" fontId="22" fillId="0" borderId="79" xfId="0" applyFont="1" applyFill="1" applyBorder="1" applyAlignment="1" applyProtection="1">
      <alignment horizontal="center" vertical="center"/>
      <protection locked="0"/>
    </xf>
    <xf numFmtId="0" fontId="22" fillId="0" borderId="75" xfId="0" applyFont="1" applyFill="1" applyBorder="1" applyAlignment="1" applyProtection="1">
      <alignment horizontal="center" vertical="center"/>
      <protection locked="0"/>
    </xf>
    <xf numFmtId="0" fontId="22" fillId="0" borderId="82" xfId="0" applyFont="1" applyFill="1" applyBorder="1" applyAlignment="1" applyProtection="1">
      <alignment horizontal="center" vertical="center"/>
      <protection locked="0"/>
    </xf>
    <xf numFmtId="4" fontId="9" fillId="0" borderId="75" xfId="0" applyNumberFormat="1" applyFont="1" applyFill="1" applyBorder="1" applyAlignment="1" applyProtection="1">
      <alignment horizontal="center" vertical="center"/>
      <protection locked="0"/>
    </xf>
    <xf numFmtId="4" fontId="6" fillId="0" borderId="14" xfId="0" applyNumberFormat="1" applyFont="1" applyFill="1" applyBorder="1" applyAlignment="1" applyProtection="1">
      <alignment horizontal="center" vertical="center"/>
      <protection locked="0"/>
    </xf>
    <xf numFmtId="0" fontId="22" fillId="0" borderId="40" xfId="0" applyFont="1" applyFill="1" applyBorder="1" applyAlignment="1" applyProtection="1">
      <alignment horizontal="center" vertical="center"/>
      <protection locked="0"/>
    </xf>
    <xf numFmtId="0" fontId="22" fillId="0" borderId="63" xfId="0" applyFont="1" applyFill="1" applyBorder="1" applyAlignment="1" applyProtection="1">
      <alignment horizontal="center" vertical="center"/>
      <protection locked="0"/>
    </xf>
    <xf numFmtId="4" fontId="9" fillId="0" borderId="17" xfId="0" applyNumberFormat="1" applyFont="1" applyFill="1" applyBorder="1" applyAlignment="1" applyProtection="1">
      <alignment horizontal="center" vertical="center"/>
      <protection locked="0"/>
    </xf>
    <xf numFmtId="4" fontId="4" fillId="0" borderId="32" xfId="0" applyNumberFormat="1" applyFont="1" applyFill="1" applyBorder="1" applyAlignment="1" applyProtection="1">
      <alignment horizontal="center" vertical="center"/>
      <protection locked="0"/>
    </xf>
    <xf numFmtId="4" fontId="6" fillId="0" borderId="17" xfId="0" applyNumberFormat="1" applyFont="1" applyFill="1" applyBorder="1" applyAlignment="1" applyProtection="1">
      <alignment horizontal="center" vertical="center"/>
      <protection locked="0"/>
    </xf>
    <xf numFmtId="4" fontId="6" fillId="0" borderId="74" xfId="0" applyNumberFormat="1" applyFont="1" applyFill="1" applyBorder="1" applyAlignment="1" applyProtection="1">
      <alignment horizontal="center" vertical="center"/>
      <protection locked="0"/>
    </xf>
    <xf numFmtId="2" fontId="71" fillId="0" borderId="9" xfId="0" applyNumberFormat="1" applyFont="1" applyFill="1" applyBorder="1" applyAlignment="1" applyProtection="1">
      <alignment horizontal="center" vertical="center"/>
      <protection locked="0"/>
    </xf>
    <xf numFmtId="0" fontId="22" fillId="0" borderId="34" xfId="0" applyFont="1" applyFill="1" applyBorder="1" applyAlignment="1" applyProtection="1">
      <alignment horizontal="center" vertical="center"/>
      <protection locked="0"/>
    </xf>
    <xf numFmtId="0" fontId="22" fillId="0" borderId="64" xfId="0" applyFont="1" applyFill="1" applyBorder="1" applyAlignment="1" applyProtection="1">
      <alignment horizontal="center" vertical="center"/>
      <protection locked="0"/>
    </xf>
    <xf numFmtId="4" fontId="9" fillId="0" borderId="73" xfId="0" applyNumberFormat="1" applyFont="1" applyFill="1" applyBorder="1" applyAlignment="1" applyProtection="1">
      <alignment horizontal="center" vertical="center"/>
      <protection locked="0"/>
    </xf>
    <xf numFmtId="0" fontId="22" fillId="0" borderId="18" xfId="0" applyFont="1" applyFill="1" applyBorder="1" applyAlignment="1" applyProtection="1">
      <alignment horizontal="center" vertical="center"/>
      <protection locked="0"/>
    </xf>
    <xf numFmtId="4" fontId="9" fillId="0" borderId="22" xfId="0" applyNumberFormat="1" applyFont="1" applyFill="1" applyBorder="1" applyAlignment="1" applyProtection="1">
      <alignment horizontal="center" vertical="center"/>
      <protection locked="0"/>
    </xf>
    <xf numFmtId="0" fontId="22" fillId="0" borderId="20" xfId="0" applyFont="1" applyFill="1" applyBorder="1" applyAlignment="1" applyProtection="1">
      <alignment horizontal="center" vertical="center"/>
      <protection locked="0"/>
    </xf>
    <xf numFmtId="4" fontId="9" fillId="0" borderId="76" xfId="0" applyNumberFormat="1" applyFont="1" applyFill="1" applyBorder="1" applyAlignment="1" applyProtection="1">
      <alignment horizontal="center" vertical="center"/>
      <protection locked="0"/>
    </xf>
    <xf numFmtId="0" fontId="22" fillId="0" borderId="16" xfId="0" applyFont="1" applyFill="1" applyBorder="1" applyAlignment="1" applyProtection="1">
      <alignment horizontal="center" vertical="center"/>
      <protection locked="0"/>
    </xf>
    <xf numFmtId="4" fontId="9" fillId="0" borderId="72" xfId="0" applyNumberFormat="1" applyFont="1" applyFill="1" applyBorder="1" applyAlignment="1" applyProtection="1">
      <alignment horizontal="center" vertical="center"/>
      <protection locked="0"/>
    </xf>
    <xf numFmtId="4" fontId="9" fillId="0" borderId="60" xfId="0" applyNumberFormat="1" applyFont="1" applyFill="1" applyBorder="1" applyAlignment="1" applyProtection="1">
      <alignment horizontal="center" vertical="center"/>
      <protection locked="0"/>
    </xf>
    <xf numFmtId="0" fontId="22" fillId="0" borderId="50" xfId="0" applyFont="1" applyFill="1" applyBorder="1" applyAlignment="1" applyProtection="1">
      <alignment horizontal="center" vertical="center"/>
      <protection locked="0"/>
    </xf>
    <xf numFmtId="0" fontId="22" fillId="0" borderId="65" xfId="0" applyFont="1" applyFill="1" applyBorder="1" applyAlignment="1" applyProtection="1">
      <alignment horizontal="center" vertical="center"/>
      <protection locked="0"/>
    </xf>
    <xf numFmtId="0" fontId="22" fillId="0" borderId="12" xfId="0" applyFont="1" applyFill="1" applyBorder="1" applyAlignment="1" applyProtection="1">
      <alignment horizontal="center" vertical="center"/>
      <protection locked="0"/>
    </xf>
    <xf numFmtId="4" fontId="9" fillId="0" borderId="30" xfId="0" applyNumberFormat="1" applyFont="1" applyFill="1" applyBorder="1" applyAlignment="1" applyProtection="1">
      <alignment vertical="center"/>
      <protection hidden="1"/>
    </xf>
    <xf numFmtId="4" fontId="9" fillId="0" borderId="18" xfId="0" applyNumberFormat="1" applyFont="1" applyFill="1" applyBorder="1" applyAlignment="1" applyProtection="1">
      <alignment vertical="center"/>
      <protection hidden="1"/>
    </xf>
    <xf numFmtId="4" fontId="9" fillId="0" borderId="4" xfId="0" applyNumberFormat="1" applyFont="1" applyFill="1" applyBorder="1" applyAlignment="1" applyProtection="1">
      <alignment vertical="center"/>
      <protection hidden="1"/>
    </xf>
    <xf numFmtId="4" fontId="9" fillId="0" borderId="20" xfId="0" applyNumberFormat="1" applyFont="1" applyFill="1" applyBorder="1" applyAlignment="1" applyProtection="1">
      <alignment vertical="center"/>
      <protection hidden="1"/>
    </xf>
    <xf numFmtId="4" fontId="9" fillId="0" borderId="20" xfId="0" applyNumberFormat="1" applyFont="1" applyFill="1" applyBorder="1" applyAlignment="1" applyProtection="1">
      <alignment horizontal="center" vertical="center"/>
      <protection hidden="1"/>
    </xf>
    <xf numFmtId="4" fontId="9" fillId="0" borderId="28" xfId="0" applyNumberFormat="1" applyFont="1" applyFill="1" applyBorder="1" applyAlignment="1" applyProtection="1">
      <alignment vertical="center"/>
      <protection hidden="1"/>
    </xf>
    <xf numFmtId="4" fontId="9" fillId="0" borderId="50" xfId="0" applyNumberFormat="1" applyFont="1" applyFill="1" applyBorder="1" applyAlignment="1" applyProtection="1">
      <alignment horizontal="center" vertical="center"/>
      <protection hidden="1"/>
    </xf>
    <xf numFmtId="0" fontId="1" fillId="2" borderId="4" xfId="0" applyFont="1" applyFill="1" applyBorder="1" applyAlignment="1">
      <alignment horizontal="center" vertical="center"/>
    </xf>
    <xf numFmtId="0" fontId="0" fillId="2" borderId="0" xfId="0" applyFill="1"/>
    <xf numFmtId="0" fontId="73" fillId="10" borderId="0" xfId="0" applyFont="1" applyFill="1"/>
    <xf numFmtId="164" fontId="62" fillId="0" borderId="4" xfId="0" applyNumberFormat="1" applyFont="1" applyFill="1" applyBorder="1" applyAlignment="1">
      <alignment horizontal="center" vertical="center" wrapText="1"/>
    </xf>
    <xf numFmtId="2" fontId="1" fillId="4" borderId="4" xfId="0" applyNumberFormat="1" applyFont="1" applyFill="1" applyBorder="1" applyAlignment="1" applyProtection="1">
      <alignment horizontal="center" vertical="center" wrapText="1"/>
      <protection hidden="1"/>
    </xf>
    <xf numFmtId="4" fontId="53" fillId="0" borderId="0" xfId="0" applyNumberFormat="1" applyFont="1" applyFill="1" applyAlignment="1">
      <alignment vertical="center"/>
    </xf>
    <xf numFmtId="2" fontId="16" fillId="8" borderId="0" xfId="0" applyNumberFormat="1" applyFont="1" applyFill="1" applyAlignment="1">
      <alignment horizontal="center" vertical="center"/>
    </xf>
    <xf numFmtId="0" fontId="61" fillId="0" borderId="0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Alignment="1" applyProtection="1">
      <alignment horizontal="center" vertical="center"/>
      <protection locked="0"/>
    </xf>
    <xf numFmtId="0" fontId="61" fillId="0" borderId="0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Alignment="1" applyProtection="1">
      <alignment horizontal="center" vertical="center"/>
      <protection locked="0"/>
    </xf>
    <xf numFmtId="0" fontId="15" fillId="0" borderId="4" xfId="0" applyNumberFormat="1" applyFont="1" applyFill="1" applyBorder="1" applyAlignment="1" applyProtection="1">
      <alignment horizontal="center" vertical="center"/>
      <protection locked="0"/>
    </xf>
    <xf numFmtId="0" fontId="15" fillId="0" borderId="28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NumberFormat="1" applyAlignment="1">
      <alignment horizontal="center"/>
    </xf>
    <xf numFmtId="0" fontId="14" fillId="0" borderId="0" xfId="0" applyNumberFormat="1" applyFont="1" applyFill="1" applyAlignment="1">
      <alignment horizontal="center" vertical="center"/>
    </xf>
    <xf numFmtId="0" fontId="61" fillId="0" borderId="0" xfId="0" applyFont="1" applyFill="1" applyBorder="1" applyAlignment="1" applyProtection="1">
      <alignment horizontal="center" vertical="center"/>
      <protection locked="0"/>
    </xf>
    <xf numFmtId="0" fontId="74" fillId="0" borderId="26" xfId="0" applyFont="1" applyFill="1" applyBorder="1" applyAlignment="1" applyProtection="1">
      <alignment horizontal="center" vertical="center"/>
      <protection locked="0"/>
    </xf>
    <xf numFmtId="0" fontId="60" fillId="0" borderId="26" xfId="0" applyFont="1" applyFill="1" applyBorder="1" applyAlignment="1" applyProtection="1">
      <alignment horizontal="center" vertical="center"/>
      <protection locked="0"/>
    </xf>
    <xf numFmtId="0" fontId="75" fillId="0" borderId="26" xfId="0" applyFont="1" applyFill="1" applyBorder="1" applyProtection="1">
      <protection locked="0"/>
    </xf>
    <xf numFmtId="49" fontId="60" fillId="0" borderId="26" xfId="0" applyNumberFormat="1" applyFont="1" applyFill="1" applyBorder="1" applyProtection="1">
      <protection locked="0"/>
    </xf>
    <xf numFmtId="0" fontId="76" fillId="0" borderId="0" xfId="0" applyFont="1"/>
    <xf numFmtId="0" fontId="18" fillId="0" borderId="0" xfId="0" applyFont="1" applyBorder="1" applyAlignment="1" applyProtection="1">
      <alignment vertical="center" wrapText="1"/>
      <protection locked="0"/>
    </xf>
    <xf numFmtId="0" fontId="18" fillId="0" borderId="0" xfId="0" applyFont="1" applyBorder="1" applyAlignment="1" applyProtection="1">
      <alignment horizontal="center" vertical="center" wrapText="1"/>
      <protection locked="0"/>
    </xf>
    <xf numFmtId="0" fontId="76" fillId="0" borderId="0" xfId="0" applyFont="1" applyAlignment="1">
      <alignment horizontal="center"/>
    </xf>
    <xf numFmtId="0" fontId="77" fillId="0" borderId="0" xfId="0" applyFont="1" applyBorder="1" applyAlignment="1" applyProtection="1">
      <alignment horizontal="center" vertical="center" wrapText="1"/>
      <protection locked="0"/>
    </xf>
    <xf numFmtId="0" fontId="78" fillId="0" borderId="0" xfId="0" applyFont="1" applyAlignment="1">
      <alignment horizontal="center"/>
    </xf>
    <xf numFmtId="4" fontId="0" fillId="0" borderId="0" xfId="0" applyNumberFormat="1"/>
    <xf numFmtId="4" fontId="6" fillId="0" borderId="14" xfId="0" applyNumberFormat="1" applyFont="1" applyFill="1" applyBorder="1" applyAlignment="1" applyProtection="1">
      <alignment vertical="center"/>
      <protection locked="0"/>
    </xf>
    <xf numFmtId="4" fontId="6" fillId="0" borderId="50" xfId="0" applyNumberFormat="1" applyFont="1" applyFill="1" applyBorder="1" applyAlignment="1" applyProtection="1">
      <alignment vertical="center"/>
      <protection locked="0"/>
    </xf>
    <xf numFmtId="4" fontId="6" fillId="0" borderId="16" xfId="0" applyNumberFormat="1" applyFont="1" applyFill="1" applyBorder="1" applyAlignment="1" applyProtection="1">
      <alignment vertical="center"/>
      <protection locked="0"/>
    </xf>
    <xf numFmtId="4" fontId="9" fillId="0" borderId="48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/>
    <xf numFmtId="0" fontId="22" fillId="0" borderId="14" xfId="0" applyFont="1" applyFill="1" applyBorder="1" applyAlignment="1">
      <alignment horizontal="center" vertical="center"/>
    </xf>
    <xf numFmtId="4" fontId="6" fillId="0" borderId="33" xfId="0" applyNumberFormat="1" applyFont="1" applyFill="1" applyBorder="1" applyAlignment="1">
      <alignment horizontal="center" vertical="center"/>
    </xf>
    <xf numFmtId="169" fontId="6" fillId="0" borderId="34" xfId="0" applyNumberFormat="1" applyFont="1" applyFill="1" applyBorder="1" applyAlignment="1">
      <alignment horizontal="center" vertical="center"/>
    </xf>
    <xf numFmtId="0" fontId="22" fillId="0" borderId="33" xfId="0" applyFont="1" applyFill="1" applyBorder="1" applyAlignment="1">
      <alignment horizontal="center" vertical="center"/>
    </xf>
    <xf numFmtId="0" fontId="0" fillId="0" borderId="51" xfId="0" applyNumberFormat="1" applyFont="1" applyBorder="1" applyAlignment="1">
      <alignment horizontal="center" vertical="center"/>
    </xf>
    <xf numFmtId="0" fontId="0" fillId="0" borderId="43" xfId="0" applyNumberFormat="1" applyFont="1" applyBorder="1" applyAlignment="1">
      <alignment horizontal="center" vertical="center"/>
    </xf>
    <xf numFmtId="0" fontId="0" fillId="0" borderId="33" xfId="0" applyNumberFormat="1" applyFont="1" applyBorder="1" applyAlignment="1">
      <alignment horizontal="center" vertical="center"/>
    </xf>
    <xf numFmtId="0" fontId="0" fillId="0" borderId="21" xfId="0" applyNumberFormat="1" applyFont="1" applyBorder="1" applyAlignment="1">
      <alignment horizontal="center" vertical="center"/>
    </xf>
    <xf numFmtId="0" fontId="0" fillId="0" borderId="14" xfId="0" applyNumberFormat="1" applyFont="1" applyBorder="1" applyAlignment="1">
      <alignment horizontal="center" vertical="center"/>
    </xf>
    <xf numFmtId="0" fontId="0" fillId="0" borderId="17" xfId="0" applyNumberFormat="1" applyFont="1" applyBorder="1" applyAlignment="1">
      <alignment horizontal="center" vertical="center"/>
    </xf>
    <xf numFmtId="169" fontId="6" fillId="0" borderId="40" xfId="0" applyNumberFormat="1" applyFont="1" applyFill="1" applyBorder="1" applyAlignment="1" applyProtection="1">
      <alignment horizontal="center" vertical="center"/>
      <protection locked="0"/>
    </xf>
    <xf numFmtId="0" fontId="22" fillId="0" borderId="42" xfId="0" applyFont="1" applyFill="1" applyBorder="1" applyAlignment="1" applyProtection="1">
      <alignment horizontal="center" vertical="center"/>
      <protection locked="0"/>
    </xf>
    <xf numFmtId="0" fontId="22" fillId="0" borderId="14" xfId="0" applyFont="1" applyFill="1" applyBorder="1" applyAlignment="1" applyProtection="1">
      <alignment horizontal="center" vertical="center"/>
      <protection locked="0"/>
    </xf>
    <xf numFmtId="4" fontId="4" fillId="0" borderId="51" xfId="0" applyNumberFormat="1" applyFont="1" applyFill="1" applyBorder="1" applyAlignment="1" applyProtection="1">
      <alignment horizontal="center" vertical="center"/>
      <protection locked="0"/>
    </xf>
    <xf numFmtId="169" fontId="4" fillId="0" borderId="8" xfId="0" applyNumberFormat="1" applyFont="1" applyFill="1" applyBorder="1" applyAlignment="1" applyProtection="1">
      <alignment horizontal="center" vertical="center"/>
      <protection locked="0"/>
    </xf>
    <xf numFmtId="4" fontId="9" fillId="0" borderId="8" xfId="0" applyNumberFormat="1" applyFont="1" applyFill="1" applyBorder="1" applyAlignment="1" applyProtection="1">
      <alignment horizontal="center" vertical="center"/>
      <protection locked="0"/>
    </xf>
    <xf numFmtId="4" fontId="6" fillId="0" borderId="47" xfId="0" applyNumberFormat="1" applyFont="1" applyFill="1" applyBorder="1" applyAlignment="1" applyProtection="1">
      <alignment horizontal="center" vertical="center"/>
      <protection locked="0"/>
    </xf>
    <xf numFmtId="169" fontId="6" fillId="0" borderId="8" xfId="0" applyNumberFormat="1" applyFont="1" applyFill="1" applyBorder="1" applyAlignment="1" applyProtection="1">
      <alignment horizontal="center" vertical="center"/>
      <protection locked="0"/>
    </xf>
    <xf numFmtId="4" fontId="6" fillId="0" borderId="8" xfId="0" applyNumberFormat="1" applyFont="1" applyFill="1" applyBorder="1" applyAlignment="1" applyProtection="1">
      <alignment horizontal="center" vertical="center"/>
      <protection locked="0"/>
    </xf>
    <xf numFmtId="4" fontId="6" fillId="0" borderId="85" xfId="0" applyNumberFormat="1" applyFont="1" applyFill="1" applyBorder="1" applyAlignment="1" applyProtection="1">
      <alignment horizontal="center" vertical="center"/>
      <protection locked="0"/>
    </xf>
    <xf numFmtId="0" fontId="22" fillId="0" borderId="47" xfId="0" applyFont="1" applyFill="1" applyBorder="1" applyAlignment="1" applyProtection="1">
      <alignment horizontal="center" vertical="center"/>
      <protection locked="0"/>
    </xf>
    <xf numFmtId="0" fontId="22" fillId="0" borderId="8" xfId="0" applyFont="1" applyFill="1" applyBorder="1" applyAlignment="1" applyProtection="1">
      <alignment horizontal="center" vertical="center"/>
      <protection locked="0"/>
    </xf>
    <xf numFmtId="0" fontId="22" fillId="0" borderId="21" xfId="0" applyFont="1" applyFill="1" applyBorder="1" applyAlignment="1" applyProtection="1">
      <alignment horizontal="center" vertical="center"/>
      <protection locked="0"/>
    </xf>
    <xf numFmtId="169" fontId="6" fillId="0" borderId="34" xfId="0" applyNumberFormat="1" applyFont="1" applyFill="1" applyBorder="1" applyAlignment="1" applyProtection="1">
      <alignment horizontal="center" vertical="center"/>
      <protection locked="0"/>
    </xf>
    <xf numFmtId="0" fontId="22" fillId="0" borderId="32" xfId="0" applyFont="1" applyFill="1" applyBorder="1" applyAlignment="1" applyProtection="1">
      <alignment horizontal="center" vertical="center"/>
      <protection locked="0"/>
    </xf>
    <xf numFmtId="0" fontId="22" fillId="0" borderId="17" xfId="0" applyFont="1" applyFill="1" applyBorder="1" applyAlignment="1" applyProtection="1">
      <alignment horizontal="center" vertical="center"/>
      <protection locked="0"/>
    </xf>
    <xf numFmtId="0" fontId="22" fillId="0" borderId="41" xfId="0" applyFont="1" applyFill="1" applyBorder="1" applyAlignment="1" applyProtection="1">
      <alignment horizontal="left" vertical="center"/>
      <protection locked="0"/>
    </xf>
    <xf numFmtId="4" fontId="4" fillId="0" borderId="13" xfId="0" applyNumberFormat="1" applyFont="1" applyFill="1" applyBorder="1" applyAlignment="1">
      <alignment vertical="center"/>
    </xf>
    <xf numFmtId="4" fontId="9" fillId="0" borderId="34" xfId="0" applyNumberFormat="1" applyFont="1" applyFill="1" applyBorder="1" applyAlignment="1">
      <alignment vertical="center"/>
    </xf>
    <xf numFmtId="4" fontId="6" fillId="0" borderId="32" xfId="0" applyNumberFormat="1" applyFont="1" applyFill="1" applyBorder="1" applyAlignment="1">
      <alignment vertical="center"/>
    </xf>
    <xf numFmtId="4" fontId="6" fillId="0" borderId="34" xfId="0" applyNumberFormat="1" applyFont="1" applyFill="1" applyBorder="1" applyAlignment="1">
      <alignment vertical="center"/>
    </xf>
    <xf numFmtId="4" fontId="4" fillId="0" borderId="32" xfId="0" applyNumberFormat="1" applyFont="1" applyFill="1" applyBorder="1" applyAlignment="1">
      <alignment vertical="center"/>
    </xf>
    <xf numFmtId="4" fontId="9" fillId="0" borderId="11" xfId="0" applyNumberFormat="1" applyFont="1" applyFill="1" applyBorder="1" applyAlignment="1">
      <alignment vertical="center"/>
    </xf>
    <xf numFmtId="4" fontId="6" fillId="0" borderId="15" xfId="0" applyNumberFormat="1" applyFont="1" applyFill="1" applyBorder="1" applyAlignment="1">
      <alignment vertical="center"/>
    </xf>
    <xf numFmtId="4" fontId="6" fillId="0" borderId="11" xfId="0" applyNumberFormat="1" applyFont="1" applyFill="1" applyBorder="1" applyAlignment="1">
      <alignment vertical="center"/>
    </xf>
    <xf numFmtId="4" fontId="4" fillId="0" borderId="11" xfId="0" applyNumberFormat="1" applyFont="1" applyFill="1" applyBorder="1" applyAlignment="1">
      <alignment vertical="center"/>
    </xf>
    <xf numFmtId="4" fontId="9" fillId="0" borderId="40" xfId="0" applyNumberFormat="1" applyFont="1" applyFill="1" applyBorder="1" applyAlignment="1">
      <alignment vertical="center"/>
    </xf>
    <xf numFmtId="169" fontId="6" fillId="0" borderId="40" xfId="0" applyNumberFormat="1" applyFont="1" applyFill="1" applyBorder="1" applyAlignment="1">
      <alignment horizontal="center" vertical="center"/>
    </xf>
    <xf numFmtId="4" fontId="4" fillId="0" borderId="42" xfId="0" applyNumberFormat="1" applyFont="1" applyFill="1" applyBorder="1" applyAlignment="1">
      <alignment vertical="center"/>
    </xf>
    <xf numFmtId="4" fontId="6" fillId="0" borderId="49" xfId="0" applyNumberFormat="1" applyFont="1" applyFill="1" applyBorder="1" applyAlignment="1">
      <alignment vertical="center"/>
    </xf>
    <xf numFmtId="4" fontId="4" fillId="0" borderId="51" xfId="0" applyNumberFormat="1" applyFont="1" applyFill="1" applyBorder="1" applyAlignment="1">
      <alignment horizontal="center" vertical="center"/>
    </xf>
    <xf numFmtId="169" fontId="4" fillId="0" borderId="8" xfId="0" applyNumberFormat="1" applyFont="1" applyFill="1" applyBorder="1" applyAlignment="1">
      <alignment horizontal="center" vertical="center"/>
    </xf>
    <xf numFmtId="4" fontId="9" fillId="0" borderId="8" xfId="0" applyNumberFormat="1" applyFont="1" applyFill="1" applyBorder="1" applyAlignment="1">
      <alignment vertical="center"/>
    </xf>
    <xf numFmtId="4" fontId="9" fillId="0" borderId="21" xfId="0" applyNumberFormat="1" applyFont="1" applyFill="1" applyBorder="1" applyAlignment="1">
      <alignment horizontal="center" vertical="center"/>
    </xf>
    <xf numFmtId="4" fontId="6" fillId="0" borderId="47" xfId="0" applyNumberFormat="1" applyFont="1" applyFill="1" applyBorder="1" applyAlignment="1">
      <alignment vertical="center"/>
    </xf>
    <xf numFmtId="169" fontId="6" fillId="0" borderId="8" xfId="0" applyNumberFormat="1" applyFont="1" applyFill="1" applyBorder="1" applyAlignment="1">
      <alignment horizontal="center" vertical="center"/>
    </xf>
    <xf numFmtId="4" fontId="6" fillId="0" borderId="8" xfId="0" applyNumberFormat="1" applyFont="1" applyFill="1" applyBorder="1" applyAlignment="1">
      <alignment vertical="center"/>
    </xf>
    <xf numFmtId="4" fontId="6" fillId="0" borderId="8" xfId="0" applyNumberFormat="1" applyFont="1" applyFill="1" applyBorder="1" applyAlignment="1">
      <alignment horizontal="center" vertical="center"/>
    </xf>
    <xf numFmtId="4" fontId="6" fillId="0" borderId="85" xfId="0" applyNumberFormat="1" applyFont="1" applyFill="1" applyBorder="1" applyAlignment="1">
      <alignment horizontal="center" vertical="center"/>
    </xf>
    <xf numFmtId="4" fontId="4" fillId="0" borderId="47" xfId="0" applyNumberFormat="1" applyFont="1" applyFill="1" applyBorder="1" applyAlignment="1">
      <alignment vertical="center"/>
    </xf>
    <xf numFmtId="4" fontId="9" fillId="0" borderId="8" xfId="0" applyNumberFormat="1" applyFont="1" applyFill="1" applyBorder="1" applyAlignment="1">
      <alignment horizontal="center" vertical="center"/>
    </xf>
    <xf numFmtId="4" fontId="4" fillId="0" borderId="47" xfId="0" applyNumberFormat="1" applyFont="1" applyFill="1" applyBorder="1" applyAlignment="1">
      <alignment horizontal="center" vertical="center"/>
    </xf>
    <xf numFmtId="171" fontId="33" fillId="4" borderId="4" xfId="0" applyNumberFormat="1" applyFont="1" applyFill="1" applyBorder="1" applyAlignment="1">
      <alignment horizontal="center" vertical="center"/>
    </xf>
    <xf numFmtId="4" fontId="6" fillId="0" borderId="15" xfId="0" applyNumberFormat="1" applyFont="1" applyFill="1" applyBorder="1" applyAlignment="1" applyProtection="1">
      <alignment vertical="center"/>
      <protection locked="0"/>
    </xf>
    <xf numFmtId="4" fontId="6" fillId="0" borderId="11" xfId="0" applyNumberFormat="1" applyFont="1" applyFill="1" applyBorder="1" applyAlignment="1" applyProtection="1">
      <alignment vertical="center"/>
      <protection locked="0"/>
    </xf>
    <xf numFmtId="4" fontId="9" fillId="0" borderId="34" xfId="0" applyNumberFormat="1" applyFont="1" applyFill="1" applyBorder="1" applyAlignment="1" applyProtection="1">
      <alignment vertical="center"/>
      <protection locked="0"/>
    </xf>
    <xf numFmtId="4" fontId="6" fillId="0" borderId="32" xfId="0" applyNumberFormat="1" applyFont="1" applyFill="1" applyBorder="1" applyAlignment="1" applyProtection="1">
      <alignment vertical="center"/>
      <protection locked="0"/>
    </xf>
    <xf numFmtId="4" fontId="6" fillId="0" borderId="34" xfId="0" applyNumberFormat="1" applyFont="1" applyFill="1" applyBorder="1" applyAlignment="1" applyProtection="1">
      <alignment vertical="center"/>
      <protection locked="0"/>
    </xf>
    <xf numFmtId="4" fontId="4" fillId="0" borderId="34" xfId="0" applyNumberFormat="1" applyFont="1" applyFill="1" applyBorder="1" applyAlignment="1" applyProtection="1">
      <alignment vertical="center"/>
      <protection locked="0"/>
    </xf>
    <xf numFmtId="4" fontId="9" fillId="0" borderId="11" xfId="0" applyNumberFormat="1" applyFont="1" applyFill="1" applyBorder="1" applyAlignment="1" applyProtection="1">
      <alignment vertical="center"/>
      <protection locked="0"/>
    </xf>
    <xf numFmtId="4" fontId="4" fillId="0" borderId="11" xfId="0" applyNumberFormat="1" applyFont="1" applyFill="1" applyBorder="1" applyAlignment="1" applyProtection="1">
      <alignment vertical="center"/>
      <protection locked="0"/>
    </xf>
    <xf numFmtId="171" fontId="79" fillId="4" borderId="4" xfId="0" applyNumberFormat="1" applyFont="1" applyFill="1" applyBorder="1" applyAlignment="1">
      <alignment horizontal="center" vertical="center"/>
    </xf>
    <xf numFmtId="171" fontId="33" fillId="9" borderId="26" xfId="0" applyNumberFormat="1" applyFont="1" applyFill="1" applyBorder="1" applyAlignment="1">
      <alignment horizontal="center" vertical="center"/>
    </xf>
    <xf numFmtId="0" fontId="80" fillId="11" borderId="4" xfId="0" applyNumberFormat="1" applyFont="1" applyFill="1" applyBorder="1" applyAlignment="1">
      <alignment horizontal="center" vertical="center"/>
    </xf>
    <xf numFmtId="170" fontId="81" fillId="0" borderId="4" xfId="0" applyNumberFormat="1" applyFont="1" applyFill="1" applyBorder="1" applyAlignment="1">
      <alignment horizontal="center" vertical="center" wrapText="1"/>
    </xf>
    <xf numFmtId="0" fontId="82" fillId="0" borderId="4" xfId="0" applyFont="1" applyFill="1" applyBorder="1" applyAlignment="1">
      <alignment horizontal="center" vertical="center"/>
    </xf>
    <xf numFmtId="0" fontId="83" fillId="0" borderId="4" xfId="0" applyNumberFormat="1" applyFont="1" applyFill="1" applyBorder="1" applyAlignment="1">
      <alignment horizontal="center" vertical="center"/>
    </xf>
    <xf numFmtId="49" fontId="84" fillId="0" borderId="4" xfId="0" applyNumberFormat="1" applyFont="1" applyFill="1" applyBorder="1" applyAlignment="1">
      <alignment horizontal="center" vertical="center"/>
    </xf>
    <xf numFmtId="49" fontId="84" fillId="0" borderId="4" xfId="0" applyNumberFormat="1" applyFont="1" applyFill="1" applyBorder="1" applyAlignment="1">
      <alignment horizontal="center" vertical="center" wrapText="1"/>
    </xf>
    <xf numFmtId="49" fontId="82" fillId="0" borderId="4" xfId="0" applyNumberFormat="1" applyFont="1" applyFill="1" applyBorder="1" applyAlignment="1">
      <alignment horizontal="center" vertical="center" wrapText="1"/>
    </xf>
    <xf numFmtId="164" fontId="82" fillId="0" borderId="4" xfId="0" applyNumberFormat="1" applyFont="1" applyFill="1" applyBorder="1" applyAlignment="1" applyProtection="1">
      <alignment horizontal="center" vertical="center" wrapText="1"/>
      <protection locked="0"/>
    </xf>
    <xf numFmtId="164" fontId="82" fillId="0" borderId="4" xfId="0" applyNumberFormat="1" applyFont="1" applyFill="1" applyBorder="1" applyAlignment="1">
      <alignment horizontal="center" vertical="center" wrapText="1"/>
    </xf>
    <xf numFmtId="2" fontId="82" fillId="0" borderId="4" xfId="0" applyNumberFormat="1" applyFont="1" applyFill="1" applyBorder="1" applyAlignment="1">
      <alignment horizontal="center" vertical="center" wrapText="1"/>
    </xf>
    <xf numFmtId="0" fontId="85" fillId="0" borderId="4" xfId="0" applyFont="1" applyFill="1" applyBorder="1" applyAlignment="1">
      <alignment horizontal="center" vertical="center"/>
    </xf>
    <xf numFmtId="0" fontId="54" fillId="0" borderId="0" xfId="0" applyFont="1"/>
    <xf numFmtId="0" fontId="54" fillId="4" borderId="4" xfId="0" applyFont="1" applyFill="1" applyBorder="1" applyAlignment="1">
      <alignment horizontal="center"/>
    </xf>
    <xf numFmtId="0" fontId="54" fillId="4" borderId="4" xfId="0" applyFont="1" applyFill="1" applyBorder="1"/>
    <xf numFmtId="0" fontId="85" fillId="0" borderId="4" xfId="0" applyFont="1" applyFill="1" applyBorder="1" applyAlignment="1">
      <alignment horizontal="center" vertical="center" wrapText="1"/>
    </xf>
    <xf numFmtId="0" fontId="85" fillId="0" borderId="4" xfId="0" applyNumberFormat="1" applyFont="1" applyFill="1" applyBorder="1" applyAlignment="1">
      <alignment horizontal="center" vertical="center" wrapText="1"/>
    </xf>
    <xf numFmtId="0" fontId="0" fillId="0" borderId="43" xfId="0" applyNumberFormat="1" applyFont="1" applyBorder="1" applyAlignment="1">
      <alignment horizontal="center" vertical="center"/>
    </xf>
    <xf numFmtId="0" fontId="0" fillId="0" borderId="33" xfId="0" applyNumberFormat="1" applyFont="1" applyBorder="1" applyAlignment="1">
      <alignment horizontal="center" vertical="center"/>
    </xf>
    <xf numFmtId="0" fontId="0" fillId="0" borderId="14" xfId="0" applyNumberFormat="1" applyFont="1" applyBorder="1" applyAlignment="1">
      <alignment horizontal="center" vertical="center"/>
    </xf>
    <xf numFmtId="0" fontId="0" fillId="0" borderId="17" xfId="0" applyNumberFormat="1" applyFont="1" applyBorder="1" applyAlignment="1">
      <alignment horizontal="center" vertical="center"/>
    </xf>
    <xf numFmtId="4" fontId="4" fillId="0" borderId="34" xfId="0" applyNumberFormat="1" applyFont="1" applyFill="1" applyBorder="1" applyAlignment="1">
      <alignment vertical="center"/>
    </xf>
    <xf numFmtId="4" fontId="9" fillId="0" borderId="73" xfId="0" applyNumberFormat="1" applyFont="1" applyFill="1" applyBorder="1" applyAlignment="1" applyProtection="1">
      <alignment vertical="center"/>
      <protection locked="0"/>
    </xf>
    <xf numFmtId="4" fontId="4" fillId="0" borderId="40" xfId="0" applyNumberFormat="1" applyFont="1" applyFill="1" applyBorder="1" applyAlignment="1" applyProtection="1">
      <alignment vertical="center"/>
      <protection locked="0"/>
    </xf>
    <xf numFmtId="4" fontId="9" fillId="0" borderId="53" xfId="0" applyNumberFormat="1" applyFont="1" applyFill="1" applyBorder="1" applyAlignment="1" applyProtection="1">
      <alignment horizontal="center" vertical="center"/>
      <protection locked="0"/>
    </xf>
    <xf numFmtId="4" fontId="9" fillId="0" borderId="86" xfId="0" applyNumberFormat="1" applyFont="1" applyFill="1" applyBorder="1" applyAlignment="1" applyProtection="1">
      <alignment horizontal="center" vertical="center"/>
      <protection locked="0"/>
    </xf>
    <xf numFmtId="4" fontId="9" fillId="0" borderId="46" xfId="0" applyNumberFormat="1" applyFont="1" applyFill="1" applyBorder="1" applyAlignment="1" applyProtection="1">
      <alignment horizontal="center" vertical="center"/>
      <protection locked="0"/>
    </xf>
    <xf numFmtId="2" fontId="9" fillId="0" borderId="17" xfId="0" applyNumberFormat="1" applyFont="1" applyFill="1" applyBorder="1" applyAlignment="1" applyProtection="1">
      <alignment horizontal="center" vertical="center"/>
      <protection locked="0"/>
    </xf>
    <xf numFmtId="4" fontId="9" fillId="0" borderId="40" xfId="0" applyNumberFormat="1" applyFont="1" applyFill="1" applyBorder="1" applyAlignment="1" applyProtection="1">
      <alignment vertical="center"/>
      <protection locked="0"/>
    </xf>
    <xf numFmtId="0" fontId="0" fillId="8" borderId="87" xfId="0" applyFill="1" applyBorder="1" applyAlignment="1">
      <alignment horizontal="center"/>
    </xf>
    <xf numFmtId="0" fontId="0" fillId="0" borderId="0" xfId="0" applyAlignment="1">
      <alignment horizontal="center"/>
    </xf>
    <xf numFmtId="0" fontId="53" fillId="0" borderId="0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0" fillId="0" borderId="0" xfId="0" applyFill="1" applyAlignment="1">
      <alignment horizontal="center" vertical="center"/>
    </xf>
    <xf numFmtId="0" fontId="73" fillId="0" borderId="0" xfId="0" applyFont="1" applyFill="1"/>
    <xf numFmtId="164" fontId="86" fillId="0" borderId="0" xfId="0" applyNumberFormat="1" applyFont="1" applyFill="1"/>
    <xf numFmtId="20" fontId="0" fillId="0" borderId="4" xfId="0" applyNumberFormat="1" applyBorder="1"/>
    <xf numFmtId="21" fontId="0" fillId="0" borderId="4" xfId="0" applyNumberFormat="1" applyBorder="1"/>
    <xf numFmtId="0" fontId="87" fillId="0" borderId="4" xfId="0" applyFont="1" applyBorder="1" applyAlignment="1">
      <alignment horizontal="center" vertical="center" wrapText="1"/>
    </xf>
    <xf numFmtId="9" fontId="87" fillId="0" borderId="4" xfId="0" applyNumberFormat="1" applyFont="1" applyBorder="1" applyAlignment="1">
      <alignment horizontal="center" vertical="center" wrapText="1"/>
    </xf>
    <xf numFmtId="1" fontId="87" fillId="0" borderId="4" xfId="0" applyNumberFormat="1" applyFont="1" applyBorder="1" applyAlignment="1">
      <alignment horizontal="center" vertical="center" wrapText="1"/>
    </xf>
    <xf numFmtId="0" fontId="65" fillId="0" borderId="4" xfId="0" applyFont="1" applyBorder="1" applyAlignment="1">
      <alignment horizontal="center" vertical="center"/>
    </xf>
    <xf numFmtId="2" fontId="87" fillId="0" borderId="4" xfId="0" applyNumberFormat="1" applyFont="1" applyBorder="1" applyAlignment="1">
      <alignment horizontal="center" vertical="center" wrapText="1"/>
    </xf>
    <xf numFmtId="0" fontId="88" fillId="0" borderId="0" xfId="0" applyFont="1" applyFill="1" applyBorder="1" applyAlignment="1">
      <alignment horizontal="center" vertical="center"/>
    </xf>
    <xf numFmtId="0" fontId="85" fillId="0" borderId="84" xfId="0" applyNumberFormat="1" applyFont="1" applyFill="1" applyBorder="1" applyAlignment="1">
      <alignment horizontal="center" vertical="center" wrapText="1"/>
    </xf>
    <xf numFmtId="0" fontId="0" fillId="8" borderId="88" xfId="0" applyFill="1" applyBorder="1" applyAlignment="1">
      <alignment horizontal="center"/>
    </xf>
    <xf numFmtId="0" fontId="85" fillId="9" borderId="4" xfId="0" applyFont="1" applyFill="1" applyBorder="1" applyAlignment="1">
      <alignment horizontal="left" wrapText="1"/>
    </xf>
    <xf numFmtId="0" fontId="2" fillId="9" borderId="4" xfId="0" applyFont="1" applyFill="1" applyBorder="1" applyAlignment="1">
      <alignment horizontal="left" wrapText="1"/>
    </xf>
    <xf numFmtId="0" fontId="0" fillId="4" borderId="4" xfId="0" applyFill="1" applyBorder="1" applyAlignment="1">
      <alignment horizontal="center"/>
    </xf>
    <xf numFmtId="0" fontId="76" fillId="4" borderId="4" xfId="0" applyFont="1" applyFill="1" applyBorder="1" applyAlignment="1">
      <alignment horizontal="center"/>
    </xf>
    <xf numFmtId="2" fontId="89" fillId="0" borderId="0" xfId="0" applyNumberFormat="1" applyFont="1" applyAlignment="1">
      <alignment horizontal="center"/>
    </xf>
    <xf numFmtId="2" fontId="90" fillId="0" borderId="0" xfId="0" applyNumberFormat="1" applyFont="1"/>
    <xf numFmtId="2" fontId="89" fillId="0" borderId="0" xfId="0" applyNumberFormat="1" applyFont="1" applyAlignment="1">
      <alignment horizontal="center" vertical="center"/>
    </xf>
    <xf numFmtId="2" fontId="90" fillId="0" borderId="0" xfId="0" applyNumberFormat="1" applyFont="1" applyAlignment="1">
      <alignment horizontal="left" vertical="center"/>
    </xf>
    <xf numFmtId="2" fontId="90" fillId="0" borderId="0" xfId="0" applyNumberFormat="1" applyFont="1" applyAlignment="1">
      <alignment vertical="center"/>
    </xf>
    <xf numFmtId="2" fontId="91" fillId="0" borderId="0" xfId="0" applyNumberFormat="1" applyFont="1" applyAlignment="1" applyProtection="1">
      <alignment horizontal="center"/>
      <protection locked="0"/>
    </xf>
    <xf numFmtId="2" fontId="91" fillId="0" borderId="0" xfId="0" applyNumberFormat="1" applyFont="1" applyProtection="1">
      <protection locked="0"/>
    </xf>
    <xf numFmtId="2" fontId="91" fillId="0" borderId="0" xfId="0" applyNumberFormat="1" applyFont="1" applyAlignment="1" applyProtection="1">
      <alignment horizontal="center" vertical="center"/>
      <protection locked="0"/>
    </xf>
    <xf numFmtId="2" fontId="91" fillId="0" borderId="0" xfId="0" applyNumberFormat="1" applyFont="1" applyAlignment="1" applyProtection="1">
      <alignment horizontal="left" vertical="center"/>
      <protection locked="0"/>
    </xf>
    <xf numFmtId="2" fontId="91" fillId="0" borderId="0" xfId="0" applyNumberFormat="1" applyFont="1" applyAlignment="1" applyProtection="1">
      <alignment vertical="center"/>
      <protection locked="0"/>
    </xf>
    <xf numFmtId="2" fontId="1" fillId="0" borderId="4" xfId="0" applyNumberFormat="1" applyFont="1" applyFill="1" applyBorder="1" applyAlignment="1">
      <alignment horizontal="center" vertical="center" wrapText="1"/>
    </xf>
    <xf numFmtId="2" fontId="1" fillId="0" borderId="10" xfId="0" applyNumberFormat="1" applyFont="1" applyFill="1" applyBorder="1" applyAlignment="1">
      <alignment horizontal="center" vertical="center" wrapText="1"/>
    </xf>
    <xf numFmtId="0" fontId="34" fillId="4" borderId="0" xfId="0" applyFont="1" applyFill="1" applyAlignment="1">
      <alignment horizontal="center" vertical="center" textRotation="90" wrapText="1"/>
    </xf>
    <xf numFmtId="0" fontId="88" fillId="2" borderId="0" xfId="0" applyFont="1" applyFill="1" applyBorder="1" applyAlignment="1">
      <alignment horizontal="center" vertical="center" textRotation="90"/>
    </xf>
    <xf numFmtId="0" fontId="92" fillId="0" borderId="0" xfId="0" applyFont="1" applyFill="1"/>
    <xf numFmtId="49" fontId="16" fillId="8" borderId="0" xfId="0" applyNumberFormat="1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85" fillId="0" borderId="4" xfId="0" applyFont="1" applyFill="1" applyBorder="1" applyAlignment="1">
      <alignment horizontal="center" wrapText="1"/>
    </xf>
    <xf numFmtId="0" fontId="0" fillId="0" borderId="43" xfId="0" applyNumberFormat="1" applyFont="1" applyBorder="1" applyAlignment="1">
      <alignment horizontal="center" vertical="center"/>
    </xf>
    <xf numFmtId="0" fontId="0" fillId="0" borderId="33" xfId="0" applyNumberFormat="1" applyFont="1" applyBorder="1" applyAlignment="1">
      <alignment horizontal="center" vertical="center"/>
    </xf>
    <xf numFmtId="0" fontId="0" fillId="0" borderId="14" xfId="0" applyNumberFormat="1" applyFont="1" applyBorder="1" applyAlignment="1">
      <alignment horizontal="center" vertical="center"/>
    </xf>
    <xf numFmtId="0" fontId="0" fillId="0" borderId="17" xfId="0" applyNumberFormat="1" applyFont="1" applyBorder="1" applyAlignment="1">
      <alignment horizontal="center" vertical="center"/>
    </xf>
    <xf numFmtId="0" fontId="0" fillId="0" borderId="0" xfId="0" applyFill="1" applyAlignment="1">
      <alignment horizontal="center"/>
    </xf>
    <xf numFmtId="49" fontId="0" fillId="0" borderId="0" xfId="0" applyNumberForma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49" fontId="0" fillId="12" borderId="0" xfId="0" applyNumberFormat="1" applyFill="1" applyAlignment="1">
      <alignment horizontal="center" vertical="center"/>
    </xf>
    <xf numFmtId="0" fontId="0" fillId="12" borderId="0" xfId="0" applyFill="1"/>
    <xf numFmtId="0" fontId="73" fillId="12" borderId="0" xfId="0" applyFont="1" applyFill="1"/>
    <xf numFmtId="164" fontId="86" fillId="12" borderId="0" xfId="0" applyNumberFormat="1" applyFont="1" applyFill="1"/>
    <xf numFmtId="0" fontId="0" fillId="12" borderId="0" xfId="0" applyFill="1" applyAlignment="1">
      <alignment horizontal="center"/>
    </xf>
    <xf numFmtId="49" fontId="0" fillId="10" borderId="0" xfId="0" applyNumberForma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164" fontId="86" fillId="10" borderId="0" xfId="0" applyNumberFormat="1" applyFont="1" applyFill="1"/>
    <xf numFmtId="0" fontId="93" fillId="0" borderId="28" xfId="0" applyFont="1" applyFill="1" applyBorder="1" applyAlignment="1" applyProtection="1">
      <alignment horizontal="center" vertical="center"/>
      <protection locked="0"/>
    </xf>
    <xf numFmtId="0" fontId="94" fillId="0" borderId="28" xfId="0" applyNumberFormat="1" applyFont="1" applyFill="1" applyBorder="1" applyAlignment="1" applyProtection="1">
      <alignment horizontal="center" vertical="center"/>
      <protection locked="0"/>
    </xf>
    <xf numFmtId="0" fontId="95" fillId="0" borderId="28" xfId="0" applyNumberFormat="1" applyFont="1" applyFill="1" applyBorder="1" applyAlignment="1" applyProtection="1">
      <alignment horizontal="center" vertical="center"/>
      <protection locked="0"/>
    </xf>
    <xf numFmtId="49" fontId="94" fillId="0" borderId="28" xfId="0" applyNumberFormat="1" applyFont="1" applyFill="1" applyBorder="1" applyAlignment="1" applyProtection="1">
      <alignment horizontal="center" vertical="center"/>
      <protection locked="0"/>
    </xf>
    <xf numFmtId="49" fontId="96" fillId="0" borderId="28" xfId="0" applyNumberFormat="1" applyFont="1" applyFill="1" applyBorder="1" applyAlignment="1" applyProtection="1">
      <alignment horizontal="center" vertical="center" wrapText="1"/>
      <protection locked="0"/>
    </xf>
    <xf numFmtId="0" fontId="97" fillId="0" borderId="28" xfId="0" applyNumberFormat="1" applyFont="1" applyFill="1" applyBorder="1" applyAlignment="1" applyProtection="1">
      <alignment horizontal="center" vertical="center"/>
      <protection locked="0"/>
    </xf>
    <xf numFmtId="164" fontId="93" fillId="0" borderId="28" xfId="0" applyNumberFormat="1" applyFont="1" applyFill="1" applyBorder="1" applyAlignment="1" applyProtection="1">
      <alignment horizontal="center" vertical="center" wrapText="1"/>
      <protection locked="0"/>
    </xf>
    <xf numFmtId="164" fontId="98" fillId="4" borderId="28" xfId="0" applyNumberFormat="1" applyFont="1" applyFill="1" applyBorder="1" applyAlignment="1" applyProtection="1">
      <alignment horizontal="center" vertical="center" wrapText="1"/>
      <protection hidden="1"/>
    </xf>
    <xf numFmtId="2" fontId="98" fillId="4" borderId="40" xfId="0" applyNumberFormat="1" applyFont="1" applyFill="1" applyBorder="1" applyAlignment="1" applyProtection="1">
      <alignment horizontal="center" vertical="center" wrapText="1"/>
      <protection hidden="1"/>
    </xf>
    <xf numFmtId="1" fontId="93" fillId="4" borderId="28" xfId="0" applyNumberFormat="1" applyFont="1" applyFill="1" applyBorder="1" applyAlignment="1" applyProtection="1">
      <alignment horizontal="center" vertical="center" wrapText="1"/>
      <protection hidden="1"/>
    </xf>
    <xf numFmtId="2" fontId="34" fillId="0" borderId="0" xfId="0" applyNumberFormat="1" applyFont="1" applyFill="1" applyAlignment="1">
      <alignment horizontal="center" vertical="center"/>
    </xf>
    <xf numFmtId="0" fontId="99" fillId="0" borderId="0" xfId="0" applyFont="1" applyFill="1" applyBorder="1" applyAlignment="1" applyProtection="1">
      <alignment horizontal="center"/>
      <protection locked="0"/>
    </xf>
    <xf numFmtId="0" fontId="100" fillId="0" borderId="0" xfId="0" applyFont="1" applyFill="1" applyBorder="1" applyProtection="1">
      <protection locked="0"/>
    </xf>
    <xf numFmtId="0" fontId="99" fillId="0" borderId="0" xfId="0" applyFont="1" applyFill="1" applyBorder="1" applyAlignment="1" applyProtection="1">
      <alignment horizontal="center" vertical="center"/>
      <protection locked="0"/>
    </xf>
    <xf numFmtId="0" fontId="100" fillId="0" borderId="0" xfId="0" applyFont="1" applyFill="1" applyBorder="1" applyAlignment="1" applyProtection="1">
      <alignment horizontal="left" vertical="center"/>
      <protection locked="0"/>
    </xf>
    <xf numFmtId="0" fontId="100" fillId="0" borderId="0" xfId="0" applyFont="1" applyFill="1" applyBorder="1" applyAlignment="1" applyProtection="1">
      <alignment vertical="center"/>
      <protection locked="0"/>
    </xf>
    <xf numFmtId="164" fontId="34" fillId="0" borderId="0" xfId="0" applyNumberFormat="1" applyFont="1" applyFill="1" applyAlignment="1">
      <alignment horizontal="center" vertical="center"/>
    </xf>
    <xf numFmtId="0" fontId="22" fillId="0" borderId="45" xfId="0" applyFont="1" applyFill="1" applyBorder="1" applyAlignment="1" applyProtection="1">
      <alignment horizontal="center" vertical="center"/>
      <protection locked="0"/>
    </xf>
    <xf numFmtId="0" fontId="22" fillId="0" borderId="41" xfId="0" applyFont="1" applyFill="1" applyBorder="1" applyAlignment="1" applyProtection="1">
      <alignment horizontal="center" vertical="center"/>
      <protection locked="0"/>
    </xf>
    <xf numFmtId="0" fontId="22" fillId="0" borderId="46" xfId="0" applyFont="1" applyFill="1" applyBorder="1" applyAlignment="1" applyProtection="1">
      <alignment horizontal="center" vertical="center"/>
      <protection locked="0"/>
    </xf>
    <xf numFmtId="0" fontId="0" fillId="0" borderId="51" xfId="0" applyNumberFormat="1" applyFont="1" applyBorder="1" applyAlignment="1" applyProtection="1">
      <alignment horizontal="center" vertical="center"/>
      <protection locked="0"/>
    </xf>
    <xf numFmtId="0" fontId="0" fillId="0" borderId="43" xfId="0" applyNumberFormat="1" applyFont="1" applyBorder="1" applyAlignment="1" applyProtection="1">
      <alignment horizontal="center" vertical="center"/>
      <protection locked="0"/>
    </xf>
    <xf numFmtId="0" fontId="0" fillId="0" borderId="33" xfId="0" applyNumberFormat="1" applyFont="1" applyBorder="1" applyAlignment="1" applyProtection="1">
      <alignment horizontal="center" vertical="center"/>
      <protection locked="0"/>
    </xf>
    <xf numFmtId="0" fontId="0" fillId="0" borderId="21" xfId="0" applyNumberFormat="1" applyFont="1" applyBorder="1" applyAlignment="1" applyProtection="1">
      <alignment horizontal="center" vertical="center"/>
      <protection locked="0"/>
    </xf>
    <xf numFmtId="0" fontId="0" fillId="0" borderId="14" xfId="0" applyNumberFormat="1" applyFont="1" applyBorder="1" applyAlignment="1" applyProtection="1">
      <alignment horizontal="center" vertical="center"/>
      <protection locked="0"/>
    </xf>
    <xf numFmtId="0" fontId="0" fillId="0" borderId="17" xfId="0" applyNumberFormat="1" applyFont="1" applyBorder="1" applyAlignment="1" applyProtection="1">
      <alignment horizontal="center" vertical="center"/>
      <protection locked="0"/>
    </xf>
    <xf numFmtId="164" fontId="40" fillId="0" borderId="63" xfId="0" applyNumberFormat="1" applyFont="1" applyFill="1" applyBorder="1" applyAlignment="1" applyProtection="1">
      <alignment horizontal="center" vertical="center"/>
      <protection locked="0"/>
    </xf>
    <xf numFmtId="164" fontId="40" fillId="0" borderId="64" xfId="0" applyNumberFormat="1" applyFont="1" applyFill="1" applyBorder="1" applyAlignment="1" applyProtection="1">
      <alignment horizontal="center" vertical="center"/>
      <protection locked="0"/>
    </xf>
    <xf numFmtId="4" fontId="40" fillId="0" borderId="41" xfId="0" applyNumberFormat="1" applyFont="1" applyFill="1" applyBorder="1" applyAlignment="1" applyProtection="1">
      <alignment horizontal="center" vertical="center"/>
      <protection locked="0"/>
    </xf>
    <xf numFmtId="4" fontId="40" fillId="0" borderId="46" xfId="0" applyNumberFormat="1" applyFont="1" applyFill="1" applyBorder="1" applyAlignment="1" applyProtection="1">
      <alignment horizontal="center" vertical="center"/>
      <protection locked="0"/>
    </xf>
    <xf numFmtId="4" fontId="40" fillId="0" borderId="45" xfId="0" applyNumberFormat="1" applyFont="1" applyFill="1" applyBorder="1" applyAlignment="1" applyProtection="1">
      <alignment horizontal="center" vertical="center"/>
      <protection locked="0"/>
    </xf>
    <xf numFmtId="164" fontId="40" fillId="0" borderId="45" xfId="0" applyNumberFormat="1" applyFont="1" applyFill="1" applyBorder="1" applyAlignment="1" applyProtection="1">
      <alignment horizontal="center" vertical="center"/>
      <protection locked="0"/>
    </xf>
    <xf numFmtId="164" fontId="40" fillId="0" borderId="41" xfId="0" applyNumberFormat="1" applyFont="1" applyFill="1" applyBorder="1" applyAlignment="1" applyProtection="1">
      <alignment horizontal="center" vertical="center"/>
      <protection locked="0"/>
    </xf>
    <xf numFmtId="164" fontId="40" fillId="0" borderId="46" xfId="0" applyNumberFormat="1" applyFont="1" applyFill="1" applyBorder="1" applyAlignment="1" applyProtection="1">
      <alignment horizontal="center" vertical="center"/>
      <protection locked="0"/>
    </xf>
    <xf numFmtId="0" fontId="41" fillId="0" borderId="0" xfId="0" applyFont="1" applyBorder="1" applyAlignment="1" applyProtection="1">
      <alignment horizontal="center" vertical="center" wrapText="1"/>
      <protection locked="0"/>
    </xf>
    <xf numFmtId="0" fontId="21" fillId="0" borderId="58" xfId="0" applyFont="1" applyFill="1" applyBorder="1" applyAlignment="1" applyProtection="1">
      <alignment horizontal="center" vertical="center"/>
      <protection locked="0"/>
    </xf>
    <xf numFmtId="0" fontId="21" fillId="0" borderId="81" xfId="0" applyFont="1" applyFill="1" applyBorder="1" applyAlignment="1" applyProtection="1">
      <alignment horizontal="center" vertical="center"/>
      <protection locked="0"/>
    </xf>
    <xf numFmtId="0" fontId="22" fillId="0" borderId="53" xfId="0" applyFont="1" applyFill="1" applyBorder="1" applyAlignment="1" applyProtection="1">
      <alignment horizontal="center" vertical="center"/>
      <protection locked="0"/>
    </xf>
    <xf numFmtId="0" fontId="22" fillId="0" borderId="77" xfId="0" applyFont="1" applyFill="1" applyBorder="1" applyAlignment="1" applyProtection="1">
      <alignment horizontal="center" vertical="center"/>
      <protection locked="0"/>
    </xf>
    <xf numFmtId="49" fontId="22" fillId="0" borderId="53" xfId="0" applyNumberFormat="1" applyFont="1" applyFill="1" applyBorder="1" applyAlignment="1" applyProtection="1">
      <alignment horizontal="center" vertical="center" textRotation="90" wrapText="1"/>
      <protection locked="0"/>
    </xf>
    <xf numFmtId="49" fontId="22" fillId="0" borderId="77" xfId="0" applyNumberFormat="1" applyFont="1" applyFill="1" applyBorder="1" applyAlignment="1" applyProtection="1">
      <alignment horizontal="center" vertical="center" textRotation="90" wrapText="1"/>
      <protection locked="0"/>
    </xf>
    <xf numFmtId="0" fontId="22" fillId="0" borderId="59" xfId="0" applyNumberFormat="1" applyFont="1" applyFill="1" applyBorder="1" applyAlignment="1" applyProtection="1">
      <alignment horizontal="center" vertical="center" textRotation="90" wrapText="1"/>
      <protection locked="0"/>
    </xf>
    <xf numFmtId="0" fontId="22" fillId="0" borderId="77" xfId="0" applyNumberFormat="1" applyFont="1" applyFill="1" applyBorder="1" applyAlignment="1" applyProtection="1">
      <alignment horizontal="center" vertical="center" textRotation="90" wrapText="1"/>
      <protection locked="0"/>
    </xf>
    <xf numFmtId="9" fontId="21" fillId="0" borderId="5" xfId="0" applyNumberFormat="1" applyFont="1" applyFill="1" applyBorder="1" applyAlignment="1" applyProtection="1">
      <alignment horizontal="center" vertical="center"/>
      <protection locked="0"/>
    </xf>
    <xf numFmtId="9" fontId="21" fillId="0" borderId="6" xfId="0" applyNumberFormat="1" applyFont="1" applyFill="1" applyBorder="1" applyAlignment="1" applyProtection="1">
      <alignment horizontal="center" vertical="center"/>
      <protection locked="0"/>
    </xf>
    <xf numFmtId="9" fontId="21" fillId="0" borderId="7" xfId="0" applyNumberFormat="1" applyFont="1" applyFill="1" applyBorder="1" applyAlignment="1" applyProtection="1">
      <alignment horizontal="center" vertical="center"/>
      <protection locked="0"/>
    </xf>
    <xf numFmtId="9" fontId="21" fillId="0" borderId="42" xfId="0" applyNumberFormat="1" applyFont="1" applyFill="1" applyBorder="1" applyAlignment="1" applyProtection="1">
      <alignment horizontal="center" vertical="center"/>
      <protection locked="0"/>
    </xf>
    <xf numFmtId="9" fontId="21" fillId="0" borderId="40" xfId="0" applyNumberFormat="1" applyFont="1" applyFill="1" applyBorder="1" applyAlignment="1" applyProtection="1">
      <alignment horizontal="center" vertical="center"/>
      <protection locked="0"/>
    </xf>
    <xf numFmtId="9" fontId="21" fillId="0" borderId="14" xfId="0" applyNumberFormat="1" applyFont="1" applyFill="1" applyBorder="1" applyAlignment="1" applyProtection="1">
      <alignment horizontal="center" vertical="center"/>
      <protection locked="0"/>
    </xf>
    <xf numFmtId="167" fontId="18" fillId="0" borderId="57" xfId="0" applyNumberFormat="1" applyFont="1" applyFill="1" applyBorder="1" applyAlignment="1" applyProtection="1">
      <alignment horizontal="center" vertical="center" textRotation="90" wrapText="1"/>
      <protection locked="0"/>
    </xf>
    <xf numFmtId="167" fontId="18" fillId="0" borderId="81" xfId="0" applyNumberFormat="1" applyFont="1" applyFill="1" applyBorder="1" applyAlignment="1" applyProtection="1">
      <alignment horizontal="center" vertical="center" textRotation="90" wrapText="1"/>
      <protection locked="0"/>
    </xf>
    <xf numFmtId="4" fontId="22" fillId="0" borderId="53" xfId="0" applyNumberFormat="1" applyFont="1" applyFill="1" applyBorder="1" applyAlignment="1" applyProtection="1">
      <alignment horizontal="center" vertical="center" wrapText="1"/>
      <protection locked="0"/>
    </xf>
    <xf numFmtId="4" fontId="22" fillId="0" borderId="77" xfId="0" applyNumberFormat="1" applyFont="1" applyFill="1" applyBorder="1" applyAlignment="1" applyProtection="1">
      <alignment horizontal="center" vertical="center" wrapText="1"/>
      <protection locked="0"/>
    </xf>
    <xf numFmtId="0" fontId="22" fillId="0" borderId="53" xfId="0" applyFont="1" applyFill="1" applyBorder="1" applyAlignment="1" applyProtection="1">
      <alignment horizontal="center" vertical="center" wrapText="1"/>
      <protection locked="0"/>
    </xf>
    <xf numFmtId="0" fontId="22" fillId="0" borderId="77" xfId="0" applyFont="1" applyFill="1" applyBorder="1" applyAlignment="1" applyProtection="1">
      <alignment horizontal="center" vertical="center" wrapText="1"/>
      <protection locked="0"/>
    </xf>
    <xf numFmtId="164" fontId="40" fillId="0" borderId="62" xfId="0" applyNumberFormat="1" applyFont="1" applyFill="1" applyBorder="1" applyAlignment="1" applyProtection="1">
      <alignment horizontal="center" vertical="center"/>
      <protection locked="0"/>
    </xf>
    <xf numFmtId="0" fontId="0" fillId="0" borderId="45" xfId="0" applyNumberFormat="1" applyFont="1" applyBorder="1" applyAlignment="1" applyProtection="1">
      <alignment horizontal="center" vertical="center"/>
      <protection locked="0"/>
    </xf>
    <xf numFmtId="0" fontId="0" fillId="0" borderId="41" xfId="0" applyNumberFormat="1" applyFont="1" applyBorder="1" applyAlignment="1" applyProtection="1">
      <alignment horizontal="center" vertical="center"/>
      <protection locked="0"/>
    </xf>
    <xf numFmtId="0" fontId="0" fillId="0" borderId="46" xfId="0" applyNumberFormat="1" applyFont="1" applyBorder="1" applyAlignment="1" applyProtection="1">
      <alignment horizontal="center" vertical="center"/>
      <protection locked="0"/>
    </xf>
    <xf numFmtId="0" fontId="22" fillId="0" borderId="54" xfId="0" applyFont="1" applyFill="1" applyBorder="1" applyAlignment="1" applyProtection="1">
      <alignment horizontal="right" vertical="center"/>
      <protection locked="0"/>
    </xf>
    <xf numFmtId="0" fontId="22" fillId="0" borderId="61" xfId="0" applyFont="1" applyFill="1" applyBorder="1" applyAlignment="1" applyProtection="1">
      <alignment horizontal="right" vertical="center"/>
      <protection locked="0"/>
    </xf>
    <xf numFmtId="0" fontId="22" fillId="0" borderId="62" xfId="0" applyFont="1" applyFill="1" applyBorder="1" applyAlignment="1" applyProtection="1">
      <alignment horizontal="right" vertical="center"/>
      <protection locked="0"/>
    </xf>
    <xf numFmtId="0" fontId="22" fillId="0" borderId="55" xfId="0" applyFont="1" applyFill="1" applyBorder="1" applyAlignment="1" applyProtection="1">
      <alignment horizontal="right" vertical="center"/>
      <protection locked="0"/>
    </xf>
    <xf numFmtId="0" fontId="22" fillId="0" borderId="0" xfId="0" applyFont="1" applyFill="1" applyBorder="1" applyAlignment="1" applyProtection="1">
      <alignment horizontal="right" vertical="center"/>
      <protection locked="0"/>
    </xf>
    <xf numFmtId="0" fontId="22" fillId="0" borderId="63" xfId="0" applyFont="1" applyFill="1" applyBorder="1" applyAlignment="1" applyProtection="1">
      <alignment horizontal="right" vertical="center"/>
      <protection locked="0"/>
    </xf>
    <xf numFmtId="0" fontId="22" fillId="0" borderId="56" xfId="0" applyFont="1" applyFill="1" applyBorder="1" applyAlignment="1" applyProtection="1">
      <alignment horizontal="right" vertical="center"/>
      <protection locked="0"/>
    </xf>
    <xf numFmtId="0" fontId="22" fillId="0" borderId="9" xfId="0" applyFont="1" applyFill="1" applyBorder="1" applyAlignment="1" applyProtection="1">
      <alignment horizontal="right" vertical="center"/>
      <protection locked="0"/>
    </xf>
    <xf numFmtId="0" fontId="22" fillId="0" borderId="64" xfId="0" applyFont="1" applyFill="1" applyBorder="1" applyAlignment="1" applyProtection="1">
      <alignment horizontal="right" vertical="center"/>
      <protection locked="0"/>
    </xf>
    <xf numFmtId="164" fontId="22" fillId="0" borderId="45" xfId="0" applyNumberFormat="1" applyFont="1" applyFill="1" applyBorder="1" applyAlignment="1" applyProtection="1">
      <alignment horizontal="center" vertical="center"/>
      <protection locked="0"/>
    </xf>
    <xf numFmtId="164" fontId="40" fillId="0" borderId="45" xfId="0" applyNumberFormat="1" applyFont="1" applyFill="1" applyBorder="1" applyAlignment="1">
      <alignment horizontal="center" vertical="center"/>
    </xf>
    <xf numFmtId="164" fontId="40" fillId="0" borderId="41" xfId="0" applyNumberFormat="1" applyFont="1" applyFill="1" applyBorder="1" applyAlignment="1">
      <alignment horizontal="center" vertical="center"/>
    </xf>
    <xf numFmtId="164" fontId="40" fillId="0" borderId="46" xfId="0" applyNumberFormat="1" applyFont="1" applyFill="1" applyBorder="1" applyAlignment="1">
      <alignment horizontal="center" vertical="center"/>
    </xf>
    <xf numFmtId="4" fontId="40" fillId="0" borderId="41" xfId="0" applyNumberFormat="1" applyFont="1" applyFill="1" applyBorder="1" applyAlignment="1">
      <alignment horizontal="center" vertical="center"/>
    </xf>
    <xf numFmtId="4" fontId="40" fillId="0" borderId="46" xfId="0" applyNumberFormat="1" applyFont="1" applyFill="1" applyBorder="1" applyAlignment="1">
      <alignment horizontal="center" vertical="center"/>
    </xf>
    <xf numFmtId="0" fontId="22" fillId="0" borderId="45" xfId="0" applyFont="1" applyFill="1" applyBorder="1" applyAlignment="1">
      <alignment horizontal="center" vertical="center"/>
    </xf>
    <xf numFmtId="0" fontId="22" fillId="0" borderId="41" xfId="0" applyFont="1" applyFill="1" applyBorder="1" applyAlignment="1">
      <alignment horizontal="center" vertical="center"/>
    </xf>
    <xf numFmtId="0" fontId="22" fillId="0" borderId="46" xfId="0" applyFont="1" applyFill="1" applyBorder="1" applyAlignment="1">
      <alignment horizontal="center" vertical="center"/>
    </xf>
    <xf numFmtId="0" fontId="0" fillId="0" borderId="43" xfId="0" applyNumberFormat="1" applyFont="1" applyBorder="1" applyAlignment="1">
      <alignment horizontal="center" vertical="center"/>
    </xf>
    <xf numFmtId="0" fontId="0" fillId="0" borderId="33" xfId="0" applyNumberFormat="1" applyFont="1" applyBorder="1" applyAlignment="1">
      <alignment horizontal="center" vertical="center"/>
    </xf>
    <xf numFmtId="0" fontId="0" fillId="0" borderId="14" xfId="0" applyNumberFormat="1" applyFont="1" applyBorder="1" applyAlignment="1">
      <alignment horizontal="center" vertical="center"/>
    </xf>
    <xf numFmtId="0" fontId="0" fillId="0" borderId="17" xfId="0" applyNumberFormat="1" applyFont="1" applyBorder="1" applyAlignment="1">
      <alignment horizontal="center" vertical="center"/>
    </xf>
    <xf numFmtId="164" fontId="40" fillId="0" borderId="63" xfId="0" applyNumberFormat="1" applyFont="1" applyFill="1" applyBorder="1" applyAlignment="1">
      <alignment horizontal="center" vertical="center"/>
    </xf>
    <xf numFmtId="164" fontId="40" fillId="0" borderId="64" xfId="0" applyNumberFormat="1" applyFont="1" applyFill="1" applyBorder="1" applyAlignment="1">
      <alignment horizontal="center" vertical="center"/>
    </xf>
    <xf numFmtId="0" fontId="0" fillId="0" borderId="51" xfId="0" applyNumberFormat="1" applyFont="1" applyBorder="1" applyAlignment="1">
      <alignment horizontal="center" vertical="center"/>
    </xf>
    <xf numFmtId="0" fontId="0" fillId="0" borderId="21" xfId="0" applyNumberFormat="1" applyFont="1" applyBorder="1" applyAlignment="1">
      <alignment horizontal="center" vertical="center"/>
    </xf>
    <xf numFmtId="4" fontId="40" fillId="0" borderId="45" xfId="0" applyNumberFormat="1" applyFont="1" applyFill="1" applyBorder="1" applyAlignment="1">
      <alignment horizontal="center" vertical="center"/>
    </xf>
    <xf numFmtId="0" fontId="0" fillId="0" borderId="45" xfId="0" applyNumberFormat="1" applyFont="1" applyBorder="1" applyAlignment="1">
      <alignment horizontal="center" vertical="center"/>
    </xf>
    <xf numFmtId="0" fontId="0" fillId="0" borderId="41" xfId="0" applyNumberFormat="1" applyFont="1" applyBorder="1" applyAlignment="1">
      <alignment horizontal="center" vertical="center"/>
    </xf>
    <xf numFmtId="0" fontId="0" fillId="0" borderId="46" xfId="0" applyNumberFormat="1" applyFont="1" applyBorder="1" applyAlignment="1">
      <alignment horizontal="center" vertical="center"/>
    </xf>
    <xf numFmtId="0" fontId="22" fillId="0" borderId="54" xfId="0" applyFont="1" applyFill="1" applyBorder="1" applyAlignment="1">
      <alignment horizontal="right" vertical="center"/>
    </xf>
    <xf numFmtId="0" fontId="22" fillId="0" borderId="61" xfId="0" applyFont="1" applyFill="1" applyBorder="1" applyAlignment="1">
      <alignment horizontal="right" vertical="center"/>
    </xf>
    <xf numFmtId="0" fontId="22" fillId="0" borderId="62" xfId="0" applyFont="1" applyFill="1" applyBorder="1" applyAlignment="1">
      <alignment horizontal="right" vertical="center"/>
    </xf>
    <xf numFmtId="0" fontId="22" fillId="0" borderId="55" xfId="0" applyFont="1" applyFill="1" applyBorder="1" applyAlignment="1">
      <alignment horizontal="right" vertical="center"/>
    </xf>
    <xf numFmtId="0" fontId="22" fillId="0" borderId="0" xfId="0" applyFont="1" applyFill="1" applyBorder="1" applyAlignment="1">
      <alignment horizontal="right" vertical="center"/>
    </xf>
    <xf numFmtId="0" fontId="22" fillId="0" borderId="63" xfId="0" applyFont="1" applyFill="1" applyBorder="1" applyAlignment="1">
      <alignment horizontal="right" vertical="center"/>
    </xf>
    <xf numFmtId="0" fontId="22" fillId="0" borderId="56" xfId="0" applyFont="1" applyFill="1" applyBorder="1" applyAlignment="1">
      <alignment horizontal="right" vertical="center"/>
    </xf>
    <xf numFmtId="0" fontId="22" fillId="0" borderId="9" xfId="0" applyFont="1" applyFill="1" applyBorder="1" applyAlignment="1">
      <alignment horizontal="right" vertical="center"/>
    </xf>
    <xf numFmtId="0" fontId="22" fillId="0" borderId="64" xfId="0" applyFont="1" applyFill="1" applyBorder="1" applyAlignment="1">
      <alignment horizontal="right" vertical="center"/>
    </xf>
    <xf numFmtId="164" fontId="22" fillId="0" borderId="45" xfId="0" applyNumberFormat="1" applyFont="1" applyFill="1" applyBorder="1" applyAlignment="1">
      <alignment horizontal="center" vertical="center"/>
    </xf>
    <xf numFmtId="2" fontId="22" fillId="0" borderId="45" xfId="0" applyNumberFormat="1" applyFont="1" applyFill="1" applyBorder="1" applyAlignment="1">
      <alignment horizontal="center" vertical="center"/>
    </xf>
    <xf numFmtId="2" fontId="22" fillId="0" borderId="41" xfId="0" applyNumberFormat="1" applyFont="1" applyFill="1" applyBorder="1" applyAlignment="1">
      <alignment horizontal="center" vertical="center"/>
    </xf>
    <xf numFmtId="2" fontId="22" fillId="0" borderId="46" xfId="0" applyNumberFormat="1" applyFont="1" applyFill="1" applyBorder="1" applyAlignment="1">
      <alignment horizontal="center" vertical="center"/>
    </xf>
    <xf numFmtId="0" fontId="21" fillId="0" borderId="58" xfId="0" applyFont="1" applyFill="1" applyBorder="1" applyAlignment="1">
      <alignment horizontal="center" vertical="center"/>
    </xf>
    <xf numFmtId="0" fontId="21" fillId="0" borderId="81" xfId="0" applyFont="1" applyFill="1" applyBorder="1" applyAlignment="1">
      <alignment horizontal="center" vertical="center"/>
    </xf>
    <xf numFmtId="0" fontId="22" fillId="0" borderId="53" xfId="0" applyFont="1" applyFill="1" applyBorder="1" applyAlignment="1">
      <alignment horizontal="center" vertical="center"/>
    </xf>
    <xf numFmtId="0" fontId="22" fillId="0" borderId="77" xfId="0" applyFont="1" applyFill="1" applyBorder="1" applyAlignment="1">
      <alignment horizontal="center" vertical="center"/>
    </xf>
    <xf numFmtId="49" fontId="22" fillId="0" borderId="53" xfId="0" applyNumberFormat="1" applyFont="1" applyFill="1" applyBorder="1" applyAlignment="1">
      <alignment horizontal="center" vertical="center" textRotation="90" wrapText="1"/>
    </xf>
    <xf numFmtId="49" fontId="22" fillId="0" borderId="77" xfId="0" applyNumberFormat="1" applyFont="1" applyFill="1" applyBorder="1" applyAlignment="1">
      <alignment horizontal="center" vertical="center" textRotation="90" wrapText="1"/>
    </xf>
    <xf numFmtId="0" fontId="22" fillId="0" borderId="59" xfId="0" applyNumberFormat="1" applyFont="1" applyFill="1" applyBorder="1" applyAlignment="1">
      <alignment horizontal="center" vertical="center" textRotation="90" wrapText="1"/>
    </xf>
    <xf numFmtId="0" fontId="22" fillId="0" borderId="77" xfId="0" applyNumberFormat="1" applyFont="1" applyFill="1" applyBorder="1" applyAlignment="1">
      <alignment horizontal="center" vertical="center" textRotation="90" wrapText="1"/>
    </xf>
    <xf numFmtId="9" fontId="21" fillId="0" borderId="5" xfId="0" applyNumberFormat="1" applyFont="1" applyFill="1" applyBorder="1" applyAlignment="1">
      <alignment horizontal="center" vertical="center"/>
    </xf>
    <xf numFmtId="9" fontId="21" fillId="0" borderId="6" xfId="0" applyNumberFormat="1" applyFont="1" applyFill="1" applyBorder="1" applyAlignment="1">
      <alignment horizontal="center" vertical="center"/>
    </xf>
    <xf numFmtId="9" fontId="21" fillId="0" borderId="7" xfId="0" applyNumberFormat="1" applyFont="1" applyFill="1" applyBorder="1" applyAlignment="1">
      <alignment horizontal="center" vertical="center"/>
    </xf>
    <xf numFmtId="167" fontId="18" fillId="0" borderId="57" xfId="0" applyNumberFormat="1" applyFont="1" applyFill="1" applyBorder="1" applyAlignment="1">
      <alignment horizontal="center" vertical="center" textRotation="90" wrapText="1"/>
    </xf>
    <xf numFmtId="167" fontId="18" fillId="0" borderId="81" xfId="0" applyNumberFormat="1" applyFont="1" applyFill="1" applyBorder="1" applyAlignment="1">
      <alignment horizontal="center" vertical="center" textRotation="90" wrapText="1"/>
    </xf>
    <xf numFmtId="4" fontId="22" fillId="0" borderId="53" xfId="0" applyNumberFormat="1" applyFont="1" applyFill="1" applyBorder="1" applyAlignment="1">
      <alignment horizontal="center" vertical="center" wrapText="1"/>
    </xf>
    <xf numFmtId="4" fontId="22" fillId="0" borderId="77" xfId="0" applyNumberFormat="1" applyFont="1" applyFill="1" applyBorder="1" applyAlignment="1">
      <alignment horizontal="center" vertical="center" wrapText="1"/>
    </xf>
    <xf numFmtId="0" fontId="22" fillId="0" borderId="53" xfId="0" applyFont="1" applyFill="1" applyBorder="1" applyAlignment="1">
      <alignment horizontal="center" vertical="center" wrapText="1"/>
    </xf>
    <xf numFmtId="0" fontId="22" fillId="0" borderId="77" xfId="0" applyFont="1" applyFill="1" applyBorder="1" applyAlignment="1">
      <alignment horizontal="center" vertical="center" wrapText="1"/>
    </xf>
    <xf numFmtId="9" fontId="21" fillId="0" borderId="42" xfId="0" applyNumberFormat="1" applyFont="1" applyFill="1" applyBorder="1" applyAlignment="1">
      <alignment horizontal="center" vertical="center"/>
    </xf>
    <xf numFmtId="9" fontId="21" fillId="0" borderId="40" xfId="0" applyNumberFormat="1" applyFont="1" applyFill="1" applyBorder="1" applyAlignment="1">
      <alignment horizontal="center" vertical="center"/>
    </xf>
    <xf numFmtId="9" fontId="21" fillId="0" borderId="14" xfId="0" applyNumberFormat="1" applyFont="1" applyFill="1" applyBorder="1" applyAlignment="1">
      <alignment horizontal="center" vertical="center"/>
    </xf>
    <xf numFmtId="0" fontId="39" fillId="0" borderId="45" xfId="0" applyFont="1" applyBorder="1" applyAlignment="1" applyProtection="1">
      <alignment horizontal="center" vertical="center" wrapText="1"/>
      <protection locked="0"/>
    </xf>
    <xf numFmtId="0" fontId="39" fillId="0" borderId="41" xfId="0" applyFont="1" applyBorder="1" applyAlignment="1" applyProtection="1">
      <alignment horizontal="center" vertical="center" wrapText="1"/>
      <protection locked="0"/>
    </xf>
    <xf numFmtId="0" fontId="39" fillId="0" borderId="46" xfId="0" applyFont="1" applyBorder="1" applyAlignment="1" applyProtection="1">
      <alignment horizontal="center" vertical="center" wrapText="1"/>
      <protection locked="0"/>
    </xf>
    <xf numFmtId="0" fontId="54" fillId="4" borderId="26" xfId="0" applyFont="1" applyFill="1" applyBorder="1" applyAlignment="1">
      <alignment horizontal="center" vertical="center"/>
    </xf>
    <xf numFmtId="0" fontId="14" fillId="8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0" fontId="2" fillId="6" borderId="22" xfId="0" applyFont="1" applyFill="1" applyBorder="1" applyAlignment="1">
      <alignment horizontal="center" vertical="center"/>
    </xf>
    <xf numFmtId="0" fontId="2" fillId="6" borderId="71" xfId="0" applyFont="1" applyFill="1" applyBorder="1" applyAlignment="1">
      <alignment horizontal="center" vertical="center"/>
    </xf>
    <xf numFmtId="0" fontId="2" fillId="6" borderId="44" xfId="0" applyFont="1" applyFill="1" applyBorder="1" applyAlignment="1">
      <alignment horizontal="center" vertical="center"/>
    </xf>
    <xf numFmtId="2" fontId="72" fillId="0" borderId="45" xfId="0" applyNumberFormat="1" applyFont="1" applyFill="1" applyBorder="1" applyAlignment="1" applyProtection="1">
      <alignment horizontal="center" vertical="center"/>
      <protection locked="0"/>
    </xf>
    <xf numFmtId="2" fontId="72" fillId="0" borderId="41" xfId="0" applyNumberFormat="1" applyFont="1" applyFill="1" applyBorder="1" applyAlignment="1" applyProtection="1">
      <alignment horizontal="center" vertical="center"/>
      <protection locked="0"/>
    </xf>
    <xf numFmtId="2" fontId="72" fillId="0" borderId="46" xfId="0" applyNumberFormat="1" applyFont="1" applyFill="1" applyBorder="1" applyAlignment="1" applyProtection="1">
      <alignment horizontal="center" vertical="center"/>
      <protection locked="0"/>
    </xf>
    <xf numFmtId="2" fontId="68" fillId="0" borderId="0" xfId="0" applyNumberFormat="1" applyFont="1" applyFill="1" applyAlignment="1">
      <alignment horizontal="center"/>
    </xf>
    <xf numFmtId="0" fontId="67" fillId="0" borderId="0" xfId="0" applyFont="1" applyAlignment="1">
      <alignment horizontal="center"/>
    </xf>
    <xf numFmtId="0" fontId="70" fillId="0" borderId="3" xfId="0" applyFont="1" applyFill="1" applyBorder="1" applyAlignment="1">
      <alignment horizontal="center"/>
    </xf>
    <xf numFmtId="0" fontId="42" fillId="0" borderId="0" xfId="0" applyFont="1" applyAlignment="1">
      <alignment horizontal="center" vertical="center"/>
    </xf>
    <xf numFmtId="0" fontId="51" fillId="0" borderId="0" xfId="0" applyFont="1" applyFill="1" applyAlignment="1">
      <alignment horizontal="center" vertical="center"/>
    </xf>
    <xf numFmtId="49" fontId="35" fillId="8" borderId="26" xfId="0" applyNumberFormat="1" applyFont="1" applyFill="1" applyBorder="1" applyAlignment="1">
      <alignment horizontal="center" vertical="center"/>
    </xf>
    <xf numFmtId="0" fontId="28" fillId="0" borderId="0" xfId="0" applyFont="1" applyFill="1" applyAlignment="1">
      <alignment horizontal="center" vertical="top"/>
    </xf>
    <xf numFmtId="0" fontId="8" fillId="0" borderId="3" xfId="0" applyFont="1" applyFill="1" applyBorder="1" applyAlignment="1">
      <alignment horizontal="center" vertical="center"/>
    </xf>
    <xf numFmtId="0" fontId="8" fillId="0" borderId="3" xfId="0" applyFont="1" applyFill="1" applyBorder="1" applyAlignment="1">
      <alignment horizontal="right" vertical="center"/>
    </xf>
    <xf numFmtId="0" fontId="46" fillId="8" borderId="0" xfId="0" applyNumberFormat="1" applyFont="1" applyFill="1" applyBorder="1" applyAlignment="1">
      <alignment horizontal="center" vertical="center"/>
    </xf>
    <xf numFmtId="0" fontId="46" fillId="0" borderId="0" xfId="0" applyNumberFormat="1" applyFont="1" applyFill="1" applyBorder="1" applyAlignment="1">
      <alignment horizontal="center" vertical="center"/>
    </xf>
    <xf numFmtId="49" fontId="35" fillId="0" borderId="26" xfId="0" applyNumberFormat="1" applyFont="1" applyFill="1" applyBorder="1" applyAlignment="1">
      <alignment horizontal="center" vertical="center"/>
    </xf>
    <xf numFmtId="0" fontId="42" fillId="0" borderId="0" xfId="0" applyFont="1" applyAlignment="1" applyProtection="1">
      <alignment horizontal="center" vertical="center"/>
      <protection locked="0"/>
    </xf>
    <xf numFmtId="0" fontId="60" fillId="0" borderId="3" xfId="0" applyFont="1" applyFill="1" applyBorder="1" applyAlignment="1" applyProtection="1">
      <alignment horizontal="center" vertical="center"/>
      <protection locked="0"/>
    </xf>
    <xf numFmtId="0" fontId="60" fillId="0" borderId="3" xfId="0" applyFont="1" applyFill="1" applyBorder="1" applyAlignment="1" applyProtection="1">
      <alignment horizontal="right" vertical="center"/>
      <protection locked="0"/>
    </xf>
    <xf numFmtId="0" fontId="59" fillId="0" borderId="0" xfId="0" applyFont="1" applyFill="1" applyAlignment="1" applyProtection="1">
      <alignment horizontal="center" vertical="top"/>
      <protection locked="0"/>
    </xf>
    <xf numFmtId="0" fontId="51" fillId="0" borderId="0" xfId="0" applyFont="1" applyFill="1" applyAlignment="1" applyProtection="1">
      <alignment horizontal="center" vertical="center"/>
      <protection locked="0"/>
    </xf>
    <xf numFmtId="49" fontId="35" fillId="0" borderId="26" xfId="0" applyNumberFormat="1" applyFont="1" applyFill="1" applyBorder="1" applyAlignment="1" applyProtection="1">
      <alignment horizontal="center" vertical="center"/>
      <protection locked="0"/>
    </xf>
    <xf numFmtId="0" fontId="61" fillId="0" borderId="0" xfId="0" applyFont="1" applyFill="1" applyBorder="1" applyAlignment="1" applyProtection="1">
      <alignment horizontal="center" vertical="center"/>
      <protection locked="0"/>
    </xf>
    <xf numFmtId="0" fontId="69" fillId="0" borderId="0" xfId="0" applyFont="1" applyAlignment="1">
      <alignment horizontal="center"/>
    </xf>
    <xf numFmtId="0" fontId="43" fillId="0" borderId="0" xfId="0" applyFont="1" applyFill="1" applyAlignment="1" applyProtection="1">
      <alignment horizontal="center" vertical="center"/>
      <protection locked="0"/>
    </xf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</cellXfs>
  <cellStyles count="11">
    <cellStyle name="Excel Built-in Excel Built-in TableStyleLight1" xfId="1"/>
    <cellStyle name="Обычный" xfId="0" builtinId="0"/>
    <cellStyle name="Обычный 2" xfId="2"/>
    <cellStyle name="Обычный 2 2" xfId="3"/>
    <cellStyle name="Обычный 3" xfId="4"/>
    <cellStyle name="Обычный 3 2" xfId="5"/>
    <cellStyle name="Обычный 4" xfId="6"/>
    <cellStyle name="Обычный 5" xfId="7"/>
    <cellStyle name="Обычный 6" xfId="8"/>
    <cellStyle name="Обычный 6 2" xfId="9"/>
    <cellStyle name="Обычный 7" xfId="10"/>
  </cellStyles>
  <dxfs count="465"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70C0"/>
        <name val="Arial"/>
        <scheme val="none"/>
      </font>
      <numFmt numFmtId="2" formatCode="0.00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70C0"/>
        <name val="Arial"/>
        <scheme val="none"/>
      </font>
      <numFmt numFmtId="164" formatCode="0.0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dotted">
          <color indexed="64"/>
        </top>
        <bottom/>
        <vertical/>
        <horizontal/>
      </border>
    </dxf>
    <dxf>
      <border outline="0">
        <top style="dotted">
          <color indexed="64"/>
        </top>
      </border>
    </dxf>
    <dxf>
      <border outline="0">
        <top style="dotted">
          <color indexed="8"/>
        </top>
        <bottom style="dotted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border outline="0">
        <top style="dotted">
          <color indexed="64"/>
        </top>
      </border>
    </dxf>
    <dxf>
      <border outline="0">
        <top style="thin">
          <color theme="4" tint="0.39997558519241921"/>
        </top>
        <bottom style="dotted">
          <color indexed="64"/>
        </bottom>
      </border>
    </dxf>
    <dxf>
      <fill>
        <patternFill patternType="none">
          <fgColor indexed="64"/>
          <bgColor indexed="65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70C0"/>
        <name val="Arial"/>
        <scheme val="none"/>
      </font>
      <numFmt numFmtId="2" formatCode="0.00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70C0"/>
        <name val="Arial"/>
        <scheme val="none"/>
      </font>
      <numFmt numFmtId="164" formatCode="0.0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i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i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i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i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i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i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i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70C0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70C0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outline="0">
        <right style="thin">
          <color indexed="64"/>
        </right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border outline="0">
        <left style="thin">
          <color indexed="64"/>
        </left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border outline="0">
        <left style="thin">
          <color indexed="64"/>
        </left>
        <right style="thin">
          <color indexed="64"/>
        </right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Arial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</dxfs>
  <tableStyles count="0" defaultTableStyle="TableStyleMedium2" defaultPivotStyle="PivotStyleLight16"/>
  <colors>
    <mruColors>
      <color rgb="FFD3F7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worksheets/sheet11.xml" Type="http://schemas.openxmlformats.org/officeDocument/2006/relationships/worksheet"/><Relationship Id="rId12" Target="worksheets/sheet12.xml" Type="http://schemas.openxmlformats.org/officeDocument/2006/relationships/worksheet"/><Relationship Id="rId13" Target="worksheets/sheet13.xml" Type="http://schemas.openxmlformats.org/officeDocument/2006/relationships/worksheet"/><Relationship Id="rId14" Target="worksheets/sheet14.xml" Type="http://schemas.openxmlformats.org/officeDocument/2006/relationships/worksheet"/><Relationship Id="rId15" Target="worksheets/sheet15.xml" Type="http://schemas.openxmlformats.org/officeDocument/2006/relationships/worksheet"/><Relationship Id="rId16" Target="worksheets/sheet16.xml" Type="http://schemas.openxmlformats.org/officeDocument/2006/relationships/worksheet"/><Relationship Id="rId17" Target="externalLinks/externalLink1.xml" Type="http://schemas.openxmlformats.org/officeDocument/2006/relationships/externalLink"/><Relationship Id="rId18" Target="theme/theme1.xml" Type="http://schemas.openxmlformats.org/officeDocument/2006/relationships/theme"/><Relationship Id="rId19" Target="styles.xml" Type="http://schemas.openxmlformats.org/officeDocument/2006/relationships/styles"/><Relationship Id="rId2" Target="worksheets/sheet2.xml" Type="http://schemas.openxmlformats.org/officeDocument/2006/relationships/worksheet"/><Relationship Id="rId20" Target="sharedStrings.xml" Type="http://schemas.openxmlformats.org/officeDocument/2006/relationships/sharedStrings"/><Relationship Id="rId21" Target="calcChain.xml" Type="http://schemas.openxmlformats.org/officeDocument/2006/relationships/calcChain"/><Relationship Id="rId22" Target="vbaProject.bin" Type="http://schemas.microsoft.com/office/2006/relationships/vbaProjec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71437</xdr:colOff>
      <xdr:row>16</xdr:row>
      <xdr:rowOff>178593</xdr:rowOff>
    </xdr:from>
    <xdr:to>
      <xdr:col>54</xdr:col>
      <xdr:colOff>95250</xdr:colOff>
      <xdr:row>47</xdr:row>
      <xdr:rowOff>40822</xdr:rowOff>
    </xdr:to>
    <xdr:sp macro="[0]!Form_Show" textlink="">
      <xdr:nvSpPr>
        <xdr:cNvPr id="3" name="Скругленный прямоугольник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9053401" y="3525950"/>
          <a:ext cx="5888492" cy="5794943"/>
        </a:xfrm>
        <a:prstGeom prst="roundRect">
          <a:avLst/>
        </a:prstGeom>
        <a:gradFill flip="none" rotWithShape="1">
          <a:gsLst>
            <a:gs pos="0">
              <a:srgbClr val="E3DE00"/>
            </a:gs>
            <a:gs pos="100000">
              <a:srgbClr val="49DD57"/>
            </a:gs>
            <a:gs pos="94000">
              <a:srgbClr val="866600"/>
            </a:gs>
          </a:gsLst>
          <a:lin ang="5400000" scaled="1"/>
          <a:tileRect/>
        </a:gra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ru-RU" sz="1200" b="1">
              <a:solidFill>
                <a:schemeClr val="lt1"/>
              </a:solidFill>
              <a:latin typeface="Times New Roman" pitchFamily="18" charset="0"/>
              <a:ea typeface="+mn-ea"/>
              <a:cs typeface="Times New Roman" pitchFamily="18" charset="0"/>
            </a:rPr>
            <a:t>Форма</a:t>
          </a:r>
        </a:p>
      </xdr:txBody>
    </xdr:sp>
    <xdr:clientData/>
  </xdr:twoCellAnchor>
</xdr:wsDr>
</file>

<file path=xl/externalLinks/_rels/externalLink1.xml.rels><?xml version="1.0" encoding="UTF-8" standalone="yes"?><Relationships xmlns="http://schemas.openxmlformats.org/package/2006/relationships"><Relationship Id="rId1" Target="file:///E:/&#1089;&#1077;&#1085;&#1090;&#1103;&#1073;&#1088;&#1100;%2023/&#1085;&#1072;&#1088;&#1103;&#1076;&#1099;%20&#1084;&#1072;&#1089;&#1090;%2039%20&#1089;&#1077;&#1085;&#1090;&#1103;&#1073;&#1088;&#1100;%2023.xlsm" TargetMode="External" Type="http://schemas.openxmlformats.org/officeDocument/2006/relationships/externalLinkPath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_Tech"/>
      <sheetName val="сверхур"/>
      <sheetName val="расчет"/>
      <sheetName val="наряд выходн"/>
      <sheetName val="наряд СУ"/>
      <sheetName val="база"/>
      <sheetName val="Лист3"/>
      <sheetName val="св-185"/>
      <sheetName val="757-3"/>
      <sheetName val="наряды маст 39 сентябрь 23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ables/table1.xml><?xml version="1.0" encoding="utf-8"?>
<table xmlns="http://schemas.openxmlformats.org/spreadsheetml/2006/main" id="1" name="Таблица1" displayName="Таблица1" ref="A1:AP211" totalsRowShown="0" headerRowDxfId="464" dataDxfId="462" headerRowBorderDxfId="463">
  <autoFilter ref="A1:AP211"/>
  <tableColumns count="42">
    <tableColumn id="1" name="мес" dataDxfId="461" totalsRowDxfId="460"/>
    <tableColumn id="2" name="год" dataDxfId="459" totalsRowDxfId="458"/>
    <tableColumn id="3" name="изд" dataDxfId="457" totalsRowDxfId="456"/>
    <tableColumn id="4" name="партия" dataDxfId="455" totalsRowDxfId="454"/>
    <tableColumn id="5" name="коэф" dataDxfId="453" totalsRowDxfId="452"/>
    <tableColumn id="6" name="Ф. И. О." dataDxfId="451"/>
    <tableColumn id="7" name="р/р" dataDxfId="450" totalsRowDxfId="449"/>
    <tableColumn id="8" name="1" dataDxfId="448"/>
    <tableColumn id="9" name="2" dataDxfId="447"/>
    <tableColumn id="10" name="3" dataDxfId="446"/>
    <tableColumn id="29" name="4" dataDxfId="445" totalsRowDxfId="444"/>
    <tableColumn id="32" name="5" dataDxfId="443" totalsRowDxfId="442"/>
    <tableColumn id="11" name="6" dataDxfId="441"/>
    <tableColumn id="12" name="7" dataDxfId="440" totalsRowDxfId="439"/>
    <tableColumn id="30" name="8" dataDxfId="438" totalsRowDxfId="437"/>
    <tableColumn id="31" name="9" dataDxfId="436" totalsRowDxfId="435"/>
    <tableColumn id="13" name="10" dataDxfId="434" totalsRowDxfId="433"/>
    <tableColumn id="33" name="11" dataDxfId="432" totalsRowDxfId="431"/>
    <tableColumn id="34" name="12" dataDxfId="430" totalsRowDxfId="429"/>
    <tableColumn id="14" name="13" dataDxfId="428" totalsRowDxfId="427"/>
    <tableColumn id="15" name="14" dataDxfId="426" totalsRowDxfId="425"/>
    <tableColumn id="16" name="15" dataDxfId="424" totalsRowDxfId="423"/>
    <tableColumn id="17" name="16" dataDxfId="422" totalsRowDxfId="421"/>
    <tableColumn id="18" name="17" dataDxfId="420" totalsRowDxfId="419"/>
    <tableColumn id="35" name="18" dataDxfId="418" totalsRowDxfId="417"/>
    <tableColumn id="36" name="19" dataDxfId="416" totalsRowDxfId="415"/>
    <tableColumn id="19" name="20" dataDxfId="414" totalsRowDxfId="413"/>
    <tableColumn id="20" name="21" dataDxfId="412" totalsRowDxfId="411"/>
    <tableColumn id="21" name="22" dataDxfId="410" totalsRowDxfId="409"/>
    <tableColumn id="22" name="23" dataDxfId="408" totalsRowDxfId="407"/>
    <tableColumn id="23" name="24" dataDxfId="406" totalsRowDxfId="405"/>
    <tableColumn id="37" name="25" dataDxfId="404" totalsRowDxfId="403"/>
    <tableColumn id="38" name="26" totalsRowDxfId="402"/>
    <tableColumn id="24" name="27" totalsRowDxfId="401"/>
    <tableColumn id="25" name="28" totalsRowDxfId="400"/>
    <tableColumn id="26" name="29" totalsRowDxfId="399"/>
    <tableColumn id="27" name="30" dataDxfId="398" totalsRowDxfId="397"/>
    <tableColumn id="43" name="31" dataDxfId="396"/>
    <tableColumn id="28" name="сумма" dataDxfId="395" totalsRowDxfId="394">
      <calculatedColumnFormula>SUM(#REF!)-Таблица1[[#This Row],[1]]-Таблица1[[#This Row],[2]]-Таблица1[[#This Row],[3]]-Таблица1[[#This Row],[7]]-Таблица1[[#This Row],[8]]-Таблица1[[#This Row],[9]]-Таблица1[[#This Row],[10]]-Таблица1[[#This Row],[14]]-Таблица1[[#This Row],[21]]-Таблица1[[#This Row],[22]]-Таблица1[[#This Row],[28]]</calculatedColumnFormula>
    </tableColumn>
    <tableColumn id="40" name="Столбец1" dataDxfId="393" totalsRowDxfId="392">
      <calculatedColumnFormula>SUM(Таблица1[[#This Row],[1]]+Таблица1[[#This Row],[2]]+Таблица1[[#This Row],[3]]+Таблица1[[#This Row],[7]]+Таблица1[[#This Row],[8]]+Таблица1[[#This Row],[9]]+Таблица1[[#This Row],[14]]+Таблица1[[#This Row],[21]]+Таблица1[[#This Row],[28]])</calculatedColumnFormula>
    </tableColumn>
    <tableColumn id="41" name="Столбец2" dataDxfId="391" totalsRowDxfId="390">
      <calculatedColumnFormula>IF(AR2&lt;=3,(IF((G2="5/24"),((база!$M$6*Таблица1[[#This Row],[сумма]]*Таблица1[[#This Row],[коэф]])),
IF((G2="4/24"),((база!$M$5*Таблица1[[#This Row],[сумма]]*Таблица1[[#This Row],[коэф]])),
IF((G2="3/24"),((база!$M$4*Таблица1[[#This Row],[сумма]]*Таблица1[[#This Row],[коэф]])),
IF((G2="5/16"),((база!$L$6*Таблица1[[#This Row],[сумма]]*Таблица1[[#This Row],[коэф]])),
IF((G2="4/16"),((база!$L$5*Таблица1[[#This Row],[сумма]]*Таблица1[[#This Row],[коэф]])),
IF((G2="3/16"),((база!$L$4*Таблица1[[#This Row],[сумма]]*Таблица1[[#This Row],[коэф]])),
IF((G2="4/4"),((база!$I$5*Таблица1[[#This Row],[сумма]]*Таблица1[[#This Row],[коэф]])),
IF(OR(G2="2/4",G2="3/4"),((база!$I$4*Таблица1[[#This Row],[сумма]]*Таблица1[[#This Row],[коэф]])),
IF((G2="5/8"),((база!$J$6*Таблица1[[#This Row],[сумма]]*Таблица1[[#This Row],[коэф]])),
IF((G2="4/8"),((база!$J$5*Таблица1[[#This Row],[сумма]]*Таблица1[[#This Row],[коэф]])),
IF(OR(G2="3/8",G2="2/8"),((база!$J$4*Таблица1[[#This Row],[сумма]]*Таблица1[[#This Row],[коэф]])))))))))))))),
(IF((G2="5/24"),((база!$M$6*Таблица1[[#This Row],[сумма]]*Таблица1[[#This Row],[коэф]])),
IF(OR(G2="4/24",G2="3/24"),((база!$M$5*Таблица1[[#This Row],[сумма]]*Таблица1[[#This Row],[коэф]])),
IF((G2="5/16"),((база!$L$6*Таблица1[[#This Row],[сумма]]*Таблица1[[#This Row],[коэф]])),
IF(OR(G2="4/16",G2="3/16"),((база!$L$5*Таблица1[[#This Row],[сумма]]*Таблица1[[#This Row],[коэф]])),
IF(OR(G2="2/4",G2="3/4",G2="4/4"),((база!$I$5*Таблица1[[#This Row],[сумма]]*Таблица1[[#This Row],[коэф]])),
IF((G2="5/8"),((база!$J$6*Таблица1[[#This Row],[сумма]]*Таблица1[[#This Row],[коэф]])),
IF(OR(G2="4/8",G2="3/8",G2="2/8"),((база!$J$5*Таблица1[[#This Row],[сумма]]*Таблица1[[#This Row],[коэф]])))))))))))</calculatedColumnFormula>
    </tableColumn>
    <tableColumn id="39" name="Столбец3" dataDxfId="38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Таблица14" displayName="Таблица14" ref="A1:AO86" totalsRowCount="1" headerRowDxfId="388" dataDxfId="386" headerRowBorderDxfId="387">
  <autoFilter ref="A1:AO85"/>
  <tableColumns count="41">
    <tableColumn id="1" name="месяц" totalsRowLabel="Итог" dataDxfId="385" totalsRowDxfId="321"/>
    <tableColumn id="2" name="год" dataDxfId="384" totalsRowDxfId="320"/>
    <tableColumn id="3" name="изд" totalsRowDxfId="319"/>
    <tableColumn id="4" name="партия" dataDxfId="383" totalsRowDxfId="318"/>
    <tableColumn id="5" name="коэф" dataDxfId="382" totalsRowDxfId="317"/>
    <tableColumn id="6" name="Ф. И. О." dataDxfId="381" totalsRowDxfId="316" dataCellStyle="Обычный 2"/>
    <tableColumn id="7" name="р/р" totalsRowFunction="sum" dataDxfId="380" totalsRowDxfId="315"/>
    <tableColumn id="8" name="1" totalsRowFunction="sum" dataDxfId="379" totalsRowDxfId="314"/>
    <tableColumn id="9" name="2" totalsRowFunction="sum" dataDxfId="378" totalsRowDxfId="313"/>
    <tableColumn id="10" name="3" totalsRowFunction="sum" dataDxfId="377" totalsRowDxfId="312"/>
    <tableColumn id="29" name="4" totalsRowFunction="sum" dataDxfId="376" totalsRowDxfId="311"/>
    <tableColumn id="32" name="5" totalsRowFunction="sum" dataDxfId="375" totalsRowDxfId="310"/>
    <tableColumn id="11" name="6" totalsRowFunction="sum" dataDxfId="374" totalsRowDxfId="309"/>
    <tableColumn id="12" name="7" totalsRowFunction="sum" dataDxfId="373" totalsRowDxfId="308"/>
    <tableColumn id="30" name="8" totalsRowFunction="sum" dataDxfId="372" totalsRowDxfId="307"/>
    <tableColumn id="31" name="9" totalsRowFunction="sum" dataDxfId="371" totalsRowDxfId="306"/>
    <tableColumn id="13" name="10" totalsRowFunction="sum" dataDxfId="370" totalsRowDxfId="305"/>
    <tableColumn id="33" name="11" totalsRowFunction="sum" dataDxfId="369" totalsRowDxfId="304"/>
    <tableColumn id="34" name="12" totalsRowFunction="sum" dataDxfId="368" totalsRowDxfId="303"/>
    <tableColumn id="14" name="13" totalsRowFunction="sum" dataDxfId="367" totalsRowDxfId="302"/>
    <tableColumn id="15" name="14" totalsRowFunction="sum" dataDxfId="366" totalsRowDxfId="301"/>
    <tableColumn id="16" name="15" totalsRowFunction="sum" dataDxfId="365" totalsRowDxfId="300"/>
    <tableColumn id="17" name="16" totalsRowFunction="sum" dataDxfId="364" totalsRowDxfId="299"/>
    <tableColumn id="18" name="17" totalsRowFunction="sum" dataDxfId="363" totalsRowDxfId="298"/>
    <tableColumn id="35" name="18" totalsRowFunction="sum" dataDxfId="362" totalsRowDxfId="297"/>
    <tableColumn id="36" name="19" totalsRowFunction="sum" dataDxfId="361" totalsRowDxfId="296"/>
    <tableColumn id="19" name="20" totalsRowFunction="sum" dataDxfId="360" totalsRowDxfId="295"/>
    <tableColumn id="20" name="21" totalsRowFunction="sum" dataDxfId="359" totalsRowDxfId="294"/>
    <tableColumn id="21" name="22" totalsRowFunction="sum" dataDxfId="358" totalsRowDxfId="293"/>
    <tableColumn id="22" name="23" totalsRowFunction="sum" dataDxfId="357" totalsRowDxfId="292"/>
    <tableColumn id="23" name="24" totalsRowFunction="sum" dataDxfId="356" totalsRowDxfId="291"/>
    <tableColumn id="37" name="25" totalsRowFunction="sum" dataDxfId="355" totalsRowDxfId="290"/>
    <tableColumn id="38" name="26" totalsRowFunction="sum" dataDxfId="354" totalsRowDxfId="289"/>
    <tableColumn id="24" name="27" totalsRowFunction="sum" dataDxfId="353" totalsRowDxfId="288"/>
    <tableColumn id="25" name="28" totalsRowFunction="sum" dataDxfId="352" totalsRowDxfId="287"/>
    <tableColumn id="26" name="29" totalsRowFunction="sum" dataDxfId="351" totalsRowDxfId="286"/>
    <tableColumn id="27" name="30" dataDxfId="350" totalsRowDxfId="285"/>
    <tableColumn id="39" name="31" totalsRowFunction="sum" dataDxfId="349" totalsRowDxfId="284"/>
    <tableColumn id="28" name="часы" totalsRowFunction="custom" dataDxfId="348" totalsRowDxfId="283">
      <calculatedColumnFormula>SUM(H2:AL2)</calculatedColumnFormula>
      <totalsRowFormula>SUM(сверхур!$AM$2:$AM$85)</totalsRowFormula>
    </tableColumn>
    <tableColumn id="41" name="Столбец2" totalsRowFunction="custom" dataDxfId="347" totalsRowDxfId="282">
      <calculatedColumnFormula>IF(AO2&lt;=3,(IF(AND(G2="5/24",AM2&gt;0.5),(AM2*2*база!$M$6*Таблица14[[#This Row],[коэф]]),
IF(AND(G2="4/24",AM2&gt;0.5),(AM2*2*база!$M$5*Таблица14[[#This Row],[коэф]]),
IF(AND(G2="3/24",AM2&gt;0.5),(AM2*2*база!$M$4*Таблица14[[#This Row],[коэф]]),
IF(AND(G2="5/16",AM2&gt;0.5),(AM2*2*база!$L$6*Таблица14[[#This Row],[коэф]]),
IF(AND(G2="4/16",AM2&gt;0.5),(AM2*2*база!$L$5*Таблица14[[#This Row],[коэф]]),
IF(AND(G2="3/16",AM2&gt;0.5),(AM2*2*база!$L$4*Таблица14[[#This Row],[коэф]]),
IF(AND(G2="4/4",AM2&gt;0.5),(AM2*2*база!$I$5*Таблица14[[#This Row],[коэф]]),
IF(OR(AND(G2="3/4",AM2&gt;0.5),AND(G2="2/4",AM2&gt;0.5)),(AM2*2*база!$I$4*Таблица14[[#This Row],[коэф]]),
IF(AND(G2="5/8",AM2&gt;0.5),(AM2*2*база!$J$6*Таблица14[[#This Row],[коэф]]),
IF(AND(G2="4/8",AM2&gt;0.5),(AM2*2*база!$J$5*Таблица14[[#This Row],[коэф]]),
IF(OR(AND(G2="3/8",AM2&gt;0.5),AND(G2="2/8",AM2&gt;0.5)),(AM2*2*база!$J$4*Таблица14[[#This Row],[коэф]]),
(AM2*0.5*база!$L$4*Таблица14[[#This Row],[коэф]]))))))))))))),
(IF(AND(G2="5/24",AM2&gt;0.5),(AM2*2*база!$M$6*Таблица14[[#This Row],[коэф]]),
IF(OR(AND(G2="4/24",AM2&gt;0.5),AND(G2="3/24",AM2&gt;0.5)),(AM2*2*база!$M$5*Таблица14[[#This Row],[коэф]]),
IF(AND(G2="5/16",AM2&gt;0.5),(AM2*2*база!$L$6*Таблица14[[#This Row],[коэф]]),
IF(OR(AND(G2="4/16",AM2&gt;0.5),AND(G2="3/16",AM2&gt;0.5)),(AM2*2*база!$L$5*Таблица14[[#This Row],[коэф]]),
IF(OR(AND(G2="4/4",AM2&gt;0.5),AND(G2="3/4",AM2&gt;2)),(AM2*2*база!$I$5*Таблица14[[#This Row],[коэф]]),
IF(AND(G2="5/8",AM2&gt;0.5),(AM2*2*база!$J$6*Таблица14[[#This Row],[коэф]]),
IF(AND(G2="4/8",AM2&gt;0.5),(AM2*2*база!$J$5*Таблица14[[#This Row],[коэф]]),
IF(OR(AND(G2="3/8",AM2&gt;0.5),AND(G2="2/8",AM2&gt;0.5)),(AM2*2*база!$J$4*Таблица14[[#This Row],[коэф]]),
(AM2*2*база!$L$5*Таблица14[[#This Row],[коэф]])))))))))))</calculatedColumnFormula>
      <totalsRowFormula>SUM(Таблица14[Столбец2])</totalsRowFormula>
    </tableColumn>
    <tableColumn id="43" name="присвоенный_x000a_ разряд" dataDxfId="346" totalsRowDxfId="281">
      <calculatedColumnFormula>IFERROR(INDEX(база!$D$2:$D$120, MATCH(Таблица14[[#This Row],[Ф. И. О.]],база!$B$2:$B$100,0)),"")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A15" totalsRowShown="0" headerRowDxfId="345" dataDxfId="343" headerRowBorderDxfId="344" tableBorderDxfId="342" totalsRowBorderDxfId="341">
  <autoFilter ref="A1:A15"/>
  <tableColumns count="1">
    <tableColumn id="1" name="партия" dataDxfId="340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C1:C13" totalsRowShown="0" headerRowDxfId="339" dataDxfId="337" headerRowBorderDxfId="338" tableBorderDxfId="336" totalsRowBorderDxfId="335">
  <autoFilter ref="C1:C13"/>
  <tableColumns count="1">
    <tableColumn id="1" name="р/р" dataDxfId="334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D1:D81" totalsRowShown="0" headerRowDxfId="333" dataDxfId="331" headerRowBorderDxfId="332" tableBorderDxfId="330" totalsRowBorderDxfId="329">
  <autoFilter ref="D1:D81"/>
  <tableColumns count="1">
    <tableColumn id="1" name="разряд" dataDxfId="328">
      <calculatedColumnFormula>INDEX($Q$1:$BH$100,ROW(B2),MATCH(Data_Tech!$AU$7,$Q$1:$AN$1,)+COLUMN(B2)-1)</calculatedColumnFormula>
    </tableColumn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E1:E81" totalsRowShown="0" headerRowDxfId="327" dataDxfId="325" headerRowBorderDxfId="326" tableBorderDxfId="324" totalsRowBorderDxfId="323">
  <autoFilter ref="E1:E81"/>
  <tableColumns count="1">
    <tableColumn id="1" name="Таб №" dataDxfId="322">
      <calculatedColumnFormula>INDEX($Q$1:$BH$100,ROW(C2),MATCH(Data_Tech!$AU$7,$Q$1:$AN$1,)+COLUMN(C2)-1)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tables/table1.xml" Type="http://schemas.openxmlformats.org/officeDocument/2006/relationships/table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tables/table2.xml" Type="http://schemas.openxmlformats.org/officeDocument/2006/relationships/table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tables/table3.xml" Type="http://schemas.openxmlformats.org/officeDocument/2006/relationships/table"/><Relationship Id="rId3" Target="../tables/table4.xml" Type="http://schemas.openxmlformats.org/officeDocument/2006/relationships/table"/><Relationship Id="rId4" Target="../tables/table5.xml" Type="http://schemas.openxmlformats.org/officeDocument/2006/relationships/table"/><Relationship Id="rId5" Target="../tables/table6.xml" Type="http://schemas.openxmlformats.org/officeDocument/2006/relationships/table"/></Relationships>
</file>

<file path=xl/worksheets/_rels/sheet7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/Relationships>
</file>

<file path=xl/worksheets/_rels/sheet8.xml.rels><?xml version="1.0" encoding="UTF-8" standalone="yes"?><Relationships xmlns="http://schemas.openxmlformats.org/package/2006/relationships"><Relationship Id="rId1" Target="../printerSettings/printerSettings7.bin" Type="http://schemas.openxmlformats.org/officeDocument/2006/relationships/printerSettings"/></Relationships>
</file>

<file path=xl/worksheets/_rels/sheet9.xml.rels><?xml version="1.0" encoding="UTF-8" standalone="yes"?><Relationships xmlns="http://schemas.openxmlformats.org/package/2006/relationships"><Relationship Id="rId1" Target="../printerSettings/printerSettings8.bin" Type="http://schemas.openxmlformats.org/officeDocument/2006/relationships/printerSettings"/></Relationships>
</file>

<file path=xl/worksheets/_rels/sheet10.xml.rels><?xml version="1.0" encoding="UTF-8" standalone="yes"?><Relationships xmlns="http://schemas.openxmlformats.org/package/2006/relationships"><Relationship Id="rId1" Target="../printerSettings/printerSettings9.bin" Type="http://schemas.openxmlformats.org/officeDocument/2006/relationships/printerSettings"/></Relationships>
</file>

<file path=xl/worksheets/_rels/sheet11.xml.rels><?xml version="1.0" encoding="UTF-8" standalone="yes"?><Relationships xmlns="http://schemas.openxmlformats.org/package/2006/relationships"><Relationship Id="rId1" Target="../printerSettings/printerSettings10.bin" Type="http://schemas.openxmlformats.org/officeDocument/2006/relationships/printerSettings"/></Relationships>
</file>

<file path=xl/worksheets/_rels/sheet12.xml.rels><?xml version="1.0" encoding="UTF-8" standalone="yes"?><Relationships xmlns="http://schemas.openxmlformats.org/package/2006/relationships"><Relationship Id="rId1" Target="../printerSettings/printerSettings11.bin" Type="http://schemas.openxmlformats.org/officeDocument/2006/relationships/printerSettings"/></Relationships>
</file>

<file path=xl/worksheets/_rels/sheet13.xml.rels><?xml version="1.0" encoding="UTF-8" standalone="yes"?><Relationships xmlns="http://schemas.openxmlformats.org/package/2006/relationships"><Relationship Id="rId1" Target="../printerSettings/printerSettings12.bin" Type="http://schemas.openxmlformats.org/officeDocument/2006/relationships/printerSettings"/></Relationships>
</file>

<file path=xl/worksheets/_rels/sheet14.xml.rels><?xml version="1.0" encoding="UTF-8" standalone="yes"?><Relationships xmlns="http://schemas.openxmlformats.org/package/2006/relationships"><Relationship Id="rId1" Target="../printerSettings/printerSettings13.bin" Type="http://schemas.openxmlformats.org/officeDocument/2006/relationships/printerSettings"/></Relationships>
</file>

<file path=xl/worksheets/_rels/sheet15.xml.rels><?xml version="1.0" encoding="UTF-8" standalone="yes"?><Relationships xmlns="http://schemas.openxmlformats.org/package/2006/relationships"><Relationship Id="rId1" Target="../printerSettings/printerSettings14.bin" Type="http://schemas.openxmlformats.org/officeDocument/2006/relationships/printerSettings"/></Relationships>
</file>

<file path=xl/worksheets/_rels/sheet16.xml.rels><?xml version="1.0" encoding="UTF-8" standalone="yes"?><Relationships xmlns="http://schemas.openxmlformats.org/package/2006/relationships"><Relationship Id="rId1" Target="../printerSettings/printerSettings15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AZ211"/>
  <sheetViews>
    <sheetView showZeros="0" tabSelected="1" zoomScale="60" zoomScaleNormal="60" workbookViewId="0">
      <selection activeCell="F31" sqref="F31"/>
    </sheetView>
  </sheetViews>
  <sheetFormatPr defaultRowHeight="14.25"/>
  <cols>
    <col min="1" max="1" customWidth="true" style="5" width="10.5703125"/>
    <col min="2" max="2" customWidth="true" style="231" width="5.5703125"/>
    <col min="3" max="3" customWidth="true" style="5" width="9.85546875"/>
    <col min="4" max="4" customWidth="true" style="31" width="7.85546875"/>
    <col min="5" max="5" customWidth="true" style="226" width="6.42578125"/>
    <col min="6" max="6" customWidth="true" style="228" width="45.28515625"/>
    <col min="7" max="7" customWidth="true" style="1" width="6.5703125"/>
    <col min="8" max="15" customWidth="true" style="46" width="5.42578125"/>
    <col min="16" max="16" customWidth="true" style="21" width="5.42578125"/>
    <col min="17" max="38" customWidth="true" style="46" width="5.42578125"/>
    <col min="39" max="39" customWidth="true" style="1" width="10.0"/>
    <col min="40" max="40" customWidth="true" style="46" width="11.28515625"/>
    <col min="41" max="42" customWidth="true" style="144" width="10.140625"/>
    <col min="43" max="43" customWidth="true" style="718" width="5.0"/>
    <col min="44" max="44" customWidth="true" style="1" width="11.7109375"/>
    <col min="45" max="46" customWidth="true" style="1" width="5.0"/>
    <col min="47" max="47" customWidth="true" style="1" width="12.85546875"/>
    <col min="48" max="49" bestFit="true" customWidth="true" style="1" width="12.42578125"/>
    <col min="50" max="50" bestFit="true" customWidth="true" style="1" width="10.7109375"/>
    <col min="51" max="51" customWidth="true" style="1" width="16.7109375"/>
    <col min="52" max="52" customWidth="true" style="1" width="20.7109375"/>
    <col min="53" max="16384" style="1" width="9.140625"/>
  </cols>
  <sheetData>
    <row r="1" spans="1:52" s="57" customFormat="1" ht="60.75" customHeight="1">
      <c r="A1" s="208" t="s">
        <v>103</v>
      </c>
      <c r="B1" s="229" t="s">
        <v>8</v>
      </c>
      <c r="C1" s="113" t="s">
        <v>2</v>
      </c>
      <c r="D1" s="114" t="s">
        <v>10</v>
      </c>
      <c r="E1" s="225" t="s">
        <v>9</v>
      </c>
      <c r="F1" s="227" t="s">
        <v>0</v>
      </c>
      <c r="G1" s="116" t="s">
        <v>1</v>
      </c>
      <c r="H1" s="301" t="s">
        <v>46</v>
      </c>
      <c r="I1" s="301" t="s">
        <v>11</v>
      </c>
      <c r="J1" s="301" t="s">
        <v>12</v>
      </c>
      <c r="K1" s="653" t="s">
        <v>54</v>
      </c>
      <c r="L1" s="644" t="s">
        <v>55</v>
      </c>
      <c r="M1" s="644" t="s">
        <v>13</v>
      </c>
      <c r="N1" s="301" t="s">
        <v>44</v>
      </c>
      <c r="O1" s="644" t="s">
        <v>45</v>
      </c>
      <c r="P1" s="644" t="s">
        <v>14</v>
      </c>
      <c r="Q1" s="301" t="s">
        <v>15</v>
      </c>
      <c r="R1" s="301" t="s">
        <v>56</v>
      </c>
      <c r="S1" s="301" t="s">
        <v>57</v>
      </c>
      <c r="T1" s="301" t="s">
        <v>16</v>
      </c>
      <c r="U1" s="301" t="s">
        <v>47</v>
      </c>
      <c r="V1" s="301" t="s">
        <v>48</v>
      </c>
      <c r="W1" s="301" t="s">
        <v>17</v>
      </c>
      <c r="X1" s="301" t="s">
        <v>18</v>
      </c>
      <c r="Y1" s="301" t="s">
        <v>58</v>
      </c>
      <c r="Z1" s="301" t="s">
        <v>59</v>
      </c>
      <c r="AA1" s="301" t="s">
        <v>19</v>
      </c>
      <c r="AB1" s="301" t="s">
        <v>49</v>
      </c>
      <c r="AC1" s="301" t="s">
        <v>50</v>
      </c>
      <c r="AD1" s="644" t="s">
        <v>20</v>
      </c>
      <c r="AE1" s="644" t="s">
        <v>21</v>
      </c>
      <c r="AF1" s="301" t="s">
        <v>60</v>
      </c>
      <c r="AG1" s="301" t="s">
        <v>61</v>
      </c>
      <c r="AH1" s="301" t="s">
        <v>22</v>
      </c>
      <c r="AI1" s="301" t="s">
        <v>51</v>
      </c>
      <c r="AJ1" s="301" t="s">
        <v>52</v>
      </c>
      <c r="AK1" s="301" t="s">
        <v>53</v>
      </c>
      <c r="AL1" s="654" t="s">
        <v>62</v>
      </c>
      <c r="AM1" s="118" t="s">
        <v>42</v>
      </c>
      <c r="AN1" s="118" t="s">
        <v>70</v>
      </c>
      <c r="AO1" s="291" t="s">
        <v>93</v>
      </c>
      <c r="AP1" s="294" t="s">
        <v>344</v>
      </c>
      <c r="AQ1" s="717" t="s">
        <v>345</v>
      </c>
      <c r="AR1" s="716" t="s">
        <v>87</v>
      </c>
      <c r="AU1" s="566" t="b">
        <f>AV1=расчет!Z897</f>
        <v>1</v>
      </c>
      <c r="AV1" s="565">
        <f>SUM(AO:AO)</f>
        <v>0</v>
      </c>
      <c r="AW1" s="233">
        <f>расчет!Z897</f>
        <v>0</v>
      </c>
      <c r="AX1" s="297"/>
      <c r="AY1" s="754">
        <f>SUM(AN3:AN170)</f>
        <v>0</v>
      </c>
      <c r="AZ1" s="57">
        <f>'наряд выходн'!Y798</f>
        <v>0</v>
      </c>
    </row>
    <row r="2" spans="1:52" s="57" customFormat="1" ht="27.75" customHeight="1">
      <c r="A2" s="657" t="s">
        <v>7</v>
      </c>
      <c r="B2" s="658" t="s">
        <v>8</v>
      </c>
      <c r="C2" s="657" t="s">
        <v>2</v>
      </c>
      <c r="D2" s="659" t="s">
        <v>10</v>
      </c>
      <c r="E2" s="660" t="s">
        <v>9</v>
      </c>
      <c r="F2" s="655" t="s">
        <v>0</v>
      </c>
      <c r="G2" s="661" t="s">
        <v>1</v>
      </c>
      <c r="H2" s="656">
        <f>--(1&amp;A3&amp;B3)</f>
        <v>45261</v>
      </c>
      <c r="I2" s="656">
        <f>IF(($H$2+COLUMN(A:A))&gt;EOMONTH($H$2,0),0,$H$2+COLUMN(A:A))</f>
        <v>45262</v>
      </c>
      <c r="J2" s="656">
        <f>IF(($H$2+COLUMN(B:B))&gt;EOMONTH($H$2,0),0,$H$2+COLUMN(B:B))</f>
        <v>45263</v>
      </c>
      <c r="K2" s="656">
        <f>IF(($H$2+COLUMN(C:C))&gt;EOMONTH($H$2,0),0,$H$2+COLUMN(C:C))</f>
        <v>45264</v>
      </c>
      <c r="L2" s="656">
        <f>IF(($H$2+COLUMN(D:D))&gt;EOMONTH($H$2,0),0,$H$2+COLUMN(D:D))</f>
        <v>45265</v>
      </c>
      <c r="M2" s="656">
        <f>IF(($H$2+COLUMN(E:E))&gt;EOMONTH($H$2,0),0,$H$2+COLUMN(E:E))</f>
        <v>45266</v>
      </c>
      <c r="N2" s="656">
        <f>IF(($H$2+COLUMN(F:F))&gt;EOMONTH($H$2,0),0,$H$2+COLUMN(F:F))</f>
        <v>45267</v>
      </c>
      <c r="O2" s="656">
        <f>IF(($H$2+COLUMN(G:G))&gt;EOMONTH($H$2,0),0,$H$2+COLUMN(G:G))</f>
        <v>45268</v>
      </c>
      <c r="P2" s="656">
        <f>IF(($H$2+COLUMN(H:H))&gt;EOMONTH($H$2,0),0,$H$2+COLUMN(H:H))</f>
        <v>45269</v>
      </c>
      <c r="Q2" s="656">
        <f>IF(($H$2+COLUMN(I:I))&gt;EOMONTH($H$2,0),0,$H$2+COLUMN(I:I))</f>
        <v>45270</v>
      </c>
      <c r="R2" s="656">
        <f>IF(($H$2+COLUMN(J:J))&gt;EOMONTH($H$2,0),0,$H$2+COLUMN(J:J))</f>
        <v>45271</v>
      </c>
      <c r="S2" s="656">
        <f>IF(($H$2+COLUMN(K:K))&gt;EOMONTH($H$2,0),0,$H$2+COLUMN(K:K))</f>
        <v>45272</v>
      </c>
      <c r="T2" s="656">
        <f>IF(($H$2+COLUMN(L:L))&gt;EOMONTH($H$2,0),0,$H$2+COLUMN(L:L))</f>
        <v>45273</v>
      </c>
      <c r="U2" s="656">
        <f>IF(($H$2+COLUMN(M:M))&gt;EOMONTH($H$2,0),0,$H$2+COLUMN(M:M))</f>
        <v>45274</v>
      </c>
      <c r="V2" s="656">
        <f>IF(($H$2+COLUMN(N:N))&gt;EOMONTH($H$2,0),0,$H$2+COLUMN(N:N))</f>
        <v>45275</v>
      </c>
      <c r="W2" s="656">
        <f>IF(($H$2+COLUMN(O:O))&gt;EOMONTH($H$2,0),0,$H$2+COLUMN(O:O))</f>
        <v>45276</v>
      </c>
      <c r="X2" s="656">
        <f>IF(($H$2+COLUMN(P:P))&gt;EOMONTH($H$2,0),0,$H$2+COLUMN(P:P))</f>
        <v>45277</v>
      </c>
      <c r="Y2" s="656">
        <f>IF(($H$2+COLUMN(Q:Q))&gt;EOMONTH($H$2,0),0,$H$2+COLUMN(Q:Q))</f>
        <v>45278</v>
      </c>
      <c r="Z2" s="656">
        <f>IF(($H$2+COLUMN(R:R))&gt;EOMONTH($H$2,0),0,$H$2+COLUMN(R:R))</f>
        <v>45279</v>
      </c>
      <c r="AA2" s="656">
        <f>IF(($H$2+COLUMN(S:S))&gt;EOMONTH($H$2,0),0,$H$2+COLUMN(S:S))</f>
        <v>45280</v>
      </c>
      <c r="AB2" s="656">
        <f>IF(($H$2+COLUMN(T:T))&gt;EOMONTH($H$2,0),0,$H$2+COLUMN(T:T))</f>
        <v>45281</v>
      </c>
      <c r="AC2" s="656">
        <f>IF(($H$2+COLUMN(U:U))&gt;EOMONTH($H$2,0),0,$H$2+COLUMN(U:U))</f>
        <v>45282</v>
      </c>
      <c r="AD2" s="656">
        <f>IF(($H$2+COLUMN(V:V))&gt;EOMONTH($H$2,0),0,$H$2+COLUMN(V:V))</f>
        <v>45283</v>
      </c>
      <c r="AE2" s="656">
        <f>IF(($H$2+COLUMN(W:W))&gt;EOMONTH($H$2,0),0,$H$2+COLUMN(W:W))</f>
        <v>45284</v>
      </c>
      <c r="AF2" s="656">
        <f>IF(($H$2+COLUMN(X:X))&gt;EOMONTH($H$2,0),0,$H$2+COLUMN(X:X))</f>
        <v>45285</v>
      </c>
      <c r="AG2" s="656">
        <f>IF(($H$2+COLUMN(Y:Y))&gt;EOMONTH($H$2,0),0,$H$2+COLUMN(Y:Y))</f>
        <v>45286</v>
      </c>
      <c r="AH2" s="656">
        <f>IF(($H$2+COLUMN(Z:Z))&gt;EOMONTH($H$2,0),0,$H$2+COLUMN(Z:Z))</f>
        <v>45287</v>
      </c>
      <c r="AI2" s="656">
        <f>IF(($H$2+COLUMN(AA:AA))&gt;EOMONTH($H$2,0),0,$H$2+COLUMN(AA:AA))</f>
        <v>45288</v>
      </c>
      <c r="AJ2" s="656">
        <f>IF(($H$2+COLUMN(AB:AB))&gt;EOMONTH($H$2,0),0,$H$2+COLUMN(AB:AB))</f>
        <v>45289</v>
      </c>
      <c r="AK2" s="656">
        <f>IF(($H$2+COLUMN(AC:AC))&gt;EOMONTH($H$2,0),0,$H$2+COLUMN(AC:AC))</f>
        <v>45290</v>
      </c>
      <c r="AL2" s="656">
        <f>IF(($H$2+COLUMN(AD:AD))&gt;EOMONTH($H$2,0),0,$H$2+COLUMN(AD:AD))</f>
        <v>45291</v>
      </c>
      <c r="AM2" s="662" t="s">
        <v>42</v>
      </c>
      <c r="AN2" s="663" t="s">
        <v>104</v>
      </c>
      <c r="AO2" s="664"/>
      <c r="AP2" s="714"/>
      <c r="AQ2" s="697"/>
      <c r="AV2" s="232"/>
      <c r="AW2" s="233">
        <f>AV1-AW1</f>
        <v>0</v>
      </c>
      <c r="AX2" s="297"/>
      <c r="AY2" s="748">
        <f>SUM(AP3:AP170)</f>
        <v>0</v>
      </c>
      <c r="AZ2" s="57">
        <f>'наряд выходн'!Z798</f>
        <v>0</v>
      </c>
    </row>
    <row r="3" spans="1:52" ht="18" customHeight="1">
      <c r="A3" s="893" t="s">
        <v>364</v>
      </c>
      <c r="B3" t="n" s="893">
        <v>2023.0</v>
      </c>
      <c r="C3" t="s" s="893">
        <v>393</v>
      </c>
      <c r="D3" t="s" s="893">
        <v>394</v>
      </c>
      <c r="E3" t="s" s="893">
        <v>46</v>
      </c>
      <c r="F3" t="s" s="893">
        <v>302</v>
      </c>
      <c r="G3" t="s" s="893">
        <v>31</v>
      </c>
      <c r="H3" s="893"/>
      <c r="I3" s="893"/>
      <c r="J3" s="893"/>
      <c r="K3" s="893"/>
      <c r="L3" s="893"/>
      <c r="M3" s="893"/>
      <c r="N3" s="893"/>
      <c r="O3" s="893"/>
      <c r="P3" s="893"/>
      <c r="Q3" s="893"/>
      <c r="R3" s="893"/>
      <c r="S3" s="893"/>
      <c r="T3" s="893"/>
      <c r="U3" s="893"/>
      <c r="V3" s="893"/>
      <c r="W3" s="893"/>
      <c r="X3" s="893"/>
      <c r="Y3" s="893"/>
      <c r="Z3" s="893"/>
      <c r="AA3" s="893"/>
      <c r="AB3" s="893"/>
      <c r="AC3" s="893"/>
      <c r="AD3" s="893"/>
      <c r="AE3" t="n" s="893">
        <v>7.2</v>
      </c>
      <c r="AF3" s="48"/>
      <c r="AG3" s="48"/>
      <c r="AH3" s="48"/>
      <c r="AI3" s="48"/>
      <c r="AJ3" s="48"/>
      <c r="AK3" s="51"/>
      <c r="AL3" s="51"/>
      <c r="AM3" s="211">
        <f>IF(AQ3=1,SUM(H3:I3,L3:O3,R3:U3,X3:AA3,AD3:AG3,AI3:AK3),
IF(AQ3=2,SUM(H3:K3,N3:Q3,T3:W3,Z3:AC3,AF3:AI3),
IF(AQ3=3,SUM(J3:M3,P3:S3,V3:Y3,AB3:AE3,AH3:AK3),SUM(Таблица1[[#This Row],[1]:[31]])-Таблица1[[#This Row],[Столбец1]])))</f>
        <v>0</v>
      </c>
      <c r="AN3" s="290">
        <f t="array" ref="AN3">IF(AQ3=1,SUM(J3:K3,P3:Q3,V3:W3,AB3:AC3,AH3:AI3),
IF(AQ3=2,SUM(L3:M3,R3:S3,X3:Y3,AD3:AE3),
IF(AQ3=3,SUM(H3:I3,N3:O3,T3:U3,Z3:AA3,AF3:AG3),
SUM(IFERROR(WEEKDAY($H$2:$AL$2,2)&gt;5,)*H3:AL3))))</f>
        <v>0</v>
      </c>
      <c r="AO3" s="292" t="b">
        <f>IF(AR3&lt;=3,(IF((G3="5/24"),((база!$M$6*Таблица1[[#This Row],[сумма]]*Таблица1[[#This Row],[коэф]])),
IF((G3="4/24"),((база!$M$5*Таблица1[[#This Row],[сумма]]*Таблица1[[#This Row],[коэф]])),
IF((G3="3/24"),((база!$M$4*Таблица1[[#This Row],[сумма]]*Таблица1[[#This Row],[коэф]])),
IF((G3="5/16"),((база!$L$6*Таблица1[[#This Row],[сумма]]*Таблица1[[#This Row],[коэф]])),
IF((G3="4/16"),((база!$L$5*Таблица1[[#This Row],[сумма]]*Таблица1[[#This Row],[коэф]])),
IF((G3="3/16"),((база!$L$4*Таблица1[[#This Row],[сумма]]*Таблица1[[#This Row],[коэф]])),
IF((G3="4/4"),((база!$I$5*Таблица1[[#This Row],[сумма]]*Таблица1[[#This Row],[коэф]])),
IF(OR(G3="2/4",G3="3/4"),((база!$I$4*Таблица1[[#This Row],[сумма]]*Таблица1[[#This Row],[коэф]])),
IF((G3="5/8"),((база!$J$6*Таблица1[[#This Row],[сумма]]*Таблица1[[#This Row],[коэф]])),
IF((G3="4/8"),((база!$J$5*Таблица1[[#This Row],[сумма]]*Таблица1[[#This Row],[коэф]])),
IF(OR(G3="3/8",G3="2/8"),((база!$J$4*Таблица1[[#This Row],[сумма]]*Таблица1[[#This Row],[коэф]])))))))))))))),
(IF((G3="5/24"),((база!$M$6*Таблица1[[#This Row],[сумма]]*Таблица1[[#This Row],[коэф]])),
IF(OR(G3="4/24",G3="3/24"),((база!$M$5*Таблица1[[#This Row],[сумма]]*Таблица1[[#This Row],[коэф]])),
IF((G3="5/16"),((база!$L$6*Таблица1[[#This Row],[сумма]]*Таблица1[[#This Row],[коэф]])),
IF(OR(G3="4/16",G3="3/16"),((база!$L$5*Таблица1[[#This Row],[сумма]]*Таблица1[[#This Row],[коэф]])),
IF(OR(G3="2/4",G3="3/4",G3="4/4"),((база!$I$5*Таблица1[[#This Row],[сумма]]*Таблица1[[#This Row],[коэф]])),
IF((G3="5/8"),((база!$J$6*Таблица1[[#This Row],[сумма]]*Таблица1[[#This Row],[коэф]])),
IF(OR(G3="4/8",G3="3/8",G3="2/8"),((база!$J$5*Таблица1[[#This Row],[сумма]]*Таблица1[[#This Row],[коэф]])))))))))))</f>
        <v>0</v>
      </c>
      <c r="AP3" s="715" t="b">
        <f>IF(AR3&lt;=3,(IF((G3="5/24"),((база!$M$6*2*Таблица1[[#This Row],[Столбец1]]*Таблица1[[#This Row],[коэф]])),
IF((G3="4/24"),((база!$M$5*2*Таблица1[[#This Row],[Столбец1]]*Таблица1[[#This Row],[коэф]])),
IF((G3="3/24"),((база!$M$4*2*Таблица1[[#This Row],[Столбец1]]*Таблица1[[#This Row],[коэф]])),
IF((G3="5/16"),((база!$L$6*2*Таблица1[[#This Row],[Столбец1]]*Таблица1[[#This Row],[коэф]])),
IF((G3="4/16"),((база!$L$5*2*Таблица1[[#This Row],[Столбец1]]*Таблица1[[#This Row],[коэф]])),
IF((G3="3/16"),((база!$L$4*2*Таблица1[[#This Row],[Столбец1]]*Таблица1[[#This Row],[коэф]])),
IF((G3="4/4"),((база!$I$5*2*Таблица1[[#This Row],[Столбец1]]*Таблица1[[#This Row],[коэф]])),
IF(OR(G3="2/4",G3="3/4"),((база!$I$4*2*Таблица1[[#This Row],[Столбец1]]*Таблица1[[#This Row],[коэф]])),
IF((G3="5/8"),((база!$J$6*2*Таблица1[[#This Row],[Столбец1]]*Таблица1[[#This Row],[коэф]])),
IF((G3="4/8"),((база!$J$5*2*Таблица1[[#This Row],[Столбец1]]*Таблица1[[#This Row],[коэф]])),
IF(OR(G3="3/8",G3="2/8"),((база!$J$4*2*Таблица1[[#This Row],[Столбец1]]*Таблица1[[#This Row],[коэф]])))))))))))))),
(IF((G3="5/24"),((база!$M$6*2*Таблица1[[#This Row],[Столбец1]]*Таблица1[[#This Row],[коэф]])),
IF(OR(G3="4/24",G3="3/24"),((база!$M$5*2*Таблица1[[#This Row],[Столбец1]]*Таблица1[[#This Row],[коэф]])),
IF((G3="5/16"),((база!$L$6*2*Таблица1[[#This Row],[Столбец1]]*Таблица1[[#This Row],[коэф]])),
IF(OR(G3="4/16",G3="3/16"),((база!$L$5*2*Таблица1[[#This Row],[Столбец1]]*Таблица1[[#This Row],[коэф]])),
IF(OR(G3="2/4",G3="3/4",G3="4/4"),((база!$I$5*2*Таблица1[[#This Row],[Столбец1]]*Таблица1[[#This Row],[коэф]])),
IF((G3="5/8"),((база!$J$6*2*Таблица1[[#This Row],[Столбец1]]*Таблица1[[#This Row],[коэф]])),
IF(OR(G3="4/8",G3="3/8",G3="2/8"),((база!$J$5*2*Таблица1[[#This Row],[Столбец1]]*Таблица1[[#This Row],[коэф]])))))))))))</f>
        <v>0</v>
      </c>
      <c r="AQ3" s="697" t="str">
        <f>IFERROR(INDEX(база!T:T, MATCH(F3,база!Q:Q,0)),"")</f>
        <v/>
      </c>
      <c r="AR3" s="207">
        <f>IFERROR(INDEX(база!D:D, MATCH(F3,база!B:B,0)),"")</f>
        <v>0</v>
      </c>
      <c r="AS3" s="144"/>
      <c r="AU3" s="46"/>
      <c r="AY3" s="21">
        <f>AY1-AZ1</f>
        <v>0</v>
      </c>
      <c r="AZ3" s="144">
        <f>AY2-AZ2</f>
        <v>0</v>
      </c>
    </row>
    <row r="4" spans="1:52" s="46" customFormat="1" ht="15">
      <c r="A4" s="894" t="str">
        <f>A3</f>
        <v>декабрь</v>
      </c>
      <c r="B4" t="n" s="894">
        <v>2023.0</v>
      </c>
      <c r="C4" t="s" s="894">
        <v>395</v>
      </c>
      <c r="D4" t="s" s="894">
        <v>376</v>
      </c>
      <c r="E4" t="s" s="894">
        <v>46</v>
      </c>
      <c r="F4" t="s" s="894">
        <v>254</v>
      </c>
      <c r="G4" t="s" s="894">
        <v>71</v>
      </c>
      <c r="H4" s="894"/>
      <c r="I4" s="894"/>
      <c r="J4" s="894"/>
      <c r="K4" s="894"/>
      <c r="L4" s="894"/>
      <c r="M4" s="894"/>
      <c r="N4" s="894"/>
      <c r="O4" s="894"/>
      <c r="P4" s="894"/>
      <c r="Q4" s="894"/>
      <c r="R4" s="894"/>
      <c r="S4" s="894"/>
      <c r="T4" s="894"/>
      <c r="U4" s="894"/>
      <c r="V4" s="894"/>
      <c r="W4" s="894"/>
      <c r="X4" s="894"/>
      <c r="Y4" s="894"/>
      <c r="Z4" s="894"/>
      <c r="AA4" s="894"/>
      <c r="AB4" s="894"/>
      <c r="AC4" s="894"/>
      <c r="AD4" s="894"/>
      <c r="AE4" s="894"/>
      <c r="AF4" t="n" s="894">
        <v>7.2</v>
      </c>
      <c r="AG4" s="51"/>
      <c r="AH4" s="51"/>
      <c r="AI4" s="51"/>
      <c r="AJ4" s="51"/>
      <c r="AK4" s="51"/>
      <c r="AL4" s="51"/>
      <c r="AM4" s="211">
        <f>IF(AQ4=1,SUM(H4:I4,L4:O4,R4:U4,X4:AA4,AD4:AG4,AI4:AK4),
IF(AQ4=2,SUM(H4:K4,N4:Q4,T4:W4,Z4:AC4,AF4:AI4),
IF(AQ4=3,SUM(J4:M4,P4:S4,V4:Y4,AB4:AE4,AH4:AK4),SUM(Таблица1[[#This Row],[1]:[31]])-Таблица1[[#This Row],[Столбец1]])))</f>
        <v>0</v>
      </c>
      <c r="AN4" s="290">
        <f t="array" ref="AN4">IF(AQ4=1,SUM(J4:K4,P4:Q4,V4:W4,AB4:AC4,AH4:AI4),
IF(AQ4=2,SUM(L4:M4,R4:S4,X4:Y4,AD4:AE4),
IF(AQ4=3,SUM(H4:I4,N4:O4,T4:U4,Z4:AA4,AF4:AG4),
SUM(IFERROR(WEEKDAY($H$2:$AL$2,2)&gt;5,)*H4:AL4))))</f>
        <v>0</v>
      </c>
      <c r="AO4" s="292" t="b">
        <f>IF(AR4&lt;=3,(IF((G4="5/24"),((база!$M$6*Таблица1[[#This Row],[сумма]]*Таблица1[[#This Row],[коэф]])),
IF((G4="4/24"),((база!$M$5*Таблица1[[#This Row],[сумма]]*Таблица1[[#This Row],[коэф]])),
IF((G4="3/24"),((база!$M$4*Таблица1[[#This Row],[сумма]]*Таблица1[[#This Row],[коэф]])),
IF((G4="5/16"),((база!$L$6*Таблица1[[#This Row],[сумма]]*Таблица1[[#This Row],[коэф]])),
IF((G4="4/16"),((база!$L$5*Таблица1[[#This Row],[сумма]]*Таблица1[[#This Row],[коэф]])),
IF((G4="3/16"),((база!$L$4*Таблица1[[#This Row],[сумма]]*Таблица1[[#This Row],[коэф]])),
IF((G4="4/4"),((база!$I$5*Таблица1[[#This Row],[сумма]]*Таблица1[[#This Row],[коэф]])),
IF(OR(G4="2/4",G4="3/4"),((база!$I$4*Таблица1[[#This Row],[сумма]]*Таблица1[[#This Row],[коэф]])),
IF((G4="5/8"),((база!$J$6*Таблица1[[#This Row],[сумма]]*Таблица1[[#This Row],[коэф]])),
IF((G4="4/8"),((база!$J$5*Таблица1[[#This Row],[сумма]]*Таблица1[[#This Row],[коэф]])),
IF(OR(G4="3/8",G4="2/8"),((база!$J$4*Таблица1[[#This Row],[сумма]]*Таблица1[[#This Row],[коэф]])))))))))))))),
(IF((G4="5/24"),((база!$M$6*Таблица1[[#This Row],[сумма]]*Таблица1[[#This Row],[коэф]])),
IF(OR(G4="4/24",G4="3/24"),((база!$M$5*Таблица1[[#This Row],[сумма]]*Таблица1[[#This Row],[коэф]])),
IF((G4="5/16"),((база!$L$6*Таблица1[[#This Row],[сумма]]*Таблица1[[#This Row],[коэф]])),
IF(OR(G4="4/16",G4="3/16"),((база!$L$5*Таблица1[[#This Row],[сумма]]*Таблица1[[#This Row],[коэф]])),
IF(OR(G4="2/4",G4="3/4",G4="4/4"),((база!$I$5*Таблица1[[#This Row],[сумма]]*Таблица1[[#This Row],[коэф]])),
IF((G4="5/8"),((база!$J$6*Таблица1[[#This Row],[сумма]]*Таблица1[[#This Row],[коэф]])),
IF(OR(G4="4/8",G4="3/8",G4="2/8"),((база!$J$5*Таблица1[[#This Row],[сумма]]*Таблица1[[#This Row],[коэф]])))))))))))</f>
        <v>0</v>
      </c>
      <c r="AP4" s="715" t="b">
        <f>IF(AR4&lt;=3,(IF((G4="5/24"),((база!$M$6*2*Таблица1[[#This Row],[Столбец1]]*Таблица1[[#This Row],[коэф]])),
IF((G4="4/24"),((база!$M$5*2*Таблица1[[#This Row],[Столбец1]]*Таблица1[[#This Row],[коэф]])),
IF((G4="3/24"),((база!$M$4*2*Таблица1[[#This Row],[Столбец1]]*Таблица1[[#This Row],[коэф]])),
IF((G4="5/16"),((база!$L$6*2*Таблица1[[#This Row],[Столбец1]]*Таблица1[[#This Row],[коэф]])),
IF((G4="4/16"),((база!$L$5*2*Таблица1[[#This Row],[Столбец1]]*Таблица1[[#This Row],[коэф]])),
IF((G4="3/16"),((база!$L$4*2*Таблица1[[#This Row],[Столбец1]]*Таблица1[[#This Row],[коэф]])),
IF((G4="4/4"),((база!$I$5*2*Таблица1[[#This Row],[Столбец1]]*Таблица1[[#This Row],[коэф]])),
IF(OR(G4="2/4",G4="3/4"),((база!$I$4*2*Таблица1[[#This Row],[Столбец1]]*Таблица1[[#This Row],[коэф]])),
IF((G4="5/8"),((база!$J$6*2*Таблица1[[#This Row],[Столбец1]]*Таблица1[[#This Row],[коэф]])),
IF((G4="4/8"),((база!$J$5*2*Таблица1[[#This Row],[Столбец1]]*Таблица1[[#This Row],[коэф]])),
IF(OR(G4="3/8",G4="2/8"),((база!$J$4*2*Таблица1[[#This Row],[Столбец1]]*Таблица1[[#This Row],[коэф]])))))))))))))),
(IF((G4="5/24"),((база!$M$6*2*Таблица1[[#This Row],[Столбец1]]*Таблица1[[#This Row],[коэф]])),
IF(OR(G4="4/24",G4="3/24"),((база!$M$5*2*Таблица1[[#This Row],[Столбец1]]*Таблица1[[#This Row],[коэф]])),
IF((G4="5/16"),((база!$L$6*2*Таблица1[[#This Row],[Столбец1]]*Таблица1[[#This Row],[коэф]])),
IF(OR(G4="4/16",G4="3/16"),((база!$L$5*2*Таблица1[[#This Row],[Столбец1]]*Таблица1[[#This Row],[коэф]])),
IF(OR(G4="2/4",G4="3/4",G4="4/4"),((база!$I$5*2*Таблица1[[#This Row],[Столбец1]]*Таблица1[[#This Row],[коэф]])),
IF((G4="5/8"),((база!$J$6*2*Таблица1[[#This Row],[Столбец1]]*Таблица1[[#This Row],[коэф]])),
IF(OR(G4="4/8",G4="3/8",G4="2/8"),((база!$J$5*2*Таблица1[[#This Row],[Столбец1]]*Таблица1[[#This Row],[коэф]])))))))))))</f>
        <v>0</v>
      </c>
      <c r="AQ4" s="697" t="str">
        <f>IFERROR(INDEX(база!T:T, MATCH(F4,база!Q:Q,0)),"")</f>
        <v/>
      </c>
      <c r="AR4" s="207">
        <f>IFERROR(INDEX(база!D:D, MATCH(F4,база!B:B,0)),"")</f>
        <v>0</v>
      </c>
      <c r="AS4" s="144"/>
    </row>
    <row r="5" spans="1:52" s="46" customFormat="1" ht="15">
      <c r="A5" s="896" t="str">
        <f>A4</f>
        <v>декабрь</v>
      </c>
      <c r="B5" t="n" s="896">
        <v>2023.0</v>
      </c>
      <c r="C5" t="s" s="896">
        <v>395</v>
      </c>
      <c r="D5" t="s" s="896">
        <v>376</v>
      </c>
      <c r="E5" t="s" s="896">
        <v>46</v>
      </c>
      <c r="F5" t="s" s="896">
        <v>286</v>
      </c>
      <c r="G5" t="s" s="896">
        <v>71</v>
      </c>
      <c r="H5" s="896"/>
      <c r="I5" s="896"/>
      <c r="J5" s="896"/>
      <c r="K5" s="896"/>
      <c r="L5" s="896"/>
      <c r="M5" s="896"/>
      <c r="N5" s="896"/>
      <c r="O5" s="896"/>
      <c r="P5" s="896"/>
      <c r="Q5" s="896"/>
      <c r="R5" s="896"/>
      <c r="S5" s="896"/>
      <c r="T5" s="896"/>
      <c r="U5" s="896"/>
      <c r="V5" s="896"/>
      <c r="W5" s="896"/>
      <c r="X5" s="896"/>
      <c r="Y5" s="896"/>
      <c r="Z5" s="896"/>
      <c r="AA5" s="896"/>
      <c r="AB5" s="896"/>
      <c r="AC5" s="896"/>
      <c r="AD5" s="896"/>
      <c r="AE5" s="896"/>
      <c r="AF5" t="n" s="896">
        <v>7.2</v>
      </c>
      <c r="AG5" s="51"/>
      <c r="AH5" s="51"/>
      <c r="AI5" s="51"/>
      <c r="AJ5" s="51"/>
      <c r="AK5" s="51"/>
      <c r="AL5" s="51"/>
      <c r="AM5" s="211">
        <f>IF(AQ5=1,SUM(H5:I5,L5:O5,R5:U5,X5:AA5,AD5:AG5,AI5:AK5),
IF(AQ5=2,SUM(H5:K5,N5:Q5,T5:W5,Z5:AC5,AF5:AI5),
IF(AQ5=3,SUM(J5:M5,P5:S5,V5:Y5,AB5:AE5,AH5:AK5),SUM(Таблица1[[#This Row],[1]:[31]])-Таблица1[[#This Row],[Столбец1]])))</f>
        <v>0</v>
      </c>
      <c r="AN5" s="290">
        <f t="array" ref="AN5">IF(AQ5=1,SUM(J5:K5,P5:Q5,V5:W5,AB5:AC5,AH5:AI5),
IF(AQ5=2,SUM(L5:M5,R5:S5,X5:Y5,AD5:AE5),
IF(AQ5=3,SUM(H5:I5,N5:O5,T5:U5,Z5:AA5,AF5:AG5),
SUM(IFERROR(WEEKDAY($H$2:$AL$2,2)&gt;5,)*H5:AL5))))</f>
        <v>0</v>
      </c>
      <c r="AO5" s="292" t="b">
        <f>IF(AR5&lt;=3,(IF((G5="5/24"),((база!$M$6*Таблица1[[#This Row],[сумма]]*Таблица1[[#This Row],[коэф]])),
IF((G5="4/24"),((база!$M$5*Таблица1[[#This Row],[сумма]]*Таблица1[[#This Row],[коэф]])),
IF((G5="3/24"),((база!$M$4*Таблица1[[#This Row],[сумма]]*Таблица1[[#This Row],[коэф]])),
IF((G5="5/16"),((база!$L$6*Таблица1[[#This Row],[сумма]]*Таблица1[[#This Row],[коэф]])),
IF((G5="4/16"),((база!$L$5*Таблица1[[#This Row],[сумма]]*Таблица1[[#This Row],[коэф]])),
IF((G5="3/16"),((база!$L$4*Таблица1[[#This Row],[сумма]]*Таблица1[[#This Row],[коэф]])),
IF((G5="4/4"),((база!$I$5*Таблица1[[#This Row],[сумма]]*Таблица1[[#This Row],[коэф]])),
IF(OR(G5="2/4",G5="3/4"),((база!$I$4*Таблица1[[#This Row],[сумма]]*Таблица1[[#This Row],[коэф]])),
IF((G5="5/8"),((база!$J$6*Таблица1[[#This Row],[сумма]]*Таблица1[[#This Row],[коэф]])),
IF((G5="4/8"),((база!$J$5*Таблица1[[#This Row],[сумма]]*Таблица1[[#This Row],[коэф]])),
IF(OR(G5="3/8",G5="2/8"),((база!$J$4*Таблица1[[#This Row],[сумма]]*Таблица1[[#This Row],[коэф]])))))))))))))),
(IF((G5="5/24"),((база!$M$6*Таблица1[[#This Row],[сумма]]*Таблица1[[#This Row],[коэф]])),
IF(OR(G5="4/24",G5="3/24"),((база!$M$5*Таблица1[[#This Row],[сумма]]*Таблица1[[#This Row],[коэф]])),
IF((G5="5/16"),((база!$L$6*Таблица1[[#This Row],[сумма]]*Таблица1[[#This Row],[коэф]])),
IF(OR(G5="4/16",G5="3/16"),((база!$L$5*Таблица1[[#This Row],[сумма]]*Таблица1[[#This Row],[коэф]])),
IF(OR(G5="2/4",G5="3/4",G5="4/4"),((база!$I$5*Таблица1[[#This Row],[сумма]]*Таблица1[[#This Row],[коэф]])),
IF((G5="5/8"),((база!$J$6*Таблица1[[#This Row],[сумма]]*Таблица1[[#This Row],[коэф]])),
IF(OR(G5="4/8",G5="3/8",G5="2/8"),((база!$J$5*Таблица1[[#This Row],[сумма]]*Таблица1[[#This Row],[коэф]])))))))))))</f>
        <v>0</v>
      </c>
      <c r="AP5" s="715" t="b">
        <f>IF(AR5&lt;=3,(IF((G5="5/24"),((база!$M$6*2*Таблица1[[#This Row],[Столбец1]]*Таблица1[[#This Row],[коэф]])),
IF((G5="4/24"),((база!$M$5*2*Таблица1[[#This Row],[Столбец1]]*Таблица1[[#This Row],[коэф]])),
IF((G5="3/24"),((база!$M$4*2*Таблица1[[#This Row],[Столбец1]]*Таблица1[[#This Row],[коэф]])),
IF((G5="5/16"),((база!$L$6*2*Таблица1[[#This Row],[Столбец1]]*Таблица1[[#This Row],[коэф]])),
IF((G5="4/16"),((база!$L$5*2*Таблица1[[#This Row],[Столбец1]]*Таблица1[[#This Row],[коэф]])),
IF((G5="3/16"),((база!$L$4*2*Таблица1[[#This Row],[Столбец1]]*Таблица1[[#This Row],[коэф]])),
IF((G5="4/4"),((база!$I$5*2*Таблица1[[#This Row],[Столбец1]]*Таблица1[[#This Row],[коэф]])),
IF(OR(G5="2/4",G5="3/4"),((база!$I$4*2*Таблица1[[#This Row],[Столбец1]]*Таблица1[[#This Row],[коэф]])),
IF((G5="5/8"),((база!$J$6*2*Таблица1[[#This Row],[Столбец1]]*Таблица1[[#This Row],[коэф]])),
IF((G5="4/8"),((база!$J$5*2*Таблица1[[#This Row],[Столбец1]]*Таблица1[[#This Row],[коэф]])),
IF(OR(G5="3/8",G5="2/8"),((база!$J$4*2*Таблица1[[#This Row],[Столбец1]]*Таблица1[[#This Row],[коэф]])))))))))))))),
(IF((G5="5/24"),((база!$M$6*2*Таблица1[[#This Row],[Столбец1]]*Таблица1[[#This Row],[коэф]])),
IF(OR(G5="4/24",G5="3/24"),((база!$M$5*2*Таблица1[[#This Row],[Столбец1]]*Таблица1[[#This Row],[коэф]])),
IF((G5="5/16"),((база!$L$6*2*Таблица1[[#This Row],[Столбец1]]*Таблица1[[#This Row],[коэф]])),
IF(OR(G5="4/16",G5="3/16"),((база!$L$5*2*Таблица1[[#This Row],[Столбец1]]*Таблица1[[#This Row],[коэф]])),
IF(OR(G5="2/4",G5="3/4",G5="4/4"),((база!$I$5*2*Таблица1[[#This Row],[Столбец1]]*Таблица1[[#This Row],[коэф]])),
IF((G5="5/8"),((база!$J$6*2*Таблица1[[#This Row],[Столбец1]]*Таблица1[[#This Row],[коэф]])),
IF(OR(G5="4/8",G5="3/8",G5="2/8"),((база!$J$5*2*Таблица1[[#This Row],[Столбец1]]*Таблица1[[#This Row],[коэф]])))))))))))</f>
        <v>0</v>
      </c>
      <c r="AQ5" s="697" t="str">
        <f>IFERROR(INDEX(база!T:T, MATCH(F5,база!Q:Q,0)),"")</f>
        <v/>
      </c>
      <c r="AR5" s="207">
        <f>IFERROR(INDEX(база!D:D, MATCH(F5,база!B:B,0)),"")</f>
        <v>0</v>
      </c>
      <c r="AS5" s="144"/>
    </row>
    <row r="6" spans="1:52" ht="15">
      <c r="A6" s="898" t="str">
        <f>A5</f>
        <v>декабрь</v>
      </c>
      <c r="B6" t="n" s="898">
        <v>2023.0</v>
      </c>
      <c r="C6" t="s" s="898">
        <v>395</v>
      </c>
      <c r="D6" t="s" s="898">
        <v>376</v>
      </c>
      <c r="E6" t="s" s="898">
        <v>46</v>
      </c>
      <c r="F6" t="s" s="898">
        <v>310</v>
      </c>
      <c r="G6" t="s" s="898">
        <v>71</v>
      </c>
      <c r="H6" s="898"/>
      <c r="I6" s="898"/>
      <c r="J6" s="898"/>
      <c r="K6" s="898"/>
      <c r="L6" s="898"/>
      <c r="M6" s="898"/>
      <c r="N6" s="898"/>
      <c r="O6" s="898"/>
      <c r="P6" s="898"/>
      <c r="Q6" s="898"/>
      <c r="R6" s="898"/>
      <c r="S6" s="898"/>
      <c r="T6" s="898"/>
      <c r="U6" s="898"/>
      <c r="V6" s="898"/>
      <c r="W6" s="898"/>
      <c r="X6" s="898"/>
      <c r="Y6" s="898"/>
      <c r="Z6" s="898"/>
      <c r="AA6" s="898"/>
      <c r="AB6" s="898"/>
      <c r="AC6" s="898"/>
      <c r="AD6" s="898"/>
      <c r="AE6" s="898"/>
      <c r="AF6" t="n" s="898">
        <v>3.2</v>
      </c>
      <c r="AG6" s="51"/>
      <c r="AH6" s="48"/>
      <c r="AI6" s="51"/>
      <c r="AJ6" s="51"/>
      <c r="AK6" s="51"/>
      <c r="AL6" s="51"/>
      <c r="AM6" s="211">
        <f>IF(AQ6=1,SUM(H6:I6,L6:O6,R6:U6,X6:AA6,AD6:AG6,AI6:AK6),
IF(AQ6=2,SUM(H6:K6,N6:Q6,T6:W6,Z6:AC6,AF6:AI6),
IF(AQ6=3,SUM(J6:M6,P6:S6,V6:Y6,AB6:AE6,AH6:AK6),SUM(Таблица1[[#This Row],[1]:[31]])-Таблица1[[#This Row],[Столбец1]])))</f>
        <v>0</v>
      </c>
      <c r="AN6" s="290">
        <f t="array" ref="AN6">IF(AQ6=1,SUM(J6:K6,P6:Q6,V6:W6,AB6:AC6,AH6:AI6),
IF(AQ6=2,SUM(L6:M6,R6:S6,X6:Y6,AD6:AE6),
IF(AQ6=3,SUM(H6:I6,N6:O6,T6:U6,Z6:AA6,AF6:AG6),
SUM(IFERROR(WEEKDAY($H$2:$AL$2,2)&gt;5,)*H6:AL6))))</f>
        <v>0</v>
      </c>
      <c r="AO6" s="292" t="b">
        <f>IF(AR6&lt;=3,(IF((G6="5/24"),((база!$M$6*Таблица1[[#This Row],[сумма]]*Таблица1[[#This Row],[коэф]])),
IF((G6="4/24"),((база!$M$5*Таблица1[[#This Row],[сумма]]*Таблица1[[#This Row],[коэф]])),
IF((G6="3/24"),((база!$M$4*Таблица1[[#This Row],[сумма]]*Таблица1[[#This Row],[коэф]])),
IF((G6="5/16"),((база!$L$6*Таблица1[[#This Row],[сумма]]*Таблица1[[#This Row],[коэф]])),
IF((G6="4/16"),((база!$L$5*Таблица1[[#This Row],[сумма]]*Таблица1[[#This Row],[коэф]])),
IF((G6="3/16"),((база!$L$4*Таблица1[[#This Row],[сумма]]*Таблица1[[#This Row],[коэф]])),
IF((G6="4/4"),((база!$I$5*Таблица1[[#This Row],[сумма]]*Таблица1[[#This Row],[коэф]])),
IF(OR(G6="2/4",G6="3/4"),((база!$I$4*Таблица1[[#This Row],[сумма]]*Таблица1[[#This Row],[коэф]])),
IF((G6="5/8"),((база!$J$6*Таблица1[[#This Row],[сумма]]*Таблица1[[#This Row],[коэф]])),
IF((G6="4/8"),((база!$J$5*Таблица1[[#This Row],[сумма]]*Таблица1[[#This Row],[коэф]])),
IF(OR(G6="3/8",G6="2/8"),((база!$J$4*Таблица1[[#This Row],[сумма]]*Таблица1[[#This Row],[коэф]])))))))))))))),
(IF((G6="5/24"),((база!$M$6*Таблица1[[#This Row],[сумма]]*Таблица1[[#This Row],[коэф]])),
IF(OR(G6="4/24",G6="3/24"),((база!$M$5*Таблица1[[#This Row],[сумма]]*Таблица1[[#This Row],[коэф]])),
IF((G6="5/16"),((база!$L$6*Таблица1[[#This Row],[сумма]]*Таблица1[[#This Row],[коэф]])),
IF(OR(G6="4/16",G6="3/16"),((база!$L$5*Таблица1[[#This Row],[сумма]]*Таблица1[[#This Row],[коэф]])),
IF(OR(G6="2/4",G6="3/4",G6="4/4"),((база!$I$5*Таблица1[[#This Row],[сумма]]*Таблица1[[#This Row],[коэф]])),
IF((G6="5/8"),((база!$J$6*Таблица1[[#This Row],[сумма]]*Таблица1[[#This Row],[коэф]])),
IF(OR(G6="4/8",G6="3/8",G6="2/8"),((база!$J$5*Таблица1[[#This Row],[сумма]]*Таблица1[[#This Row],[коэф]])))))))))))</f>
        <v>0</v>
      </c>
      <c r="AP6" s="715" t="b">
        <f>IF(AR6&lt;=3,(IF((G6="5/24"),((база!$M$6*2*Таблица1[[#This Row],[Столбец1]]*Таблица1[[#This Row],[коэф]])),
IF((G6="4/24"),((база!$M$5*2*Таблица1[[#This Row],[Столбец1]]*Таблица1[[#This Row],[коэф]])),
IF((G6="3/24"),((база!$M$4*2*Таблица1[[#This Row],[Столбец1]]*Таблица1[[#This Row],[коэф]])),
IF((G6="5/16"),((база!$L$6*2*Таблица1[[#This Row],[Столбец1]]*Таблица1[[#This Row],[коэф]])),
IF((G6="4/16"),((база!$L$5*2*Таблица1[[#This Row],[Столбец1]]*Таблица1[[#This Row],[коэф]])),
IF((G6="3/16"),((база!$L$4*2*Таблица1[[#This Row],[Столбец1]]*Таблица1[[#This Row],[коэф]])),
IF((G6="4/4"),((база!$I$5*2*Таблица1[[#This Row],[Столбец1]]*Таблица1[[#This Row],[коэф]])),
IF(OR(G6="2/4",G6="3/4"),((база!$I$4*2*Таблица1[[#This Row],[Столбец1]]*Таблица1[[#This Row],[коэф]])),
IF((G6="5/8"),((база!$J$6*2*Таблица1[[#This Row],[Столбец1]]*Таблица1[[#This Row],[коэф]])),
IF((G6="4/8"),((база!$J$5*2*Таблица1[[#This Row],[Столбец1]]*Таблица1[[#This Row],[коэф]])),
IF(OR(G6="3/8",G6="2/8"),((база!$J$4*2*Таблица1[[#This Row],[Столбец1]]*Таблица1[[#This Row],[коэф]])))))))))))))),
(IF((G6="5/24"),((база!$M$6*2*Таблица1[[#This Row],[Столбец1]]*Таблица1[[#This Row],[коэф]])),
IF(OR(G6="4/24",G6="3/24"),((база!$M$5*2*Таблица1[[#This Row],[Столбец1]]*Таблица1[[#This Row],[коэф]])),
IF((G6="5/16"),((база!$L$6*2*Таблица1[[#This Row],[Столбец1]]*Таблица1[[#This Row],[коэф]])),
IF(OR(G6="4/16",G6="3/16"),((база!$L$5*2*Таблица1[[#This Row],[Столбец1]]*Таблица1[[#This Row],[коэф]])),
IF(OR(G6="2/4",G6="3/4",G6="4/4"),((база!$I$5*2*Таблица1[[#This Row],[Столбец1]]*Таблица1[[#This Row],[коэф]])),
IF((G6="5/8"),((база!$J$6*2*Таблица1[[#This Row],[Столбец1]]*Таблица1[[#This Row],[коэф]])),
IF(OR(G6="4/8",G6="3/8",G6="2/8"),((база!$J$5*2*Таблица1[[#This Row],[Столбец1]]*Таблица1[[#This Row],[коэф]])))))))))))</f>
        <v>0</v>
      </c>
      <c r="AQ6" s="697" t="str">
        <f>IFERROR(INDEX(база!T:T, MATCH(F6,база!Q:Q,0)),"")</f>
        <v/>
      </c>
      <c r="AR6" s="207">
        <f>IFERROR(INDEX(база!D:D, MATCH(F6,база!B:B,0)),"")</f>
        <v>0</v>
      </c>
      <c r="AU6" s="562" t="s">
        <v>92</v>
      </c>
    </row>
    <row r="7" spans="1:52" s="46" customFormat="1" ht="15">
      <c r="A7" s="899" t="str">
        <f>A6</f>
        <v>декабрь</v>
      </c>
      <c r="B7" t="n" s="899">
        <v>2023.0</v>
      </c>
      <c r="C7" t="s" s="899">
        <v>397</v>
      </c>
      <c r="D7" t="s" s="899">
        <v>376</v>
      </c>
      <c r="E7" t="s" s="899">
        <v>46</v>
      </c>
      <c r="F7" t="s" s="899">
        <v>310</v>
      </c>
      <c r="G7" t="s" s="899">
        <v>71</v>
      </c>
      <c r="H7" s="899"/>
      <c r="I7" s="899"/>
      <c r="J7" s="899"/>
      <c r="K7" s="899"/>
      <c r="L7" s="899"/>
      <c r="M7" s="899"/>
      <c r="N7" s="899"/>
      <c r="O7" s="899"/>
      <c r="P7" s="899"/>
      <c r="Q7" s="899"/>
      <c r="R7" s="899"/>
      <c r="S7" s="899"/>
      <c r="T7" s="899"/>
      <c r="U7" s="899"/>
      <c r="V7" s="899"/>
      <c r="W7" s="899"/>
      <c r="X7" s="899"/>
      <c r="Y7" s="899"/>
      <c r="Z7" s="899"/>
      <c r="AA7" s="899"/>
      <c r="AB7" s="899"/>
      <c r="AC7" s="899"/>
      <c r="AD7" s="899"/>
      <c r="AE7" s="899"/>
      <c r="AF7" t="n" s="899">
        <v>4.0</v>
      </c>
      <c r="AG7" s="48"/>
      <c r="AH7" s="48"/>
      <c r="AI7" s="48"/>
      <c r="AJ7" s="48"/>
      <c r="AK7" s="48"/>
      <c r="AL7" s="51"/>
      <c r="AM7" s="211">
        <f>IF(AQ7=1,SUM(H7:I7,L7:O7,R7:U7,X7:AA7,AD7:AG7,AI7:AK7),
IF(AQ7=2,SUM(H7:K7,N7:Q7,T7:W7,Z7:AC7,AF7:AI7),
IF(AQ7=3,SUM(J7:M7,P7:S7,V7:Y7,AB7:AE7,AH7:AK7),SUM(Таблица1[[#This Row],[1]:[31]])-Таблица1[[#This Row],[Столбец1]])))</f>
        <v>0</v>
      </c>
      <c r="AN7" s="290">
        <f t="array" ref="AN7">IF(AQ7=1,SUM(J7:K7,P7:Q7,V7:W7,AB7:AC7,AH7:AI7),
IF(AQ7=2,SUM(L7:M7,R7:S7,X7:Y7,AD7:AE7),
IF(AQ7=3,SUM(H7:I7,N7:O7,T7:U7,Z7:AA7,AF7:AG7),
SUM(IFERROR(WEEKDAY($H$2:$AL$2,2)&gt;5,)*H7:AL7))))</f>
        <v>0</v>
      </c>
      <c r="AO7" s="292" t="b">
        <f>IF(AR7&lt;=3,(IF((G7="5/24"),((база!$M$6*Таблица1[[#This Row],[сумма]]*Таблица1[[#This Row],[коэф]])),
IF((G7="4/24"),((база!$M$5*Таблица1[[#This Row],[сумма]]*Таблица1[[#This Row],[коэф]])),
IF((G7="3/24"),((база!$M$4*Таблица1[[#This Row],[сумма]]*Таблица1[[#This Row],[коэф]])),
IF((G7="5/16"),((база!$L$6*Таблица1[[#This Row],[сумма]]*Таблица1[[#This Row],[коэф]])),
IF((G7="4/16"),((база!$L$5*Таблица1[[#This Row],[сумма]]*Таблица1[[#This Row],[коэф]])),
IF((G7="3/16"),((база!$L$4*Таблица1[[#This Row],[сумма]]*Таблица1[[#This Row],[коэф]])),
IF((G7="4/4"),((база!$I$5*Таблица1[[#This Row],[сумма]]*Таблица1[[#This Row],[коэф]])),
IF(OR(G7="2/4",G7="3/4"),((база!$I$4*Таблица1[[#This Row],[сумма]]*Таблица1[[#This Row],[коэф]])),
IF((G7="5/8"),((база!$J$6*Таблица1[[#This Row],[сумма]]*Таблица1[[#This Row],[коэф]])),
IF((G7="4/8"),((база!$J$5*Таблица1[[#This Row],[сумма]]*Таблица1[[#This Row],[коэф]])),
IF(OR(G7="3/8",G7="2/8"),((база!$J$4*Таблица1[[#This Row],[сумма]]*Таблица1[[#This Row],[коэф]])))))))))))))),
(IF((G7="5/24"),((база!$M$6*Таблица1[[#This Row],[сумма]]*Таблица1[[#This Row],[коэф]])),
IF(OR(G7="4/24",G7="3/24"),((база!$M$5*Таблица1[[#This Row],[сумма]]*Таблица1[[#This Row],[коэф]])),
IF((G7="5/16"),((база!$L$6*Таблица1[[#This Row],[сумма]]*Таблица1[[#This Row],[коэф]])),
IF(OR(G7="4/16",G7="3/16"),((база!$L$5*Таблица1[[#This Row],[сумма]]*Таблица1[[#This Row],[коэф]])),
IF(OR(G7="2/4",G7="3/4",G7="4/4"),((база!$I$5*Таблица1[[#This Row],[сумма]]*Таблица1[[#This Row],[коэф]])),
IF((G7="5/8"),((база!$J$6*Таблица1[[#This Row],[сумма]]*Таблица1[[#This Row],[коэф]])),
IF(OR(G7="4/8",G7="3/8",G7="2/8"),((база!$J$5*Таблица1[[#This Row],[сумма]]*Таблица1[[#This Row],[коэф]])))))))))))</f>
        <v>0</v>
      </c>
      <c r="AP7" s="715" t="b">
        <f>IF(AR7&lt;=3,(IF((G7="5/24"),((база!$M$6*2*Таблица1[[#This Row],[Столбец1]]*Таблица1[[#This Row],[коэф]])),
IF((G7="4/24"),((база!$M$5*2*Таблица1[[#This Row],[Столбец1]]*Таблица1[[#This Row],[коэф]])),
IF((G7="3/24"),((база!$M$4*2*Таблица1[[#This Row],[Столбец1]]*Таблица1[[#This Row],[коэф]])),
IF((G7="5/16"),((база!$L$6*2*Таблица1[[#This Row],[Столбец1]]*Таблица1[[#This Row],[коэф]])),
IF((G7="4/16"),((база!$L$5*2*Таблица1[[#This Row],[Столбец1]]*Таблица1[[#This Row],[коэф]])),
IF((G7="3/16"),((база!$L$4*2*Таблица1[[#This Row],[Столбец1]]*Таблица1[[#This Row],[коэф]])),
IF((G7="4/4"),((база!$I$5*2*Таблица1[[#This Row],[Столбец1]]*Таблица1[[#This Row],[коэф]])),
IF(OR(G7="2/4",G7="3/4"),((база!$I$4*2*Таблица1[[#This Row],[Столбец1]]*Таблица1[[#This Row],[коэф]])),
IF((G7="5/8"),((база!$J$6*2*Таблица1[[#This Row],[Столбец1]]*Таблица1[[#This Row],[коэф]])),
IF((G7="4/8"),((база!$J$5*2*Таблица1[[#This Row],[Столбец1]]*Таблица1[[#This Row],[коэф]])),
IF(OR(G7="3/8",G7="2/8"),((база!$J$4*2*Таблица1[[#This Row],[Столбец1]]*Таблица1[[#This Row],[коэф]])))))))))))))),
(IF((G7="5/24"),((база!$M$6*2*Таблица1[[#This Row],[Столбец1]]*Таблица1[[#This Row],[коэф]])),
IF(OR(G7="4/24",G7="3/24"),((база!$M$5*2*Таблица1[[#This Row],[Столбец1]]*Таблица1[[#This Row],[коэф]])),
IF((G7="5/16"),((база!$L$6*2*Таблица1[[#This Row],[Столбец1]]*Таблица1[[#This Row],[коэф]])),
IF(OR(G7="4/16",G7="3/16"),((база!$L$5*2*Таблица1[[#This Row],[Столбец1]]*Таблица1[[#This Row],[коэф]])),
IF(OR(G7="2/4",G7="3/4",G7="4/4"),((база!$I$5*2*Таблица1[[#This Row],[Столбец1]]*Таблица1[[#This Row],[коэф]])),
IF((G7="5/8"),((база!$J$6*2*Таблица1[[#This Row],[Столбец1]]*Таблица1[[#This Row],[коэф]])),
IF(OR(G7="4/8",G7="3/8",G7="2/8"),((база!$J$5*2*Таблица1[[#This Row],[Столбец1]]*Таблица1[[#This Row],[коэф]])))))))))))</f>
        <v>0</v>
      </c>
      <c r="AQ7" s="697" t="str">
        <f>IFERROR(INDEX(база!T:T, MATCH(F7,база!Q:Q,0)),"")</f>
        <v/>
      </c>
      <c r="AR7" s="207">
        <f>IFERROR(INDEX(база!D:D, MATCH(F7,база!B:B,0)),"")</f>
        <v>0</v>
      </c>
      <c r="AU7" s="561" t="s">
        <v>289</v>
      </c>
    </row>
    <row r="8" spans="1:52" ht="15">
      <c r="A8" s="900" t="str">
        <f t="shared" ref="A8:A69" si="0">A7</f>
        <v>декабрь</v>
      </c>
      <c r="B8" t="n" s="900">
        <v>2023.0</v>
      </c>
      <c r="C8" t="s" s="900">
        <v>395</v>
      </c>
      <c r="D8" t="s" s="900">
        <v>380</v>
      </c>
      <c r="E8" t="s" s="900">
        <v>398</v>
      </c>
      <c r="F8" t="s" s="900">
        <v>272</v>
      </c>
      <c r="G8" t="s" s="900">
        <v>31</v>
      </c>
      <c r="H8" s="900"/>
      <c r="I8" s="900"/>
      <c r="J8" s="900"/>
      <c r="K8" s="900"/>
      <c r="L8" s="900"/>
      <c r="M8" s="900"/>
      <c r="N8" s="900"/>
      <c r="O8" s="900"/>
      <c r="P8" s="900"/>
      <c r="Q8" s="900"/>
      <c r="R8" s="900"/>
      <c r="S8" s="900"/>
      <c r="T8" s="900"/>
      <c r="U8" s="900"/>
      <c r="V8" s="900"/>
      <c r="W8" s="900"/>
      <c r="X8" s="900"/>
      <c r="Y8" s="900"/>
      <c r="Z8" s="900"/>
      <c r="AA8" s="900"/>
      <c r="AB8" s="900"/>
      <c r="AC8" s="900"/>
      <c r="AD8" s="900"/>
      <c r="AE8" s="900"/>
      <c r="AF8" t="n" s="900">
        <v>7.2</v>
      </c>
      <c r="AG8" s="48"/>
      <c r="AH8" s="48"/>
      <c r="AI8" s="48"/>
      <c r="AJ8" s="48"/>
      <c r="AK8" s="48"/>
      <c r="AL8" s="51"/>
      <c r="AM8" s="211">
        <f>IF(AQ8=1,SUM(H8:I8,L8:O8,R8:U8,X8:AA8,AD8:AG8,AI8:AK8),
IF(AQ8=2,SUM(H8:K8,N8:Q8,T8:W8,Z8:AC8,AF8:AI8),
IF(AQ8=3,SUM(J8:M8,P8:S8,V8:Y8,AB8:AE8,AH8:AK8),SUM(Таблица1[[#This Row],[1]:[31]])-Таблица1[[#This Row],[Столбец1]])))</f>
        <v>0</v>
      </c>
      <c r="AN8" s="290">
        <f t="array" ref="AN8">IF(AQ8=1,SUM(J8:K8,P8:Q8,V8:W8,AB8:AC8,AH8:AI8),
IF(AQ8=2,SUM(L8:M8,R8:S8,X8:Y8,AD8:AE8),
IF(AQ8=3,SUM(H8:I8,N8:O8,T8:U8,Z8:AA8,AF8:AG8),
SUM(IFERROR(WEEKDAY($H$2:$AL$2,2)&gt;5,)*H8:AL8))))</f>
        <v>0</v>
      </c>
      <c r="AO8" s="292" t="b">
        <f>IF(AR8&lt;=3,(IF((G8="5/24"),((база!$M$6*Таблица1[[#This Row],[сумма]]*Таблица1[[#This Row],[коэф]])),
IF((G8="4/24"),((база!$M$5*Таблица1[[#This Row],[сумма]]*Таблица1[[#This Row],[коэф]])),
IF((G8="3/24"),((база!$M$4*Таблица1[[#This Row],[сумма]]*Таблица1[[#This Row],[коэф]])),
IF((G8="5/16"),((база!$L$6*Таблица1[[#This Row],[сумма]]*Таблица1[[#This Row],[коэф]])),
IF((G8="4/16"),((база!$L$5*Таблица1[[#This Row],[сумма]]*Таблица1[[#This Row],[коэф]])),
IF((G8="3/16"),((база!$L$4*Таблица1[[#This Row],[сумма]]*Таблица1[[#This Row],[коэф]])),
IF((G8="4/4"),((база!$I$5*Таблица1[[#This Row],[сумма]]*Таблица1[[#This Row],[коэф]])),
IF(OR(G8="2/4",G8="3/4"),((база!$I$4*Таблица1[[#This Row],[сумма]]*Таблица1[[#This Row],[коэф]])),
IF((G8="5/8"),((база!$J$6*Таблица1[[#This Row],[сумма]]*Таблица1[[#This Row],[коэф]])),
IF((G8="4/8"),((база!$J$5*Таблица1[[#This Row],[сумма]]*Таблица1[[#This Row],[коэф]])),
IF(OR(G8="3/8",G8="2/8"),((база!$J$4*Таблица1[[#This Row],[сумма]]*Таблица1[[#This Row],[коэф]])))))))))))))),
(IF((G8="5/24"),((база!$M$6*Таблица1[[#This Row],[сумма]]*Таблица1[[#This Row],[коэф]])),
IF(OR(G8="4/24",G8="3/24"),((база!$M$5*Таблица1[[#This Row],[сумма]]*Таблица1[[#This Row],[коэф]])),
IF((G8="5/16"),((база!$L$6*Таблица1[[#This Row],[сумма]]*Таблица1[[#This Row],[коэф]])),
IF(OR(G8="4/16",G8="3/16"),((база!$L$5*Таблица1[[#This Row],[сумма]]*Таблица1[[#This Row],[коэф]])),
IF(OR(G8="2/4",G8="3/4",G8="4/4"),((база!$I$5*Таблица1[[#This Row],[сумма]]*Таблица1[[#This Row],[коэф]])),
IF((G8="5/8"),((база!$J$6*Таблица1[[#This Row],[сумма]]*Таблица1[[#This Row],[коэф]])),
IF(OR(G8="4/8",G8="3/8",G8="2/8"),((база!$J$5*Таблица1[[#This Row],[сумма]]*Таблица1[[#This Row],[коэф]])))))))))))</f>
        <v>0</v>
      </c>
      <c r="AP8" s="715" t="b">
        <f>IF(AR8&lt;=3,(IF((G8="5/24"),((база!$M$6*2*Таблица1[[#This Row],[Столбец1]]*Таблица1[[#This Row],[коэф]])),
IF((G8="4/24"),((база!$M$5*2*Таблица1[[#This Row],[Столбец1]]*Таблица1[[#This Row],[коэф]])),
IF((G8="3/24"),((база!$M$4*2*Таблица1[[#This Row],[Столбец1]]*Таблица1[[#This Row],[коэф]])),
IF((G8="5/16"),((база!$L$6*2*Таблица1[[#This Row],[Столбец1]]*Таблица1[[#This Row],[коэф]])),
IF((G8="4/16"),((база!$L$5*2*Таблица1[[#This Row],[Столбец1]]*Таблица1[[#This Row],[коэф]])),
IF((G8="3/16"),((база!$L$4*2*Таблица1[[#This Row],[Столбец1]]*Таблица1[[#This Row],[коэф]])),
IF((G8="4/4"),((база!$I$5*2*Таблица1[[#This Row],[Столбец1]]*Таблица1[[#This Row],[коэф]])),
IF(OR(G8="2/4",G8="3/4"),((база!$I$4*2*Таблица1[[#This Row],[Столбец1]]*Таблица1[[#This Row],[коэф]])),
IF((G8="5/8"),((база!$J$6*2*Таблица1[[#This Row],[Столбец1]]*Таблица1[[#This Row],[коэф]])),
IF((G8="4/8"),((база!$J$5*2*Таблица1[[#This Row],[Столбец1]]*Таблица1[[#This Row],[коэф]])),
IF(OR(G8="3/8",G8="2/8"),((база!$J$4*2*Таблица1[[#This Row],[Столбец1]]*Таблица1[[#This Row],[коэф]])))))))))))))),
(IF((G8="5/24"),((база!$M$6*2*Таблица1[[#This Row],[Столбец1]]*Таблица1[[#This Row],[коэф]])),
IF(OR(G8="4/24",G8="3/24"),((база!$M$5*2*Таблица1[[#This Row],[Столбец1]]*Таблица1[[#This Row],[коэф]])),
IF((G8="5/16"),((база!$L$6*2*Таблица1[[#This Row],[Столбец1]]*Таблица1[[#This Row],[коэф]])),
IF(OR(G8="4/16",G8="3/16"),((база!$L$5*2*Таблица1[[#This Row],[Столбец1]]*Таблица1[[#This Row],[коэф]])),
IF(OR(G8="2/4",G8="3/4",G8="4/4"),((база!$I$5*2*Таблица1[[#This Row],[Столбец1]]*Таблица1[[#This Row],[коэф]])),
IF((G8="5/8"),((база!$J$6*2*Таблица1[[#This Row],[Столбец1]]*Таблица1[[#This Row],[коэф]])),
IF(OR(G8="4/8",G8="3/8",G8="2/8"),((база!$J$5*2*Таблица1[[#This Row],[Столбец1]]*Таблица1[[#This Row],[коэф]])))))))))))</f>
        <v>0</v>
      </c>
      <c r="AQ8" s="697" t="str">
        <f>IFERROR(INDEX(база!T:T, MATCH(F8,база!Q:Q,0)),"")</f>
        <v/>
      </c>
      <c r="AR8" s="207">
        <f>IFERROR(INDEX(база!D:D, MATCH(F8,база!B:B,0)),"")</f>
        <v>0</v>
      </c>
    </row>
    <row r="9" spans="1:52" ht="15">
      <c r="A9" s="901" t="str">
        <f t="shared" si="0"/>
        <v>декабрь</v>
      </c>
      <c r="B9" t="n" s="901">
        <v>2023.0</v>
      </c>
      <c r="C9" t="s" s="901">
        <v>399</v>
      </c>
      <c r="D9" t="s" s="901">
        <v>376</v>
      </c>
      <c r="E9" t="s" s="901">
        <v>400</v>
      </c>
      <c r="F9" t="s" s="901">
        <v>271</v>
      </c>
      <c r="G9" t="s" s="901">
        <v>67</v>
      </c>
      <c r="H9" s="901"/>
      <c r="I9" s="901"/>
      <c r="J9" s="901"/>
      <c r="K9" s="901"/>
      <c r="L9" s="901"/>
      <c r="M9" s="901"/>
      <c r="N9" s="901"/>
      <c r="O9" s="901"/>
      <c r="P9" s="901"/>
      <c r="Q9" s="901"/>
      <c r="R9" s="901"/>
      <c r="S9" s="901"/>
      <c r="T9" s="901"/>
      <c r="U9" s="901"/>
      <c r="V9" s="901"/>
      <c r="W9" s="901"/>
      <c r="X9" s="901"/>
      <c r="Y9" s="901"/>
      <c r="Z9" s="901"/>
      <c r="AA9" s="901"/>
      <c r="AB9" s="901"/>
      <c r="AC9" s="901"/>
      <c r="AD9" s="901"/>
      <c r="AE9" s="901"/>
      <c r="AF9" t="n" s="901">
        <v>7.2</v>
      </c>
      <c r="AG9" s="48"/>
      <c r="AH9" s="48"/>
      <c r="AI9" s="48"/>
      <c r="AJ9" s="48"/>
      <c r="AK9" s="48"/>
      <c r="AL9" s="51"/>
      <c r="AM9" s="211">
        <f>IF(AQ9=1,SUM(H9:I9,L9:O9,R9:U9,X9:AA9,AD9:AG9,AI9:AK9),
IF(AQ9=2,SUM(H9:K9,N9:Q9,T9:W9,Z9:AC9,AF9:AI9),
IF(AQ9=3,SUM(J9:M9,P9:S9,V9:Y9,AB9:AE9,AH9:AK9),SUM(Таблица1[[#This Row],[1]:[31]])-Таблица1[[#This Row],[Столбец1]])))</f>
        <v>0</v>
      </c>
      <c r="AN9" s="290">
        <f t="array" ref="AN9">IF(AQ9=1,SUM(J9:K9,P9:Q9,V9:W9,AB9:AC9,AH9:AI9),
IF(AQ9=2,SUM(L9:M9,R9:S9,X9:Y9,AD9:AE9),
IF(AQ9=3,SUM(H9:I9,N9:O9,T9:U9,Z9:AA9,AF9:AG9),
SUM(IFERROR(WEEKDAY($H$2:$AL$2,2)&gt;5,)*H9:AL9))))</f>
        <v>0</v>
      </c>
      <c r="AO9" s="292" t="b">
        <f>IF(AR9&lt;=3,(IF((G9="5/24"),((база!$M$6*Таблица1[[#This Row],[сумма]]*Таблица1[[#This Row],[коэф]])),
IF((G9="4/24"),((база!$M$5*Таблица1[[#This Row],[сумма]]*Таблица1[[#This Row],[коэф]])),
IF((G9="3/24"),((база!$M$4*Таблица1[[#This Row],[сумма]]*Таблица1[[#This Row],[коэф]])),
IF((G9="5/16"),((база!$L$6*Таблица1[[#This Row],[сумма]]*Таблица1[[#This Row],[коэф]])),
IF((G9="4/16"),((база!$L$5*Таблица1[[#This Row],[сумма]]*Таблица1[[#This Row],[коэф]])),
IF((G9="3/16"),((база!$L$4*Таблица1[[#This Row],[сумма]]*Таблица1[[#This Row],[коэф]])),
IF((G9="4/4"),((база!$I$5*Таблица1[[#This Row],[сумма]]*Таблица1[[#This Row],[коэф]])),
IF(OR(G9="2/4",G9="3/4"),((база!$I$4*Таблица1[[#This Row],[сумма]]*Таблица1[[#This Row],[коэф]])),
IF((G9="5/8"),((база!$J$6*Таблица1[[#This Row],[сумма]]*Таблица1[[#This Row],[коэф]])),
IF((G9="4/8"),((база!$J$5*Таблица1[[#This Row],[сумма]]*Таблица1[[#This Row],[коэф]])),
IF(OR(G9="3/8",G9="2/8"),((база!$J$4*Таблица1[[#This Row],[сумма]]*Таблица1[[#This Row],[коэф]])))))))))))))),
(IF((G9="5/24"),((база!$M$6*Таблица1[[#This Row],[сумма]]*Таблица1[[#This Row],[коэф]])),
IF(OR(G9="4/24",G9="3/24"),((база!$M$5*Таблица1[[#This Row],[сумма]]*Таблица1[[#This Row],[коэф]])),
IF((G9="5/16"),((база!$L$6*Таблица1[[#This Row],[сумма]]*Таблица1[[#This Row],[коэф]])),
IF(OR(G9="4/16",G9="3/16"),((база!$L$5*Таблица1[[#This Row],[сумма]]*Таблица1[[#This Row],[коэф]])),
IF(OR(G9="2/4",G9="3/4",G9="4/4"),((база!$I$5*Таблица1[[#This Row],[сумма]]*Таблица1[[#This Row],[коэф]])),
IF((G9="5/8"),((база!$J$6*Таблица1[[#This Row],[сумма]]*Таблица1[[#This Row],[коэф]])),
IF(OR(G9="4/8",G9="3/8",G9="2/8"),((база!$J$5*Таблица1[[#This Row],[сумма]]*Таблица1[[#This Row],[коэф]])))))))))))</f>
        <v>0</v>
      </c>
      <c r="AP9" s="715" t="b">
        <f>IF(AR9&lt;=3,(IF((G9="5/24"),((база!$M$6*2*Таблица1[[#This Row],[Столбец1]]*Таблица1[[#This Row],[коэф]])),
IF((G9="4/24"),((база!$M$5*2*Таблица1[[#This Row],[Столбец1]]*Таблица1[[#This Row],[коэф]])),
IF((G9="3/24"),((база!$M$4*2*Таблица1[[#This Row],[Столбец1]]*Таблица1[[#This Row],[коэф]])),
IF((G9="5/16"),((база!$L$6*2*Таблица1[[#This Row],[Столбец1]]*Таблица1[[#This Row],[коэф]])),
IF((G9="4/16"),((база!$L$5*2*Таблица1[[#This Row],[Столбец1]]*Таблица1[[#This Row],[коэф]])),
IF((G9="3/16"),((база!$L$4*2*Таблица1[[#This Row],[Столбец1]]*Таблица1[[#This Row],[коэф]])),
IF((G9="4/4"),((база!$I$5*2*Таблица1[[#This Row],[Столбец1]]*Таблица1[[#This Row],[коэф]])),
IF(OR(G9="2/4",G9="3/4"),((база!$I$4*2*Таблица1[[#This Row],[Столбец1]]*Таблица1[[#This Row],[коэф]])),
IF((G9="5/8"),((база!$J$6*2*Таблица1[[#This Row],[Столбец1]]*Таблица1[[#This Row],[коэф]])),
IF((G9="4/8"),((база!$J$5*2*Таблица1[[#This Row],[Столбец1]]*Таблица1[[#This Row],[коэф]])),
IF(OR(G9="3/8",G9="2/8"),((база!$J$4*2*Таблица1[[#This Row],[Столбец1]]*Таблица1[[#This Row],[коэф]])))))))))))))),
(IF((G9="5/24"),((база!$M$6*2*Таблица1[[#This Row],[Столбец1]]*Таблица1[[#This Row],[коэф]])),
IF(OR(G9="4/24",G9="3/24"),((база!$M$5*2*Таблица1[[#This Row],[Столбец1]]*Таблица1[[#This Row],[коэф]])),
IF((G9="5/16"),((база!$L$6*2*Таблица1[[#This Row],[Столбец1]]*Таблица1[[#This Row],[коэф]])),
IF(OR(G9="4/16",G9="3/16"),((база!$L$5*2*Таблица1[[#This Row],[Столбец1]]*Таблица1[[#This Row],[коэф]])),
IF(OR(G9="2/4",G9="3/4",G9="4/4"),((база!$I$5*2*Таблица1[[#This Row],[Столбец1]]*Таблица1[[#This Row],[коэф]])),
IF((G9="5/8"),((база!$J$6*2*Таблица1[[#This Row],[Столбец1]]*Таблица1[[#This Row],[коэф]])),
IF(OR(G9="4/8",G9="3/8",G9="2/8"),((база!$J$5*2*Таблица1[[#This Row],[Столбец1]]*Таблица1[[#This Row],[коэф]])))))))))))</f>
        <v>0</v>
      </c>
      <c r="AQ9" s="697" t="str">
        <f>IFERROR(INDEX(база!T:T, MATCH(F9,база!Q:Q,0)),"")</f>
        <v/>
      </c>
      <c r="AR9" s="207">
        <f>IFERROR(INDEX(база!D:D, MATCH(F9,база!B:B,0)),"")</f>
        <v>0</v>
      </c>
    </row>
    <row r="10" spans="1:52" ht="15">
      <c r="A10" s="902" t="str">
        <f t="shared" si="0"/>
        <v>декабрь</v>
      </c>
      <c r="B10" t="n" s="902">
        <v>2023.0</v>
      </c>
      <c r="C10" t="s" s="902">
        <v>399</v>
      </c>
      <c r="D10" t="s" s="902">
        <v>376</v>
      </c>
      <c r="E10" t="s" s="902">
        <v>46</v>
      </c>
      <c r="F10" t="s" s="902">
        <v>271</v>
      </c>
      <c r="G10" t="s" s="902">
        <v>3</v>
      </c>
      <c r="H10" s="902"/>
      <c r="I10" s="902"/>
      <c r="J10" s="902"/>
      <c r="K10" s="902"/>
      <c r="L10" s="902"/>
      <c r="M10" s="902"/>
      <c r="N10" s="902"/>
      <c r="O10" s="902"/>
      <c r="P10" s="902"/>
      <c r="Q10" s="902"/>
      <c r="R10" s="902"/>
      <c r="S10" s="902"/>
      <c r="T10" s="902"/>
      <c r="U10" s="902"/>
      <c r="V10" s="902"/>
      <c r="W10" s="902"/>
      <c r="X10" s="902"/>
      <c r="Y10" s="902"/>
      <c r="Z10" s="902"/>
      <c r="AA10" s="902"/>
      <c r="AB10" s="902"/>
      <c r="AC10" s="902"/>
      <c r="AD10" s="902"/>
      <c r="AE10" s="902"/>
      <c r="AF10" s="902"/>
      <c r="AG10" t="n" s="902">
        <v>7.2</v>
      </c>
      <c r="AH10" s="48"/>
      <c r="AI10" s="48"/>
      <c r="AJ10" s="48"/>
      <c r="AK10" s="48"/>
      <c r="AL10" s="51"/>
      <c r="AM10" s="211">
        <f>IF(AQ10=1,SUM(H10:I10,L10:O10,R10:U10,X10:AA10,AD10:AG10,AI10:AK10),
IF(AQ10=2,SUM(H10:K10,N10:Q10,T10:W10,Z10:AC10,AF10:AI10),
IF(AQ10=3,SUM(J10:M10,P10:S10,V10:Y10,AB10:AE10,AH10:AK10),SUM(Таблица1[[#This Row],[1]:[31]])-Таблица1[[#This Row],[Столбец1]])))</f>
        <v>0</v>
      </c>
      <c r="AN10" s="290">
        <f t="array" ref="AN10">IF(AQ10=1,SUM(J10:K10,P10:Q10,V10:W10,AB10:AC10,AH10:AI10),
IF(AQ10=2,SUM(L10:M10,R10:S10,X10:Y10,AD10:AE10),
IF(AQ10=3,SUM(H10:I10,N10:O10,T10:U10,Z10:AA10,AF10:AG10),
SUM(IFERROR(WEEKDAY($H$2:$AL$2,2)&gt;5,)*H10:AL10))))</f>
        <v>0</v>
      </c>
      <c r="AO10" s="292" t="b">
        <f>IF(AR10&lt;=3,(IF((G10="5/24"),((база!$M$6*Таблица1[[#This Row],[сумма]]*Таблица1[[#This Row],[коэф]])),
IF((G10="4/24"),((база!$M$5*Таблица1[[#This Row],[сумма]]*Таблица1[[#This Row],[коэф]])),
IF((G10="3/24"),((база!$M$4*Таблица1[[#This Row],[сумма]]*Таблица1[[#This Row],[коэф]])),
IF((G10="5/16"),((база!$L$6*Таблица1[[#This Row],[сумма]]*Таблица1[[#This Row],[коэф]])),
IF((G10="4/16"),((база!$L$5*Таблица1[[#This Row],[сумма]]*Таблица1[[#This Row],[коэф]])),
IF((G10="3/16"),((база!$L$4*Таблица1[[#This Row],[сумма]]*Таблица1[[#This Row],[коэф]])),
IF((G10="4/4"),((база!$I$5*Таблица1[[#This Row],[сумма]]*Таблица1[[#This Row],[коэф]])),
IF(OR(G10="2/4",G10="3/4"),((база!$I$4*Таблица1[[#This Row],[сумма]]*Таблица1[[#This Row],[коэф]])),
IF((G10="5/8"),((база!$J$6*Таблица1[[#This Row],[сумма]]*Таблица1[[#This Row],[коэф]])),
IF((G10="4/8"),((база!$J$5*Таблица1[[#This Row],[сумма]]*Таблица1[[#This Row],[коэф]])),
IF(OR(G10="3/8",G10="2/8"),((база!$J$4*Таблица1[[#This Row],[сумма]]*Таблица1[[#This Row],[коэф]])))))))))))))),
(IF((G10="5/24"),((база!$M$6*Таблица1[[#This Row],[сумма]]*Таблица1[[#This Row],[коэф]])),
IF(OR(G10="4/24",G10="3/24"),((база!$M$5*Таблица1[[#This Row],[сумма]]*Таблица1[[#This Row],[коэф]])),
IF((G10="5/16"),((база!$L$6*Таблица1[[#This Row],[сумма]]*Таблица1[[#This Row],[коэф]])),
IF(OR(G10="4/16",G10="3/16"),((база!$L$5*Таблица1[[#This Row],[сумма]]*Таблица1[[#This Row],[коэф]])),
IF(OR(G10="2/4",G10="3/4",G10="4/4"),((база!$I$5*Таблица1[[#This Row],[сумма]]*Таблица1[[#This Row],[коэф]])),
IF((G10="5/8"),((база!$J$6*Таблица1[[#This Row],[сумма]]*Таблица1[[#This Row],[коэф]])),
IF(OR(G10="4/8",G10="3/8",G10="2/8"),((база!$J$5*Таблица1[[#This Row],[сумма]]*Таблица1[[#This Row],[коэф]])))))))))))</f>
        <v>0</v>
      </c>
      <c r="AP10" s="715" t="b">
        <f>IF(AR10&lt;=3,(IF((G10="5/24"),((база!$M$6*2*Таблица1[[#This Row],[Столбец1]]*Таблица1[[#This Row],[коэф]])),
IF((G10="4/24"),((база!$M$5*2*Таблица1[[#This Row],[Столбец1]]*Таблица1[[#This Row],[коэф]])),
IF((G10="3/24"),((база!$M$4*2*Таблица1[[#This Row],[Столбец1]]*Таблица1[[#This Row],[коэф]])),
IF((G10="5/16"),((база!$L$6*2*Таблица1[[#This Row],[Столбец1]]*Таблица1[[#This Row],[коэф]])),
IF((G10="4/16"),((база!$L$5*2*Таблица1[[#This Row],[Столбец1]]*Таблица1[[#This Row],[коэф]])),
IF((G10="3/16"),((база!$L$4*2*Таблица1[[#This Row],[Столбец1]]*Таблица1[[#This Row],[коэф]])),
IF((G10="4/4"),((база!$I$5*2*Таблица1[[#This Row],[Столбец1]]*Таблица1[[#This Row],[коэф]])),
IF(OR(G10="2/4",G10="3/4"),((база!$I$4*2*Таблица1[[#This Row],[Столбец1]]*Таблица1[[#This Row],[коэф]])),
IF((G10="5/8"),((база!$J$6*2*Таблица1[[#This Row],[Столбец1]]*Таблица1[[#This Row],[коэф]])),
IF((G10="4/8"),((база!$J$5*2*Таблица1[[#This Row],[Столбец1]]*Таблица1[[#This Row],[коэф]])),
IF(OR(G10="3/8",G10="2/8"),((база!$J$4*2*Таблица1[[#This Row],[Столбец1]]*Таблица1[[#This Row],[коэф]])))))))))))))),
(IF((G10="5/24"),((база!$M$6*2*Таблица1[[#This Row],[Столбец1]]*Таблица1[[#This Row],[коэф]])),
IF(OR(G10="4/24",G10="3/24"),((база!$M$5*2*Таблица1[[#This Row],[Столбец1]]*Таблица1[[#This Row],[коэф]])),
IF((G10="5/16"),((база!$L$6*2*Таблица1[[#This Row],[Столбец1]]*Таблица1[[#This Row],[коэф]])),
IF(OR(G10="4/16",G10="3/16"),((база!$L$5*2*Таблица1[[#This Row],[Столбец1]]*Таблица1[[#This Row],[коэф]])),
IF(OR(G10="2/4",G10="3/4",G10="4/4"),((база!$I$5*2*Таблица1[[#This Row],[Столбец1]]*Таблица1[[#This Row],[коэф]])),
IF((G10="5/8"),((база!$J$6*2*Таблица1[[#This Row],[Столбец1]]*Таблица1[[#This Row],[коэф]])),
IF(OR(G10="4/8",G10="3/8",G10="2/8"),((база!$J$5*2*Таблица1[[#This Row],[Столбец1]]*Таблица1[[#This Row],[коэф]])))))))))))</f>
        <v>0</v>
      </c>
      <c r="AQ10" s="697" t="str">
        <f>IFERROR(INDEX(база!T:T, MATCH(F10,база!Q:Q,0)),"")</f>
        <v/>
      </c>
      <c r="AR10" s="207">
        <f>IFERROR(INDEX(база!D:D, MATCH(F10,база!B:B,0)),"")</f>
        <v>0</v>
      </c>
    </row>
    <row r="11" spans="1:52" ht="15">
      <c r="A11" s="903" t="str">
        <f t="shared" si="0"/>
        <v>декабрь</v>
      </c>
      <c r="B11" t="n" s="903">
        <v>2023.0</v>
      </c>
      <c r="C11" t="s" s="903">
        <v>399</v>
      </c>
      <c r="D11" t="s" s="903">
        <v>376</v>
      </c>
      <c r="E11" t="s" s="903">
        <v>46</v>
      </c>
      <c r="F11" t="s" s="903">
        <v>271</v>
      </c>
      <c r="G11" t="s" s="903">
        <v>6</v>
      </c>
      <c r="H11" s="903"/>
      <c r="I11" s="903"/>
      <c r="J11" s="903"/>
      <c r="K11" s="903"/>
      <c r="L11" s="903"/>
      <c r="M11" s="903"/>
      <c r="N11" s="903"/>
      <c r="O11" s="903"/>
      <c r="P11" s="903"/>
      <c r="Q11" s="903"/>
      <c r="R11" s="903"/>
      <c r="S11" s="903"/>
      <c r="T11" s="903"/>
      <c r="U11" s="903"/>
      <c r="V11" s="903"/>
      <c r="W11" s="903"/>
      <c r="X11" s="903"/>
      <c r="Y11" s="903"/>
      <c r="Z11" s="903"/>
      <c r="AA11" s="903"/>
      <c r="AB11" s="903"/>
      <c r="AC11" s="903"/>
      <c r="AD11" s="903"/>
      <c r="AE11" s="903"/>
      <c r="AF11" s="903"/>
      <c r="AG11" s="903"/>
      <c r="AH11" t="n" s="903">
        <v>7.2</v>
      </c>
      <c r="AI11" s="48"/>
      <c r="AJ11" s="48"/>
      <c r="AK11" s="48"/>
      <c r="AL11" s="51"/>
      <c r="AM11" s="211">
        <f>IF(AQ11=1,SUM(H11:I11,L11:O11,R11:U11,X11:AA11,AD11:AG11,AI11:AK11),
IF(AQ11=2,SUM(H11:K11,N11:Q11,T11:W11,Z11:AC11,AF11:AI11),
IF(AQ11=3,SUM(J11:M11,P11:S11,V11:Y11,AB11:AE11,AH11:AK11),SUM(Таблица1[[#This Row],[1]:[31]])-Таблица1[[#This Row],[Столбец1]])))</f>
        <v>0</v>
      </c>
      <c r="AN11" s="290">
        <f t="array" ref="AN11">IF(AQ11=1,SUM(J11:K11,P11:Q11,V11:W11,AB11:AC11,AH11:AI11),
IF(AQ11=2,SUM(L11:M11,R11:S11,X11:Y11,AD11:AE11),
IF(AQ11=3,SUM(H11:I11,N11:O11,T11:U11,Z11:AA11,AF11:AG11),
SUM(IFERROR(WEEKDAY($H$2:$AL$2,2)&gt;5,)*H11:AL11))))</f>
        <v>0</v>
      </c>
      <c r="AO11" s="292" t="b">
        <f>IF(AR11&lt;=3,(IF((G11="5/24"),((база!$M$6*Таблица1[[#This Row],[сумма]]*Таблица1[[#This Row],[коэф]])),
IF((G11="4/24"),((база!$M$5*Таблица1[[#This Row],[сумма]]*Таблица1[[#This Row],[коэф]])),
IF((G11="3/24"),((база!$M$4*Таблица1[[#This Row],[сумма]]*Таблица1[[#This Row],[коэф]])),
IF((G11="5/16"),((база!$L$6*Таблица1[[#This Row],[сумма]]*Таблица1[[#This Row],[коэф]])),
IF((G11="4/16"),((база!$L$5*Таблица1[[#This Row],[сумма]]*Таблица1[[#This Row],[коэф]])),
IF((G11="3/16"),((база!$L$4*Таблица1[[#This Row],[сумма]]*Таблица1[[#This Row],[коэф]])),
IF((G11="4/4"),((база!$I$5*Таблица1[[#This Row],[сумма]]*Таблица1[[#This Row],[коэф]])),
IF(OR(G11="2/4",G11="3/4"),((база!$I$4*Таблица1[[#This Row],[сумма]]*Таблица1[[#This Row],[коэф]])),
IF((G11="5/8"),((база!$J$6*Таблица1[[#This Row],[сумма]]*Таблица1[[#This Row],[коэф]])),
IF((G11="4/8"),((база!$J$5*Таблица1[[#This Row],[сумма]]*Таблица1[[#This Row],[коэф]])),
IF(OR(G11="3/8",G11="2/8"),((база!$J$4*Таблица1[[#This Row],[сумма]]*Таблица1[[#This Row],[коэф]])))))))))))))),
(IF((G11="5/24"),((база!$M$6*Таблица1[[#This Row],[сумма]]*Таблица1[[#This Row],[коэф]])),
IF(OR(G11="4/24",G11="3/24"),((база!$M$5*Таблица1[[#This Row],[сумма]]*Таблица1[[#This Row],[коэф]])),
IF((G11="5/16"),((база!$L$6*Таблица1[[#This Row],[сумма]]*Таблица1[[#This Row],[коэф]])),
IF(OR(G11="4/16",G11="3/16"),((база!$L$5*Таблица1[[#This Row],[сумма]]*Таблица1[[#This Row],[коэф]])),
IF(OR(G11="2/4",G11="3/4",G11="4/4"),((база!$I$5*Таблица1[[#This Row],[сумма]]*Таблица1[[#This Row],[коэф]])),
IF((G11="5/8"),((база!$J$6*Таблица1[[#This Row],[сумма]]*Таблица1[[#This Row],[коэф]])),
IF(OR(G11="4/8",G11="3/8",G11="2/8"),((база!$J$5*Таблица1[[#This Row],[сумма]]*Таблица1[[#This Row],[коэф]])))))))))))</f>
        <v>0</v>
      </c>
      <c r="AP11" s="715" t="b">
        <f>IF(AR11&lt;=3,(IF((G11="5/24"),((база!$M$6*2*Таблица1[[#This Row],[Столбец1]]*Таблица1[[#This Row],[коэф]])),
IF((G11="4/24"),((база!$M$5*2*Таблица1[[#This Row],[Столбец1]]*Таблица1[[#This Row],[коэф]])),
IF((G11="3/24"),((база!$M$4*2*Таблица1[[#This Row],[Столбец1]]*Таблица1[[#This Row],[коэф]])),
IF((G11="5/16"),((база!$L$6*2*Таблица1[[#This Row],[Столбец1]]*Таблица1[[#This Row],[коэф]])),
IF((G11="4/16"),((база!$L$5*2*Таблица1[[#This Row],[Столбец1]]*Таблица1[[#This Row],[коэф]])),
IF((G11="3/16"),((база!$L$4*2*Таблица1[[#This Row],[Столбец1]]*Таблица1[[#This Row],[коэф]])),
IF((G11="4/4"),((база!$I$5*2*Таблица1[[#This Row],[Столбец1]]*Таблица1[[#This Row],[коэф]])),
IF(OR(G11="2/4",G11="3/4"),((база!$I$4*2*Таблица1[[#This Row],[Столбец1]]*Таблица1[[#This Row],[коэф]])),
IF((G11="5/8"),((база!$J$6*2*Таблица1[[#This Row],[Столбец1]]*Таблица1[[#This Row],[коэф]])),
IF((G11="4/8"),((база!$J$5*2*Таблица1[[#This Row],[Столбец1]]*Таблица1[[#This Row],[коэф]])),
IF(OR(G11="3/8",G11="2/8"),((база!$J$4*2*Таблица1[[#This Row],[Столбец1]]*Таблица1[[#This Row],[коэф]])))))))))))))),
(IF((G11="5/24"),((база!$M$6*2*Таблица1[[#This Row],[Столбец1]]*Таблица1[[#This Row],[коэф]])),
IF(OR(G11="4/24",G11="3/24"),((база!$M$5*2*Таблица1[[#This Row],[Столбец1]]*Таблица1[[#This Row],[коэф]])),
IF((G11="5/16"),((база!$L$6*2*Таблица1[[#This Row],[Столбец1]]*Таблица1[[#This Row],[коэф]])),
IF(OR(G11="4/16",G11="3/16"),((база!$L$5*2*Таблица1[[#This Row],[Столбец1]]*Таблица1[[#This Row],[коэф]])),
IF(OR(G11="2/4",G11="3/4",G11="4/4"),((база!$I$5*2*Таблица1[[#This Row],[Столбец1]]*Таблица1[[#This Row],[коэф]])),
IF((G11="5/8"),((база!$J$6*2*Таблица1[[#This Row],[Столбец1]]*Таблица1[[#This Row],[коэф]])),
IF(OR(G11="4/8",G11="3/8",G11="2/8"),((база!$J$5*2*Таблица1[[#This Row],[Столбец1]]*Таблица1[[#This Row],[коэф]])))))))))))</f>
        <v>0</v>
      </c>
      <c r="AQ11" s="697" t="str">
        <f>IFERROR(INDEX(база!T:T, MATCH(F11,база!Q:Q,0)),"")</f>
        <v/>
      </c>
      <c r="AR11" s="207">
        <f>IFERROR(INDEX(база!D:D, MATCH(F11,база!B:B,0)),"")</f>
        <v>0</v>
      </c>
    </row>
    <row r="12" spans="1:52" ht="15">
      <c r="A12" s="66" t="str">
        <f t="shared" si="0"/>
        <v>декабрь</v>
      </c>
      <c r="B12" s="230">
        <v>2023</v>
      </c>
      <c r="C12" s="60"/>
      <c r="D12" s="61"/>
      <c r="E12" s="210"/>
      <c r="F12" s="669"/>
      <c r="G12" s="47"/>
      <c r="H12" s="212"/>
      <c r="I12" s="48"/>
      <c r="J12" s="48"/>
      <c r="K12" s="49"/>
      <c r="L12" s="49"/>
      <c r="M12" s="49"/>
      <c r="N12" s="49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  <c r="AF12" s="48"/>
      <c r="AG12" s="48"/>
      <c r="AH12" s="48"/>
      <c r="AI12" s="48"/>
      <c r="AJ12" s="48"/>
      <c r="AK12" s="48"/>
      <c r="AL12" s="51"/>
      <c r="AM12" s="211">
        <f>IF(AQ12=1,SUM(H12:I12,L12:O12,R12:U12,X12:AA12,AD12:AG12,AI12:AK12),
IF(AQ12=2,SUM(H12:K12,N12:Q12,T12:W12,Z12:AC12,AF12:AI12),
IF(AQ12=3,SUM(J12:M12,P12:S12,V12:Y12,AB12:AE12,AH12:AK12),SUM(Таблица1[[#This Row],[1]:[31]])-Таблица1[[#This Row],[Столбец1]])))</f>
        <v>0</v>
      </c>
      <c r="AN12" s="290">
        <f t="array" ref="AN12">IF(AQ12=1,SUM(J12:K12,P12:Q12,V12:W12,AB12:AC12,AH12:AI12),
IF(AQ12=2,SUM(L12:M12,R12:S12,X12:Y12,AD12:AE12),
IF(AQ12=3,SUM(H12:I12,N12:O12,T12:U12,Z12:AA12,AF12:AG12),
SUM(IFERROR(WEEKDAY($H$2:$AL$2,2)&gt;5,)*H12:AL12))))</f>
        <v>0</v>
      </c>
      <c r="AO12" s="292" t="b">
        <f>IF(AR12&lt;=3,(IF((G12="5/24"),((база!$M$6*Таблица1[[#This Row],[сумма]]*Таблица1[[#This Row],[коэф]])),
IF((G12="4/24"),((база!$M$5*Таблица1[[#This Row],[сумма]]*Таблица1[[#This Row],[коэф]])),
IF((G12="3/24"),((база!$M$4*Таблица1[[#This Row],[сумма]]*Таблица1[[#This Row],[коэф]])),
IF((G12="5/16"),((база!$L$6*Таблица1[[#This Row],[сумма]]*Таблица1[[#This Row],[коэф]])),
IF((G12="4/16"),((база!$L$5*Таблица1[[#This Row],[сумма]]*Таблица1[[#This Row],[коэф]])),
IF((G12="3/16"),((база!$L$4*Таблица1[[#This Row],[сумма]]*Таблица1[[#This Row],[коэф]])),
IF((G12="4/4"),((база!$I$5*Таблица1[[#This Row],[сумма]]*Таблица1[[#This Row],[коэф]])),
IF(OR(G12="2/4",G12="3/4"),((база!$I$4*Таблица1[[#This Row],[сумма]]*Таблица1[[#This Row],[коэф]])),
IF((G12="5/8"),((база!$J$6*Таблица1[[#This Row],[сумма]]*Таблица1[[#This Row],[коэф]])),
IF((G12="4/8"),((база!$J$5*Таблица1[[#This Row],[сумма]]*Таблица1[[#This Row],[коэф]])),
IF(OR(G12="3/8",G12="2/8"),((база!$J$4*Таблица1[[#This Row],[сумма]]*Таблица1[[#This Row],[коэф]])))))))))))))),
(IF((G12="5/24"),((база!$M$6*Таблица1[[#This Row],[сумма]]*Таблица1[[#This Row],[коэф]])),
IF(OR(G12="4/24",G12="3/24"),((база!$M$5*Таблица1[[#This Row],[сумма]]*Таблица1[[#This Row],[коэф]])),
IF((G12="5/16"),((база!$L$6*Таблица1[[#This Row],[сумма]]*Таблица1[[#This Row],[коэф]])),
IF(OR(G12="4/16",G12="3/16"),((база!$L$5*Таблица1[[#This Row],[сумма]]*Таблица1[[#This Row],[коэф]])),
IF(OR(G12="2/4",G12="3/4",G12="4/4"),((база!$I$5*Таблица1[[#This Row],[сумма]]*Таблица1[[#This Row],[коэф]])),
IF((G12="5/8"),((база!$J$6*Таблица1[[#This Row],[сумма]]*Таблица1[[#This Row],[коэф]])),
IF(OR(G12="4/8",G12="3/8",G12="2/8"),((база!$J$5*Таблица1[[#This Row],[сумма]]*Таблица1[[#This Row],[коэф]])))))))))))</f>
        <v>0</v>
      </c>
      <c r="AP12" s="715" t="b">
        <f>IF(AR12&lt;=3,(IF((G12="5/24"),((база!$M$6*2*Таблица1[[#This Row],[Столбец1]]*Таблица1[[#This Row],[коэф]])),
IF((G12="4/24"),((база!$M$5*2*Таблица1[[#This Row],[Столбец1]]*Таблица1[[#This Row],[коэф]])),
IF((G12="3/24"),((база!$M$4*2*Таблица1[[#This Row],[Столбец1]]*Таблица1[[#This Row],[коэф]])),
IF((G12="5/16"),((база!$L$6*2*Таблица1[[#This Row],[Столбец1]]*Таблица1[[#This Row],[коэф]])),
IF((G12="4/16"),((база!$L$5*2*Таблица1[[#This Row],[Столбец1]]*Таблица1[[#This Row],[коэф]])),
IF((G12="3/16"),((база!$L$4*2*Таблица1[[#This Row],[Столбец1]]*Таблица1[[#This Row],[коэф]])),
IF((G12="4/4"),((база!$I$5*2*Таблица1[[#This Row],[Столбец1]]*Таблица1[[#This Row],[коэф]])),
IF(OR(G12="2/4",G12="3/4"),((база!$I$4*2*Таблица1[[#This Row],[Столбец1]]*Таблица1[[#This Row],[коэф]])),
IF((G12="5/8"),((база!$J$6*2*Таблица1[[#This Row],[Столбец1]]*Таблица1[[#This Row],[коэф]])),
IF((G12="4/8"),((база!$J$5*2*Таблица1[[#This Row],[Столбец1]]*Таблица1[[#This Row],[коэф]])),
IF(OR(G12="3/8",G12="2/8"),((база!$J$4*2*Таблица1[[#This Row],[Столбец1]]*Таблица1[[#This Row],[коэф]])))))))))))))),
(IF((G12="5/24"),((база!$M$6*2*Таблица1[[#This Row],[Столбец1]]*Таблица1[[#This Row],[коэф]])),
IF(OR(G12="4/24",G12="3/24"),((база!$M$5*2*Таблица1[[#This Row],[Столбец1]]*Таблица1[[#This Row],[коэф]])),
IF((G12="5/16"),((база!$L$6*2*Таблица1[[#This Row],[Столбец1]]*Таблица1[[#This Row],[коэф]])),
IF(OR(G12="4/16",G12="3/16"),((база!$L$5*2*Таблица1[[#This Row],[Столбец1]]*Таблица1[[#This Row],[коэф]])),
IF(OR(G12="2/4",G12="3/4",G12="4/4"),((база!$I$5*2*Таблица1[[#This Row],[Столбец1]]*Таблица1[[#This Row],[коэф]])),
IF((G12="5/8"),((база!$J$6*2*Таблица1[[#This Row],[Столбец1]]*Таблица1[[#This Row],[коэф]])),
IF(OR(G12="4/8",G12="3/8",G12="2/8"),((база!$J$5*2*Таблица1[[#This Row],[Столбец1]]*Таблица1[[#This Row],[коэф]])))))))))))</f>
        <v>0</v>
      </c>
      <c r="AQ12" s="697" t="str">
        <f>IFERROR(INDEX(база!T:T, MATCH(F12,база!Q:Q,0)),"")</f>
        <v/>
      </c>
      <c r="AR12" s="207">
        <f>IFERROR(INDEX(база!D:D, MATCH(F12,база!B:B,0)),"")</f>
        <v>0</v>
      </c>
    </row>
    <row r="13" spans="1:52" ht="15">
      <c r="A13" s="66" t="str">
        <f t="shared" si="0"/>
        <v>декабрь</v>
      </c>
      <c r="B13" s="230">
        <v>2023</v>
      </c>
      <c r="C13" s="60"/>
      <c r="D13" s="61"/>
      <c r="E13" s="210"/>
      <c r="F13" s="669"/>
      <c r="G13" s="47"/>
      <c r="H13" s="212"/>
      <c r="I13" s="48"/>
      <c r="J13" s="48"/>
      <c r="K13" s="49"/>
      <c r="L13" s="49"/>
      <c r="M13" s="49"/>
      <c r="N13" s="49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  <c r="AJ13" s="48"/>
      <c r="AK13" s="48"/>
      <c r="AL13" s="51"/>
      <c r="AM13" s="211">
        <f>IF(AQ13=1,SUM(H13:I13,L13:O13,R13:U13,X13:AA13,AD13:AG13,AI13:AK13),
IF(AQ13=2,SUM(H13:K13,N13:Q13,T13:W13,Z13:AC13,AF13:AI13),
IF(AQ13=3,SUM(J13:M13,P13:S13,V13:Y13,AB13:AE13,AH13:AK13),SUM(Таблица1[[#This Row],[1]:[31]])-Таблица1[[#This Row],[Столбец1]])))</f>
        <v>0</v>
      </c>
      <c r="AN13" s="290">
        <f t="array" ref="AN13">IF(AQ13=1,SUM(J13:K13,P13:Q13,V13:W13,AB13:AC13,AH13:AI13),
IF(AQ13=2,SUM(L13:M13,R13:S13,X13:Y13,AD13:AE13),
IF(AQ13=3,SUM(H13:I13,N13:O13,T13:U13,Z13:AA13,AF13:AG13),
SUM(IFERROR(WEEKDAY($H$2:$AL$2,2)&gt;5,)*H13:AL13))))</f>
        <v>0</v>
      </c>
      <c r="AO13" s="292" t="b">
        <f>IF(AR13&lt;=3,(IF((G13="5/24"),((база!$M$6*Таблица1[[#This Row],[сумма]]*Таблица1[[#This Row],[коэф]])),
IF((G13="4/24"),((база!$M$5*Таблица1[[#This Row],[сумма]]*Таблица1[[#This Row],[коэф]])),
IF((G13="3/24"),((база!$M$4*Таблица1[[#This Row],[сумма]]*Таблица1[[#This Row],[коэф]])),
IF((G13="5/16"),((база!$L$6*Таблица1[[#This Row],[сумма]]*Таблица1[[#This Row],[коэф]])),
IF((G13="4/16"),((база!$L$5*Таблица1[[#This Row],[сумма]]*Таблица1[[#This Row],[коэф]])),
IF((G13="3/16"),((база!$L$4*Таблица1[[#This Row],[сумма]]*Таблица1[[#This Row],[коэф]])),
IF((G13="4/4"),((база!$I$5*Таблица1[[#This Row],[сумма]]*Таблица1[[#This Row],[коэф]])),
IF(OR(G13="2/4",G13="3/4"),((база!$I$4*Таблица1[[#This Row],[сумма]]*Таблица1[[#This Row],[коэф]])),
IF((G13="5/8"),((база!$J$6*Таблица1[[#This Row],[сумма]]*Таблица1[[#This Row],[коэф]])),
IF((G13="4/8"),((база!$J$5*Таблица1[[#This Row],[сумма]]*Таблица1[[#This Row],[коэф]])),
IF(OR(G13="3/8",G13="2/8"),((база!$J$4*Таблица1[[#This Row],[сумма]]*Таблица1[[#This Row],[коэф]])))))))))))))),
(IF((G13="5/24"),((база!$M$6*Таблица1[[#This Row],[сумма]]*Таблица1[[#This Row],[коэф]])),
IF(OR(G13="4/24",G13="3/24"),((база!$M$5*Таблица1[[#This Row],[сумма]]*Таблица1[[#This Row],[коэф]])),
IF((G13="5/16"),((база!$L$6*Таблица1[[#This Row],[сумма]]*Таблица1[[#This Row],[коэф]])),
IF(OR(G13="4/16",G13="3/16"),((база!$L$5*Таблица1[[#This Row],[сумма]]*Таблица1[[#This Row],[коэф]])),
IF(OR(G13="2/4",G13="3/4",G13="4/4"),((база!$I$5*Таблица1[[#This Row],[сумма]]*Таблица1[[#This Row],[коэф]])),
IF((G13="5/8"),((база!$J$6*Таблица1[[#This Row],[сумма]]*Таблица1[[#This Row],[коэф]])),
IF(OR(G13="4/8",G13="3/8",G13="2/8"),((база!$J$5*Таблица1[[#This Row],[сумма]]*Таблица1[[#This Row],[коэф]])))))))))))</f>
        <v>0</v>
      </c>
      <c r="AP13" s="715" t="b">
        <f>IF(AR13&lt;=3,(IF((G13="5/24"),((база!$M$6*2*Таблица1[[#This Row],[Столбец1]]*Таблица1[[#This Row],[коэф]])),
IF((G13="4/24"),((база!$M$5*2*Таблица1[[#This Row],[Столбец1]]*Таблица1[[#This Row],[коэф]])),
IF((G13="3/24"),((база!$M$4*2*Таблица1[[#This Row],[Столбец1]]*Таблица1[[#This Row],[коэф]])),
IF((G13="5/16"),((база!$L$6*2*Таблица1[[#This Row],[Столбец1]]*Таблица1[[#This Row],[коэф]])),
IF((G13="4/16"),((база!$L$5*2*Таблица1[[#This Row],[Столбец1]]*Таблица1[[#This Row],[коэф]])),
IF((G13="3/16"),((база!$L$4*2*Таблица1[[#This Row],[Столбец1]]*Таблица1[[#This Row],[коэф]])),
IF((G13="4/4"),((база!$I$5*2*Таблица1[[#This Row],[Столбец1]]*Таблица1[[#This Row],[коэф]])),
IF(OR(G13="2/4",G13="3/4"),((база!$I$4*2*Таблица1[[#This Row],[Столбец1]]*Таблица1[[#This Row],[коэф]])),
IF((G13="5/8"),((база!$J$6*2*Таблица1[[#This Row],[Столбец1]]*Таблица1[[#This Row],[коэф]])),
IF((G13="4/8"),((база!$J$5*2*Таблица1[[#This Row],[Столбец1]]*Таблица1[[#This Row],[коэф]])),
IF(OR(G13="3/8",G13="2/8"),((база!$J$4*2*Таблица1[[#This Row],[Столбец1]]*Таблица1[[#This Row],[коэф]])))))))))))))),
(IF((G13="5/24"),((база!$M$6*2*Таблица1[[#This Row],[Столбец1]]*Таблица1[[#This Row],[коэф]])),
IF(OR(G13="4/24",G13="3/24"),((база!$M$5*2*Таблица1[[#This Row],[Столбец1]]*Таблица1[[#This Row],[коэф]])),
IF((G13="5/16"),((база!$L$6*2*Таблица1[[#This Row],[Столбец1]]*Таблица1[[#This Row],[коэф]])),
IF(OR(G13="4/16",G13="3/16"),((база!$L$5*2*Таблица1[[#This Row],[Столбец1]]*Таблица1[[#This Row],[коэф]])),
IF(OR(G13="2/4",G13="3/4",G13="4/4"),((база!$I$5*2*Таблица1[[#This Row],[Столбец1]]*Таблица1[[#This Row],[коэф]])),
IF((G13="5/8"),((база!$J$6*2*Таблица1[[#This Row],[Столбец1]]*Таблица1[[#This Row],[коэф]])),
IF(OR(G13="4/8",G13="3/8",G13="2/8"),((база!$J$5*2*Таблица1[[#This Row],[Столбец1]]*Таблица1[[#This Row],[коэф]])))))))))))</f>
        <v>0</v>
      </c>
      <c r="AQ13" s="697" t="str">
        <f>IFERROR(INDEX(база!T:T, MATCH(F13,база!Q:Q,0)),"")</f>
        <v/>
      </c>
      <c r="AR13" s="207">
        <f>IFERROR(INDEX(база!D:D, MATCH(F13,база!B:B,0)),"")</f>
        <v>0</v>
      </c>
    </row>
    <row r="14" spans="1:52" ht="15">
      <c r="A14" s="66" t="str">
        <f t="shared" si="0"/>
        <v>декабрь</v>
      </c>
      <c r="B14" s="230">
        <v>2023</v>
      </c>
      <c r="C14" s="60"/>
      <c r="D14" s="61"/>
      <c r="E14" s="210"/>
      <c r="F14" s="669"/>
      <c r="G14" s="47"/>
      <c r="H14" s="48"/>
      <c r="I14" s="48"/>
      <c r="J14" s="48"/>
      <c r="K14" s="49"/>
      <c r="L14" s="49"/>
      <c r="M14" s="49"/>
      <c r="N14" s="49"/>
      <c r="O14" s="48"/>
      <c r="P14" s="49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  <c r="AJ14" s="48"/>
      <c r="AK14" s="48"/>
      <c r="AL14" s="51"/>
      <c r="AM14" s="211">
        <f>IF(AQ14=1,SUM(H14:I14,L14:O14,R14:U14,X14:AA14,AD14:AG14,AI14:AK14),
IF(AQ14=2,SUM(H14:K14,N14:Q14,T14:W14,Z14:AC14,AF14:AI14),
IF(AQ14=3,SUM(J14:M14,P14:S14,V14:Y14,AB14:AE14,AH14:AK14),SUM(Таблица1[[#This Row],[1]:[31]])-Таблица1[[#This Row],[Столбец1]])))</f>
        <v>0</v>
      </c>
      <c r="AN14" s="290">
        <f t="array" ref="AN14">IF(AQ14=1,SUM(J14:K14,P14:Q14,V14:W14,AB14:AC14,AH14:AI14),
IF(AQ14=2,SUM(L14:M14,R14:S14,X14:Y14,AD14:AE14),
IF(AQ14=3,SUM(H14:I14,N14:O14,T14:U14,Z14:AA14,AF14:AG14),
SUM(IFERROR(WEEKDAY($H$2:$AL$2,2)&gt;5,)*H14:AL14))))</f>
        <v>0</v>
      </c>
      <c r="AO14" s="292" t="b">
        <f>IF(AR14&lt;=3,(IF((G14="5/24"),((база!$M$6*Таблица1[[#This Row],[сумма]]*Таблица1[[#This Row],[коэф]])),
IF((G14="4/24"),((база!$M$5*Таблица1[[#This Row],[сумма]]*Таблица1[[#This Row],[коэф]])),
IF((G14="3/24"),((база!$M$4*Таблица1[[#This Row],[сумма]]*Таблица1[[#This Row],[коэф]])),
IF((G14="5/16"),((база!$L$6*Таблица1[[#This Row],[сумма]]*Таблица1[[#This Row],[коэф]])),
IF((G14="4/16"),((база!$L$5*Таблица1[[#This Row],[сумма]]*Таблица1[[#This Row],[коэф]])),
IF((G14="3/16"),((база!$L$4*Таблица1[[#This Row],[сумма]]*Таблица1[[#This Row],[коэф]])),
IF((G14="4/4"),((база!$I$5*Таблица1[[#This Row],[сумма]]*Таблица1[[#This Row],[коэф]])),
IF(OR(G14="2/4",G14="3/4"),((база!$I$4*Таблица1[[#This Row],[сумма]]*Таблица1[[#This Row],[коэф]])),
IF((G14="5/8"),((база!$J$6*Таблица1[[#This Row],[сумма]]*Таблица1[[#This Row],[коэф]])),
IF((G14="4/8"),((база!$J$5*Таблица1[[#This Row],[сумма]]*Таблица1[[#This Row],[коэф]])),
IF(OR(G14="3/8",G14="2/8"),((база!$J$4*Таблица1[[#This Row],[сумма]]*Таблица1[[#This Row],[коэф]])))))))))))))),
(IF((G14="5/24"),((база!$M$6*Таблица1[[#This Row],[сумма]]*Таблица1[[#This Row],[коэф]])),
IF(OR(G14="4/24",G14="3/24"),((база!$M$5*Таблица1[[#This Row],[сумма]]*Таблица1[[#This Row],[коэф]])),
IF((G14="5/16"),((база!$L$6*Таблица1[[#This Row],[сумма]]*Таблица1[[#This Row],[коэф]])),
IF(OR(G14="4/16",G14="3/16"),((база!$L$5*Таблица1[[#This Row],[сумма]]*Таблица1[[#This Row],[коэф]])),
IF(OR(G14="2/4",G14="3/4",G14="4/4"),((база!$I$5*Таблица1[[#This Row],[сумма]]*Таблица1[[#This Row],[коэф]])),
IF((G14="5/8"),((база!$J$6*Таблица1[[#This Row],[сумма]]*Таблица1[[#This Row],[коэф]])),
IF(OR(G14="4/8",G14="3/8",G14="2/8"),((база!$J$5*Таблица1[[#This Row],[сумма]]*Таблица1[[#This Row],[коэф]])))))))))))</f>
        <v>0</v>
      </c>
      <c r="AP14" s="715" t="b">
        <f>IF(AR14&lt;=3,(IF((G14="5/24"),((база!$M$6*2*Таблица1[[#This Row],[Столбец1]]*Таблица1[[#This Row],[коэф]])),
IF((G14="4/24"),((база!$M$5*2*Таблица1[[#This Row],[Столбец1]]*Таблица1[[#This Row],[коэф]])),
IF((G14="3/24"),((база!$M$4*2*Таблица1[[#This Row],[Столбец1]]*Таблица1[[#This Row],[коэф]])),
IF((G14="5/16"),((база!$L$6*2*Таблица1[[#This Row],[Столбец1]]*Таблица1[[#This Row],[коэф]])),
IF((G14="4/16"),((база!$L$5*2*Таблица1[[#This Row],[Столбец1]]*Таблица1[[#This Row],[коэф]])),
IF((G14="3/16"),((база!$L$4*2*Таблица1[[#This Row],[Столбец1]]*Таблица1[[#This Row],[коэф]])),
IF((G14="4/4"),((база!$I$5*2*Таблица1[[#This Row],[Столбец1]]*Таблица1[[#This Row],[коэф]])),
IF(OR(G14="2/4",G14="3/4"),((база!$I$4*2*Таблица1[[#This Row],[Столбец1]]*Таблица1[[#This Row],[коэф]])),
IF((G14="5/8"),((база!$J$6*2*Таблица1[[#This Row],[Столбец1]]*Таблица1[[#This Row],[коэф]])),
IF((G14="4/8"),((база!$J$5*2*Таблица1[[#This Row],[Столбец1]]*Таблица1[[#This Row],[коэф]])),
IF(OR(G14="3/8",G14="2/8"),((база!$J$4*2*Таблица1[[#This Row],[Столбец1]]*Таблица1[[#This Row],[коэф]])))))))))))))),
(IF((G14="5/24"),((база!$M$6*2*Таблица1[[#This Row],[Столбец1]]*Таблица1[[#This Row],[коэф]])),
IF(OR(G14="4/24",G14="3/24"),((база!$M$5*2*Таблица1[[#This Row],[Столбец1]]*Таблица1[[#This Row],[коэф]])),
IF((G14="5/16"),((база!$L$6*2*Таблица1[[#This Row],[Столбец1]]*Таблица1[[#This Row],[коэф]])),
IF(OR(G14="4/16",G14="3/16"),((база!$L$5*2*Таблица1[[#This Row],[Столбец1]]*Таблица1[[#This Row],[коэф]])),
IF(OR(G14="2/4",G14="3/4",G14="4/4"),((база!$I$5*2*Таблица1[[#This Row],[Столбец1]]*Таблица1[[#This Row],[коэф]])),
IF((G14="5/8"),((база!$J$6*2*Таблица1[[#This Row],[Столбец1]]*Таблица1[[#This Row],[коэф]])),
IF(OR(G14="4/8",G14="3/8",G14="2/8"),((база!$J$5*2*Таблица1[[#This Row],[Столбец1]]*Таблица1[[#This Row],[коэф]])))))))))))</f>
        <v>0</v>
      </c>
      <c r="AQ14" s="697" t="str">
        <f>IFERROR(INDEX(база!T:T, MATCH(F14,база!Q:Q,0)),"")</f>
        <v/>
      </c>
      <c r="AR14" s="207">
        <f>IFERROR(INDEX(база!D:D, MATCH(F14,база!B:B,0)),"")</f>
        <v>0</v>
      </c>
    </row>
    <row r="15" spans="1:52" s="46" customFormat="1" ht="15">
      <c r="A15" s="66" t="str">
        <f t="shared" si="0"/>
        <v>декабрь</v>
      </c>
      <c r="B15" s="230">
        <v>2023</v>
      </c>
      <c r="C15" s="60"/>
      <c r="D15" s="61"/>
      <c r="E15" s="210"/>
      <c r="F15" s="669"/>
      <c r="G15" s="47"/>
      <c r="H15" s="212"/>
      <c r="I15" s="48"/>
      <c r="J15" s="48"/>
      <c r="K15" s="49"/>
      <c r="L15" s="49"/>
      <c r="M15" s="49"/>
      <c r="N15" s="49"/>
      <c r="O15" s="49"/>
      <c r="P15" s="49"/>
      <c r="Q15" s="49"/>
      <c r="R15" s="48"/>
      <c r="S15" s="48"/>
      <c r="T15" s="48"/>
      <c r="U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8"/>
      <c r="AG15" s="48"/>
      <c r="AH15" s="48"/>
      <c r="AI15" s="48"/>
      <c r="AJ15" s="48"/>
      <c r="AK15" s="48"/>
      <c r="AL15" s="51"/>
      <c r="AM15" s="211">
        <f>IF(AQ15=1,SUM(H15:I15,L15:O15,R15:U15,X15:AA15,AD15:AG15,AI15:AK15),
IF(AQ15=2,SUM(H15:K15,N15:Q15,T15:W15,Z15:AC15,AF15:AI15),
IF(AQ15=3,SUM(J15:M15,P15:S15,V15:Y15,AB15:AE15,AH15:AK15),SUM(Таблица1[[#This Row],[1]:[31]])-Таблица1[[#This Row],[Столбец1]])))</f>
        <v>0</v>
      </c>
      <c r="AN15" s="290">
        <f t="array" ref="AN15">IF(AQ15=1,SUM(J15:K15,P15:Q15,V15:W15,AB15:AC15,AH15:AI15),
IF(AQ15=2,SUM(L15:M15,R15:S15,X15:Y15,AD15:AE15),
IF(AQ15=3,SUM(H15:I15,N15:O15,T15:U15,Z15:AA15,AF15:AG15),
SUM(IFERROR(WEEKDAY($H$2:$AL$2,2)&gt;5,)*H15:AL15))))</f>
        <v>0</v>
      </c>
      <c r="AO15" s="292" t="b">
        <f>IF(AR15&lt;=3,(IF((G15="5/24"),((база!$M$6*Таблица1[[#This Row],[сумма]]*Таблица1[[#This Row],[коэф]])),
IF((G15="4/24"),((база!$M$5*Таблица1[[#This Row],[сумма]]*Таблица1[[#This Row],[коэф]])),
IF((G15="3/24"),((база!$M$4*Таблица1[[#This Row],[сумма]]*Таблица1[[#This Row],[коэф]])),
IF((G15="5/16"),((база!$L$6*Таблица1[[#This Row],[сумма]]*Таблица1[[#This Row],[коэф]])),
IF((G15="4/16"),((база!$L$5*Таблица1[[#This Row],[сумма]]*Таблица1[[#This Row],[коэф]])),
IF((G15="3/16"),((база!$L$4*Таблица1[[#This Row],[сумма]]*Таблица1[[#This Row],[коэф]])),
IF((G15="4/4"),((база!$I$5*Таблица1[[#This Row],[сумма]]*Таблица1[[#This Row],[коэф]])),
IF(OR(G15="2/4",G15="3/4"),((база!$I$4*Таблица1[[#This Row],[сумма]]*Таблица1[[#This Row],[коэф]])),
IF((G15="5/8"),((база!$J$6*Таблица1[[#This Row],[сумма]]*Таблица1[[#This Row],[коэф]])),
IF((G15="4/8"),((база!$J$5*Таблица1[[#This Row],[сумма]]*Таблица1[[#This Row],[коэф]])),
IF(OR(G15="3/8",G15="2/8"),((база!$J$4*Таблица1[[#This Row],[сумма]]*Таблица1[[#This Row],[коэф]])))))))))))))),
(IF((G15="5/24"),((база!$M$6*Таблица1[[#This Row],[сумма]]*Таблица1[[#This Row],[коэф]])),
IF(OR(G15="4/24",G15="3/24"),((база!$M$5*Таблица1[[#This Row],[сумма]]*Таблица1[[#This Row],[коэф]])),
IF((G15="5/16"),((база!$L$6*Таблица1[[#This Row],[сумма]]*Таблица1[[#This Row],[коэф]])),
IF(OR(G15="4/16",G15="3/16"),((база!$L$5*Таблица1[[#This Row],[сумма]]*Таблица1[[#This Row],[коэф]])),
IF(OR(G15="2/4",G15="3/4",G15="4/4"),((база!$I$5*Таблица1[[#This Row],[сумма]]*Таблица1[[#This Row],[коэф]])),
IF((G15="5/8"),((база!$J$6*Таблица1[[#This Row],[сумма]]*Таблица1[[#This Row],[коэф]])),
IF(OR(G15="4/8",G15="3/8",G15="2/8"),((база!$J$5*Таблица1[[#This Row],[сумма]]*Таблица1[[#This Row],[коэф]])))))))))))</f>
        <v>0</v>
      </c>
      <c r="AP15" s="715" t="b">
        <f>IF(AR15&lt;=3,(IF((G15="5/24"),((база!$M$6*2*Таблица1[[#This Row],[Столбец1]]*Таблица1[[#This Row],[коэф]])),
IF((G15="4/24"),((база!$M$5*2*Таблица1[[#This Row],[Столбец1]]*Таблица1[[#This Row],[коэф]])),
IF((G15="3/24"),((база!$M$4*2*Таблица1[[#This Row],[Столбец1]]*Таблица1[[#This Row],[коэф]])),
IF((G15="5/16"),((база!$L$6*2*Таблица1[[#This Row],[Столбец1]]*Таблица1[[#This Row],[коэф]])),
IF((G15="4/16"),((база!$L$5*2*Таблица1[[#This Row],[Столбец1]]*Таблица1[[#This Row],[коэф]])),
IF((G15="3/16"),((база!$L$4*2*Таблица1[[#This Row],[Столбец1]]*Таблица1[[#This Row],[коэф]])),
IF((G15="4/4"),((база!$I$5*2*Таблица1[[#This Row],[Столбец1]]*Таблица1[[#This Row],[коэф]])),
IF(OR(G15="2/4",G15="3/4"),((база!$I$4*2*Таблица1[[#This Row],[Столбец1]]*Таблица1[[#This Row],[коэф]])),
IF((G15="5/8"),((база!$J$6*2*Таблица1[[#This Row],[Столбец1]]*Таблица1[[#This Row],[коэф]])),
IF((G15="4/8"),((база!$J$5*2*Таблица1[[#This Row],[Столбец1]]*Таблица1[[#This Row],[коэф]])),
IF(OR(G15="3/8",G15="2/8"),((база!$J$4*2*Таблица1[[#This Row],[Столбец1]]*Таблица1[[#This Row],[коэф]])))))))))))))),
(IF((G15="5/24"),((база!$M$6*2*Таблица1[[#This Row],[Столбец1]]*Таблица1[[#This Row],[коэф]])),
IF(OR(G15="4/24",G15="3/24"),((база!$M$5*2*Таблица1[[#This Row],[Столбец1]]*Таблица1[[#This Row],[коэф]])),
IF((G15="5/16"),((база!$L$6*2*Таблица1[[#This Row],[Столбец1]]*Таблица1[[#This Row],[коэф]])),
IF(OR(G15="4/16",G15="3/16"),((база!$L$5*2*Таблица1[[#This Row],[Столбец1]]*Таблица1[[#This Row],[коэф]])),
IF(OR(G15="2/4",G15="3/4",G15="4/4"),((база!$I$5*2*Таблица1[[#This Row],[Столбец1]]*Таблица1[[#This Row],[коэф]])),
IF((G15="5/8"),((база!$J$6*2*Таблица1[[#This Row],[Столбец1]]*Таблица1[[#This Row],[коэф]])),
IF(OR(G15="4/8",G15="3/8",G15="2/8"),((база!$J$5*2*Таблица1[[#This Row],[Столбец1]]*Таблица1[[#This Row],[коэф]])))))))))))</f>
        <v>0</v>
      </c>
      <c r="AQ15" s="697" t="str">
        <f>IFERROR(INDEX(база!T:T, MATCH(F15,база!Q:Q,0)),"")</f>
        <v/>
      </c>
      <c r="AR15" s="207">
        <f>IFERROR(INDEX(база!D:D, MATCH(F15,база!B:B,0)),"")</f>
        <v>0</v>
      </c>
    </row>
    <row r="16" spans="1:52" s="46" customFormat="1" ht="15">
      <c r="A16" s="66" t="str">
        <f t="shared" si="0"/>
        <v>декабрь</v>
      </c>
      <c r="B16" s="230">
        <v>2023</v>
      </c>
      <c r="C16" s="60"/>
      <c r="D16" s="61"/>
      <c r="E16" s="210"/>
      <c r="F16" s="669"/>
      <c r="G16" s="47"/>
      <c r="H16" s="212"/>
      <c r="I16" s="48"/>
      <c r="J16" s="48"/>
      <c r="K16" s="49"/>
      <c r="L16" s="49"/>
      <c r="M16" s="49"/>
      <c r="N16" s="49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8"/>
      <c r="AG16" s="48"/>
      <c r="AH16" s="48"/>
      <c r="AI16" s="48"/>
      <c r="AJ16" s="48"/>
      <c r="AK16" s="48"/>
      <c r="AL16" s="48"/>
      <c r="AM16" s="211">
        <f>IF(AQ16=1,SUM(H16:I16,L16:O16,R16:U16,X16:AA16,AD16:AG16,AI16:AK16),
IF(AQ16=2,SUM(H16:K16,N16:Q16,T16:W16,Z16:AC16,AF16:AI16),
IF(AQ16=3,SUM(J16:M16,P16:S16,V16:Y16,AB16:AE16,AH16:AK16),SUM(Таблица1[[#This Row],[1]:[31]])-Таблица1[[#This Row],[Столбец1]])))</f>
        <v>0</v>
      </c>
      <c r="AN16" s="290">
        <f t="array" ref="AN16">IF(AQ16=1,SUM(J16:K16,P16:Q16,V16:W16,AB16:AC16,AH16:AI16),
IF(AQ16=2,SUM(L16:M16,R16:S16,X16:Y16,AD16:AE16),
IF(AQ16=3,SUM(H16:I16,N16:O16,T16:U16,Z16:AA16,AF16:AG16),
SUM(IFERROR(WEEKDAY($H$2:$AL$2,2)&gt;5,)*H16:AL16))))</f>
        <v>0</v>
      </c>
      <c r="AO16" s="292" t="b">
        <f>IF(AR16&lt;=3,(IF((G16="5/24"),((база!$M$6*Таблица1[[#This Row],[сумма]]*Таблица1[[#This Row],[коэф]])),
IF((G16="4/24"),((база!$M$5*Таблица1[[#This Row],[сумма]]*Таблица1[[#This Row],[коэф]])),
IF((G16="3/24"),((база!$M$4*Таблица1[[#This Row],[сумма]]*Таблица1[[#This Row],[коэф]])),
IF((G16="5/16"),((база!$L$6*Таблица1[[#This Row],[сумма]]*Таблица1[[#This Row],[коэф]])),
IF((G16="4/16"),((база!$L$5*Таблица1[[#This Row],[сумма]]*Таблица1[[#This Row],[коэф]])),
IF((G16="3/16"),((база!$L$4*Таблица1[[#This Row],[сумма]]*Таблица1[[#This Row],[коэф]])),
IF((G16="4/4"),((база!$I$5*Таблица1[[#This Row],[сумма]]*Таблица1[[#This Row],[коэф]])),
IF(OR(G16="2/4",G16="3/4"),((база!$I$4*Таблица1[[#This Row],[сумма]]*Таблица1[[#This Row],[коэф]])),
IF((G16="5/8"),((база!$J$6*Таблица1[[#This Row],[сумма]]*Таблица1[[#This Row],[коэф]])),
IF((G16="4/8"),((база!$J$5*Таблица1[[#This Row],[сумма]]*Таблица1[[#This Row],[коэф]])),
IF(OR(G16="3/8",G16="2/8"),((база!$J$4*Таблица1[[#This Row],[сумма]]*Таблица1[[#This Row],[коэф]])))))))))))))),
(IF((G16="5/24"),((база!$M$6*Таблица1[[#This Row],[сумма]]*Таблица1[[#This Row],[коэф]])),
IF(OR(G16="4/24",G16="3/24"),((база!$M$5*Таблица1[[#This Row],[сумма]]*Таблица1[[#This Row],[коэф]])),
IF((G16="5/16"),((база!$L$6*Таблица1[[#This Row],[сумма]]*Таблица1[[#This Row],[коэф]])),
IF(OR(G16="4/16",G16="3/16"),((база!$L$5*Таблица1[[#This Row],[сумма]]*Таблица1[[#This Row],[коэф]])),
IF(OR(G16="2/4",G16="3/4",G16="4/4"),((база!$I$5*Таблица1[[#This Row],[сумма]]*Таблица1[[#This Row],[коэф]])),
IF((G16="5/8"),((база!$J$6*Таблица1[[#This Row],[сумма]]*Таблица1[[#This Row],[коэф]])),
IF(OR(G16="4/8",G16="3/8",G16="2/8"),((база!$J$5*Таблица1[[#This Row],[сумма]]*Таблица1[[#This Row],[коэф]])))))))))))</f>
        <v>0</v>
      </c>
      <c r="AP16" s="715" t="b">
        <f>IF(AR16&lt;=3,(IF((G16="5/24"),((база!$M$6*2*Таблица1[[#This Row],[Столбец1]]*Таблица1[[#This Row],[коэф]])),
IF((G16="4/24"),((база!$M$5*2*Таблица1[[#This Row],[Столбец1]]*Таблица1[[#This Row],[коэф]])),
IF((G16="3/24"),((база!$M$4*2*Таблица1[[#This Row],[Столбец1]]*Таблица1[[#This Row],[коэф]])),
IF((G16="5/16"),((база!$L$6*2*Таблица1[[#This Row],[Столбец1]]*Таблица1[[#This Row],[коэф]])),
IF((G16="4/16"),((база!$L$5*2*Таблица1[[#This Row],[Столбец1]]*Таблица1[[#This Row],[коэф]])),
IF((G16="3/16"),((база!$L$4*2*Таблица1[[#This Row],[Столбец1]]*Таблица1[[#This Row],[коэф]])),
IF((G16="4/4"),((база!$I$5*2*Таблица1[[#This Row],[Столбец1]]*Таблица1[[#This Row],[коэф]])),
IF(OR(G16="2/4",G16="3/4"),((база!$I$4*2*Таблица1[[#This Row],[Столбец1]]*Таблица1[[#This Row],[коэф]])),
IF((G16="5/8"),((база!$J$6*2*Таблица1[[#This Row],[Столбец1]]*Таблица1[[#This Row],[коэф]])),
IF((G16="4/8"),((база!$J$5*2*Таблица1[[#This Row],[Столбец1]]*Таблица1[[#This Row],[коэф]])),
IF(OR(G16="3/8",G16="2/8"),((база!$J$4*2*Таблица1[[#This Row],[Столбец1]]*Таблица1[[#This Row],[коэф]])))))))))))))),
(IF((G16="5/24"),((база!$M$6*2*Таблица1[[#This Row],[Столбец1]]*Таблица1[[#This Row],[коэф]])),
IF(OR(G16="4/24",G16="3/24"),((база!$M$5*2*Таблица1[[#This Row],[Столбец1]]*Таблица1[[#This Row],[коэф]])),
IF((G16="5/16"),((база!$L$6*2*Таблица1[[#This Row],[Столбец1]]*Таблица1[[#This Row],[коэф]])),
IF(OR(G16="4/16",G16="3/16"),((база!$L$5*2*Таблица1[[#This Row],[Столбец1]]*Таблица1[[#This Row],[коэф]])),
IF(OR(G16="2/4",G16="3/4",G16="4/4"),((база!$I$5*2*Таблица1[[#This Row],[Столбец1]]*Таблица1[[#This Row],[коэф]])),
IF((G16="5/8"),((база!$J$6*2*Таблица1[[#This Row],[Столбец1]]*Таблица1[[#This Row],[коэф]])),
IF(OR(G16="4/8",G16="3/8",G16="2/8"),((база!$J$5*2*Таблица1[[#This Row],[Столбец1]]*Таблица1[[#This Row],[коэф]])))))))))))</f>
        <v>0</v>
      </c>
      <c r="AQ16" s="697" t="str">
        <f>IFERROR(INDEX(база!T:T, MATCH(F16,база!Q:Q,0)),"")</f>
        <v/>
      </c>
      <c r="AR16" s="207">
        <f>IFERROR(INDEX(база!D:D, MATCH(F16,база!B:B,0)),"")</f>
        <v>0</v>
      </c>
    </row>
    <row r="17" spans="1:47" ht="15">
      <c r="A17" s="66" t="str">
        <f t="shared" si="0"/>
        <v>декабрь</v>
      </c>
      <c r="B17" s="230">
        <v>2023</v>
      </c>
      <c r="C17" s="60"/>
      <c r="D17" s="61"/>
      <c r="E17" s="210"/>
      <c r="F17" s="669"/>
      <c r="G17" s="47"/>
      <c r="H17" s="212"/>
      <c r="I17" s="212"/>
      <c r="J17" s="212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  <c r="AJ17" s="48"/>
      <c r="AK17" s="48"/>
      <c r="AL17" s="51"/>
      <c r="AM17" s="211">
        <f>IF(AQ17=1,SUM(H17:I17,L17:O17,R17:U17,X17:AA17,AD17:AG17,AI17:AK17),
IF(AQ17=2,SUM(H17:K17,N17:Q17,T17:W17,Z17:AC17,AF17:AI17),
IF(AQ17=3,SUM(J17:M17,P17:S17,V17:Y17,AB17:AE17,AH17:AK17),SUM(Таблица1[[#This Row],[1]:[31]])-Таблица1[[#This Row],[Столбец1]])))</f>
        <v>0</v>
      </c>
      <c r="AN17" s="290">
        <f t="array" ref="AN17">IF(AQ17=1,SUM(J17:K17,P17:Q17,V17:W17,AB17:AC17,AH17:AI17),
IF(AQ17=2,SUM(L17:M17,R17:S17,X17:Y17,AD17:AE17),
IF(AQ17=3,SUM(H17:I17,N17:O17,T17:U17,Z17:AA17,AF17:AG17),
SUM(IFERROR(WEEKDAY($H$2:$AL$2,2)&gt;5,)*H17:AL17))))</f>
        <v>0</v>
      </c>
      <c r="AO17" s="292" t="b">
        <f>IF(AR17&lt;=3,(IF((G17="5/24"),((база!$M$6*Таблица1[[#This Row],[сумма]]*Таблица1[[#This Row],[коэф]])),
IF((G17="4/24"),((база!$M$5*Таблица1[[#This Row],[сумма]]*Таблица1[[#This Row],[коэф]])),
IF((G17="3/24"),((база!$M$4*Таблица1[[#This Row],[сумма]]*Таблица1[[#This Row],[коэф]])),
IF((G17="5/16"),((база!$L$6*Таблица1[[#This Row],[сумма]]*Таблица1[[#This Row],[коэф]])),
IF((G17="4/16"),((база!$L$5*Таблица1[[#This Row],[сумма]]*Таблица1[[#This Row],[коэф]])),
IF((G17="3/16"),((база!$L$4*Таблица1[[#This Row],[сумма]]*Таблица1[[#This Row],[коэф]])),
IF((G17="4/4"),((база!$I$5*Таблица1[[#This Row],[сумма]]*Таблица1[[#This Row],[коэф]])),
IF(OR(G17="2/4",G17="3/4"),((база!$I$4*Таблица1[[#This Row],[сумма]]*Таблица1[[#This Row],[коэф]])),
IF((G17="5/8"),((база!$J$6*Таблица1[[#This Row],[сумма]]*Таблица1[[#This Row],[коэф]])),
IF((G17="4/8"),((база!$J$5*Таблица1[[#This Row],[сумма]]*Таблица1[[#This Row],[коэф]])),
IF(OR(G17="3/8",G17="2/8"),((база!$J$4*Таблица1[[#This Row],[сумма]]*Таблица1[[#This Row],[коэф]])))))))))))))),
(IF((G17="5/24"),((база!$M$6*Таблица1[[#This Row],[сумма]]*Таблица1[[#This Row],[коэф]])),
IF(OR(G17="4/24",G17="3/24"),((база!$M$5*Таблица1[[#This Row],[сумма]]*Таблица1[[#This Row],[коэф]])),
IF((G17="5/16"),((база!$L$6*Таблица1[[#This Row],[сумма]]*Таблица1[[#This Row],[коэф]])),
IF(OR(G17="4/16",G17="3/16"),((база!$L$5*Таблица1[[#This Row],[сумма]]*Таблица1[[#This Row],[коэф]])),
IF(OR(G17="2/4",G17="3/4",G17="4/4"),((база!$I$5*Таблица1[[#This Row],[сумма]]*Таблица1[[#This Row],[коэф]])),
IF((G17="5/8"),((база!$J$6*Таблица1[[#This Row],[сумма]]*Таблица1[[#This Row],[коэф]])),
IF(OR(G17="4/8",G17="3/8",G17="2/8"),((база!$J$5*Таблица1[[#This Row],[сумма]]*Таблица1[[#This Row],[коэф]])))))))))))</f>
        <v>0</v>
      </c>
      <c r="AP17" s="715" t="b">
        <f>IF(AR17&lt;=3,(IF((G17="5/24"),((база!$M$6*2*Таблица1[[#This Row],[Столбец1]]*Таблица1[[#This Row],[коэф]])),
IF((G17="4/24"),((база!$M$5*2*Таблица1[[#This Row],[Столбец1]]*Таблица1[[#This Row],[коэф]])),
IF((G17="3/24"),((база!$M$4*2*Таблица1[[#This Row],[Столбец1]]*Таблица1[[#This Row],[коэф]])),
IF((G17="5/16"),((база!$L$6*2*Таблица1[[#This Row],[Столбец1]]*Таблица1[[#This Row],[коэф]])),
IF((G17="4/16"),((база!$L$5*2*Таблица1[[#This Row],[Столбец1]]*Таблица1[[#This Row],[коэф]])),
IF((G17="3/16"),((база!$L$4*2*Таблица1[[#This Row],[Столбец1]]*Таблица1[[#This Row],[коэф]])),
IF((G17="4/4"),((база!$I$5*2*Таблица1[[#This Row],[Столбец1]]*Таблица1[[#This Row],[коэф]])),
IF(OR(G17="2/4",G17="3/4"),((база!$I$4*2*Таблица1[[#This Row],[Столбец1]]*Таблица1[[#This Row],[коэф]])),
IF((G17="5/8"),((база!$J$6*2*Таблица1[[#This Row],[Столбец1]]*Таблица1[[#This Row],[коэф]])),
IF((G17="4/8"),((база!$J$5*2*Таблица1[[#This Row],[Столбец1]]*Таблица1[[#This Row],[коэф]])),
IF(OR(G17="3/8",G17="2/8"),((база!$J$4*2*Таблица1[[#This Row],[Столбец1]]*Таблица1[[#This Row],[коэф]])))))))))))))),
(IF((G17="5/24"),((база!$M$6*2*Таблица1[[#This Row],[Столбец1]]*Таблица1[[#This Row],[коэф]])),
IF(OR(G17="4/24",G17="3/24"),((база!$M$5*2*Таблица1[[#This Row],[Столбец1]]*Таблица1[[#This Row],[коэф]])),
IF((G17="5/16"),((база!$L$6*2*Таблица1[[#This Row],[Столбец1]]*Таблица1[[#This Row],[коэф]])),
IF(OR(G17="4/16",G17="3/16"),((база!$L$5*2*Таблица1[[#This Row],[Столбец1]]*Таблица1[[#This Row],[коэф]])),
IF(OR(G17="2/4",G17="3/4",G17="4/4"),((база!$I$5*2*Таблица1[[#This Row],[Столбец1]]*Таблица1[[#This Row],[коэф]])),
IF((G17="5/8"),((база!$J$6*2*Таблица1[[#This Row],[Столбец1]]*Таблица1[[#This Row],[коэф]])),
IF(OR(G17="4/8",G17="3/8",G17="2/8"),((база!$J$5*2*Таблица1[[#This Row],[Столбец1]]*Таблица1[[#This Row],[коэф]])))))))))))</f>
        <v>0</v>
      </c>
      <c r="AQ17" s="697" t="str">
        <f>IFERROR(INDEX(база!T:T, MATCH(F17,база!Q:Q,0)),"")</f>
        <v/>
      </c>
      <c r="AR17" s="207">
        <f>IFERROR(INDEX(база!D:D, MATCH(F17,база!B:B,0)),"")</f>
        <v>0</v>
      </c>
    </row>
    <row r="18" spans="1:47" ht="15">
      <c r="A18" s="66" t="str">
        <f t="shared" si="0"/>
        <v>декабрь</v>
      </c>
      <c r="B18" s="230">
        <v>2023</v>
      </c>
      <c r="C18" s="60"/>
      <c r="D18" s="61"/>
      <c r="E18" s="210"/>
      <c r="F18" s="665"/>
      <c r="G18" s="47"/>
      <c r="H18" s="212"/>
      <c r="I18" s="48"/>
      <c r="J18" s="48"/>
      <c r="K18" s="49"/>
      <c r="L18" s="49"/>
      <c r="M18" s="49"/>
      <c r="N18" s="49"/>
      <c r="O18" s="49"/>
      <c r="P18" s="49"/>
      <c r="Q18" s="48"/>
      <c r="R18" s="48"/>
      <c r="S18" s="48"/>
      <c r="T18" s="48"/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  <c r="AJ18" s="48"/>
      <c r="AK18" s="48"/>
      <c r="AL18" s="51"/>
      <c r="AM18" s="211">
        <f>IF(AQ18=1,SUM(H18:I18,L18:O18,R18:U18,X18:AA18,AD18:AG18,AI18:AK18),
IF(AQ18=2,SUM(H18:K18,N18:Q18,T18:W18,Z18:AC18,AF18:AI18),
IF(AQ18=3,SUM(J18:M18,P18:S18,V18:Y18,AB18:AE18,AH18:AK18),SUM(Таблица1[[#This Row],[1]:[31]])-Таблица1[[#This Row],[Столбец1]])))</f>
        <v>0</v>
      </c>
      <c r="AN18" s="290">
        <f t="array" ref="AN18">IF(AQ18=1,SUM(J18:K18,P18:Q18,V18:W18,AB18:AC18,AH18:AI18),
IF(AQ18=2,SUM(L18:M18,R18:S18,X18:Y18,AD18:AE18),
IF(AQ18=3,SUM(H18:I18,N18:O18,T18:U18,Z18:AA18,AF18:AG18),
SUM(IFERROR(WEEKDAY($H$2:$AL$2,2)&gt;5,)*H18:AL18))))</f>
        <v>0</v>
      </c>
      <c r="AO18" s="292" t="b">
        <f>IF(AR18&lt;=3,(IF((G18="5/24"),((база!$M$6*Таблица1[[#This Row],[сумма]]*Таблица1[[#This Row],[коэф]])),
IF((G18="4/24"),((база!$M$5*Таблица1[[#This Row],[сумма]]*Таблица1[[#This Row],[коэф]])),
IF((G18="3/24"),((база!$M$4*Таблица1[[#This Row],[сумма]]*Таблица1[[#This Row],[коэф]])),
IF((G18="5/16"),((база!$L$6*Таблица1[[#This Row],[сумма]]*Таблица1[[#This Row],[коэф]])),
IF((G18="4/16"),((база!$L$5*Таблица1[[#This Row],[сумма]]*Таблица1[[#This Row],[коэф]])),
IF((G18="3/16"),((база!$L$4*Таблица1[[#This Row],[сумма]]*Таблица1[[#This Row],[коэф]])),
IF((G18="4/4"),((база!$I$5*Таблица1[[#This Row],[сумма]]*Таблица1[[#This Row],[коэф]])),
IF(OR(G18="2/4",G18="3/4"),((база!$I$4*Таблица1[[#This Row],[сумма]]*Таблица1[[#This Row],[коэф]])),
IF((G18="5/8"),((база!$J$6*Таблица1[[#This Row],[сумма]]*Таблица1[[#This Row],[коэф]])),
IF((G18="4/8"),((база!$J$5*Таблица1[[#This Row],[сумма]]*Таблица1[[#This Row],[коэф]])),
IF(OR(G18="3/8",G18="2/8"),((база!$J$4*Таблица1[[#This Row],[сумма]]*Таблица1[[#This Row],[коэф]])))))))))))))),
(IF((G18="5/24"),((база!$M$6*Таблица1[[#This Row],[сумма]]*Таблица1[[#This Row],[коэф]])),
IF(OR(G18="4/24",G18="3/24"),((база!$M$5*Таблица1[[#This Row],[сумма]]*Таблица1[[#This Row],[коэф]])),
IF((G18="5/16"),((база!$L$6*Таблица1[[#This Row],[сумма]]*Таблица1[[#This Row],[коэф]])),
IF(OR(G18="4/16",G18="3/16"),((база!$L$5*Таблица1[[#This Row],[сумма]]*Таблица1[[#This Row],[коэф]])),
IF(OR(G18="2/4",G18="3/4",G18="4/4"),((база!$I$5*Таблица1[[#This Row],[сумма]]*Таблица1[[#This Row],[коэф]])),
IF((G18="5/8"),((база!$J$6*Таблица1[[#This Row],[сумма]]*Таблица1[[#This Row],[коэф]])),
IF(OR(G18="4/8",G18="3/8",G18="2/8"),((база!$J$5*Таблица1[[#This Row],[сумма]]*Таблица1[[#This Row],[коэф]])))))))))))</f>
        <v>0</v>
      </c>
      <c r="AP18" s="715" t="b">
        <f>IF(AR18&lt;=3,(IF((G18="5/24"),((база!$M$6*2*Таблица1[[#This Row],[Столбец1]]*Таблица1[[#This Row],[коэф]])),
IF((G18="4/24"),((база!$M$5*2*Таблица1[[#This Row],[Столбец1]]*Таблица1[[#This Row],[коэф]])),
IF((G18="3/24"),((база!$M$4*2*Таблица1[[#This Row],[Столбец1]]*Таблица1[[#This Row],[коэф]])),
IF((G18="5/16"),((база!$L$6*2*Таблица1[[#This Row],[Столбец1]]*Таблица1[[#This Row],[коэф]])),
IF((G18="4/16"),((база!$L$5*2*Таблица1[[#This Row],[Столбец1]]*Таблица1[[#This Row],[коэф]])),
IF((G18="3/16"),((база!$L$4*2*Таблица1[[#This Row],[Столбец1]]*Таблица1[[#This Row],[коэф]])),
IF((G18="4/4"),((база!$I$5*2*Таблица1[[#This Row],[Столбец1]]*Таблица1[[#This Row],[коэф]])),
IF(OR(G18="2/4",G18="3/4"),((база!$I$4*2*Таблица1[[#This Row],[Столбец1]]*Таблица1[[#This Row],[коэф]])),
IF((G18="5/8"),((база!$J$6*2*Таблица1[[#This Row],[Столбец1]]*Таблица1[[#This Row],[коэф]])),
IF((G18="4/8"),((база!$J$5*2*Таблица1[[#This Row],[Столбец1]]*Таблица1[[#This Row],[коэф]])),
IF(OR(G18="3/8",G18="2/8"),((база!$J$4*2*Таблица1[[#This Row],[Столбец1]]*Таблица1[[#This Row],[коэф]])))))))))))))),
(IF((G18="5/24"),((база!$M$6*2*Таблица1[[#This Row],[Столбец1]]*Таблица1[[#This Row],[коэф]])),
IF(OR(G18="4/24",G18="3/24"),((база!$M$5*2*Таблица1[[#This Row],[Столбец1]]*Таблица1[[#This Row],[коэф]])),
IF((G18="5/16"),((база!$L$6*2*Таблица1[[#This Row],[Столбец1]]*Таблица1[[#This Row],[коэф]])),
IF(OR(G18="4/16",G18="3/16"),((база!$L$5*2*Таблица1[[#This Row],[Столбец1]]*Таблица1[[#This Row],[коэф]])),
IF(OR(G18="2/4",G18="3/4",G18="4/4"),((база!$I$5*2*Таблица1[[#This Row],[Столбец1]]*Таблица1[[#This Row],[коэф]])),
IF((G18="5/8"),((база!$J$6*2*Таблица1[[#This Row],[Столбец1]]*Таблица1[[#This Row],[коэф]])),
IF(OR(G18="4/8",G18="3/8",G18="2/8"),((база!$J$5*2*Таблица1[[#This Row],[Столбец1]]*Таблица1[[#This Row],[коэф]])))))))))))</f>
        <v>0</v>
      </c>
      <c r="AQ18" s="697" t="str">
        <f>IFERROR(INDEX(база!T:T, MATCH(F18,база!Q:Q,0)),"")</f>
        <v/>
      </c>
      <c r="AR18" s="207">
        <f>IFERROR(INDEX(база!D:D, MATCH(F18,база!B:B,0)),"")</f>
        <v>0</v>
      </c>
    </row>
    <row r="19" spans="1:47" ht="15">
      <c r="A19" s="66" t="str">
        <f t="shared" si="0"/>
        <v>декабрь</v>
      </c>
      <c r="B19" s="230">
        <v>2023</v>
      </c>
      <c r="C19" s="60"/>
      <c r="D19" s="61"/>
      <c r="E19" s="210"/>
      <c r="F19" s="665"/>
      <c r="G19" s="47"/>
      <c r="H19" s="212"/>
      <c r="I19" s="48"/>
      <c r="J19" s="48"/>
      <c r="K19" s="48"/>
      <c r="L19" s="48"/>
      <c r="M19" s="48"/>
      <c r="N19" s="49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  <c r="AF19" s="48"/>
      <c r="AG19" s="48"/>
      <c r="AH19" s="48"/>
      <c r="AI19" s="48"/>
      <c r="AJ19" s="48"/>
      <c r="AK19" s="48"/>
      <c r="AL19" s="51"/>
      <c r="AM19" s="211">
        <f>IF(AQ19=1,SUM(H19:I19,L19:O19,R19:U19,X19:AA19,AD19:AG19,AI19:AK19),
IF(AQ19=2,SUM(H19:K19,N19:Q19,T19:W19,Z19:AC19,AF19:AI19),
IF(AQ19=3,SUM(J19:M19,P19:S19,V19:Y19,AB19:AE19,AH19:AK19),SUM(Таблица1[[#This Row],[1]:[31]])-Таблица1[[#This Row],[Столбец1]])))</f>
        <v>0</v>
      </c>
      <c r="AN19" s="290">
        <f t="array" ref="AN19">IF(AQ19=1,SUM(J19:K19,P19:Q19,V19:W19,AB19:AC19,AH19:AI19),
IF(AQ19=2,SUM(L19:M19,R19:S19,X19:Y19,AD19:AE19),
IF(AQ19=3,SUM(H19:I19,N19:O19,T19:U19,Z19:AA19,AF19:AG19),
SUM(IFERROR(WEEKDAY($H$2:$AL$2,2)&gt;5,)*H19:AL19))))</f>
        <v>0</v>
      </c>
      <c r="AO19" s="292" t="b">
        <f>IF(AR19&lt;=3,(IF((G19="5/24"),((база!$M$6*Таблица1[[#This Row],[сумма]]*Таблица1[[#This Row],[коэф]])),
IF((G19="4/24"),((база!$M$5*Таблица1[[#This Row],[сумма]]*Таблица1[[#This Row],[коэф]])),
IF((G19="3/24"),((база!$M$4*Таблица1[[#This Row],[сумма]]*Таблица1[[#This Row],[коэф]])),
IF((G19="5/16"),((база!$L$6*Таблица1[[#This Row],[сумма]]*Таблица1[[#This Row],[коэф]])),
IF((G19="4/16"),((база!$L$5*Таблица1[[#This Row],[сумма]]*Таблица1[[#This Row],[коэф]])),
IF((G19="3/16"),((база!$L$4*Таблица1[[#This Row],[сумма]]*Таблица1[[#This Row],[коэф]])),
IF((G19="4/4"),((база!$I$5*Таблица1[[#This Row],[сумма]]*Таблица1[[#This Row],[коэф]])),
IF(OR(G19="2/4",G19="3/4"),((база!$I$4*Таблица1[[#This Row],[сумма]]*Таблица1[[#This Row],[коэф]])),
IF((G19="5/8"),((база!$J$6*Таблица1[[#This Row],[сумма]]*Таблица1[[#This Row],[коэф]])),
IF((G19="4/8"),((база!$J$5*Таблица1[[#This Row],[сумма]]*Таблица1[[#This Row],[коэф]])),
IF(OR(G19="3/8",G19="2/8"),((база!$J$4*Таблица1[[#This Row],[сумма]]*Таблица1[[#This Row],[коэф]])))))))))))))),
(IF((G19="5/24"),((база!$M$6*Таблица1[[#This Row],[сумма]]*Таблица1[[#This Row],[коэф]])),
IF(OR(G19="4/24",G19="3/24"),((база!$M$5*Таблица1[[#This Row],[сумма]]*Таблица1[[#This Row],[коэф]])),
IF((G19="5/16"),((база!$L$6*Таблица1[[#This Row],[сумма]]*Таблица1[[#This Row],[коэф]])),
IF(OR(G19="4/16",G19="3/16"),((база!$L$5*Таблица1[[#This Row],[сумма]]*Таблица1[[#This Row],[коэф]])),
IF(OR(G19="2/4",G19="3/4",G19="4/4"),((база!$I$5*Таблица1[[#This Row],[сумма]]*Таблица1[[#This Row],[коэф]])),
IF((G19="5/8"),((база!$J$6*Таблица1[[#This Row],[сумма]]*Таблица1[[#This Row],[коэф]])),
IF(OR(G19="4/8",G19="3/8",G19="2/8"),((база!$J$5*Таблица1[[#This Row],[сумма]]*Таблица1[[#This Row],[коэф]])))))))))))</f>
        <v>0</v>
      </c>
      <c r="AP19" s="715" t="b">
        <f>IF(AR19&lt;=3,(IF((G19="5/24"),((база!$M$6*2*Таблица1[[#This Row],[Столбец1]]*Таблица1[[#This Row],[коэф]])),
IF((G19="4/24"),((база!$M$5*2*Таблица1[[#This Row],[Столбец1]]*Таблица1[[#This Row],[коэф]])),
IF((G19="3/24"),((база!$M$4*2*Таблица1[[#This Row],[Столбец1]]*Таблица1[[#This Row],[коэф]])),
IF((G19="5/16"),((база!$L$6*2*Таблица1[[#This Row],[Столбец1]]*Таблица1[[#This Row],[коэф]])),
IF((G19="4/16"),((база!$L$5*2*Таблица1[[#This Row],[Столбец1]]*Таблица1[[#This Row],[коэф]])),
IF((G19="3/16"),((база!$L$4*2*Таблица1[[#This Row],[Столбец1]]*Таблица1[[#This Row],[коэф]])),
IF((G19="4/4"),((база!$I$5*2*Таблица1[[#This Row],[Столбец1]]*Таблица1[[#This Row],[коэф]])),
IF(OR(G19="2/4",G19="3/4"),((база!$I$4*2*Таблица1[[#This Row],[Столбец1]]*Таблица1[[#This Row],[коэф]])),
IF((G19="5/8"),((база!$J$6*2*Таблица1[[#This Row],[Столбец1]]*Таблица1[[#This Row],[коэф]])),
IF((G19="4/8"),((база!$J$5*2*Таблица1[[#This Row],[Столбец1]]*Таблица1[[#This Row],[коэф]])),
IF(OR(G19="3/8",G19="2/8"),((база!$J$4*2*Таблица1[[#This Row],[Столбец1]]*Таблица1[[#This Row],[коэф]])))))))))))))),
(IF((G19="5/24"),((база!$M$6*2*Таблица1[[#This Row],[Столбец1]]*Таблица1[[#This Row],[коэф]])),
IF(OR(G19="4/24",G19="3/24"),((база!$M$5*2*Таблица1[[#This Row],[Столбец1]]*Таблица1[[#This Row],[коэф]])),
IF((G19="5/16"),((база!$L$6*2*Таблица1[[#This Row],[Столбец1]]*Таблица1[[#This Row],[коэф]])),
IF(OR(G19="4/16",G19="3/16"),((база!$L$5*2*Таблица1[[#This Row],[Столбец1]]*Таблица1[[#This Row],[коэф]])),
IF(OR(G19="2/4",G19="3/4",G19="4/4"),((база!$I$5*2*Таблица1[[#This Row],[Столбец1]]*Таблица1[[#This Row],[коэф]])),
IF((G19="5/8"),((база!$J$6*2*Таблица1[[#This Row],[Столбец1]]*Таблица1[[#This Row],[коэф]])),
IF(OR(G19="4/8",G19="3/8",G19="2/8"),((база!$J$5*2*Таблица1[[#This Row],[Столбец1]]*Таблица1[[#This Row],[коэф]])))))))))))</f>
        <v>0</v>
      </c>
      <c r="AQ19" s="697" t="str">
        <f>IFERROR(INDEX(база!T:T, MATCH(F21,база!Q:Q,0)),"")</f>
        <v/>
      </c>
      <c r="AR19" s="207">
        <f>IFERROR(INDEX(база!D:D, MATCH(F19,база!B:B,0)),"")</f>
        <v>0</v>
      </c>
    </row>
    <row r="20" spans="1:47" s="46" customFormat="1" ht="15">
      <c r="A20" s="66" t="str">
        <f t="shared" si="0"/>
        <v>декабрь</v>
      </c>
      <c r="B20" s="230">
        <v>2023</v>
      </c>
      <c r="C20" s="60"/>
      <c r="D20" s="61"/>
      <c r="E20" s="210"/>
      <c r="F20" s="665"/>
      <c r="G20" s="47"/>
      <c r="H20" s="212"/>
      <c r="I20" s="48"/>
      <c r="J20" s="48"/>
      <c r="K20" s="48"/>
      <c r="L20" s="48"/>
      <c r="M20" s="48"/>
      <c r="N20" s="49"/>
      <c r="O20" s="49"/>
      <c r="P20" s="49"/>
      <c r="Q20" s="49"/>
      <c r="R20" s="48"/>
      <c r="S20" s="48"/>
      <c r="T20" s="48"/>
      <c r="U20" s="48"/>
      <c r="V20" s="48"/>
      <c r="W20" s="48"/>
      <c r="X20" s="48"/>
      <c r="Y20" s="48"/>
      <c r="Z20" s="48"/>
      <c r="AA20" s="48"/>
      <c r="AB20" s="48"/>
      <c r="AC20" s="48"/>
      <c r="AD20" s="48"/>
      <c r="AE20" s="48"/>
      <c r="AF20" s="51"/>
      <c r="AG20" s="48"/>
      <c r="AH20" s="48"/>
      <c r="AI20" s="51"/>
      <c r="AJ20" s="51"/>
      <c r="AK20" s="51"/>
      <c r="AL20" s="51"/>
      <c r="AM20" s="211">
        <f>IF(AQ20=1,SUM(H20:I20,L20:O20,R20:U20,X20:AA20,AD20:AG20,AI20:AK20),
IF(AQ20=2,SUM(H20:K20,N20:Q20,T20:W20,Z20:AC20,AF20:AI20),
IF(AQ20=3,SUM(J20:M20,P20:S20,V20:Y20,AB20:AE20,AH20:AK20),SUM(Таблица1[[#This Row],[1]:[31]])-Таблица1[[#This Row],[Столбец1]])))</f>
        <v>0</v>
      </c>
      <c r="AN20" s="290">
        <f t="array" ref="AN20">IF(AQ20=1,SUM(J20:K20,P20:Q20,V20:W20,AB20:AC20,AH20:AI20),
IF(AQ20=2,SUM(L20:M20,R20:S20,X20:Y20,AD20:AE20),
IF(AQ20=3,SUM(H20:I20,N20:O20,T20:U20,Z20:AA20,AF20:AG20),
SUM(IFERROR(WEEKDAY($H$2:$AL$2,2)&gt;5,)*H20:AL20))))</f>
        <v>0</v>
      </c>
      <c r="AO20" s="292" t="b">
        <f>IF(AR20&lt;=3,(IF((G20="5/24"),((база!$M$6*Таблица1[[#This Row],[сумма]]*Таблица1[[#This Row],[коэф]])),
IF((G20="4/24"),((база!$M$5*Таблица1[[#This Row],[сумма]]*Таблица1[[#This Row],[коэф]])),
IF((G20="3/24"),((база!$M$4*Таблица1[[#This Row],[сумма]]*Таблица1[[#This Row],[коэф]])),
IF((G20="5/16"),((база!$L$6*Таблица1[[#This Row],[сумма]]*Таблица1[[#This Row],[коэф]])),
IF((G20="4/16"),((база!$L$5*Таблица1[[#This Row],[сумма]]*Таблица1[[#This Row],[коэф]])),
IF((G20="3/16"),((база!$L$4*Таблица1[[#This Row],[сумма]]*Таблица1[[#This Row],[коэф]])),
IF((G20="4/4"),((база!$I$5*Таблица1[[#This Row],[сумма]]*Таблица1[[#This Row],[коэф]])),
IF(OR(G20="2/4",G20="3/4"),((база!$I$4*Таблица1[[#This Row],[сумма]]*Таблица1[[#This Row],[коэф]])),
IF((G20="5/8"),((база!$J$6*Таблица1[[#This Row],[сумма]]*Таблица1[[#This Row],[коэф]])),
IF((G20="4/8"),((база!$J$5*Таблица1[[#This Row],[сумма]]*Таблица1[[#This Row],[коэф]])),
IF(OR(G20="3/8",G20="2/8"),((база!$J$4*Таблица1[[#This Row],[сумма]]*Таблица1[[#This Row],[коэф]])))))))))))))),
(IF((G20="5/24"),((база!$M$6*Таблица1[[#This Row],[сумма]]*Таблица1[[#This Row],[коэф]])),
IF(OR(G20="4/24",G20="3/24"),((база!$M$5*Таблица1[[#This Row],[сумма]]*Таблица1[[#This Row],[коэф]])),
IF((G20="5/16"),((база!$L$6*Таблица1[[#This Row],[сумма]]*Таблица1[[#This Row],[коэф]])),
IF(OR(G20="4/16",G20="3/16"),((база!$L$5*Таблица1[[#This Row],[сумма]]*Таблица1[[#This Row],[коэф]])),
IF(OR(G20="2/4",G20="3/4",G20="4/4"),((база!$I$5*Таблица1[[#This Row],[сумма]]*Таблица1[[#This Row],[коэф]])),
IF((G20="5/8"),((база!$J$6*Таблица1[[#This Row],[сумма]]*Таблица1[[#This Row],[коэф]])),
IF(OR(G20="4/8",G20="3/8",G20="2/8"),((база!$J$5*Таблица1[[#This Row],[сумма]]*Таблица1[[#This Row],[коэф]])))))))))))</f>
        <v>0</v>
      </c>
      <c r="AP20" s="715" t="b">
        <f>IF(AR20&lt;=3,(IF((G20="5/24"),((база!$M$6*2*Таблица1[[#This Row],[Столбец1]]*Таблица1[[#This Row],[коэф]])),
IF((G20="4/24"),((база!$M$5*2*Таблица1[[#This Row],[Столбец1]]*Таблица1[[#This Row],[коэф]])),
IF((G20="3/24"),((база!$M$4*2*Таблица1[[#This Row],[Столбец1]]*Таблица1[[#This Row],[коэф]])),
IF((G20="5/16"),((база!$L$6*2*Таблица1[[#This Row],[Столбец1]]*Таблица1[[#This Row],[коэф]])),
IF((G20="4/16"),((база!$L$5*2*Таблица1[[#This Row],[Столбец1]]*Таблица1[[#This Row],[коэф]])),
IF((G20="3/16"),((база!$L$4*2*Таблица1[[#This Row],[Столбец1]]*Таблица1[[#This Row],[коэф]])),
IF((G20="4/4"),((база!$I$5*2*Таблица1[[#This Row],[Столбец1]]*Таблица1[[#This Row],[коэф]])),
IF(OR(G20="2/4",G20="3/4"),((база!$I$4*2*Таблица1[[#This Row],[Столбец1]]*Таблица1[[#This Row],[коэф]])),
IF((G20="5/8"),((база!$J$6*2*Таблица1[[#This Row],[Столбец1]]*Таблица1[[#This Row],[коэф]])),
IF((G20="4/8"),((база!$J$5*2*Таблица1[[#This Row],[Столбец1]]*Таблица1[[#This Row],[коэф]])),
IF(OR(G20="3/8",G20="2/8"),((база!$J$4*2*Таблица1[[#This Row],[Столбец1]]*Таблица1[[#This Row],[коэф]])))))))))))))),
(IF((G20="5/24"),((база!$M$6*2*Таблица1[[#This Row],[Столбец1]]*Таблица1[[#This Row],[коэф]])),
IF(OR(G20="4/24",G20="3/24"),((база!$M$5*2*Таблица1[[#This Row],[Столбец1]]*Таблица1[[#This Row],[коэф]])),
IF((G20="5/16"),((база!$L$6*2*Таблица1[[#This Row],[Столбец1]]*Таблица1[[#This Row],[коэф]])),
IF(OR(G20="4/16",G20="3/16"),((база!$L$5*2*Таблица1[[#This Row],[Столбец1]]*Таблица1[[#This Row],[коэф]])),
IF(OR(G20="2/4",G20="3/4",G20="4/4"),((база!$I$5*2*Таблица1[[#This Row],[Столбец1]]*Таблица1[[#This Row],[коэф]])),
IF((G20="5/8"),((база!$J$6*2*Таблица1[[#This Row],[Столбец1]]*Таблица1[[#This Row],[коэф]])),
IF(OR(G20="4/8",G20="3/8",G20="2/8"),((база!$J$5*2*Таблица1[[#This Row],[Столбец1]]*Таблица1[[#This Row],[коэф]])))))))))))</f>
        <v>0</v>
      </c>
      <c r="AQ20" s="697" t="str">
        <f>IFERROR(INDEX(база!T:T, MATCH(F20,база!Q:Q,0)),"")</f>
        <v/>
      </c>
      <c r="AR20" s="207">
        <f>IFERROR(INDEX(база!D:D, MATCH(F20,база!B:B,0)),"")</f>
        <v>0</v>
      </c>
    </row>
    <row r="21" spans="1:47" ht="15">
      <c r="A21" s="66" t="str">
        <f t="shared" si="0"/>
        <v>декабрь</v>
      </c>
      <c r="B21" s="230">
        <v>2023</v>
      </c>
      <c r="C21" s="60"/>
      <c r="D21" s="61"/>
      <c r="E21" s="210"/>
      <c r="F21" s="665"/>
      <c r="G21" s="47"/>
      <c r="H21" s="212"/>
      <c r="I21" s="212"/>
      <c r="J21" s="212"/>
      <c r="K21" s="48"/>
      <c r="L21" s="48"/>
      <c r="M21" s="48"/>
      <c r="N21" s="49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  <c r="AF21" s="51"/>
      <c r="AG21" s="51"/>
      <c r="AH21" s="51"/>
      <c r="AI21" s="51"/>
      <c r="AJ21" s="51"/>
      <c r="AK21" s="51"/>
      <c r="AL21" s="51"/>
      <c r="AM21" s="211">
        <f>IF(AQ21=1,SUM(H21:I21,L21:O21,R21:U21,X21:AA21,AD21:AG21,AI21:AK21),
IF(AQ21=2,SUM(H21:K21,N21:Q21,T21:W21,Z21:AC21,AF21:AI21),
IF(AQ21=3,SUM(J21:M21,P21:S21,V21:Y21,AB21:AE21,AH21:AK21),SUM(Таблица1[[#This Row],[1]:[31]])-Таблица1[[#This Row],[Столбец1]])))</f>
        <v>0</v>
      </c>
      <c r="AN21" s="290">
        <f t="array" ref="AN21">IF(AQ21=1,SUM(J21:K21,P21:Q21,V21:W21,AB21:AC21,AH21:AI21),
IF(AQ21=2,SUM(L21:M21,R21:S21,X21:Y21,AD21:AE21),
IF(AQ21=3,SUM(H21:I21,N21:O21,T21:U21,Z21:AA21,AF21:AG21),
SUM(IFERROR(WEEKDAY($H$2:$AL$2,2)&gt;5,)*H21:AL21))))</f>
        <v>0</v>
      </c>
      <c r="AO21" s="292" t="b">
        <f>IF(AR21&lt;=3,(IF((G21="5/24"),((база!$M$6*Таблица1[[#This Row],[сумма]]*Таблица1[[#This Row],[коэф]])),
IF((G21="4/24"),((база!$M$5*Таблица1[[#This Row],[сумма]]*Таблица1[[#This Row],[коэф]])),
IF((G21="3/24"),((база!$M$4*Таблица1[[#This Row],[сумма]]*Таблица1[[#This Row],[коэф]])),
IF((G21="5/16"),((база!$L$6*Таблица1[[#This Row],[сумма]]*Таблица1[[#This Row],[коэф]])),
IF((G21="4/16"),((база!$L$5*Таблица1[[#This Row],[сумма]]*Таблица1[[#This Row],[коэф]])),
IF((G21="3/16"),((база!$L$4*Таблица1[[#This Row],[сумма]]*Таблица1[[#This Row],[коэф]])),
IF((G21="4/4"),((база!$I$5*Таблица1[[#This Row],[сумма]]*Таблица1[[#This Row],[коэф]])),
IF(OR(G21="2/4",G21="3/4"),((база!$I$4*Таблица1[[#This Row],[сумма]]*Таблица1[[#This Row],[коэф]])),
IF((G21="5/8"),((база!$J$6*Таблица1[[#This Row],[сумма]]*Таблица1[[#This Row],[коэф]])),
IF((G21="4/8"),((база!$J$5*Таблица1[[#This Row],[сумма]]*Таблица1[[#This Row],[коэф]])),
IF(OR(G21="3/8",G21="2/8"),((база!$J$4*Таблица1[[#This Row],[сумма]]*Таблица1[[#This Row],[коэф]])))))))))))))),
(IF((G21="5/24"),((база!$M$6*Таблица1[[#This Row],[сумма]]*Таблица1[[#This Row],[коэф]])),
IF(OR(G21="4/24",G21="3/24"),((база!$M$5*Таблица1[[#This Row],[сумма]]*Таблица1[[#This Row],[коэф]])),
IF((G21="5/16"),((база!$L$6*Таблица1[[#This Row],[сумма]]*Таблица1[[#This Row],[коэф]])),
IF(OR(G21="4/16",G21="3/16"),((база!$L$5*Таблица1[[#This Row],[сумма]]*Таблица1[[#This Row],[коэф]])),
IF(OR(G21="2/4",G21="3/4",G21="4/4"),((база!$I$5*Таблица1[[#This Row],[сумма]]*Таблица1[[#This Row],[коэф]])),
IF((G21="5/8"),((база!$J$6*Таблица1[[#This Row],[сумма]]*Таблица1[[#This Row],[коэф]])),
IF(OR(G21="4/8",G21="3/8",G21="2/8"),((база!$J$5*Таблица1[[#This Row],[сумма]]*Таблица1[[#This Row],[коэф]])))))))))))</f>
        <v>0</v>
      </c>
      <c r="AP21" s="715" t="b">
        <f>IF(AR21&lt;=3,(IF((G21="5/24"),((база!$M$6*2*Таблица1[[#This Row],[Столбец1]]*Таблица1[[#This Row],[коэф]])),
IF((G21="4/24"),((база!$M$5*2*Таблица1[[#This Row],[Столбец1]]*Таблица1[[#This Row],[коэф]])),
IF((G21="3/24"),((база!$M$4*2*Таблица1[[#This Row],[Столбец1]]*Таблица1[[#This Row],[коэф]])),
IF((G21="5/16"),((база!$L$6*2*Таблица1[[#This Row],[Столбец1]]*Таблица1[[#This Row],[коэф]])),
IF((G21="4/16"),((база!$L$5*2*Таблица1[[#This Row],[Столбец1]]*Таблица1[[#This Row],[коэф]])),
IF((G21="3/16"),((база!$L$4*2*Таблица1[[#This Row],[Столбец1]]*Таблица1[[#This Row],[коэф]])),
IF((G21="4/4"),((база!$I$5*2*Таблица1[[#This Row],[Столбец1]]*Таблица1[[#This Row],[коэф]])),
IF(OR(G21="2/4",G21="3/4"),((база!$I$4*2*Таблица1[[#This Row],[Столбец1]]*Таблица1[[#This Row],[коэф]])),
IF((G21="5/8"),((база!$J$6*2*Таблица1[[#This Row],[Столбец1]]*Таблица1[[#This Row],[коэф]])),
IF((G21="4/8"),((база!$J$5*2*Таблица1[[#This Row],[Столбец1]]*Таблица1[[#This Row],[коэф]])),
IF(OR(G21="3/8",G21="2/8"),((база!$J$4*2*Таблица1[[#This Row],[Столбец1]]*Таблица1[[#This Row],[коэф]])))))))))))))),
(IF((G21="5/24"),((база!$M$6*2*Таблица1[[#This Row],[Столбец1]]*Таблица1[[#This Row],[коэф]])),
IF(OR(G21="4/24",G21="3/24"),((база!$M$5*2*Таблица1[[#This Row],[Столбец1]]*Таблица1[[#This Row],[коэф]])),
IF((G21="5/16"),((база!$L$6*2*Таблица1[[#This Row],[Столбец1]]*Таблица1[[#This Row],[коэф]])),
IF(OR(G21="4/16",G21="3/16"),((база!$L$5*2*Таблица1[[#This Row],[Столбец1]]*Таблица1[[#This Row],[коэф]])),
IF(OR(G21="2/4",G21="3/4",G21="4/4"),((база!$I$5*2*Таблица1[[#This Row],[Столбец1]]*Таблица1[[#This Row],[коэф]])),
IF((G21="5/8"),((база!$J$6*2*Таблица1[[#This Row],[Столбец1]]*Таблица1[[#This Row],[коэф]])),
IF(OR(G21="4/8",G21="3/8",G21="2/8"),((база!$J$5*2*Таблица1[[#This Row],[Столбец1]]*Таблица1[[#This Row],[коэф]])))))))))))</f>
        <v>0</v>
      </c>
      <c r="AQ21" s="697" t="str">
        <f>IFERROR(INDEX(база!T:T, MATCH(#REF!,база!Q:Q,0)),"")</f>
        <v/>
      </c>
      <c r="AR21" s="207">
        <f>IFERROR(INDEX(база!D:D, MATCH(F21,база!B:B,0)),"")</f>
        <v>0</v>
      </c>
    </row>
    <row r="22" spans="1:47" ht="15.75" customHeight="1">
      <c r="A22" s="66" t="str">
        <f t="shared" si="0"/>
        <v>декабрь</v>
      </c>
      <c r="B22" s="230">
        <v>2023</v>
      </c>
      <c r="C22" s="60"/>
      <c r="D22" s="61"/>
      <c r="E22" s="210"/>
      <c r="F22" s="665"/>
      <c r="G22" s="47"/>
      <c r="H22" s="212"/>
      <c r="I22" s="212"/>
      <c r="J22" s="212"/>
      <c r="K22" s="48"/>
      <c r="L22" s="48"/>
      <c r="M22" s="48"/>
      <c r="N22" s="49"/>
      <c r="O22" s="49"/>
      <c r="P22" s="49"/>
      <c r="Q22" s="49"/>
      <c r="R22" s="48"/>
      <c r="S22" s="48"/>
      <c r="T22" s="48"/>
      <c r="U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51"/>
      <c r="AG22" s="51"/>
      <c r="AH22" s="51"/>
      <c r="AI22" s="51"/>
      <c r="AJ22" s="51"/>
      <c r="AK22" s="51"/>
      <c r="AL22" s="51"/>
      <c r="AM22" s="211">
        <f>IF(AQ22=1,SUM(H22:I22,L22:O22,R22:U22,X22:AA22,AD22:AG22,AI22:AK22),
IF(AQ22=2,SUM(H22:K22,N22:Q22,T22:W22,Z22:AC22,AF22:AI22),
IF(AQ22=3,SUM(J22:M22,P22:S22,V22:Y22,AB22:AE22,AH22:AK22),SUM(Таблица1[[#This Row],[1]:[31]])-Таблица1[[#This Row],[Столбец1]])))</f>
        <v>0</v>
      </c>
      <c r="AN22" s="290">
        <f t="array" ref="AN22">IF(AQ22=1,SUM(J22:K22,P22:Q22,V22:W22,AB22:AC22,AH22:AI22),
IF(AQ22=2,SUM(L22:M22,R22:S22,X22:Y22,AD22:AE22),
IF(AQ22=3,SUM(H22:I22,N22:O22,T22:U22,Z22:AA22,AF22:AG22),
SUM(IFERROR(WEEKDAY($H$2:$AL$2,2)&gt;5,)*H22:AL22))))</f>
        <v>0</v>
      </c>
      <c r="AO22" s="292" t="b">
        <f>IF(AR22&lt;=3,(IF((G22="5/24"),((база!$M$6*Таблица1[[#This Row],[сумма]]*Таблица1[[#This Row],[коэф]])),
IF((G22="4/24"),((база!$M$5*Таблица1[[#This Row],[сумма]]*Таблица1[[#This Row],[коэф]])),
IF((G22="3/24"),((база!$M$4*Таблица1[[#This Row],[сумма]]*Таблица1[[#This Row],[коэф]])),
IF((G22="5/16"),((база!$L$6*Таблица1[[#This Row],[сумма]]*Таблица1[[#This Row],[коэф]])),
IF((G22="4/16"),((база!$L$5*Таблица1[[#This Row],[сумма]]*Таблица1[[#This Row],[коэф]])),
IF((G22="3/16"),((база!$L$4*Таблица1[[#This Row],[сумма]]*Таблица1[[#This Row],[коэф]])),
IF((G22="4/4"),((база!$I$5*Таблица1[[#This Row],[сумма]]*Таблица1[[#This Row],[коэф]])),
IF(OR(G22="2/4",G22="3/4"),((база!$I$4*Таблица1[[#This Row],[сумма]]*Таблица1[[#This Row],[коэф]])),
IF((G22="5/8"),((база!$J$6*Таблица1[[#This Row],[сумма]]*Таблица1[[#This Row],[коэф]])),
IF((G22="4/8"),((база!$J$5*Таблица1[[#This Row],[сумма]]*Таблица1[[#This Row],[коэф]])),
IF(OR(G22="3/8",G22="2/8"),((база!$J$4*Таблица1[[#This Row],[сумма]]*Таблица1[[#This Row],[коэф]])))))))))))))),
(IF((G22="5/24"),((база!$M$6*Таблица1[[#This Row],[сумма]]*Таблица1[[#This Row],[коэф]])),
IF(OR(G22="4/24",G22="3/24"),((база!$M$5*Таблица1[[#This Row],[сумма]]*Таблица1[[#This Row],[коэф]])),
IF((G22="5/16"),((база!$L$6*Таблица1[[#This Row],[сумма]]*Таблица1[[#This Row],[коэф]])),
IF(OR(G22="4/16",G22="3/16"),((база!$L$5*Таблица1[[#This Row],[сумма]]*Таблица1[[#This Row],[коэф]])),
IF(OR(G22="2/4",G22="3/4",G22="4/4"),((база!$I$5*Таблица1[[#This Row],[сумма]]*Таблица1[[#This Row],[коэф]])),
IF((G22="5/8"),((база!$J$6*Таблица1[[#This Row],[сумма]]*Таблица1[[#This Row],[коэф]])),
IF(OR(G22="4/8",G22="3/8",G22="2/8"),((база!$J$5*Таблица1[[#This Row],[сумма]]*Таблица1[[#This Row],[коэф]])))))))))))</f>
        <v>0</v>
      </c>
      <c r="AP22" s="715" t="b">
        <f>IF(AR22&lt;=3,(IF((G22="5/24"),((база!$M$6*2*Таблица1[[#This Row],[Столбец1]]*Таблица1[[#This Row],[коэф]])),
IF((G22="4/24"),((база!$M$5*2*Таблица1[[#This Row],[Столбец1]]*Таблица1[[#This Row],[коэф]])),
IF((G22="3/24"),((база!$M$4*2*Таблица1[[#This Row],[Столбец1]]*Таблица1[[#This Row],[коэф]])),
IF((G22="5/16"),((база!$L$6*2*Таблица1[[#This Row],[Столбец1]]*Таблица1[[#This Row],[коэф]])),
IF((G22="4/16"),((база!$L$5*2*Таблица1[[#This Row],[Столбец1]]*Таблица1[[#This Row],[коэф]])),
IF((G22="3/16"),((база!$L$4*2*Таблица1[[#This Row],[Столбец1]]*Таблица1[[#This Row],[коэф]])),
IF((G22="4/4"),((база!$I$5*2*Таблица1[[#This Row],[Столбец1]]*Таблица1[[#This Row],[коэф]])),
IF(OR(G22="2/4",G22="3/4"),((база!$I$4*2*Таблица1[[#This Row],[Столбец1]]*Таблица1[[#This Row],[коэф]])),
IF((G22="5/8"),((база!$J$6*2*Таблица1[[#This Row],[Столбец1]]*Таблица1[[#This Row],[коэф]])),
IF((G22="4/8"),((база!$J$5*2*Таблица1[[#This Row],[Столбец1]]*Таблица1[[#This Row],[коэф]])),
IF(OR(G22="3/8",G22="2/8"),((база!$J$4*2*Таблица1[[#This Row],[Столбец1]]*Таблица1[[#This Row],[коэф]])))))))))))))),
(IF((G22="5/24"),((база!$M$6*2*Таблица1[[#This Row],[Столбец1]]*Таблица1[[#This Row],[коэф]])),
IF(OR(G22="4/24",G22="3/24"),((база!$M$5*2*Таблица1[[#This Row],[Столбец1]]*Таблица1[[#This Row],[коэф]])),
IF((G22="5/16"),((база!$L$6*2*Таблица1[[#This Row],[Столбец1]]*Таблица1[[#This Row],[коэф]])),
IF(OR(G22="4/16",G22="3/16"),((база!$L$5*2*Таблица1[[#This Row],[Столбец1]]*Таблица1[[#This Row],[коэф]])),
IF(OR(G22="2/4",G22="3/4",G22="4/4"),((база!$I$5*2*Таблица1[[#This Row],[Столбец1]]*Таблица1[[#This Row],[коэф]])),
IF((G22="5/8"),((база!$J$6*2*Таблица1[[#This Row],[Столбец1]]*Таблица1[[#This Row],[коэф]])),
IF(OR(G22="4/8",G22="3/8",G22="2/8"),((база!$J$5*2*Таблица1[[#This Row],[Столбец1]]*Таблица1[[#This Row],[коэф]])))))))))))</f>
        <v>0</v>
      </c>
      <c r="AQ22" s="697" t="str">
        <f>IFERROR(INDEX(база!T:T, MATCH(F22,база!Q:Q,0)),"")</f>
        <v/>
      </c>
      <c r="AR22" s="207">
        <f>IFERROR(INDEX(база!D:D, MATCH(F22,база!B:B,0)),"")</f>
        <v>0</v>
      </c>
    </row>
    <row r="23" spans="1:47" s="46" customFormat="1" ht="15">
      <c r="A23" s="66" t="str">
        <f t="shared" si="0"/>
        <v>декабрь</v>
      </c>
      <c r="B23" s="230">
        <v>2023</v>
      </c>
      <c r="C23" s="60"/>
      <c r="D23" s="61"/>
      <c r="E23" s="210"/>
      <c r="F23" s="665"/>
      <c r="G23" s="47"/>
      <c r="H23" s="212"/>
      <c r="I23" s="48"/>
      <c r="J23" s="48"/>
      <c r="K23" s="48"/>
      <c r="L23" s="48"/>
      <c r="M23" s="48"/>
      <c r="N23" s="49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  <c r="AF23" s="48"/>
      <c r="AG23" s="48"/>
      <c r="AH23" s="48"/>
      <c r="AI23" s="48"/>
      <c r="AJ23" s="48"/>
      <c r="AK23" s="48"/>
      <c r="AL23" s="51"/>
      <c r="AM23" s="211">
        <f>IF(AQ23=1,SUM(H23:I23,L23:O23,R23:U23,X23:AA23,AD23:AG23,AI23:AK23),
IF(AQ23=2,SUM(H23:K23,N23:Q23,T23:W23,Z23:AC23,AF23:AI23),
IF(AQ23=3,SUM(J23:M23,P23:S23,V23:Y23,AB23:AE23,AH23:AK23),SUM(Таблица1[[#This Row],[1]:[31]])-Таблица1[[#This Row],[Столбец1]])))</f>
        <v>0</v>
      </c>
      <c r="AN23" s="290">
        <f t="array" ref="AN23">IF(AQ23=1,SUM(J23:K23,P23:Q23,V23:W23,AB23:AC23,AH23:AI23),
IF(AQ23=2,SUM(L23:M23,R23:S23,X23:Y23,AD23:AE23),
IF(AQ23=3,SUM(H23:I23,N23:O23,T23:U23,Z23:AA23,AF23:AG23),
SUM(IFERROR(WEEKDAY($H$2:$AL$2,2)&gt;5,)*H23:AL23))))</f>
        <v>0</v>
      </c>
      <c r="AO23" s="292" t="b">
        <f>IF(AR23&lt;=3,(IF((G23="5/24"),((база!$M$6*Таблица1[[#This Row],[сумма]]*Таблица1[[#This Row],[коэф]])),
IF((G23="4/24"),((база!$M$5*Таблица1[[#This Row],[сумма]]*Таблица1[[#This Row],[коэф]])),
IF((G23="3/24"),((база!$M$4*Таблица1[[#This Row],[сумма]]*Таблица1[[#This Row],[коэф]])),
IF((G23="5/16"),((база!$L$6*Таблица1[[#This Row],[сумма]]*Таблица1[[#This Row],[коэф]])),
IF((G23="4/16"),((база!$L$5*Таблица1[[#This Row],[сумма]]*Таблица1[[#This Row],[коэф]])),
IF((G23="3/16"),((база!$L$4*Таблица1[[#This Row],[сумма]]*Таблица1[[#This Row],[коэф]])),
IF((G23="4/4"),((база!$I$5*Таблица1[[#This Row],[сумма]]*Таблица1[[#This Row],[коэф]])),
IF(OR(G23="2/4",G23="3/4"),((база!$I$4*Таблица1[[#This Row],[сумма]]*Таблица1[[#This Row],[коэф]])),
IF((G23="5/8"),((база!$J$6*Таблица1[[#This Row],[сумма]]*Таблица1[[#This Row],[коэф]])),
IF((G23="4/8"),((база!$J$5*Таблица1[[#This Row],[сумма]]*Таблица1[[#This Row],[коэф]])),
IF(OR(G23="3/8",G23="2/8"),((база!$J$4*Таблица1[[#This Row],[сумма]]*Таблица1[[#This Row],[коэф]])))))))))))))),
(IF((G23="5/24"),((база!$M$6*Таблица1[[#This Row],[сумма]]*Таблица1[[#This Row],[коэф]])),
IF(OR(G23="4/24",G23="3/24"),((база!$M$5*Таблица1[[#This Row],[сумма]]*Таблица1[[#This Row],[коэф]])),
IF((G23="5/16"),((база!$L$6*Таблица1[[#This Row],[сумма]]*Таблица1[[#This Row],[коэф]])),
IF(OR(G23="4/16",G23="3/16"),((база!$L$5*Таблица1[[#This Row],[сумма]]*Таблица1[[#This Row],[коэф]])),
IF(OR(G23="2/4",G23="3/4",G23="4/4"),((база!$I$5*Таблица1[[#This Row],[сумма]]*Таблица1[[#This Row],[коэф]])),
IF((G23="5/8"),((база!$J$6*Таблица1[[#This Row],[сумма]]*Таблица1[[#This Row],[коэф]])),
IF(OR(G23="4/8",G23="3/8",G23="2/8"),((база!$J$5*Таблица1[[#This Row],[сумма]]*Таблица1[[#This Row],[коэф]])))))))))))</f>
        <v>0</v>
      </c>
      <c r="AP23" s="715" t="b">
        <f>IF(AR23&lt;=3,(IF((G23="5/24"),((база!$M$6*2*Таблица1[[#This Row],[Столбец1]]*Таблица1[[#This Row],[коэф]])),
IF((G23="4/24"),((база!$M$5*2*Таблица1[[#This Row],[Столбец1]]*Таблица1[[#This Row],[коэф]])),
IF((G23="3/24"),((база!$M$4*2*Таблица1[[#This Row],[Столбец1]]*Таблица1[[#This Row],[коэф]])),
IF((G23="5/16"),((база!$L$6*2*Таблица1[[#This Row],[Столбец1]]*Таблица1[[#This Row],[коэф]])),
IF((G23="4/16"),((база!$L$5*2*Таблица1[[#This Row],[Столбец1]]*Таблица1[[#This Row],[коэф]])),
IF((G23="3/16"),((база!$L$4*2*Таблица1[[#This Row],[Столбец1]]*Таблица1[[#This Row],[коэф]])),
IF((G23="4/4"),((база!$I$5*2*Таблица1[[#This Row],[Столбец1]]*Таблица1[[#This Row],[коэф]])),
IF(OR(G23="2/4",G23="3/4"),((база!$I$4*2*Таблица1[[#This Row],[Столбец1]]*Таблица1[[#This Row],[коэф]])),
IF((G23="5/8"),((база!$J$6*2*Таблица1[[#This Row],[Столбец1]]*Таблица1[[#This Row],[коэф]])),
IF((G23="4/8"),((база!$J$5*2*Таблица1[[#This Row],[Столбец1]]*Таблица1[[#This Row],[коэф]])),
IF(OR(G23="3/8",G23="2/8"),((база!$J$4*2*Таблица1[[#This Row],[Столбец1]]*Таблица1[[#This Row],[коэф]])))))))))))))),
(IF((G23="5/24"),((база!$M$6*2*Таблица1[[#This Row],[Столбец1]]*Таблица1[[#This Row],[коэф]])),
IF(OR(G23="4/24",G23="3/24"),((база!$M$5*2*Таблица1[[#This Row],[Столбец1]]*Таблица1[[#This Row],[коэф]])),
IF((G23="5/16"),((база!$L$6*2*Таблица1[[#This Row],[Столбец1]]*Таблица1[[#This Row],[коэф]])),
IF(OR(G23="4/16",G23="3/16"),((база!$L$5*2*Таблица1[[#This Row],[Столбец1]]*Таблица1[[#This Row],[коэф]])),
IF(OR(G23="2/4",G23="3/4",G23="4/4"),((база!$I$5*2*Таблица1[[#This Row],[Столбец1]]*Таблица1[[#This Row],[коэф]])),
IF((G23="5/8"),((база!$J$6*2*Таблица1[[#This Row],[Столбец1]]*Таблица1[[#This Row],[коэф]])),
IF(OR(G23="4/8",G23="3/8",G23="2/8"),((база!$J$5*2*Таблица1[[#This Row],[Столбец1]]*Таблица1[[#This Row],[коэф]])))))))))))</f>
        <v>0</v>
      </c>
      <c r="AQ23" s="697" t="str">
        <f>IFERROR(INDEX(база!T:T, MATCH(F23,база!Q:Q,0)),"")</f>
        <v/>
      </c>
      <c r="AR23" s="207">
        <f>IFERROR(INDEX(база!D:D, MATCH(F23,база!B:B,0)),"")</f>
        <v>0</v>
      </c>
    </row>
    <row r="24" spans="1:47" ht="15">
      <c r="A24" s="66" t="str">
        <f t="shared" si="0"/>
        <v>декабрь</v>
      </c>
      <c r="B24" s="230">
        <v>2023</v>
      </c>
      <c r="C24" s="60"/>
      <c r="D24" s="61"/>
      <c r="E24" s="210"/>
      <c r="F24" s="665"/>
      <c r="G24" s="47"/>
      <c r="H24" s="212"/>
      <c r="I24" s="48"/>
      <c r="J24" s="48"/>
      <c r="K24" s="48"/>
      <c r="L24" s="48"/>
      <c r="M24" s="48"/>
      <c r="N24" s="49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48"/>
      <c r="AL24" s="51"/>
      <c r="AM24" s="211">
        <f>IF(AQ24=1,SUM(H24:I24,L24:O24,R24:U24,X24:AA24,AD24:AG24,AI24:AK24),
IF(AQ24=2,SUM(H24:K24,N24:Q24,T24:W24,Z24:AC24,AF24:AI24),
IF(AQ24=3,SUM(J24:M24,P24:S24,V24:Y24,AB24:AE24,AH24:AK24),SUM(Таблица1[[#This Row],[1]:[31]])-Таблица1[[#This Row],[Столбец1]])))</f>
        <v>0</v>
      </c>
      <c r="AN24" s="290">
        <f t="array" ref="AN24">IF(AQ24=1,SUM(J24:K24,P24:Q24,V24:W24,AB24:AC24,AH24:AI24),
IF(AQ24=2,SUM(L24:M24,R24:S24,X24:Y24,AD24:AE24),
IF(AQ24=3,SUM(H24:I24,N24:O24,T24:U24,Z24:AA24,AF24:AG24),
SUM(IFERROR(WEEKDAY($H$2:$AL$2,2)&gt;5,)*H24:AL24))))</f>
        <v>0</v>
      </c>
      <c r="AO24" s="292" t="b">
        <f>IF(AR24&lt;=3,(IF((G24="5/24"),((база!$M$6*Таблица1[[#This Row],[сумма]]*Таблица1[[#This Row],[коэф]])),
IF((G24="4/24"),((база!$M$5*Таблица1[[#This Row],[сумма]]*Таблица1[[#This Row],[коэф]])),
IF((G24="3/24"),((база!$M$4*Таблица1[[#This Row],[сумма]]*Таблица1[[#This Row],[коэф]])),
IF((G24="5/16"),((база!$L$6*Таблица1[[#This Row],[сумма]]*Таблица1[[#This Row],[коэф]])),
IF((G24="4/16"),((база!$L$5*Таблица1[[#This Row],[сумма]]*Таблица1[[#This Row],[коэф]])),
IF((G24="3/16"),((база!$L$4*Таблица1[[#This Row],[сумма]]*Таблица1[[#This Row],[коэф]])),
IF((G24="4/4"),((база!$I$5*Таблица1[[#This Row],[сумма]]*Таблица1[[#This Row],[коэф]])),
IF(OR(G24="2/4",G24="3/4"),((база!$I$4*Таблица1[[#This Row],[сумма]]*Таблица1[[#This Row],[коэф]])),
IF((G24="5/8"),((база!$J$6*Таблица1[[#This Row],[сумма]]*Таблица1[[#This Row],[коэф]])),
IF((G24="4/8"),((база!$J$5*Таблица1[[#This Row],[сумма]]*Таблица1[[#This Row],[коэф]])),
IF(OR(G24="3/8",G24="2/8"),((база!$J$4*Таблица1[[#This Row],[сумма]]*Таблица1[[#This Row],[коэф]])))))))))))))),
(IF((G24="5/24"),((база!$M$6*Таблица1[[#This Row],[сумма]]*Таблица1[[#This Row],[коэф]])),
IF(OR(G24="4/24",G24="3/24"),((база!$M$5*Таблица1[[#This Row],[сумма]]*Таблица1[[#This Row],[коэф]])),
IF((G24="5/16"),((база!$L$6*Таблица1[[#This Row],[сумма]]*Таблица1[[#This Row],[коэф]])),
IF(OR(G24="4/16",G24="3/16"),((база!$L$5*Таблица1[[#This Row],[сумма]]*Таблица1[[#This Row],[коэф]])),
IF(OR(G24="2/4",G24="3/4",G24="4/4"),((база!$I$5*Таблица1[[#This Row],[сумма]]*Таблица1[[#This Row],[коэф]])),
IF((G24="5/8"),((база!$J$6*Таблица1[[#This Row],[сумма]]*Таблица1[[#This Row],[коэф]])),
IF(OR(G24="4/8",G24="3/8",G24="2/8"),((база!$J$5*Таблица1[[#This Row],[сумма]]*Таблица1[[#This Row],[коэф]])))))))))))</f>
        <v>0</v>
      </c>
      <c r="AP24" s="715" t="b">
        <f>IF(AR24&lt;=3,(IF((G24="5/24"),((база!$M$6*2*Таблица1[[#This Row],[Столбец1]]*Таблица1[[#This Row],[коэф]])),
IF((G24="4/24"),((база!$M$5*2*Таблица1[[#This Row],[Столбец1]]*Таблица1[[#This Row],[коэф]])),
IF((G24="3/24"),((база!$M$4*2*Таблица1[[#This Row],[Столбец1]]*Таблица1[[#This Row],[коэф]])),
IF((G24="5/16"),((база!$L$6*2*Таблица1[[#This Row],[Столбец1]]*Таблица1[[#This Row],[коэф]])),
IF((G24="4/16"),((база!$L$5*2*Таблица1[[#This Row],[Столбец1]]*Таблица1[[#This Row],[коэф]])),
IF((G24="3/16"),((база!$L$4*2*Таблица1[[#This Row],[Столбец1]]*Таблица1[[#This Row],[коэф]])),
IF((G24="4/4"),((база!$I$5*2*Таблица1[[#This Row],[Столбец1]]*Таблица1[[#This Row],[коэф]])),
IF(OR(G24="2/4",G24="3/4"),((база!$I$4*2*Таблица1[[#This Row],[Столбец1]]*Таблица1[[#This Row],[коэф]])),
IF((G24="5/8"),((база!$J$6*2*Таблица1[[#This Row],[Столбец1]]*Таблица1[[#This Row],[коэф]])),
IF((G24="4/8"),((база!$J$5*2*Таблица1[[#This Row],[Столбец1]]*Таблица1[[#This Row],[коэф]])),
IF(OR(G24="3/8",G24="2/8"),((база!$J$4*2*Таблица1[[#This Row],[Столбец1]]*Таблица1[[#This Row],[коэф]])))))))))))))),
(IF((G24="5/24"),((база!$M$6*2*Таблица1[[#This Row],[Столбец1]]*Таблица1[[#This Row],[коэф]])),
IF(OR(G24="4/24",G24="3/24"),((база!$M$5*2*Таблица1[[#This Row],[Столбец1]]*Таблица1[[#This Row],[коэф]])),
IF((G24="5/16"),((база!$L$6*2*Таблица1[[#This Row],[Столбец1]]*Таблица1[[#This Row],[коэф]])),
IF(OR(G24="4/16",G24="3/16"),((база!$L$5*2*Таблица1[[#This Row],[Столбец1]]*Таблица1[[#This Row],[коэф]])),
IF(OR(G24="2/4",G24="3/4",G24="4/4"),((база!$I$5*2*Таблица1[[#This Row],[Столбец1]]*Таблица1[[#This Row],[коэф]])),
IF((G24="5/8"),((база!$J$6*2*Таблица1[[#This Row],[Столбец1]]*Таблица1[[#This Row],[коэф]])),
IF(OR(G24="4/8",G24="3/8",G24="2/8"),((база!$J$5*2*Таблица1[[#This Row],[Столбец1]]*Таблица1[[#This Row],[коэф]])))))))))))</f>
        <v>0</v>
      </c>
      <c r="AQ24" s="697" t="str">
        <f>IFERROR(INDEX(база!T:T, MATCH(F24,база!Q:Q,0)),"")</f>
        <v/>
      </c>
      <c r="AR24" s="207">
        <f>IFERROR(INDEX(база!D:D, MATCH(F24,база!B:B,0)),"")</f>
        <v>0</v>
      </c>
    </row>
    <row r="25" spans="1:47" ht="15">
      <c r="A25" s="66" t="str">
        <f t="shared" si="0"/>
        <v>декабрь</v>
      </c>
      <c r="B25" s="230">
        <v>2023</v>
      </c>
      <c r="C25" s="60"/>
      <c r="D25" s="61"/>
      <c r="E25" s="210"/>
      <c r="F25" s="665"/>
      <c r="G25" s="47"/>
      <c r="H25" s="212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  <c r="AG25" s="48"/>
      <c r="AH25" s="48"/>
      <c r="AI25" s="48"/>
      <c r="AJ25" s="48"/>
      <c r="AK25" s="48"/>
      <c r="AL25" s="51"/>
      <c r="AM25" s="211">
        <f>IF(AQ25=1,SUM(H25:I25,L25:O25,R25:U25,X25:AA25,AD25:AG25,AI25:AK25),
IF(AQ25=2,SUM(H25:K25,N25:Q25,T25:W25,Z25:AC25,AF25:AI25),
IF(AQ25=3,SUM(J25:M25,P25:S25,V25:Y25,AB25:AE25,AH25:AK25),SUM(Таблица1[[#This Row],[1]:[31]])-Таблица1[[#This Row],[Столбец1]])))</f>
        <v>0</v>
      </c>
      <c r="AN25" s="290">
        <f t="array" ref="AN25">IF(AQ25=1,SUM(J25:K25,P25:Q25,V25:W25,AB25:AC25,AH25:AI25),
IF(AQ25=2,SUM(L25:M25,R25:S25,X25:Y25,AD25:AE25),
IF(AQ25=3,SUM(H25:I25,N25:O25,T25:U25,Z25:AA25,AF25:AG25),
SUM(IFERROR(WEEKDAY($H$2:$AL$2,2)&gt;5,)*H25:AL25))))</f>
        <v>0</v>
      </c>
      <c r="AO25" s="292" t="b">
        <f>IF(AR25&lt;=3,(IF((G25="5/24"),((база!$M$6*Таблица1[[#This Row],[сумма]]*Таблица1[[#This Row],[коэф]])),
IF((G25="4/24"),((база!$M$5*Таблица1[[#This Row],[сумма]]*Таблица1[[#This Row],[коэф]])),
IF((G25="3/24"),((база!$M$4*Таблица1[[#This Row],[сумма]]*Таблица1[[#This Row],[коэф]])),
IF((G25="5/16"),((база!$L$6*Таблица1[[#This Row],[сумма]]*Таблица1[[#This Row],[коэф]])),
IF((G25="4/16"),((база!$L$5*Таблица1[[#This Row],[сумма]]*Таблица1[[#This Row],[коэф]])),
IF((G25="3/16"),((база!$L$4*Таблица1[[#This Row],[сумма]]*Таблица1[[#This Row],[коэф]])),
IF((G25="4/4"),((база!$I$5*Таблица1[[#This Row],[сумма]]*Таблица1[[#This Row],[коэф]])),
IF(OR(G25="2/4",G25="3/4"),((база!$I$4*Таблица1[[#This Row],[сумма]]*Таблица1[[#This Row],[коэф]])),
IF((G25="5/8"),((база!$J$6*Таблица1[[#This Row],[сумма]]*Таблица1[[#This Row],[коэф]])),
IF((G25="4/8"),((база!$J$5*Таблица1[[#This Row],[сумма]]*Таблица1[[#This Row],[коэф]])),
IF(OR(G25="3/8",G25="2/8"),((база!$J$4*Таблица1[[#This Row],[сумма]]*Таблица1[[#This Row],[коэф]])))))))))))))),
(IF((G25="5/24"),((база!$M$6*Таблица1[[#This Row],[сумма]]*Таблица1[[#This Row],[коэф]])),
IF(OR(G25="4/24",G25="3/24"),((база!$M$5*Таблица1[[#This Row],[сумма]]*Таблица1[[#This Row],[коэф]])),
IF((G25="5/16"),((база!$L$6*Таблица1[[#This Row],[сумма]]*Таблица1[[#This Row],[коэф]])),
IF(OR(G25="4/16",G25="3/16"),((база!$L$5*Таблица1[[#This Row],[сумма]]*Таблица1[[#This Row],[коэф]])),
IF(OR(G25="2/4",G25="3/4",G25="4/4"),((база!$I$5*Таблица1[[#This Row],[сумма]]*Таблица1[[#This Row],[коэф]])),
IF((G25="5/8"),((база!$J$6*Таблица1[[#This Row],[сумма]]*Таблица1[[#This Row],[коэф]])),
IF(OR(G25="4/8",G25="3/8",G25="2/8"),((база!$J$5*Таблица1[[#This Row],[сумма]]*Таблица1[[#This Row],[коэф]])))))))))))</f>
        <v>0</v>
      </c>
      <c r="AP25" s="715" t="b">
        <f>IF(AR25&lt;=3,(IF((G25="5/24"),((база!$M$6*2*Таблица1[[#This Row],[Столбец1]]*Таблица1[[#This Row],[коэф]])),
IF((G25="4/24"),((база!$M$5*2*Таблица1[[#This Row],[Столбец1]]*Таблица1[[#This Row],[коэф]])),
IF((G25="3/24"),((база!$M$4*2*Таблица1[[#This Row],[Столбец1]]*Таблица1[[#This Row],[коэф]])),
IF((G25="5/16"),((база!$L$6*2*Таблица1[[#This Row],[Столбец1]]*Таблица1[[#This Row],[коэф]])),
IF((G25="4/16"),((база!$L$5*2*Таблица1[[#This Row],[Столбец1]]*Таблица1[[#This Row],[коэф]])),
IF((G25="3/16"),((база!$L$4*2*Таблица1[[#This Row],[Столбец1]]*Таблица1[[#This Row],[коэф]])),
IF((G25="4/4"),((база!$I$5*2*Таблица1[[#This Row],[Столбец1]]*Таблица1[[#This Row],[коэф]])),
IF(OR(G25="2/4",G25="3/4"),((база!$I$4*2*Таблица1[[#This Row],[Столбец1]]*Таблица1[[#This Row],[коэф]])),
IF((G25="5/8"),((база!$J$6*2*Таблица1[[#This Row],[Столбец1]]*Таблица1[[#This Row],[коэф]])),
IF((G25="4/8"),((база!$J$5*2*Таблица1[[#This Row],[Столбец1]]*Таблица1[[#This Row],[коэф]])),
IF(OR(G25="3/8",G25="2/8"),((база!$J$4*2*Таблица1[[#This Row],[Столбец1]]*Таблица1[[#This Row],[коэф]])))))))))))))),
(IF((G25="5/24"),((база!$M$6*2*Таблица1[[#This Row],[Столбец1]]*Таблица1[[#This Row],[коэф]])),
IF(OR(G25="4/24",G25="3/24"),((база!$M$5*2*Таблица1[[#This Row],[Столбец1]]*Таблица1[[#This Row],[коэф]])),
IF((G25="5/16"),((база!$L$6*2*Таблица1[[#This Row],[Столбец1]]*Таблица1[[#This Row],[коэф]])),
IF(OR(G25="4/16",G25="3/16"),((база!$L$5*2*Таблица1[[#This Row],[Столбец1]]*Таблица1[[#This Row],[коэф]])),
IF(OR(G25="2/4",G25="3/4",G25="4/4"),((база!$I$5*2*Таблица1[[#This Row],[Столбец1]]*Таблица1[[#This Row],[коэф]])),
IF((G25="5/8"),((база!$J$6*2*Таблица1[[#This Row],[Столбец1]]*Таблица1[[#This Row],[коэф]])),
IF(OR(G25="4/8",G25="3/8",G25="2/8"),((база!$J$5*2*Таблица1[[#This Row],[Столбец1]]*Таблица1[[#This Row],[коэф]])))))))))))</f>
        <v>0</v>
      </c>
      <c r="AQ25" s="697" t="str">
        <f>IFERROR(INDEX(база!T:T, MATCH(F25,база!Q:Q,0)),"")</f>
        <v/>
      </c>
      <c r="AR25" s="207">
        <f>IFERROR(INDEX(база!D:D, MATCH(F25,база!B:B,0)),"")</f>
        <v>0</v>
      </c>
    </row>
    <row r="26" spans="1:47" ht="15">
      <c r="A26" s="66" t="str">
        <f t="shared" si="0"/>
        <v>декабрь</v>
      </c>
      <c r="B26" s="230">
        <v>2023</v>
      </c>
      <c r="C26" s="60"/>
      <c r="D26" s="61"/>
      <c r="E26" s="210"/>
      <c r="F26" s="665"/>
      <c r="G26" s="47"/>
      <c r="H26" s="212"/>
      <c r="I26" s="48"/>
      <c r="J26" s="48"/>
      <c r="K26" s="48"/>
      <c r="L26" s="48"/>
      <c r="M26" s="48"/>
      <c r="N26" s="49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  <c r="AG26" s="48"/>
      <c r="AH26" s="48"/>
      <c r="AI26" s="48"/>
      <c r="AJ26" s="48"/>
      <c r="AK26" s="48"/>
      <c r="AL26" s="51"/>
      <c r="AM26" s="211">
        <f>IF(AQ26=1,SUM(H26:I26,L26:O26,R26:U26,X26:AA26,AD26:AG26,AI26:AK26),
IF(AQ26=2,SUM(H26:K26,N26:Q26,T26:W26,Z26:AC26,AF26:AI26),
IF(AQ26=3,SUM(J26:M26,P26:S26,V26:Y26,AB26:AE26,AH26:AK26),SUM(Таблица1[[#This Row],[1]:[31]])-Таблица1[[#This Row],[Столбец1]])))</f>
        <v>0</v>
      </c>
      <c r="AN26" s="290">
        <f t="array" ref="AN26">IF(AQ26=1,SUM(J26:K26,P26:Q26,V26:W26,AB26:AC26,AH26:AI26),
IF(AQ26=2,SUM(L26:M26,R26:S26,X26:Y26,AD26:AE26),
IF(AQ26=3,SUM(H26:I26,N26:O26,T26:U26,Z26:AA26,AF26:AG26),
SUM(IFERROR(WEEKDAY($H$2:$AL$2,2)&gt;5,)*H26:AL26))))</f>
        <v>0</v>
      </c>
      <c r="AO26" s="292" t="b">
        <f>IF(AR26&lt;=3,(IF((G26="5/24"),((база!$M$6*Таблица1[[#This Row],[сумма]]*Таблица1[[#This Row],[коэф]])),
IF((G26="4/24"),((база!$M$5*Таблица1[[#This Row],[сумма]]*Таблица1[[#This Row],[коэф]])),
IF((G26="3/24"),((база!$M$4*Таблица1[[#This Row],[сумма]]*Таблица1[[#This Row],[коэф]])),
IF((G26="5/16"),((база!$L$6*Таблица1[[#This Row],[сумма]]*Таблица1[[#This Row],[коэф]])),
IF((G26="4/16"),((база!$L$5*Таблица1[[#This Row],[сумма]]*Таблица1[[#This Row],[коэф]])),
IF((G26="3/16"),((база!$L$4*Таблица1[[#This Row],[сумма]]*Таблица1[[#This Row],[коэф]])),
IF((G26="4/4"),((база!$I$5*Таблица1[[#This Row],[сумма]]*Таблица1[[#This Row],[коэф]])),
IF(OR(G26="2/4",G26="3/4"),((база!$I$4*Таблица1[[#This Row],[сумма]]*Таблица1[[#This Row],[коэф]])),
IF((G26="5/8"),((база!$J$6*Таблица1[[#This Row],[сумма]]*Таблица1[[#This Row],[коэф]])),
IF((G26="4/8"),((база!$J$5*Таблица1[[#This Row],[сумма]]*Таблица1[[#This Row],[коэф]])),
IF(OR(G26="3/8",G26="2/8"),((база!$J$4*Таблица1[[#This Row],[сумма]]*Таблица1[[#This Row],[коэф]])))))))))))))),
(IF((G26="5/24"),((база!$M$6*Таблица1[[#This Row],[сумма]]*Таблица1[[#This Row],[коэф]])),
IF(OR(G26="4/24",G26="3/24"),((база!$M$5*Таблица1[[#This Row],[сумма]]*Таблица1[[#This Row],[коэф]])),
IF((G26="5/16"),((база!$L$6*Таблица1[[#This Row],[сумма]]*Таблица1[[#This Row],[коэф]])),
IF(OR(G26="4/16",G26="3/16"),((база!$L$5*Таблица1[[#This Row],[сумма]]*Таблица1[[#This Row],[коэф]])),
IF(OR(G26="2/4",G26="3/4",G26="4/4"),((база!$I$5*Таблица1[[#This Row],[сумма]]*Таблица1[[#This Row],[коэф]])),
IF((G26="5/8"),((база!$J$6*Таблица1[[#This Row],[сумма]]*Таблица1[[#This Row],[коэф]])),
IF(OR(G26="4/8",G26="3/8",G26="2/8"),((база!$J$5*Таблица1[[#This Row],[сумма]]*Таблица1[[#This Row],[коэф]])))))))))))</f>
        <v>0</v>
      </c>
      <c r="AP26" s="715" t="b">
        <f>IF(AR26&lt;=3,(IF((G26="5/24"),((база!$M$6*2*Таблица1[[#This Row],[Столбец1]]*Таблица1[[#This Row],[коэф]])),
IF((G26="4/24"),((база!$M$5*2*Таблица1[[#This Row],[Столбец1]]*Таблица1[[#This Row],[коэф]])),
IF((G26="3/24"),((база!$M$4*2*Таблица1[[#This Row],[Столбец1]]*Таблица1[[#This Row],[коэф]])),
IF((G26="5/16"),((база!$L$6*2*Таблица1[[#This Row],[Столбец1]]*Таблица1[[#This Row],[коэф]])),
IF((G26="4/16"),((база!$L$5*2*Таблица1[[#This Row],[Столбец1]]*Таблица1[[#This Row],[коэф]])),
IF((G26="3/16"),((база!$L$4*2*Таблица1[[#This Row],[Столбец1]]*Таблица1[[#This Row],[коэф]])),
IF((G26="4/4"),((база!$I$5*2*Таблица1[[#This Row],[Столбец1]]*Таблица1[[#This Row],[коэф]])),
IF(OR(G26="2/4",G26="3/4"),((база!$I$4*2*Таблица1[[#This Row],[Столбец1]]*Таблица1[[#This Row],[коэф]])),
IF((G26="5/8"),((база!$J$6*2*Таблица1[[#This Row],[Столбец1]]*Таблица1[[#This Row],[коэф]])),
IF((G26="4/8"),((база!$J$5*2*Таблица1[[#This Row],[Столбец1]]*Таблица1[[#This Row],[коэф]])),
IF(OR(G26="3/8",G26="2/8"),((база!$J$4*2*Таблица1[[#This Row],[Столбец1]]*Таблица1[[#This Row],[коэф]])))))))))))))),
(IF((G26="5/24"),((база!$M$6*2*Таблица1[[#This Row],[Столбец1]]*Таблица1[[#This Row],[коэф]])),
IF(OR(G26="4/24",G26="3/24"),((база!$M$5*2*Таблица1[[#This Row],[Столбец1]]*Таблица1[[#This Row],[коэф]])),
IF((G26="5/16"),((база!$L$6*2*Таблица1[[#This Row],[Столбец1]]*Таблица1[[#This Row],[коэф]])),
IF(OR(G26="4/16",G26="3/16"),((база!$L$5*2*Таблица1[[#This Row],[Столбец1]]*Таблица1[[#This Row],[коэф]])),
IF(OR(G26="2/4",G26="3/4",G26="4/4"),((база!$I$5*2*Таблица1[[#This Row],[Столбец1]]*Таблица1[[#This Row],[коэф]])),
IF((G26="5/8"),((база!$J$6*2*Таблица1[[#This Row],[Столбец1]]*Таблица1[[#This Row],[коэф]])),
IF(OR(G26="4/8",G26="3/8",G26="2/8"),((база!$J$5*2*Таблица1[[#This Row],[Столбец1]]*Таблица1[[#This Row],[коэф]])))))))))))</f>
        <v>0</v>
      </c>
      <c r="AQ26" s="697" t="str">
        <f>IFERROR(INDEX(база!T:T, MATCH(F26,база!Q:Q,0)),"")</f>
        <v/>
      </c>
      <c r="AR26" s="207">
        <f>IFERROR(INDEX(база!D:D, MATCH(F26,база!B:B,0)),"")</f>
        <v>0</v>
      </c>
    </row>
    <row r="27" spans="1:47" ht="15">
      <c r="A27" s="66" t="str">
        <f t="shared" si="0"/>
        <v>декабрь</v>
      </c>
      <c r="B27" s="230">
        <v>2023</v>
      </c>
      <c r="C27" s="60"/>
      <c r="D27" s="61"/>
      <c r="E27" s="210"/>
      <c r="F27" s="665"/>
      <c r="G27" s="47"/>
      <c r="H27" s="212"/>
      <c r="I27" s="48"/>
      <c r="J27" s="48"/>
      <c r="K27" s="48"/>
      <c r="L27" s="48"/>
      <c r="M27" s="48"/>
      <c r="N27" s="49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  <c r="AG27" s="48"/>
      <c r="AH27" s="48"/>
      <c r="AI27" s="48"/>
      <c r="AJ27" s="48"/>
      <c r="AK27" s="48"/>
      <c r="AL27" s="51"/>
      <c r="AM27" s="211">
        <f>IF(AQ27=1,SUM(H27:I27,L27:O27,R27:U27,X27:AA27,AD27:AG27,AI27:AK27),
IF(AQ27=2,SUM(H27:K27,N27:Q27,T27:W27,Z27:AC27,AF27:AI27),
IF(AQ27=3,SUM(J27:M27,P27:S27,V27:Y27,AB27:AE27,AH27:AK27),SUM(Таблица1[[#This Row],[1]:[31]])-Таблица1[[#This Row],[Столбец1]])))</f>
        <v>0</v>
      </c>
      <c r="AN27" s="290">
        <f t="array" ref="AN27">IF(AQ27=1,SUM(J27:K27,P27:Q27,V27:W27,AB27:AC27,AH27:AI27),
IF(AQ27=2,SUM(L27:M27,R27:S27,X27:Y27,AD27:AE27),
IF(AQ27=3,SUM(H27:I27,N27:O27,T27:U27,Z27:AA27,AF27:AG27),
SUM(IFERROR(WEEKDAY($H$2:$AL$2,2)&gt;5,)*H27:AL27))))</f>
        <v>0</v>
      </c>
      <c r="AO27" s="292" t="b">
        <f>IF(AR27&lt;=3,(IF((G27="5/24"),((база!$M$6*Таблица1[[#This Row],[сумма]]*Таблица1[[#This Row],[коэф]])),
IF((G27="4/24"),((база!$M$5*Таблица1[[#This Row],[сумма]]*Таблица1[[#This Row],[коэф]])),
IF((G27="3/24"),((база!$M$4*Таблица1[[#This Row],[сумма]]*Таблица1[[#This Row],[коэф]])),
IF((G27="5/16"),((база!$L$6*Таблица1[[#This Row],[сумма]]*Таблица1[[#This Row],[коэф]])),
IF((G27="4/16"),((база!$L$5*Таблица1[[#This Row],[сумма]]*Таблица1[[#This Row],[коэф]])),
IF((G27="3/16"),((база!$L$4*Таблица1[[#This Row],[сумма]]*Таблица1[[#This Row],[коэф]])),
IF((G27="4/4"),((база!$I$5*Таблица1[[#This Row],[сумма]]*Таблица1[[#This Row],[коэф]])),
IF(OR(G27="2/4",G27="3/4"),((база!$I$4*Таблица1[[#This Row],[сумма]]*Таблица1[[#This Row],[коэф]])),
IF((G27="5/8"),((база!$J$6*Таблица1[[#This Row],[сумма]]*Таблица1[[#This Row],[коэф]])),
IF((G27="4/8"),((база!$J$5*Таблица1[[#This Row],[сумма]]*Таблица1[[#This Row],[коэф]])),
IF(OR(G27="3/8",G27="2/8"),((база!$J$4*Таблица1[[#This Row],[сумма]]*Таблица1[[#This Row],[коэф]])))))))))))))),
(IF((G27="5/24"),((база!$M$6*Таблица1[[#This Row],[сумма]]*Таблица1[[#This Row],[коэф]])),
IF(OR(G27="4/24",G27="3/24"),((база!$M$5*Таблица1[[#This Row],[сумма]]*Таблица1[[#This Row],[коэф]])),
IF((G27="5/16"),((база!$L$6*Таблица1[[#This Row],[сумма]]*Таблица1[[#This Row],[коэф]])),
IF(OR(G27="4/16",G27="3/16"),((база!$L$5*Таблица1[[#This Row],[сумма]]*Таблица1[[#This Row],[коэф]])),
IF(OR(G27="2/4",G27="3/4",G27="4/4"),((база!$I$5*Таблица1[[#This Row],[сумма]]*Таблица1[[#This Row],[коэф]])),
IF((G27="5/8"),((база!$J$6*Таблица1[[#This Row],[сумма]]*Таблица1[[#This Row],[коэф]])),
IF(OR(G27="4/8",G27="3/8",G27="2/8"),((база!$J$5*Таблица1[[#This Row],[сумма]]*Таблица1[[#This Row],[коэф]])))))))))))</f>
        <v>0</v>
      </c>
      <c r="AP27" s="715" t="b">
        <f>IF(AR27&lt;=3,(IF((G27="5/24"),((база!$M$6*2*Таблица1[[#This Row],[Столбец1]]*Таблица1[[#This Row],[коэф]])),
IF((G27="4/24"),((база!$M$5*2*Таблица1[[#This Row],[Столбец1]]*Таблица1[[#This Row],[коэф]])),
IF((G27="3/24"),((база!$M$4*2*Таблица1[[#This Row],[Столбец1]]*Таблица1[[#This Row],[коэф]])),
IF((G27="5/16"),((база!$L$6*2*Таблица1[[#This Row],[Столбец1]]*Таблица1[[#This Row],[коэф]])),
IF((G27="4/16"),((база!$L$5*2*Таблица1[[#This Row],[Столбец1]]*Таблица1[[#This Row],[коэф]])),
IF((G27="3/16"),((база!$L$4*2*Таблица1[[#This Row],[Столбец1]]*Таблица1[[#This Row],[коэф]])),
IF((G27="4/4"),((база!$I$5*2*Таблица1[[#This Row],[Столбец1]]*Таблица1[[#This Row],[коэф]])),
IF(OR(G27="2/4",G27="3/4"),((база!$I$4*2*Таблица1[[#This Row],[Столбец1]]*Таблица1[[#This Row],[коэф]])),
IF((G27="5/8"),((база!$J$6*2*Таблица1[[#This Row],[Столбец1]]*Таблица1[[#This Row],[коэф]])),
IF((G27="4/8"),((база!$J$5*2*Таблица1[[#This Row],[Столбец1]]*Таблица1[[#This Row],[коэф]])),
IF(OR(G27="3/8",G27="2/8"),((база!$J$4*2*Таблица1[[#This Row],[Столбец1]]*Таблица1[[#This Row],[коэф]])))))))))))))),
(IF((G27="5/24"),((база!$M$6*2*Таблица1[[#This Row],[Столбец1]]*Таблица1[[#This Row],[коэф]])),
IF(OR(G27="4/24",G27="3/24"),((база!$M$5*2*Таблица1[[#This Row],[Столбец1]]*Таблица1[[#This Row],[коэф]])),
IF((G27="5/16"),((база!$L$6*2*Таблица1[[#This Row],[Столбец1]]*Таблица1[[#This Row],[коэф]])),
IF(OR(G27="4/16",G27="3/16"),((база!$L$5*2*Таблица1[[#This Row],[Столбец1]]*Таблица1[[#This Row],[коэф]])),
IF(OR(G27="2/4",G27="3/4",G27="4/4"),((база!$I$5*2*Таблица1[[#This Row],[Столбец1]]*Таблица1[[#This Row],[коэф]])),
IF((G27="5/8"),((база!$J$6*2*Таблица1[[#This Row],[Столбец1]]*Таблица1[[#This Row],[коэф]])),
IF(OR(G27="4/8",G27="3/8",G27="2/8"),((база!$J$5*2*Таблица1[[#This Row],[Столбец1]]*Таблица1[[#This Row],[коэф]])))))))))))</f>
        <v>0</v>
      </c>
      <c r="AQ27" s="697" t="str">
        <f>IFERROR(INDEX(база!T:T, MATCH(F27,база!Q:Q,0)),"")</f>
        <v/>
      </c>
      <c r="AR27" s="207">
        <f>IFERROR(INDEX(база!D:D, MATCH(F27,база!B:B,0)),"")</f>
        <v>0</v>
      </c>
    </row>
    <row r="28" spans="1:47" ht="15">
      <c r="A28" s="66" t="str">
        <f t="shared" si="0"/>
        <v>декабрь</v>
      </c>
      <c r="B28" s="230">
        <v>2023</v>
      </c>
      <c r="C28" s="60"/>
      <c r="D28" s="61"/>
      <c r="E28" s="210"/>
      <c r="F28" s="665"/>
      <c r="G28" s="47"/>
      <c r="H28" s="212"/>
      <c r="I28" s="48"/>
      <c r="J28" s="48"/>
      <c r="K28" s="48"/>
      <c r="L28" s="48"/>
      <c r="M28" s="48"/>
      <c r="N28" s="49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  <c r="AG28" s="48"/>
      <c r="AH28" s="48"/>
      <c r="AI28" s="48"/>
      <c r="AJ28" s="48"/>
      <c r="AK28" s="48"/>
      <c r="AL28" s="51"/>
      <c r="AM28" s="211">
        <f>IF(AQ28=1,SUM(H28:I28,L28:O28,R28:U28,X28:AA28,AD28:AG28,AI28:AK28),
IF(AQ28=2,SUM(H28:K28,N28:Q28,T28:W28,Z28:AC28,AF28:AI28),
IF(AQ28=3,SUM(J28:M28,P28:S28,V28:Y28,AB28:AE28,AH28:AK28),SUM(Таблица1[[#This Row],[1]:[31]])-Таблица1[[#This Row],[Столбец1]])))</f>
        <v>0</v>
      </c>
      <c r="AN28" s="290">
        <f t="array" ref="AN28">IF(AQ28=1,SUM(J28:K28,P28:Q28,V28:W28,AB28:AC28,AH28:AI28),
IF(AQ28=2,SUM(L28:M28,R28:S28,X28:Y28,AD28:AE28),
IF(AQ28=3,SUM(H28:I28,N28:O28,T28:U28,Z28:AA28,AF28:AG28),
SUM(IFERROR(WEEKDAY($H$2:$AL$2,2)&gt;5,)*H28:AL28))))</f>
        <v>0</v>
      </c>
      <c r="AO28" s="292" t="b">
        <f>IF(AR28&lt;=3,(IF((G28="5/24"),((база!$M$6*Таблица1[[#This Row],[сумма]]*Таблица1[[#This Row],[коэф]])),
IF((G28="4/24"),((база!$M$5*Таблица1[[#This Row],[сумма]]*Таблица1[[#This Row],[коэф]])),
IF((G28="3/24"),((база!$M$4*Таблица1[[#This Row],[сумма]]*Таблица1[[#This Row],[коэф]])),
IF((G28="5/16"),((база!$L$6*Таблица1[[#This Row],[сумма]]*Таблица1[[#This Row],[коэф]])),
IF((G28="4/16"),((база!$L$5*Таблица1[[#This Row],[сумма]]*Таблица1[[#This Row],[коэф]])),
IF((G28="3/16"),((база!$L$4*Таблица1[[#This Row],[сумма]]*Таблица1[[#This Row],[коэф]])),
IF((G28="4/4"),((база!$I$5*Таблица1[[#This Row],[сумма]]*Таблица1[[#This Row],[коэф]])),
IF(OR(G28="2/4",G28="3/4"),((база!$I$4*Таблица1[[#This Row],[сумма]]*Таблица1[[#This Row],[коэф]])),
IF((G28="5/8"),((база!$J$6*Таблица1[[#This Row],[сумма]]*Таблица1[[#This Row],[коэф]])),
IF((G28="4/8"),((база!$J$5*Таблица1[[#This Row],[сумма]]*Таблица1[[#This Row],[коэф]])),
IF(OR(G28="3/8",G28="2/8"),((база!$J$4*Таблица1[[#This Row],[сумма]]*Таблица1[[#This Row],[коэф]])))))))))))))),
(IF((G28="5/24"),((база!$M$6*Таблица1[[#This Row],[сумма]]*Таблица1[[#This Row],[коэф]])),
IF(OR(G28="4/24",G28="3/24"),((база!$M$5*Таблица1[[#This Row],[сумма]]*Таблица1[[#This Row],[коэф]])),
IF((G28="5/16"),((база!$L$6*Таблица1[[#This Row],[сумма]]*Таблица1[[#This Row],[коэф]])),
IF(OR(G28="4/16",G28="3/16"),((база!$L$5*Таблица1[[#This Row],[сумма]]*Таблица1[[#This Row],[коэф]])),
IF(OR(G28="2/4",G28="3/4",G28="4/4"),((база!$I$5*Таблица1[[#This Row],[сумма]]*Таблица1[[#This Row],[коэф]])),
IF((G28="5/8"),((база!$J$6*Таблица1[[#This Row],[сумма]]*Таблица1[[#This Row],[коэф]])),
IF(OR(G28="4/8",G28="3/8",G28="2/8"),((база!$J$5*Таблица1[[#This Row],[сумма]]*Таблица1[[#This Row],[коэф]])))))))))))</f>
        <v>0</v>
      </c>
      <c r="AP28" s="715" t="b">
        <f>IF(AR28&lt;=3,(IF((G28="5/24"),((база!$M$6*2*Таблица1[[#This Row],[Столбец1]]*Таблица1[[#This Row],[коэф]])),
IF((G28="4/24"),((база!$M$5*2*Таблица1[[#This Row],[Столбец1]]*Таблица1[[#This Row],[коэф]])),
IF((G28="3/24"),((база!$M$4*2*Таблица1[[#This Row],[Столбец1]]*Таблица1[[#This Row],[коэф]])),
IF((G28="5/16"),((база!$L$6*2*Таблица1[[#This Row],[Столбец1]]*Таблица1[[#This Row],[коэф]])),
IF((G28="4/16"),((база!$L$5*2*Таблица1[[#This Row],[Столбец1]]*Таблица1[[#This Row],[коэф]])),
IF((G28="3/16"),((база!$L$4*2*Таблица1[[#This Row],[Столбец1]]*Таблица1[[#This Row],[коэф]])),
IF((G28="4/4"),((база!$I$5*2*Таблица1[[#This Row],[Столбец1]]*Таблица1[[#This Row],[коэф]])),
IF(OR(G28="2/4",G28="3/4"),((база!$I$4*2*Таблица1[[#This Row],[Столбец1]]*Таблица1[[#This Row],[коэф]])),
IF((G28="5/8"),((база!$J$6*2*Таблица1[[#This Row],[Столбец1]]*Таблица1[[#This Row],[коэф]])),
IF((G28="4/8"),((база!$J$5*2*Таблица1[[#This Row],[Столбец1]]*Таблица1[[#This Row],[коэф]])),
IF(OR(G28="3/8",G28="2/8"),((база!$J$4*2*Таблица1[[#This Row],[Столбец1]]*Таблица1[[#This Row],[коэф]])))))))))))))),
(IF((G28="5/24"),((база!$M$6*2*Таблица1[[#This Row],[Столбец1]]*Таблица1[[#This Row],[коэф]])),
IF(OR(G28="4/24",G28="3/24"),((база!$M$5*2*Таблица1[[#This Row],[Столбец1]]*Таблица1[[#This Row],[коэф]])),
IF((G28="5/16"),((база!$L$6*2*Таблица1[[#This Row],[Столбец1]]*Таблица1[[#This Row],[коэф]])),
IF(OR(G28="4/16",G28="3/16"),((база!$L$5*2*Таблица1[[#This Row],[Столбец1]]*Таблица1[[#This Row],[коэф]])),
IF(OR(G28="2/4",G28="3/4",G28="4/4"),((база!$I$5*2*Таблица1[[#This Row],[Столбец1]]*Таблица1[[#This Row],[коэф]])),
IF((G28="5/8"),((база!$J$6*2*Таблица1[[#This Row],[Столбец1]]*Таблица1[[#This Row],[коэф]])),
IF(OR(G28="4/8",G28="3/8",G28="2/8"),((база!$J$5*2*Таблица1[[#This Row],[Столбец1]]*Таблица1[[#This Row],[коэф]])))))))))))</f>
        <v>0</v>
      </c>
      <c r="AQ28" s="697" t="str">
        <f>IFERROR(INDEX(база!T:T, MATCH(F28,база!Q:Q,0)),"")</f>
        <v/>
      </c>
      <c r="AR28" s="207">
        <f>IFERROR(INDEX(база!D:D, MATCH(F28,база!B:B,0)),"")</f>
        <v>0</v>
      </c>
    </row>
    <row r="29" spans="1:47" ht="16.5" customHeight="1">
      <c r="A29" s="66" t="str">
        <f t="shared" si="0"/>
        <v>декабрь</v>
      </c>
      <c r="B29" s="230">
        <v>2023</v>
      </c>
      <c r="C29" s="60"/>
      <c r="D29" s="61"/>
      <c r="E29" s="210"/>
      <c r="F29" s="665"/>
      <c r="G29" s="47"/>
      <c r="H29" s="212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  <c r="AG29" s="48"/>
      <c r="AH29" s="48"/>
      <c r="AI29" s="48"/>
      <c r="AJ29" s="48"/>
      <c r="AK29" s="48"/>
      <c r="AL29" s="48"/>
      <c r="AM29" s="211">
        <f>IF(AQ29=1,SUM(H29:I29,L29:O29,R29:U29,X29:AA29,AD29:AG29,AI29:AK29),
IF(AQ29=2,SUM(H29:K29,N29:Q29,T29:W29,Z29:AC29,AF29:AI29),
IF(AQ29=3,SUM(J29:M29,P29:S29,V29:Y29,AB29:AE29,AH29:AK29),SUM(Таблица1[[#This Row],[1]:[31]])-Таблица1[[#This Row],[Столбец1]])))</f>
        <v>0</v>
      </c>
      <c r="AN29" s="290">
        <f t="array" ref="AN29">IF(AQ29=1,SUM(J29:K29,P29:Q29,V29:W29,AB29:AC29,AH29:AI29),
IF(AQ29=2,SUM(L29:M29,R29:S29,X29:Y29,AD29:AE29),
IF(AQ29=3,SUM(H29:I29,N29:O29,T29:U29,Z29:AA29,AF29:AG29),
SUM(IFERROR(WEEKDAY($H$2:$AL$2,2)&gt;5,)*H29:AL29))))</f>
        <v>0</v>
      </c>
      <c r="AO29" s="292" t="b">
        <f>IF(AR29&lt;=3,(IF((G29="5/24"),((база!$M$6*Таблица1[[#This Row],[сумма]]*Таблица1[[#This Row],[коэф]])),
IF((G29="4/24"),((база!$M$5*Таблица1[[#This Row],[сумма]]*Таблица1[[#This Row],[коэф]])),
IF((G29="3/24"),((база!$M$4*Таблица1[[#This Row],[сумма]]*Таблица1[[#This Row],[коэф]])),
IF((G29="5/16"),((база!$L$6*Таблица1[[#This Row],[сумма]]*Таблица1[[#This Row],[коэф]])),
IF((G29="4/16"),((база!$L$5*Таблица1[[#This Row],[сумма]]*Таблица1[[#This Row],[коэф]])),
IF((G29="3/16"),((база!$L$4*Таблица1[[#This Row],[сумма]]*Таблица1[[#This Row],[коэф]])),
IF((G29="4/4"),((база!$I$5*Таблица1[[#This Row],[сумма]]*Таблица1[[#This Row],[коэф]])),
IF(OR(G29="2/4",G29="3/4"),((база!$I$4*Таблица1[[#This Row],[сумма]]*Таблица1[[#This Row],[коэф]])),
IF((G29="5/8"),((база!$J$6*Таблица1[[#This Row],[сумма]]*Таблица1[[#This Row],[коэф]])),
IF((G29="4/8"),((база!$J$5*Таблица1[[#This Row],[сумма]]*Таблица1[[#This Row],[коэф]])),
IF(OR(G29="3/8",G29="2/8"),((база!$J$4*Таблица1[[#This Row],[сумма]]*Таблица1[[#This Row],[коэф]])))))))))))))),
(IF((G29="5/24"),((база!$M$6*Таблица1[[#This Row],[сумма]]*Таблица1[[#This Row],[коэф]])),
IF(OR(G29="4/24",G29="3/24"),((база!$M$5*Таблица1[[#This Row],[сумма]]*Таблица1[[#This Row],[коэф]])),
IF((G29="5/16"),((база!$L$6*Таблица1[[#This Row],[сумма]]*Таблица1[[#This Row],[коэф]])),
IF(OR(G29="4/16",G29="3/16"),((база!$L$5*Таблица1[[#This Row],[сумма]]*Таблица1[[#This Row],[коэф]])),
IF(OR(G29="2/4",G29="3/4",G29="4/4"),((база!$I$5*Таблица1[[#This Row],[сумма]]*Таблица1[[#This Row],[коэф]])),
IF((G29="5/8"),((база!$J$6*Таблица1[[#This Row],[сумма]]*Таблица1[[#This Row],[коэф]])),
IF(OR(G29="4/8",G29="3/8",G29="2/8"),((база!$J$5*Таблица1[[#This Row],[сумма]]*Таблица1[[#This Row],[коэф]])))))))))))</f>
        <v>0</v>
      </c>
      <c r="AP29" s="715" t="b">
        <f>IF(AR29&lt;=3,(IF((G29="5/24"),((база!$M$6*2*Таблица1[[#This Row],[Столбец1]]*Таблица1[[#This Row],[коэф]])),
IF((G29="4/24"),((база!$M$5*2*Таблица1[[#This Row],[Столбец1]]*Таблица1[[#This Row],[коэф]])),
IF((G29="3/24"),((база!$M$4*2*Таблица1[[#This Row],[Столбец1]]*Таблица1[[#This Row],[коэф]])),
IF((G29="5/16"),((база!$L$6*2*Таблица1[[#This Row],[Столбец1]]*Таблица1[[#This Row],[коэф]])),
IF((G29="4/16"),((база!$L$5*2*Таблица1[[#This Row],[Столбец1]]*Таблица1[[#This Row],[коэф]])),
IF((G29="3/16"),((база!$L$4*2*Таблица1[[#This Row],[Столбец1]]*Таблица1[[#This Row],[коэф]])),
IF((G29="4/4"),((база!$I$5*2*Таблица1[[#This Row],[Столбец1]]*Таблица1[[#This Row],[коэф]])),
IF(OR(G29="2/4",G29="3/4"),((база!$I$4*2*Таблица1[[#This Row],[Столбец1]]*Таблица1[[#This Row],[коэф]])),
IF((G29="5/8"),((база!$J$6*2*Таблица1[[#This Row],[Столбец1]]*Таблица1[[#This Row],[коэф]])),
IF((G29="4/8"),((база!$J$5*2*Таблица1[[#This Row],[Столбец1]]*Таблица1[[#This Row],[коэф]])),
IF(OR(G29="3/8",G29="2/8"),((база!$J$4*2*Таблица1[[#This Row],[Столбец1]]*Таблица1[[#This Row],[коэф]])))))))))))))),
(IF((G29="5/24"),((база!$M$6*2*Таблица1[[#This Row],[Столбец1]]*Таблица1[[#This Row],[коэф]])),
IF(OR(G29="4/24",G29="3/24"),((база!$M$5*2*Таблица1[[#This Row],[Столбец1]]*Таблица1[[#This Row],[коэф]])),
IF((G29="5/16"),((база!$L$6*2*Таблица1[[#This Row],[Столбец1]]*Таблица1[[#This Row],[коэф]])),
IF(OR(G29="4/16",G29="3/16"),((база!$L$5*2*Таблица1[[#This Row],[Столбец1]]*Таблица1[[#This Row],[коэф]])),
IF(OR(G29="2/4",G29="3/4",G29="4/4"),((база!$I$5*2*Таблица1[[#This Row],[Столбец1]]*Таблица1[[#This Row],[коэф]])),
IF((G29="5/8"),((база!$J$6*2*Таблица1[[#This Row],[Столбец1]]*Таблица1[[#This Row],[коэф]])),
IF(OR(G29="4/8",G29="3/8",G29="2/8"),((база!$J$5*2*Таблица1[[#This Row],[Столбец1]]*Таблица1[[#This Row],[коэф]])))))))))))</f>
        <v>0</v>
      </c>
      <c r="AQ29" s="697" t="str">
        <f>IFERROR(INDEX(база!T:T, MATCH(F29,база!Q:Q,0)),"")</f>
        <v/>
      </c>
      <c r="AR29" s="207">
        <f>IFERROR(INDEX(база!D:D, MATCH(F29,база!B:B,0)),"")</f>
        <v>0</v>
      </c>
      <c r="AU29" s="297"/>
    </row>
    <row r="30" spans="1:47" s="46" customFormat="1" ht="15.75" customHeight="1">
      <c r="A30" s="66" t="str">
        <f t="shared" si="0"/>
        <v>декабрь</v>
      </c>
      <c r="B30" s="230">
        <v>2023</v>
      </c>
      <c r="C30" s="60"/>
      <c r="D30" s="61"/>
      <c r="E30" s="210"/>
      <c r="F30" s="665"/>
      <c r="G30" s="47"/>
      <c r="H30" s="212"/>
      <c r="I30" s="48"/>
      <c r="J30" s="48"/>
      <c r="K30" s="48"/>
      <c r="L30" s="48"/>
      <c r="M30" s="48"/>
      <c r="N30" s="49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8"/>
      <c r="AH30" s="48"/>
      <c r="AI30" s="48"/>
      <c r="AJ30" s="48"/>
      <c r="AK30" s="48"/>
      <c r="AL30" s="51"/>
      <c r="AM30" s="211">
        <f>IF(AQ30=1,SUM(H30:I30,L30:O30,R30:U30,X30:AA30,AD30:AG30,AI30:AK30),
IF(AQ30=2,SUM(H30:K30,N30:Q30,T30:W30,Z30:AC30,AF30:AI30),
IF(AQ30=3,SUM(J30:M30,P30:S30,V30:Y30,AB30:AE30,AH30:AK30),SUM(Таблица1[[#This Row],[1]:[31]])-Таблица1[[#This Row],[Столбец1]])))</f>
        <v>0</v>
      </c>
      <c r="AN30" s="290">
        <f t="array" ref="AN30">IF(AQ30=1,SUM(J30:K30,P30:Q30,V30:W30,AB30:AC30,AH30:AI30),
IF(AQ30=2,SUM(L30:M30,R30:S30,X30:Y30,AD30:AE30),
IF(AQ30=3,SUM(H30:I30,N30:O30,T30:U30,Z30:AA30,AF30:AG30),
SUM(IFERROR(WEEKDAY($H$2:$AL$2,2)&gt;5,)*H30:AL30))))</f>
        <v>0</v>
      </c>
      <c r="AO30" s="292" t="b">
        <f>IF(AR30&lt;=3,(IF((G30="5/24"),((база!$M$6*Таблица1[[#This Row],[сумма]]*Таблица1[[#This Row],[коэф]])),
IF((G30="4/24"),((база!$M$5*Таблица1[[#This Row],[сумма]]*Таблица1[[#This Row],[коэф]])),
IF((G30="3/24"),((база!$M$4*Таблица1[[#This Row],[сумма]]*Таблица1[[#This Row],[коэф]])),
IF((G30="5/16"),((база!$L$6*Таблица1[[#This Row],[сумма]]*Таблица1[[#This Row],[коэф]])),
IF((G30="4/16"),((база!$L$5*Таблица1[[#This Row],[сумма]]*Таблица1[[#This Row],[коэф]])),
IF((G30="3/16"),((база!$L$4*Таблица1[[#This Row],[сумма]]*Таблица1[[#This Row],[коэф]])),
IF((G30="4/4"),((база!$I$5*Таблица1[[#This Row],[сумма]]*Таблица1[[#This Row],[коэф]])),
IF(OR(G30="2/4",G30="3/4"),((база!$I$4*Таблица1[[#This Row],[сумма]]*Таблица1[[#This Row],[коэф]])),
IF((G30="5/8"),((база!$J$6*Таблица1[[#This Row],[сумма]]*Таблица1[[#This Row],[коэф]])),
IF((G30="4/8"),((база!$J$5*Таблица1[[#This Row],[сумма]]*Таблица1[[#This Row],[коэф]])),
IF(OR(G30="3/8",G30="2/8"),((база!$J$4*Таблица1[[#This Row],[сумма]]*Таблица1[[#This Row],[коэф]])))))))))))))),
(IF((G30="5/24"),((база!$M$6*Таблица1[[#This Row],[сумма]]*Таблица1[[#This Row],[коэф]])),
IF(OR(G30="4/24",G30="3/24"),((база!$M$5*Таблица1[[#This Row],[сумма]]*Таблица1[[#This Row],[коэф]])),
IF((G30="5/16"),((база!$L$6*Таблица1[[#This Row],[сумма]]*Таблица1[[#This Row],[коэф]])),
IF(OR(G30="4/16",G30="3/16"),((база!$L$5*Таблица1[[#This Row],[сумма]]*Таблица1[[#This Row],[коэф]])),
IF(OR(G30="2/4",G30="3/4",G30="4/4"),((база!$I$5*Таблица1[[#This Row],[сумма]]*Таблица1[[#This Row],[коэф]])),
IF((G30="5/8"),((база!$J$6*Таблица1[[#This Row],[сумма]]*Таблица1[[#This Row],[коэф]])),
IF(OR(G30="4/8",G30="3/8",G30="2/8"),((база!$J$5*Таблица1[[#This Row],[сумма]]*Таблица1[[#This Row],[коэф]])))))))))))</f>
        <v>0</v>
      </c>
      <c r="AP30" s="715" t="b">
        <f>IF(AR30&lt;=3,(IF((G30="5/24"),((база!$M$6*2*Таблица1[[#This Row],[Столбец1]]*Таблица1[[#This Row],[коэф]])),
IF((G30="4/24"),((база!$M$5*2*Таблица1[[#This Row],[Столбец1]]*Таблица1[[#This Row],[коэф]])),
IF((G30="3/24"),((база!$M$4*2*Таблица1[[#This Row],[Столбец1]]*Таблица1[[#This Row],[коэф]])),
IF((G30="5/16"),((база!$L$6*2*Таблица1[[#This Row],[Столбец1]]*Таблица1[[#This Row],[коэф]])),
IF((G30="4/16"),((база!$L$5*2*Таблица1[[#This Row],[Столбец1]]*Таблица1[[#This Row],[коэф]])),
IF((G30="3/16"),((база!$L$4*2*Таблица1[[#This Row],[Столбец1]]*Таблица1[[#This Row],[коэф]])),
IF((G30="4/4"),((база!$I$5*2*Таблица1[[#This Row],[Столбец1]]*Таблица1[[#This Row],[коэф]])),
IF(OR(G30="2/4",G30="3/4"),((база!$I$4*2*Таблица1[[#This Row],[Столбец1]]*Таблица1[[#This Row],[коэф]])),
IF((G30="5/8"),((база!$J$6*2*Таблица1[[#This Row],[Столбец1]]*Таблица1[[#This Row],[коэф]])),
IF((G30="4/8"),((база!$J$5*2*Таблица1[[#This Row],[Столбец1]]*Таблица1[[#This Row],[коэф]])),
IF(OR(G30="3/8",G30="2/8"),((база!$J$4*2*Таблица1[[#This Row],[Столбец1]]*Таблица1[[#This Row],[коэф]])))))))))))))),
(IF((G30="5/24"),((база!$M$6*2*Таблица1[[#This Row],[Столбец1]]*Таблица1[[#This Row],[коэф]])),
IF(OR(G30="4/24",G30="3/24"),((база!$M$5*2*Таблица1[[#This Row],[Столбец1]]*Таблица1[[#This Row],[коэф]])),
IF((G30="5/16"),((база!$L$6*2*Таблица1[[#This Row],[Столбец1]]*Таблица1[[#This Row],[коэф]])),
IF(OR(G30="4/16",G30="3/16"),((база!$L$5*2*Таблица1[[#This Row],[Столбец1]]*Таблица1[[#This Row],[коэф]])),
IF(OR(G30="2/4",G30="3/4",G30="4/4"),((база!$I$5*2*Таблица1[[#This Row],[Столбец1]]*Таблица1[[#This Row],[коэф]])),
IF((G30="5/8"),((база!$J$6*2*Таблица1[[#This Row],[Столбец1]]*Таблица1[[#This Row],[коэф]])),
IF(OR(G30="4/8",G30="3/8",G30="2/8"),((база!$J$5*2*Таблица1[[#This Row],[Столбец1]]*Таблица1[[#This Row],[коэф]])))))))))))</f>
        <v>0</v>
      </c>
      <c r="AQ30" s="697" t="str">
        <f>IFERROR(INDEX(база!T:T, MATCH(F30,база!Q:Q,0)),"")</f>
        <v/>
      </c>
      <c r="AR30" s="207">
        <f>IFERROR(INDEX(база!D:D, MATCH(F30,база!B:B,0)),"")</f>
        <v>0</v>
      </c>
    </row>
    <row r="31" spans="1:47" ht="15">
      <c r="A31" s="66" t="str">
        <f t="shared" si="0"/>
        <v>декабрь</v>
      </c>
      <c r="B31" s="230">
        <v>2023</v>
      </c>
      <c r="C31" s="60"/>
      <c r="D31" s="61"/>
      <c r="E31" s="210"/>
      <c r="F31" s="669"/>
      <c r="G31" s="47"/>
      <c r="H31" s="212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  <c r="AG31" s="48"/>
      <c r="AH31" s="48"/>
      <c r="AI31" s="48"/>
      <c r="AJ31" s="48"/>
      <c r="AK31" s="48"/>
      <c r="AL31" s="51"/>
      <c r="AM31" s="211">
        <f>IF(AQ31=1,SUM(H31:I31,L31:O31,R31:U31,X31:AA31,AD31:AG31,AI31:AK31),
IF(AQ31=2,SUM(H31:K31,N31:Q31,T31:W31,Z31:AC31,AF31:AI31),
IF(AQ31=3,SUM(J31:M31,P31:S31,V31:Y31,AB31:AE31,AH31:AK31),SUM(Таблица1[[#This Row],[1]:[31]])-Таблица1[[#This Row],[Столбец1]])))</f>
        <v>0</v>
      </c>
      <c r="AN31" s="290">
        <f t="array" ref="AN31">IF(AQ31=1,SUM(J31:K31,P31:Q31,V31:W31,AB31:AC31,AH31:AI31),
IF(AQ31=2,SUM(L31:M31,R31:S31,X31:Y31,AD31:AE31),
IF(AQ31=3,SUM(H31:I31,N31:O31,T31:U31,Z31:AA31,AF31:AG31),
SUM(IFERROR(WEEKDAY($H$2:$AL$2,2)&gt;5,)*H31:AL31))))</f>
        <v>0</v>
      </c>
      <c r="AO31" s="292" t="b">
        <f>IF(AR31&lt;=3,(IF((G31="5/24"),((база!$M$6*Таблица1[[#This Row],[сумма]]*Таблица1[[#This Row],[коэф]])),
IF((G31="4/24"),((база!$M$5*Таблица1[[#This Row],[сумма]]*Таблица1[[#This Row],[коэф]])),
IF((G31="3/24"),((база!$M$4*Таблица1[[#This Row],[сумма]]*Таблица1[[#This Row],[коэф]])),
IF((G31="5/16"),((база!$L$6*Таблица1[[#This Row],[сумма]]*Таблица1[[#This Row],[коэф]])),
IF((G31="4/16"),((база!$L$5*Таблица1[[#This Row],[сумма]]*Таблица1[[#This Row],[коэф]])),
IF((G31="3/16"),((база!$L$4*Таблица1[[#This Row],[сумма]]*Таблица1[[#This Row],[коэф]])),
IF((G31="4/4"),((база!$I$5*Таблица1[[#This Row],[сумма]]*Таблица1[[#This Row],[коэф]])),
IF(OR(G31="2/4",G31="3/4"),((база!$I$4*Таблица1[[#This Row],[сумма]]*Таблица1[[#This Row],[коэф]])),
IF((G31="5/8"),((база!$J$6*Таблица1[[#This Row],[сумма]]*Таблица1[[#This Row],[коэф]])),
IF((G31="4/8"),((база!$J$5*Таблица1[[#This Row],[сумма]]*Таблица1[[#This Row],[коэф]])),
IF(OR(G31="3/8",G31="2/8"),((база!$J$4*Таблица1[[#This Row],[сумма]]*Таблица1[[#This Row],[коэф]])))))))))))))),
(IF((G31="5/24"),((база!$M$6*Таблица1[[#This Row],[сумма]]*Таблица1[[#This Row],[коэф]])),
IF(OR(G31="4/24",G31="3/24"),((база!$M$5*Таблица1[[#This Row],[сумма]]*Таблица1[[#This Row],[коэф]])),
IF((G31="5/16"),((база!$L$6*Таблица1[[#This Row],[сумма]]*Таблица1[[#This Row],[коэф]])),
IF(OR(G31="4/16",G31="3/16"),((база!$L$5*Таблица1[[#This Row],[сумма]]*Таблица1[[#This Row],[коэф]])),
IF(OR(G31="2/4",G31="3/4",G31="4/4"),((база!$I$5*Таблица1[[#This Row],[сумма]]*Таблица1[[#This Row],[коэф]])),
IF((G31="5/8"),((база!$J$6*Таблица1[[#This Row],[сумма]]*Таблица1[[#This Row],[коэф]])),
IF(OR(G31="4/8",G31="3/8",G31="2/8"),((база!$J$5*Таблица1[[#This Row],[сумма]]*Таблица1[[#This Row],[коэф]])))))))))))</f>
        <v>0</v>
      </c>
      <c r="AP31" s="715" t="b">
        <f>IF(AR31&lt;=3,(IF((G31="5/24"),((база!$M$6*2*Таблица1[[#This Row],[Столбец1]]*Таблица1[[#This Row],[коэф]])),
IF((G31="4/24"),((база!$M$5*2*Таблица1[[#This Row],[Столбец1]]*Таблица1[[#This Row],[коэф]])),
IF((G31="3/24"),((база!$M$4*2*Таблица1[[#This Row],[Столбец1]]*Таблица1[[#This Row],[коэф]])),
IF((G31="5/16"),((база!$L$6*2*Таблица1[[#This Row],[Столбец1]]*Таблица1[[#This Row],[коэф]])),
IF((G31="4/16"),((база!$L$5*2*Таблица1[[#This Row],[Столбец1]]*Таблица1[[#This Row],[коэф]])),
IF((G31="3/16"),((база!$L$4*2*Таблица1[[#This Row],[Столбец1]]*Таблица1[[#This Row],[коэф]])),
IF((G31="4/4"),((база!$I$5*2*Таблица1[[#This Row],[Столбец1]]*Таблица1[[#This Row],[коэф]])),
IF(OR(G31="2/4",G31="3/4"),((база!$I$4*2*Таблица1[[#This Row],[Столбец1]]*Таблица1[[#This Row],[коэф]])),
IF((G31="5/8"),((база!$J$6*2*Таблица1[[#This Row],[Столбец1]]*Таблица1[[#This Row],[коэф]])),
IF((G31="4/8"),((база!$J$5*2*Таблица1[[#This Row],[Столбец1]]*Таблица1[[#This Row],[коэф]])),
IF(OR(G31="3/8",G31="2/8"),((база!$J$4*2*Таблица1[[#This Row],[Столбец1]]*Таблица1[[#This Row],[коэф]])))))))))))))),
(IF((G31="5/24"),((база!$M$6*2*Таблица1[[#This Row],[Столбец1]]*Таблица1[[#This Row],[коэф]])),
IF(OR(G31="4/24",G31="3/24"),((база!$M$5*2*Таблица1[[#This Row],[Столбец1]]*Таблица1[[#This Row],[коэф]])),
IF((G31="5/16"),((база!$L$6*2*Таблица1[[#This Row],[Столбец1]]*Таблица1[[#This Row],[коэф]])),
IF(OR(G31="4/16",G31="3/16"),((база!$L$5*2*Таблица1[[#This Row],[Столбец1]]*Таблица1[[#This Row],[коэф]])),
IF(OR(G31="2/4",G31="3/4",G31="4/4"),((база!$I$5*2*Таблица1[[#This Row],[Столбец1]]*Таблица1[[#This Row],[коэф]])),
IF((G31="5/8"),((база!$J$6*2*Таблица1[[#This Row],[Столбец1]]*Таблица1[[#This Row],[коэф]])),
IF(OR(G31="4/8",G31="3/8",G31="2/8"),((база!$J$5*2*Таблица1[[#This Row],[Столбец1]]*Таблица1[[#This Row],[коэф]])))))))))))</f>
        <v>0</v>
      </c>
      <c r="AQ31" s="697" t="str">
        <f>IFERROR(INDEX(база!T:T, MATCH(F31,база!Q:Q,0)),"")</f>
        <v/>
      </c>
      <c r="AR31" s="207">
        <f>IFERROR(INDEX(база!D:D, MATCH(F31,база!B:B,0)),"")</f>
        <v>0</v>
      </c>
    </row>
    <row r="32" spans="1:47" ht="15">
      <c r="A32" s="66" t="str">
        <f t="shared" si="0"/>
        <v>декабрь</v>
      </c>
      <c r="B32" s="230">
        <v>2023</v>
      </c>
      <c r="C32" s="60"/>
      <c r="D32" s="61"/>
      <c r="E32" s="210"/>
      <c r="F32" s="669"/>
      <c r="G32" s="47"/>
      <c r="H32" s="212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  <c r="AG32" s="48"/>
      <c r="AH32" s="48"/>
      <c r="AI32" s="48"/>
      <c r="AJ32" s="48"/>
      <c r="AK32" s="48"/>
      <c r="AL32" s="51"/>
      <c r="AM32" s="211">
        <f>IF(AQ32=1,SUM(H32:I32,L32:O32,R32:U32,X32:AA32,AD32:AG32,AI32:AK32),
IF(AQ32=2,SUM(H32:K32,N32:Q32,T32:W32,Z32:AC32,AF32:AI32),
IF(AQ32=3,SUM(J32:M32,P32:S32,V32:Y32,AB32:AE32,AH32:AK32),SUM(Таблица1[[#This Row],[1]:[31]])-Таблица1[[#This Row],[Столбец1]])))</f>
        <v>0</v>
      </c>
      <c r="AN32" s="290">
        <f t="array" ref="AN32">IF(AQ32=1,SUM(J32:K32,P32:Q32,V32:W32,AB32:AC32,AH32:AI32),
IF(AQ32=2,SUM(L32:M32,R32:S32,X32:Y32,AD32:AE32),
IF(AQ32=3,SUM(H32:I32,N32:O32,T32:U32,Z32:AA32,AF32:AG32),
SUM(IFERROR(WEEKDAY($H$2:$AL$2,2)&gt;5,)*H32:AL32))))</f>
        <v>0</v>
      </c>
      <c r="AO32" s="292" t="b">
        <f>IF(AR32&lt;=3,(IF((G32="5/24"),((база!$M$6*Таблица1[[#This Row],[сумма]]*Таблица1[[#This Row],[коэф]])),
IF((G32="4/24"),((база!$M$5*Таблица1[[#This Row],[сумма]]*Таблица1[[#This Row],[коэф]])),
IF((G32="3/24"),((база!$M$4*Таблица1[[#This Row],[сумма]]*Таблица1[[#This Row],[коэф]])),
IF((G32="5/16"),((база!$L$6*Таблица1[[#This Row],[сумма]]*Таблица1[[#This Row],[коэф]])),
IF((G32="4/16"),((база!$L$5*Таблица1[[#This Row],[сумма]]*Таблица1[[#This Row],[коэф]])),
IF((G32="3/16"),((база!$L$4*Таблица1[[#This Row],[сумма]]*Таблица1[[#This Row],[коэф]])),
IF((G32="4/4"),((база!$I$5*Таблица1[[#This Row],[сумма]]*Таблица1[[#This Row],[коэф]])),
IF(OR(G32="2/4",G32="3/4"),((база!$I$4*Таблица1[[#This Row],[сумма]]*Таблица1[[#This Row],[коэф]])),
IF((G32="5/8"),((база!$J$6*Таблица1[[#This Row],[сумма]]*Таблица1[[#This Row],[коэф]])),
IF((G32="4/8"),((база!$J$5*Таблица1[[#This Row],[сумма]]*Таблица1[[#This Row],[коэф]])),
IF(OR(G32="3/8",G32="2/8"),((база!$J$4*Таблица1[[#This Row],[сумма]]*Таблица1[[#This Row],[коэф]])))))))))))))),
(IF((G32="5/24"),((база!$M$6*Таблица1[[#This Row],[сумма]]*Таблица1[[#This Row],[коэф]])),
IF(OR(G32="4/24",G32="3/24"),((база!$M$5*Таблица1[[#This Row],[сумма]]*Таблица1[[#This Row],[коэф]])),
IF((G32="5/16"),((база!$L$6*Таблица1[[#This Row],[сумма]]*Таблица1[[#This Row],[коэф]])),
IF(OR(G32="4/16",G32="3/16"),((база!$L$5*Таблица1[[#This Row],[сумма]]*Таблица1[[#This Row],[коэф]])),
IF(OR(G32="2/4",G32="3/4",G32="4/4"),((база!$I$5*Таблица1[[#This Row],[сумма]]*Таблица1[[#This Row],[коэф]])),
IF((G32="5/8"),((база!$J$6*Таблица1[[#This Row],[сумма]]*Таблица1[[#This Row],[коэф]])),
IF(OR(G32="4/8",G32="3/8",G32="2/8"),((база!$J$5*Таблица1[[#This Row],[сумма]]*Таблица1[[#This Row],[коэф]])))))))))))</f>
        <v>0</v>
      </c>
      <c r="AP32" s="715" t="b">
        <f>IF(AR32&lt;=3,(IF((G32="5/24"),((база!$M$6*2*Таблица1[[#This Row],[Столбец1]]*Таблица1[[#This Row],[коэф]])),
IF((G32="4/24"),((база!$M$5*2*Таблица1[[#This Row],[Столбец1]]*Таблица1[[#This Row],[коэф]])),
IF((G32="3/24"),((база!$M$4*2*Таблица1[[#This Row],[Столбец1]]*Таблица1[[#This Row],[коэф]])),
IF((G32="5/16"),((база!$L$6*2*Таблица1[[#This Row],[Столбец1]]*Таблица1[[#This Row],[коэф]])),
IF((G32="4/16"),((база!$L$5*2*Таблица1[[#This Row],[Столбец1]]*Таблица1[[#This Row],[коэф]])),
IF((G32="3/16"),((база!$L$4*2*Таблица1[[#This Row],[Столбец1]]*Таблица1[[#This Row],[коэф]])),
IF((G32="4/4"),((база!$I$5*2*Таблица1[[#This Row],[Столбец1]]*Таблица1[[#This Row],[коэф]])),
IF(OR(G32="2/4",G32="3/4"),((база!$I$4*2*Таблица1[[#This Row],[Столбец1]]*Таблица1[[#This Row],[коэф]])),
IF((G32="5/8"),((база!$J$6*2*Таблица1[[#This Row],[Столбец1]]*Таблица1[[#This Row],[коэф]])),
IF((G32="4/8"),((база!$J$5*2*Таблица1[[#This Row],[Столбец1]]*Таблица1[[#This Row],[коэф]])),
IF(OR(G32="3/8",G32="2/8"),((база!$J$4*2*Таблица1[[#This Row],[Столбец1]]*Таблица1[[#This Row],[коэф]])))))))))))))),
(IF((G32="5/24"),((база!$M$6*2*Таблица1[[#This Row],[Столбец1]]*Таблица1[[#This Row],[коэф]])),
IF(OR(G32="4/24",G32="3/24"),((база!$M$5*2*Таблица1[[#This Row],[Столбец1]]*Таблица1[[#This Row],[коэф]])),
IF((G32="5/16"),((база!$L$6*2*Таблица1[[#This Row],[Столбец1]]*Таблица1[[#This Row],[коэф]])),
IF(OR(G32="4/16",G32="3/16"),((база!$L$5*2*Таблица1[[#This Row],[Столбец1]]*Таблица1[[#This Row],[коэф]])),
IF(OR(G32="2/4",G32="3/4",G32="4/4"),((база!$I$5*2*Таблица1[[#This Row],[Столбец1]]*Таблица1[[#This Row],[коэф]])),
IF((G32="5/8"),((база!$J$6*2*Таблица1[[#This Row],[Столбец1]]*Таблица1[[#This Row],[коэф]])),
IF(OR(G32="4/8",G32="3/8",G32="2/8"),((база!$J$5*2*Таблица1[[#This Row],[Столбец1]]*Таблица1[[#This Row],[коэф]])))))))))))</f>
        <v>0</v>
      </c>
      <c r="AQ32" s="697" t="str">
        <f>IFERROR(INDEX(база!T:T, MATCH(F32,база!Q:Q,0)),"")</f>
        <v/>
      </c>
      <c r="AR32" s="207">
        <f>IFERROR(INDEX(база!D:D, MATCH(F32,база!B:B,0)),"")</f>
        <v>0</v>
      </c>
    </row>
    <row r="33" spans="1:44" ht="15">
      <c r="A33" s="66" t="str">
        <f t="shared" si="0"/>
        <v>декабрь</v>
      </c>
      <c r="B33" s="230">
        <v>2023</v>
      </c>
      <c r="C33" s="60"/>
      <c r="D33" s="61"/>
      <c r="E33" s="210"/>
      <c r="F33" s="669"/>
      <c r="G33" s="47"/>
      <c r="H33" s="212"/>
      <c r="I33" s="48"/>
      <c r="J33" s="48"/>
      <c r="K33" s="48"/>
      <c r="L33" s="48"/>
      <c r="M33" s="48"/>
      <c r="N33" s="49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  <c r="AG33" s="48"/>
      <c r="AH33" s="48"/>
      <c r="AI33" s="48"/>
      <c r="AJ33" s="48"/>
      <c r="AK33" s="48"/>
      <c r="AL33" s="51"/>
      <c r="AM33" s="211">
        <f>IF(AQ33=1,SUM(H33:I33,L33:O33,R33:U33,X33:AA33,AD33:AG33,AI33:AK33),
IF(AQ33=2,SUM(H33:K33,N33:Q33,T33:W33,Z33:AC33,AF33:AI33),
IF(AQ33=3,SUM(J33:M33,P33:S33,V33:Y33,AB33:AE33,AH33:AK33),SUM(Таблица1[[#This Row],[1]:[31]])-Таблица1[[#This Row],[Столбец1]])))</f>
        <v>0</v>
      </c>
      <c r="AN33" s="290">
        <f t="array" ref="AN33">IF(AQ33=1,SUM(J33:K33,P33:Q33,V33:W33,AB33:AC33,AH33:AI33),
IF(AQ33=2,SUM(L33:M33,R33:S33,X33:Y33,AD33:AE33),
IF(AQ33=3,SUM(H33:I33,N33:O33,T33:U33,Z33:AA33,AF33:AG33),
SUM(IFERROR(WEEKDAY($H$2:$AL$2,2)&gt;5,)*H33:AL33))))</f>
        <v>0</v>
      </c>
      <c r="AO33" s="292" t="b">
        <f>IF(AR33&lt;=3,(IF((G33="5/24"),((база!$M$6*Таблица1[[#This Row],[сумма]]*Таблица1[[#This Row],[коэф]])),
IF((G33="4/24"),((база!$M$5*Таблица1[[#This Row],[сумма]]*Таблица1[[#This Row],[коэф]])),
IF((G33="3/24"),((база!$M$4*Таблица1[[#This Row],[сумма]]*Таблица1[[#This Row],[коэф]])),
IF((G33="5/16"),((база!$L$6*Таблица1[[#This Row],[сумма]]*Таблица1[[#This Row],[коэф]])),
IF((G33="4/16"),((база!$L$5*Таблица1[[#This Row],[сумма]]*Таблица1[[#This Row],[коэф]])),
IF((G33="3/16"),((база!$L$4*Таблица1[[#This Row],[сумма]]*Таблица1[[#This Row],[коэф]])),
IF((G33="4/4"),((база!$I$5*Таблица1[[#This Row],[сумма]]*Таблица1[[#This Row],[коэф]])),
IF(OR(G33="2/4",G33="3/4"),((база!$I$4*Таблица1[[#This Row],[сумма]]*Таблица1[[#This Row],[коэф]])),
IF((G33="5/8"),((база!$J$6*Таблица1[[#This Row],[сумма]]*Таблица1[[#This Row],[коэф]])),
IF((G33="4/8"),((база!$J$5*Таблица1[[#This Row],[сумма]]*Таблица1[[#This Row],[коэф]])),
IF(OR(G33="3/8",G33="2/8"),((база!$J$4*Таблица1[[#This Row],[сумма]]*Таблица1[[#This Row],[коэф]])))))))))))))),
(IF((G33="5/24"),((база!$M$6*Таблица1[[#This Row],[сумма]]*Таблица1[[#This Row],[коэф]])),
IF(OR(G33="4/24",G33="3/24"),((база!$M$5*Таблица1[[#This Row],[сумма]]*Таблица1[[#This Row],[коэф]])),
IF((G33="5/16"),((база!$L$6*Таблица1[[#This Row],[сумма]]*Таблица1[[#This Row],[коэф]])),
IF(OR(G33="4/16",G33="3/16"),((база!$L$5*Таблица1[[#This Row],[сумма]]*Таблица1[[#This Row],[коэф]])),
IF(OR(G33="2/4",G33="3/4",G33="4/4"),((база!$I$5*Таблица1[[#This Row],[сумма]]*Таблица1[[#This Row],[коэф]])),
IF((G33="5/8"),((база!$J$6*Таблица1[[#This Row],[сумма]]*Таблица1[[#This Row],[коэф]])),
IF(OR(G33="4/8",G33="3/8",G33="2/8"),((база!$J$5*Таблица1[[#This Row],[сумма]]*Таблица1[[#This Row],[коэф]])))))))))))</f>
        <v>0</v>
      </c>
      <c r="AP33" s="715" t="b">
        <f>IF(AR33&lt;=3,(IF((G33="5/24"),((база!$M$6*2*Таблица1[[#This Row],[Столбец1]]*Таблица1[[#This Row],[коэф]])),
IF((G33="4/24"),((база!$M$5*2*Таблица1[[#This Row],[Столбец1]]*Таблица1[[#This Row],[коэф]])),
IF((G33="3/24"),((база!$M$4*2*Таблица1[[#This Row],[Столбец1]]*Таблица1[[#This Row],[коэф]])),
IF((G33="5/16"),((база!$L$6*2*Таблица1[[#This Row],[Столбец1]]*Таблица1[[#This Row],[коэф]])),
IF((G33="4/16"),((база!$L$5*2*Таблица1[[#This Row],[Столбец1]]*Таблица1[[#This Row],[коэф]])),
IF((G33="3/16"),((база!$L$4*2*Таблица1[[#This Row],[Столбец1]]*Таблица1[[#This Row],[коэф]])),
IF((G33="4/4"),((база!$I$5*2*Таблица1[[#This Row],[Столбец1]]*Таблица1[[#This Row],[коэф]])),
IF(OR(G33="2/4",G33="3/4"),((база!$I$4*2*Таблица1[[#This Row],[Столбец1]]*Таблица1[[#This Row],[коэф]])),
IF((G33="5/8"),((база!$J$6*2*Таблица1[[#This Row],[Столбец1]]*Таблица1[[#This Row],[коэф]])),
IF((G33="4/8"),((база!$J$5*2*Таблица1[[#This Row],[Столбец1]]*Таблица1[[#This Row],[коэф]])),
IF(OR(G33="3/8",G33="2/8"),((база!$J$4*2*Таблица1[[#This Row],[Столбец1]]*Таблица1[[#This Row],[коэф]])))))))))))))),
(IF((G33="5/24"),((база!$M$6*2*Таблица1[[#This Row],[Столбец1]]*Таблица1[[#This Row],[коэф]])),
IF(OR(G33="4/24",G33="3/24"),((база!$M$5*2*Таблица1[[#This Row],[Столбец1]]*Таблица1[[#This Row],[коэф]])),
IF((G33="5/16"),((база!$L$6*2*Таблица1[[#This Row],[Столбец1]]*Таблица1[[#This Row],[коэф]])),
IF(OR(G33="4/16",G33="3/16"),((база!$L$5*2*Таблица1[[#This Row],[Столбец1]]*Таблица1[[#This Row],[коэф]])),
IF(OR(G33="2/4",G33="3/4",G33="4/4"),((база!$I$5*2*Таблица1[[#This Row],[Столбец1]]*Таблица1[[#This Row],[коэф]])),
IF((G33="5/8"),((база!$J$6*2*Таблица1[[#This Row],[Столбец1]]*Таблица1[[#This Row],[коэф]])),
IF(OR(G33="4/8",G33="3/8",G33="2/8"),((база!$J$5*2*Таблица1[[#This Row],[Столбец1]]*Таблица1[[#This Row],[коэф]])))))))))))</f>
        <v>0</v>
      </c>
      <c r="AQ33" s="697" t="str">
        <f>IFERROR(INDEX(база!T:T, MATCH(F33,база!Q:Q,0)),"")</f>
        <v/>
      </c>
      <c r="AR33" s="207">
        <f>IFERROR(INDEX(база!D:D, MATCH(F33,база!B:B,0)),"")</f>
        <v>0</v>
      </c>
    </row>
    <row r="34" spans="1:44" ht="15">
      <c r="A34" s="66" t="str">
        <f t="shared" si="0"/>
        <v>декабрь</v>
      </c>
      <c r="B34" s="230">
        <v>2023</v>
      </c>
      <c r="C34" s="60"/>
      <c r="D34" s="61"/>
      <c r="E34" s="210"/>
      <c r="F34" s="669"/>
      <c r="G34" s="47"/>
      <c r="H34" s="212"/>
      <c r="I34" s="48"/>
      <c r="J34" s="48"/>
      <c r="K34" s="48"/>
      <c r="L34" s="48"/>
      <c r="M34" s="48"/>
      <c r="N34" s="49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  <c r="AG34" s="48"/>
      <c r="AH34" s="48"/>
      <c r="AI34" s="48"/>
      <c r="AJ34" s="48"/>
      <c r="AK34" s="48"/>
      <c r="AL34" s="51"/>
      <c r="AM34" s="211">
        <f>IF(AQ34=1,SUM(H34:I34,L34:O34,R34:U34,X34:AA34,AD34:AG34,AI34:AK34),
IF(AQ34=2,SUM(H34:K34,N34:Q34,T34:W34,Z34:AC34,AF34:AI34),
IF(AQ34=3,SUM(J34:M34,P34:S34,V34:Y34,AB34:AE34,AH34:AK34),SUM(Таблица1[[#This Row],[1]:[31]])-Таблица1[[#This Row],[Столбец1]])))</f>
        <v>0</v>
      </c>
      <c r="AN34" s="290">
        <f t="array" ref="AN34">IF(AQ34=1,SUM(J34:K34,P34:Q34,V34:W34,AB34:AC34,AH34:AI34),
IF(AQ34=2,SUM(L34:M34,R34:S34,X34:Y34,AD34:AE34),
IF(AQ34=3,SUM(H34:I34,N34:O34,T34:U34,Z34:AA34,AF34:AG34),
SUM(IFERROR(WEEKDAY($H$2:$AL$2,2)&gt;5,)*H34:AL34))))</f>
        <v>0</v>
      </c>
      <c r="AO34" s="292" t="b">
        <f>IF(AR34&lt;=3,(IF((G34="5/24"),((база!$M$6*Таблица1[[#This Row],[сумма]]*Таблица1[[#This Row],[коэф]])),
IF((G34="4/24"),((база!$M$5*Таблица1[[#This Row],[сумма]]*Таблица1[[#This Row],[коэф]])),
IF((G34="3/24"),((база!$M$4*Таблица1[[#This Row],[сумма]]*Таблица1[[#This Row],[коэф]])),
IF((G34="5/16"),((база!$L$6*Таблица1[[#This Row],[сумма]]*Таблица1[[#This Row],[коэф]])),
IF((G34="4/16"),((база!$L$5*Таблица1[[#This Row],[сумма]]*Таблица1[[#This Row],[коэф]])),
IF((G34="3/16"),((база!$L$4*Таблица1[[#This Row],[сумма]]*Таблица1[[#This Row],[коэф]])),
IF((G34="4/4"),((база!$I$5*Таблица1[[#This Row],[сумма]]*Таблица1[[#This Row],[коэф]])),
IF(OR(G34="2/4",G34="3/4"),((база!$I$4*Таблица1[[#This Row],[сумма]]*Таблица1[[#This Row],[коэф]])),
IF((G34="5/8"),((база!$J$6*Таблица1[[#This Row],[сумма]]*Таблица1[[#This Row],[коэф]])),
IF((G34="4/8"),((база!$J$5*Таблица1[[#This Row],[сумма]]*Таблица1[[#This Row],[коэф]])),
IF(OR(G34="3/8",G34="2/8"),((база!$J$4*Таблица1[[#This Row],[сумма]]*Таблица1[[#This Row],[коэф]])))))))))))))),
(IF((G34="5/24"),((база!$M$6*Таблица1[[#This Row],[сумма]]*Таблица1[[#This Row],[коэф]])),
IF(OR(G34="4/24",G34="3/24"),((база!$M$5*Таблица1[[#This Row],[сумма]]*Таблица1[[#This Row],[коэф]])),
IF((G34="5/16"),((база!$L$6*Таблица1[[#This Row],[сумма]]*Таблица1[[#This Row],[коэф]])),
IF(OR(G34="4/16",G34="3/16"),((база!$L$5*Таблица1[[#This Row],[сумма]]*Таблица1[[#This Row],[коэф]])),
IF(OR(G34="2/4",G34="3/4",G34="4/4"),((база!$I$5*Таблица1[[#This Row],[сумма]]*Таблица1[[#This Row],[коэф]])),
IF((G34="5/8"),((база!$J$6*Таблица1[[#This Row],[сумма]]*Таблица1[[#This Row],[коэф]])),
IF(OR(G34="4/8",G34="3/8",G34="2/8"),((база!$J$5*Таблица1[[#This Row],[сумма]]*Таблица1[[#This Row],[коэф]])))))))))))</f>
        <v>0</v>
      </c>
      <c r="AP34" s="715" t="b">
        <f>IF(AR34&lt;=3,(IF((G34="5/24"),((база!$M$6*2*Таблица1[[#This Row],[Столбец1]]*Таблица1[[#This Row],[коэф]])),
IF((G34="4/24"),((база!$M$5*2*Таблица1[[#This Row],[Столбец1]]*Таблица1[[#This Row],[коэф]])),
IF((G34="3/24"),((база!$M$4*2*Таблица1[[#This Row],[Столбец1]]*Таблица1[[#This Row],[коэф]])),
IF((G34="5/16"),((база!$L$6*2*Таблица1[[#This Row],[Столбец1]]*Таблица1[[#This Row],[коэф]])),
IF((G34="4/16"),((база!$L$5*2*Таблица1[[#This Row],[Столбец1]]*Таблица1[[#This Row],[коэф]])),
IF((G34="3/16"),((база!$L$4*2*Таблица1[[#This Row],[Столбец1]]*Таблица1[[#This Row],[коэф]])),
IF((G34="4/4"),((база!$I$5*2*Таблица1[[#This Row],[Столбец1]]*Таблица1[[#This Row],[коэф]])),
IF(OR(G34="2/4",G34="3/4"),((база!$I$4*2*Таблица1[[#This Row],[Столбец1]]*Таблица1[[#This Row],[коэф]])),
IF((G34="5/8"),((база!$J$6*2*Таблица1[[#This Row],[Столбец1]]*Таблица1[[#This Row],[коэф]])),
IF((G34="4/8"),((база!$J$5*2*Таблица1[[#This Row],[Столбец1]]*Таблица1[[#This Row],[коэф]])),
IF(OR(G34="3/8",G34="2/8"),((база!$J$4*2*Таблица1[[#This Row],[Столбец1]]*Таблица1[[#This Row],[коэф]])))))))))))))),
(IF((G34="5/24"),((база!$M$6*2*Таблица1[[#This Row],[Столбец1]]*Таблица1[[#This Row],[коэф]])),
IF(OR(G34="4/24",G34="3/24"),((база!$M$5*2*Таблица1[[#This Row],[Столбец1]]*Таблица1[[#This Row],[коэф]])),
IF((G34="5/16"),((база!$L$6*2*Таблица1[[#This Row],[Столбец1]]*Таблица1[[#This Row],[коэф]])),
IF(OR(G34="4/16",G34="3/16"),((база!$L$5*2*Таблица1[[#This Row],[Столбец1]]*Таблица1[[#This Row],[коэф]])),
IF(OR(G34="2/4",G34="3/4",G34="4/4"),((база!$I$5*2*Таблица1[[#This Row],[Столбец1]]*Таблица1[[#This Row],[коэф]])),
IF((G34="5/8"),((база!$J$6*2*Таблица1[[#This Row],[Столбец1]]*Таблица1[[#This Row],[коэф]])),
IF(OR(G34="4/8",G34="3/8",G34="2/8"),((база!$J$5*2*Таблица1[[#This Row],[Столбец1]]*Таблица1[[#This Row],[коэф]])))))))))))</f>
        <v>0</v>
      </c>
      <c r="AQ34" s="697" t="str">
        <f>IFERROR(INDEX(база!T:T, MATCH(F34,база!Q:Q,0)),"")</f>
        <v/>
      </c>
      <c r="AR34" s="207">
        <f>IFERROR(INDEX(база!D:D, MATCH(F34,база!B:B,0)),"")</f>
        <v>0</v>
      </c>
    </row>
    <row r="35" spans="1:44" ht="15">
      <c r="A35" s="66" t="str">
        <f t="shared" si="0"/>
        <v>декабрь</v>
      </c>
      <c r="B35" s="230">
        <v>2023</v>
      </c>
      <c r="C35" s="60"/>
      <c r="D35" s="61"/>
      <c r="E35" s="210"/>
      <c r="F35" s="669"/>
      <c r="G35" s="47"/>
      <c r="H35" s="48"/>
      <c r="I35" s="48"/>
      <c r="J35" s="48"/>
      <c r="K35" s="48"/>
      <c r="L35" s="48"/>
      <c r="M35" s="48"/>
      <c r="N35" s="49"/>
      <c r="O35" s="48"/>
      <c r="P35" s="49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8"/>
      <c r="AH35" s="48"/>
      <c r="AI35" s="48"/>
      <c r="AJ35" s="48"/>
      <c r="AK35" s="48"/>
      <c r="AL35" s="51"/>
      <c r="AM35" s="211">
        <f>IF(AQ35=1,SUM(H35:I35,L35:O35,R35:U35,X35:AA35,AD35:AG35,AI35:AK35),
IF(AQ35=2,SUM(H35:K35,N35:Q35,T35:W35,Z35:AC35,AF35:AI35),
IF(AQ35=3,SUM(J35:M35,P35:S35,V35:Y35,AB35:AE35,AH35:AK35),SUM(Таблица1[[#This Row],[1]:[31]])-Таблица1[[#This Row],[Столбец1]])))</f>
        <v>0</v>
      </c>
      <c r="AN35" s="290">
        <f t="array" ref="AN35">IF(AQ35=1,SUM(J35:K35,P35:Q35,V35:W35,AB35:AC35,AH35:AI35),
IF(AQ35=2,SUM(L35:M35,R35:S35,X35:Y35,AD35:AE35),
IF(AQ35=3,SUM(H35:I35,N35:O35,T35:U35,Z35:AA35,AF35:AG35),
SUM(IFERROR(WEEKDAY($H$2:$AL$2,2)&gt;5,)*H35:AL35))))</f>
        <v>0</v>
      </c>
      <c r="AO35" s="292" t="b">
        <f>IF(AR35&lt;=3,(IF((G35="5/24"),((база!$M$6*Таблица1[[#This Row],[сумма]]*Таблица1[[#This Row],[коэф]])),
IF((G35="4/24"),((база!$M$5*Таблица1[[#This Row],[сумма]]*Таблица1[[#This Row],[коэф]])),
IF((G35="3/24"),((база!$M$4*Таблица1[[#This Row],[сумма]]*Таблица1[[#This Row],[коэф]])),
IF((G35="5/16"),((база!$L$6*Таблица1[[#This Row],[сумма]]*Таблица1[[#This Row],[коэф]])),
IF((G35="4/16"),((база!$L$5*Таблица1[[#This Row],[сумма]]*Таблица1[[#This Row],[коэф]])),
IF((G35="3/16"),((база!$L$4*Таблица1[[#This Row],[сумма]]*Таблица1[[#This Row],[коэф]])),
IF((G35="4/4"),((база!$I$5*Таблица1[[#This Row],[сумма]]*Таблица1[[#This Row],[коэф]])),
IF(OR(G35="2/4",G35="3/4"),((база!$I$4*Таблица1[[#This Row],[сумма]]*Таблица1[[#This Row],[коэф]])),
IF((G35="5/8"),((база!$J$6*Таблица1[[#This Row],[сумма]]*Таблица1[[#This Row],[коэф]])),
IF((G35="4/8"),((база!$J$5*Таблица1[[#This Row],[сумма]]*Таблица1[[#This Row],[коэф]])),
IF(OR(G35="3/8",G35="2/8"),((база!$J$4*Таблица1[[#This Row],[сумма]]*Таблица1[[#This Row],[коэф]])))))))))))))),
(IF((G35="5/24"),((база!$M$6*Таблица1[[#This Row],[сумма]]*Таблица1[[#This Row],[коэф]])),
IF(OR(G35="4/24",G35="3/24"),((база!$M$5*Таблица1[[#This Row],[сумма]]*Таблица1[[#This Row],[коэф]])),
IF((G35="5/16"),((база!$L$6*Таблица1[[#This Row],[сумма]]*Таблица1[[#This Row],[коэф]])),
IF(OR(G35="4/16",G35="3/16"),((база!$L$5*Таблица1[[#This Row],[сумма]]*Таблица1[[#This Row],[коэф]])),
IF(OR(G35="2/4",G35="3/4",G35="4/4"),((база!$I$5*Таблица1[[#This Row],[сумма]]*Таблица1[[#This Row],[коэф]])),
IF((G35="5/8"),((база!$J$6*Таблица1[[#This Row],[сумма]]*Таблица1[[#This Row],[коэф]])),
IF(OR(G35="4/8",G35="3/8",G35="2/8"),((база!$J$5*Таблица1[[#This Row],[сумма]]*Таблица1[[#This Row],[коэф]])))))))))))</f>
        <v>0</v>
      </c>
      <c r="AP35" s="715" t="b">
        <f>IF(AR35&lt;=3,(IF((G35="5/24"),((база!$M$6*2*Таблица1[[#This Row],[Столбец1]]*Таблица1[[#This Row],[коэф]])),
IF((G35="4/24"),((база!$M$5*2*Таблица1[[#This Row],[Столбец1]]*Таблица1[[#This Row],[коэф]])),
IF((G35="3/24"),((база!$M$4*2*Таблица1[[#This Row],[Столбец1]]*Таблица1[[#This Row],[коэф]])),
IF((G35="5/16"),((база!$L$6*2*Таблица1[[#This Row],[Столбец1]]*Таблица1[[#This Row],[коэф]])),
IF((G35="4/16"),((база!$L$5*2*Таблица1[[#This Row],[Столбец1]]*Таблица1[[#This Row],[коэф]])),
IF((G35="3/16"),((база!$L$4*2*Таблица1[[#This Row],[Столбец1]]*Таблица1[[#This Row],[коэф]])),
IF((G35="4/4"),((база!$I$5*2*Таблица1[[#This Row],[Столбец1]]*Таблица1[[#This Row],[коэф]])),
IF(OR(G35="2/4",G35="3/4"),((база!$I$4*2*Таблица1[[#This Row],[Столбец1]]*Таблица1[[#This Row],[коэф]])),
IF((G35="5/8"),((база!$J$6*2*Таблица1[[#This Row],[Столбец1]]*Таблица1[[#This Row],[коэф]])),
IF((G35="4/8"),((база!$J$5*2*Таблица1[[#This Row],[Столбец1]]*Таблица1[[#This Row],[коэф]])),
IF(OR(G35="3/8",G35="2/8"),((база!$J$4*2*Таблица1[[#This Row],[Столбец1]]*Таблица1[[#This Row],[коэф]])))))))))))))),
(IF((G35="5/24"),((база!$M$6*2*Таблица1[[#This Row],[Столбец1]]*Таблица1[[#This Row],[коэф]])),
IF(OR(G35="4/24",G35="3/24"),((база!$M$5*2*Таблица1[[#This Row],[Столбец1]]*Таблица1[[#This Row],[коэф]])),
IF((G35="5/16"),((база!$L$6*2*Таблица1[[#This Row],[Столбец1]]*Таблица1[[#This Row],[коэф]])),
IF(OR(G35="4/16",G35="3/16"),((база!$L$5*2*Таблица1[[#This Row],[Столбец1]]*Таблица1[[#This Row],[коэф]])),
IF(OR(G35="2/4",G35="3/4",G35="4/4"),((база!$I$5*2*Таблица1[[#This Row],[Столбец1]]*Таблица1[[#This Row],[коэф]])),
IF((G35="5/8"),((база!$J$6*2*Таблица1[[#This Row],[Столбец1]]*Таблица1[[#This Row],[коэф]])),
IF(OR(G35="4/8",G35="3/8",G35="2/8"),((база!$J$5*2*Таблица1[[#This Row],[Столбец1]]*Таблица1[[#This Row],[коэф]])))))))))))</f>
        <v>0</v>
      </c>
      <c r="AQ35" s="697" t="str">
        <f>IFERROR(INDEX(база!T:T, MATCH(F35,база!Q:Q,0)),"")</f>
        <v/>
      </c>
      <c r="AR35" s="207">
        <f>IFERROR(INDEX(база!D:D, MATCH(F35,база!B:B,0)),"")</f>
        <v>0</v>
      </c>
    </row>
    <row r="36" spans="1:44" ht="15">
      <c r="A36" s="66" t="str">
        <f t="shared" si="0"/>
        <v>декабрь</v>
      </c>
      <c r="B36" s="230">
        <v>2023</v>
      </c>
      <c r="C36" s="60"/>
      <c r="D36" s="61"/>
      <c r="E36" s="210"/>
      <c r="F36" s="669"/>
      <c r="G36" s="47"/>
      <c r="H36" s="212"/>
      <c r="I36" s="48"/>
      <c r="J36" s="48"/>
      <c r="K36" s="48"/>
      <c r="L36" s="48"/>
      <c r="M36" s="48"/>
      <c r="N36" s="49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  <c r="AG36" s="48"/>
      <c r="AH36" s="48"/>
      <c r="AI36" s="48"/>
      <c r="AJ36" s="48"/>
      <c r="AK36" s="48"/>
      <c r="AL36" s="51"/>
      <c r="AM36" s="211">
        <f>IF(AQ36=1,SUM(H36:I36,L36:O36,R36:U36,X36:AA36,AD36:AG36,AI36:AK36),
IF(AQ36=2,SUM(H36:K36,N36:Q36,T36:W36,Z36:AC36,AF36:AI36),
IF(AQ36=3,SUM(J36:M36,P36:S36,V36:Y36,AB36:AE36,AH36:AK36),SUM(Таблица1[[#This Row],[1]:[31]])-Таблица1[[#This Row],[Столбец1]])))</f>
        <v>0</v>
      </c>
      <c r="AN36" s="290">
        <f t="array" ref="AN36">IF(AQ36=1,SUM(J36:K36,P36:Q36,V36:W36,AB36:AC36,AH36:AI36),
IF(AQ36=2,SUM(L36:M36,R36:S36,X36:Y36,AD36:AE36),
IF(AQ36=3,SUM(H36:I36,N36:O36,T36:U36,Z36:AA36,AF36:AG36),
SUM(IFERROR(WEEKDAY($H$2:$AL$2,2)&gt;5,)*H36:AL36))))</f>
        <v>0</v>
      </c>
      <c r="AO36" s="292" t="b">
        <f>IF(AR36&lt;=3,(IF((G36="5/24"),((база!$M$6*Таблица1[[#This Row],[сумма]]*Таблица1[[#This Row],[коэф]])),
IF((G36="4/24"),((база!$M$5*Таблица1[[#This Row],[сумма]]*Таблица1[[#This Row],[коэф]])),
IF((G36="3/24"),((база!$M$4*Таблица1[[#This Row],[сумма]]*Таблица1[[#This Row],[коэф]])),
IF((G36="5/16"),((база!$L$6*Таблица1[[#This Row],[сумма]]*Таблица1[[#This Row],[коэф]])),
IF((G36="4/16"),((база!$L$5*Таблица1[[#This Row],[сумма]]*Таблица1[[#This Row],[коэф]])),
IF((G36="3/16"),((база!$L$4*Таблица1[[#This Row],[сумма]]*Таблица1[[#This Row],[коэф]])),
IF((G36="4/4"),((база!$I$5*Таблица1[[#This Row],[сумма]]*Таблица1[[#This Row],[коэф]])),
IF(OR(G36="2/4",G36="3/4"),((база!$I$4*Таблица1[[#This Row],[сумма]]*Таблица1[[#This Row],[коэф]])),
IF((G36="5/8"),((база!$J$6*Таблица1[[#This Row],[сумма]]*Таблица1[[#This Row],[коэф]])),
IF((G36="4/8"),((база!$J$5*Таблица1[[#This Row],[сумма]]*Таблица1[[#This Row],[коэф]])),
IF(OR(G36="3/8",G36="2/8"),((база!$J$4*Таблица1[[#This Row],[сумма]]*Таблица1[[#This Row],[коэф]])))))))))))))),
(IF((G36="5/24"),((база!$M$6*Таблица1[[#This Row],[сумма]]*Таблица1[[#This Row],[коэф]])),
IF(OR(G36="4/24",G36="3/24"),((база!$M$5*Таблица1[[#This Row],[сумма]]*Таблица1[[#This Row],[коэф]])),
IF((G36="5/16"),((база!$L$6*Таблица1[[#This Row],[сумма]]*Таблица1[[#This Row],[коэф]])),
IF(OR(G36="4/16",G36="3/16"),((база!$L$5*Таблица1[[#This Row],[сумма]]*Таблица1[[#This Row],[коэф]])),
IF(OR(G36="2/4",G36="3/4",G36="4/4"),((база!$I$5*Таблица1[[#This Row],[сумма]]*Таблица1[[#This Row],[коэф]])),
IF((G36="5/8"),((база!$J$6*Таблица1[[#This Row],[сумма]]*Таблица1[[#This Row],[коэф]])),
IF(OR(G36="4/8",G36="3/8",G36="2/8"),((база!$J$5*Таблица1[[#This Row],[сумма]]*Таблица1[[#This Row],[коэф]])))))))))))</f>
        <v>0</v>
      </c>
      <c r="AP36" s="715" t="b">
        <f>IF(AR36&lt;=3,(IF((G36="5/24"),((база!$M$6*2*Таблица1[[#This Row],[Столбец1]]*Таблица1[[#This Row],[коэф]])),
IF((G36="4/24"),((база!$M$5*2*Таблица1[[#This Row],[Столбец1]]*Таблица1[[#This Row],[коэф]])),
IF((G36="3/24"),((база!$M$4*2*Таблица1[[#This Row],[Столбец1]]*Таблица1[[#This Row],[коэф]])),
IF((G36="5/16"),((база!$L$6*2*Таблица1[[#This Row],[Столбец1]]*Таблица1[[#This Row],[коэф]])),
IF((G36="4/16"),((база!$L$5*2*Таблица1[[#This Row],[Столбец1]]*Таблица1[[#This Row],[коэф]])),
IF((G36="3/16"),((база!$L$4*2*Таблица1[[#This Row],[Столбец1]]*Таблица1[[#This Row],[коэф]])),
IF((G36="4/4"),((база!$I$5*2*Таблица1[[#This Row],[Столбец1]]*Таблица1[[#This Row],[коэф]])),
IF(OR(G36="2/4",G36="3/4"),((база!$I$4*2*Таблица1[[#This Row],[Столбец1]]*Таблица1[[#This Row],[коэф]])),
IF((G36="5/8"),((база!$J$6*2*Таблица1[[#This Row],[Столбец1]]*Таблица1[[#This Row],[коэф]])),
IF((G36="4/8"),((база!$J$5*2*Таблица1[[#This Row],[Столбец1]]*Таблица1[[#This Row],[коэф]])),
IF(OR(G36="3/8",G36="2/8"),((база!$J$4*2*Таблица1[[#This Row],[Столбец1]]*Таблица1[[#This Row],[коэф]])))))))))))))),
(IF((G36="5/24"),((база!$M$6*2*Таблица1[[#This Row],[Столбец1]]*Таблица1[[#This Row],[коэф]])),
IF(OR(G36="4/24",G36="3/24"),((база!$M$5*2*Таблица1[[#This Row],[Столбец1]]*Таблица1[[#This Row],[коэф]])),
IF((G36="5/16"),((база!$L$6*2*Таблица1[[#This Row],[Столбец1]]*Таблица1[[#This Row],[коэф]])),
IF(OR(G36="4/16",G36="3/16"),((база!$L$5*2*Таблица1[[#This Row],[Столбец1]]*Таблица1[[#This Row],[коэф]])),
IF(OR(G36="2/4",G36="3/4",G36="4/4"),((база!$I$5*2*Таблица1[[#This Row],[Столбец1]]*Таблица1[[#This Row],[коэф]])),
IF((G36="5/8"),((база!$J$6*2*Таблица1[[#This Row],[Столбец1]]*Таблица1[[#This Row],[коэф]])),
IF(OR(G36="4/8",G36="3/8",G36="2/8"),((база!$J$5*2*Таблица1[[#This Row],[Столбец1]]*Таблица1[[#This Row],[коэф]])))))))))))</f>
        <v>0</v>
      </c>
      <c r="AQ36" s="697" t="str">
        <f>IFERROR(INDEX(база!T:T, MATCH(F36,база!Q:Q,0)),"")</f>
        <v/>
      </c>
      <c r="AR36" s="207">
        <f>IFERROR(INDEX(база!D:D, MATCH(F36,база!B:B,0)),"")</f>
        <v>0</v>
      </c>
    </row>
    <row r="37" spans="1:44" s="46" customFormat="1" ht="15">
      <c r="A37" s="66" t="str">
        <f t="shared" si="0"/>
        <v>декабрь</v>
      </c>
      <c r="B37" s="230">
        <v>2023</v>
      </c>
      <c r="C37" s="60"/>
      <c r="D37" s="61"/>
      <c r="E37" s="210"/>
      <c r="F37" s="669"/>
      <c r="G37" s="47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  <c r="AF37" s="48"/>
      <c r="AG37" s="48"/>
      <c r="AH37" s="48"/>
      <c r="AI37" s="48"/>
      <c r="AJ37" s="48"/>
      <c r="AK37" s="48"/>
      <c r="AL37" s="51"/>
      <c r="AM37" s="211">
        <f>IF(AQ37=1,SUM(H37:I37,L37:O37,R37:U37,X37:AA37,AD37:AG37,AI37:AK37),
IF(AQ37=2,SUM(H37:K37,N37:Q37,T37:W37,Z37:AC37,AF37:AI37),
IF(AQ37=3,SUM(J37:M37,P37:S37,V37:Y37,AB37:AE37,AH37:AK37),SUM(Таблица1[[#This Row],[1]:[31]])-Таблица1[[#This Row],[Столбец1]])))</f>
        <v>0</v>
      </c>
      <c r="AN37" s="290">
        <f t="array" ref="AN37">IF(AQ37=1,SUM(J37:K37,P37:Q37,V37:W37,AB37:AC37,AH37:AI37),
IF(AQ37=2,SUM(L37:M37,R37:S37,X37:Y37,AD37:AE37),
IF(AQ37=3,SUM(H37:I37,N37:O37,T37:U37,Z37:AA37,AF37:AG37),
SUM(IFERROR(WEEKDAY($H$2:$AL$2,2)&gt;5,)*H37:AL37))))</f>
        <v>0</v>
      </c>
      <c r="AO37" s="292" t="b">
        <f>IF(AR37&lt;=3,(IF((G37="5/24"),((база!$M$6*Таблица1[[#This Row],[сумма]]*Таблица1[[#This Row],[коэф]])),
IF((G37="4/24"),((база!$M$5*Таблица1[[#This Row],[сумма]]*Таблица1[[#This Row],[коэф]])),
IF((G37="3/24"),((база!$M$4*Таблица1[[#This Row],[сумма]]*Таблица1[[#This Row],[коэф]])),
IF((G37="5/16"),((база!$L$6*Таблица1[[#This Row],[сумма]]*Таблица1[[#This Row],[коэф]])),
IF((G37="4/16"),((база!$L$5*Таблица1[[#This Row],[сумма]]*Таблица1[[#This Row],[коэф]])),
IF((G37="3/16"),((база!$L$4*Таблица1[[#This Row],[сумма]]*Таблица1[[#This Row],[коэф]])),
IF((G37="4/4"),((база!$I$5*Таблица1[[#This Row],[сумма]]*Таблица1[[#This Row],[коэф]])),
IF(OR(G37="2/4",G37="3/4"),((база!$I$4*Таблица1[[#This Row],[сумма]]*Таблица1[[#This Row],[коэф]])),
IF((G37="5/8"),((база!$J$6*Таблица1[[#This Row],[сумма]]*Таблица1[[#This Row],[коэф]])),
IF((G37="4/8"),((база!$J$5*Таблица1[[#This Row],[сумма]]*Таблица1[[#This Row],[коэф]])),
IF(OR(G37="3/8",G37="2/8"),((база!$J$4*Таблица1[[#This Row],[сумма]]*Таблица1[[#This Row],[коэф]])))))))))))))),
(IF((G37="5/24"),((база!$M$6*Таблица1[[#This Row],[сумма]]*Таблица1[[#This Row],[коэф]])),
IF(OR(G37="4/24",G37="3/24"),((база!$M$5*Таблица1[[#This Row],[сумма]]*Таблица1[[#This Row],[коэф]])),
IF((G37="5/16"),((база!$L$6*Таблица1[[#This Row],[сумма]]*Таблица1[[#This Row],[коэф]])),
IF(OR(G37="4/16",G37="3/16"),((база!$L$5*Таблица1[[#This Row],[сумма]]*Таблица1[[#This Row],[коэф]])),
IF(OR(G37="2/4",G37="3/4",G37="4/4"),((база!$I$5*Таблица1[[#This Row],[сумма]]*Таблица1[[#This Row],[коэф]])),
IF((G37="5/8"),((база!$J$6*Таблица1[[#This Row],[сумма]]*Таблица1[[#This Row],[коэф]])),
IF(OR(G37="4/8",G37="3/8",G37="2/8"),((база!$J$5*Таблица1[[#This Row],[сумма]]*Таблица1[[#This Row],[коэф]])))))))))))</f>
        <v>0</v>
      </c>
      <c r="AP37" s="715" t="b">
        <f>IF(AR37&lt;=3,(IF((G37="5/24"),((база!$M$6*2*Таблица1[[#This Row],[Столбец1]]*Таблица1[[#This Row],[коэф]])),
IF((G37="4/24"),((база!$M$5*2*Таблица1[[#This Row],[Столбец1]]*Таблица1[[#This Row],[коэф]])),
IF((G37="3/24"),((база!$M$4*2*Таблица1[[#This Row],[Столбец1]]*Таблица1[[#This Row],[коэф]])),
IF((G37="5/16"),((база!$L$6*2*Таблица1[[#This Row],[Столбец1]]*Таблица1[[#This Row],[коэф]])),
IF((G37="4/16"),((база!$L$5*2*Таблица1[[#This Row],[Столбец1]]*Таблица1[[#This Row],[коэф]])),
IF((G37="3/16"),((база!$L$4*2*Таблица1[[#This Row],[Столбец1]]*Таблица1[[#This Row],[коэф]])),
IF((G37="4/4"),((база!$I$5*2*Таблица1[[#This Row],[Столбец1]]*Таблица1[[#This Row],[коэф]])),
IF(OR(G37="2/4",G37="3/4"),((база!$I$4*2*Таблица1[[#This Row],[Столбец1]]*Таблица1[[#This Row],[коэф]])),
IF((G37="5/8"),((база!$J$6*2*Таблица1[[#This Row],[Столбец1]]*Таблица1[[#This Row],[коэф]])),
IF((G37="4/8"),((база!$J$5*2*Таблица1[[#This Row],[Столбец1]]*Таблица1[[#This Row],[коэф]])),
IF(OR(G37="3/8",G37="2/8"),((база!$J$4*2*Таблица1[[#This Row],[Столбец1]]*Таблица1[[#This Row],[коэф]])))))))))))))),
(IF((G37="5/24"),((база!$M$6*2*Таблица1[[#This Row],[Столбец1]]*Таблица1[[#This Row],[коэф]])),
IF(OR(G37="4/24",G37="3/24"),((база!$M$5*2*Таблица1[[#This Row],[Столбец1]]*Таблица1[[#This Row],[коэф]])),
IF((G37="5/16"),((база!$L$6*2*Таблица1[[#This Row],[Столбец1]]*Таблица1[[#This Row],[коэф]])),
IF(OR(G37="4/16",G37="3/16"),((база!$L$5*2*Таблица1[[#This Row],[Столбец1]]*Таблица1[[#This Row],[коэф]])),
IF(OR(G37="2/4",G37="3/4",G37="4/4"),((база!$I$5*2*Таблица1[[#This Row],[Столбец1]]*Таблица1[[#This Row],[коэф]])),
IF((G37="5/8"),((база!$J$6*2*Таблица1[[#This Row],[Столбец1]]*Таблица1[[#This Row],[коэф]])),
IF(OR(G37="4/8",G37="3/8",G37="2/8"),((база!$J$5*2*Таблица1[[#This Row],[Столбец1]]*Таблица1[[#This Row],[коэф]])))))))))))</f>
        <v>0</v>
      </c>
      <c r="AQ37" s="697" t="str">
        <f>IFERROR(INDEX(база!T:T, MATCH(F37,база!Q:Q,0)),"")</f>
        <v/>
      </c>
      <c r="AR37" s="207">
        <f>IFERROR(INDEX(база!D:D, MATCH(F37,база!B:B,0)),"")</f>
        <v>0</v>
      </c>
    </row>
    <row r="38" spans="1:44" ht="15">
      <c r="A38" s="66" t="str">
        <f t="shared" si="0"/>
        <v>декабрь</v>
      </c>
      <c r="B38" s="230">
        <v>2023</v>
      </c>
      <c r="C38" s="60"/>
      <c r="D38" s="61"/>
      <c r="E38" s="210"/>
      <c r="F38" s="669"/>
      <c r="G38" s="47"/>
      <c r="H38" s="48"/>
      <c r="I38" s="48"/>
      <c r="J38" s="48"/>
      <c r="K38" s="48"/>
      <c r="L38" s="48"/>
      <c r="M38" s="48"/>
      <c r="N38" s="49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  <c r="AG38" s="48"/>
      <c r="AH38" s="48"/>
      <c r="AI38" s="48"/>
      <c r="AJ38" s="48"/>
      <c r="AK38" s="48"/>
      <c r="AL38" s="51"/>
      <c r="AM38" s="211">
        <f>IF(AQ38=1,SUM(H38:I38,L38:O38,R38:U38,X38:AA38,AD38:AG38,AI38:AK38),
IF(AQ38=2,SUM(H38:K38,N38:Q38,T38:W38,Z38:AC38,AF38:AI38),
IF(AQ38=3,SUM(J38:M38,P38:S38,V38:Y38,AB38:AE38,AH38:AK38),SUM(Таблица1[[#This Row],[1]:[31]])-Таблица1[[#This Row],[Столбец1]])))</f>
        <v>0</v>
      </c>
      <c r="AN38" s="290">
        <f t="array" ref="AN38">IF(AQ38=1,SUM(J38:K38,P38:Q38,V38:W38,AB38:AC38,AH38:AI38),
IF(AQ38=2,SUM(L38:M38,R38:S38,X38:Y38,AD38:AE38),
IF(AQ38=3,SUM(H38:I38,N38:O38,T38:U38,Z38:AA38,AF38:AG38),
SUM(IFERROR(WEEKDAY($H$2:$AL$2,2)&gt;5,)*H38:AL38))))</f>
        <v>0</v>
      </c>
      <c r="AO38" s="292" t="b">
        <f>IF(AR38&lt;=3,(IF((G38="5/24"),((база!$M$6*Таблица1[[#This Row],[сумма]]*Таблица1[[#This Row],[коэф]])),
IF((G38="4/24"),((база!$M$5*Таблица1[[#This Row],[сумма]]*Таблица1[[#This Row],[коэф]])),
IF((G38="3/24"),((база!$M$4*Таблица1[[#This Row],[сумма]]*Таблица1[[#This Row],[коэф]])),
IF((G38="5/16"),((база!$L$6*Таблица1[[#This Row],[сумма]]*Таблица1[[#This Row],[коэф]])),
IF((G38="4/16"),((база!$L$5*Таблица1[[#This Row],[сумма]]*Таблица1[[#This Row],[коэф]])),
IF((G38="3/16"),((база!$L$4*Таблица1[[#This Row],[сумма]]*Таблица1[[#This Row],[коэф]])),
IF((G38="4/4"),((база!$I$5*Таблица1[[#This Row],[сумма]]*Таблица1[[#This Row],[коэф]])),
IF(OR(G38="2/4",G38="3/4"),((база!$I$4*Таблица1[[#This Row],[сумма]]*Таблица1[[#This Row],[коэф]])),
IF((G38="5/8"),((база!$J$6*Таблица1[[#This Row],[сумма]]*Таблица1[[#This Row],[коэф]])),
IF((G38="4/8"),((база!$J$5*Таблица1[[#This Row],[сумма]]*Таблица1[[#This Row],[коэф]])),
IF(OR(G38="3/8",G38="2/8"),((база!$J$4*Таблица1[[#This Row],[сумма]]*Таблица1[[#This Row],[коэф]])))))))))))))),
(IF((G38="5/24"),((база!$M$6*Таблица1[[#This Row],[сумма]]*Таблица1[[#This Row],[коэф]])),
IF(OR(G38="4/24",G38="3/24"),((база!$M$5*Таблица1[[#This Row],[сумма]]*Таблица1[[#This Row],[коэф]])),
IF((G38="5/16"),((база!$L$6*Таблица1[[#This Row],[сумма]]*Таблица1[[#This Row],[коэф]])),
IF(OR(G38="4/16",G38="3/16"),((база!$L$5*Таблица1[[#This Row],[сумма]]*Таблица1[[#This Row],[коэф]])),
IF(OR(G38="2/4",G38="3/4",G38="4/4"),((база!$I$5*Таблица1[[#This Row],[сумма]]*Таблица1[[#This Row],[коэф]])),
IF((G38="5/8"),((база!$J$6*Таблица1[[#This Row],[сумма]]*Таблица1[[#This Row],[коэф]])),
IF(OR(G38="4/8",G38="3/8",G38="2/8"),((база!$J$5*Таблица1[[#This Row],[сумма]]*Таблица1[[#This Row],[коэф]])))))))))))</f>
        <v>0</v>
      </c>
      <c r="AP38" s="715" t="b">
        <f>IF(AR38&lt;=3,(IF((G38="5/24"),((база!$M$6*2*Таблица1[[#This Row],[Столбец1]]*Таблица1[[#This Row],[коэф]])),
IF((G38="4/24"),((база!$M$5*2*Таблица1[[#This Row],[Столбец1]]*Таблица1[[#This Row],[коэф]])),
IF((G38="3/24"),((база!$M$4*2*Таблица1[[#This Row],[Столбец1]]*Таблица1[[#This Row],[коэф]])),
IF((G38="5/16"),((база!$L$6*2*Таблица1[[#This Row],[Столбец1]]*Таблица1[[#This Row],[коэф]])),
IF((G38="4/16"),((база!$L$5*2*Таблица1[[#This Row],[Столбец1]]*Таблица1[[#This Row],[коэф]])),
IF((G38="3/16"),((база!$L$4*2*Таблица1[[#This Row],[Столбец1]]*Таблица1[[#This Row],[коэф]])),
IF((G38="4/4"),((база!$I$5*2*Таблица1[[#This Row],[Столбец1]]*Таблица1[[#This Row],[коэф]])),
IF(OR(G38="2/4",G38="3/4"),((база!$I$4*2*Таблица1[[#This Row],[Столбец1]]*Таблица1[[#This Row],[коэф]])),
IF((G38="5/8"),((база!$J$6*2*Таблица1[[#This Row],[Столбец1]]*Таблица1[[#This Row],[коэф]])),
IF((G38="4/8"),((база!$J$5*2*Таблица1[[#This Row],[Столбец1]]*Таблица1[[#This Row],[коэф]])),
IF(OR(G38="3/8",G38="2/8"),((база!$J$4*2*Таблица1[[#This Row],[Столбец1]]*Таблица1[[#This Row],[коэф]])))))))))))))),
(IF((G38="5/24"),((база!$M$6*2*Таблица1[[#This Row],[Столбец1]]*Таблица1[[#This Row],[коэф]])),
IF(OR(G38="4/24",G38="3/24"),((база!$M$5*2*Таблица1[[#This Row],[Столбец1]]*Таблица1[[#This Row],[коэф]])),
IF((G38="5/16"),((база!$L$6*2*Таблица1[[#This Row],[Столбец1]]*Таблица1[[#This Row],[коэф]])),
IF(OR(G38="4/16",G38="3/16"),((база!$L$5*2*Таблица1[[#This Row],[Столбец1]]*Таблица1[[#This Row],[коэф]])),
IF(OR(G38="2/4",G38="3/4",G38="4/4"),((база!$I$5*2*Таблица1[[#This Row],[Столбец1]]*Таблица1[[#This Row],[коэф]])),
IF((G38="5/8"),((база!$J$6*2*Таблица1[[#This Row],[Столбец1]]*Таблица1[[#This Row],[коэф]])),
IF(OR(G38="4/8",G38="3/8",G38="2/8"),((база!$J$5*2*Таблица1[[#This Row],[Столбец1]]*Таблица1[[#This Row],[коэф]])))))))))))</f>
        <v>0</v>
      </c>
      <c r="AQ38" s="697" t="str">
        <f>IFERROR(INDEX(база!T:T, MATCH(F38,база!Q:Q,0)),"")</f>
        <v/>
      </c>
      <c r="AR38" s="207">
        <f>IFERROR(INDEX(база!D:D, MATCH(F38,база!B:B,0)),"")</f>
        <v>0</v>
      </c>
    </row>
    <row r="39" spans="1:44" s="46" customFormat="1" ht="15">
      <c r="A39" s="66" t="str">
        <f t="shared" si="0"/>
        <v>декабрь</v>
      </c>
      <c r="B39" s="230">
        <v>2023</v>
      </c>
      <c r="C39" s="60"/>
      <c r="D39" s="61"/>
      <c r="E39" s="210"/>
      <c r="F39" s="669"/>
      <c r="G39" s="47"/>
      <c r="H39" s="212"/>
      <c r="I39" s="48"/>
      <c r="J39" s="48"/>
      <c r="K39" s="48"/>
      <c r="L39" s="48"/>
      <c r="M39" s="48"/>
      <c r="N39" s="49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  <c r="AA39" s="48"/>
      <c r="AB39" s="48"/>
      <c r="AC39" s="48"/>
      <c r="AD39" s="48"/>
      <c r="AE39" s="48"/>
      <c r="AF39" s="48"/>
      <c r="AG39" s="48"/>
      <c r="AH39" s="48"/>
      <c r="AI39" s="48"/>
      <c r="AJ39" s="48"/>
      <c r="AK39" s="48"/>
      <c r="AL39" s="51"/>
      <c r="AM39" s="211">
        <f>IF(AQ39=1,SUM(H39:I39,L39:O39,R39:U39,X39:AA39,AD39:AG39,AI39:AK39),
IF(AQ39=2,SUM(H39:K39,N39:Q39,T39:W39,Z39:AC39,AF39:AI39),
IF(AQ39=3,SUM(J39:M39,P39:S39,V39:Y39,AB39:AE39,AH39:AK39),SUM(Таблица1[[#This Row],[1]:[31]])-Таблица1[[#This Row],[Столбец1]])))</f>
        <v>0</v>
      </c>
      <c r="AN39" s="290">
        <f t="array" ref="AN39">IF(AQ39=1,SUM(J39:K39,P39:Q39,V39:W39,AB39:AC39,AH39:AI39),
IF(AQ39=2,SUM(L39:M39,R39:S39,X39:Y39,AD39:AE39),
IF(AQ39=3,SUM(H39:I39,N39:O39,T39:U39,Z39:AA39,AF39:AG39),
SUM(IFERROR(WEEKDAY($H$2:$AL$2,2)&gt;5,)*H39:AL39))))</f>
        <v>0</v>
      </c>
      <c r="AO39" s="292" t="b">
        <f>IF(AR39&lt;=3,(IF((G39="5/24"),((база!$M$6*Таблица1[[#This Row],[сумма]]*Таблица1[[#This Row],[коэф]])),
IF((G39="4/24"),((база!$M$5*Таблица1[[#This Row],[сумма]]*Таблица1[[#This Row],[коэф]])),
IF((G39="3/24"),((база!$M$4*Таблица1[[#This Row],[сумма]]*Таблица1[[#This Row],[коэф]])),
IF((G39="5/16"),((база!$L$6*Таблица1[[#This Row],[сумма]]*Таблица1[[#This Row],[коэф]])),
IF((G39="4/16"),((база!$L$5*Таблица1[[#This Row],[сумма]]*Таблица1[[#This Row],[коэф]])),
IF((G39="3/16"),((база!$L$4*Таблица1[[#This Row],[сумма]]*Таблица1[[#This Row],[коэф]])),
IF((G39="4/4"),((база!$I$5*Таблица1[[#This Row],[сумма]]*Таблица1[[#This Row],[коэф]])),
IF(OR(G39="2/4",G39="3/4"),((база!$I$4*Таблица1[[#This Row],[сумма]]*Таблица1[[#This Row],[коэф]])),
IF((G39="5/8"),((база!$J$6*Таблица1[[#This Row],[сумма]]*Таблица1[[#This Row],[коэф]])),
IF((G39="4/8"),((база!$J$5*Таблица1[[#This Row],[сумма]]*Таблица1[[#This Row],[коэф]])),
IF(OR(G39="3/8",G39="2/8"),((база!$J$4*Таблица1[[#This Row],[сумма]]*Таблица1[[#This Row],[коэф]])))))))))))))),
(IF((G39="5/24"),((база!$M$6*Таблица1[[#This Row],[сумма]]*Таблица1[[#This Row],[коэф]])),
IF(OR(G39="4/24",G39="3/24"),((база!$M$5*Таблица1[[#This Row],[сумма]]*Таблица1[[#This Row],[коэф]])),
IF((G39="5/16"),((база!$L$6*Таблица1[[#This Row],[сумма]]*Таблица1[[#This Row],[коэф]])),
IF(OR(G39="4/16",G39="3/16"),((база!$L$5*Таблица1[[#This Row],[сумма]]*Таблица1[[#This Row],[коэф]])),
IF(OR(G39="2/4",G39="3/4",G39="4/4"),((база!$I$5*Таблица1[[#This Row],[сумма]]*Таблица1[[#This Row],[коэф]])),
IF((G39="5/8"),((база!$J$6*Таблица1[[#This Row],[сумма]]*Таблица1[[#This Row],[коэф]])),
IF(OR(G39="4/8",G39="3/8",G39="2/8"),((база!$J$5*Таблица1[[#This Row],[сумма]]*Таблица1[[#This Row],[коэф]])))))))))))</f>
        <v>0</v>
      </c>
      <c r="AP39" s="715" t="b">
        <f>IF(AR39&lt;=3,(IF((G39="5/24"),((база!$M$6*2*Таблица1[[#This Row],[Столбец1]]*Таблица1[[#This Row],[коэф]])),
IF((G39="4/24"),((база!$M$5*2*Таблица1[[#This Row],[Столбец1]]*Таблица1[[#This Row],[коэф]])),
IF((G39="3/24"),((база!$M$4*2*Таблица1[[#This Row],[Столбец1]]*Таблица1[[#This Row],[коэф]])),
IF((G39="5/16"),((база!$L$6*2*Таблица1[[#This Row],[Столбец1]]*Таблица1[[#This Row],[коэф]])),
IF((G39="4/16"),((база!$L$5*2*Таблица1[[#This Row],[Столбец1]]*Таблица1[[#This Row],[коэф]])),
IF((G39="3/16"),((база!$L$4*2*Таблица1[[#This Row],[Столбец1]]*Таблица1[[#This Row],[коэф]])),
IF((G39="4/4"),((база!$I$5*2*Таблица1[[#This Row],[Столбец1]]*Таблица1[[#This Row],[коэф]])),
IF(OR(G39="2/4",G39="3/4"),((база!$I$4*2*Таблица1[[#This Row],[Столбец1]]*Таблица1[[#This Row],[коэф]])),
IF((G39="5/8"),((база!$J$6*2*Таблица1[[#This Row],[Столбец1]]*Таблица1[[#This Row],[коэф]])),
IF((G39="4/8"),((база!$J$5*2*Таблица1[[#This Row],[Столбец1]]*Таблица1[[#This Row],[коэф]])),
IF(OR(G39="3/8",G39="2/8"),((база!$J$4*2*Таблица1[[#This Row],[Столбец1]]*Таблица1[[#This Row],[коэф]])))))))))))))),
(IF((G39="5/24"),((база!$M$6*2*Таблица1[[#This Row],[Столбец1]]*Таблица1[[#This Row],[коэф]])),
IF(OR(G39="4/24",G39="3/24"),((база!$M$5*2*Таблица1[[#This Row],[Столбец1]]*Таблица1[[#This Row],[коэф]])),
IF((G39="5/16"),((база!$L$6*2*Таблица1[[#This Row],[Столбец1]]*Таблица1[[#This Row],[коэф]])),
IF(OR(G39="4/16",G39="3/16"),((база!$L$5*2*Таблица1[[#This Row],[Столбец1]]*Таблица1[[#This Row],[коэф]])),
IF(OR(G39="2/4",G39="3/4",G39="4/4"),((база!$I$5*2*Таблица1[[#This Row],[Столбец1]]*Таблица1[[#This Row],[коэф]])),
IF((G39="5/8"),((база!$J$6*2*Таблица1[[#This Row],[Столбец1]]*Таблица1[[#This Row],[коэф]])),
IF(OR(G39="4/8",G39="3/8",G39="2/8"),((база!$J$5*2*Таблица1[[#This Row],[Столбец1]]*Таблица1[[#This Row],[коэф]])))))))))))</f>
        <v>0</v>
      </c>
      <c r="AQ39" s="697" t="str">
        <f>IFERROR(INDEX(база!T:T, MATCH(F39,база!Q:Q,0)),"")</f>
        <v/>
      </c>
      <c r="AR39" s="207">
        <f>IFERROR(INDEX(база!D:D, MATCH(F39,база!B:B,0)),"")</f>
        <v>0</v>
      </c>
    </row>
    <row r="40" spans="1:44" s="46" customFormat="1" ht="15">
      <c r="A40" s="66" t="str">
        <f t="shared" si="0"/>
        <v>декабрь</v>
      </c>
      <c r="B40" s="230">
        <v>2023</v>
      </c>
      <c r="C40" s="60"/>
      <c r="D40" s="61"/>
      <c r="E40" s="210"/>
      <c r="F40" s="669"/>
      <c r="G40" s="47"/>
      <c r="H40" s="212"/>
      <c r="I40" s="48"/>
      <c r="J40" s="48"/>
      <c r="K40" s="48"/>
      <c r="L40" s="48"/>
      <c r="M40" s="48"/>
      <c r="N40" s="49"/>
      <c r="O40" s="48"/>
      <c r="P40" s="49"/>
      <c r="Q40" s="48"/>
      <c r="R40" s="48"/>
      <c r="S40" s="48"/>
      <c r="T40" s="48"/>
      <c r="U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  <c r="AG40" s="48"/>
      <c r="AH40" s="48"/>
      <c r="AI40" s="48"/>
      <c r="AJ40" s="48"/>
      <c r="AK40" s="48"/>
      <c r="AL40" s="51"/>
      <c r="AM40" s="211">
        <f>IF(AQ40=1,SUM(H40:I40,L40:O40,R40:U40,X40:AA40,AD40:AG40,AI40:AK40),
IF(AQ40=2,SUM(H40:K40,N40:Q40,T40:W40,Z40:AC40,AF40:AI40),
IF(AQ40=3,SUM(J40:M40,P40:S40,V40:Y40,AB40:AE40,AH40:AK40),SUM(Таблица1[[#This Row],[1]:[31]])-Таблица1[[#This Row],[Столбец1]])))</f>
        <v>0</v>
      </c>
      <c r="AN40" s="290">
        <f t="array" ref="AN40">IF(AQ40=1,SUM(J40:K40,P40:Q40,V40:W40,AB40:AC40,AH40:AI40),
IF(AQ40=2,SUM(L40:M40,R40:S40,X40:Y40,AD40:AE40),
IF(AQ40=3,SUM(H40:I40,N40:O40,T40:U40,Z40:AA40,AF40:AG40),
SUM(IFERROR(WEEKDAY($H$2:$AL$2,2)&gt;5,)*H40:AL40))))</f>
        <v>0</v>
      </c>
      <c r="AO40" s="292" t="b">
        <f>IF(AR40&lt;=3,(IF((G40="5/24"),((база!$M$6*Таблица1[[#This Row],[сумма]]*Таблица1[[#This Row],[коэф]])),
IF((G40="4/24"),((база!$M$5*Таблица1[[#This Row],[сумма]]*Таблица1[[#This Row],[коэф]])),
IF((G40="3/24"),((база!$M$4*Таблица1[[#This Row],[сумма]]*Таблица1[[#This Row],[коэф]])),
IF((G40="5/16"),((база!$L$6*Таблица1[[#This Row],[сумма]]*Таблица1[[#This Row],[коэф]])),
IF((G40="4/16"),((база!$L$5*Таблица1[[#This Row],[сумма]]*Таблица1[[#This Row],[коэф]])),
IF((G40="3/16"),((база!$L$4*Таблица1[[#This Row],[сумма]]*Таблица1[[#This Row],[коэф]])),
IF((G40="4/4"),((база!$I$5*Таблица1[[#This Row],[сумма]]*Таблица1[[#This Row],[коэф]])),
IF(OR(G40="2/4",G40="3/4"),((база!$I$4*Таблица1[[#This Row],[сумма]]*Таблица1[[#This Row],[коэф]])),
IF((G40="5/8"),((база!$J$6*Таблица1[[#This Row],[сумма]]*Таблица1[[#This Row],[коэф]])),
IF((G40="4/8"),((база!$J$5*Таблица1[[#This Row],[сумма]]*Таблица1[[#This Row],[коэф]])),
IF(OR(G40="3/8",G40="2/8"),((база!$J$4*Таблица1[[#This Row],[сумма]]*Таблица1[[#This Row],[коэф]])))))))))))))),
(IF((G40="5/24"),((база!$M$6*Таблица1[[#This Row],[сумма]]*Таблица1[[#This Row],[коэф]])),
IF(OR(G40="4/24",G40="3/24"),((база!$M$5*Таблица1[[#This Row],[сумма]]*Таблица1[[#This Row],[коэф]])),
IF((G40="5/16"),((база!$L$6*Таблица1[[#This Row],[сумма]]*Таблица1[[#This Row],[коэф]])),
IF(OR(G40="4/16",G40="3/16"),((база!$L$5*Таблица1[[#This Row],[сумма]]*Таблица1[[#This Row],[коэф]])),
IF(OR(G40="2/4",G40="3/4",G40="4/4"),((база!$I$5*Таблица1[[#This Row],[сумма]]*Таблица1[[#This Row],[коэф]])),
IF((G40="5/8"),((база!$J$6*Таблица1[[#This Row],[сумма]]*Таблица1[[#This Row],[коэф]])),
IF(OR(G40="4/8",G40="3/8",G40="2/8"),((база!$J$5*Таблица1[[#This Row],[сумма]]*Таблица1[[#This Row],[коэф]])))))))))))</f>
        <v>0</v>
      </c>
      <c r="AP40" s="715" t="b">
        <f>IF(AR40&lt;=3,(IF((G40="5/24"),((база!$M$6*2*Таблица1[[#This Row],[Столбец1]]*Таблица1[[#This Row],[коэф]])),
IF((G40="4/24"),((база!$M$5*2*Таблица1[[#This Row],[Столбец1]]*Таблица1[[#This Row],[коэф]])),
IF((G40="3/24"),((база!$M$4*2*Таблица1[[#This Row],[Столбец1]]*Таблица1[[#This Row],[коэф]])),
IF((G40="5/16"),((база!$L$6*2*Таблица1[[#This Row],[Столбец1]]*Таблица1[[#This Row],[коэф]])),
IF((G40="4/16"),((база!$L$5*2*Таблица1[[#This Row],[Столбец1]]*Таблица1[[#This Row],[коэф]])),
IF((G40="3/16"),((база!$L$4*2*Таблица1[[#This Row],[Столбец1]]*Таблица1[[#This Row],[коэф]])),
IF((G40="4/4"),((база!$I$5*2*Таблица1[[#This Row],[Столбец1]]*Таблица1[[#This Row],[коэф]])),
IF(OR(G40="2/4",G40="3/4"),((база!$I$4*2*Таблица1[[#This Row],[Столбец1]]*Таблица1[[#This Row],[коэф]])),
IF((G40="5/8"),((база!$J$6*2*Таблица1[[#This Row],[Столбец1]]*Таблица1[[#This Row],[коэф]])),
IF((G40="4/8"),((база!$J$5*2*Таблица1[[#This Row],[Столбец1]]*Таблица1[[#This Row],[коэф]])),
IF(OR(G40="3/8",G40="2/8"),((база!$J$4*2*Таблица1[[#This Row],[Столбец1]]*Таблица1[[#This Row],[коэф]])))))))))))))),
(IF((G40="5/24"),((база!$M$6*2*Таблица1[[#This Row],[Столбец1]]*Таблица1[[#This Row],[коэф]])),
IF(OR(G40="4/24",G40="3/24"),((база!$M$5*2*Таблица1[[#This Row],[Столбец1]]*Таблица1[[#This Row],[коэф]])),
IF((G40="5/16"),((база!$L$6*2*Таблица1[[#This Row],[Столбец1]]*Таблица1[[#This Row],[коэф]])),
IF(OR(G40="4/16",G40="3/16"),((база!$L$5*2*Таблица1[[#This Row],[Столбец1]]*Таблица1[[#This Row],[коэф]])),
IF(OR(G40="2/4",G40="3/4",G40="4/4"),((база!$I$5*2*Таблица1[[#This Row],[Столбец1]]*Таблица1[[#This Row],[коэф]])),
IF((G40="5/8"),((база!$J$6*2*Таблица1[[#This Row],[Столбец1]]*Таблица1[[#This Row],[коэф]])),
IF(OR(G40="4/8",G40="3/8",G40="2/8"),((база!$J$5*2*Таблица1[[#This Row],[Столбец1]]*Таблица1[[#This Row],[коэф]])))))))))))</f>
        <v>0</v>
      </c>
      <c r="AQ40" s="697" t="str">
        <f>IFERROR(INDEX(база!T:T, MATCH(F40,база!Q:Q,0)),"")</f>
        <v/>
      </c>
      <c r="AR40" s="207">
        <f>IFERROR(INDEX(база!D:D, MATCH(F40,база!B:B,0)),"")</f>
        <v>0</v>
      </c>
    </row>
    <row r="41" spans="1:44" ht="15">
      <c r="A41" s="66" t="str">
        <f t="shared" si="0"/>
        <v>декабрь</v>
      </c>
      <c r="B41" s="230">
        <v>2023</v>
      </c>
      <c r="C41" s="60"/>
      <c r="D41" s="61"/>
      <c r="E41" s="210"/>
      <c r="F41" s="669"/>
      <c r="G41" s="47"/>
      <c r="H41" s="212"/>
      <c r="I41" s="212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  <c r="AG41" s="48"/>
      <c r="AH41" s="48"/>
      <c r="AI41" s="48"/>
      <c r="AJ41" s="48"/>
      <c r="AK41" s="48"/>
      <c r="AL41" s="48"/>
      <c r="AM41" s="211">
        <f>IF(AQ41=1,SUM(H41:I41,L41:O41,R41:U41,X41:AA41,AD41:AG41,AI41:AK41),
IF(AQ41=2,SUM(H41:K41,N41:Q41,T41:W41,Z41:AC41,AF41:AI41),
IF(AQ41=3,SUM(J41:M41,P41:S41,V41:Y41,AB41:AE41,AH41:AK41),SUM(Таблица1[[#This Row],[1]:[31]])-Таблица1[[#This Row],[Столбец1]])))</f>
        <v>0</v>
      </c>
      <c r="AN41" s="290">
        <f t="array" ref="AN41">IF(AQ41=1,SUM(J41:K41,P41:Q41,V41:W41,AB41:AC41,AH41:AI41),
IF(AQ41=2,SUM(L41:M41,R41:S41,X41:Y41,AD41:AE41),
IF(AQ41=3,SUM(H41:I41,N41:O41,T41:U41,Z41:AA41,AF41:AG41),
SUM(IFERROR(WEEKDAY($H$2:$AL$2,2)&gt;5,)*H41:AL41))))</f>
        <v>0</v>
      </c>
      <c r="AO41" s="292" t="b">
        <f>IF(AR41&lt;=3,(IF((G41="5/24"),((база!$M$6*Таблица1[[#This Row],[сумма]]*Таблица1[[#This Row],[коэф]])),
IF((G41="4/24"),((база!$M$5*Таблица1[[#This Row],[сумма]]*Таблица1[[#This Row],[коэф]])),
IF((G41="3/24"),((база!$M$4*Таблица1[[#This Row],[сумма]]*Таблица1[[#This Row],[коэф]])),
IF((G41="5/16"),((база!$L$6*Таблица1[[#This Row],[сумма]]*Таблица1[[#This Row],[коэф]])),
IF((G41="4/16"),((база!$L$5*Таблица1[[#This Row],[сумма]]*Таблица1[[#This Row],[коэф]])),
IF((G41="3/16"),((база!$L$4*Таблица1[[#This Row],[сумма]]*Таблица1[[#This Row],[коэф]])),
IF((G41="4/4"),((база!$I$5*Таблица1[[#This Row],[сумма]]*Таблица1[[#This Row],[коэф]])),
IF(OR(G41="2/4",G41="3/4"),((база!$I$4*Таблица1[[#This Row],[сумма]]*Таблица1[[#This Row],[коэф]])),
IF((G41="5/8"),((база!$J$6*Таблица1[[#This Row],[сумма]]*Таблица1[[#This Row],[коэф]])),
IF((G41="4/8"),((база!$J$5*Таблица1[[#This Row],[сумма]]*Таблица1[[#This Row],[коэф]])),
IF(OR(G41="3/8",G41="2/8"),((база!$J$4*Таблица1[[#This Row],[сумма]]*Таблица1[[#This Row],[коэф]])))))))))))))),
(IF((G41="5/24"),((база!$M$6*Таблица1[[#This Row],[сумма]]*Таблица1[[#This Row],[коэф]])),
IF(OR(G41="4/24",G41="3/24"),((база!$M$5*Таблица1[[#This Row],[сумма]]*Таблица1[[#This Row],[коэф]])),
IF((G41="5/16"),((база!$L$6*Таблица1[[#This Row],[сумма]]*Таблица1[[#This Row],[коэф]])),
IF(OR(G41="4/16",G41="3/16"),((база!$L$5*Таблица1[[#This Row],[сумма]]*Таблица1[[#This Row],[коэф]])),
IF(OR(G41="2/4",G41="3/4",G41="4/4"),((база!$I$5*Таблица1[[#This Row],[сумма]]*Таблица1[[#This Row],[коэф]])),
IF((G41="5/8"),((база!$J$6*Таблица1[[#This Row],[сумма]]*Таблица1[[#This Row],[коэф]])),
IF(OR(G41="4/8",G41="3/8",G41="2/8"),((база!$J$5*Таблица1[[#This Row],[сумма]]*Таблица1[[#This Row],[коэф]])))))))))))</f>
        <v>0</v>
      </c>
      <c r="AP41" s="715" t="b">
        <f>IF(AR41&lt;=3,(IF((G41="5/24"),((база!$M$6*2*Таблица1[[#This Row],[Столбец1]]*Таблица1[[#This Row],[коэф]])),
IF((G41="4/24"),((база!$M$5*2*Таблица1[[#This Row],[Столбец1]]*Таблица1[[#This Row],[коэф]])),
IF((G41="3/24"),((база!$M$4*2*Таблица1[[#This Row],[Столбец1]]*Таблица1[[#This Row],[коэф]])),
IF((G41="5/16"),((база!$L$6*2*Таблица1[[#This Row],[Столбец1]]*Таблица1[[#This Row],[коэф]])),
IF((G41="4/16"),((база!$L$5*2*Таблица1[[#This Row],[Столбец1]]*Таблица1[[#This Row],[коэф]])),
IF((G41="3/16"),((база!$L$4*2*Таблица1[[#This Row],[Столбец1]]*Таблица1[[#This Row],[коэф]])),
IF((G41="4/4"),((база!$I$5*2*Таблица1[[#This Row],[Столбец1]]*Таблица1[[#This Row],[коэф]])),
IF(OR(G41="2/4",G41="3/4"),((база!$I$4*2*Таблица1[[#This Row],[Столбец1]]*Таблица1[[#This Row],[коэф]])),
IF((G41="5/8"),((база!$J$6*2*Таблица1[[#This Row],[Столбец1]]*Таблица1[[#This Row],[коэф]])),
IF((G41="4/8"),((база!$J$5*2*Таблица1[[#This Row],[Столбец1]]*Таблица1[[#This Row],[коэф]])),
IF(OR(G41="3/8",G41="2/8"),((база!$J$4*2*Таблица1[[#This Row],[Столбец1]]*Таблица1[[#This Row],[коэф]])))))))))))))),
(IF((G41="5/24"),((база!$M$6*2*Таблица1[[#This Row],[Столбец1]]*Таблица1[[#This Row],[коэф]])),
IF(OR(G41="4/24",G41="3/24"),((база!$M$5*2*Таблица1[[#This Row],[Столбец1]]*Таблица1[[#This Row],[коэф]])),
IF((G41="5/16"),((база!$L$6*2*Таблица1[[#This Row],[Столбец1]]*Таблица1[[#This Row],[коэф]])),
IF(OR(G41="4/16",G41="3/16"),((база!$L$5*2*Таблица1[[#This Row],[Столбец1]]*Таблица1[[#This Row],[коэф]])),
IF(OR(G41="2/4",G41="3/4",G41="4/4"),((база!$I$5*2*Таблица1[[#This Row],[Столбец1]]*Таблица1[[#This Row],[коэф]])),
IF((G41="5/8"),((база!$J$6*2*Таблица1[[#This Row],[Столбец1]]*Таблица1[[#This Row],[коэф]])),
IF(OR(G41="4/8",G41="3/8",G41="2/8"),((база!$J$5*2*Таблица1[[#This Row],[Столбец1]]*Таблица1[[#This Row],[коэф]])))))))))))</f>
        <v>0</v>
      </c>
      <c r="AQ41" s="697" t="str">
        <f>IFERROR(INDEX(база!T:T, MATCH(F41,база!Q:Q,0)),"")</f>
        <v/>
      </c>
      <c r="AR41" s="207">
        <f>IFERROR(INDEX(база!D:D, MATCH(F41,база!B:B,0)),"")</f>
        <v>0</v>
      </c>
    </row>
    <row r="42" spans="1:44" ht="15">
      <c r="A42" s="66" t="str">
        <f t="shared" si="0"/>
        <v>декабрь</v>
      </c>
      <c r="B42" s="230">
        <v>2023</v>
      </c>
      <c r="C42" s="60"/>
      <c r="D42" s="61"/>
      <c r="E42" s="210"/>
      <c r="F42" s="669"/>
      <c r="G42" s="47"/>
      <c r="H42" s="212"/>
      <c r="I42" s="48"/>
      <c r="J42" s="48"/>
      <c r="K42" s="48"/>
      <c r="L42" s="48"/>
      <c r="M42" s="48"/>
      <c r="N42" s="49"/>
      <c r="O42" s="49"/>
      <c r="P42" s="49"/>
      <c r="Q42" s="49"/>
      <c r="R42" s="48"/>
      <c r="S42" s="48"/>
      <c r="T42" s="48"/>
      <c r="U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  <c r="AG42" s="48"/>
      <c r="AH42" s="48"/>
      <c r="AI42" s="48"/>
      <c r="AJ42" s="48"/>
      <c r="AK42" s="48"/>
      <c r="AL42" s="51"/>
      <c r="AM42" s="211">
        <f>IF(AQ42=1,SUM(H42:I42,L42:O42,R42:U42,X42:AA42,AD42:AG42,AI42:AK42),
IF(AQ42=2,SUM(H42:K42,N42:Q42,T42:W42,Z42:AC42,AF42:AI42),
IF(AQ42=3,SUM(J42:M42,P42:S42,V42:Y42,AB42:AE42,AH42:AK42),SUM(Таблица1[[#This Row],[1]:[31]])-Таблица1[[#This Row],[Столбец1]])))</f>
        <v>0</v>
      </c>
      <c r="AN42" s="290">
        <f t="array" ref="AN42">IF(AQ42=1,SUM(J42:K42,P42:Q42,V42:W42,AB42:AC42,AH42:AI42),
IF(AQ42=2,SUM(L42:M42,R42:S42,X42:Y42,AD42:AE42),
IF(AQ42=3,SUM(H42:I42,N42:O42,T42:U42,Z42:AA42,AF42:AG42),
SUM(IFERROR(WEEKDAY($H$2:$AL$2,2)&gt;5,)*H42:AL42))))</f>
        <v>0</v>
      </c>
      <c r="AO42" s="292" t="b">
        <f>IF(AR42&lt;=3,(IF((G42="5/24"),((база!$M$6*Таблица1[[#This Row],[сумма]]*Таблица1[[#This Row],[коэф]])),
IF((G42="4/24"),((база!$M$5*Таблица1[[#This Row],[сумма]]*Таблица1[[#This Row],[коэф]])),
IF((G42="3/24"),((база!$M$4*Таблица1[[#This Row],[сумма]]*Таблица1[[#This Row],[коэф]])),
IF((G42="5/16"),((база!$L$6*Таблица1[[#This Row],[сумма]]*Таблица1[[#This Row],[коэф]])),
IF((G42="4/16"),((база!$L$5*Таблица1[[#This Row],[сумма]]*Таблица1[[#This Row],[коэф]])),
IF((G42="3/16"),((база!$L$4*Таблица1[[#This Row],[сумма]]*Таблица1[[#This Row],[коэф]])),
IF((G42="4/4"),((база!$I$5*Таблица1[[#This Row],[сумма]]*Таблица1[[#This Row],[коэф]])),
IF(OR(G42="2/4",G42="3/4"),((база!$I$4*Таблица1[[#This Row],[сумма]]*Таблица1[[#This Row],[коэф]])),
IF((G42="5/8"),((база!$J$6*Таблица1[[#This Row],[сумма]]*Таблица1[[#This Row],[коэф]])),
IF((G42="4/8"),((база!$J$5*Таблица1[[#This Row],[сумма]]*Таблица1[[#This Row],[коэф]])),
IF(OR(G42="3/8",G42="2/8"),((база!$J$4*Таблица1[[#This Row],[сумма]]*Таблица1[[#This Row],[коэф]])))))))))))))),
(IF((G42="5/24"),((база!$M$6*Таблица1[[#This Row],[сумма]]*Таблица1[[#This Row],[коэф]])),
IF(OR(G42="4/24",G42="3/24"),((база!$M$5*Таблица1[[#This Row],[сумма]]*Таблица1[[#This Row],[коэф]])),
IF((G42="5/16"),((база!$L$6*Таблица1[[#This Row],[сумма]]*Таблица1[[#This Row],[коэф]])),
IF(OR(G42="4/16",G42="3/16"),((база!$L$5*Таблица1[[#This Row],[сумма]]*Таблица1[[#This Row],[коэф]])),
IF(OR(G42="2/4",G42="3/4",G42="4/4"),((база!$I$5*Таблица1[[#This Row],[сумма]]*Таблица1[[#This Row],[коэф]])),
IF((G42="5/8"),((база!$J$6*Таблица1[[#This Row],[сумма]]*Таблица1[[#This Row],[коэф]])),
IF(OR(G42="4/8",G42="3/8",G42="2/8"),((база!$J$5*Таблица1[[#This Row],[сумма]]*Таблица1[[#This Row],[коэф]])))))))))))</f>
        <v>0</v>
      </c>
      <c r="AP42" s="715" t="b">
        <f>IF(AR42&lt;=3,(IF((G42="5/24"),((база!$M$6*2*Таблица1[[#This Row],[Столбец1]]*Таблица1[[#This Row],[коэф]])),
IF((G42="4/24"),((база!$M$5*2*Таблица1[[#This Row],[Столбец1]]*Таблица1[[#This Row],[коэф]])),
IF((G42="3/24"),((база!$M$4*2*Таблица1[[#This Row],[Столбец1]]*Таблица1[[#This Row],[коэф]])),
IF((G42="5/16"),((база!$L$6*2*Таблица1[[#This Row],[Столбец1]]*Таблица1[[#This Row],[коэф]])),
IF((G42="4/16"),((база!$L$5*2*Таблица1[[#This Row],[Столбец1]]*Таблица1[[#This Row],[коэф]])),
IF((G42="3/16"),((база!$L$4*2*Таблица1[[#This Row],[Столбец1]]*Таблица1[[#This Row],[коэф]])),
IF((G42="4/4"),((база!$I$5*2*Таблица1[[#This Row],[Столбец1]]*Таблица1[[#This Row],[коэф]])),
IF(OR(G42="2/4",G42="3/4"),((база!$I$4*2*Таблица1[[#This Row],[Столбец1]]*Таблица1[[#This Row],[коэф]])),
IF((G42="5/8"),((база!$J$6*2*Таблица1[[#This Row],[Столбец1]]*Таблица1[[#This Row],[коэф]])),
IF((G42="4/8"),((база!$J$5*2*Таблица1[[#This Row],[Столбец1]]*Таблица1[[#This Row],[коэф]])),
IF(OR(G42="3/8",G42="2/8"),((база!$J$4*2*Таблица1[[#This Row],[Столбец1]]*Таблица1[[#This Row],[коэф]])))))))))))))),
(IF((G42="5/24"),((база!$M$6*2*Таблица1[[#This Row],[Столбец1]]*Таблица1[[#This Row],[коэф]])),
IF(OR(G42="4/24",G42="3/24"),((база!$M$5*2*Таблица1[[#This Row],[Столбец1]]*Таблица1[[#This Row],[коэф]])),
IF((G42="5/16"),((база!$L$6*2*Таблица1[[#This Row],[Столбец1]]*Таблица1[[#This Row],[коэф]])),
IF(OR(G42="4/16",G42="3/16"),((база!$L$5*2*Таблица1[[#This Row],[Столбец1]]*Таблица1[[#This Row],[коэф]])),
IF(OR(G42="2/4",G42="3/4",G42="4/4"),((база!$I$5*2*Таблица1[[#This Row],[Столбец1]]*Таблица1[[#This Row],[коэф]])),
IF((G42="5/8"),((база!$J$6*2*Таблица1[[#This Row],[Столбец1]]*Таблица1[[#This Row],[коэф]])),
IF(OR(G42="4/8",G42="3/8",G42="2/8"),((база!$J$5*2*Таблица1[[#This Row],[Столбец1]]*Таблица1[[#This Row],[коэф]])))))))))))</f>
        <v>0</v>
      </c>
      <c r="AQ42" s="697" t="str">
        <f>IFERROR(INDEX(база!T:T, MATCH(F42,база!Q:Q,0)),"")</f>
        <v/>
      </c>
      <c r="AR42" s="207">
        <f>IFERROR(INDEX(база!D:D, MATCH(F42,база!B:B,0)),"")</f>
        <v>0</v>
      </c>
    </row>
    <row r="43" spans="1:44" ht="15">
      <c r="A43" s="66" t="str">
        <f t="shared" si="0"/>
        <v>декабрь</v>
      </c>
      <c r="B43" s="230">
        <v>2023</v>
      </c>
      <c r="C43" s="60"/>
      <c r="D43" s="61"/>
      <c r="E43" s="210"/>
      <c r="F43" s="669"/>
      <c r="G43" s="47"/>
      <c r="H43" s="212"/>
      <c r="I43" s="48"/>
      <c r="J43" s="48"/>
      <c r="K43" s="48"/>
      <c r="L43" s="48"/>
      <c r="M43" s="48"/>
      <c r="N43" s="49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  <c r="AG43" s="48"/>
      <c r="AH43" s="48"/>
      <c r="AI43" s="48"/>
      <c r="AJ43" s="48"/>
      <c r="AK43" s="48"/>
      <c r="AL43" s="51"/>
      <c r="AM43" s="211">
        <f>IF(AQ43=1,SUM(H43:I43,L43:O43,R43:U43,X43:AA43,AD43:AG43,AI43:AK43),
IF(AQ43=2,SUM(H43:K43,N43:Q43,T43:W43,Z43:AC43,AF43:AI43),
IF(AQ43=3,SUM(J43:M43,P43:S43,V43:Y43,AB43:AE43,AH43:AK43),SUM(Таблица1[[#This Row],[1]:[31]])-Таблица1[[#This Row],[Столбец1]])))</f>
        <v>0</v>
      </c>
      <c r="AN43" s="290">
        <f t="array" ref="AN43">IF(AQ43=1,SUM(J43:K43,P43:Q43,V43:W43,AB43:AC43,AH43:AI43),
IF(AQ43=2,SUM(L43:M43,R43:S43,X43:Y43,AD43:AE43),
IF(AQ43=3,SUM(H43:I43,N43:O43,T43:U43,Z43:AA43,AF43:AG43),
SUM(IFERROR(WEEKDAY($H$2:$AL$2,2)&gt;5,)*H43:AL43))))</f>
        <v>0</v>
      </c>
      <c r="AO43" s="292" t="b">
        <f>IF(AR43&lt;=3,(IF((G43="5/24"),((база!$M$6*Таблица1[[#This Row],[сумма]]*Таблица1[[#This Row],[коэф]])),
IF((G43="4/24"),((база!$M$5*Таблица1[[#This Row],[сумма]]*Таблица1[[#This Row],[коэф]])),
IF((G43="3/24"),((база!$M$4*Таблица1[[#This Row],[сумма]]*Таблица1[[#This Row],[коэф]])),
IF((G43="5/16"),((база!$L$6*Таблица1[[#This Row],[сумма]]*Таблица1[[#This Row],[коэф]])),
IF((G43="4/16"),((база!$L$5*Таблица1[[#This Row],[сумма]]*Таблица1[[#This Row],[коэф]])),
IF((G43="3/16"),((база!$L$4*Таблица1[[#This Row],[сумма]]*Таблица1[[#This Row],[коэф]])),
IF((G43="4/4"),((база!$I$5*Таблица1[[#This Row],[сумма]]*Таблица1[[#This Row],[коэф]])),
IF(OR(G43="2/4",G43="3/4"),((база!$I$4*Таблица1[[#This Row],[сумма]]*Таблица1[[#This Row],[коэф]])),
IF((G43="5/8"),((база!$J$6*Таблица1[[#This Row],[сумма]]*Таблица1[[#This Row],[коэф]])),
IF((G43="4/8"),((база!$J$5*Таблица1[[#This Row],[сумма]]*Таблица1[[#This Row],[коэф]])),
IF(OR(G43="3/8",G43="2/8"),((база!$J$4*Таблица1[[#This Row],[сумма]]*Таблица1[[#This Row],[коэф]])))))))))))))),
(IF((G43="5/24"),((база!$M$6*Таблица1[[#This Row],[сумма]]*Таблица1[[#This Row],[коэф]])),
IF(OR(G43="4/24",G43="3/24"),((база!$M$5*Таблица1[[#This Row],[сумма]]*Таблица1[[#This Row],[коэф]])),
IF((G43="5/16"),((база!$L$6*Таблица1[[#This Row],[сумма]]*Таблица1[[#This Row],[коэф]])),
IF(OR(G43="4/16",G43="3/16"),((база!$L$5*Таблица1[[#This Row],[сумма]]*Таблица1[[#This Row],[коэф]])),
IF(OR(G43="2/4",G43="3/4",G43="4/4"),((база!$I$5*Таблица1[[#This Row],[сумма]]*Таблица1[[#This Row],[коэф]])),
IF((G43="5/8"),((база!$J$6*Таблица1[[#This Row],[сумма]]*Таблица1[[#This Row],[коэф]])),
IF(OR(G43="4/8",G43="3/8",G43="2/8"),((база!$J$5*Таблица1[[#This Row],[сумма]]*Таблица1[[#This Row],[коэф]])))))))))))</f>
        <v>0</v>
      </c>
      <c r="AP43" s="715" t="b">
        <f>IF(AR43&lt;=3,(IF((G43="5/24"),((база!$M$6*2*Таблица1[[#This Row],[Столбец1]]*Таблица1[[#This Row],[коэф]])),
IF((G43="4/24"),((база!$M$5*2*Таблица1[[#This Row],[Столбец1]]*Таблица1[[#This Row],[коэф]])),
IF((G43="3/24"),((база!$M$4*2*Таблица1[[#This Row],[Столбец1]]*Таблица1[[#This Row],[коэф]])),
IF((G43="5/16"),((база!$L$6*2*Таблица1[[#This Row],[Столбец1]]*Таблица1[[#This Row],[коэф]])),
IF((G43="4/16"),((база!$L$5*2*Таблица1[[#This Row],[Столбец1]]*Таблица1[[#This Row],[коэф]])),
IF((G43="3/16"),((база!$L$4*2*Таблица1[[#This Row],[Столбец1]]*Таблица1[[#This Row],[коэф]])),
IF((G43="4/4"),((база!$I$5*2*Таблица1[[#This Row],[Столбец1]]*Таблица1[[#This Row],[коэф]])),
IF(OR(G43="2/4",G43="3/4"),((база!$I$4*2*Таблица1[[#This Row],[Столбец1]]*Таблица1[[#This Row],[коэф]])),
IF((G43="5/8"),((база!$J$6*2*Таблица1[[#This Row],[Столбец1]]*Таблица1[[#This Row],[коэф]])),
IF((G43="4/8"),((база!$J$5*2*Таблица1[[#This Row],[Столбец1]]*Таблица1[[#This Row],[коэф]])),
IF(OR(G43="3/8",G43="2/8"),((база!$J$4*2*Таблица1[[#This Row],[Столбец1]]*Таблица1[[#This Row],[коэф]])))))))))))))),
(IF((G43="5/24"),((база!$M$6*2*Таблица1[[#This Row],[Столбец1]]*Таблица1[[#This Row],[коэф]])),
IF(OR(G43="4/24",G43="3/24"),((база!$M$5*2*Таблица1[[#This Row],[Столбец1]]*Таблица1[[#This Row],[коэф]])),
IF((G43="5/16"),((база!$L$6*2*Таблица1[[#This Row],[Столбец1]]*Таблица1[[#This Row],[коэф]])),
IF(OR(G43="4/16",G43="3/16"),((база!$L$5*2*Таблица1[[#This Row],[Столбец1]]*Таблица1[[#This Row],[коэф]])),
IF(OR(G43="2/4",G43="3/4",G43="4/4"),((база!$I$5*2*Таблица1[[#This Row],[Столбец1]]*Таблица1[[#This Row],[коэф]])),
IF((G43="5/8"),((база!$J$6*2*Таблица1[[#This Row],[Столбец1]]*Таблица1[[#This Row],[коэф]])),
IF(OR(G43="4/8",G43="3/8",G43="2/8"),((база!$J$5*2*Таблица1[[#This Row],[Столбец1]]*Таблица1[[#This Row],[коэф]])))))))))))</f>
        <v>0</v>
      </c>
      <c r="AQ43" s="697" t="str">
        <f>IFERROR(INDEX(база!T:T, MATCH(F43,база!Q:Q,0)),"")</f>
        <v/>
      </c>
      <c r="AR43" s="207">
        <f>IFERROR(INDEX(база!D:D, MATCH(F43,база!B:B,0)),"")</f>
        <v>0</v>
      </c>
    </row>
    <row r="44" spans="1:44" ht="15">
      <c r="A44" s="66" t="str">
        <f t="shared" si="0"/>
        <v>декабрь</v>
      </c>
      <c r="B44" s="230">
        <v>2023</v>
      </c>
      <c r="C44" s="60"/>
      <c r="D44" s="61"/>
      <c r="E44" s="210"/>
      <c r="F44" s="669"/>
      <c r="G44" s="47"/>
      <c r="H44" s="212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  <c r="AG44" s="48"/>
      <c r="AH44" s="48"/>
      <c r="AI44" s="48"/>
      <c r="AJ44" s="48"/>
      <c r="AK44" s="48"/>
      <c r="AL44" s="51"/>
      <c r="AM44" s="211">
        <f>IF(AQ44=1,SUM(H44:I44,L44:O44,R44:U44,X44:AA44,AD44:AG44,AI44:AK44),
IF(AQ44=2,SUM(H44:K44,N44:Q44,T44:W44,Z44:AC44,AF44:AI44),
IF(AQ44=3,SUM(J44:M44,P44:S44,V44:Y44,AB44:AE44,AH44:AK44),SUM(Таблица1[[#This Row],[1]:[31]])-Таблица1[[#This Row],[Столбец1]])))</f>
        <v>0</v>
      </c>
      <c r="AN44" s="290">
        <f t="array" ref="AN44">IF(AQ44=1,SUM(J44:K44,P44:Q44,V44:W44,AB44:AC44,AH44:AI44),
IF(AQ44=2,SUM(L44:M44,R44:S44,X44:Y44,AD44:AE44),
IF(AQ44=3,SUM(H44:I44,N44:O44,T44:U44,Z44:AA44,AF44:AG44),
SUM(IFERROR(WEEKDAY($H$2:$AL$2,2)&gt;5,)*H44:AL44))))</f>
        <v>0</v>
      </c>
      <c r="AO44" s="292" t="b">
        <f>IF(AR44&lt;=3,(IF((G44="5/24"),((база!$M$6*Таблица1[[#This Row],[сумма]]*Таблица1[[#This Row],[коэф]])),
IF((G44="4/24"),((база!$M$5*Таблица1[[#This Row],[сумма]]*Таблица1[[#This Row],[коэф]])),
IF((G44="3/24"),((база!$M$4*Таблица1[[#This Row],[сумма]]*Таблица1[[#This Row],[коэф]])),
IF((G44="5/16"),((база!$L$6*Таблица1[[#This Row],[сумма]]*Таблица1[[#This Row],[коэф]])),
IF((G44="4/16"),((база!$L$5*Таблица1[[#This Row],[сумма]]*Таблица1[[#This Row],[коэф]])),
IF((G44="3/16"),((база!$L$4*Таблица1[[#This Row],[сумма]]*Таблица1[[#This Row],[коэф]])),
IF((G44="4/4"),((база!$I$5*Таблица1[[#This Row],[сумма]]*Таблица1[[#This Row],[коэф]])),
IF(OR(G44="2/4",G44="3/4"),((база!$I$4*Таблица1[[#This Row],[сумма]]*Таблица1[[#This Row],[коэф]])),
IF((G44="5/8"),((база!$J$6*Таблица1[[#This Row],[сумма]]*Таблица1[[#This Row],[коэф]])),
IF((G44="4/8"),((база!$J$5*Таблица1[[#This Row],[сумма]]*Таблица1[[#This Row],[коэф]])),
IF(OR(G44="3/8",G44="2/8"),((база!$J$4*Таблица1[[#This Row],[сумма]]*Таблица1[[#This Row],[коэф]])))))))))))))),
(IF((G44="5/24"),((база!$M$6*Таблица1[[#This Row],[сумма]]*Таблица1[[#This Row],[коэф]])),
IF(OR(G44="4/24",G44="3/24"),((база!$M$5*Таблица1[[#This Row],[сумма]]*Таблица1[[#This Row],[коэф]])),
IF((G44="5/16"),((база!$L$6*Таблица1[[#This Row],[сумма]]*Таблица1[[#This Row],[коэф]])),
IF(OR(G44="4/16",G44="3/16"),((база!$L$5*Таблица1[[#This Row],[сумма]]*Таблица1[[#This Row],[коэф]])),
IF(OR(G44="2/4",G44="3/4",G44="4/4"),((база!$I$5*Таблица1[[#This Row],[сумма]]*Таблица1[[#This Row],[коэф]])),
IF((G44="5/8"),((база!$J$6*Таблица1[[#This Row],[сумма]]*Таблица1[[#This Row],[коэф]])),
IF(OR(G44="4/8",G44="3/8",G44="2/8"),((база!$J$5*Таблица1[[#This Row],[сумма]]*Таблица1[[#This Row],[коэф]])))))))))))</f>
        <v>0</v>
      </c>
      <c r="AP44" s="715" t="b">
        <f>IF(AR44&lt;=3,(IF((G44="5/24"),((база!$M$6*2*Таблица1[[#This Row],[Столбец1]]*Таблица1[[#This Row],[коэф]])),
IF((G44="4/24"),((база!$M$5*2*Таблица1[[#This Row],[Столбец1]]*Таблица1[[#This Row],[коэф]])),
IF((G44="3/24"),((база!$M$4*2*Таблица1[[#This Row],[Столбец1]]*Таблица1[[#This Row],[коэф]])),
IF((G44="5/16"),((база!$L$6*2*Таблица1[[#This Row],[Столбец1]]*Таблица1[[#This Row],[коэф]])),
IF((G44="4/16"),((база!$L$5*2*Таблица1[[#This Row],[Столбец1]]*Таблица1[[#This Row],[коэф]])),
IF((G44="3/16"),((база!$L$4*2*Таблица1[[#This Row],[Столбец1]]*Таблица1[[#This Row],[коэф]])),
IF((G44="4/4"),((база!$I$5*2*Таблица1[[#This Row],[Столбец1]]*Таблица1[[#This Row],[коэф]])),
IF(OR(G44="2/4",G44="3/4"),((база!$I$4*2*Таблица1[[#This Row],[Столбец1]]*Таблица1[[#This Row],[коэф]])),
IF((G44="5/8"),((база!$J$6*2*Таблица1[[#This Row],[Столбец1]]*Таблица1[[#This Row],[коэф]])),
IF((G44="4/8"),((база!$J$5*2*Таблица1[[#This Row],[Столбец1]]*Таблица1[[#This Row],[коэф]])),
IF(OR(G44="3/8",G44="2/8"),((база!$J$4*2*Таблица1[[#This Row],[Столбец1]]*Таблица1[[#This Row],[коэф]])))))))))))))),
(IF((G44="5/24"),((база!$M$6*2*Таблица1[[#This Row],[Столбец1]]*Таблица1[[#This Row],[коэф]])),
IF(OR(G44="4/24",G44="3/24"),((база!$M$5*2*Таблица1[[#This Row],[Столбец1]]*Таблица1[[#This Row],[коэф]])),
IF((G44="5/16"),((база!$L$6*2*Таблица1[[#This Row],[Столбец1]]*Таблица1[[#This Row],[коэф]])),
IF(OR(G44="4/16",G44="3/16"),((база!$L$5*2*Таблица1[[#This Row],[Столбец1]]*Таблица1[[#This Row],[коэф]])),
IF(OR(G44="2/4",G44="3/4",G44="4/4"),((база!$I$5*2*Таблица1[[#This Row],[Столбец1]]*Таблица1[[#This Row],[коэф]])),
IF((G44="5/8"),((база!$J$6*2*Таблица1[[#This Row],[Столбец1]]*Таблица1[[#This Row],[коэф]])),
IF(OR(G44="4/8",G44="3/8",G44="2/8"),((база!$J$5*2*Таблица1[[#This Row],[Столбец1]]*Таблица1[[#This Row],[коэф]])))))))))))</f>
        <v>0</v>
      </c>
      <c r="AQ44" s="697" t="str">
        <f>IFERROR(INDEX(база!T:T, MATCH(F44,база!Q:Q,0)),"")</f>
        <v/>
      </c>
      <c r="AR44" s="207">
        <f>IFERROR(INDEX(база!D:D, MATCH(F44,база!B:B,0)),"")</f>
        <v>0</v>
      </c>
    </row>
    <row r="45" spans="1:44" ht="15">
      <c r="A45" s="66" t="str">
        <f t="shared" si="0"/>
        <v>декабрь</v>
      </c>
      <c r="B45" s="230">
        <v>2023</v>
      </c>
      <c r="C45" s="60"/>
      <c r="D45" s="61"/>
      <c r="E45" s="210"/>
      <c r="F45" s="669"/>
      <c r="G45" s="47"/>
      <c r="H45" s="212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8"/>
      <c r="AH45" s="48"/>
      <c r="AI45" s="48"/>
      <c r="AJ45" s="48"/>
      <c r="AK45" s="48"/>
      <c r="AL45" s="51"/>
      <c r="AM45" s="211">
        <f>IF(AQ45=1,SUM(H45:I45,L45:O45,R45:U45,X45:AA45,AD45:AG45,AI45:AK45),
IF(AQ45=2,SUM(H45:K45,N45:Q45,T45:W45,Z45:AC45,AF45:AI45),
IF(AQ45=3,SUM(J45:M45,P45:S45,V45:Y45,AB45:AE45,AH45:AK45),SUM(Таблица1[[#This Row],[1]:[31]])-Таблица1[[#This Row],[Столбец1]])))</f>
        <v>0</v>
      </c>
      <c r="AN45" s="290">
        <f t="array" ref="AN45">IF(AQ45=1,SUM(J45:K45,P45:Q45,V45:W45,AB45:AC45,AH45:AI45),
IF(AQ45=2,SUM(L45:M45,R45:S45,X45:Y45,AD45:AE45),
IF(AQ45=3,SUM(H45:I45,N45:O45,T45:U45,Z45:AA45,AF45:AG45),
SUM(IFERROR(WEEKDAY($H$2:$AL$2,2)&gt;5,)*H45:AL45))))</f>
        <v>0</v>
      </c>
      <c r="AO45" s="292" t="b">
        <f>IF(AR45&lt;=3,(IF((G45="5/24"),((база!$M$6*Таблица1[[#This Row],[сумма]]*Таблица1[[#This Row],[коэф]])),
IF((G45="4/24"),((база!$M$5*Таблица1[[#This Row],[сумма]]*Таблица1[[#This Row],[коэф]])),
IF((G45="3/24"),((база!$M$4*Таблица1[[#This Row],[сумма]]*Таблица1[[#This Row],[коэф]])),
IF((G45="5/16"),((база!$L$6*Таблица1[[#This Row],[сумма]]*Таблица1[[#This Row],[коэф]])),
IF((G45="4/16"),((база!$L$5*Таблица1[[#This Row],[сумма]]*Таблица1[[#This Row],[коэф]])),
IF((G45="3/16"),((база!$L$4*Таблица1[[#This Row],[сумма]]*Таблица1[[#This Row],[коэф]])),
IF((G45="4/4"),((база!$I$5*Таблица1[[#This Row],[сумма]]*Таблица1[[#This Row],[коэф]])),
IF(OR(G45="2/4",G45="3/4"),((база!$I$4*Таблица1[[#This Row],[сумма]]*Таблица1[[#This Row],[коэф]])),
IF((G45="5/8"),((база!$J$6*Таблица1[[#This Row],[сумма]]*Таблица1[[#This Row],[коэф]])),
IF((G45="4/8"),((база!$J$5*Таблица1[[#This Row],[сумма]]*Таблица1[[#This Row],[коэф]])),
IF(OR(G45="3/8",G45="2/8"),((база!$J$4*Таблица1[[#This Row],[сумма]]*Таблица1[[#This Row],[коэф]])))))))))))))),
(IF((G45="5/24"),((база!$M$6*Таблица1[[#This Row],[сумма]]*Таблица1[[#This Row],[коэф]])),
IF(OR(G45="4/24",G45="3/24"),((база!$M$5*Таблица1[[#This Row],[сумма]]*Таблица1[[#This Row],[коэф]])),
IF((G45="5/16"),((база!$L$6*Таблица1[[#This Row],[сумма]]*Таблица1[[#This Row],[коэф]])),
IF(OR(G45="4/16",G45="3/16"),((база!$L$5*Таблица1[[#This Row],[сумма]]*Таблица1[[#This Row],[коэф]])),
IF(OR(G45="2/4",G45="3/4",G45="4/4"),((база!$I$5*Таблица1[[#This Row],[сумма]]*Таблица1[[#This Row],[коэф]])),
IF((G45="5/8"),((база!$J$6*Таблица1[[#This Row],[сумма]]*Таблица1[[#This Row],[коэф]])),
IF(OR(G45="4/8",G45="3/8",G45="2/8"),((база!$J$5*Таблица1[[#This Row],[сумма]]*Таблица1[[#This Row],[коэф]])))))))))))</f>
        <v>0</v>
      </c>
      <c r="AP45" s="715" t="b">
        <f>IF(AR45&lt;=3,(IF((G45="5/24"),((база!$M$6*2*Таблица1[[#This Row],[Столбец1]]*Таблица1[[#This Row],[коэф]])),
IF((G45="4/24"),((база!$M$5*2*Таблица1[[#This Row],[Столбец1]]*Таблица1[[#This Row],[коэф]])),
IF((G45="3/24"),((база!$M$4*2*Таблица1[[#This Row],[Столбец1]]*Таблица1[[#This Row],[коэф]])),
IF((G45="5/16"),((база!$L$6*2*Таблица1[[#This Row],[Столбец1]]*Таблица1[[#This Row],[коэф]])),
IF((G45="4/16"),((база!$L$5*2*Таблица1[[#This Row],[Столбец1]]*Таблица1[[#This Row],[коэф]])),
IF((G45="3/16"),((база!$L$4*2*Таблица1[[#This Row],[Столбец1]]*Таблица1[[#This Row],[коэф]])),
IF((G45="4/4"),((база!$I$5*2*Таблица1[[#This Row],[Столбец1]]*Таблица1[[#This Row],[коэф]])),
IF(OR(G45="2/4",G45="3/4"),((база!$I$4*2*Таблица1[[#This Row],[Столбец1]]*Таблица1[[#This Row],[коэф]])),
IF((G45="5/8"),((база!$J$6*2*Таблица1[[#This Row],[Столбец1]]*Таблица1[[#This Row],[коэф]])),
IF((G45="4/8"),((база!$J$5*2*Таблица1[[#This Row],[Столбец1]]*Таблица1[[#This Row],[коэф]])),
IF(OR(G45="3/8",G45="2/8"),((база!$J$4*2*Таблица1[[#This Row],[Столбец1]]*Таблица1[[#This Row],[коэф]])))))))))))))),
(IF((G45="5/24"),((база!$M$6*2*Таблица1[[#This Row],[Столбец1]]*Таблица1[[#This Row],[коэф]])),
IF(OR(G45="4/24",G45="3/24"),((база!$M$5*2*Таблица1[[#This Row],[Столбец1]]*Таблица1[[#This Row],[коэф]])),
IF((G45="5/16"),((база!$L$6*2*Таблица1[[#This Row],[Столбец1]]*Таблица1[[#This Row],[коэф]])),
IF(OR(G45="4/16",G45="3/16"),((база!$L$5*2*Таблица1[[#This Row],[Столбец1]]*Таблица1[[#This Row],[коэф]])),
IF(OR(G45="2/4",G45="3/4",G45="4/4"),((база!$I$5*2*Таблица1[[#This Row],[Столбец1]]*Таблица1[[#This Row],[коэф]])),
IF((G45="5/8"),((база!$J$6*2*Таблица1[[#This Row],[Столбец1]]*Таблица1[[#This Row],[коэф]])),
IF(OR(G45="4/8",G45="3/8",G45="2/8"),((база!$J$5*2*Таблица1[[#This Row],[Столбец1]]*Таблица1[[#This Row],[коэф]])))))))))))</f>
        <v>0</v>
      </c>
      <c r="AQ45" s="697" t="str">
        <f>IFERROR(INDEX(база!T:T, MATCH(F45,база!Q:Q,0)),"")</f>
        <v/>
      </c>
      <c r="AR45" s="207">
        <f>IFERROR(INDEX(база!D:D, MATCH(F45,база!B:B,0)),"")</f>
        <v>0</v>
      </c>
    </row>
    <row r="46" spans="1:44" ht="15">
      <c r="A46" s="66" t="str">
        <f t="shared" si="0"/>
        <v>декабрь</v>
      </c>
      <c r="B46" s="230">
        <v>2023</v>
      </c>
      <c r="C46" s="60"/>
      <c r="D46" s="61"/>
      <c r="E46" s="210"/>
      <c r="F46" s="669"/>
      <c r="G46" s="47"/>
      <c r="H46" s="212"/>
      <c r="I46" s="48"/>
      <c r="J46" s="48"/>
      <c r="K46" s="48"/>
      <c r="L46" s="48"/>
      <c r="M46" s="48"/>
      <c r="N46" s="49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  <c r="AG46" s="48"/>
      <c r="AH46" s="48"/>
      <c r="AI46" s="48"/>
      <c r="AJ46" s="48"/>
      <c r="AK46" s="48"/>
      <c r="AL46" s="51"/>
      <c r="AM46" s="211">
        <f>IF(AQ46=1,SUM(H46:I46,L46:O46,R46:U46,X46:AA46,AD46:AG46,AI46:AK46),
IF(AQ46=2,SUM(H46:K46,N46:Q46,T46:W46,Z46:AC46,AF46:AI46),
IF(AQ46=3,SUM(J46:M46,P46:S46,V46:Y46,AB46:AE46,AH46:AK46),SUM(Таблица1[[#This Row],[1]:[31]])-Таблица1[[#This Row],[Столбец1]])))</f>
        <v>0</v>
      </c>
      <c r="AN46" s="290">
        <f t="array" ref="AN46">IF(AQ46=1,SUM(J46:K46,P46:Q46,V46:W46,AB46:AC46,AH46:AI46),
IF(AQ46=2,SUM(L46:M46,R46:S46,X46:Y46,AD46:AE46),
IF(AQ46=3,SUM(H46:I46,N46:O46,T46:U46,Z46:AA46,AF46:AG46),
SUM(IFERROR(WEEKDAY($H$2:$AL$2,2)&gt;5,)*H46:AL46))))</f>
        <v>0</v>
      </c>
      <c r="AO46" s="292" t="b">
        <f>IF(AR46&lt;=3,(IF((G46="5/24"),((база!$M$6*Таблица1[[#This Row],[сумма]]*Таблица1[[#This Row],[коэф]])),
IF((G46="4/24"),((база!$M$5*Таблица1[[#This Row],[сумма]]*Таблица1[[#This Row],[коэф]])),
IF((G46="3/24"),((база!$M$4*Таблица1[[#This Row],[сумма]]*Таблица1[[#This Row],[коэф]])),
IF((G46="5/16"),((база!$L$6*Таблица1[[#This Row],[сумма]]*Таблица1[[#This Row],[коэф]])),
IF((G46="4/16"),((база!$L$5*Таблица1[[#This Row],[сумма]]*Таблица1[[#This Row],[коэф]])),
IF((G46="3/16"),((база!$L$4*Таблица1[[#This Row],[сумма]]*Таблица1[[#This Row],[коэф]])),
IF((G46="4/4"),((база!$I$5*Таблица1[[#This Row],[сумма]]*Таблица1[[#This Row],[коэф]])),
IF(OR(G46="2/4",G46="3/4"),((база!$I$4*Таблица1[[#This Row],[сумма]]*Таблица1[[#This Row],[коэф]])),
IF((G46="5/8"),((база!$J$6*Таблица1[[#This Row],[сумма]]*Таблица1[[#This Row],[коэф]])),
IF((G46="4/8"),((база!$J$5*Таблица1[[#This Row],[сумма]]*Таблица1[[#This Row],[коэф]])),
IF(OR(G46="3/8",G46="2/8"),((база!$J$4*Таблица1[[#This Row],[сумма]]*Таблица1[[#This Row],[коэф]])))))))))))))),
(IF((G46="5/24"),((база!$M$6*Таблица1[[#This Row],[сумма]]*Таблица1[[#This Row],[коэф]])),
IF(OR(G46="4/24",G46="3/24"),((база!$M$5*Таблица1[[#This Row],[сумма]]*Таблица1[[#This Row],[коэф]])),
IF((G46="5/16"),((база!$L$6*Таблица1[[#This Row],[сумма]]*Таблица1[[#This Row],[коэф]])),
IF(OR(G46="4/16",G46="3/16"),((база!$L$5*Таблица1[[#This Row],[сумма]]*Таблица1[[#This Row],[коэф]])),
IF(OR(G46="2/4",G46="3/4",G46="4/4"),((база!$I$5*Таблица1[[#This Row],[сумма]]*Таблица1[[#This Row],[коэф]])),
IF((G46="5/8"),((база!$J$6*Таблица1[[#This Row],[сумма]]*Таблица1[[#This Row],[коэф]])),
IF(OR(G46="4/8",G46="3/8",G46="2/8"),((база!$J$5*Таблица1[[#This Row],[сумма]]*Таблица1[[#This Row],[коэф]])))))))))))</f>
        <v>0</v>
      </c>
      <c r="AP46" s="715" t="b">
        <f>IF(AR46&lt;=3,(IF((G46="5/24"),((база!$M$6*2*Таблица1[[#This Row],[Столбец1]]*Таблица1[[#This Row],[коэф]])),
IF((G46="4/24"),((база!$M$5*2*Таблица1[[#This Row],[Столбец1]]*Таблица1[[#This Row],[коэф]])),
IF((G46="3/24"),((база!$M$4*2*Таблица1[[#This Row],[Столбец1]]*Таблица1[[#This Row],[коэф]])),
IF((G46="5/16"),((база!$L$6*2*Таблица1[[#This Row],[Столбец1]]*Таблица1[[#This Row],[коэф]])),
IF((G46="4/16"),((база!$L$5*2*Таблица1[[#This Row],[Столбец1]]*Таблица1[[#This Row],[коэф]])),
IF((G46="3/16"),((база!$L$4*2*Таблица1[[#This Row],[Столбец1]]*Таблица1[[#This Row],[коэф]])),
IF((G46="4/4"),((база!$I$5*2*Таблица1[[#This Row],[Столбец1]]*Таблица1[[#This Row],[коэф]])),
IF(OR(G46="2/4",G46="3/4"),((база!$I$4*2*Таблица1[[#This Row],[Столбец1]]*Таблица1[[#This Row],[коэф]])),
IF((G46="5/8"),((база!$J$6*2*Таблица1[[#This Row],[Столбец1]]*Таблица1[[#This Row],[коэф]])),
IF((G46="4/8"),((база!$J$5*2*Таблица1[[#This Row],[Столбец1]]*Таблица1[[#This Row],[коэф]])),
IF(OR(G46="3/8",G46="2/8"),((база!$J$4*2*Таблица1[[#This Row],[Столбец1]]*Таблица1[[#This Row],[коэф]])))))))))))))),
(IF((G46="5/24"),((база!$M$6*2*Таблица1[[#This Row],[Столбец1]]*Таблица1[[#This Row],[коэф]])),
IF(OR(G46="4/24",G46="3/24"),((база!$M$5*2*Таблица1[[#This Row],[Столбец1]]*Таблица1[[#This Row],[коэф]])),
IF((G46="5/16"),((база!$L$6*2*Таблица1[[#This Row],[Столбец1]]*Таблица1[[#This Row],[коэф]])),
IF(OR(G46="4/16",G46="3/16"),((база!$L$5*2*Таблица1[[#This Row],[Столбец1]]*Таблица1[[#This Row],[коэф]])),
IF(OR(G46="2/4",G46="3/4",G46="4/4"),((база!$I$5*2*Таблица1[[#This Row],[Столбец1]]*Таблица1[[#This Row],[коэф]])),
IF((G46="5/8"),((база!$J$6*2*Таблица1[[#This Row],[Столбец1]]*Таблица1[[#This Row],[коэф]])),
IF(OR(G46="4/8",G46="3/8",G46="2/8"),((база!$J$5*2*Таблица1[[#This Row],[Столбец1]]*Таблица1[[#This Row],[коэф]])))))))))))</f>
        <v>0</v>
      </c>
      <c r="AQ46" s="697" t="str">
        <f>IFERROR(INDEX(база!T:T, MATCH(F46,база!Q:Q,0)),"")</f>
        <v/>
      </c>
      <c r="AR46" s="207">
        <f>IFERROR(INDEX(база!D:D, MATCH(F46,база!B:B,0)),"")</f>
        <v>0</v>
      </c>
    </row>
    <row r="47" spans="1:44" ht="15">
      <c r="A47" s="66" t="str">
        <f t="shared" si="0"/>
        <v>декабрь</v>
      </c>
      <c r="B47" s="230">
        <v>2023</v>
      </c>
      <c r="C47" s="60"/>
      <c r="D47" s="61"/>
      <c r="E47" s="210"/>
      <c r="F47" s="669"/>
      <c r="G47" s="47"/>
      <c r="H47" s="212"/>
      <c r="I47" s="48"/>
      <c r="J47" s="48"/>
      <c r="K47" s="48"/>
      <c r="L47" s="48"/>
      <c r="M47" s="48"/>
      <c r="N47" s="49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  <c r="AG47" s="48"/>
      <c r="AH47" s="48"/>
      <c r="AI47" s="48"/>
      <c r="AJ47" s="48"/>
      <c r="AK47" s="48"/>
      <c r="AL47" s="51"/>
      <c r="AM47" s="211">
        <f>IF(AQ47=1,SUM(H47:I47,L47:O47,R47:U47,X47:AA47,AD47:AG47,AI47:AK47),
IF(AQ47=2,SUM(H47:K47,N47:Q47,T47:W47,Z47:AC47,AF47:AI47),
IF(AQ47=3,SUM(J47:M47,P47:S47,V47:Y47,AB47:AE47,AH47:AK47),SUM(Таблица1[[#This Row],[1]:[31]])-Таблица1[[#This Row],[Столбец1]])))</f>
        <v>0</v>
      </c>
      <c r="AN47" s="290">
        <f t="array" ref="AN47">IF(AQ47=1,SUM(J47:K47,P47:Q47,V47:W47,AB47:AC47,AH47:AI47),
IF(AQ47=2,SUM(L47:M47,R47:S47,X47:Y47,AD47:AE47),
IF(AQ47=3,SUM(H47:I47,N47:O47,T47:U47,Z47:AA47,AF47:AG47),
SUM(IFERROR(WEEKDAY($H$2:$AL$2,2)&gt;5,)*H47:AL47))))</f>
        <v>0</v>
      </c>
      <c r="AO47" s="292" t="b">
        <f>IF(AR47&lt;=3,(IF((G47="5/24"),((база!$M$6*Таблица1[[#This Row],[сумма]]*Таблица1[[#This Row],[коэф]])),
IF((G47="4/24"),((база!$M$5*Таблица1[[#This Row],[сумма]]*Таблица1[[#This Row],[коэф]])),
IF((G47="3/24"),((база!$M$4*Таблица1[[#This Row],[сумма]]*Таблица1[[#This Row],[коэф]])),
IF((G47="5/16"),((база!$L$6*Таблица1[[#This Row],[сумма]]*Таблица1[[#This Row],[коэф]])),
IF((G47="4/16"),((база!$L$5*Таблица1[[#This Row],[сумма]]*Таблица1[[#This Row],[коэф]])),
IF((G47="3/16"),((база!$L$4*Таблица1[[#This Row],[сумма]]*Таблица1[[#This Row],[коэф]])),
IF((G47="4/4"),((база!$I$5*Таблица1[[#This Row],[сумма]]*Таблица1[[#This Row],[коэф]])),
IF(OR(G47="2/4",G47="3/4"),((база!$I$4*Таблица1[[#This Row],[сумма]]*Таблица1[[#This Row],[коэф]])),
IF((G47="5/8"),((база!$J$6*Таблица1[[#This Row],[сумма]]*Таблица1[[#This Row],[коэф]])),
IF((G47="4/8"),((база!$J$5*Таблица1[[#This Row],[сумма]]*Таблица1[[#This Row],[коэф]])),
IF(OR(G47="3/8",G47="2/8"),((база!$J$4*Таблица1[[#This Row],[сумма]]*Таблица1[[#This Row],[коэф]])))))))))))))),
(IF((G47="5/24"),((база!$M$6*Таблица1[[#This Row],[сумма]]*Таблица1[[#This Row],[коэф]])),
IF(OR(G47="4/24",G47="3/24"),((база!$M$5*Таблица1[[#This Row],[сумма]]*Таблица1[[#This Row],[коэф]])),
IF((G47="5/16"),((база!$L$6*Таблица1[[#This Row],[сумма]]*Таблица1[[#This Row],[коэф]])),
IF(OR(G47="4/16",G47="3/16"),((база!$L$5*Таблица1[[#This Row],[сумма]]*Таблица1[[#This Row],[коэф]])),
IF(OR(G47="2/4",G47="3/4",G47="4/4"),((база!$I$5*Таблица1[[#This Row],[сумма]]*Таблица1[[#This Row],[коэф]])),
IF((G47="5/8"),((база!$J$6*Таблица1[[#This Row],[сумма]]*Таблица1[[#This Row],[коэф]])),
IF(OR(G47="4/8",G47="3/8",G47="2/8"),((база!$J$5*Таблица1[[#This Row],[сумма]]*Таблица1[[#This Row],[коэф]])))))))))))</f>
        <v>0</v>
      </c>
      <c r="AP47" s="715" t="b">
        <f>IF(AR47&lt;=3,(IF((G47="5/24"),((база!$M$6*2*Таблица1[[#This Row],[Столбец1]]*Таблица1[[#This Row],[коэф]])),
IF((G47="4/24"),((база!$M$5*2*Таблица1[[#This Row],[Столбец1]]*Таблица1[[#This Row],[коэф]])),
IF((G47="3/24"),((база!$M$4*2*Таблица1[[#This Row],[Столбец1]]*Таблица1[[#This Row],[коэф]])),
IF((G47="5/16"),((база!$L$6*2*Таблица1[[#This Row],[Столбец1]]*Таблица1[[#This Row],[коэф]])),
IF((G47="4/16"),((база!$L$5*2*Таблица1[[#This Row],[Столбец1]]*Таблица1[[#This Row],[коэф]])),
IF((G47="3/16"),((база!$L$4*2*Таблица1[[#This Row],[Столбец1]]*Таблица1[[#This Row],[коэф]])),
IF((G47="4/4"),((база!$I$5*2*Таблица1[[#This Row],[Столбец1]]*Таблица1[[#This Row],[коэф]])),
IF(OR(G47="2/4",G47="3/4"),((база!$I$4*2*Таблица1[[#This Row],[Столбец1]]*Таблица1[[#This Row],[коэф]])),
IF((G47="5/8"),((база!$J$6*2*Таблица1[[#This Row],[Столбец1]]*Таблица1[[#This Row],[коэф]])),
IF((G47="4/8"),((база!$J$5*2*Таблица1[[#This Row],[Столбец1]]*Таблица1[[#This Row],[коэф]])),
IF(OR(G47="3/8",G47="2/8"),((база!$J$4*2*Таблица1[[#This Row],[Столбец1]]*Таблица1[[#This Row],[коэф]])))))))))))))),
(IF((G47="5/24"),((база!$M$6*2*Таблица1[[#This Row],[Столбец1]]*Таблица1[[#This Row],[коэф]])),
IF(OR(G47="4/24",G47="3/24"),((база!$M$5*2*Таблица1[[#This Row],[Столбец1]]*Таблица1[[#This Row],[коэф]])),
IF((G47="5/16"),((база!$L$6*2*Таблица1[[#This Row],[Столбец1]]*Таблица1[[#This Row],[коэф]])),
IF(OR(G47="4/16",G47="3/16"),((база!$L$5*2*Таблица1[[#This Row],[Столбец1]]*Таблица1[[#This Row],[коэф]])),
IF(OR(G47="2/4",G47="3/4",G47="4/4"),((база!$I$5*2*Таблица1[[#This Row],[Столбец1]]*Таблица1[[#This Row],[коэф]])),
IF((G47="5/8"),((база!$J$6*2*Таблица1[[#This Row],[Столбец1]]*Таблица1[[#This Row],[коэф]])),
IF(OR(G47="4/8",G47="3/8",G47="2/8"),((база!$J$5*2*Таблица1[[#This Row],[Столбец1]]*Таблица1[[#This Row],[коэф]])))))))))))</f>
        <v>0</v>
      </c>
      <c r="AQ47" s="697" t="str">
        <f>IFERROR(INDEX(база!T:T, MATCH(F47,база!Q:Q,0)),"")</f>
        <v/>
      </c>
      <c r="AR47" s="207">
        <f>IFERROR(INDEX(база!D:D, MATCH(F47,база!B:B,0)),"")</f>
        <v>0</v>
      </c>
    </row>
    <row r="48" spans="1:44" ht="15">
      <c r="A48" s="66" t="str">
        <f t="shared" si="0"/>
        <v>декабрь</v>
      </c>
      <c r="B48" s="230">
        <v>2023</v>
      </c>
      <c r="C48" s="60"/>
      <c r="D48" s="61"/>
      <c r="E48" s="210"/>
      <c r="F48" s="669"/>
      <c r="G48" s="47"/>
      <c r="H48" s="212"/>
      <c r="I48" s="48"/>
      <c r="J48" s="48"/>
      <c r="K48" s="48"/>
      <c r="L48" s="48"/>
      <c r="M48" s="48"/>
      <c r="N48" s="49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  <c r="AG48" s="48"/>
      <c r="AH48" s="48"/>
      <c r="AI48" s="48"/>
      <c r="AJ48" s="48"/>
      <c r="AK48" s="48"/>
      <c r="AL48" s="51"/>
      <c r="AM48" s="211">
        <f>IF(AQ48=1,SUM(H48:I48,L48:O48,R48:U48,X48:AA48,AD48:AG48,AI48:AK48),
IF(AQ48=2,SUM(H48:K48,N48:Q48,T48:W48,Z48:AC48,AF48:AI48),
IF(AQ48=3,SUM(J48:M48,P48:S48,V48:Y48,AB48:AE48,AH48:AK48),SUM(Таблица1[[#This Row],[1]:[31]])-Таблица1[[#This Row],[Столбец1]])))</f>
        <v>0</v>
      </c>
      <c r="AN48" s="290">
        <f t="array" ref="AN48">IF(AQ48=1,SUM(J48:K48,P48:Q48,V48:W48,AB48:AC48,AH48:AI48),
IF(AQ48=2,SUM(L48:M48,R48:S48,X48:Y48,AD48:AE48),
IF(AQ48=3,SUM(H48:I48,N48:O48,T48:U48,Z48:AA48,AF48:AG48),
SUM(IFERROR(WEEKDAY($H$2:$AL$2,2)&gt;5,)*H48:AL48))))</f>
        <v>0</v>
      </c>
      <c r="AO48" s="292" t="b">
        <f>IF(AR48&lt;=3,(IF((G48="5/24"),((база!$M$6*Таблица1[[#This Row],[сумма]]*Таблица1[[#This Row],[коэф]])),
IF((G48="4/24"),((база!$M$5*Таблица1[[#This Row],[сумма]]*Таблица1[[#This Row],[коэф]])),
IF((G48="3/24"),((база!$M$4*Таблица1[[#This Row],[сумма]]*Таблица1[[#This Row],[коэф]])),
IF((G48="5/16"),((база!$L$6*Таблица1[[#This Row],[сумма]]*Таблица1[[#This Row],[коэф]])),
IF((G48="4/16"),((база!$L$5*Таблица1[[#This Row],[сумма]]*Таблица1[[#This Row],[коэф]])),
IF((G48="3/16"),((база!$L$4*Таблица1[[#This Row],[сумма]]*Таблица1[[#This Row],[коэф]])),
IF((G48="4/4"),((база!$I$5*Таблица1[[#This Row],[сумма]]*Таблица1[[#This Row],[коэф]])),
IF(OR(G48="2/4",G48="3/4"),((база!$I$4*Таблица1[[#This Row],[сумма]]*Таблица1[[#This Row],[коэф]])),
IF((G48="5/8"),((база!$J$6*Таблица1[[#This Row],[сумма]]*Таблица1[[#This Row],[коэф]])),
IF((G48="4/8"),((база!$J$5*Таблица1[[#This Row],[сумма]]*Таблица1[[#This Row],[коэф]])),
IF(OR(G48="3/8",G48="2/8"),((база!$J$4*Таблица1[[#This Row],[сумма]]*Таблица1[[#This Row],[коэф]])))))))))))))),
(IF((G48="5/24"),((база!$M$6*Таблица1[[#This Row],[сумма]]*Таблица1[[#This Row],[коэф]])),
IF(OR(G48="4/24",G48="3/24"),((база!$M$5*Таблица1[[#This Row],[сумма]]*Таблица1[[#This Row],[коэф]])),
IF((G48="5/16"),((база!$L$6*Таблица1[[#This Row],[сумма]]*Таблица1[[#This Row],[коэф]])),
IF(OR(G48="4/16",G48="3/16"),((база!$L$5*Таблица1[[#This Row],[сумма]]*Таблица1[[#This Row],[коэф]])),
IF(OR(G48="2/4",G48="3/4",G48="4/4"),((база!$I$5*Таблица1[[#This Row],[сумма]]*Таблица1[[#This Row],[коэф]])),
IF((G48="5/8"),((база!$J$6*Таблица1[[#This Row],[сумма]]*Таблица1[[#This Row],[коэф]])),
IF(OR(G48="4/8",G48="3/8",G48="2/8"),((база!$J$5*Таблица1[[#This Row],[сумма]]*Таблица1[[#This Row],[коэф]])))))))))))</f>
        <v>0</v>
      </c>
      <c r="AP48" s="715" t="b">
        <f>IF(AR48&lt;=3,(IF((G48="5/24"),((база!$M$6*2*Таблица1[[#This Row],[Столбец1]]*Таблица1[[#This Row],[коэф]])),
IF((G48="4/24"),((база!$M$5*2*Таблица1[[#This Row],[Столбец1]]*Таблица1[[#This Row],[коэф]])),
IF((G48="3/24"),((база!$M$4*2*Таблица1[[#This Row],[Столбец1]]*Таблица1[[#This Row],[коэф]])),
IF((G48="5/16"),((база!$L$6*2*Таблица1[[#This Row],[Столбец1]]*Таблица1[[#This Row],[коэф]])),
IF((G48="4/16"),((база!$L$5*2*Таблица1[[#This Row],[Столбец1]]*Таблица1[[#This Row],[коэф]])),
IF((G48="3/16"),((база!$L$4*2*Таблица1[[#This Row],[Столбец1]]*Таблица1[[#This Row],[коэф]])),
IF((G48="4/4"),((база!$I$5*2*Таблица1[[#This Row],[Столбец1]]*Таблица1[[#This Row],[коэф]])),
IF(OR(G48="2/4",G48="3/4"),((база!$I$4*2*Таблица1[[#This Row],[Столбец1]]*Таблица1[[#This Row],[коэф]])),
IF((G48="5/8"),((база!$J$6*2*Таблица1[[#This Row],[Столбец1]]*Таблица1[[#This Row],[коэф]])),
IF((G48="4/8"),((база!$J$5*2*Таблица1[[#This Row],[Столбец1]]*Таблица1[[#This Row],[коэф]])),
IF(OR(G48="3/8",G48="2/8"),((база!$J$4*2*Таблица1[[#This Row],[Столбец1]]*Таблица1[[#This Row],[коэф]])))))))))))))),
(IF((G48="5/24"),((база!$M$6*2*Таблица1[[#This Row],[Столбец1]]*Таблица1[[#This Row],[коэф]])),
IF(OR(G48="4/24",G48="3/24"),((база!$M$5*2*Таблица1[[#This Row],[Столбец1]]*Таблица1[[#This Row],[коэф]])),
IF((G48="5/16"),((база!$L$6*2*Таблица1[[#This Row],[Столбец1]]*Таблица1[[#This Row],[коэф]])),
IF(OR(G48="4/16",G48="3/16"),((база!$L$5*2*Таблица1[[#This Row],[Столбец1]]*Таблица1[[#This Row],[коэф]])),
IF(OR(G48="2/4",G48="3/4",G48="4/4"),((база!$I$5*2*Таблица1[[#This Row],[Столбец1]]*Таблица1[[#This Row],[коэф]])),
IF((G48="5/8"),((база!$J$6*2*Таблица1[[#This Row],[Столбец1]]*Таблица1[[#This Row],[коэф]])),
IF(OR(G48="4/8",G48="3/8",G48="2/8"),((база!$J$5*2*Таблица1[[#This Row],[Столбец1]]*Таблица1[[#This Row],[коэф]])))))))))))</f>
        <v>0</v>
      </c>
      <c r="AQ48" s="697" t="str">
        <f>IFERROR(INDEX(база!T:T, MATCH(F48,база!Q:Q,0)),"")</f>
        <v/>
      </c>
      <c r="AR48" s="207">
        <f>IFERROR(INDEX(база!D:D, MATCH(F48,база!B:B,0)),"")</f>
        <v>0</v>
      </c>
    </row>
    <row r="49" spans="1:44" ht="15">
      <c r="A49" s="66" t="str">
        <f t="shared" si="0"/>
        <v>декабрь</v>
      </c>
      <c r="B49" s="230">
        <v>2023</v>
      </c>
      <c r="C49" s="60"/>
      <c r="D49" s="61"/>
      <c r="E49" s="210"/>
      <c r="F49" s="669"/>
      <c r="G49" s="47"/>
      <c r="H49" s="212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  <c r="AA49" s="48"/>
      <c r="AB49" s="48"/>
      <c r="AC49" s="48"/>
      <c r="AD49" s="48"/>
      <c r="AE49" s="48"/>
      <c r="AF49" s="48"/>
      <c r="AG49" s="48"/>
      <c r="AH49" s="48"/>
      <c r="AI49" s="48"/>
      <c r="AJ49" s="48"/>
      <c r="AK49" s="48"/>
      <c r="AL49" s="51"/>
      <c r="AM49" s="211">
        <f>IF(AQ49=1,SUM(H49:I49,L49:O49,R49:U49,X49:AA49,AD49:AG49,AI49:AK49),
IF(AQ49=2,SUM(H49:K49,N49:Q49,T49:W49,Z49:AC49,AF49:AI49),
IF(AQ49=3,SUM(J49:M49,P49:S49,V49:Y49,AB49:AE49,AH49:AK49),SUM(Таблица1[[#This Row],[1]:[31]])-Таблица1[[#This Row],[Столбец1]])))</f>
        <v>0</v>
      </c>
      <c r="AN49" s="290">
        <f t="array" ref="AN49">IF(AQ49=1,SUM(J49:K49,P49:Q49,V49:W49,AB49:AC49,AH49:AI49),
IF(AQ49=2,SUM(L49:M49,R49:S49,X49:Y49,AD49:AE49),
IF(AQ49=3,SUM(H49:I49,N49:O49,T49:U49,Z49:AA49,AF49:AG49),
SUM(IFERROR(WEEKDAY($H$2:$AL$2,2)&gt;5,)*H49:AL49))))</f>
        <v>0</v>
      </c>
      <c r="AO49" s="292" t="b">
        <f>IF(AR49&lt;=3,(IF((G49="5/24"),((база!$M$6*Таблица1[[#This Row],[сумма]]*Таблица1[[#This Row],[коэф]])),
IF((G49="4/24"),((база!$M$5*Таблица1[[#This Row],[сумма]]*Таблица1[[#This Row],[коэф]])),
IF((G49="3/24"),((база!$M$4*Таблица1[[#This Row],[сумма]]*Таблица1[[#This Row],[коэф]])),
IF((G49="5/16"),((база!$L$6*Таблица1[[#This Row],[сумма]]*Таблица1[[#This Row],[коэф]])),
IF((G49="4/16"),((база!$L$5*Таблица1[[#This Row],[сумма]]*Таблица1[[#This Row],[коэф]])),
IF((G49="3/16"),((база!$L$4*Таблица1[[#This Row],[сумма]]*Таблица1[[#This Row],[коэф]])),
IF((G49="4/4"),((база!$I$5*Таблица1[[#This Row],[сумма]]*Таблица1[[#This Row],[коэф]])),
IF(OR(G49="2/4",G49="3/4"),((база!$I$4*Таблица1[[#This Row],[сумма]]*Таблица1[[#This Row],[коэф]])),
IF((G49="5/8"),((база!$J$6*Таблица1[[#This Row],[сумма]]*Таблица1[[#This Row],[коэф]])),
IF((G49="4/8"),((база!$J$5*Таблица1[[#This Row],[сумма]]*Таблица1[[#This Row],[коэф]])),
IF(OR(G49="3/8",G49="2/8"),((база!$J$4*Таблица1[[#This Row],[сумма]]*Таблица1[[#This Row],[коэф]])))))))))))))),
(IF((G49="5/24"),((база!$M$6*Таблица1[[#This Row],[сумма]]*Таблица1[[#This Row],[коэф]])),
IF(OR(G49="4/24",G49="3/24"),((база!$M$5*Таблица1[[#This Row],[сумма]]*Таблица1[[#This Row],[коэф]])),
IF((G49="5/16"),((база!$L$6*Таблица1[[#This Row],[сумма]]*Таблица1[[#This Row],[коэф]])),
IF(OR(G49="4/16",G49="3/16"),((база!$L$5*Таблица1[[#This Row],[сумма]]*Таблица1[[#This Row],[коэф]])),
IF(OR(G49="2/4",G49="3/4",G49="4/4"),((база!$I$5*Таблица1[[#This Row],[сумма]]*Таблица1[[#This Row],[коэф]])),
IF((G49="5/8"),((база!$J$6*Таблица1[[#This Row],[сумма]]*Таблица1[[#This Row],[коэф]])),
IF(OR(G49="4/8",G49="3/8",G49="2/8"),((база!$J$5*Таблица1[[#This Row],[сумма]]*Таблица1[[#This Row],[коэф]])))))))))))</f>
        <v>0</v>
      </c>
      <c r="AP49" s="715" t="b">
        <f>IF(AR49&lt;=3,(IF((G49="5/24"),((база!$M$6*2*Таблица1[[#This Row],[Столбец1]]*Таблица1[[#This Row],[коэф]])),
IF((G49="4/24"),((база!$M$5*2*Таблица1[[#This Row],[Столбец1]]*Таблица1[[#This Row],[коэф]])),
IF((G49="3/24"),((база!$M$4*2*Таблица1[[#This Row],[Столбец1]]*Таблица1[[#This Row],[коэф]])),
IF((G49="5/16"),((база!$L$6*2*Таблица1[[#This Row],[Столбец1]]*Таблица1[[#This Row],[коэф]])),
IF((G49="4/16"),((база!$L$5*2*Таблица1[[#This Row],[Столбец1]]*Таблица1[[#This Row],[коэф]])),
IF((G49="3/16"),((база!$L$4*2*Таблица1[[#This Row],[Столбец1]]*Таблица1[[#This Row],[коэф]])),
IF((G49="4/4"),((база!$I$5*2*Таблица1[[#This Row],[Столбец1]]*Таблица1[[#This Row],[коэф]])),
IF(OR(G49="2/4",G49="3/4"),((база!$I$4*2*Таблица1[[#This Row],[Столбец1]]*Таблица1[[#This Row],[коэф]])),
IF((G49="5/8"),((база!$J$6*2*Таблица1[[#This Row],[Столбец1]]*Таблица1[[#This Row],[коэф]])),
IF((G49="4/8"),((база!$J$5*2*Таблица1[[#This Row],[Столбец1]]*Таблица1[[#This Row],[коэф]])),
IF(OR(G49="3/8",G49="2/8"),((база!$J$4*2*Таблица1[[#This Row],[Столбец1]]*Таблица1[[#This Row],[коэф]])))))))))))))),
(IF((G49="5/24"),((база!$M$6*2*Таблица1[[#This Row],[Столбец1]]*Таблица1[[#This Row],[коэф]])),
IF(OR(G49="4/24",G49="3/24"),((база!$M$5*2*Таблица1[[#This Row],[Столбец1]]*Таблица1[[#This Row],[коэф]])),
IF((G49="5/16"),((база!$L$6*2*Таблица1[[#This Row],[Столбец1]]*Таблица1[[#This Row],[коэф]])),
IF(OR(G49="4/16",G49="3/16"),((база!$L$5*2*Таблица1[[#This Row],[Столбец1]]*Таблица1[[#This Row],[коэф]])),
IF(OR(G49="2/4",G49="3/4",G49="4/4"),((база!$I$5*2*Таблица1[[#This Row],[Столбец1]]*Таблица1[[#This Row],[коэф]])),
IF((G49="5/8"),((база!$J$6*2*Таблица1[[#This Row],[Столбец1]]*Таблица1[[#This Row],[коэф]])),
IF(OR(G49="4/8",G49="3/8",G49="2/8"),((база!$J$5*2*Таблица1[[#This Row],[Столбец1]]*Таблица1[[#This Row],[коэф]])))))))))))</f>
        <v>0</v>
      </c>
      <c r="AQ49" s="697" t="str">
        <f>IFERROR(INDEX(база!T:T, MATCH(F49,база!Q:Q,0)),"")</f>
        <v/>
      </c>
      <c r="AR49" s="207">
        <f>IFERROR(INDEX(база!D:D, MATCH(F49,база!B:B,0)),"")</f>
        <v>0</v>
      </c>
    </row>
    <row r="50" spans="1:44" ht="15">
      <c r="A50" s="66" t="str">
        <f t="shared" si="0"/>
        <v>декабрь</v>
      </c>
      <c r="B50" s="230">
        <v>2023</v>
      </c>
      <c r="C50" s="60"/>
      <c r="D50" s="61"/>
      <c r="E50" s="210"/>
      <c r="F50" s="669"/>
      <c r="G50" s="47"/>
      <c r="H50" s="212"/>
      <c r="I50" s="48"/>
      <c r="J50" s="48"/>
      <c r="K50" s="48"/>
      <c r="L50" s="48"/>
      <c r="M50" s="48"/>
      <c r="N50" s="49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  <c r="AF50" s="48"/>
      <c r="AG50" s="48"/>
      <c r="AH50" s="48"/>
      <c r="AI50" s="48"/>
      <c r="AJ50" s="48"/>
      <c r="AK50" s="48"/>
      <c r="AL50" s="51"/>
      <c r="AM50" s="211">
        <f>IF(AQ50=1,SUM(H50:I50,L50:O50,R50:U50,X50:AA50,AD50:AG50,AI50:AK50),
IF(AQ50=2,SUM(H50:K50,N50:Q50,T50:W50,Z50:AC50,AF50:AI50),
IF(AQ50=3,SUM(J50:M50,P50:S50,V50:Y50,AB50:AE50,AH50:AK50),SUM(Таблица1[[#This Row],[1]:[31]])-Таблица1[[#This Row],[Столбец1]])))</f>
        <v>0</v>
      </c>
      <c r="AN50" s="290">
        <f t="array" ref="AN50">IF(AQ50=1,SUM(J50:K50,P50:Q50,V50:W50,AB50:AC50,AH50:AI50),
IF(AQ50=2,SUM(L50:M50,R50:S50,X50:Y50,AD50:AE50),
IF(AQ50=3,SUM(H50:I50,N50:O50,T50:U50,Z50:AA50,AF50:AG50),
SUM(IFERROR(WEEKDAY($H$2:$AL$2,2)&gt;5,)*H50:AL50))))</f>
        <v>0</v>
      </c>
      <c r="AO50" s="292" t="b">
        <f>IF(AR50&lt;=3,(IF((G50="5/24"),((база!$M$6*Таблица1[[#This Row],[сумма]]*Таблица1[[#This Row],[коэф]])),
IF((G50="4/24"),((база!$M$5*Таблица1[[#This Row],[сумма]]*Таблица1[[#This Row],[коэф]])),
IF((G50="3/24"),((база!$M$4*Таблица1[[#This Row],[сумма]]*Таблица1[[#This Row],[коэф]])),
IF((G50="5/16"),((база!$L$6*Таблица1[[#This Row],[сумма]]*Таблица1[[#This Row],[коэф]])),
IF((G50="4/16"),((база!$L$5*Таблица1[[#This Row],[сумма]]*Таблица1[[#This Row],[коэф]])),
IF((G50="3/16"),((база!$L$4*Таблица1[[#This Row],[сумма]]*Таблица1[[#This Row],[коэф]])),
IF((G50="4/4"),((база!$I$5*Таблица1[[#This Row],[сумма]]*Таблица1[[#This Row],[коэф]])),
IF(OR(G50="2/4",G50="3/4"),((база!$I$4*Таблица1[[#This Row],[сумма]]*Таблица1[[#This Row],[коэф]])),
IF((G50="5/8"),((база!$J$6*Таблица1[[#This Row],[сумма]]*Таблица1[[#This Row],[коэф]])),
IF((G50="4/8"),((база!$J$5*Таблица1[[#This Row],[сумма]]*Таблица1[[#This Row],[коэф]])),
IF(OR(G50="3/8",G50="2/8"),((база!$J$4*Таблица1[[#This Row],[сумма]]*Таблица1[[#This Row],[коэф]])))))))))))))),
(IF((G50="5/24"),((база!$M$6*Таблица1[[#This Row],[сумма]]*Таблица1[[#This Row],[коэф]])),
IF(OR(G50="4/24",G50="3/24"),((база!$M$5*Таблица1[[#This Row],[сумма]]*Таблица1[[#This Row],[коэф]])),
IF((G50="5/16"),((база!$L$6*Таблица1[[#This Row],[сумма]]*Таблица1[[#This Row],[коэф]])),
IF(OR(G50="4/16",G50="3/16"),((база!$L$5*Таблица1[[#This Row],[сумма]]*Таблица1[[#This Row],[коэф]])),
IF(OR(G50="2/4",G50="3/4",G50="4/4"),((база!$I$5*Таблица1[[#This Row],[сумма]]*Таблица1[[#This Row],[коэф]])),
IF((G50="5/8"),((база!$J$6*Таблица1[[#This Row],[сумма]]*Таблица1[[#This Row],[коэф]])),
IF(OR(G50="4/8",G50="3/8",G50="2/8"),((база!$J$5*Таблица1[[#This Row],[сумма]]*Таблица1[[#This Row],[коэф]])))))))))))</f>
        <v>0</v>
      </c>
      <c r="AP50" s="715" t="b">
        <f>IF(AR50&lt;=3,(IF((G50="5/24"),((база!$M$6*2*Таблица1[[#This Row],[Столбец1]]*Таблица1[[#This Row],[коэф]])),
IF((G50="4/24"),((база!$M$5*2*Таблица1[[#This Row],[Столбец1]]*Таблица1[[#This Row],[коэф]])),
IF((G50="3/24"),((база!$M$4*2*Таблица1[[#This Row],[Столбец1]]*Таблица1[[#This Row],[коэф]])),
IF((G50="5/16"),((база!$L$6*2*Таблица1[[#This Row],[Столбец1]]*Таблица1[[#This Row],[коэф]])),
IF((G50="4/16"),((база!$L$5*2*Таблица1[[#This Row],[Столбец1]]*Таблица1[[#This Row],[коэф]])),
IF((G50="3/16"),((база!$L$4*2*Таблица1[[#This Row],[Столбец1]]*Таблица1[[#This Row],[коэф]])),
IF((G50="4/4"),((база!$I$5*2*Таблица1[[#This Row],[Столбец1]]*Таблица1[[#This Row],[коэф]])),
IF(OR(G50="2/4",G50="3/4"),((база!$I$4*2*Таблица1[[#This Row],[Столбец1]]*Таблица1[[#This Row],[коэф]])),
IF((G50="5/8"),((база!$J$6*2*Таблица1[[#This Row],[Столбец1]]*Таблица1[[#This Row],[коэф]])),
IF((G50="4/8"),((база!$J$5*2*Таблица1[[#This Row],[Столбец1]]*Таблица1[[#This Row],[коэф]])),
IF(OR(G50="3/8",G50="2/8"),((база!$J$4*2*Таблица1[[#This Row],[Столбец1]]*Таблица1[[#This Row],[коэф]])))))))))))))),
(IF((G50="5/24"),((база!$M$6*2*Таблица1[[#This Row],[Столбец1]]*Таблица1[[#This Row],[коэф]])),
IF(OR(G50="4/24",G50="3/24"),((база!$M$5*2*Таблица1[[#This Row],[Столбец1]]*Таблица1[[#This Row],[коэф]])),
IF((G50="5/16"),((база!$L$6*2*Таблица1[[#This Row],[Столбец1]]*Таблица1[[#This Row],[коэф]])),
IF(OR(G50="4/16",G50="3/16"),((база!$L$5*2*Таблица1[[#This Row],[Столбец1]]*Таблица1[[#This Row],[коэф]])),
IF(OR(G50="2/4",G50="3/4",G50="4/4"),((база!$I$5*2*Таблица1[[#This Row],[Столбец1]]*Таблица1[[#This Row],[коэф]])),
IF((G50="5/8"),((база!$J$6*2*Таблица1[[#This Row],[Столбец1]]*Таблица1[[#This Row],[коэф]])),
IF(OR(G50="4/8",G50="3/8",G50="2/8"),((база!$J$5*2*Таблица1[[#This Row],[Столбец1]]*Таблица1[[#This Row],[коэф]])))))))))))</f>
        <v>0</v>
      </c>
      <c r="AQ50" s="697" t="str">
        <f>IFERROR(INDEX(база!T:T, MATCH(F50,база!Q:Q,0)),"")</f>
        <v/>
      </c>
      <c r="AR50" s="207">
        <f>IFERROR(INDEX(база!D:D, MATCH(F50,база!B:B,0)),"")</f>
        <v>0</v>
      </c>
    </row>
    <row r="51" spans="1:44" ht="15">
      <c r="A51" s="66" t="str">
        <f t="shared" si="0"/>
        <v>декабрь</v>
      </c>
      <c r="B51" s="230">
        <v>2023</v>
      </c>
      <c r="C51" s="60"/>
      <c r="D51" s="61"/>
      <c r="E51" s="210"/>
      <c r="F51" s="669"/>
      <c r="G51" s="47"/>
      <c r="H51" s="212"/>
      <c r="I51" s="48"/>
      <c r="J51" s="48"/>
      <c r="K51" s="48"/>
      <c r="L51" s="48"/>
      <c r="M51" s="48"/>
      <c r="N51" s="49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  <c r="AA51" s="48"/>
      <c r="AB51" s="48"/>
      <c r="AC51" s="48"/>
      <c r="AD51" s="48"/>
      <c r="AE51" s="48"/>
      <c r="AF51" s="48"/>
      <c r="AG51" s="48"/>
      <c r="AH51" s="48"/>
      <c r="AI51" s="48"/>
      <c r="AJ51" s="48"/>
      <c r="AK51" s="48"/>
      <c r="AL51" s="51"/>
      <c r="AM51" s="211">
        <f>IF(AQ51=1,SUM(H51:I51,L51:O51,R51:U51,X51:AA51,AD51:AG51,AI51:AK51),
IF(AQ51=2,SUM(H51:K51,N51:Q51,T51:W51,Z51:AC51,AF51:AI51),
IF(AQ51=3,SUM(J51:M51,P51:S51,V51:Y51,AB51:AE51,AH51:AK51),SUM(Таблица1[[#This Row],[1]:[31]])-Таблица1[[#This Row],[Столбец1]])))</f>
        <v>0</v>
      </c>
      <c r="AN51" s="290">
        <f t="array" ref="AN51">IF(AQ51=1,SUM(J51:K51,P51:Q51,V51:W51,AB51:AC51,AH51:AI51),
IF(AQ51=2,SUM(L51:M51,R51:S51,X51:Y51,AD51:AE51),
IF(AQ51=3,SUM(H51:I51,N51:O51,T51:U51,Z51:AA51,AF51:AG51),
SUM(IFERROR(WEEKDAY($H$2:$AL$2,2)&gt;5,)*H51:AL51))))</f>
        <v>0</v>
      </c>
      <c r="AO51" s="292" t="b">
        <f>IF(AR51&lt;=3,(IF((G51="5/24"),((база!$M$6*Таблица1[[#This Row],[сумма]]*Таблица1[[#This Row],[коэф]])),
IF((G51="4/24"),((база!$M$5*Таблица1[[#This Row],[сумма]]*Таблица1[[#This Row],[коэф]])),
IF((G51="3/24"),((база!$M$4*Таблица1[[#This Row],[сумма]]*Таблица1[[#This Row],[коэф]])),
IF((G51="5/16"),((база!$L$6*Таблица1[[#This Row],[сумма]]*Таблица1[[#This Row],[коэф]])),
IF((G51="4/16"),((база!$L$5*Таблица1[[#This Row],[сумма]]*Таблица1[[#This Row],[коэф]])),
IF((G51="3/16"),((база!$L$4*Таблица1[[#This Row],[сумма]]*Таблица1[[#This Row],[коэф]])),
IF((G51="4/4"),((база!$I$5*Таблица1[[#This Row],[сумма]]*Таблица1[[#This Row],[коэф]])),
IF(OR(G51="2/4",G51="3/4"),((база!$I$4*Таблица1[[#This Row],[сумма]]*Таблица1[[#This Row],[коэф]])),
IF((G51="5/8"),((база!$J$6*Таблица1[[#This Row],[сумма]]*Таблица1[[#This Row],[коэф]])),
IF((G51="4/8"),((база!$J$5*Таблица1[[#This Row],[сумма]]*Таблица1[[#This Row],[коэф]])),
IF(OR(G51="3/8",G51="2/8"),((база!$J$4*Таблица1[[#This Row],[сумма]]*Таблица1[[#This Row],[коэф]])))))))))))))),
(IF((G51="5/24"),((база!$M$6*Таблица1[[#This Row],[сумма]]*Таблица1[[#This Row],[коэф]])),
IF(OR(G51="4/24",G51="3/24"),((база!$M$5*Таблица1[[#This Row],[сумма]]*Таблица1[[#This Row],[коэф]])),
IF((G51="5/16"),((база!$L$6*Таблица1[[#This Row],[сумма]]*Таблица1[[#This Row],[коэф]])),
IF(OR(G51="4/16",G51="3/16"),((база!$L$5*Таблица1[[#This Row],[сумма]]*Таблица1[[#This Row],[коэф]])),
IF(OR(G51="2/4",G51="3/4",G51="4/4"),((база!$I$5*Таблица1[[#This Row],[сумма]]*Таблица1[[#This Row],[коэф]])),
IF((G51="5/8"),((база!$J$6*Таблица1[[#This Row],[сумма]]*Таблица1[[#This Row],[коэф]])),
IF(OR(G51="4/8",G51="3/8",G51="2/8"),((база!$J$5*Таблица1[[#This Row],[сумма]]*Таблица1[[#This Row],[коэф]])))))))))))</f>
        <v>0</v>
      </c>
      <c r="AP51" s="715" t="b">
        <f>IF(AR51&lt;=3,(IF((G51="5/24"),((база!$M$6*2*Таблица1[[#This Row],[Столбец1]]*Таблица1[[#This Row],[коэф]])),
IF((G51="4/24"),((база!$M$5*2*Таблица1[[#This Row],[Столбец1]]*Таблица1[[#This Row],[коэф]])),
IF((G51="3/24"),((база!$M$4*2*Таблица1[[#This Row],[Столбец1]]*Таблица1[[#This Row],[коэф]])),
IF((G51="5/16"),((база!$L$6*2*Таблица1[[#This Row],[Столбец1]]*Таблица1[[#This Row],[коэф]])),
IF((G51="4/16"),((база!$L$5*2*Таблица1[[#This Row],[Столбец1]]*Таблица1[[#This Row],[коэф]])),
IF((G51="3/16"),((база!$L$4*2*Таблица1[[#This Row],[Столбец1]]*Таблица1[[#This Row],[коэф]])),
IF((G51="4/4"),((база!$I$5*2*Таблица1[[#This Row],[Столбец1]]*Таблица1[[#This Row],[коэф]])),
IF(OR(G51="2/4",G51="3/4"),((база!$I$4*2*Таблица1[[#This Row],[Столбец1]]*Таблица1[[#This Row],[коэф]])),
IF((G51="5/8"),((база!$J$6*2*Таблица1[[#This Row],[Столбец1]]*Таблица1[[#This Row],[коэф]])),
IF((G51="4/8"),((база!$J$5*2*Таблица1[[#This Row],[Столбец1]]*Таблица1[[#This Row],[коэф]])),
IF(OR(G51="3/8",G51="2/8"),((база!$J$4*2*Таблица1[[#This Row],[Столбец1]]*Таблица1[[#This Row],[коэф]])))))))))))))),
(IF((G51="5/24"),((база!$M$6*2*Таблица1[[#This Row],[Столбец1]]*Таблица1[[#This Row],[коэф]])),
IF(OR(G51="4/24",G51="3/24"),((база!$M$5*2*Таблица1[[#This Row],[Столбец1]]*Таблица1[[#This Row],[коэф]])),
IF((G51="5/16"),((база!$L$6*2*Таблица1[[#This Row],[Столбец1]]*Таблица1[[#This Row],[коэф]])),
IF(OR(G51="4/16",G51="3/16"),((база!$L$5*2*Таблица1[[#This Row],[Столбец1]]*Таблица1[[#This Row],[коэф]])),
IF(OR(G51="2/4",G51="3/4",G51="4/4"),((база!$I$5*2*Таблица1[[#This Row],[Столбец1]]*Таблица1[[#This Row],[коэф]])),
IF((G51="5/8"),((база!$J$6*2*Таблица1[[#This Row],[Столбец1]]*Таблица1[[#This Row],[коэф]])),
IF(OR(G51="4/8",G51="3/8",G51="2/8"),((база!$J$5*2*Таблица1[[#This Row],[Столбец1]]*Таблица1[[#This Row],[коэф]])))))))))))</f>
        <v>0</v>
      </c>
      <c r="AQ51" s="697" t="str">
        <f>IFERROR(INDEX(база!T:T, MATCH(F51,база!Q:Q,0)),"")</f>
        <v/>
      </c>
      <c r="AR51" s="207">
        <f>IFERROR(INDEX(база!D:D, MATCH(F51,база!B:B,0)),"")</f>
        <v>0</v>
      </c>
    </row>
    <row r="52" spans="1:44" ht="15">
      <c r="A52" s="66" t="str">
        <f t="shared" si="0"/>
        <v>декабрь</v>
      </c>
      <c r="B52" s="230">
        <v>2023</v>
      </c>
      <c r="C52" s="60"/>
      <c r="D52" s="61"/>
      <c r="E52" s="210"/>
      <c r="F52" s="669"/>
      <c r="G52" s="47"/>
      <c r="H52" s="212"/>
      <c r="I52" s="212"/>
      <c r="J52" s="212"/>
      <c r="K52" s="48"/>
      <c r="L52" s="48"/>
      <c r="M52" s="48"/>
      <c r="N52" s="49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  <c r="AG52" s="48"/>
      <c r="AH52" s="48"/>
      <c r="AI52" s="48"/>
      <c r="AJ52" s="48"/>
      <c r="AK52" s="48"/>
      <c r="AL52" s="51"/>
      <c r="AM52" s="211">
        <f>IF(AQ52=1,SUM(H52:I52,L52:O52,R52:U52,X52:AA52,AD52:AG52,AI52:AK52),
IF(AQ52=2,SUM(H52:K52,N52:Q52,T52:W52,Z52:AC52,AF52:AI52),
IF(AQ52=3,SUM(J52:M52,P52:S52,V52:Y52,AB52:AE52,AH52:AK52),SUM(Таблица1[[#This Row],[1]:[31]])-Таблица1[[#This Row],[Столбец1]])))</f>
        <v>0</v>
      </c>
      <c r="AN52" s="290">
        <f t="array" ref="AN52">IF(AQ52=1,SUM(J52:K52,P52:Q52,V52:W52,AB52:AC52,AH52:AI52),
IF(AQ52=2,SUM(L52:M52,R52:S52,X52:Y52,AD52:AE52),
IF(AQ52=3,SUM(H52:I52,N52:O52,T52:U52,Z52:AA52,AF52:AG52),
SUM(IFERROR(WEEKDAY($H$2:$AL$2,2)&gt;5,)*H52:AL52))))</f>
        <v>0</v>
      </c>
      <c r="AO52" s="292" t="b">
        <f>IF(AR52&lt;=3,(IF((G52="5/24"),((база!$M$6*Таблица1[[#This Row],[сумма]]*Таблица1[[#This Row],[коэф]])),
IF((G52="4/24"),((база!$M$5*Таблица1[[#This Row],[сумма]]*Таблица1[[#This Row],[коэф]])),
IF((G52="3/24"),((база!$M$4*Таблица1[[#This Row],[сумма]]*Таблица1[[#This Row],[коэф]])),
IF((G52="5/16"),((база!$L$6*Таблица1[[#This Row],[сумма]]*Таблица1[[#This Row],[коэф]])),
IF((G52="4/16"),((база!$L$5*Таблица1[[#This Row],[сумма]]*Таблица1[[#This Row],[коэф]])),
IF((G52="3/16"),((база!$L$4*Таблица1[[#This Row],[сумма]]*Таблица1[[#This Row],[коэф]])),
IF((G52="4/4"),((база!$I$5*Таблица1[[#This Row],[сумма]]*Таблица1[[#This Row],[коэф]])),
IF(OR(G52="2/4",G52="3/4"),((база!$I$4*Таблица1[[#This Row],[сумма]]*Таблица1[[#This Row],[коэф]])),
IF((G52="5/8"),((база!$J$6*Таблица1[[#This Row],[сумма]]*Таблица1[[#This Row],[коэф]])),
IF((G52="4/8"),((база!$J$5*Таблица1[[#This Row],[сумма]]*Таблица1[[#This Row],[коэф]])),
IF(OR(G52="3/8",G52="2/8"),((база!$J$4*Таблица1[[#This Row],[сумма]]*Таблица1[[#This Row],[коэф]])))))))))))))),
(IF((G52="5/24"),((база!$M$6*Таблица1[[#This Row],[сумма]]*Таблица1[[#This Row],[коэф]])),
IF(OR(G52="4/24",G52="3/24"),((база!$M$5*Таблица1[[#This Row],[сумма]]*Таблица1[[#This Row],[коэф]])),
IF((G52="5/16"),((база!$L$6*Таблица1[[#This Row],[сумма]]*Таблица1[[#This Row],[коэф]])),
IF(OR(G52="4/16",G52="3/16"),((база!$L$5*Таблица1[[#This Row],[сумма]]*Таблица1[[#This Row],[коэф]])),
IF(OR(G52="2/4",G52="3/4",G52="4/4"),((база!$I$5*Таблица1[[#This Row],[сумма]]*Таблица1[[#This Row],[коэф]])),
IF((G52="5/8"),((база!$J$6*Таблица1[[#This Row],[сумма]]*Таблица1[[#This Row],[коэф]])),
IF(OR(G52="4/8",G52="3/8",G52="2/8"),((база!$J$5*Таблица1[[#This Row],[сумма]]*Таблица1[[#This Row],[коэф]])))))))))))</f>
        <v>0</v>
      </c>
      <c r="AP52" s="715" t="b">
        <f>IF(AR52&lt;=3,(IF((G52="5/24"),((база!$M$6*2*Таблица1[[#This Row],[Столбец1]]*Таблица1[[#This Row],[коэф]])),
IF((G52="4/24"),((база!$M$5*2*Таблица1[[#This Row],[Столбец1]]*Таблица1[[#This Row],[коэф]])),
IF((G52="3/24"),((база!$M$4*2*Таблица1[[#This Row],[Столбец1]]*Таблица1[[#This Row],[коэф]])),
IF((G52="5/16"),((база!$L$6*2*Таблица1[[#This Row],[Столбец1]]*Таблица1[[#This Row],[коэф]])),
IF((G52="4/16"),((база!$L$5*2*Таблица1[[#This Row],[Столбец1]]*Таблица1[[#This Row],[коэф]])),
IF((G52="3/16"),((база!$L$4*2*Таблица1[[#This Row],[Столбец1]]*Таблица1[[#This Row],[коэф]])),
IF((G52="4/4"),((база!$I$5*2*Таблица1[[#This Row],[Столбец1]]*Таблица1[[#This Row],[коэф]])),
IF(OR(G52="2/4",G52="3/4"),((база!$I$4*2*Таблица1[[#This Row],[Столбец1]]*Таблица1[[#This Row],[коэф]])),
IF((G52="5/8"),((база!$J$6*2*Таблица1[[#This Row],[Столбец1]]*Таблица1[[#This Row],[коэф]])),
IF((G52="4/8"),((база!$J$5*2*Таблица1[[#This Row],[Столбец1]]*Таблица1[[#This Row],[коэф]])),
IF(OR(G52="3/8",G52="2/8"),((база!$J$4*2*Таблица1[[#This Row],[Столбец1]]*Таблица1[[#This Row],[коэф]])))))))))))))),
(IF((G52="5/24"),((база!$M$6*2*Таблица1[[#This Row],[Столбец1]]*Таблица1[[#This Row],[коэф]])),
IF(OR(G52="4/24",G52="3/24"),((база!$M$5*2*Таблица1[[#This Row],[Столбец1]]*Таблица1[[#This Row],[коэф]])),
IF((G52="5/16"),((база!$L$6*2*Таблица1[[#This Row],[Столбец1]]*Таблица1[[#This Row],[коэф]])),
IF(OR(G52="4/16",G52="3/16"),((база!$L$5*2*Таблица1[[#This Row],[Столбец1]]*Таблица1[[#This Row],[коэф]])),
IF(OR(G52="2/4",G52="3/4",G52="4/4"),((база!$I$5*2*Таблица1[[#This Row],[Столбец1]]*Таблица1[[#This Row],[коэф]])),
IF((G52="5/8"),((база!$J$6*2*Таблица1[[#This Row],[Столбец1]]*Таблица1[[#This Row],[коэф]])),
IF(OR(G52="4/8",G52="3/8",G52="2/8"),((база!$J$5*2*Таблица1[[#This Row],[Столбец1]]*Таблица1[[#This Row],[коэф]])))))))))))</f>
        <v>0</v>
      </c>
      <c r="AQ52" s="697" t="str">
        <f>IFERROR(INDEX(база!T:T, MATCH(F52,база!Q:Q,0)),"")</f>
        <v/>
      </c>
      <c r="AR52" s="207">
        <f>IFERROR(INDEX(база!D:D, MATCH(F52,база!B:B,0)),"")</f>
        <v>0</v>
      </c>
    </row>
    <row r="53" spans="1:44" ht="15">
      <c r="A53" s="66" t="str">
        <f t="shared" si="0"/>
        <v>декабрь</v>
      </c>
      <c r="B53" s="230">
        <v>2023</v>
      </c>
      <c r="C53" s="60"/>
      <c r="D53" s="61"/>
      <c r="E53" s="210"/>
      <c r="F53" s="669"/>
      <c r="G53" s="47"/>
      <c r="H53" s="212"/>
      <c r="I53" s="48"/>
      <c r="J53" s="48"/>
      <c r="K53" s="48"/>
      <c r="L53" s="48"/>
      <c r="M53" s="48"/>
      <c r="N53" s="49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  <c r="AA53" s="48"/>
      <c r="AB53" s="48"/>
      <c r="AC53" s="48"/>
      <c r="AD53" s="48"/>
      <c r="AE53" s="48"/>
      <c r="AF53" s="48"/>
      <c r="AG53" s="48"/>
      <c r="AH53" s="48"/>
      <c r="AI53" s="48"/>
      <c r="AJ53" s="48"/>
      <c r="AK53" s="48"/>
      <c r="AL53" s="51"/>
      <c r="AM53" s="211">
        <f>IF(AQ53=1,SUM(H53:I53,L53:O53,R53:U53,X53:AA53,AD53:AG53,AI53:AK53),
IF(AQ53=2,SUM(H53:K53,N53:Q53,T53:W53,Z53:AC53,AF53:AI53),
IF(AQ53=3,SUM(J53:M53,P53:S53,V53:Y53,AB53:AE53,AH53:AK53),SUM(Таблица1[[#This Row],[1]:[31]])-Таблица1[[#This Row],[Столбец1]])))</f>
        <v>0</v>
      </c>
      <c r="AN53" s="290">
        <f t="array" ref="AN53">IF(AQ53=1,SUM(J53:K53,P53:Q53,V53:W53,AB53:AC53,AH53:AI53),
IF(AQ53=2,SUM(L53:M53,R53:S53,X53:Y53,AD53:AE53),
IF(AQ53=3,SUM(H53:I53,N53:O53,T53:U53,Z53:AA53,AF53:AG53),
SUM(IFERROR(WEEKDAY($H$2:$AL$2,2)&gt;5,)*H53:AL53))))</f>
        <v>0</v>
      </c>
      <c r="AO53" s="292" t="b">
        <f>IF(AR53&lt;=3,(IF((G53="5/24"),((база!$M$6*Таблица1[[#This Row],[сумма]]*Таблица1[[#This Row],[коэф]])),
IF((G53="4/24"),((база!$M$5*Таблица1[[#This Row],[сумма]]*Таблица1[[#This Row],[коэф]])),
IF((G53="3/24"),((база!$M$4*Таблица1[[#This Row],[сумма]]*Таблица1[[#This Row],[коэф]])),
IF((G53="5/16"),((база!$L$6*Таблица1[[#This Row],[сумма]]*Таблица1[[#This Row],[коэф]])),
IF((G53="4/16"),((база!$L$5*Таблица1[[#This Row],[сумма]]*Таблица1[[#This Row],[коэф]])),
IF((G53="3/16"),((база!$L$4*Таблица1[[#This Row],[сумма]]*Таблица1[[#This Row],[коэф]])),
IF((G53="4/4"),((база!$I$5*Таблица1[[#This Row],[сумма]]*Таблица1[[#This Row],[коэф]])),
IF(OR(G53="2/4",G53="3/4"),((база!$I$4*Таблица1[[#This Row],[сумма]]*Таблица1[[#This Row],[коэф]])),
IF((G53="5/8"),((база!$J$6*Таблица1[[#This Row],[сумма]]*Таблица1[[#This Row],[коэф]])),
IF((G53="4/8"),((база!$J$5*Таблица1[[#This Row],[сумма]]*Таблица1[[#This Row],[коэф]])),
IF(OR(G53="3/8",G53="2/8"),((база!$J$4*Таблица1[[#This Row],[сумма]]*Таблица1[[#This Row],[коэф]])))))))))))))),
(IF((G53="5/24"),((база!$M$6*Таблица1[[#This Row],[сумма]]*Таблица1[[#This Row],[коэф]])),
IF(OR(G53="4/24",G53="3/24"),((база!$M$5*Таблица1[[#This Row],[сумма]]*Таблица1[[#This Row],[коэф]])),
IF((G53="5/16"),((база!$L$6*Таблица1[[#This Row],[сумма]]*Таблица1[[#This Row],[коэф]])),
IF(OR(G53="4/16",G53="3/16"),((база!$L$5*Таблица1[[#This Row],[сумма]]*Таблица1[[#This Row],[коэф]])),
IF(OR(G53="2/4",G53="3/4",G53="4/4"),((база!$I$5*Таблица1[[#This Row],[сумма]]*Таблица1[[#This Row],[коэф]])),
IF((G53="5/8"),((база!$J$6*Таблица1[[#This Row],[сумма]]*Таблица1[[#This Row],[коэф]])),
IF(OR(G53="4/8",G53="3/8",G53="2/8"),((база!$J$5*Таблица1[[#This Row],[сумма]]*Таблица1[[#This Row],[коэф]])))))))))))</f>
        <v>0</v>
      </c>
      <c r="AP53" s="715" t="b">
        <f>IF(AR53&lt;=3,(IF((G53="5/24"),((база!$M$6*2*Таблица1[[#This Row],[Столбец1]]*Таблица1[[#This Row],[коэф]])),
IF((G53="4/24"),((база!$M$5*2*Таблица1[[#This Row],[Столбец1]]*Таблица1[[#This Row],[коэф]])),
IF((G53="3/24"),((база!$M$4*2*Таблица1[[#This Row],[Столбец1]]*Таблица1[[#This Row],[коэф]])),
IF((G53="5/16"),((база!$L$6*2*Таблица1[[#This Row],[Столбец1]]*Таблица1[[#This Row],[коэф]])),
IF((G53="4/16"),((база!$L$5*2*Таблица1[[#This Row],[Столбец1]]*Таблица1[[#This Row],[коэф]])),
IF((G53="3/16"),((база!$L$4*2*Таблица1[[#This Row],[Столбец1]]*Таблица1[[#This Row],[коэф]])),
IF((G53="4/4"),((база!$I$5*2*Таблица1[[#This Row],[Столбец1]]*Таблица1[[#This Row],[коэф]])),
IF(OR(G53="2/4",G53="3/4"),((база!$I$4*2*Таблица1[[#This Row],[Столбец1]]*Таблица1[[#This Row],[коэф]])),
IF((G53="5/8"),((база!$J$6*2*Таблица1[[#This Row],[Столбец1]]*Таблица1[[#This Row],[коэф]])),
IF((G53="4/8"),((база!$J$5*2*Таблица1[[#This Row],[Столбец1]]*Таблица1[[#This Row],[коэф]])),
IF(OR(G53="3/8",G53="2/8"),((база!$J$4*2*Таблица1[[#This Row],[Столбец1]]*Таблица1[[#This Row],[коэф]])))))))))))))),
(IF((G53="5/24"),((база!$M$6*2*Таблица1[[#This Row],[Столбец1]]*Таблица1[[#This Row],[коэф]])),
IF(OR(G53="4/24",G53="3/24"),((база!$M$5*2*Таблица1[[#This Row],[Столбец1]]*Таблица1[[#This Row],[коэф]])),
IF((G53="5/16"),((база!$L$6*2*Таблица1[[#This Row],[Столбец1]]*Таблица1[[#This Row],[коэф]])),
IF(OR(G53="4/16",G53="3/16"),((база!$L$5*2*Таблица1[[#This Row],[Столбец1]]*Таблица1[[#This Row],[коэф]])),
IF(OR(G53="2/4",G53="3/4",G53="4/4"),((база!$I$5*2*Таблица1[[#This Row],[Столбец1]]*Таблица1[[#This Row],[коэф]])),
IF((G53="5/8"),((база!$J$6*2*Таблица1[[#This Row],[Столбец1]]*Таблица1[[#This Row],[коэф]])),
IF(OR(G53="4/8",G53="3/8",G53="2/8"),((база!$J$5*2*Таблица1[[#This Row],[Столбец1]]*Таблица1[[#This Row],[коэф]])))))))))))</f>
        <v>0</v>
      </c>
      <c r="AQ53" s="697" t="str">
        <f>IFERROR(INDEX(база!T:T, MATCH(F53,база!Q:Q,0)),"")</f>
        <v/>
      </c>
      <c r="AR53" s="207">
        <f>IFERROR(INDEX(база!D:D, MATCH(F53,база!B:B,0)),"")</f>
        <v>0</v>
      </c>
    </row>
    <row r="54" spans="1:44" s="46" customFormat="1" ht="15">
      <c r="A54" s="66" t="str">
        <f t="shared" si="0"/>
        <v>декабрь</v>
      </c>
      <c r="B54" s="230">
        <v>2023</v>
      </c>
      <c r="C54" s="60"/>
      <c r="D54" s="61"/>
      <c r="E54" s="210"/>
      <c r="F54" s="669"/>
      <c r="G54" s="47"/>
      <c r="H54" s="212"/>
      <c r="I54" s="48"/>
      <c r="J54" s="48"/>
      <c r="K54" s="48"/>
      <c r="L54" s="48"/>
      <c r="M54" s="48"/>
      <c r="N54" s="49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  <c r="AA54" s="48"/>
      <c r="AB54" s="48"/>
      <c r="AC54" s="48"/>
      <c r="AD54" s="48"/>
      <c r="AE54" s="48"/>
      <c r="AF54" s="48"/>
      <c r="AG54" s="48"/>
      <c r="AH54" s="48"/>
      <c r="AI54" s="48"/>
      <c r="AJ54" s="48"/>
      <c r="AK54" s="48"/>
      <c r="AL54" s="51"/>
      <c r="AM54" s="211">
        <f>IF(AQ54=1,SUM(H54:I54,L54:O54,R54:U54,X54:AA54,AD54:AG54,AI54:AK54),
IF(AQ54=2,SUM(H54:K54,N54:Q54,T54:W54,Z54:AC54,AF54:AI54),
IF(AQ54=3,SUM(J54:M54,P54:S54,V54:Y54,AB54:AE54,AH54:AK54),SUM(Таблица1[[#This Row],[1]:[31]])-Таблица1[[#This Row],[Столбец1]])))</f>
        <v>0</v>
      </c>
      <c r="AN54" s="290">
        <f t="array" ref="AN54">IF(AQ54=1,SUM(J54:K54,P54:Q54,V54:W54,AB54:AC54,AH54:AI54),
IF(AQ54=2,SUM(L54:M54,R54:S54,X54:Y54,AD54:AE54),
IF(AQ54=3,SUM(H54:I54,N54:O54,T54:U54,Z54:AA54,AF54:AG54),
SUM(IFERROR(WEEKDAY($H$2:$AL$2,2)&gt;5,)*H54:AL54))))</f>
        <v>0</v>
      </c>
      <c r="AO54" s="292" t="b">
        <f>IF(AR54&lt;=3,(IF((G54="5/24"),((база!$M$6*Таблица1[[#This Row],[сумма]]*Таблица1[[#This Row],[коэф]])),
IF((G54="4/24"),((база!$M$5*Таблица1[[#This Row],[сумма]]*Таблица1[[#This Row],[коэф]])),
IF((G54="3/24"),((база!$M$4*Таблица1[[#This Row],[сумма]]*Таблица1[[#This Row],[коэф]])),
IF((G54="5/16"),((база!$L$6*Таблица1[[#This Row],[сумма]]*Таблица1[[#This Row],[коэф]])),
IF((G54="4/16"),((база!$L$5*Таблица1[[#This Row],[сумма]]*Таблица1[[#This Row],[коэф]])),
IF((G54="3/16"),((база!$L$4*Таблица1[[#This Row],[сумма]]*Таблица1[[#This Row],[коэф]])),
IF((G54="4/4"),((база!$I$5*Таблица1[[#This Row],[сумма]]*Таблица1[[#This Row],[коэф]])),
IF(OR(G54="2/4",G54="3/4"),((база!$I$4*Таблица1[[#This Row],[сумма]]*Таблица1[[#This Row],[коэф]])),
IF((G54="5/8"),((база!$J$6*Таблица1[[#This Row],[сумма]]*Таблица1[[#This Row],[коэф]])),
IF((G54="4/8"),((база!$J$5*Таблица1[[#This Row],[сумма]]*Таблица1[[#This Row],[коэф]])),
IF(OR(G54="3/8",G54="2/8"),((база!$J$4*Таблица1[[#This Row],[сумма]]*Таблица1[[#This Row],[коэф]])))))))))))))),
(IF((G54="5/24"),((база!$M$6*Таблица1[[#This Row],[сумма]]*Таблица1[[#This Row],[коэф]])),
IF(OR(G54="4/24",G54="3/24"),((база!$M$5*Таблица1[[#This Row],[сумма]]*Таблица1[[#This Row],[коэф]])),
IF((G54="5/16"),((база!$L$6*Таблица1[[#This Row],[сумма]]*Таблица1[[#This Row],[коэф]])),
IF(OR(G54="4/16",G54="3/16"),((база!$L$5*Таблица1[[#This Row],[сумма]]*Таблица1[[#This Row],[коэф]])),
IF(OR(G54="2/4",G54="3/4",G54="4/4"),((база!$I$5*Таблица1[[#This Row],[сумма]]*Таблица1[[#This Row],[коэф]])),
IF((G54="5/8"),((база!$J$6*Таблица1[[#This Row],[сумма]]*Таблица1[[#This Row],[коэф]])),
IF(OR(G54="4/8",G54="3/8",G54="2/8"),((база!$J$5*Таблица1[[#This Row],[сумма]]*Таблица1[[#This Row],[коэф]])))))))))))</f>
        <v>0</v>
      </c>
      <c r="AP54" s="715" t="b">
        <f>IF(AR54&lt;=3,(IF((G54="5/24"),((база!$M$6*2*Таблица1[[#This Row],[Столбец1]]*Таблица1[[#This Row],[коэф]])),
IF((G54="4/24"),((база!$M$5*2*Таблица1[[#This Row],[Столбец1]]*Таблица1[[#This Row],[коэф]])),
IF((G54="3/24"),((база!$M$4*2*Таблица1[[#This Row],[Столбец1]]*Таблица1[[#This Row],[коэф]])),
IF((G54="5/16"),((база!$L$6*2*Таблица1[[#This Row],[Столбец1]]*Таблица1[[#This Row],[коэф]])),
IF((G54="4/16"),((база!$L$5*2*Таблица1[[#This Row],[Столбец1]]*Таблица1[[#This Row],[коэф]])),
IF((G54="3/16"),((база!$L$4*2*Таблица1[[#This Row],[Столбец1]]*Таблица1[[#This Row],[коэф]])),
IF((G54="4/4"),((база!$I$5*2*Таблица1[[#This Row],[Столбец1]]*Таблица1[[#This Row],[коэф]])),
IF(OR(G54="2/4",G54="3/4"),((база!$I$4*2*Таблица1[[#This Row],[Столбец1]]*Таблица1[[#This Row],[коэф]])),
IF((G54="5/8"),((база!$J$6*2*Таблица1[[#This Row],[Столбец1]]*Таблица1[[#This Row],[коэф]])),
IF((G54="4/8"),((база!$J$5*2*Таблица1[[#This Row],[Столбец1]]*Таблица1[[#This Row],[коэф]])),
IF(OR(G54="3/8",G54="2/8"),((база!$J$4*2*Таблица1[[#This Row],[Столбец1]]*Таблица1[[#This Row],[коэф]])))))))))))))),
(IF((G54="5/24"),((база!$M$6*2*Таблица1[[#This Row],[Столбец1]]*Таблица1[[#This Row],[коэф]])),
IF(OR(G54="4/24",G54="3/24"),((база!$M$5*2*Таблица1[[#This Row],[Столбец1]]*Таблица1[[#This Row],[коэф]])),
IF((G54="5/16"),((база!$L$6*2*Таблица1[[#This Row],[Столбец1]]*Таблица1[[#This Row],[коэф]])),
IF(OR(G54="4/16",G54="3/16"),((база!$L$5*2*Таблица1[[#This Row],[Столбец1]]*Таблица1[[#This Row],[коэф]])),
IF(OR(G54="2/4",G54="3/4",G54="4/4"),((база!$I$5*2*Таблица1[[#This Row],[Столбец1]]*Таблица1[[#This Row],[коэф]])),
IF((G54="5/8"),((база!$J$6*2*Таблица1[[#This Row],[Столбец1]]*Таблица1[[#This Row],[коэф]])),
IF(OR(G54="4/8",G54="3/8",G54="2/8"),((база!$J$5*2*Таблица1[[#This Row],[Столбец1]]*Таблица1[[#This Row],[коэф]])))))))))))</f>
        <v>0</v>
      </c>
      <c r="AQ54" s="697" t="str">
        <f>IFERROR(INDEX(база!T:T, MATCH(F54,база!Q:Q,0)),"")</f>
        <v/>
      </c>
      <c r="AR54" s="207">
        <f>IFERROR(INDEX(база!D:D, MATCH(F54,база!B:B,0)),"")</f>
        <v>0</v>
      </c>
    </row>
    <row r="55" spans="1:44" ht="15">
      <c r="A55" s="66" t="str">
        <f t="shared" si="0"/>
        <v>декабрь</v>
      </c>
      <c r="B55" s="230">
        <v>2023</v>
      </c>
      <c r="C55" s="60"/>
      <c r="D55" s="61"/>
      <c r="E55" s="210"/>
      <c r="F55" s="669"/>
      <c r="G55" s="47"/>
      <c r="H55" s="212"/>
      <c r="I55" s="212"/>
      <c r="J55" s="212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  <c r="AA55" s="48"/>
      <c r="AB55" s="48"/>
      <c r="AC55" s="48"/>
      <c r="AD55" s="48"/>
      <c r="AE55" s="48"/>
      <c r="AF55" s="48"/>
      <c r="AG55" s="48"/>
      <c r="AH55" s="48"/>
      <c r="AI55" s="48"/>
      <c r="AJ55" s="48"/>
      <c r="AK55" s="48"/>
      <c r="AL55" s="51"/>
      <c r="AM55" s="211">
        <f>IF(AQ55=1,SUM(H55:I55,L55:O55,R55:U55,X55:AA55,AD55:AG55,AI55:AK55),
IF(AQ55=2,SUM(H55:K55,N55:Q55,T55:W55,Z55:AC55,AF55:AI55),
IF(AQ55=3,SUM(J55:M55,P55:S55,V55:Y55,AB55:AE55,AH55:AK55),SUM(Таблица1[[#This Row],[1]:[31]])-Таблица1[[#This Row],[Столбец1]])))</f>
        <v>0</v>
      </c>
      <c r="AN55" s="290">
        <f t="array" ref="AN55">IF(AQ55=1,SUM(J55:K55,P55:Q55,V55:W55,AB55:AC55,AH55:AI55),
IF(AQ55=2,SUM(L55:M55,R55:S55,X55:Y55,AD55:AE55),
IF(AQ55=3,SUM(H55:I55,N55:O55,T55:U55,Z55:AA55,AF55:AG55),
SUM(IFERROR(WEEKDAY($H$2:$AL$2,2)&gt;5,)*H55:AL55))))</f>
        <v>0</v>
      </c>
      <c r="AO55" s="292" t="b">
        <f>IF(AR55&lt;=3,(IF((G55="5/24"),((база!$M$6*Таблица1[[#This Row],[сумма]]*Таблица1[[#This Row],[коэф]])),
IF((G55="4/24"),((база!$M$5*Таблица1[[#This Row],[сумма]]*Таблица1[[#This Row],[коэф]])),
IF((G55="3/24"),((база!$M$4*Таблица1[[#This Row],[сумма]]*Таблица1[[#This Row],[коэф]])),
IF((G55="5/16"),((база!$L$6*Таблица1[[#This Row],[сумма]]*Таблица1[[#This Row],[коэф]])),
IF((G55="4/16"),((база!$L$5*Таблица1[[#This Row],[сумма]]*Таблица1[[#This Row],[коэф]])),
IF((G55="3/16"),((база!$L$4*Таблица1[[#This Row],[сумма]]*Таблица1[[#This Row],[коэф]])),
IF((G55="4/4"),((база!$I$5*Таблица1[[#This Row],[сумма]]*Таблица1[[#This Row],[коэф]])),
IF(OR(G55="2/4",G55="3/4"),((база!$I$4*Таблица1[[#This Row],[сумма]]*Таблица1[[#This Row],[коэф]])),
IF((G55="5/8"),((база!$J$6*Таблица1[[#This Row],[сумма]]*Таблица1[[#This Row],[коэф]])),
IF((G55="4/8"),((база!$J$5*Таблица1[[#This Row],[сумма]]*Таблица1[[#This Row],[коэф]])),
IF(OR(G55="3/8",G55="2/8"),((база!$J$4*Таблица1[[#This Row],[сумма]]*Таблица1[[#This Row],[коэф]])))))))))))))),
(IF((G55="5/24"),((база!$M$6*Таблица1[[#This Row],[сумма]]*Таблица1[[#This Row],[коэф]])),
IF(OR(G55="4/24",G55="3/24"),((база!$M$5*Таблица1[[#This Row],[сумма]]*Таблица1[[#This Row],[коэф]])),
IF((G55="5/16"),((база!$L$6*Таблица1[[#This Row],[сумма]]*Таблица1[[#This Row],[коэф]])),
IF(OR(G55="4/16",G55="3/16"),((база!$L$5*Таблица1[[#This Row],[сумма]]*Таблица1[[#This Row],[коэф]])),
IF(OR(G55="2/4",G55="3/4",G55="4/4"),((база!$I$5*Таблица1[[#This Row],[сумма]]*Таблица1[[#This Row],[коэф]])),
IF((G55="5/8"),((база!$J$6*Таблица1[[#This Row],[сумма]]*Таблица1[[#This Row],[коэф]])),
IF(OR(G55="4/8",G55="3/8",G55="2/8"),((база!$J$5*Таблица1[[#This Row],[сумма]]*Таблица1[[#This Row],[коэф]])))))))))))</f>
        <v>0</v>
      </c>
      <c r="AP55" s="715" t="b">
        <f>IF(AR55&lt;=3,(IF((G55="5/24"),((база!$M$6*2*Таблица1[[#This Row],[Столбец1]]*Таблица1[[#This Row],[коэф]])),
IF((G55="4/24"),((база!$M$5*2*Таблица1[[#This Row],[Столбец1]]*Таблица1[[#This Row],[коэф]])),
IF((G55="3/24"),((база!$M$4*2*Таблица1[[#This Row],[Столбец1]]*Таблица1[[#This Row],[коэф]])),
IF((G55="5/16"),((база!$L$6*2*Таблица1[[#This Row],[Столбец1]]*Таблица1[[#This Row],[коэф]])),
IF((G55="4/16"),((база!$L$5*2*Таблица1[[#This Row],[Столбец1]]*Таблица1[[#This Row],[коэф]])),
IF((G55="3/16"),((база!$L$4*2*Таблица1[[#This Row],[Столбец1]]*Таблица1[[#This Row],[коэф]])),
IF((G55="4/4"),((база!$I$5*2*Таблица1[[#This Row],[Столбец1]]*Таблица1[[#This Row],[коэф]])),
IF(OR(G55="2/4",G55="3/4"),((база!$I$4*2*Таблица1[[#This Row],[Столбец1]]*Таблица1[[#This Row],[коэф]])),
IF((G55="5/8"),((база!$J$6*2*Таблица1[[#This Row],[Столбец1]]*Таблица1[[#This Row],[коэф]])),
IF((G55="4/8"),((база!$J$5*2*Таблица1[[#This Row],[Столбец1]]*Таблица1[[#This Row],[коэф]])),
IF(OR(G55="3/8",G55="2/8"),((база!$J$4*2*Таблица1[[#This Row],[Столбец1]]*Таблица1[[#This Row],[коэф]])))))))))))))),
(IF((G55="5/24"),((база!$M$6*2*Таблица1[[#This Row],[Столбец1]]*Таблица1[[#This Row],[коэф]])),
IF(OR(G55="4/24",G55="3/24"),((база!$M$5*2*Таблица1[[#This Row],[Столбец1]]*Таблица1[[#This Row],[коэф]])),
IF((G55="5/16"),((база!$L$6*2*Таблица1[[#This Row],[Столбец1]]*Таблица1[[#This Row],[коэф]])),
IF(OR(G55="4/16",G55="3/16"),((база!$L$5*2*Таблица1[[#This Row],[Столбец1]]*Таблица1[[#This Row],[коэф]])),
IF(OR(G55="2/4",G55="3/4",G55="4/4"),((база!$I$5*2*Таблица1[[#This Row],[Столбец1]]*Таблица1[[#This Row],[коэф]])),
IF((G55="5/8"),((база!$J$6*2*Таблица1[[#This Row],[Столбец1]]*Таблица1[[#This Row],[коэф]])),
IF(OR(G55="4/8",G55="3/8",G55="2/8"),((база!$J$5*2*Таблица1[[#This Row],[Столбец1]]*Таблица1[[#This Row],[коэф]])))))))))))</f>
        <v>0</v>
      </c>
      <c r="AQ55" s="697" t="str">
        <f>IFERROR(INDEX(база!T:T, MATCH(F55,база!Q:Q,0)),"")</f>
        <v/>
      </c>
      <c r="AR55" s="207">
        <f>IFERROR(INDEX(база!D:D, MATCH(F55,база!B:B,0)),"")</f>
        <v>0</v>
      </c>
    </row>
    <row r="56" spans="1:44" s="46" customFormat="1" ht="15">
      <c r="A56" s="66" t="str">
        <f t="shared" si="0"/>
        <v>декабрь</v>
      </c>
      <c r="B56" s="230">
        <v>2023</v>
      </c>
      <c r="C56" s="60"/>
      <c r="D56" s="61"/>
      <c r="E56" s="210"/>
      <c r="F56" s="670"/>
      <c r="G56" s="47"/>
      <c r="H56" s="212"/>
      <c r="I56" s="212"/>
      <c r="J56" s="212"/>
      <c r="K56" s="48"/>
      <c r="L56" s="48"/>
      <c r="M56" s="48"/>
      <c r="N56" s="49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  <c r="AA56" s="48"/>
      <c r="AB56" s="48"/>
      <c r="AC56" s="48"/>
      <c r="AD56" s="48"/>
      <c r="AE56" s="48"/>
      <c r="AF56" s="48"/>
      <c r="AG56" s="48"/>
      <c r="AH56" s="48"/>
      <c r="AI56" s="48"/>
      <c r="AJ56" s="48"/>
      <c r="AK56" s="48"/>
      <c r="AL56" s="51"/>
      <c r="AM56" s="211">
        <f>IF(AQ56=1,SUM(H56:I56,L56:O56,R56:U56,X56:AA56,AD56:AG56,AI56:AK56),
IF(AQ56=2,SUM(H56:K56,N56:Q56,T56:W56,Z56:AC56,AF56:AI56),
IF(AQ56=3,SUM(J56:M56,P56:S56,V56:Y56,AB56:AE56,AH56:AK56),SUM(Таблица1[[#This Row],[1]:[31]])-Таблица1[[#This Row],[Столбец1]])))</f>
        <v>0</v>
      </c>
      <c r="AN56" s="290">
        <f t="array" ref="AN56">IF(AQ56=1,SUM(J56:K56,P56:Q56,V56:W56,AB56:AC56,AH56:AI56),
IF(AQ56=2,SUM(L56:M56,R56:S56,X56:Y56,AD56:AE56),
IF(AQ56=3,SUM(H56:I56,N56:O56,T56:U56,Z56:AA56,AF56:AG56),
SUM(IFERROR(WEEKDAY($H$2:$AL$2,2)&gt;5,)*H56:AL56))))</f>
        <v>0</v>
      </c>
      <c r="AO56" s="292" t="b">
        <f>IF(AR56&lt;=3,(IF((G56="5/24"),((база!$M$6*Таблица1[[#This Row],[сумма]]*Таблица1[[#This Row],[коэф]])),
IF((G56="4/24"),((база!$M$5*Таблица1[[#This Row],[сумма]]*Таблица1[[#This Row],[коэф]])),
IF((G56="3/24"),((база!$M$4*Таблица1[[#This Row],[сумма]]*Таблица1[[#This Row],[коэф]])),
IF((G56="5/16"),((база!$L$6*Таблица1[[#This Row],[сумма]]*Таблица1[[#This Row],[коэф]])),
IF((G56="4/16"),((база!$L$5*Таблица1[[#This Row],[сумма]]*Таблица1[[#This Row],[коэф]])),
IF((G56="3/16"),((база!$L$4*Таблица1[[#This Row],[сумма]]*Таблица1[[#This Row],[коэф]])),
IF((G56="4/4"),((база!$I$5*Таблица1[[#This Row],[сумма]]*Таблица1[[#This Row],[коэф]])),
IF(OR(G56="2/4",G56="3/4"),((база!$I$4*Таблица1[[#This Row],[сумма]]*Таблица1[[#This Row],[коэф]])),
IF((G56="5/8"),((база!$J$6*Таблица1[[#This Row],[сумма]]*Таблица1[[#This Row],[коэф]])),
IF((G56="4/8"),((база!$J$5*Таблица1[[#This Row],[сумма]]*Таблица1[[#This Row],[коэф]])),
IF(OR(G56="3/8",G56="2/8"),((база!$J$4*Таблица1[[#This Row],[сумма]]*Таблица1[[#This Row],[коэф]])))))))))))))),
(IF((G56="5/24"),((база!$M$6*Таблица1[[#This Row],[сумма]]*Таблица1[[#This Row],[коэф]])),
IF(OR(G56="4/24",G56="3/24"),((база!$M$5*Таблица1[[#This Row],[сумма]]*Таблица1[[#This Row],[коэф]])),
IF((G56="5/16"),((база!$L$6*Таблица1[[#This Row],[сумма]]*Таблица1[[#This Row],[коэф]])),
IF(OR(G56="4/16",G56="3/16"),((база!$L$5*Таблица1[[#This Row],[сумма]]*Таблица1[[#This Row],[коэф]])),
IF(OR(G56="2/4",G56="3/4",G56="4/4"),((база!$I$5*Таблица1[[#This Row],[сумма]]*Таблица1[[#This Row],[коэф]])),
IF((G56="5/8"),((база!$J$6*Таблица1[[#This Row],[сумма]]*Таблица1[[#This Row],[коэф]])),
IF(OR(G56="4/8",G56="3/8",G56="2/8"),((база!$J$5*Таблица1[[#This Row],[сумма]]*Таблица1[[#This Row],[коэф]])))))))))))</f>
        <v>0</v>
      </c>
      <c r="AP56" s="715" t="b">
        <f>IF(AR56&lt;=3,(IF((G56="5/24"),((база!$M$6*2*Таблица1[[#This Row],[Столбец1]]*Таблица1[[#This Row],[коэф]])),
IF((G56="4/24"),((база!$M$5*2*Таблица1[[#This Row],[Столбец1]]*Таблица1[[#This Row],[коэф]])),
IF((G56="3/24"),((база!$M$4*2*Таблица1[[#This Row],[Столбец1]]*Таблица1[[#This Row],[коэф]])),
IF((G56="5/16"),((база!$L$6*2*Таблица1[[#This Row],[Столбец1]]*Таблица1[[#This Row],[коэф]])),
IF((G56="4/16"),((база!$L$5*2*Таблица1[[#This Row],[Столбец1]]*Таблица1[[#This Row],[коэф]])),
IF((G56="3/16"),((база!$L$4*2*Таблица1[[#This Row],[Столбец1]]*Таблица1[[#This Row],[коэф]])),
IF((G56="4/4"),((база!$I$5*2*Таблица1[[#This Row],[Столбец1]]*Таблица1[[#This Row],[коэф]])),
IF(OR(G56="2/4",G56="3/4"),((база!$I$4*2*Таблица1[[#This Row],[Столбец1]]*Таблица1[[#This Row],[коэф]])),
IF((G56="5/8"),((база!$J$6*2*Таблица1[[#This Row],[Столбец1]]*Таблица1[[#This Row],[коэф]])),
IF((G56="4/8"),((база!$J$5*2*Таблица1[[#This Row],[Столбец1]]*Таблица1[[#This Row],[коэф]])),
IF(OR(G56="3/8",G56="2/8"),((база!$J$4*2*Таблица1[[#This Row],[Столбец1]]*Таблица1[[#This Row],[коэф]])))))))))))))),
(IF((G56="5/24"),((база!$M$6*2*Таблица1[[#This Row],[Столбец1]]*Таблица1[[#This Row],[коэф]])),
IF(OR(G56="4/24",G56="3/24"),((база!$M$5*2*Таблица1[[#This Row],[Столбец1]]*Таблица1[[#This Row],[коэф]])),
IF((G56="5/16"),((база!$L$6*2*Таблица1[[#This Row],[Столбец1]]*Таблица1[[#This Row],[коэф]])),
IF(OR(G56="4/16",G56="3/16"),((база!$L$5*2*Таблица1[[#This Row],[Столбец1]]*Таблица1[[#This Row],[коэф]])),
IF(OR(G56="2/4",G56="3/4",G56="4/4"),((база!$I$5*2*Таблица1[[#This Row],[Столбец1]]*Таблица1[[#This Row],[коэф]])),
IF((G56="5/8"),((база!$J$6*2*Таблица1[[#This Row],[Столбец1]]*Таблица1[[#This Row],[коэф]])),
IF(OR(G56="4/8",G56="3/8",G56="2/8"),((база!$J$5*2*Таблица1[[#This Row],[Столбец1]]*Таблица1[[#This Row],[коэф]])))))))))))</f>
        <v>0</v>
      </c>
      <c r="AQ56" s="697" t="str">
        <f>IFERROR(INDEX(база!T:T, MATCH(F56,база!Q:Q,0)),"")</f>
        <v/>
      </c>
      <c r="AR56" s="207">
        <f>IFERROR(INDEX(база!D:D, MATCH(F56,база!B:B,0)),"")</f>
        <v>0</v>
      </c>
    </row>
    <row r="57" spans="1:44" s="46" customFormat="1" ht="15">
      <c r="A57" s="66" t="str">
        <f>A55</f>
        <v>декабрь</v>
      </c>
      <c r="B57" s="230">
        <v>2023</v>
      </c>
      <c r="C57" s="60"/>
      <c r="D57" s="61"/>
      <c r="E57" s="210"/>
      <c r="F57" s="670"/>
      <c r="G57" s="47"/>
      <c r="H57" s="212"/>
      <c r="I57" s="48"/>
      <c r="J57" s="48"/>
      <c r="K57" s="48"/>
      <c r="L57" s="48"/>
      <c r="M57" s="48"/>
      <c r="N57" s="49"/>
      <c r="O57" s="49"/>
      <c r="P57" s="49"/>
      <c r="Q57" s="48"/>
      <c r="R57" s="48"/>
      <c r="S57" s="48"/>
      <c r="T57" s="48"/>
      <c r="U57" s="48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8"/>
      <c r="AG57" s="48"/>
      <c r="AH57" s="48"/>
      <c r="AI57" s="48"/>
      <c r="AJ57" s="48"/>
      <c r="AK57" s="48"/>
      <c r="AL57" s="51"/>
      <c r="AM57" s="211">
        <f>IF(AQ57=1,SUM(H57:I57,L57:O57,R57:U57,X57:AA57,AD57:AG57,AI57:AK57),
IF(AQ57=2,SUM(H57:K57,N57:Q57,T57:W57,Z57:AC57,AF57:AI57),
IF(AQ57=3,SUM(J57:M57,P57:S57,V57:Y57,AB57:AE57,AH57:AK57),SUM(Таблица1[[#This Row],[1]:[31]])-Таблица1[[#This Row],[Столбец1]])))</f>
        <v>0</v>
      </c>
      <c r="AN57" s="290">
        <f t="array" ref="AN57">IF(AQ57=1,SUM(J57:K57,P57:Q57,V57:W57,AB57:AC57,AH57:AI57),
IF(AQ57=2,SUM(L57:M57,R57:S57,X57:Y57,AD57:AE57),
IF(AQ57=3,SUM(H57:I57,N57:O57,T57:U57,Z57:AA57,AF57:AG57),
SUM(IFERROR(WEEKDAY($H$2:$AL$2,2)&gt;5,)*H57:AL57))))</f>
        <v>0</v>
      </c>
      <c r="AO57" s="292" t="b">
        <f>IF(AR57&lt;=3,(IF((G57="5/24"),((база!$M$6*Таблица1[[#This Row],[сумма]]*Таблица1[[#This Row],[коэф]])),
IF((G57="4/24"),((база!$M$5*Таблица1[[#This Row],[сумма]]*Таблица1[[#This Row],[коэф]])),
IF((G57="3/24"),((база!$M$4*Таблица1[[#This Row],[сумма]]*Таблица1[[#This Row],[коэф]])),
IF((G57="5/16"),((база!$L$6*Таблица1[[#This Row],[сумма]]*Таблица1[[#This Row],[коэф]])),
IF((G57="4/16"),((база!$L$5*Таблица1[[#This Row],[сумма]]*Таблица1[[#This Row],[коэф]])),
IF((G57="3/16"),((база!$L$4*Таблица1[[#This Row],[сумма]]*Таблица1[[#This Row],[коэф]])),
IF((G57="4/4"),((база!$I$5*Таблица1[[#This Row],[сумма]]*Таблица1[[#This Row],[коэф]])),
IF(OR(G57="2/4",G57="3/4"),((база!$I$4*Таблица1[[#This Row],[сумма]]*Таблица1[[#This Row],[коэф]])),
IF((G57="5/8"),((база!$J$6*Таблица1[[#This Row],[сумма]]*Таблица1[[#This Row],[коэф]])),
IF((G57="4/8"),((база!$J$5*Таблица1[[#This Row],[сумма]]*Таблица1[[#This Row],[коэф]])),
IF(OR(G57="3/8",G57="2/8"),((база!$J$4*Таблица1[[#This Row],[сумма]]*Таблица1[[#This Row],[коэф]])))))))))))))),
(IF((G57="5/24"),((база!$M$6*Таблица1[[#This Row],[сумма]]*Таблица1[[#This Row],[коэф]])),
IF(OR(G57="4/24",G57="3/24"),((база!$M$5*Таблица1[[#This Row],[сумма]]*Таблица1[[#This Row],[коэф]])),
IF((G57="5/16"),((база!$L$6*Таблица1[[#This Row],[сумма]]*Таблица1[[#This Row],[коэф]])),
IF(OR(G57="4/16",G57="3/16"),((база!$L$5*Таблица1[[#This Row],[сумма]]*Таблица1[[#This Row],[коэф]])),
IF(OR(G57="2/4",G57="3/4",G57="4/4"),((база!$I$5*Таблица1[[#This Row],[сумма]]*Таблица1[[#This Row],[коэф]])),
IF((G57="5/8"),((база!$J$6*Таблица1[[#This Row],[сумма]]*Таблица1[[#This Row],[коэф]])),
IF(OR(G57="4/8",G57="3/8",G57="2/8"),((база!$J$5*Таблица1[[#This Row],[сумма]]*Таблица1[[#This Row],[коэф]])))))))))))</f>
        <v>0</v>
      </c>
      <c r="AP57" s="715" t="b">
        <f>IF(AR57&lt;=3,(IF((G57="5/24"),((база!$M$6*2*Таблица1[[#This Row],[Столбец1]]*Таблица1[[#This Row],[коэф]])),
IF((G57="4/24"),((база!$M$5*2*Таблица1[[#This Row],[Столбец1]]*Таблица1[[#This Row],[коэф]])),
IF((G57="3/24"),((база!$M$4*2*Таблица1[[#This Row],[Столбец1]]*Таблица1[[#This Row],[коэф]])),
IF((G57="5/16"),((база!$L$6*2*Таблица1[[#This Row],[Столбец1]]*Таблица1[[#This Row],[коэф]])),
IF((G57="4/16"),((база!$L$5*2*Таблица1[[#This Row],[Столбец1]]*Таблица1[[#This Row],[коэф]])),
IF((G57="3/16"),((база!$L$4*2*Таблица1[[#This Row],[Столбец1]]*Таблица1[[#This Row],[коэф]])),
IF((G57="4/4"),((база!$I$5*2*Таблица1[[#This Row],[Столбец1]]*Таблица1[[#This Row],[коэф]])),
IF(OR(G57="2/4",G57="3/4"),((база!$I$4*2*Таблица1[[#This Row],[Столбец1]]*Таблица1[[#This Row],[коэф]])),
IF((G57="5/8"),((база!$J$6*2*Таблица1[[#This Row],[Столбец1]]*Таблица1[[#This Row],[коэф]])),
IF((G57="4/8"),((база!$J$5*2*Таблица1[[#This Row],[Столбец1]]*Таблица1[[#This Row],[коэф]])),
IF(OR(G57="3/8",G57="2/8"),((база!$J$4*2*Таблица1[[#This Row],[Столбец1]]*Таблица1[[#This Row],[коэф]])))))))))))))),
(IF((G57="5/24"),((база!$M$6*2*Таблица1[[#This Row],[Столбец1]]*Таблица1[[#This Row],[коэф]])),
IF(OR(G57="4/24",G57="3/24"),((база!$M$5*2*Таблица1[[#This Row],[Столбец1]]*Таблица1[[#This Row],[коэф]])),
IF((G57="5/16"),((база!$L$6*2*Таблица1[[#This Row],[Столбец1]]*Таблица1[[#This Row],[коэф]])),
IF(OR(G57="4/16",G57="3/16"),((база!$L$5*2*Таблица1[[#This Row],[Столбец1]]*Таблица1[[#This Row],[коэф]])),
IF(OR(G57="2/4",G57="3/4",G57="4/4"),((база!$I$5*2*Таблица1[[#This Row],[Столбец1]]*Таблица1[[#This Row],[коэф]])),
IF((G57="5/8"),((база!$J$6*2*Таблица1[[#This Row],[Столбец1]]*Таблица1[[#This Row],[коэф]])),
IF(OR(G57="4/8",G57="3/8",G57="2/8"),((база!$J$5*2*Таблица1[[#This Row],[Столбец1]]*Таблица1[[#This Row],[коэф]])))))))))))</f>
        <v>0</v>
      </c>
      <c r="AQ57" s="697" t="str">
        <f>IFERROR(INDEX(база!T:T, MATCH(F57,база!Q:Q,0)),"")</f>
        <v/>
      </c>
      <c r="AR57" s="207">
        <f>IFERROR(INDEX(база!D:D, MATCH(F57,база!B:B,0)),"")</f>
        <v>0</v>
      </c>
    </row>
    <row r="58" spans="1:44" ht="15">
      <c r="A58" s="66" t="str">
        <f t="shared" si="0"/>
        <v>декабрь</v>
      </c>
      <c r="B58" s="230">
        <v>2023</v>
      </c>
      <c r="C58" s="60"/>
      <c r="D58" s="61"/>
      <c r="E58" s="210"/>
      <c r="F58" s="670"/>
      <c r="G58" s="47"/>
      <c r="H58" s="212"/>
      <c r="I58" s="48"/>
      <c r="J58" s="48"/>
      <c r="K58" s="48"/>
      <c r="L58" s="48"/>
      <c r="M58" s="48"/>
      <c r="N58" s="49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8"/>
      <c r="AG58" s="48"/>
      <c r="AH58" s="48"/>
      <c r="AI58" s="48"/>
      <c r="AJ58" s="48"/>
      <c r="AK58" s="48"/>
      <c r="AL58" s="51"/>
      <c r="AM58" s="211">
        <f>IF(AQ58=1,SUM(H58:I58,L58:O58,R58:U58,X58:AA58,AD58:AG58,AI58:AK58),
IF(AQ58=2,SUM(H58:K58,N58:Q58,T58:W58,Z58:AC58,AF58:AI58),
IF(AQ58=3,SUM(J58:M58,P58:S58,V58:Y58,AB58:AE58,AH58:AK58),SUM(Таблица1[[#This Row],[1]:[31]])-Таблица1[[#This Row],[Столбец1]])))</f>
        <v>0</v>
      </c>
      <c r="AN58" s="290">
        <f t="array" ref="AN58">IF(AQ58=1,SUM(J58:K58,P58:Q58,V58:W58,AB58:AC58,AH58:AI58),
IF(AQ58=2,SUM(L58:M58,R58:S58,X58:Y58,AD58:AE58),
IF(AQ58=3,SUM(H58:I58,N58:O58,T58:U58,Z58:AA58,AF58:AG58),
SUM(IFERROR(WEEKDAY($H$2:$AL$2,2)&gt;5,)*H58:AL58))))</f>
        <v>0</v>
      </c>
      <c r="AO58" s="292" t="b">
        <f>IF(AR58&lt;=3,(IF((G58="5/24"),((база!$M$6*Таблица1[[#This Row],[сумма]]*Таблица1[[#This Row],[коэф]])),
IF((G58="4/24"),((база!$M$5*Таблица1[[#This Row],[сумма]]*Таблица1[[#This Row],[коэф]])),
IF((G58="3/24"),((база!$M$4*Таблица1[[#This Row],[сумма]]*Таблица1[[#This Row],[коэф]])),
IF((G58="5/16"),((база!$L$6*Таблица1[[#This Row],[сумма]]*Таблица1[[#This Row],[коэф]])),
IF((G58="4/16"),((база!$L$5*Таблица1[[#This Row],[сумма]]*Таблица1[[#This Row],[коэф]])),
IF((G58="3/16"),((база!$L$4*Таблица1[[#This Row],[сумма]]*Таблица1[[#This Row],[коэф]])),
IF((G58="4/4"),((база!$I$5*Таблица1[[#This Row],[сумма]]*Таблица1[[#This Row],[коэф]])),
IF(OR(G58="2/4",G58="3/4"),((база!$I$4*Таблица1[[#This Row],[сумма]]*Таблица1[[#This Row],[коэф]])),
IF((G58="5/8"),((база!$J$6*Таблица1[[#This Row],[сумма]]*Таблица1[[#This Row],[коэф]])),
IF((G58="4/8"),((база!$J$5*Таблица1[[#This Row],[сумма]]*Таблица1[[#This Row],[коэф]])),
IF(OR(G58="3/8",G58="2/8"),((база!$J$4*Таблица1[[#This Row],[сумма]]*Таблица1[[#This Row],[коэф]])))))))))))))),
(IF((G58="5/24"),((база!$M$6*Таблица1[[#This Row],[сумма]]*Таблица1[[#This Row],[коэф]])),
IF(OR(G58="4/24",G58="3/24"),((база!$M$5*Таблица1[[#This Row],[сумма]]*Таблица1[[#This Row],[коэф]])),
IF((G58="5/16"),((база!$L$6*Таблица1[[#This Row],[сумма]]*Таблица1[[#This Row],[коэф]])),
IF(OR(G58="4/16",G58="3/16"),((база!$L$5*Таблица1[[#This Row],[сумма]]*Таблица1[[#This Row],[коэф]])),
IF(OR(G58="2/4",G58="3/4",G58="4/4"),((база!$I$5*Таблица1[[#This Row],[сумма]]*Таблица1[[#This Row],[коэф]])),
IF((G58="5/8"),((база!$J$6*Таблица1[[#This Row],[сумма]]*Таблица1[[#This Row],[коэф]])),
IF(OR(G58="4/8",G58="3/8",G58="2/8"),((база!$J$5*Таблица1[[#This Row],[сумма]]*Таблица1[[#This Row],[коэф]])))))))))))</f>
        <v>0</v>
      </c>
      <c r="AP58" s="715" t="b">
        <f>IF(AR58&lt;=3,(IF((G58="5/24"),((база!$M$6*2*Таблица1[[#This Row],[Столбец1]]*Таблица1[[#This Row],[коэф]])),
IF((G58="4/24"),((база!$M$5*2*Таблица1[[#This Row],[Столбец1]]*Таблица1[[#This Row],[коэф]])),
IF((G58="3/24"),((база!$M$4*2*Таблица1[[#This Row],[Столбец1]]*Таблица1[[#This Row],[коэф]])),
IF((G58="5/16"),((база!$L$6*2*Таблица1[[#This Row],[Столбец1]]*Таблица1[[#This Row],[коэф]])),
IF((G58="4/16"),((база!$L$5*2*Таблица1[[#This Row],[Столбец1]]*Таблица1[[#This Row],[коэф]])),
IF((G58="3/16"),((база!$L$4*2*Таблица1[[#This Row],[Столбец1]]*Таблица1[[#This Row],[коэф]])),
IF((G58="4/4"),((база!$I$5*2*Таблица1[[#This Row],[Столбец1]]*Таблица1[[#This Row],[коэф]])),
IF(OR(G58="2/4",G58="3/4"),((база!$I$4*2*Таблица1[[#This Row],[Столбец1]]*Таблица1[[#This Row],[коэф]])),
IF((G58="5/8"),((база!$J$6*2*Таблица1[[#This Row],[Столбец1]]*Таблица1[[#This Row],[коэф]])),
IF((G58="4/8"),((база!$J$5*2*Таблица1[[#This Row],[Столбец1]]*Таблица1[[#This Row],[коэф]])),
IF(OR(G58="3/8",G58="2/8"),((база!$J$4*2*Таблица1[[#This Row],[Столбец1]]*Таблица1[[#This Row],[коэф]])))))))))))))),
(IF((G58="5/24"),((база!$M$6*2*Таблица1[[#This Row],[Столбец1]]*Таблица1[[#This Row],[коэф]])),
IF(OR(G58="4/24",G58="3/24"),((база!$M$5*2*Таблица1[[#This Row],[Столбец1]]*Таблица1[[#This Row],[коэф]])),
IF((G58="5/16"),((база!$L$6*2*Таблица1[[#This Row],[Столбец1]]*Таблица1[[#This Row],[коэф]])),
IF(OR(G58="4/16",G58="3/16"),((база!$L$5*2*Таблица1[[#This Row],[Столбец1]]*Таблица1[[#This Row],[коэф]])),
IF(OR(G58="2/4",G58="3/4",G58="4/4"),((база!$I$5*2*Таблица1[[#This Row],[Столбец1]]*Таблица1[[#This Row],[коэф]])),
IF((G58="5/8"),((база!$J$6*2*Таблица1[[#This Row],[Столбец1]]*Таблица1[[#This Row],[коэф]])),
IF(OR(G58="4/8",G58="3/8",G58="2/8"),((база!$J$5*2*Таблица1[[#This Row],[Столбец1]]*Таблица1[[#This Row],[коэф]])))))))))))</f>
        <v>0</v>
      </c>
      <c r="AQ58" s="697" t="str">
        <f>IFERROR(INDEX(база!T:T, MATCH(F58,база!Q:Q,0)),"")</f>
        <v/>
      </c>
      <c r="AR58" s="207">
        <f>IFERROR(INDEX(база!D:D, MATCH(F58,база!B:B,0)),"")</f>
        <v>0</v>
      </c>
    </row>
    <row r="59" spans="1:44" ht="15">
      <c r="A59" s="66" t="str">
        <f t="shared" si="0"/>
        <v>декабрь</v>
      </c>
      <c r="B59" s="230">
        <v>2023</v>
      </c>
      <c r="C59" s="60"/>
      <c r="D59" s="61"/>
      <c r="E59" s="210"/>
      <c r="F59" s="670"/>
      <c r="G59" s="47"/>
      <c r="H59" s="212"/>
      <c r="I59" s="48"/>
      <c r="J59" s="48"/>
      <c r="K59" s="48"/>
      <c r="L59" s="48"/>
      <c r="M59" s="48"/>
      <c r="N59" s="49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8"/>
      <c r="AG59" s="48"/>
      <c r="AH59" s="48"/>
      <c r="AI59" s="48"/>
      <c r="AJ59" s="48"/>
      <c r="AK59" s="48"/>
      <c r="AL59" s="51"/>
      <c r="AM59" s="211">
        <f>IF(AQ59=1,SUM(H59:I59,L59:O59,R59:U59,X59:AA59,AD59:AG59,AI59:AK59),
IF(AQ59=2,SUM(H59:K59,N59:Q59,T59:W59,Z59:AC59,AF59:AI59),
IF(AQ59=3,SUM(J59:M59,P59:S59,V59:Y59,AB59:AE59,AH59:AK59),SUM(Таблица1[[#This Row],[1]:[31]])-Таблица1[[#This Row],[Столбец1]])))</f>
        <v>0</v>
      </c>
      <c r="AN59" s="290">
        <f t="array" ref="AN59">IF(AQ59=1,SUM(J59:K59,P59:Q59,V59:W59,AB59:AC59,AH59:AI59),
IF(AQ59=2,SUM(L59:M59,R59:S59,X59:Y59,AD59:AE59),
IF(AQ59=3,SUM(H59:I59,N59:O59,T59:U59,Z59:AA59,AF59:AG59),
SUM(IFERROR(WEEKDAY($H$2:$AL$2,2)&gt;5,)*H59:AL59))))</f>
        <v>0</v>
      </c>
      <c r="AO59" s="292" t="b">
        <f>IF(AR59&lt;=3,(IF((G59="5/24"),((база!$M$6*Таблица1[[#This Row],[сумма]]*Таблица1[[#This Row],[коэф]])),
IF((G59="4/24"),((база!$M$5*Таблица1[[#This Row],[сумма]]*Таблица1[[#This Row],[коэф]])),
IF((G59="3/24"),((база!$M$4*Таблица1[[#This Row],[сумма]]*Таблица1[[#This Row],[коэф]])),
IF((G59="5/16"),((база!$L$6*Таблица1[[#This Row],[сумма]]*Таблица1[[#This Row],[коэф]])),
IF((G59="4/16"),((база!$L$5*Таблица1[[#This Row],[сумма]]*Таблица1[[#This Row],[коэф]])),
IF((G59="3/16"),((база!$L$4*Таблица1[[#This Row],[сумма]]*Таблица1[[#This Row],[коэф]])),
IF((G59="4/4"),((база!$I$5*Таблица1[[#This Row],[сумма]]*Таблица1[[#This Row],[коэф]])),
IF(OR(G59="2/4",G59="3/4"),((база!$I$4*Таблица1[[#This Row],[сумма]]*Таблица1[[#This Row],[коэф]])),
IF((G59="5/8"),((база!$J$6*Таблица1[[#This Row],[сумма]]*Таблица1[[#This Row],[коэф]])),
IF((G59="4/8"),((база!$J$5*Таблица1[[#This Row],[сумма]]*Таблица1[[#This Row],[коэф]])),
IF(OR(G59="3/8",G59="2/8"),((база!$J$4*Таблица1[[#This Row],[сумма]]*Таблица1[[#This Row],[коэф]])))))))))))))),
(IF((G59="5/24"),((база!$M$6*Таблица1[[#This Row],[сумма]]*Таблица1[[#This Row],[коэф]])),
IF(OR(G59="4/24",G59="3/24"),((база!$M$5*Таблица1[[#This Row],[сумма]]*Таблица1[[#This Row],[коэф]])),
IF((G59="5/16"),((база!$L$6*Таблица1[[#This Row],[сумма]]*Таблица1[[#This Row],[коэф]])),
IF(OR(G59="4/16",G59="3/16"),((база!$L$5*Таблица1[[#This Row],[сумма]]*Таблица1[[#This Row],[коэф]])),
IF(OR(G59="2/4",G59="3/4",G59="4/4"),((база!$I$5*Таблица1[[#This Row],[сумма]]*Таблица1[[#This Row],[коэф]])),
IF((G59="5/8"),((база!$J$6*Таблица1[[#This Row],[сумма]]*Таблица1[[#This Row],[коэф]])),
IF(OR(G59="4/8",G59="3/8",G59="2/8"),((база!$J$5*Таблица1[[#This Row],[сумма]]*Таблица1[[#This Row],[коэф]])))))))))))</f>
        <v>0</v>
      </c>
      <c r="AP59" s="715" t="b">
        <f>IF(AR59&lt;=3,(IF((G59="5/24"),((база!$M$6*2*Таблица1[[#This Row],[Столбец1]]*Таблица1[[#This Row],[коэф]])),
IF((G59="4/24"),((база!$M$5*2*Таблица1[[#This Row],[Столбец1]]*Таблица1[[#This Row],[коэф]])),
IF((G59="3/24"),((база!$M$4*2*Таблица1[[#This Row],[Столбец1]]*Таблица1[[#This Row],[коэф]])),
IF((G59="5/16"),((база!$L$6*2*Таблица1[[#This Row],[Столбец1]]*Таблица1[[#This Row],[коэф]])),
IF((G59="4/16"),((база!$L$5*2*Таблица1[[#This Row],[Столбец1]]*Таблица1[[#This Row],[коэф]])),
IF((G59="3/16"),((база!$L$4*2*Таблица1[[#This Row],[Столбец1]]*Таблица1[[#This Row],[коэф]])),
IF((G59="4/4"),((база!$I$5*2*Таблица1[[#This Row],[Столбец1]]*Таблица1[[#This Row],[коэф]])),
IF(OR(G59="2/4",G59="3/4"),((база!$I$4*2*Таблица1[[#This Row],[Столбец1]]*Таблица1[[#This Row],[коэф]])),
IF((G59="5/8"),((база!$J$6*2*Таблица1[[#This Row],[Столбец1]]*Таблица1[[#This Row],[коэф]])),
IF((G59="4/8"),((база!$J$5*2*Таблица1[[#This Row],[Столбец1]]*Таблица1[[#This Row],[коэф]])),
IF(OR(G59="3/8",G59="2/8"),((база!$J$4*2*Таблица1[[#This Row],[Столбец1]]*Таблица1[[#This Row],[коэф]])))))))))))))),
(IF((G59="5/24"),((база!$M$6*2*Таблица1[[#This Row],[Столбец1]]*Таблица1[[#This Row],[коэф]])),
IF(OR(G59="4/24",G59="3/24"),((база!$M$5*2*Таблица1[[#This Row],[Столбец1]]*Таблица1[[#This Row],[коэф]])),
IF((G59="5/16"),((база!$L$6*2*Таблица1[[#This Row],[Столбец1]]*Таблица1[[#This Row],[коэф]])),
IF(OR(G59="4/16",G59="3/16"),((база!$L$5*2*Таблица1[[#This Row],[Столбец1]]*Таблица1[[#This Row],[коэф]])),
IF(OR(G59="2/4",G59="3/4",G59="4/4"),((база!$I$5*2*Таблица1[[#This Row],[Столбец1]]*Таблица1[[#This Row],[коэф]])),
IF((G59="5/8"),((база!$J$6*2*Таблица1[[#This Row],[Столбец1]]*Таблица1[[#This Row],[коэф]])),
IF(OR(G59="4/8",G59="3/8",G59="2/8"),((база!$J$5*2*Таблица1[[#This Row],[Столбец1]]*Таблица1[[#This Row],[коэф]])))))))))))</f>
        <v>0</v>
      </c>
      <c r="AQ59" s="697" t="str">
        <f>IFERROR(INDEX(база!T:T, MATCH(F59,база!Q:Q,0)),"")</f>
        <v/>
      </c>
      <c r="AR59" s="207">
        <f>IFERROR(INDEX(база!D:D, MATCH(F59,база!B:B,0)),"")</f>
        <v>0</v>
      </c>
    </row>
    <row r="60" spans="1:44" ht="15">
      <c r="A60" s="66" t="str">
        <f t="shared" si="0"/>
        <v>декабрь</v>
      </c>
      <c r="B60" s="230">
        <v>2023</v>
      </c>
      <c r="C60" s="60"/>
      <c r="D60" s="61"/>
      <c r="E60" s="210"/>
      <c r="F60" s="670"/>
      <c r="G60" s="47"/>
      <c r="H60" s="212"/>
      <c r="I60" s="212"/>
      <c r="J60" s="212"/>
      <c r="K60" s="48"/>
      <c r="L60" s="48"/>
      <c r="M60" s="48"/>
      <c r="N60" s="49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  <c r="AA60" s="48"/>
      <c r="AB60" s="48"/>
      <c r="AC60" s="48"/>
      <c r="AD60" s="48"/>
      <c r="AE60" s="48"/>
      <c r="AF60" s="48"/>
      <c r="AG60" s="48"/>
      <c r="AH60" s="48"/>
      <c r="AI60" s="48"/>
      <c r="AJ60" s="48"/>
      <c r="AK60" s="48"/>
      <c r="AL60" s="51"/>
      <c r="AM60" s="211">
        <f>IF(AQ60=1,SUM(H60:I60,L60:O60,R60:U60,X60:AA60,AD60:AG60,AI60:AK60),
IF(AQ60=2,SUM(H60:K60,N60:Q60,T60:W60,Z60:AC60,AF60:AI60),
IF(AQ60=3,SUM(J60:M60,P60:S60,V60:Y60,AB60:AE60,AH60:AK60),SUM(Таблица1[[#This Row],[1]:[31]])-Таблица1[[#This Row],[Столбец1]])))</f>
        <v>0</v>
      </c>
      <c r="AN60" s="290">
        <f t="array" ref="AN60">IF(AQ60=1,SUM(J60:K60,P60:Q60,V60:W60,AB60:AC60,AH60:AI60),
IF(AQ60=2,SUM(L60:M60,R60:S60,X60:Y60,AD60:AE60),
IF(AQ60=3,SUM(H60:I60,N60:O60,T60:U60,Z60:AA60,AF60:AG60),
SUM(IFERROR(WEEKDAY($H$2:$AL$2,2)&gt;5,)*H60:AL60))))</f>
        <v>0</v>
      </c>
      <c r="AO60" s="292" t="b">
        <f>IF(AR60&lt;=3,(IF((G60="5/24"),((база!$M$6*Таблица1[[#This Row],[сумма]]*Таблица1[[#This Row],[коэф]])),
IF((G60="4/24"),((база!$M$5*Таблица1[[#This Row],[сумма]]*Таблица1[[#This Row],[коэф]])),
IF((G60="3/24"),((база!$M$4*Таблица1[[#This Row],[сумма]]*Таблица1[[#This Row],[коэф]])),
IF((G60="5/16"),((база!$L$6*Таблица1[[#This Row],[сумма]]*Таблица1[[#This Row],[коэф]])),
IF((G60="4/16"),((база!$L$5*Таблица1[[#This Row],[сумма]]*Таблица1[[#This Row],[коэф]])),
IF((G60="3/16"),((база!$L$4*Таблица1[[#This Row],[сумма]]*Таблица1[[#This Row],[коэф]])),
IF((G60="4/4"),((база!$I$5*Таблица1[[#This Row],[сумма]]*Таблица1[[#This Row],[коэф]])),
IF(OR(G60="2/4",G60="3/4"),((база!$I$4*Таблица1[[#This Row],[сумма]]*Таблица1[[#This Row],[коэф]])),
IF((G60="5/8"),((база!$J$6*Таблица1[[#This Row],[сумма]]*Таблица1[[#This Row],[коэф]])),
IF((G60="4/8"),((база!$J$5*Таблица1[[#This Row],[сумма]]*Таблица1[[#This Row],[коэф]])),
IF(OR(G60="3/8",G60="2/8"),((база!$J$4*Таблица1[[#This Row],[сумма]]*Таблица1[[#This Row],[коэф]])))))))))))))),
(IF((G60="5/24"),((база!$M$6*Таблица1[[#This Row],[сумма]]*Таблица1[[#This Row],[коэф]])),
IF(OR(G60="4/24",G60="3/24"),((база!$M$5*Таблица1[[#This Row],[сумма]]*Таблица1[[#This Row],[коэф]])),
IF((G60="5/16"),((база!$L$6*Таблица1[[#This Row],[сумма]]*Таблица1[[#This Row],[коэф]])),
IF(OR(G60="4/16",G60="3/16"),((база!$L$5*Таблица1[[#This Row],[сумма]]*Таблица1[[#This Row],[коэф]])),
IF(OR(G60="2/4",G60="3/4",G60="4/4"),((база!$I$5*Таблица1[[#This Row],[сумма]]*Таблица1[[#This Row],[коэф]])),
IF((G60="5/8"),((база!$J$6*Таблица1[[#This Row],[сумма]]*Таблица1[[#This Row],[коэф]])),
IF(OR(G60="4/8",G60="3/8",G60="2/8"),((база!$J$5*Таблица1[[#This Row],[сумма]]*Таблица1[[#This Row],[коэф]])))))))))))</f>
        <v>0</v>
      </c>
      <c r="AP60" s="715" t="b">
        <f>IF(AR60&lt;=3,(IF((G60="5/24"),((база!$M$6*2*Таблица1[[#This Row],[Столбец1]]*Таблица1[[#This Row],[коэф]])),
IF((G60="4/24"),((база!$M$5*2*Таблица1[[#This Row],[Столбец1]]*Таблица1[[#This Row],[коэф]])),
IF((G60="3/24"),((база!$M$4*2*Таблица1[[#This Row],[Столбец1]]*Таблица1[[#This Row],[коэф]])),
IF((G60="5/16"),((база!$L$6*2*Таблица1[[#This Row],[Столбец1]]*Таблица1[[#This Row],[коэф]])),
IF((G60="4/16"),((база!$L$5*2*Таблица1[[#This Row],[Столбец1]]*Таблица1[[#This Row],[коэф]])),
IF((G60="3/16"),((база!$L$4*2*Таблица1[[#This Row],[Столбец1]]*Таблица1[[#This Row],[коэф]])),
IF((G60="4/4"),((база!$I$5*2*Таблица1[[#This Row],[Столбец1]]*Таблица1[[#This Row],[коэф]])),
IF(OR(G60="2/4",G60="3/4"),((база!$I$4*2*Таблица1[[#This Row],[Столбец1]]*Таблица1[[#This Row],[коэф]])),
IF((G60="5/8"),((база!$J$6*2*Таблица1[[#This Row],[Столбец1]]*Таблица1[[#This Row],[коэф]])),
IF((G60="4/8"),((база!$J$5*2*Таблица1[[#This Row],[Столбец1]]*Таблица1[[#This Row],[коэф]])),
IF(OR(G60="3/8",G60="2/8"),((база!$J$4*2*Таблица1[[#This Row],[Столбец1]]*Таблица1[[#This Row],[коэф]])))))))))))))),
(IF((G60="5/24"),((база!$M$6*2*Таблица1[[#This Row],[Столбец1]]*Таблица1[[#This Row],[коэф]])),
IF(OR(G60="4/24",G60="3/24"),((база!$M$5*2*Таблица1[[#This Row],[Столбец1]]*Таблица1[[#This Row],[коэф]])),
IF((G60="5/16"),((база!$L$6*2*Таблица1[[#This Row],[Столбец1]]*Таблица1[[#This Row],[коэф]])),
IF(OR(G60="4/16",G60="3/16"),((база!$L$5*2*Таблица1[[#This Row],[Столбец1]]*Таблица1[[#This Row],[коэф]])),
IF(OR(G60="2/4",G60="3/4",G60="4/4"),((база!$I$5*2*Таблица1[[#This Row],[Столбец1]]*Таблица1[[#This Row],[коэф]])),
IF((G60="5/8"),((база!$J$6*2*Таблица1[[#This Row],[Столбец1]]*Таблица1[[#This Row],[коэф]])),
IF(OR(G60="4/8",G60="3/8",G60="2/8"),((база!$J$5*2*Таблица1[[#This Row],[Столбец1]]*Таблица1[[#This Row],[коэф]])))))))))))</f>
        <v>0</v>
      </c>
      <c r="AQ60" s="697" t="str">
        <f>IFERROR(INDEX(база!T:T, MATCH(F60,база!Q:Q,0)),"")</f>
        <v/>
      </c>
      <c r="AR60" s="207">
        <f>IFERROR(INDEX(база!D:D, MATCH(F60,база!B:B,0)),"")</f>
        <v>0</v>
      </c>
    </row>
    <row r="61" spans="1:44" ht="15">
      <c r="A61" s="66" t="str">
        <f t="shared" si="0"/>
        <v>декабрь</v>
      </c>
      <c r="B61" s="230">
        <v>2023</v>
      </c>
      <c r="C61" s="60"/>
      <c r="D61" s="61"/>
      <c r="E61" s="210"/>
      <c r="F61" s="670"/>
      <c r="G61" s="47"/>
      <c r="H61" s="212"/>
      <c r="I61" s="48"/>
      <c r="J61" s="48"/>
      <c r="K61" s="48"/>
      <c r="L61" s="48"/>
      <c r="M61" s="48"/>
      <c r="N61" s="49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  <c r="AA61" s="48"/>
      <c r="AB61" s="48"/>
      <c r="AC61" s="48"/>
      <c r="AD61" s="48"/>
      <c r="AE61" s="48"/>
      <c r="AF61" s="48"/>
      <c r="AG61" s="48"/>
      <c r="AH61" s="48"/>
      <c r="AI61" s="48"/>
      <c r="AJ61" s="48"/>
      <c r="AK61" s="48"/>
      <c r="AL61" s="51"/>
      <c r="AM61" s="211">
        <f>IF(AQ61=1,SUM(H61:I61,L61:O61,R61:U61,X61:AA61,AD61:AG61,AI61:AK61),
IF(AQ61=2,SUM(H61:K61,N61:Q61,T61:W61,Z61:AC61,AF61:AI61),
IF(AQ61=3,SUM(J61:M61,P61:S61,V61:Y61,AB61:AE61,AH61:AK61),SUM(Таблица1[[#This Row],[1]:[31]])-Таблица1[[#This Row],[Столбец1]])))</f>
        <v>0</v>
      </c>
      <c r="AN61" s="290">
        <f t="array" ref="AN61">IF(AQ61=1,SUM(J61:K61,P61:Q61,V61:W61,AB61:AC61,AH61:AI61),
IF(AQ61=2,SUM(L61:M61,R61:S61,X61:Y61,AD61:AE61),
IF(AQ61=3,SUM(H61:I61,N61:O61,T61:U61,Z61:AA61,AF61:AG61),
SUM(IFERROR(WEEKDAY($H$2:$AL$2,2)&gt;5,)*H61:AL61))))</f>
        <v>0</v>
      </c>
      <c r="AO61" s="292" t="b">
        <f>IF(AR61&lt;=3,(IF((G61="5/24"),((база!$M$6*Таблица1[[#This Row],[сумма]]*Таблица1[[#This Row],[коэф]])),
IF((G61="4/24"),((база!$M$5*Таблица1[[#This Row],[сумма]]*Таблица1[[#This Row],[коэф]])),
IF((G61="3/24"),((база!$M$4*Таблица1[[#This Row],[сумма]]*Таблица1[[#This Row],[коэф]])),
IF((G61="5/16"),((база!$L$6*Таблица1[[#This Row],[сумма]]*Таблица1[[#This Row],[коэф]])),
IF((G61="4/16"),((база!$L$5*Таблица1[[#This Row],[сумма]]*Таблица1[[#This Row],[коэф]])),
IF((G61="3/16"),((база!$L$4*Таблица1[[#This Row],[сумма]]*Таблица1[[#This Row],[коэф]])),
IF((G61="4/4"),((база!$I$5*Таблица1[[#This Row],[сумма]]*Таблица1[[#This Row],[коэф]])),
IF(OR(G61="2/4",G61="3/4"),((база!$I$4*Таблица1[[#This Row],[сумма]]*Таблица1[[#This Row],[коэф]])),
IF((G61="5/8"),((база!$J$6*Таблица1[[#This Row],[сумма]]*Таблица1[[#This Row],[коэф]])),
IF((G61="4/8"),((база!$J$5*Таблица1[[#This Row],[сумма]]*Таблица1[[#This Row],[коэф]])),
IF(OR(G61="3/8",G61="2/8"),((база!$J$4*Таблица1[[#This Row],[сумма]]*Таблица1[[#This Row],[коэф]])))))))))))))),
(IF((G61="5/24"),((база!$M$6*Таблица1[[#This Row],[сумма]]*Таблица1[[#This Row],[коэф]])),
IF(OR(G61="4/24",G61="3/24"),((база!$M$5*Таблица1[[#This Row],[сумма]]*Таблица1[[#This Row],[коэф]])),
IF((G61="5/16"),((база!$L$6*Таблица1[[#This Row],[сумма]]*Таблица1[[#This Row],[коэф]])),
IF(OR(G61="4/16",G61="3/16"),((база!$L$5*Таблица1[[#This Row],[сумма]]*Таблица1[[#This Row],[коэф]])),
IF(OR(G61="2/4",G61="3/4",G61="4/4"),((база!$I$5*Таблица1[[#This Row],[сумма]]*Таблица1[[#This Row],[коэф]])),
IF((G61="5/8"),((база!$J$6*Таблица1[[#This Row],[сумма]]*Таблица1[[#This Row],[коэф]])),
IF(OR(G61="4/8",G61="3/8",G61="2/8"),((база!$J$5*Таблица1[[#This Row],[сумма]]*Таблица1[[#This Row],[коэф]])))))))))))</f>
        <v>0</v>
      </c>
      <c r="AP61" s="715" t="b">
        <f>IF(AR61&lt;=3,(IF((G61="5/24"),((база!$M$6*2*Таблица1[[#This Row],[Столбец1]]*Таблица1[[#This Row],[коэф]])),
IF((G61="4/24"),((база!$M$5*2*Таблица1[[#This Row],[Столбец1]]*Таблица1[[#This Row],[коэф]])),
IF((G61="3/24"),((база!$M$4*2*Таблица1[[#This Row],[Столбец1]]*Таблица1[[#This Row],[коэф]])),
IF((G61="5/16"),((база!$L$6*2*Таблица1[[#This Row],[Столбец1]]*Таблица1[[#This Row],[коэф]])),
IF((G61="4/16"),((база!$L$5*2*Таблица1[[#This Row],[Столбец1]]*Таблица1[[#This Row],[коэф]])),
IF((G61="3/16"),((база!$L$4*2*Таблица1[[#This Row],[Столбец1]]*Таблица1[[#This Row],[коэф]])),
IF((G61="4/4"),((база!$I$5*2*Таблица1[[#This Row],[Столбец1]]*Таблица1[[#This Row],[коэф]])),
IF(OR(G61="2/4",G61="3/4"),((база!$I$4*2*Таблица1[[#This Row],[Столбец1]]*Таблица1[[#This Row],[коэф]])),
IF((G61="5/8"),((база!$J$6*2*Таблица1[[#This Row],[Столбец1]]*Таблица1[[#This Row],[коэф]])),
IF((G61="4/8"),((база!$J$5*2*Таблица1[[#This Row],[Столбец1]]*Таблица1[[#This Row],[коэф]])),
IF(OR(G61="3/8",G61="2/8"),((база!$J$4*2*Таблица1[[#This Row],[Столбец1]]*Таблица1[[#This Row],[коэф]])))))))))))))),
(IF((G61="5/24"),((база!$M$6*2*Таблица1[[#This Row],[Столбец1]]*Таблица1[[#This Row],[коэф]])),
IF(OR(G61="4/24",G61="3/24"),((база!$M$5*2*Таблица1[[#This Row],[Столбец1]]*Таблица1[[#This Row],[коэф]])),
IF((G61="5/16"),((база!$L$6*2*Таблица1[[#This Row],[Столбец1]]*Таблица1[[#This Row],[коэф]])),
IF(OR(G61="4/16",G61="3/16"),((база!$L$5*2*Таблица1[[#This Row],[Столбец1]]*Таблица1[[#This Row],[коэф]])),
IF(OR(G61="2/4",G61="3/4",G61="4/4"),((база!$I$5*2*Таблица1[[#This Row],[Столбец1]]*Таблица1[[#This Row],[коэф]])),
IF((G61="5/8"),((база!$J$6*2*Таблица1[[#This Row],[Столбец1]]*Таблица1[[#This Row],[коэф]])),
IF(OR(G61="4/8",G61="3/8",G61="2/8"),((база!$J$5*2*Таблица1[[#This Row],[Столбец1]]*Таблица1[[#This Row],[коэф]])))))))))))</f>
        <v>0</v>
      </c>
      <c r="AQ61" s="697" t="str">
        <f>IFERROR(INDEX(база!T:T, MATCH(F61,база!Q:Q,0)),"")</f>
        <v/>
      </c>
      <c r="AR61" s="207">
        <f>IFERROR(INDEX(база!D:D, MATCH(F61,база!B:B,0)),"")</f>
        <v>0</v>
      </c>
    </row>
    <row r="62" spans="1:44" ht="15">
      <c r="A62" s="66" t="str">
        <f t="shared" si="0"/>
        <v>декабрь</v>
      </c>
      <c r="B62" s="230">
        <v>2023</v>
      </c>
      <c r="C62" s="60"/>
      <c r="D62" s="61"/>
      <c r="E62" s="210"/>
      <c r="F62" s="669"/>
      <c r="G62" s="47"/>
      <c r="H62" s="212"/>
      <c r="I62" s="48"/>
      <c r="J62" s="48"/>
      <c r="K62" s="48"/>
      <c r="L62" s="48"/>
      <c r="M62" s="48"/>
      <c r="N62" s="49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  <c r="AA62" s="48"/>
      <c r="AB62" s="48"/>
      <c r="AC62" s="48"/>
      <c r="AD62" s="48"/>
      <c r="AE62" s="48"/>
      <c r="AF62" s="48"/>
      <c r="AG62" s="48"/>
      <c r="AH62" s="48"/>
      <c r="AI62" s="48"/>
      <c r="AJ62" s="48"/>
      <c r="AK62" s="48"/>
      <c r="AL62" s="51"/>
      <c r="AM62" s="211">
        <f>IF(AQ62=1,SUM(H62:I62,L62:O62,R62:U62,X62:AA62,AD62:AG62,AI62:AK62),
IF(AQ62=2,SUM(H62:K62,N62:Q62,T62:W62,Z62:AC62,AF62:AI62),
IF(AQ62=3,SUM(J62:M62,P62:S62,V62:Y62,AB62:AE62,AH62:AK62),SUM(Таблица1[[#This Row],[1]:[31]])-Таблица1[[#This Row],[Столбец1]])))</f>
        <v>0</v>
      </c>
      <c r="AN62" s="290">
        <f t="array" ref="AN62">IF(AQ62=1,SUM(J62:K62,P62:Q62,V62:W62,AB62:AC62,AH62:AI62),
IF(AQ62=2,SUM(L62:M62,R62:S62,X62:Y62,AD62:AE62),
IF(AQ62=3,SUM(H62:I62,N62:O62,T62:U62,Z62:AA62,AF62:AG62),
SUM(IFERROR(WEEKDAY($H$2:$AL$2,2)&gt;5,)*H62:AL62))))</f>
        <v>0</v>
      </c>
      <c r="AO62" s="292" t="b">
        <f>IF(AR62&lt;=3,(IF((G62="5/24"),((база!$M$6*Таблица1[[#This Row],[сумма]]*Таблица1[[#This Row],[коэф]])),
IF((G62="4/24"),((база!$M$5*Таблица1[[#This Row],[сумма]]*Таблица1[[#This Row],[коэф]])),
IF((G62="3/24"),((база!$M$4*Таблица1[[#This Row],[сумма]]*Таблица1[[#This Row],[коэф]])),
IF((G62="5/16"),((база!$L$6*Таблица1[[#This Row],[сумма]]*Таблица1[[#This Row],[коэф]])),
IF((G62="4/16"),((база!$L$5*Таблица1[[#This Row],[сумма]]*Таблица1[[#This Row],[коэф]])),
IF((G62="3/16"),((база!$L$4*Таблица1[[#This Row],[сумма]]*Таблица1[[#This Row],[коэф]])),
IF((G62="4/4"),((база!$I$5*Таблица1[[#This Row],[сумма]]*Таблица1[[#This Row],[коэф]])),
IF(OR(G62="2/4",G62="3/4"),((база!$I$4*Таблица1[[#This Row],[сумма]]*Таблица1[[#This Row],[коэф]])),
IF((G62="5/8"),((база!$J$6*Таблица1[[#This Row],[сумма]]*Таблица1[[#This Row],[коэф]])),
IF((G62="4/8"),((база!$J$5*Таблица1[[#This Row],[сумма]]*Таблица1[[#This Row],[коэф]])),
IF(OR(G62="3/8",G62="2/8"),((база!$J$4*Таблица1[[#This Row],[сумма]]*Таблица1[[#This Row],[коэф]])))))))))))))),
(IF((G62="5/24"),((база!$M$6*Таблица1[[#This Row],[сумма]]*Таблица1[[#This Row],[коэф]])),
IF(OR(G62="4/24",G62="3/24"),((база!$M$5*Таблица1[[#This Row],[сумма]]*Таблица1[[#This Row],[коэф]])),
IF((G62="5/16"),((база!$L$6*Таблица1[[#This Row],[сумма]]*Таблица1[[#This Row],[коэф]])),
IF(OR(G62="4/16",G62="3/16"),((база!$L$5*Таблица1[[#This Row],[сумма]]*Таблица1[[#This Row],[коэф]])),
IF(OR(G62="2/4",G62="3/4",G62="4/4"),((база!$I$5*Таблица1[[#This Row],[сумма]]*Таблица1[[#This Row],[коэф]])),
IF((G62="5/8"),((база!$J$6*Таблица1[[#This Row],[сумма]]*Таблица1[[#This Row],[коэф]])),
IF(OR(G62="4/8",G62="3/8",G62="2/8"),((база!$J$5*Таблица1[[#This Row],[сумма]]*Таблица1[[#This Row],[коэф]])))))))))))</f>
        <v>0</v>
      </c>
      <c r="AP62" s="715" t="b">
        <f>IF(AR62&lt;=3,(IF((G62="5/24"),((база!$M$6*2*Таблица1[[#This Row],[Столбец1]]*Таблица1[[#This Row],[коэф]])),
IF((G62="4/24"),((база!$M$5*2*Таблица1[[#This Row],[Столбец1]]*Таблица1[[#This Row],[коэф]])),
IF((G62="3/24"),((база!$M$4*2*Таблица1[[#This Row],[Столбец1]]*Таблица1[[#This Row],[коэф]])),
IF((G62="5/16"),((база!$L$6*2*Таблица1[[#This Row],[Столбец1]]*Таблица1[[#This Row],[коэф]])),
IF((G62="4/16"),((база!$L$5*2*Таблица1[[#This Row],[Столбец1]]*Таблица1[[#This Row],[коэф]])),
IF((G62="3/16"),((база!$L$4*2*Таблица1[[#This Row],[Столбец1]]*Таблица1[[#This Row],[коэф]])),
IF((G62="4/4"),((база!$I$5*2*Таблица1[[#This Row],[Столбец1]]*Таблица1[[#This Row],[коэф]])),
IF(OR(G62="2/4",G62="3/4"),((база!$I$4*2*Таблица1[[#This Row],[Столбец1]]*Таблица1[[#This Row],[коэф]])),
IF((G62="5/8"),((база!$J$6*2*Таблица1[[#This Row],[Столбец1]]*Таблица1[[#This Row],[коэф]])),
IF((G62="4/8"),((база!$J$5*2*Таблица1[[#This Row],[Столбец1]]*Таблица1[[#This Row],[коэф]])),
IF(OR(G62="3/8",G62="2/8"),((база!$J$4*2*Таблица1[[#This Row],[Столбец1]]*Таблица1[[#This Row],[коэф]])))))))))))))),
(IF((G62="5/24"),((база!$M$6*2*Таблица1[[#This Row],[Столбец1]]*Таблица1[[#This Row],[коэф]])),
IF(OR(G62="4/24",G62="3/24"),((база!$M$5*2*Таблица1[[#This Row],[Столбец1]]*Таблица1[[#This Row],[коэф]])),
IF((G62="5/16"),((база!$L$6*2*Таблица1[[#This Row],[Столбец1]]*Таблица1[[#This Row],[коэф]])),
IF(OR(G62="4/16",G62="3/16"),((база!$L$5*2*Таблица1[[#This Row],[Столбец1]]*Таблица1[[#This Row],[коэф]])),
IF(OR(G62="2/4",G62="3/4",G62="4/4"),((база!$I$5*2*Таблица1[[#This Row],[Столбец1]]*Таблица1[[#This Row],[коэф]])),
IF((G62="5/8"),((база!$J$6*2*Таблица1[[#This Row],[Столбец1]]*Таблица1[[#This Row],[коэф]])),
IF(OR(G62="4/8",G62="3/8",G62="2/8"),((база!$J$5*2*Таблица1[[#This Row],[Столбец1]]*Таблица1[[#This Row],[коэф]])))))))))))</f>
        <v>0</v>
      </c>
      <c r="AQ62" s="697" t="str">
        <f>IFERROR(INDEX(база!T:T, MATCH(F62,база!Q:Q,0)),"")</f>
        <v/>
      </c>
      <c r="AR62" s="207">
        <f>IFERROR(INDEX(база!D:D, MATCH(F62,база!B:B,0)),"")</f>
        <v>0</v>
      </c>
    </row>
    <row r="63" spans="1:44" ht="15">
      <c r="A63" s="66" t="str">
        <f t="shared" si="0"/>
        <v>декабрь</v>
      </c>
      <c r="B63" s="230">
        <v>2023</v>
      </c>
      <c r="C63" s="60"/>
      <c r="D63" s="61"/>
      <c r="E63" s="210"/>
      <c r="F63" s="669"/>
      <c r="G63" s="47"/>
      <c r="H63" s="212"/>
      <c r="I63" s="48"/>
      <c r="J63" s="48"/>
      <c r="K63" s="48"/>
      <c r="L63" s="48"/>
      <c r="M63" s="48"/>
      <c r="N63" s="49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  <c r="AA63" s="48"/>
      <c r="AB63" s="48"/>
      <c r="AC63" s="48"/>
      <c r="AD63" s="48"/>
      <c r="AE63" s="48"/>
      <c r="AF63" s="48"/>
      <c r="AG63" s="48"/>
      <c r="AH63" s="48"/>
      <c r="AI63" s="48"/>
      <c r="AJ63" s="48"/>
      <c r="AK63" s="48"/>
      <c r="AL63" s="51"/>
      <c r="AM63" s="211">
        <f>IF(AQ63=1,SUM(H63:I63,L63:O63,R63:U63,X63:AA63,AD63:AG63,AI63:AK63),
IF(AQ63=2,SUM(H63:K63,N63:Q63,T63:W63,Z63:AC63,AF63:AI63),
IF(AQ63=3,SUM(J63:M63,P63:S63,V63:Y63,AB63:AE63,AH63:AK63),SUM(Таблица1[[#This Row],[1]:[31]])-Таблица1[[#This Row],[Столбец1]])))</f>
        <v>0</v>
      </c>
      <c r="AN63" s="290">
        <f t="array" ref="AN63">IF(AQ63=1,SUM(J63:K63,P63:Q63,V63:W63,AB63:AC63,AH63:AI63),
IF(AQ63=2,SUM(L63:M63,R63:S63,X63:Y63,AD63:AE63),
IF(AQ63=3,SUM(H63:I63,N63:O63,T63:U63,Z63:AA63,AF63:AG63),
SUM(IFERROR(WEEKDAY($H$2:$AL$2,2)&gt;5,)*H63:AL63))))</f>
        <v>0</v>
      </c>
      <c r="AO63" s="292" t="b">
        <f>IF(AR63&lt;=3,(IF((G63="5/24"),((база!$M$6*Таблица1[[#This Row],[сумма]]*Таблица1[[#This Row],[коэф]])),
IF((G63="4/24"),((база!$M$5*Таблица1[[#This Row],[сумма]]*Таблица1[[#This Row],[коэф]])),
IF((G63="3/24"),((база!$M$4*Таблица1[[#This Row],[сумма]]*Таблица1[[#This Row],[коэф]])),
IF((G63="5/16"),((база!$L$6*Таблица1[[#This Row],[сумма]]*Таблица1[[#This Row],[коэф]])),
IF((G63="4/16"),((база!$L$5*Таблица1[[#This Row],[сумма]]*Таблица1[[#This Row],[коэф]])),
IF((G63="3/16"),((база!$L$4*Таблица1[[#This Row],[сумма]]*Таблица1[[#This Row],[коэф]])),
IF((G63="4/4"),((база!$I$5*Таблица1[[#This Row],[сумма]]*Таблица1[[#This Row],[коэф]])),
IF(OR(G63="2/4",G63="3/4"),((база!$I$4*Таблица1[[#This Row],[сумма]]*Таблица1[[#This Row],[коэф]])),
IF((G63="5/8"),((база!$J$6*Таблица1[[#This Row],[сумма]]*Таблица1[[#This Row],[коэф]])),
IF((G63="4/8"),((база!$J$5*Таблица1[[#This Row],[сумма]]*Таблица1[[#This Row],[коэф]])),
IF(OR(G63="3/8",G63="2/8"),((база!$J$4*Таблица1[[#This Row],[сумма]]*Таблица1[[#This Row],[коэф]])))))))))))))),
(IF((G63="5/24"),((база!$M$6*Таблица1[[#This Row],[сумма]]*Таблица1[[#This Row],[коэф]])),
IF(OR(G63="4/24",G63="3/24"),((база!$M$5*Таблица1[[#This Row],[сумма]]*Таблица1[[#This Row],[коэф]])),
IF((G63="5/16"),((база!$L$6*Таблица1[[#This Row],[сумма]]*Таблица1[[#This Row],[коэф]])),
IF(OR(G63="4/16",G63="3/16"),((база!$L$5*Таблица1[[#This Row],[сумма]]*Таблица1[[#This Row],[коэф]])),
IF(OR(G63="2/4",G63="3/4",G63="4/4"),((база!$I$5*Таблица1[[#This Row],[сумма]]*Таблица1[[#This Row],[коэф]])),
IF((G63="5/8"),((база!$J$6*Таблица1[[#This Row],[сумма]]*Таблица1[[#This Row],[коэф]])),
IF(OR(G63="4/8",G63="3/8",G63="2/8"),((база!$J$5*Таблица1[[#This Row],[сумма]]*Таблица1[[#This Row],[коэф]])))))))))))</f>
        <v>0</v>
      </c>
      <c r="AP63" s="715" t="b">
        <f>IF(AR63&lt;=3,(IF((G63="5/24"),((база!$M$6*2*Таблица1[[#This Row],[Столбец1]]*Таблица1[[#This Row],[коэф]])),
IF((G63="4/24"),((база!$M$5*2*Таблица1[[#This Row],[Столбец1]]*Таблица1[[#This Row],[коэф]])),
IF((G63="3/24"),((база!$M$4*2*Таблица1[[#This Row],[Столбец1]]*Таблица1[[#This Row],[коэф]])),
IF((G63="5/16"),((база!$L$6*2*Таблица1[[#This Row],[Столбец1]]*Таблица1[[#This Row],[коэф]])),
IF((G63="4/16"),((база!$L$5*2*Таблица1[[#This Row],[Столбец1]]*Таблица1[[#This Row],[коэф]])),
IF((G63="3/16"),((база!$L$4*2*Таблица1[[#This Row],[Столбец1]]*Таблица1[[#This Row],[коэф]])),
IF((G63="4/4"),((база!$I$5*2*Таблица1[[#This Row],[Столбец1]]*Таблица1[[#This Row],[коэф]])),
IF(OR(G63="2/4",G63="3/4"),((база!$I$4*2*Таблица1[[#This Row],[Столбец1]]*Таблица1[[#This Row],[коэф]])),
IF((G63="5/8"),((база!$J$6*2*Таблица1[[#This Row],[Столбец1]]*Таблица1[[#This Row],[коэф]])),
IF((G63="4/8"),((база!$J$5*2*Таблица1[[#This Row],[Столбец1]]*Таблица1[[#This Row],[коэф]])),
IF(OR(G63="3/8",G63="2/8"),((база!$J$4*2*Таблица1[[#This Row],[Столбец1]]*Таблица1[[#This Row],[коэф]])))))))))))))),
(IF((G63="5/24"),((база!$M$6*2*Таблица1[[#This Row],[Столбец1]]*Таблица1[[#This Row],[коэф]])),
IF(OR(G63="4/24",G63="3/24"),((база!$M$5*2*Таблица1[[#This Row],[Столбец1]]*Таблица1[[#This Row],[коэф]])),
IF((G63="5/16"),((база!$L$6*2*Таблица1[[#This Row],[Столбец1]]*Таблица1[[#This Row],[коэф]])),
IF(OR(G63="4/16",G63="3/16"),((база!$L$5*2*Таблица1[[#This Row],[Столбец1]]*Таблица1[[#This Row],[коэф]])),
IF(OR(G63="2/4",G63="3/4",G63="4/4"),((база!$I$5*2*Таблица1[[#This Row],[Столбец1]]*Таблица1[[#This Row],[коэф]])),
IF((G63="5/8"),((база!$J$6*2*Таблица1[[#This Row],[Столбец1]]*Таблица1[[#This Row],[коэф]])),
IF(OR(G63="4/8",G63="3/8",G63="2/8"),((база!$J$5*2*Таблица1[[#This Row],[Столбец1]]*Таблица1[[#This Row],[коэф]])))))))))))</f>
        <v>0</v>
      </c>
      <c r="AQ63" s="697" t="str">
        <f>IFERROR(INDEX(база!T:T, MATCH(F63,база!Q:Q,0)),"")</f>
        <v/>
      </c>
      <c r="AR63" s="207">
        <f>IFERROR(INDEX(база!D:D, MATCH(F63,база!B:B,0)),"")</f>
        <v>0</v>
      </c>
    </row>
    <row r="64" spans="1:44" ht="15">
      <c r="A64" s="66" t="str">
        <f t="shared" si="0"/>
        <v>декабрь</v>
      </c>
      <c r="B64" s="230">
        <v>2023</v>
      </c>
      <c r="C64" s="60"/>
      <c r="D64" s="61"/>
      <c r="E64" s="210"/>
      <c r="F64" s="669"/>
      <c r="G64" s="47"/>
      <c r="H64" s="212"/>
      <c r="I64" s="212"/>
      <c r="J64" s="212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  <c r="AA64" s="48"/>
      <c r="AB64" s="48"/>
      <c r="AC64" s="48"/>
      <c r="AD64" s="48"/>
      <c r="AE64" s="48"/>
      <c r="AF64" s="48"/>
      <c r="AG64" s="48"/>
      <c r="AH64" s="48"/>
      <c r="AI64" s="48"/>
      <c r="AJ64" s="48"/>
      <c r="AK64" s="48"/>
      <c r="AL64" s="51"/>
      <c r="AM64" s="211">
        <f>IF(AQ64=1,SUM(H64:I64,L64:O64,R64:U64,X64:AA64,AD64:AG64,AI64:AK64),
IF(AQ64=2,SUM(H64:K64,N64:Q64,T64:W64,Z64:AC64,AF64:AI64),
IF(AQ64=3,SUM(J64:M64,P64:S64,V64:Y64,AB64:AE64,AH64:AK64),SUM(Таблица1[[#This Row],[1]:[31]])-Таблица1[[#This Row],[Столбец1]])))</f>
        <v>0</v>
      </c>
      <c r="AN64" s="290">
        <f t="array" ref="AN64">IF(AQ64=1,SUM(J64:K64,P64:Q64,V64:W64,AB64:AC64,AH64:AI64),
IF(AQ64=2,SUM(L64:M64,R64:S64,X64:Y64,AD64:AE64),
IF(AQ64=3,SUM(H64:I64,N64:O64,T64:U64,Z64:AA64,AF64:AG64),
SUM(IFERROR(WEEKDAY($H$2:$AL$2,2)&gt;5,)*H64:AL64))))</f>
        <v>0</v>
      </c>
      <c r="AO64" s="292" t="b">
        <f>IF(AR64&lt;=3,(IF((G64="5/24"),((база!$M$6*Таблица1[[#This Row],[сумма]]*Таблица1[[#This Row],[коэф]])),
IF((G64="4/24"),((база!$M$5*Таблица1[[#This Row],[сумма]]*Таблица1[[#This Row],[коэф]])),
IF((G64="3/24"),((база!$M$4*Таблица1[[#This Row],[сумма]]*Таблица1[[#This Row],[коэф]])),
IF((G64="5/16"),((база!$L$6*Таблица1[[#This Row],[сумма]]*Таблица1[[#This Row],[коэф]])),
IF((G64="4/16"),((база!$L$5*Таблица1[[#This Row],[сумма]]*Таблица1[[#This Row],[коэф]])),
IF((G64="3/16"),((база!$L$4*Таблица1[[#This Row],[сумма]]*Таблица1[[#This Row],[коэф]])),
IF((G64="4/4"),((база!$I$5*Таблица1[[#This Row],[сумма]]*Таблица1[[#This Row],[коэф]])),
IF(OR(G64="2/4",G64="3/4"),((база!$I$4*Таблица1[[#This Row],[сумма]]*Таблица1[[#This Row],[коэф]])),
IF((G64="5/8"),((база!$J$6*Таблица1[[#This Row],[сумма]]*Таблица1[[#This Row],[коэф]])),
IF((G64="4/8"),((база!$J$5*Таблица1[[#This Row],[сумма]]*Таблица1[[#This Row],[коэф]])),
IF(OR(G64="3/8",G64="2/8"),((база!$J$4*Таблица1[[#This Row],[сумма]]*Таблица1[[#This Row],[коэф]])))))))))))))),
(IF((G64="5/24"),((база!$M$6*Таблица1[[#This Row],[сумма]]*Таблица1[[#This Row],[коэф]])),
IF(OR(G64="4/24",G64="3/24"),((база!$M$5*Таблица1[[#This Row],[сумма]]*Таблица1[[#This Row],[коэф]])),
IF((G64="5/16"),((база!$L$6*Таблица1[[#This Row],[сумма]]*Таблица1[[#This Row],[коэф]])),
IF(OR(G64="4/16",G64="3/16"),((база!$L$5*Таблица1[[#This Row],[сумма]]*Таблица1[[#This Row],[коэф]])),
IF(OR(G64="2/4",G64="3/4",G64="4/4"),((база!$I$5*Таблица1[[#This Row],[сумма]]*Таблица1[[#This Row],[коэф]])),
IF((G64="5/8"),((база!$J$6*Таблица1[[#This Row],[сумма]]*Таблица1[[#This Row],[коэф]])),
IF(OR(G64="4/8",G64="3/8",G64="2/8"),((база!$J$5*Таблица1[[#This Row],[сумма]]*Таблица1[[#This Row],[коэф]])))))))))))</f>
        <v>0</v>
      </c>
      <c r="AP64" s="715" t="b">
        <f>IF(AR64&lt;=3,(IF((G64="5/24"),((база!$M$6*2*Таблица1[[#This Row],[Столбец1]]*Таблица1[[#This Row],[коэф]])),
IF((G64="4/24"),((база!$M$5*2*Таблица1[[#This Row],[Столбец1]]*Таблица1[[#This Row],[коэф]])),
IF((G64="3/24"),((база!$M$4*2*Таблица1[[#This Row],[Столбец1]]*Таблица1[[#This Row],[коэф]])),
IF((G64="5/16"),((база!$L$6*2*Таблица1[[#This Row],[Столбец1]]*Таблица1[[#This Row],[коэф]])),
IF((G64="4/16"),((база!$L$5*2*Таблица1[[#This Row],[Столбец1]]*Таблица1[[#This Row],[коэф]])),
IF((G64="3/16"),((база!$L$4*2*Таблица1[[#This Row],[Столбец1]]*Таблица1[[#This Row],[коэф]])),
IF((G64="4/4"),((база!$I$5*2*Таблица1[[#This Row],[Столбец1]]*Таблица1[[#This Row],[коэф]])),
IF(OR(G64="2/4",G64="3/4"),((база!$I$4*2*Таблица1[[#This Row],[Столбец1]]*Таблица1[[#This Row],[коэф]])),
IF((G64="5/8"),((база!$J$6*2*Таблица1[[#This Row],[Столбец1]]*Таблица1[[#This Row],[коэф]])),
IF((G64="4/8"),((база!$J$5*2*Таблица1[[#This Row],[Столбец1]]*Таблица1[[#This Row],[коэф]])),
IF(OR(G64="3/8",G64="2/8"),((база!$J$4*2*Таблица1[[#This Row],[Столбец1]]*Таблица1[[#This Row],[коэф]])))))))))))))),
(IF((G64="5/24"),((база!$M$6*2*Таблица1[[#This Row],[Столбец1]]*Таблица1[[#This Row],[коэф]])),
IF(OR(G64="4/24",G64="3/24"),((база!$M$5*2*Таблица1[[#This Row],[Столбец1]]*Таблица1[[#This Row],[коэф]])),
IF((G64="5/16"),((база!$L$6*2*Таблица1[[#This Row],[Столбец1]]*Таблица1[[#This Row],[коэф]])),
IF(OR(G64="4/16",G64="3/16"),((база!$L$5*2*Таблица1[[#This Row],[Столбец1]]*Таблица1[[#This Row],[коэф]])),
IF(OR(G64="2/4",G64="3/4",G64="4/4"),((база!$I$5*2*Таблица1[[#This Row],[Столбец1]]*Таблица1[[#This Row],[коэф]])),
IF((G64="5/8"),((база!$J$6*2*Таблица1[[#This Row],[Столбец1]]*Таблица1[[#This Row],[коэф]])),
IF(OR(G64="4/8",G64="3/8",G64="2/8"),((база!$J$5*2*Таблица1[[#This Row],[Столбец1]]*Таблица1[[#This Row],[коэф]])))))))))))</f>
        <v>0</v>
      </c>
      <c r="AQ64" s="697" t="str">
        <f>IFERROR(INDEX(база!T:T, MATCH(F64,база!Q:Q,0)),"")</f>
        <v/>
      </c>
      <c r="AR64" s="207">
        <f>IFERROR(INDEX(база!D:D, MATCH(F64,база!B:B,0)),"")</f>
        <v>0</v>
      </c>
    </row>
    <row r="65" spans="1:44" ht="15">
      <c r="A65" s="66" t="str">
        <f t="shared" si="0"/>
        <v>декабрь</v>
      </c>
      <c r="B65" s="230">
        <v>2023</v>
      </c>
      <c r="C65" s="60"/>
      <c r="D65" s="61"/>
      <c r="E65" s="210"/>
      <c r="F65" s="669"/>
      <c r="G65" s="47"/>
      <c r="H65" s="212"/>
      <c r="I65" s="48"/>
      <c r="J65" s="48"/>
      <c r="K65" s="48"/>
      <c r="L65" s="48"/>
      <c r="M65" s="48"/>
      <c r="N65" s="49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  <c r="AA65" s="48"/>
      <c r="AB65" s="48"/>
      <c r="AC65" s="48"/>
      <c r="AD65" s="48"/>
      <c r="AE65" s="48"/>
      <c r="AF65" s="48"/>
      <c r="AG65" s="48"/>
      <c r="AH65" s="48"/>
      <c r="AI65" s="48"/>
      <c r="AJ65" s="48"/>
      <c r="AK65" s="48"/>
      <c r="AL65" s="51"/>
      <c r="AM65" s="211">
        <f>IF(AQ65=1,SUM(H65:I65,L65:O65,R65:U65,X65:AA65,AD65:AG65,AI65:AK65),
IF(AQ65=2,SUM(H65:K65,N65:Q65,T65:W65,Z65:AC65,AF65:AI65),
IF(AQ65=3,SUM(J65:M65,P65:S65,V65:Y65,AB65:AE65,AH65:AK65),SUM(Таблица1[[#This Row],[1]:[31]])-Таблица1[[#This Row],[Столбец1]])))</f>
        <v>0</v>
      </c>
      <c r="AN65" s="290">
        <f t="array" ref="AN65">IF(AQ65=1,SUM(J65:K65,P65:Q65,V65:W65,AB65:AC65,AH65:AI65),
IF(AQ65=2,SUM(L65:M65,R65:S65,X65:Y65,AD65:AE65),
IF(AQ65=3,SUM(H65:I65,N65:O65,T65:U65,Z65:AA65,AF65:AG65),
SUM(IFERROR(WEEKDAY($H$2:$AL$2,2)&gt;5,)*H65:AL65))))</f>
        <v>0</v>
      </c>
      <c r="AO65" s="292" t="b">
        <f>IF(AR65&lt;=3,(IF((G65="5/24"),((база!$M$6*Таблица1[[#This Row],[сумма]]*Таблица1[[#This Row],[коэф]])),
IF((G65="4/24"),((база!$M$5*Таблица1[[#This Row],[сумма]]*Таблица1[[#This Row],[коэф]])),
IF((G65="3/24"),((база!$M$4*Таблица1[[#This Row],[сумма]]*Таблица1[[#This Row],[коэф]])),
IF((G65="5/16"),((база!$L$6*Таблица1[[#This Row],[сумма]]*Таблица1[[#This Row],[коэф]])),
IF((G65="4/16"),((база!$L$5*Таблица1[[#This Row],[сумма]]*Таблица1[[#This Row],[коэф]])),
IF((G65="3/16"),((база!$L$4*Таблица1[[#This Row],[сумма]]*Таблица1[[#This Row],[коэф]])),
IF((G65="4/4"),((база!$I$5*Таблица1[[#This Row],[сумма]]*Таблица1[[#This Row],[коэф]])),
IF(OR(G65="2/4",G65="3/4"),((база!$I$4*Таблица1[[#This Row],[сумма]]*Таблица1[[#This Row],[коэф]])),
IF((G65="5/8"),((база!$J$6*Таблица1[[#This Row],[сумма]]*Таблица1[[#This Row],[коэф]])),
IF((G65="4/8"),((база!$J$5*Таблица1[[#This Row],[сумма]]*Таблица1[[#This Row],[коэф]])),
IF(OR(G65="3/8",G65="2/8"),((база!$J$4*Таблица1[[#This Row],[сумма]]*Таблица1[[#This Row],[коэф]])))))))))))))),
(IF((G65="5/24"),((база!$M$6*Таблица1[[#This Row],[сумма]]*Таблица1[[#This Row],[коэф]])),
IF(OR(G65="4/24",G65="3/24"),((база!$M$5*Таблица1[[#This Row],[сумма]]*Таблица1[[#This Row],[коэф]])),
IF((G65="5/16"),((база!$L$6*Таблица1[[#This Row],[сумма]]*Таблица1[[#This Row],[коэф]])),
IF(OR(G65="4/16",G65="3/16"),((база!$L$5*Таблица1[[#This Row],[сумма]]*Таблица1[[#This Row],[коэф]])),
IF(OR(G65="2/4",G65="3/4",G65="4/4"),((база!$I$5*Таблица1[[#This Row],[сумма]]*Таблица1[[#This Row],[коэф]])),
IF((G65="5/8"),((база!$J$6*Таблица1[[#This Row],[сумма]]*Таблица1[[#This Row],[коэф]])),
IF(OR(G65="4/8",G65="3/8",G65="2/8"),((база!$J$5*Таблица1[[#This Row],[сумма]]*Таблица1[[#This Row],[коэф]])))))))))))</f>
        <v>0</v>
      </c>
      <c r="AP65" s="715" t="b">
        <f>IF(AR65&lt;=3,(IF((G65="5/24"),((база!$M$6*2*Таблица1[[#This Row],[Столбец1]]*Таблица1[[#This Row],[коэф]])),
IF((G65="4/24"),((база!$M$5*2*Таблица1[[#This Row],[Столбец1]]*Таблица1[[#This Row],[коэф]])),
IF((G65="3/24"),((база!$M$4*2*Таблица1[[#This Row],[Столбец1]]*Таблица1[[#This Row],[коэф]])),
IF((G65="5/16"),((база!$L$6*2*Таблица1[[#This Row],[Столбец1]]*Таблица1[[#This Row],[коэф]])),
IF((G65="4/16"),((база!$L$5*2*Таблица1[[#This Row],[Столбец1]]*Таблица1[[#This Row],[коэф]])),
IF((G65="3/16"),((база!$L$4*2*Таблица1[[#This Row],[Столбец1]]*Таблица1[[#This Row],[коэф]])),
IF((G65="4/4"),((база!$I$5*2*Таблица1[[#This Row],[Столбец1]]*Таблица1[[#This Row],[коэф]])),
IF(OR(G65="2/4",G65="3/4"),((база!$I$4*2*Таблица1[[#This Row],[Столбец1]]*Таблица1[[#This Row],[коэф]])),
IF((G65="5/8"),((база!$J$6*2*Таблица1[[#This Row],[Столбец1]]*Таблица1[[#This Row],[коэф]])),
IF((G65="4/8"),((база!$J$5*2*Таблица1[[#This Row],[Столбец1]]*Таблица1[[#This Row],[коэф]])),
IF(OR(G65="3/8",G65="2/8"),((база!$J$4*2*Таблица1[[#This Row],[Столбец1]]*Таблица1[[#This Row],[коэф]])))))))))))))),
(IF((G65="5/24"),((база!$M$6*2*Таблица1[[#This Row],[Столбец1]]*Таблица1[[#This Row],[коэф]])),
IF(OR(G65="4/24",G65="3/24"),((база!$M$5*2*Таблица1[[#This Row],[Столбец1]]*Таблица1[[#This Row],[коэф]])),
IF((G65="5/16"),((база!$L$6*2*Таблица1[[#This Row],[Столбец1]]*Таблица1[[#This Row],[коэф]])),
IF(OR(G65="4/16",G65="3/16"),((база!$L$5*2*Таблица1[[#This Row],[Столбец1]]*Таблица1[[#This Row],[коэф]])),
IF(OR(G65="2/4",G65="3/4",G65="4/4"),((база!$I$5*2*Таблица1[[#This Row],[Столбец1]]*Таблица1[[#This Row],[коэф]])),
IF((G65="5/8"),((база!$J$6*2*Таблица1[[#This Row],[Столбец1]]*Таблица1[[#This Row],[коэф]])),
IF(OR(G65="4/8",G65="3/8",G65="2/8"),((база!$J$5*2*Таблица1[[#This Row],[Столбец1]]*Таблица1[[#This Row],[коэф]])))))))))))</f>
        <v>0</v>
      </c>
      <c r="AQ65" s="697" t="str">
        <f>IFERROR(INDEX(база!T:T, MATCH(F65,база!Q:Q,0)),"")</f>
        <v/>
      </c>
      <c r="AR65" s="207">
        <f>IFERROR(INDEX(база!D:D, MATCH(F65,база!B:B,0)),"")</f>
        <v>0</v>
      </c>
    </row>
    <row r="66" spans="1:44" ht="15">
      <c r="A66" s="66" t="str">
        <f t="shared" si="0"/>
        <v>декабрь</v>
      </c>
      <c r="B66" s="230">
        <v>2023</v>
      </c>
      <c r="C66" s="60"/>
      <c r="D66" s="61"/>
      <c r="E66" s="210"/>
      <c r="F66" s="669"/>
      <c r="G66" s="47"/>
      <c r="H66" s="212"/>
      <c r="I66" s="48"/>
      <c r="J66" s="48"/>
      <c r="K66" s="48"/>
      <c r="L66" s="48"/>
      <c r="M66" s="48"/>
      <c r="N66" s="49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  <c r="AA66" s="48"/>
      <c r="AB66" s="48"/>
      <c r="AC66" s="48"/>
      <c r="AD66" s="48"/>
      <c r="AE66" s="48"/>
      <c r="AF66" s="48"/>
      <c r="AG66" s="48"/>
      <c r="AH66" s="48"/>
      <c r="AI66" s="48"/>
      <c r="AJ66" s="48"/>
      <c r="AK66" s="48"/>
      <c r="AL66" s="51"/>
      <c r="AM66" s="211">
        <f>IF(AQ66=1,SUM(H66:I66,L66:O66,R66:U66,X66:AA66,AD66:AG66,AI66:AK66),
IF(AQ66=2,SUM(H66:K66,N66:Q66,T66:W66,Z66:AC66,AF66:AI66),
IF(AQ66=3,SUM(J66:M66,P66:S66,V66:Y66,AB66:AE66,AH66:AK66),SUM(Таблица1[[#This Row],[1]:[31]])-Таблица1[[#This Row],[Столбец1]])))</f>
        <v>0</v>
      </c>
      <c r="AN66" s="290">
        <f t="array" ref="AN66">IF(AQ66=1,SUM(J66:K66,P66:Q66,V66:W66,AB66:AC66,AH66:AI66),
IF(AQ66=2,SUM(L66:M66,R66:S66,X66:Y66,AD66:AE66),
IF(AQ66=3,SUM(H66:I66,N66:O66,T66:U66,Z66:AA66,AF66:AG66),
SUM(IFERROR(WEEKDAY($H$2:$AL$2,2)&gt;5,)*H66:AL66))))</f>
        <v>0</v>
      </c>
      <c r="AO66" s="292" t="b">
        <f>IF(AR66&lt;=3,(IF((G66="5/24"),((база!$M$6*Таблица1[[#This Row],[сумма]]*Таблица1[[#This Row],[коэф]])),
IF((G66="4/24"),((база!$M$5*Таблица1[[#This Row],[сумма]]*Таблица1[[#This Row],[коэф]])),
IF((G66="3/24"),((база!$M$4*Таблица1[[#This Row],[сумма]]*Таблица1[[#This Row],[коэф]])),
IF((G66="5/16"),((база!$L$6*Таблица1[[#This Row],[сумма]]*Таблица1[[#This Row],[коэф]])),
IF((G66="4/16"),((база!$L$5*Таблица1[[#This Row],[сумма]]*Таблица1[[#This Row],[коэф]])),
IF((G66="3/16"),((база!$L$4*Таблица1[[#This Row],[сумма]]*Таблица1[[#This Row],[коэф]])),
IF((G66="4/4"),((база!$I$5*Таблица1[[#This Row],[сумма]]*Таблица1[[#This Row],[коэф]])),
IF(OR(G66="2/4",G66="3/4"),((база!$I$4*Таблица1[[#This Row],[сумма]]*Таблица1[[#This Row],[коэф]])),
IF((G66="5/8"),((база!$J$6*Таблица1[[#This Row],[сумма]]*Таблица1[[#This Row],[коэф]])),
IF((G66="4/8"),((база!$J$5*Таблица1[[#This Row],[сумма]]*Таблица1[[#This Row],[коэф]])),
IF(OR(G66="3/8",G66="2/8"),((база!$J$4*Таблица1[[#This Row],[сумма]]*Таблица1[[#This Row],[коэф]])))))))))))))),
(IF((G66="5/24"),((база!$M$6*Таблица1[[#This Row],[сумма]]*Таблица1[[#This Row],[коэф]])),
IF(OR(G66="4/24",G66="3/24"),((база!$M$5*Таблица1[[#This Row],[сумма]]*Таблица1[[#This Row],[коэф]])),
IF((G66="5/16"),((база!$L$6*Таблица1[[#This Row],[сумма]]*Таблица1[[#This Row],[коэф]])),
IF(OR(G66="4/16",G66="3/16"),((база!$L$5*Таблица1[[#This Row],[сумма]]*Таблица1[[#This Row],[коэф]])),
IF(OR(G66="2/4",G66="3/4",G66="4/4"),((база!$I$5*Таблица1[[#This Row],[сумма]]*Таблица1[[#This Row],[коэф]])),
IF((G66="5/8"),((база!$J$6*Таблица1[[#This Row],[сумма]]*Таблица1[[#This Row],[коэф]])),
IF(OR(G66="4/8",G66="3/8",G66="2/8"),((база!$J$5*Таблица1[[#This Row],[сумма]]*Таблица1[[#This Row],[коэф]])))))))))))</f>
        <v>0</v>
      </c>
      <c r="AP66" s="715" t="b">
        <f>IF(AR66&lt;=3,(IF((G66="5/24"),((база!$M$6*2*Таблица1[[#This Row],[Столбец1]]*Таблица1[[#This Row],[коэф]])),
IF((G66="4/24"),((база!$M$5*2*Таблица1[[#This Row],[Столбец1]]*Таблица1[[#This Row],[коэф]])),
IF((G66="3/24"),((база!$M$4*2*Таблица1[[#This Row],[Столбец1]]*Таблица1[[#This Row],[коэф]])),
IF((G66="5/16"),((база!$L$6*2*Таблица1[[#This Row],[Столбец1]]*Таблица1[[#This Row],[коэф]])),
IF((G66="4/16"),((база!$L$5*2*Таблица1[[#This Row],[Столбец1]]*Таблица1[[#This Row],[коэф]])),
IF((G66="3/16"),((база!$L$4*2*Таблица1[[#This Row],[Столбец1]]*Таблица1[[#This Row],[коэф]])),
IF((G66="4/4"),((база!$I$5*2*Таблица1[[#This Row],[Столбец1]]*Таблица1[[#This Row],[коэф]])),
IF(OR(G66="2/4",G66="3/4"),((база!$I$4*2*Таблица1[[#This Row],[Столбец1]]*Таблица1[[#This Row],[коэф]])),
IF((G66="5/8"),((база!$J$6*2*Таблица1[[#This Row],[Столбец1]]*Таблица1[[#This Row],[коэф]])),
IF((G66="4/8"),((база!$J$5*2*Таблица1[[#This Row],[Столбец1]]*Таблица1[[#This Row],[коэф]])),
IF(OR(G66="3/8",G66="2/8"),((база!$J$4*2*Таблица1[[#This Row],[Столбец1]]*Таблица1[[#This Row],[коэф]])))))))))))))),
(IF((G66="5/24"),((база!$M$6*2*Таблица1[[#This Row],[Столбец1]]*Таблица1[[#This Row],[коэф]])),
IF(OR(G66="4/24",G66="3/24"),((база!$M$5*2*Таблица1[[#This Row],[Столбец1]]*Таблица1[[#This Row],[коэф]])),
IF((G66="5/16"),((база!$L$6*2*Таблица1[[#This Row],[Столбец1]]*Таблица1[[#This Row],[коэф]])),
IF(OR(G66="4/16",G66="3/16"),((база!$L$5*2*Таблица1[[#This Row],[Столбец1]]*Таблица1[[#This Row],[коэф]])),
IF(OR(G66="2/4",G66="3/4",G66="4/4"),((база!$I$5*2*Таблица1[[#This Row],[Столбец1]]*Таблица1[[#This Row],[коэф]])),
IF((G66="5/8"),((база!$J$6*2*Таблица1[[#This Row],[Столбец1]]*Таблица1[[#This Row],[коэф]])),
IF(OR(G66="4/8",G66="3/8",G66="2/8"),((база!$J$5*2*Таблица1[[#This Row],[Столбец1]]*Таблица1[[#This Row],[коэф]])))))))))))</f>
        <v>0</v>
      </c>
      <c r="AQ66" s="697" t="str">
        <f>IFERROR(INDEX(база!T:T, MATCH(F66,база!Q:Q,0)),"")</f>
        <v/>
      </c>
      <c r="AR66" s="207">
        <f>IFERROR(INDEX(база!D:D, MATCH(F66,база!B:B,0)),"")</f>
        <v>0</v>
      </c>
    </row>
    <row r="67" spans="1:44" ht="15">
      <c r="A67" s="66" t="str">
        <f t="shared" si="0"/>
        <v>декабрь</v>
      </c>
      <c r="B67" s="230">
        <v>2023</v>
      </c>
      <c r="C67" s="60"/>
      <c r="D67" s="61"/>
      <c r="E67" s="210"/>
      <c r="F67" s="669"/>
      <c r="G67" s="47"/>
      <c r="H67" s="212"/>
      <c r="I67" s="48"/>
      <c r="J67" s="48"/>
      <c r="K67" s="48"/>
      <c r="L67" s="48"/>
      <c r="M67" s="48"/>
      <c r="N67" s="49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  <c r="AA67" s="48"/>
      <c r="AB67" s="48"/>
      <c r="AC67" s="48"/>
      <c r="AD67" s="48"/>
      <c r="AE67" s="48"/>
      <c r="AF67" s="48"/>
      <c r="AG67" s="48"/>
      <c r="AH67" s="48"/>
      <c r="AI67" s="48"/>
      <c r="AJ67" s="48"/>
      <c r="AK67" s="48"/>
      <c r="AL67" s="51"/>
      <c r="AM67" s="211">
        <f>IF(AQ67=1,SUM(H67:I67,L67:O67,R67:U67,X67:AA67,AD67:AG67,AI67:AK67),
IF(AQ67=2,SUM(H67:K67,N67:Q67,T67:W67,Z67:AC67,AF67:AI67),
IF(AQ67=3,SUM(J67:M67,P67:S67,V67:Y67,AB67:AE67,AH67:AK67),SUM(Таблица1[[#This Row],[1]:[31]])-Таблица1[[#This Row],[Столбец1]])))</f>
        <v>0</v>
      </c>
      <c r="AN67" s="290">
        <f t="array" ref="AN67">IF(AQ67=1,SUM(J67:K67,P67:Q67,V67:W67,AB67:AC67,AH67:AI67),
IF(AQ67=2,SUM(L67:M67,R67:S67,X67:Y67,AD67:AE67),
IF(AQ67=3,SUM(H67:I67,N67:O67,T67:U67,Z67:AA67,AF67:AG67),
SUM(IFERROR(WEEKDAY($H$2:$AL$2,2)&gt;5,)*H67:AL67))))</f>
        <v>0</v>
      </c>
      <c r="AO67" s="292" t="b">
        <f>IF(AR67&lt;=3,(IF((G67="5/24"),((база!$M$6*Таблица1[[#This Row],[сумма]]*Таблица1[[#This Row],[коэф]])),
IF((G67="4/24"),((база!$M$5*Таблица1[[#This Row],[сумма]]*Таблица1[[#This Row],[коэф]])),
IF((G67="3/24"),((база!$M$4*Таблица1[[#This Row],[сумма]]*Таблица1[[#This Row],[коэф]])),
IF((G67="5/16"),((база!$L$6*Таблица1[[#This Row],[сумма]]*Таблица1[[#This Row],[коэф]])),
IF((G67="4/16"),((база!$L$5*Таблица1[[#This Row],[сумма]]*Таблица1[[#This Row],[коэф]])),
IF((G67="3/16"),((база!$L$4*Таблица1[[#This Row],[сумма]]*Таблица1[[#This Row],[коэф]])),
IF((G67="4/4"),((база!$I$5*Таблица1[[#This Row],[сумма]]*Таблица1[[#This Row],[коэф]])),
IF(OR(G67="2/4",G67="3/4"),((база!$I$4*Таблица1[[#This Row],[сумма]]*Таблица1[[#This Row],[коэф]])),
IF((G67="5/8"),((база!$J$6*Таблица1[[#This Row],[сумма]]*Таблица1[[#This Row],[коэф]])),
IF((G67="4/8"),((база!$J$5*Таблица1[[#This Row],[сумма]]*Таблица1[[#This Row],[коэф]])),
IF(OR(G67="3/8",G67="2/8"),((база!$J$4*Таблица1[[#This Row],[сумма]]*Таблица1[[#This Row],[коэф]])))))))))))))),
(IF((G67="5/24"),((база!$M$6*Таблица1[[#This Row],[сумма]]*Таблица1[[#This Row],[коэф]])),
IF(OR(G67="4/24",G67="3/24"),((база!$M$5*Таблица1[[#This Row],[сумма]]*Таблица1[[#This Row],[коэф]])),
IF((G67="5/16"),((база!$L$6*Таблица1[[#This Row],[сумма]]*Таблица1[[#This Row],[коэф]])),
IF(OR(G67="4/16",G67="3/16"),((база!$L$5*Таблица1[[#This Row],[сумма]]*Таблица1[[#This Row],[коэф]])),
IF(OR(G67="2/4",G67="3/4",G67="4/4"),((база!$I$5*Таблица1[[#This Row],[сумма]]*Таблица1[[#This Row],[коэф]])),
IF((G67="5/8"),((база!$J$6*Таблица1[[#This Row],[сумма]]*Таблица1[[#This Row],[коэф]])),
IF(OR(G67="4/8",G67="3/8",G67="2/8"),((база!$J$5*Таблица1[[#This Row],[сумма]]*Таблица1[[#This Row],[коэф]])))))))))))</f>
        <v>0</v>
      </c>
      <c r="AP67" s="715" t="b">
        <f>IF(AR67&lt;=3,(IF((G67="5/24"),((база!$M$6*2*Таблица1[[#This Row],[Столбец1]]*Таблица1[[#This Row],[коэф]])),
IF((G67="4/24"),((база!$M$5*2*Таблица1[[#This Row],[Столбец1]]*Таблица1[[#This Row],[коэф]])),
IF((G67="3/24"),((база!$M$4*2*Таблица1[[#This Row],[Столбец1]]*Таблица1[[#This Row],[коэф]])),
IF((G67="5/16"),((база!$L$6*2*Таблица1[[#This Row],[Столбец1]]*Таблица1[[#This Row],[коэф]])),
IF((G67="4/16"),((база!$L$5*2*Таблица1[[#This Row],[Столбец1]]*Таблица1[[#This Row],[коэф]])),
IF((G67="3/16"),((база!$L$4*2*Таблица1[[#This Row],[Столбец1]]*Таблица1[[#This Row],[коэф]])),
IF((G67="4/4"),((база!$I$5*2*Таблица1[[#This Row],[Столбец1]]*Таблица1[[#This Row],[коэф]])),
IF(OR(G67="2/4",G67="3/4"),((база!$I$4*2*Таблица1[[#This Row],[Столбец1]]*Таблица1[[#This Row],[коэф]])),
IF((G67="5/8"),((база!$J$6*2*Таблица1[[#This Row],[Столбец1]]*Таблица1[[#This Row],[коэф]])),
IF((G67="4/8"),((база!$J$5*2*Таблица1[[#This Row],[Столбец1]]*Таблица1[[#This Row],[коэф]])),
IF(OR(G67="3/8",G67="2/8"),((база!$J$4*2*Таблица1[[#This Row],[Столбец1]]*Таблица1[[#This Row],[коэф]])))))))))))))),
(IF((G67="5/24"),((база!$M$6*2*Таблица1[[#This Row],[Столбец1]]*Таблица1[[#This Row],[коэф]])),
IF(OR(G67="4/24",G67="3/24"),((база!$M$5*2*Таблица1[[#This Row],[Столбец1]]*Таблица1[[#This Row],[коэф]])),
IF((G67="5/16"),((база!$L$6*2*Таблица1[[#This Row],[Столбец1]]*Таблица1[[#This Row],[коэф]])),
IF(OR(G67="4/16",G67="3/16"),((база!$L$5*2*Таблица1[[#This Row],[Столбец1]]*Таблица1[[#This Row],[коэф]])),
IF(OR(G67="2/4",G67="3/4",G67="4/4"),((база!$I$5*2*Таблица1[[#This Row],[Столбец1]]*Таблица1[[#This Row],[коэф]])),
IF((G67="5/8"),((база!$J$6*2*Таблица1[[#This Row],[Столбец1]]*Таблица1[[#This Row],[коэф]])),
IF(OR(G67="4/8",G67="3/8",G67="2/8"),((база!$J$5*2*Таблица1[[#This Row],[Столбец1]]*Таблица1[[#This Row],[коэф]])))))))))))</f>
        <v>0</v>
      </c>
      <c r="AQ67" s="697" t="str">
        <f>IFERROR(INDEX(база!T:T, MATCH(F67,база!Q:Q,0)),"")</f>
        <v/>
      </c>
      <c r="AR67" s="207">
        <f>IFERROR(INDEX(база!D:D, MATCH(F67,база!B:B,0)),"")</f>
        <v>0</v>
      </c>
    </row>
    <row r="68" spans="1:44" ht="15">
      <c r="A68" s="66" t="str">
        <f t="shared" si="0"/>
        <v>декабрь</v>
      </c>
      <c r="B68" s="230">
        <v>2023</v>
      </c>
      <c r="C68" s="60"/>
      <c r="D68" s="61"/>
      <c r="E68" s="210"/>
      <c r="F68" s="669"/>
      <c r="G68" s="47"/>
      <c r="H68" s="212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  <c r="AA68" s="48"/>
      <c r="AB68" s="48"/>
      <c r="AC68" s="48"/>
      <c r="AD68" s="48"/>
      <c r="AE68" s="48"/>
      <c r="AF68" s="48"/>
      <c r="AG68" s="48"/>
      <c r="AH68" s="48"/>
      <c r="AI68" s="48"/>
      <c r="AJ68" s="48"/>
      <c r="AK68" s="48"/>
      <c r="AL68" s="51"/>
      <c r="AM68" s="211">
        <f>IF(AQ68=1,SUM(H68:I68,L68:O68,R68:U68,X68:AA68,AD68:AG68,AI68:AK68),
IF(AQ68=2,SUM(H68:K68,N68:Q68,T68:W68,Z68:AC68,AF68:AI68),
IF(AQ68=3,SUM(J68:M68,P68:S68,V68:Y68,AB68:AE68,AH68:AK68),SUM(Таблица1[[#This Row],[1]:[31]])-Таблица1[[#This Row],[Столбец1]])))</f>
        <v>0</v>
      </c>
      <c r="AN68" s="290">
        <f t="array" ref="AN68">IF(AQ68=1,SUM(J68:K68,P68:Q68,V68:W68,AB68:AC68,AH68:AI68),
IF(AQ68=2,SUM(L68:M68,R68:S68,X68:Y68,AD68:AE68),
IF(AQ68=3,SUM(H68:I68,N68:O68,T68:U68,Z68:AA68,AF68:AG68),
SUM(IFERROR(WEEKDAY($H$2:$AL$2,2)&gt;5,)*H68:AL68))))</f>
        <v>0</v>
      </c>
      <c r="AO68" s="292" t="b">
        <f>IF(AR68&lt;=3,(IF((G68="5/24"),((база!$M$6*Таблица1[[#This Row],[сумма]]*Таблица1[[#This Row],[коэф]])),
IF((G68="4/24"),((база!$M$5*Таблица1[[#This Row],[сумма]]*Таблица1[[#This Row],[коэф]])),
IF((G68="3/24"),((база!$M$4*Таблица1[[#This Row],[сумма]]*Таблица1[[#This Row],[коэф]])),
IF((G68="5/16"),((база!$L$6*Таблица1[[#This Row],[сумма]]*Таблица1[[#This Row],[коэф]])),
IF((G68="4/16"),((база!$L$5*Таблица1[[#This Row],[сумма]]*Таблица1[[#This Row],[коэф]])),
IF((G68="3/16"),((база!$L$4*Таблица1[[#This Row],[сумма]]*Таблица1[[#This Row],[коэф]])),
IF((G68="4/4"),((база!$I$5*Таблица1[[#This Row],[сумма]]*Таблица1[[#This Row],[коэф]])),
IF(OR(G68="2/4",G68="3/4"),((база!$I$4*Таблица1[[#This Row],[сумма]]*Таблица1[[#This Row],[коэф]])),
IF((G68="5/8"),((база!$J$6*Таблица1[[#This Row],[сумма]]*Таблица1[[#This Row],[коэф]])),
IF((G68="4/8"),((база!$J$5*Таблица1[[#This Row],[сумма]]*Таблица1[[#This Row],[коэф]])),
IF(OR(G68="3/8",G68="2/8"),((база!$J$4*Таблица1[[#This Row],[сумма]]*Таблица1[[#This Row],[коэф]])))))))))))))),
(IF((G68="5/24"),((база!$M$6*Таблица1[[#This Row],[сумма]]*Таблица1[[#This Row],[коэф]])),
IF(OR(G68="4/24",G68="3/24"),((база!$M$5*Таблица1[[#This Row],[сумма]]*Таблица1[[#This Row],[коэф]])),
IF((G68="5/16"),((база!$L$6*Таблица1[[#This Row],[сумма]]*Таблица1[[#This Row],[коэф]])),
IF(OR(G68="4/16",G68="3/16"),((база!$L$5*Таблица1[[#This Row],[сумма]]*Таблица1[[#This Row],[коэф]])),
IF(OR(G68="2/4",G68="3/4",G68="4/4"),((база!$I$5*Таблица1[[#This Row],[сумма]]*Таблица1[[#This Row],[коэф]])),
IF((G68="5/8"),((база!$J$6*Таблица1[[#This Row],[сумма]]*Таблица1[[#This Row],[коэф]])),
IF(OR(G68="4/8",G68="3/8",G68="2/8"),((база!$J$5*Таблица1[[#This Row],[сумма]]*Таблица1[[#This Row],[коэф]])))))))))))</f>
        <v>0</v>
      </c>
      <c r="AP68" s="715" t="b">
        <f>IF(AR68&lt;=3,(IF((G68="5/24"),((база!$M$6*2*Таблица1[[#This Row],[Столбец1]]*Таблица1[[#This Row],[коэф]])),
IF((G68="4/24"),((база!$M$5*2*Таблица1[[#This Row],[Столбец1]]*Таблица1[[#This Row],[коэф]])),
IF((G68="3/24"),((база!$M$4*2*Таблица1[[#This Row],[Столбец1]]*Таблица1[[#This Row],[коэф]])),
IF((G68="5/16"),((база!$L$6*2*Таблица1[[#This Row],[Столбец1]]*Таблица1[[#This Row],[коэф]])),
IF((G68="4/16"),((база!$L$5*2*Таблица1[[#This Row],[Столбец1]]*Таблица1[[#This Row],[коэф]])),
IF((G68="3/16"),((база!$L$4*2*Таблица1[[#This Row],[Столбец1]]*Таблица1[[#This Row],[коэф]])),
IF((G68="4/4"),((база!$I$5*2*Таблица1[[#This Row],[Столбец1]]*Таблица1[[#This Row],[коэф]])),
IF(OR(G68="2/4",G68="3/4"),((база!$I$4*2*Таблица1[[#This Row],[Столбец1]]*Таблица1[[#This Row],[коэф]])),
IF((G68="5/8"),((база!$J$6*2*Таблица1[[#This Row],[Столбец1]]*Таблица1[[#This Row],[коэф]])),
IF((G68="4/8"),((база!$J$5*2*Таблица1[[#This Row],[Столбец1]]*Таблица1[[#This Row],[коэф]])),
IF(OR(G68="3/8",G68="2/8"),((база!$J$4*2*Таблица1[[#This Row],[Столбец1]]*Таблица1[[#This Row],[коэф]])))))))))))))),
(IF((G68="5/24"),((база!$M$6*2*Таблица1[[#This Row],[Столбец1]]*Таблица1[[#This Row],[коэф]])),
IF(OR(G68="4/24",G68="3/24"),((база!$M$5*2*Таблица1[[#This Row],[Столбец1]]*Таблица1[[#This Row],[коэф]])),
IF((G68="5/16"),((база!$L$6*2*Таблица1[[#This Row],[Столбец1]]*Таблица1[[#This Row],[коэф]])),
IF(OR(G68="4/16",G68="3/16"),((база!$L$5*2*Таблица1[[#This Row],[Столбец1]]*Таблица1[[#This Row],[коэф]])),
IF(OR(G68="2/4",G68="3/4",G68="4/4"),((база!$I$5*2*Таблица1[[#This Row],[Столбец1]]*Таблица1[[#This Row],[коэф]])),
IF((G68="5/8"),((база!$J$6*2*Таблица1[[#This Row],[Столбец1]]*Таблица1[[#This Row],[коэф]])),
IF(OR(G68="4/8",G68="3/8",G68="2/8"),((база!$J$5*2*Таблица1[[#This Row],[Столбец1]]*Таблица1[[#This Row],[коэф]])))))))))))</f>
        <v>0</v>
      </c>
      <c r="AQ68" s="697" t="str">
        <f>IFERROR(INDEX(база!T:T, MATCH(F68,база!Q:Q,0)),"")</f>
        <v/>
      </c>
      <c r="AR68" s="207">
        <f>IFERROR(INDEX(база!D:D, MATCH(F68,база!B:B,0)),"")</f>
        <v>0</v>
      </c>
    </row>
    <row r="69" spans="1:44" ht="15">
      <c r="A69" s="66" t="str">
        <f t="shared" si="0"/>
        <v>декабрь</v>
      </c>
      <c r="B69" s="230">
        <v>2023</v>
      </c>
      <c r="C69" s="60"/>
      <c r="D69" s="61"/>
      <c r="E69" s="210"/>
      <c r="F69" s="669"/>
      <c r="G69" s="47"/>
      <c r="H69" s="212"/>
      <c r="I69" s="48"/>
      <c r="J69" s="48"/>
      <c r="K69" s="48"/>
      <c r="L69" s="48"/>
      <c r="M69" s="48"/>
      <c r="N69" s="49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  <c r="AA69" s="48"/>
      <c r="AB69" s="48"/>
      <c r="AC69" s="48"/>
      <c r="AD69" s="48"/>
      <c r="AE69" s="48"/>
      <c r="AF69" s="48"/>
      <c r="AG69" s="48"/>
      <c r="AH69" s="48"/>
      <c r="AI69" s="48"/>
      <c r="AJ69" s="48"/>
      <c r="AK69" s="48"/>
      <c r="AL69" s="51"/>
      <c r="AM69" s="211">
        <f>IF(AQ69=1,SUM(H69:I69,L69:O69,R69:U69,X69:AA69,AD69:AG69,AI69:AK69),
IF(AQ69=2,SUM(H69:K69,N69:Q69,T69:W69,Z69:AC69,AF69:AI69),
IF(AQ69=3,SUM(J69:M69,P69:S69,V69:Y69,AB69:AE69,AH69:AK69),SUM(Таблица1[[#This Row],[1]:[31]])-Таблица1[[#This Row],[Столбец1]])))</f>
        <v>0</v>
      </c>
      <c r="AN69" s="290">
        <f t="array" ref="AN69">IF(AQ69=1,SUM(J69:K69,P69:Q69,V69:W69,AB69:AC69,AH69:AI69),
IF(AQ69=2,SUM(L69:M69,R69:S69,X69:Y69,AD69:AE69),
IF(AQ69=3,SUM(H69:I69,N69:O69,T69:U69,Z69:AA69,AF69:AG69),
SUM(IFERROR(WEEKDAY($H$2:$AL$2,2)&gt;5,)*H69:AL69))))</f>
        <v>0</v>
      </c>
      <c r="AO69" s="292" t="b">
        <f>IF(AR69&lt;=3,(IF((G69="5/24"),((база!$M$6*Таблица1[[#This Row],[сумма]]*Таблица1[[#This Row],[коэф]])),
IF((G69="4/24"),((база!$M$5*Таблица1[[#This Row],[сумма]]*Таблица1[[#This Row],[коэф]])),
IF((G69="3/24"),((база!$M$4*Таблица1[[#This Row],[сумма]]*Таблица1[[#This Row],[коэф]])),
IF((G69="5/16"),((база!$L$6*Таблица1[[#This Row],[сумма]]*Таблица1[[#This Row],[коэф]])),
IF((G69="4/16"),((база!$L$5*Таблица1[[#This Row],[сумма]]*Таблица1[[#This Row],[коэф]])),
IF((G69="3/16"),((база!$L$4*Таблица1[[#This Row],[сумма]]*Таблица1[[#This Row],[коэф]])),
IF((G69="4/4"),((база!$I$5*Таблица1[[#This Row],[сумма]]*Таблица1[[#This Row],[коэф]])),
IF(OR(G69="2/4",G69="3/4"),((база!$I$4*Таблица1[[#This Row],[сумма]]*Таблица1[[#This Row],[коэф]])),
IF((G69="5/8"),((база!$J$6*Таблица1[[#This Row],[сумма]]*Таблица1[[#This Row],[коэф]])),
IF((G69="4/8"),((база!$J$5*Таблица1[[#This Row],[сумма]]*Таблица1[[#This Row],[коэф]])),
IF(OR(G69="3/8",G69="2/8"),((база!$J$4*Таблица1[[#This Row],[сумма]]*Таблица1[[#This Row],[коэф]])))))))))))))),
(IF((G69="5/24"),((база!$M$6*Таблица1[[#This Row],[сумма]]*Таблица1[[#This Row],[коэф]])),
IF(OR(G69="4/24",G69="3/24"),((база!$M$5*Таблица1[[#This Row],[сумма]]*Таблица1[[#This Row],[коэф]])),
IF((G69="5/16"),((база!$L$6*Таблица1[[#This Row],[сумма]]*Таблица1[[#This Row],[коэф]])),
IF(OR(G69="4/16",G69="3/16"),((база!$L$5*Таблица1[[#This Row],[сумма]]*Таблица1[[#This Row],[коэф]])),
IF(OR(G69="2/4",G69="3/4",G69="4/4"),((база!$I$5*Таблица1[[#This Row],[сумма]]*Таблица1[[#This Row],[коэф]])),
IF((G69="5/8"),((база!$J$6*Таблица1[[#This Row],[сумма]]*Таблица1[[#This Row],[коэф]])),
IF(OR(G69="4/8",G69="3/8",G69="2/8"),((база!$J$5*Таблица1[[#This Row],[сумма]]*Таблица1[[#This Row],[коэф]])))))))))))</f>
        <v>0</v>
      </c>
      <c r="AP69" s="715" t="b">
        <f>IF(AR69&lt;=3,(IF((G69="5/24"),((база!$M$6*2*Таблица1[[#This Row],[Столбец1]]*Таблица1[[#This Row],[коэф]])),
IF((G69="4/24"),((база!$M$5*2*Таблица1[[#This Row],[Столбец1]]*Таблица1[[#This Row],[коэф]])),
IF((G69="3/24"),((база!$M$4*2*Таблица1[[#This Row],[Столбец1]]*Таблица1[[#This Row],[коэф]])),
IF((G69="5/16"),((база!$L$6*2*Таблица1[[#This Row],[Столбец1]]*Таблица1[[#This Row],[коэф]])),
IF((G69="4/16"),((база!$L$5*2*Таблица1[[#This Row],[Столбец1]]*Таблица1[[#This Row],[коэф]])),
IF((G69="3/16"),((база!$L$4*2*Таблица1[[#This Row],[Столбец1]]*Таблица1[[#This Row],[коэф]])),
IF((G69="4/4"),((база!$I$5*2*Таблица1[[#This Row],[Столбец1]]*Таблица1[[#This Row],[коэф]])),
IF(OR(G69="2/4",G69="3/4"),((база!$I$4*2*Таблица1[[#This Row],[Столбец1]]*Таблица1[[#This Row],[коэф]])),
IF((G69="5/8"),((база!$J$6*2*Таблица1[[#This Row],[Столбец1]]*Таблица1[[#This Row],[коэф]])),
IF((G69="4/8"),((база!$J$5*2*Таблица1[[#This Row],[Столбец1]]*Таблица1[[#This Row],[коэф]])),
IF(OR(G69="3/8",G69="2/8"),((база!$J$4*2*Таблица1[[#This Row],[Столбец1]]*Таблица1[[#This Row],[коэф]])))))))))))))),
(IF((G69="5/24"),((база!$M$6*2*Таблица1[[#This Row],[Столбец1]]*Таблица1[[#This Row],[коэф]])),
IF(OR(G69="4/24",G69="3/24"),((база!$M$5*2*Таблица1[[#This Row],[Столбец1]]*Таблица1[[#This Row],[коэф]])),
IF((G69="5/16"),((база!$L$6*2*Таблица1[[#This Row],[Столбец1]]*Таблица1[[#This Row],[коэф]])),
IF(OR(G69="4/16",G69="3/16"),((база!$L$5*2*Таблица1[[#This Row],[Столбец1]]*Таблица1[[#This Row],[коэф]])),
IF(OR(G69="2/4",G69="3/4",G69="4/4"),((база!$I$5*2*Таблица1[[#This Row],[Столбец1]]*Таблица1[[#This Row],[коэф]])),
IF((G69="5/8"),((база!$J$6*2*Таблица1[[#This Row],[Столбец1]]*Таблица1[[#This Row],[коэф]])),
IF(OR(G69="4/8",G69="3/8",G69="2/8"),((база!$J$5*2*Таблица1[[#This Row],[Столбец1]]*Таблица1[[#This Row],[коэф]])))))))))))</f>
        <v>0</v>
      </c>
      <c r="AQ69" s="697" t="str">
        <f>IFERROR(INDEX(база!T:T, MATCH(F69,база!Q:Q,0)),"")</f>
        <v/>
      </c>
      <c r="AR69" s="207">
        <f>IFERROR(INDEX(база!D:D, MATCH(F69,база!B:B,0)),"")</f>
        <v>0</v>
      </c>
    </row>
    <row r="70" spans="1:44" ht="15">
      <c r="A70" s="66" t="str">
        <f t="shared" ref="A70:A86" si="1">A69</f>
        <v>декабрь</v>
      </c>
      <c r="B70" s="230">
        <v>2023</v>
      </c>
      <c r="C70" s="60"/>
      <c r="D70" s="61"/>
      <c r="E70" s="210"/>
      <c r="F70" s="669"/>
      <c r="G70" s="47"/>
      <c r="H70" s="212"/>
      <c r="I70" s="48"/>
      <c r="J70" s="48"/>
      <c r="K70" s="48"/>
      <c r="L70" s="48"/>
      <c r="M70" s="48"/>
      <c r="N70" s="49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  <c r="AA70" s="48"/>
      <c r="AB70" s="48"/>
      <c r="AC70" s="48"/>
      <c r="AD70" s="48"/>
      <c r="AE70" s="48"/>
      <c r="AF70" s="48"/>
      <c r="AG70" s="48"/>
      <c r="AH70" s="48"/>
      <c r="AI70" s="48"/>
      <c r="AJ70" s="48"/>
      <c r="AK70" s="48"/>
      <c r="AL70" s="51"/>
      <c r="AM70" s="211">
        <f>IF(AQ70=1,SUM(H70:I70,L70:O70,R70:U70,X70:AA70,AD70:AG70,AI70:AK70),
IF(AQ70=2,SUM(H70:K70,N70:Q70,T70:W70,Z70:AC70,AF70:AI70),
IF(AQ70=3,SUM(J70:M70,P70:S70,V70:Y70,AB70:AE70,AH70:AK70),SUM(Таблица1[[#This Row],[1]:[31]])-Таблица1[[#This Row],[Столбец1]])))</f>
        <v>0</v>
      </c>
      <c r="AN70" s="290">
        <f t="array" ref="AN70">IF(AQ70=1,SUM(J70:K70,P70:Q70,V70:W70,AB70:AC70,AH70:AI70),
IF(AQ70=2,SUM(L70:M70,R70:S70,X70:Y70,AD70:AE70),
IF(AQ70=3,SUM(H70:I70,N70:O70,T70:U70,Z70:AA70,AF70:AG70),
SUM(IFERROR(WEEKDAY($H$2:$AL$2,2)&gt;5,)*H70:AL70))))</f>
        <v>0</v>
      </c>
      <c r="AO70" s="292" t="b">
        <f>IF(AR70&lt;=3,(IF((G70="5/24"),((база!$M$6*Таблица1[[#This Row],[сумма]]*Таблица1[[#This Row],[коэф]])),
IF((G70="4/24"),((база!$M$5*Таблица1[[#This Row],[сумма]]*Таблица1[[#This Row],[коэф]])),
IF((G70="3/24"),((база!$M$4*Таблица1[[#This Row],[сумма]]*Таблица1[[#This Row],[коэф]])),
IF((G70="5/16"),((база!$L$6*Таблица1[[#This Row],[сумма]]*Таблица1[[#This Row],[коэф]])),
IF((G70="4/16"),((база!$L$5*Таблица1[[#This Row],[сумма]]*Таблица1[[#This Row],[коэф]])),
IF((G70="3/16"),((база!$L$4*Таблица1[[#This Row],[сумма]]*Таблица1[[#This Row],[коэф]])),
IF((G70="4/4"),((база!$I$5*Таблица1[[#This Row],[сумма]]*Таблица1[[#This Row],[коэф]])),
IF(OR(G70="2/4",G70="3/4"),((база!$I$4*Таблица1[[#This Row],[сумма]]*Таблица1[[#This Row],[коэф]])),
IF((G70="5/8"),((база!$J$6*Таблица1[[#This Row],[сумма]]*Таблица1[[#This Row],[коэф]])),
IF((G70="4/8"),((база!$J$5*Таблица1[[#This Row],[сумма]]*Таблица1[[#This Row],[коэф]])),
IF(OR(G70="3/8",G70="2/8"),((база!$J$4*Таблица1[[#This Row],[сумма]]*Таблица1[[#This Row],[коэф]])))))))))))))),
(IF((G70="5/24"),((база!$M$6*Таблица1[[#This Row],[сумма]]*Таблица1[[#This Row],[коэф]])),
IF(OR(G70="4/24",G70="3/24"),((база!$M$5*Таблица1[[#This Row],[сумма]]*Таблица1[[#This Row],[коэф]])),
IF((G70="5/16"),((база!$L$6*Таблица1[[#This Row],[сумма]]*Таблица1[[#This Row],[коэф]])),
IF(OR(G70="4/16",G70="3/16"),((база!$L$5*Таблица1[[#This Row],[сумма]]*Таблица1[[#This Row],[коэф]])),
IF(OR(G70="2/4",G70="3/4",G70="4/4"),((база!$I$5*Таблица1[[#This Row],[сумма]]*Таблица1[[#This Row],[коэф]])),
IF((G70="5/8"),((база!$J$6*Таблица1[[#This Row],[сумма]]*Таблица1[[#This Row],[коэф]])),
IF(OR(G70="4/8",G70="3/8",G70="2/8"),((база!$J$5*Таблица1[[#This Row],[сумма]]*Таблица1[[#This Row],[коэф]])))))))))))</f>
        <v>0</v>
      </c>
      <c r="AP70" s="715" t="b">
        <f>IF(AR70&lt;=3,(IF((G70="5/24"),((база!$M$6*2*Таблица1[[#This Row],[Столбец1]]*Таблица1[[#This Row],[коэф]])),
IF((G70="4/24"),((база!$M$5*2*Таблица1[[#This Row],[Столбец1]]*Таблица1[[#This Row],[коэф]])),
IF((G70="3/24"),((база!$M$4*2*Таблица1[[#This Row],[Столбец1]]*Таблица1[[#This Row],[коэф]])),
IF((G70="5/16"),((база!$L$6*2*Таблица1[[#This Row],[Столбец1]]*Таблица1[[#This Row],[коэф]])),
IF((G70="4/16"),((база!$L$5*2*Таблица1[[#This Row],[Столбец1]]*Таблица1[[#This Row],[коэф]])),
IF((G70="3/16"),((база!$L$4*2*Таблица1[[#This Row],[Столбец1]]*Таблица1[[#This Row],[коэф]])),
IF((G70="4/4"),((база!$I$5*2*Таблица1[[#This Row],[Столбец1]]*Таблица1[[#This Row],[коэф]])),
IF(OR(G70="2/4",G70="3/4"),((база!$I$4*2*Таблица1[[#This Row],[Столбец1]]*Таблица1[[#This Row],[коэф]])),
IF((G70="5/8"),((база!$J$6*2*Таблица1[[#This Row],[Столбец1]]*Таблица1[[#This Row],[коэф]])),
IF((G70="4/8"),((база!$J$5*2*Таблица1[[#This Row],[Столбец1]]*Таблица1[[#This Row],[коэф]])),
IF(OR(G70="3/8",G70="2/8"),((база!$J$4*2*Таблица1[[#This Row],[Столбец1]]*Таблица1[[#This Row],[коэф]])))))))))))))),
(IF((G70="5/24"),((база!$M$6*2*Таблица1[[#This Row],[Столбец1]]*Таблица1[[#This Row],[коэф]])),
IF(OR(G70="4/24",G70="3/24"),((база!$M$5*2*Таблица1[[#This Row],[Столбец1]]*Таблица1[[#This Row],[коэф]])),
IF((G70="5/16"),((база!$L$6*2*Таблица1[[#This Row],[Столбец1]]*Таблица1[[#This Row],[коэф]])),
IF(OR(G70="4/16",G70="3/16"),((база!$L$5*2*Таблица1[[#This Row],[Столбец1]]*Таблица1[[#This Row],[коэф]])),
IF(OR(G70="2/4",G70="3/4",G70="4/4"),((база!$I$5*2*Таблица1[[#This Row],[Столбец1]]*Таблица1[[#This Row],[коэф]])),
IF((G70="5/8"),((база!$J$6*2*Таблица1[[#This Row],[Столбец1]]*Таблица1[[#This Row],[коэф]])),
IF(OR(G70="4/8",G70="3/8",G70="2/8"),((база!$J$5*2*Таблица1[[#This Row],[Столбец1]]*Таблица1[[#This Row],[коэф]])))))))))))</f>
        <v>0</v>
      </c>
      <c r="AQ70" s="697" t="str">
        <f>IFERROR(INDEX(база!T:T, MATCH(F70,база!Q:Q,0)),"")</f>
        <v/>
      </c>
      <c r="AR70" s="207">
        <f>IFERROR(INDEX(база!D:D, MATCH(F70,база!B:B,0)),"")</f>
        <v>0</v>
      </c>
    </row>
    <row r="71" spans="1:44" ht="15">
      <c r="A71" s="66" t="str">
        <f t="shared" si="1"/>
        <v>декабрь</v>
      </c>
      <c r="B71" s="230">
        <v>2023</v>
      </c>
      <c r="C71" s="60"/>
      <c r="D71" s="61"/>
      <c r="E71" s="210"/>
      <c r="F71" s="669"/>
      <c r="G71" s="47"/>
      <c r="H71" s="212"/>
      <c r="I71" s="48"/>
      <c r="J71" s="48"/>
      <c r="K71" s="48"/>
      <c r="L71" s="48"/>
      <c r="M71" s="48"/>
      <c r="N71" s="49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  <c r="AA71" s="48"/>
      <c r="AB71" s="48"/>
      <c r="AC71" s="48"/>
      <c r="AD71" s="48"/>
      <c r="AE71" s="48"/>
      <c r="AF71" s="48"/>
      <c r="AG71" s="48"/>
      <c r="AH71" s="48"/>
      <c r="AI71" s="48"/>
      <c r="AJ71" s="48"/>
      <c r="AK71" s="48"/>
      <c r="AL71" s="51"/>
      <c r="AM71" s="211">
        <f>IF(AQ71=1,SUM(H71:I71,L71:O71,R71:U71,X71:AA71,AD71:AG71,AI71:AK71),
IF(AQ71=2,SUM(H71:K71,N71:Q71,T71:W71,Z71:AC71,AF71:AI71),
IF(AQ71=3,SUM(J71:M71,P71:S71,V71:Y71,AB71:AE71,AH71:AK71),SUM(Таблица1[[#This Row],[1]:[31]])-Таблица1[[#This Row],[Столбец1]])))</f>
        <v>0</v>
      </c>
      <c r="AN71" s="290">
        <f t="array" ref="AN71">IF(AQ71=1,SUM(J71:K71,P71:Q71,V71:W71,AB71:AC71,AH71:AI71),
IF(AQ71=2,SUM(L71:M71,R71:S71,X71:Y71,AD71:AE71),
IF(AQ71=3,SUM(H71:I71,N71:O71,T71:U71,Z71:AA71,AF71:AG71),
SUM(IFERROR(WEEKDAY($H$2:$AL$2,2)&gt;5,)*H71:AL71))))</f>
        <v>0</v>
      </c>
      <c r="AO71" s="292" t="b">
        <f>IF(AR71&lt;=3,(IF((G71="5/24"),((база!$M$6*Таблица1[[#This Row],[сумма]]*Таблица1[[#This Row],[коэф]])),
IF((G71="4/24"),((база!$M$5*Таблица1[[#This Row],[сумма]]*Таблица1[[#This Row],[коэф]])),
IF((G71="3/24"),((база!$M$4*Таблица1[[#This Row],[сумма]]*Таблица1[[#This Row],[коэф]])),
IF((G71="5/16"),((база!$L$6*Таблица1[[#This Row],[сумма]]*Таблица1[[#This Row],[коэф]])),
IF((G71="4/16"),((база!$L$5*Таблица1[[#This Row],[сумма]]*Таблица1[[#This Row],[коэф]])),
IF((G71="3/16"),((база!$L$4*Таблица1[[#This Row],[сумма]]*Таблица1[[#This Row],[коэф]])),
IF((G71="4/4"),((база!$I$5*Таблица1[[#This Row],[сумма]]*Таблица1[[#This Row],[коэф]])),
IF(OR(G71="2/4",G71="3/4"),((база!$I$4*Таблица1[[#This Row],[сумма]]*Таблица1[[#This Row],[коэф]])),
IF((G71="5/8"),((база!$J$6*Таблица1[[#This Row],[сумма]]*Таблица1[[#This Row],[коэф]])),
IF((G71="4/8"),((база!$J$5*Таблица1[[#This Row],[сумма]]*Таблица1[[#This Row],[коэф]])),
IF(OR(G71="3/8",G71="2/8"),((база!$J$4*Таблица1[[#This Row],[сумма]]*Таблица1[[#This Row],[коэф]])))))))))))))),
(IF((G71="5/24"),((база!$M$6*Таблица1[[#This Row],[сумма]]*Таблица1[[#This Row],[коэф]])),
IF(OR(G71="4/24",G71="3/24"),((база!$M$5*Таблица1[[#This Row],[сумма]]*Таблица1[[#This Row],[коэф]])),
IF((G71="5/16"),((база!$L$6*Таблица1[[#This Row],[сумма]]*Таблица1[[#This Row],[коэф]])),
IF(OR(G71="4/16",G71="3/16"),((база!$L$5*Таблица1[[#This Row],[сумма]]*Таблица1[[#This Row],[коэф]])),
IF(OR(G71="2/4",G71="3/4",G71="4/4"),((база!$I$5*Таблица1[[#This Row],[сумма]]*Таблица1[[#This Row],[коэф]])),
IF((G71="5/8"),((база!$J$6*Таблица1[[#This Row],[сумма]]*Таблица1[[#This Row],[коэф]])),
IF(OR(G71="4/8",G71="3/8",G71="2/8"),((база!$J$5*Таблица1[[#This Row],[сумма]]*Таблица1[[#This Row],[коэф]])))))))))))</f>
        <v>0</v>
      </c>
      <c r="AP71" s="715" t="b">
        <f>IF(AR71&lt;=3,(IF((G71="5/24"),((база!$M$6*2*Таблица1[[#This Row],[Столбец1]]*Таблица1[[#This Row],[коэф]])),
IF((G71="4/24"),((база!$M$5*2*Таблица1[[#This Row],[Столбец1]]*Таблица1[[#This Row],[коэф]])),
IF((G71="3/24"),((база!$M$4*2*Таблица1[[#This Row],[Столбец1]]*Таблица1[[#This Row],[коэф]])),
IF((G71="5/16"),((база!$L$6*2*Таблица1[[#This Row],[Столбец1]]*Таблица1[[#This Row],[коэф]])),
IF((G71="4/16"),((база!$L$5*2*Таблица1[[#This Row],[Столбец1]]*Таблица1[[#This Row],[коэф]])),
IF((G71="3/16"),((база!$L$4*2*Таблица1[[#This Row],[Столбец1]]*Таблица1[[#This Row],[коэф]])),
IF((G71="4/4"),((база!$I$5*2*Таблица1[[#This Row],[Столбец1]]*Таблица1[[#This Row],[коэф]])),
IF(OR(G71="2/4",G71="3/4"),((база!$I$4*2*Таблица1[[#This Row],[Столбец1]]*Таблица1[[#This Row],[коэф]])),
IF((G71="5/8"),((база!$J$6*2*Таблица1[[#This Row],[Столбец1]]*Таблица1[[#This Row],[коэф]])),
IF((G71="4/8"),((база!$J$5*2*Таблица1[[#This Row],[Столбец1]]*Таблица1[[#This Row],[коэф]])),
IF(OR(G71="3/8",G71="2/8"),((база!$J$4*2*Таблица1[[#This Row],[Столбец1]]*Таблица1[[#This Row],[коэф]])))))))))))))),
(IF((G71="5/24"),((база!$M$6*2*Таблица1[[#This Row],[Столбец1]]*Таблица1[[#This Row],[коэф]])),
IF(OR(G71="4/24",G71="3/24"),((база!$M$5*2*Таблица1[[#This Row],[Столбец1]]*Таблица1[[#This Row],[коэф]])),
IF((G71="5/16"),((база!$L$6*2*Таблица1[[#This Row],[Столбец1]]*Таблица1[[#This Row],[коэф]])),
IF(OR(G71="4/16",G71="3/16"),((база!$L$5*2*Таблица1[[#This Row],[Столбец1]]*Таблица1[[#This Row],[коэф]])),
IF(OR(G71="2/4",G71="3/4",G71="4/4"),((база!$I$5*2*Таблица1[[#This Row],[Столбец1]]*Таблица1[[#This Row],[коэф]])),
IF((G71="5/8"),((база!$J$6*2*Таблица1[[#This Row],[Столбец1]]*Таблица1[[#This Row],[коэф]])),
IF(OR(G71="4/8",G71="3/8",G71="2/8"),((база!$J$5*2*Таблица1[[#This Row],[Столбец1]]*Таблица1[[#This Row],[коэф]])))))))))))</f>
        <v>0</v>
      </c>
      <c r="AQ71" s="697" t="str">
        <f>IFERROR(INDEX(база!T:T, MATCH(F71,база!Q:Q,0)),"")</f>
        <v/>
      </c>
      <c r="AR71" s="207">
        <f>IFERROR(INDEX(база!D:D, MATCH(F71,база!B:B,0)),"")</f>
        <v>0</v>
      </c>
    </row>
    <row r="72" spans="1:44" ht="15">
      <c r="A72" s="66" t="str">
        <f t="shared" si="1"/>
        <v>декабрь</v>
      </c>
      <c r="B72" s="230">
        <v>2023</v>
      </c>
      <c r="C72" s="60"/>
      <c r="D72" s="61"/>
      <c r="E72" s="210"/>
      <c r="F72" s="669"/>
      <c r="G72" s="47"/>
      <c r="H72" s="212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  <c r="AA72" s="48"/>
      <c r="AB72" s="48"/>
      <c r="AC72" s="48"/>
      <c r="AD72" s="48"/>
      <c r="AE72" s="48"/>
      <c r="AF72" s="48"/>
      <c r="AG72" s="48"/>
      <c r="AH72" s="48"/>
      <c r="AI72" s="48"/>
      <c r="AJ72" s="48"/>
      <c r="AK72" s="48"/>
      <c r="AL72" s="51"/>
      <c r="AM72" s="211">
        <f>IF(AQ72=1,SUM(H72:I72,L72:O72,R72:U72,X72:AA72,AD72:AG72,AI72:AK72),
IF(AQ72=2,SUM(H72:K72,N72:Q72,T72:W72,Z72:AC72,AF72:AI72),
IF(AQ72=3,SUM(J72:M72,P72:S72,V72:Y72,AB72:AE72,AH72:AK72),SUM(Таблица1[[#This Row],[1]:[31]])-Таблица1[[#This Row],[Столбец1]])))</f>
        <v>0</v>
      </c>
      <c r="AN72" s="290">
        <f t="array" ref="AN72">IF(AQ72=1,SUM(J72:K72,P72:Q72,V72:W72,AB72:AC72,AH72:AI72),
IF(AQ72=2,SUM(L72:M72,R72:S72,X72:Y72,AD72:AE72),
IF(AQ72=3,SUM(H72:I72,N72:O72,T72:U72,Z72:AA72,AF72:AG72),
SUM(IFERROR(WEEKDAY($H$2:$AL$2,2)&gt;5,)*H72:AL72))))</f>
        <v>0</v>
      </c>
      <c r="AO72" s="292" t="b">
        <f>IF(AR72&lt;=3,(IF((G72="5/24"),((база!$M$6*Таблица1[[#This Row],[сумма]]*Таблица1[[#This Row],[коэф]])),
IF((G72="4/24"),((база!$M$5*Таблица1[[#This Row],[сумма]]*Таблица1[[#This Row],[коэф]])),
IF((G72="3/24"),((база!$M$4*Таблица1[[#This Row],[сумма]]*Таблица1[[#This Row],[коэф]])),
IF((G72="5/16"),((база!$L$6*Таблица1[[#This Row],[сумма]]*Таблица1[[#This Row],[коэф]])),
IF((G72="4/16"),((база!$L$5*Таблица1[[#This Row],[сумма]]*Таблица1[[#This Row],[коэф]])),
IF((G72="3/16"),((база!$L$4*Таблица1[[#This Row],[сумма]]*Таблица1[[#This Row],[коэф]])),
IF((G72="4/4"),((база!$I$5*Таблица1[[#This Row],[сумма]]*Таблица1[[#This Row],[коэф]])),
IF(OR(G72="2/4",G72="3/4"),((база!$I$4*Таблица1[[#This Row],[сумма]]*Таблица1[[#This Row],[коэф]])),
IF((G72="5/8"),((база!$J$6*Таблица1[[#This Row],[сумма]]*Таблица1[[#This Row],[коэф]])),
IF((G72="4/8"),((база!$J$5*Таблица1[[#This Row],[сумма]]*Таблица1[[#This Row],[коэф]])),
IF(OR(G72="3/8",G72="2/8"),((база!$J$4*Таблица1[[#This Row],[сумма]]*Таблица1[[#This Row],[коэф]])))))))))))))),
(IF((G72="5/24"),((база!$M$6*Таблица1[[#This Row],[сумма]]*Таблица1[[#This Row],[коэф]])),
IF(OR(G72="4/24",G72="3/24"),((база!$M$5*Таблица1[[#This Row],[сумма]]*Таблица1[[#This Row],[коэф]])),
IF((G72="5/16"),((база!$L$6*Таблица1[[#This Row],[сумма]]*Таблица1[[#This Row],[коэф]])),
IF(OR(G72="4/16",G72="3/16"),((база!$L$5*Таблица1[[#This Row],[сумма]]*Таблица1[[#This Row],[коэф]])),
IF(OR(G72="2/4",G72="3/4",G72="4/4"),((база!$I$5*Таблица1[[#This Row],[сумма]]*Таблица1[[#This Row],[коэф]])),
IF((G72="5/8"),((база!$J$6*Таблица1[[#This Row],[сумма]]*Таблица1[[#This Row],[коэф]])),
IF(OR(G72="4/8",G72="3/8",G72="2/8"),((база!$J$5*Таблица1[[#This Row],[сумма]]*Таблица1[[#This Row],[коэф]])))))))))))</f>
        <v>0</v>
      </c>
      <c r="AP72" s="715" t="b">
        <f>IF(AR72&lt;=3,(IF((G72="5/24"),((база!$M$6*2*Таблица1[[#This Row],[Столбец1]]*Таблица1[[#This Row],[коэф]])),
IF((G72="4/24"),((база!$M$5*2*Таблица1[[#This Row],[Столбец1]]*Таблица1[[#This Row],[коэф]])),
IF((G72="3/24"),((база!$M$4*2*Таблица1[[#This Row],[Столбец1]]*Таблица1[[#This Row],[коэф]])),
IF((G72="5/16"),((база!$L$6*2*Таблица1[[#This Row],[Столбец1]]*Таблица1[[#This Row],[коэф]])),
IF((G72="4/16"),((база!$L$5*2*Таблица1[[#This Row],[Столбец1]]*Таблица1[[#This Row],[коэф]])),
IF((G72="3/16"),((база!$L$4*2*Таблица1[[#This Row],[Столбец1]]*Таблица1[[#This Row],[коэф]])),
IF((G72="4/4"),((база!$I$5*2*Таблица1[[#This Row],[Столбец1]]*Таблица1[[#This Row],[коэф]])),
IF(OR(G72="2/4",G72="3/4"),((база!$I$4*2*Таблица1[[#This Row],[Столбец1]]*Таблица1[[#This Row],[коэф]])),
IF((G72="5/8"),((база!$J$6*2*Таблица1[[#This Row],[Столбец1]]*Таблица1[[#This Row],[коэф]])),
IF((G72="4/8"),((база!$J$5*2*Таблица1[[#This Row],[Столбец1]]*Таблица1[[#This Row],[коэф]])),
IF(OR(G72="3/8",G72="2/8"),((база!$J$4*2*Таблица1[[#This Row],[Столбец1]]*Таблица1[[#This Row],[коэф]])))))))))))))),
(IF((G72="5/24"),((база!$M$6*2*Таблица1[[#This Row],[Столбец1]]*Таблица1[[#This Row],[коэф]])),
IF(OR(G72="4/24",G72="3/24"),((база!$M$5*2*Таблица1[[#This Row],[Столбец1]]*Таблица1[[#This Row],[коэф]])),
IF((G72="5/16"),((база!$L$6*2*Таблица1[[#This Row],[Столбец1]]*Таблица1[[#This Row],[коэф]])),
IF(OR(G72="4/16",G72="3/16"),((база!$L$5*2*Таблица1[[#This Row],[Столбец1]]*Таблица1[[#This Row],[коэф]])),
IF(OR(G72="2/4",G72="3/4",G72="4/4"),((база!$I$5*2*Таблица1[[#This Row],[Столбец1]]*Таблица1[[#This Row],[коэф]])),
IF((G72="5/8"),((база!$J$6*2*Таблица1[[#This Row],[Столбец1]]*Таблица1[[#This Row],[коэф]])),
IF(OR(G72="4/8",G72="3/8",G72="2/8"),((база!$J$5*2*Таблица1[[#This Row],[Столбец1]]*Таблица1[[#This Row],[коэф]])))))))))))</f>
        <v>0</v>
      </c>
      <c r="AQ72" s="697" t="str">
        <f>IFERROR(INDEX(база!T:T, MATCH(F72,база!Q:Q,0)),"")</f>
        <v/>
      </c>
      <c r="AR72" s="207">
        <f>IFERROR(INDEX(база!D:D, MATCH(F72,база!B:B,0)),"")</f>
        <v>0</v>
      </c>
    </row>
    <row r="73" spans="1:44" ht="15">
      <c r="A73" s="66" t="str">
        <f t="shared" si="1"/>
        <v>декабрь</v>
      </c>
      <c r="B73" s="230">
        <v>2023</v>
      </c>
      <c r="C73" s="60"/>
      <c r="D73" s="61"/>
      <c r="E73" s="210"/>
      <c r="F73" s="669"/>
      <c r="G73" s="47"/>
      <c r="H73" s="212"/>
      <c r="I73" s="212"/>
      <c r="J73" s="212"/>
      <c r="K73" s="48"/>
      <c r="L73" s="48"/>
      <c r="M73" s="48"/>
      <c r="N73" s="49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  <c r="AA73" s="48"/>
      <c r="AB73" s="48"/>
      <c r="AC73" s="48"/>
      <c r="AD73" s="48"/>
      <c r="AE73" s="48"/>
      <c r="AF73" s="48"/>
      <c r="AG73" s="48"/>
      <c r="AH73" s="48"/>
      <c r="AI73" s="48"/>
      <c r="AJ73" s="48"/>
      <c r="AK73" s="48"/>
      <c r="AL73" s="51"/>
      <c r="AM73" s="211">
        <f>IF(AQ73=1,SUM(H73:I73,L73:O73,R73:U73,X73:AA73,AD73:AG73,AI73:AK73),
IF(AQ73=2,SUM(H73:K73,N73:Q73,T73:W73,Z73:AC73,AF73:AI73),
IF(AQ73=3,SUM(J73:M73,P73:S73,V73:Y73,AB73:AE73,AH73:AK73),SUM(Таблица1[[#This Row],[1]:[31]])-Таблица1[[#This Row],[Столбец1]])))</f>
        <v>0</v>
      </c>
      <c r="AN73" s="290">
        <f t="array" ref="AN73">IF(AQ73=1,SUM(J73:K73,P73:Q73,V73:W73,AB73:AC73,AH73:AI73),
IF(AQ73=2,SUM(L73:M73,R73:S73,X73:Y73,AD73:AE73),
IF(AQ73=3,SUM(H73:I73,N73:O73,T73:U73,Z73:AA73,AF73:AG73),
SUM(IFERROR(WEEKDAY($H$2:$AL$2,2)&gt;5,)*H73:AL73))))</f>
        <v>0</v>
      </c>
      <c r="AO73" s="292" t="b">
        <f>IF(AR73&lt;=3,(IF((G73="5/24"),((база!$M$6*Таблица1[[#This Row],[сумма]]*Таблица1[[#This Row],[коэф]])),
IF((G73="4/24"),((база!$M$5*Таблица1[[#This Row],[сумма]]*Таблица1[[#This Row],[коэф]])),
IF((G73="3/24"),((база!$M$4*Таблица1[[#This Row],[сумма]]*Таблица1[[#This Row],[коэф]])),
IF((G73="5/16"),((база!$L$6*Таблица1[[#This Row],[сумма]]*Таблица1[[#This Row],[коэф]])),
IF((G73="4/16"),((база!$L$5*Таблица1[[#This Row],[сумма]]*Таблица1[[#This Row],[коэф]])),
IF((G73="3/16"),((база!$L$4*Таблица1[[#This Row],[сумма]]*Таблица1[[#This Row],[коэф]])),
IF((G73="4/4"),((база!$I$5*Таблица1[[#This Row],[сумма]]*Таблица1[[#This Row],[коэф]])),
IF(OR(G73="2/4",G73="3/4"),((база!$I$4*Таблица1[[#This Row],[сумма]]*Таблица1[[#This Row],[коэф]])),
IF((G73="5/8"),((база!$J$6*Таблица1[[#This Row],[сумма]]*Таблица1[[#This Row],[коэф]])),
IF((G73="4/8"),((база!$J$5*Таблица1[[#This Row],[сумма]]*Таблица1[[#This Row],[коэф]])),
IF(OR(G73="3/8",G73="2/8"),((база!$J$4*Таблица1[[#This Row],[сумма]]*Таблица1[[#This Row],[коэф]])))))))))))))),
(IF((G73="5/24"),((база!$M$6*Таблица1[[#This Row],[сумма]]*Таблица1[[#This Row],[коэф]])),
IF(OR(G73="4/24",G73="3/24"),((база!$M$5*Таблица1[[#This Row],[сумма]]*Таблица1[[#This Row],[коэф]])),
IF((G73="5/16"),((база!$L$6*Таблица1[[#This Row],[сумма]]*Таблица1[[#This Row],[коэф]])),
IF(OR(G73="4/16",G73="3/16"),((база!$L$5*Таблица1[[#This Row],[сумма]]*Таблица1[[#This Row],[коэф]])),
IF(OR(G73="2/4",G73="3/4",G73="4/4"),((база!$I$5*Таблица1[[#This Row],[сумма]]*Таблица1[[#This Row],[коэф]])),
IF((G73="5/8"),((база!$J$6*Таблица1[[#This Row],[сумма]]*Таблица1[[#This Row],[коэф]])),
IF(OR(G73="4/8",G73="3/8",G73="2/8"),((база!$J$5*Таблица1[[#This Row],[сумма]]*Таблица1[[#This Row],[коэф]])))))))))))</f>
        <v>0</v>
      </c>
      <c r="AP73" s="715" t="b">
        <f>IF(AR73&lt;=3,(IF((G73="5/24"),((база!$M$6*2*Таблица1[[#This Row],[Столбец1]]*Таблица1[[#This Row],[коэф]])),
IF((G73="4/24"),((база!$M$5*2*Таблица1[[#This Row],[Столбец1]]*Таблица1[[#This Row],[коэф]])),
IF((G73="3/24"),((база!$M$4*2*Таблица1[[#This Row],[Столбец1]]*Таблица1[[#This Row],[коэф]])),
IF((G73="5/16"),((база!$L$6*2*Таблица1[[#This Row],[Столбец1]]*Таблица1[[#This Row],[коэф]])),
IF((G73="4/16"),((база!$L$5*2*Таблица1[[#This Row],[Столбец1]]*Таблица1[[#This Row],[коэф]])),
IF((G73="3/16"),((база!$L$4*2*Таблица1[[#This Row],[Столбец1]]*Таблица1[[#This Row],[коэф]])),
IF((G73="4/4"),((база!$I$5*2*Таблица1[[#This Row],[Столбец1]]*Таблица1[[#This Row],[коэф]])),
IF(OR(G73="2/4",G73="3/4"),((база!$I$4*2*Таблица1[[#This Row],[Столбец1]]*Таблица1[[#This Row],[коэф]])),
IF((G73="5/8"),((база!$J$6*2*Таблица1[[#This Row],[Столбец1]]*Таблица1[[#This Row],[коэф]])),
IF((G73="4/8"),((база!$J$5*2*Таблица1[[#This Row],[Столбец1]]*Таблица1[[#This Row],[коэф]])),
IF(OR(G73="3/8",G73="2/8"),((база!$J$4*2*Таблица1[[#This Row],[Столбец1]]*Таблица1[[#This Row],[коэф]])))))))))))))),
(IF((G73="5/24"),((база!$M$6*2*Таблица1[[#This Row],[Столбец1]]*Таблица1[[#This Row],[коэф]])),
IF(OR(G73="4/24",G73="3/24"),((база!$M$5*2*Таблица1[[#This Row],[Столбец1]]*Таблица1[[#This Row],[коэф]])),
IF((G73="5/16"),((база!$L$6*2*Таблица1[[#This Row],[Столбец1]]*Таблица1[[#This Row],[коэф]])),
IF(OR(G73="4/16",G73="3/16"),((база!$L$5*2*Таблица1[[#This Row],[Столбец1]]*Таблица1[[#This Row],[коэф]])),
IF(OR(G73="2/4",G73="3/4",G73="4/4"),((база!$I$5*2*Таблица1[[#This Row],[Столбец1]]*Таблица1[[#This Row],[коэф]])),
IF((G73="5/8"),((база!$J$6*2*Таблица1[[#This Row],[Столбец1]]*Таблица1[[#This Row],[коэф]])),
IF(OR(G73="4/8",G73="3/8",G73="2/8"),((база!$J$5*2*Таблица1[[#This Row],[Столбец1]]*Таблица1[[#This Row],[коэф]])))))))))))</f>
        <v>0</v>
      </c>
      <c r="AQ73" s="697" t="str">
        <f>IFERROR(INDEX(база!T:T, MATCH(F73,база!Q:Q,0)),"")</f>
        <v/>
      </c>
      <c r="AR73" s="207">
        <f>IFERROR(INDEX(база!D:D, MATCH(F73,база!B:B,0)),"")</f>
        <v>0</v>
      </c>
    </row>
    <row r="74" spans="1:44" ht="15">
      <c r="A74" s="66" t="str">
        <f t="shared" si="1"/>
        <v>декабрь</v>
      </c>
      <c r="B74" s="230">
        <v>2023</v>
      </c>
      <c r="C74" s="60"/>
      <c r="D74" s="61"/>
      <c r="E74" s="210"/>
      <c r="F74" s="669"/>
      <c r="G74" s="47"/>
      <c r="H74" s="212"/>
      <c r="I74" s="48"/>
      <c r="J74" s="48"/>
      <c r="K74" s="48"/>
      <c r="L74" s="48"/>
      <c r="M74" s="48"/>
      <c r="N74" s="49"/>
      <c r="O74" s="49"/>
      <c r="P74" s="49"/>
      <c r="Q74" s="49"/>
      <c r="R74" s="48"/>
      <c r="S74" s="48"/>
      <c r="T74" s="48"/>
      <c r="U74" s="48"/>
      <c r="V74" s="48"/>
      <c r="W74" s="48"/>
      <c r="X74" s="48"/>
      <c r="Y74" s="48"/>
      <c r="Z74" s="48"/>
      <c r="AA74" s="48"/>
      <c r="AB74" s="48"/>
      <c r="AC74" s="48"/>
      <c r="AD74" s="48"/>
      <c r="AE74" s="48"/>
      <c r="AF74" s="51"/>
      <c r="AG74" s="51"/>
      <c r="AH74" s="51"/>
      <c r="AI74" s="51"/>
      <c r="AJ74" s="51"/>
      <c r="AK74" s="51"/>
      <c r="AL74" s="51"/>
      <c r="AM74" s="211">
        <f>IF(AQ74=1,SUM(H74:I74,L74:O74,R74:U74,X74:AA74,AD74:AG74,AI74:AK74),
IF(AQ74=2,SUM(H74:K74,N74:Q74,T74:W74,Z74:AC74,AF74:AI74),
IF(AQ74=3,SUM(J74:M74,P74:S74,V74:Y74,AB74:AE74,AH74:AK74),SUM(Таблица1[[#This Row],[1]:[31]])-Таблица1[[#This Row],[Столбец1]])))</f>
        <v>0</v>
      </c>
      <c r="AN74" s="290">
        <f t="array" ref="AN74">IF(AQ74=1,SUM(J74:K74,P74:Q74,V74:W74,AB74:AC74,AH74:AI74),
IF(AQ74=2,SUM(L74:M74,R74:S74,X74:Y74,AD74:AE74),
IF(AQ74=3,SUM(H74:I74,N74:O74,T74:U74,Z74:AA74,AF74:AG74),
SUM(IFERROR(WEEKDAY($H$2:$AL$2,2)&gt;5,)*H74:AL74))))</f>
        <v>0</v>
      </c>
      <c r="AO74" s="292" t="b">
        <f>IF(AR74&lt;=3,(IF((G74="5/24"),((база!$M$6*Таблица1[[#This Row],[сумма]]*Таблица1[[#This Row],[коэф]])),
IF((G74="4/24"),((база!$M$5*Таблица1[[#This Row],[сумма]]*Таблица1[[#This Row],[коэф]])),
IF((G74="3/24"),((база!$M$4*Таблица1[[#This Row],[сумма]]*Таблица1[[#This Row],[коэф]])),
IF((G74="5/16"),((база!$L$6*Таблица1[[#This Row],[сумма]]*Таблица1[[#This Row],[коэф]])),
IF((G74="4/16"),((база!$L$5*Таблица1[[#This Row],[сумма]]*Таблица1[[#This Row],[коэф]])),
IF((G74="3/16"),((база!$L$4*Таблица1[[#This Row],[сумма]]*Таблица1[[#This Row],[коэф]])),
IF((G74="4/4"),((база!$I$5*Таблица1[[#This Row],[сумма]]*Таблица1[[#This Row],[коэф]])),
IF(OR(G74="2/4",G74="3/4"),((база!$I$4*Таблица1[[#This Row],[сумма]]*Таблица1[[#This Row],[коэф]])),
IF((G74="5/8"),((база!$J$6*Таблица1[[#This Row],[сумма]]*Таблица1[[#This Row],[коэф]])),
IF((G74="4/8"),((база!$J$5*Таблица1[[#This Row],[сумма]]*Таблица1[[#This Row],[коэф]])),
IF(OR(G74="3/8",G74="2/8"),((база!$J$4*Таблица1[[#This Row],[сумма]]*Таблица1[[#This Row],[коэф]])))))))))))))),
(IF((G74="5/24"),((база!$M$6*Таблица1[[#This Row],[сумма]]*Таблица1[[#This Row],[коэф]])),
IF(OR(G74="4/24",G74="3/24"),((база!$M$5*Таблица1[[#This Row],[сумма]]*Таблица1[[#This Row],[коэф]])),
IF((G74="5/16"),((база!$L$6*Таблица1[[#This Row],[сумма]]*Таблица1[[#This Row],[коэф]])),
IF(OR(G74="4/16",G74="3/16"),((база!$L$5*Таблица1[[#This Row],[сумма]]*Таблица1[[#This Row],[коэф]])),
IF(OR(G74="2/4",G74="3/4",G74="4/4"),((база!$I$5*Таблица1[[#This Row],[сумма]]*Таблица1[[#This Row],[коэф]])),
IF((G74="5/8"),((база!$J$6*Таблица1[[#This Row],[сумма]]*Таблица1[[#This Row],[коэф]])),
IF(OR(G74="4/8",G74="3/8",G74="2/8"),((база!$J$5*Таблица1[[#This Row],[сумма]]*Таблица1[[#This Row],[коэф]])))))))))))</f>
        <v>0</v>
      </c>
      <c r="AP74" s="715" t="b">
        <f>IF(AR74&lt;=3,(IF((G74="5/24"),((база!$M$6*2*Таблица1[[#This Row],[Столбец1]]*Таблица1[[#This Row],[коэф]])),
IF((G74="4/24"),((база!$M$5*2*Таблица1[[#This Row],[Столбец1]]*Таблица1[[#This Row],[коэф]])),
IF((G74="3/24"),((база!$M$4*2*Таблица1[[#This Row],[Столбец1]]*Таблица1[[#This Row],[коэф]])),
IF((G74="5/16"),((база!$L$6*2*Таблица1[[#This Row],[Столбец1]]*Таблица1[[#This Row],[коэф]])),
IF((G74="4/16"),((база!$L$5*2*Таблица1[[#This Row],[Столбец1]]*Таблица1[[#This Row],[коэф]])),
IF((G74="3/16"),((база!$L$4*2*Таблица1[[#This Row],[Столбец1]]*Таблица1[[#This Row],[коэф]])),
IF((G74="4/4"),((база!$I$5*2*Таблица1[[#This Row],[Столбец1]]*Таблица1[[#This Row],[коэф]])),
IF(OR(G74="2/4",G74="3/4"),((база!$I$4*2*Таблица1[[#This Row],[Столбец1]]*Таблица1[[#This Row],[коэф]])),
IF((G74="5/8"),((база!$J$6*2*Таблица1[[#This Row],[Столбец1]]*Таблица1[[#This Row],[коэф]])),
IF((G74="4/8"),((база!$J$5*2*Таблица1[[#This Row],[Столбец1]]*Таблица1[[#This Row],[коэф]])),
IF(OR(G74="3/8",G74="2/8"),((база!$J$4*2*Таблица1[[#This Row],[Столбец1]]*Таблица1[[#This Row],[коэф]])))))))))))))),
(IF((G74="5/24"),((база!$M$6*2*Таблица1[[#This Row],[Столбец1]]*Таблица1[[#This Row],[коэф]])),
IF(OR(G74="4/24",G74="3/24"),((база!$M$5*2*Таблица1[[#This Row],[Столбец1]]*Таблица1[[#This Row],[коэф]])),
IF((G74="5/16"),((база!$L$6*2*Таблица1[[#This Row],[Столбец1]]*Таблица1[[#This Row],[коэф]])),
IF(OR(G74="4/16",G74="3/16"),((база!$L$5*2*Таблица1[[#This Row],[Столбец1]]*Таблица1[[#This Row],[коэф]])),
IF(OR(G74="2/4",G74="3/4",G74="4/4"),((база!$I$5*2*Таблица1[[#This Row],[Столбец1]]*Таблица1[[#This Row],[коэф]])),
IF((G74="5/8"),((база!$J$6*2*Таблица1[[#This Row],[Столбец1]]*Таблица1[[#This Row],[коэф]])),
IF(OR(G74="4/8",G74="3/8",G74="2/8"),((база!$J$5*2*Таблица1[[#This Row],[Столбец1]]*Таблица1[[#This Row],[коэф]])))))))))))</f>
        <v>0</v>
      </c>
      <c r="AQ74" s="697" t="str">
        <f>IFERROR(INDEX(база!T:T, MATCH(F74,база!Q:Q,0)),"")</f>
        <v/>
      </c>
      <c r="AR74" s="207">
        <f>IFERROR(INDEX(база!D:D, MATCH(F74,база!B:B,0)),"")</f>
        <v>0</v>
      </c>
    </row>
    <row r="75" spans="1:44" ht="15">
      <c r="A75" s="66" t="str">
        <f t="shared" si="1"/>
        <v>декабрь</v>
      </c>
      <c r="B75" s="230">
        <v>2023</v>
      </c>
      <c r="C75" s="60"/>
      <c r="D75" s="61"/>
      <c r="E75" s="210"/>
      <c r="F75" s="669"/>
      <c r="G75" s="47"/>
      <c r="H75" s="212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  <c r="AA75" s="48"/>
      <c r="AB75" s="48"/>
      <c r="AC75" s="48"/>
      <c r="AD75" s="48"/>
      <c r="AE75" s="48"/>
      <c r="AF75" s="51"/>
      <c r="AG75" s="51"/>
      <c r="AH75" s="51"/>
      <c r="AI75" s="51"/>
      <c r="AJ75" s="51"/>
      <c r="AK75" s="51"/>
      <c r="AL75" s="51"/>
      <c r="AM75" s="211">
        <f>IF(AQ75=1,SUM(H75:I75,L75:O75,R75:U75,X75:AA75,AD75:AG75,AI75:AK75),
IF(AQ75=2,SUM(H75:K75,N75:Q75,T75:W75,Z75:AC75,AF75:AI75),
IF(AQ75=3,SUM(J75:M75,P75:S75,V75:Y75,AB75:AE75,AH75:AK75),SUM(Таблица1[[#This Row],[1]:[31]])-Таблица1[[#This Row],[Столбец1]])))</f>
        <v>0</v>
      </c>
      <c r="AN75" s="290">
        <f t="array" ref="AN75">IF(AQ75=1,SUM(J75:K75,P75:Q75,V75:W75,AB75:AC75,AH75:AI75),
IF(AQ75=2,SUM(L75:M75,R75:S75,X75:Y75,AD75:AE75),
IF(AQ75=3,SUM(H75:I75,N75:O75,T75:U75,Z75:AA75,AF75:AG75),
SUM(IFERROR(WEEKDAY($H$2:$AL$2,2)&gt;5,)*H75:AL75))))</f>
        <v>0</v>
      </c>
      <c r="AO75" s="292" t="b">
        <f>IF(AR75&lt;=3,(IF((G75="5/24"),((база!$M$6*Таблица1[[#This Row],[сумма]]*Таблица1[[#This Row],[коэф]])),
IF((G75="4/24"),((база!$M$5*Таблица1[[#This Row],[сумма]]*Таблица1[[#This Row],[коэф]])),
IF((G75="3/24"),((база!$M$4*Таблица1[[#This Row],[сумма]]*Таблица1[[#This Row],[коэф]])),
IF((G75="5/16"),((база!$L$6*Таблица1[[#This Row],[сумма]]*Таблица1[[#This Row],[коэф]])),
IF((G75="4/16"),((база!$L$5*Таблица1[[#This Row],[сумма]]*Таблица1[[#This Row],[коэф]])),
IF((G75="3/16"),((база!$L$4*Таблица1[[#This Row],[сумма]]*Таблица1[[#This Row],[коэф]])),
IF((G75="4/4"),((база!$I$5*Таблица1[[#This Row],[сумма]]*Таблица1[[#This Row],[коэф]])),
IF(OR(G75="2/4",G75="3/4"),((база!$I$4*Таблица1[[#This Row],[сумма]]*Таблица1[[#This Row],[коэф]])),
IF((G75="5/8"),((база!$J$6*Таблица1[[#This Row],[сумма]]*Таблица1[[#This Row],[коэф]])),
IF((G75="4/8"),((база!$J$5*Таблица1[[#This Row],[сумма]]*Таблица1[[#This Row],[коэф]])),
IF(OR(G75="3/8",G75="2/8"),((база!$J$4*Таблица1[[#This Row],[сумма]]*Таблица1[[#This Row],[коэф]])))))))))))))),
(IF((G75="5/24"),((база!$M$6*Таблица1[[#This Row],[сумма]]*Таблица1[[#This Row],[коэф]])),
IF(OR(G75="4/24",G75="3/24"),((база!$M$5*Таблица1[[#This Row],[сумма]]*Таблица1[[#This Row],[коэф]])),
IF((G75="5/16"),((база!$L$6*Таблица1[[#This Row],[сумма]]*Таблица1[[#This Row],[коэф]])),
IF(OR(G75="4/16",G75="3/16"),((база!$L$5*Таблица1[[#This Row],[сумма]]*Таблица1[[#This Row],[коэф]])),
IF(OR(G75="2/4",G75="3/4",G75="4/4"),((база!$I$5*Таблица1[[#This Row],[сумма]]*Таблица1[[#This Row],[коэф]])),
IF((G75="5/8"),((база!$J$6*Таблица1[[#This Row],[сумма]]*Таблица1[[#This Row],[коэф]])),
IF(OR(G75="4/8",G75="3/8",G75="2/8"),((база!$J$5*Таблица1[[#This Row],[сумма]]*Таблица1[[#This Row],[коэф]])))))))))))</f>
        <v>0</v>
      </c>
      <c r="AP75" s="715" t="b">
        <f>IF(AR75&lt;=3,(IF((G75="5/24"),((база!$M$6*2*Таблица1[[#This Row],[Столбец1]]*Таблица1[[#This Row],[коэф]])),
IF((G75="4/24"),((база!$M$5*2*Таблица1[[#This Row],[Столбец1]]*Таблица1[[#This Row],[коэф]])),
IF((G75="3/24"),((база!$M$4*2*Таблица1[[#This Row],[Столбец1]]*Таблица1[[#This Row],[коэф]])),
IF((G75="5/16"),((база!$L$6*2*Таблица1[[#This Row],[Столбец1]]*Таблица1[[#This Row],[коэф]])),
IF((G75="4/16"),((база!$L$5*2*Таблица1[[#This Row],[Столбец1]]*Таблица1[[#This Row],[коэф]])),
IF((G75="3/16"),((база!$L$4*2*Таблица1[[#This Row],[Столбец1]]*Таблица1[[#This Row],[коэф]])),
IF((G75="4/4"),((база!$I$5*2*Таблица1[[#This Row],[Столбец1]]*Таблица1[[#This Row],[коэф]])),
IF(OR(G75="2/4",G75="3/4"),((база!$I$4*2*Таблица1[[#This Row],[Столбец1]]*Таблица1[[#This Row],[коэф]])),
IF((G75="5/8"),((база!$J$6*2*Таблица1[[#This Row],[Столбец1]]*Таблица1[[#This Row],[коэф]])),
IF((G75="4/8"),((база!$J$5*2*Таблица1[[#This Row],[Столбец1]]*Таблица1[[#This Row],[коэф]])),
IF(OR(G75="3/8",G75="2/8"),((база!$J$4*2*Таблица1[[#This Row],[Столбец1]]*Таблица1[[#This Row],[коэф]])))))))))))))),
(IF((G75="5/24"),((база!$M$6*2*Таблица1[[#This Row],[Столбец1]]*Таблица1[[#This Row],[коэф]])),
IF(OR(G75="4/24",G75="3/24"),((база!$M$5*2*Таблица1[[#This Row],[Столбец1]]*Таблица1[[#This Row],[коэф]])),
IF((G75="5/16"),((база!$L$6*2*Таблица1[[#This Row],[Столбец1]]*Таблица1[[#This Row],[коэф]])),
IF(OR(G75="4/16",G75="3/16"),((база!$L$5*2*Таблица1[[#This Row],[Столбец1]]*Таблица1[[#This Row],[коэф]])),
IF(OR(G75="2/4",G75="3/4",G75="4/4"),((база!$I$5*2*Таблица1[[#This Row],[Столбец1]]*Таблица1[[#This Row],[коэф]])),
IF((G75="5/8"),((база!$J$6*2*Таблица1[[#This Row],[Столбец1]]*Таблица1[[#This Row],[коэф]])),
IF(OR(G75="4/8",G75="3/8",G75="2/8"),((база!$J$5*2*Таблица1[[#This Row],[Столбец1]]*Таблица1[[#This Row],[коэф]])))))))))))</f>
        <v>0</v>
      </c>
      <c r="AQ75" s="697" t="str">
        <f>IFERROR(INDEX(база!T:T, MATCH(F75,база!Q:Q,0)),"")</f>
        <v/>
      </c>
      <c r="AR75" s="207">
        <f>IFERROR(INDEX(база!D:D, MATCH(F75,база!B:B,0)),"")</f>
        <v>0</v>
      </c>
    </row>
    <row r="76" spans="1:44" ht="15">
      <c r="A76" s="66" t="str">
        <f>A75</f>
        <v>декабрь</v>
      </c>
      <c r="B76" s="230">
        <v>2023</v>
      </c>
      <c r="C76" s="60"/>
      <c r="D76" s="61"/>
      <c r="E76" s="210"/>
      <c r="F76" s="669"/>
      <c r="G76" s="47"/>
      <c r="H76" s="212"/>
      <c r="I76" s="48"/>
      <c r="J76" s="48"/>
      <c r="K76" s="48"/>
      <c r="L76" s="48"/>
      <c r="M76" s="48"/>
      <c r="N76" s="49"/>
      <c r="O76" s="49"/>
      <c r="P76" s="49"/>
      <c r="Q76" s="48"/>
      <c r="R76" s="48"/>
      <c r="S76" s="48"/>
      <c r="T76" s="48"/>
      <c r="U76" s="48"/>
      <c r="V76" s="48"/>
      <c r="W76" s="48"/>
      <c r="X76" s="48"/>
      <c r="Y76" s="48"/>
      <c r="Z76" s="48"/>
      <c r="AA76" s="48"/>
      <c r="AB76" s="48"/>
      <c r="AC76" s="48"/>
      <c r="AD76" s="48"/>
      <c r="AE76" s="48"/>
      <c r="AF76" s="51"/>
      <c r="AG76" s="51"/>
      <c r="AH76" s="48"/>
      <c r="AI76" s="48"/>
      <c r="AJ76" s="48"/>
      <c r="AK76" s="48"/>
      <c r="AL76" s="51"/>
      <c r="AM76" s="211">
        <f>IF(AQ76=1,SUM(H76:I76,L76:O76,R76:U76,X76:AA76,AD76:AG76,AI76:AK76),
IF(AQ76=2,SUM(H76:K76,N76:Q76,T76:W76,Z76:AC76,AF76:AI76),
IF(AQ76=3,SUM(J76:M76,P76:S76,V76:Y76,AB76:AE76,AH76:AK76),SUM(Таблица1[[#This Row],[1]:[31]])-Таблица1[[#This Row],[Столбец1]])))</f>
        <v>0</v>
      </c>
      <c r="AN76" s="290">
        <f t="array" ref="AN76">IF(AQ76=1,SUM(J76:K76,P76:Q76,V76:W76,AB76:AC76,AH76:AI76),
IF(AQ76=2,SUM(L76:M76,R76:S76,X76:Y76,AD76:AE76),
IF(AQ76=3,SUM(H76:I76,N76:O76,T76:U76,Z76:AA76,AF76:AG76),
SUM(IFERROR(WEEKDAY($H$2:$AL$2,2)&gt;5,)*H76:AL76))))</f>
        <v>0</v>
      </c>
      <c r="AO76" s="292" t="b">
        <f>IF(AR76&lt;=3,(IF((G76="5/24"),((база!$M$6*Таблица1[[#This Row],[сумма]]*Таблица1[[#This Row],[коэф]])),
IF((G76="4/24"),((база!$M$5*Таблица1[[#This Row],[сумма]]*Таблица1[[#This Row],[коэф]])),
IF((G76="3/24"),((база!$M$4*Таблица1[[#This Row],[сумма]]*Таблица1[[#This Row],[коэф]])),
IF((G76="5/16"),((база!$L$6*Таблица1[[#This Row],[сумма]]*Таблица1[[#This Row],[коэф]])),
IF((G76="4/16"),((база!$L$5*Таблица1[[#This Row],[сумма]]*Таблица1[[#This Row],[коэф]])),
IF((G76="3/16"),((база!$L$4*Таблица1[[#This Row],[сумма]]*Таблица1[[#This Row],[коэф]])),
IF((G76="4/4"),((база!$I$5*Таблица1[[#This Row],[сумма]]*Таблица1[[#This Row],[коэф]])),
IF(OR(G76="2/4",G76="3/4"),((база!$I$4*Таблица1[[#This Row],[сумма]]*Таблица1[[#This Row],[коэф]])),
IF((G76="5/8"),((база!$J$6*Таблица1[[#This Row],[сумма]]*Таблица1[[#This Row],[коэф]])),
IF((G76="4/8"),((база!$J$5*Таблица1[[#This Row],[сумма]]*Таблица1[[#This Row],[коэф]])),
IF(OR(G76="3/8",G76="2/8"),((база!$J$4*Таблица1[[#This Row],[сумма]]*Таблица1[[#This Row],[коэф]])))))))))))))),
(IF((G76="5/24"),((база!$M$6*Таблица1[[#This Row],[сумма]]*Таблица1[[#This Row],[коэф]])),
IF(OR(G76="4/24",G76="3/24"),((база!$M$5*Таблица1[[#This Row],[сумма]]*Таблица1[[#This Row],[коэф]])),
IF((G76="5/16"),((база!$L$6*Таблица1[[#This Row],[сумма]]*Таблица1[[#This Row],[коэф]])),
IF(OR(G76="4/16",G76="3/16"),((база!$L$5*Таблица1[[#This Row],[сумма]]*Таблица1[[#This Row],[коэф]])),
IF(OR(G76="2/4",G76="3/4",G76="4/4"),((база!$I$5*Таблица1[[#This Row],[сумма]]*Таблица1[[#This Row],[коэф]])),
IF((G76="5/8"),((база!$J$6*Таблица1[[#This Row],[сумма]]*Таблица1[[#This Row],[коэф]])),
IF(OR(G76="4/8",G76="3/8",G76="2/8"),((база!$J$5*Таблица1[[#This Row],[сумма]]*Таблица1[[#This Row],[коэф]])))))))))))</f>
        <v>0</v>
      </c>
      <c r="AP76" s="715" t="b">
        <f>IF(AR76&lt;=3,(IF((G76="5/24"),((база!$M$6*2*Таблица1[[#This Row],[Столбец1]]*Таблица1[[#This Row],[коэф]])),
IF((G76="4/24"),((база!$M$5*2*Таблица1[[#This Row],[Столбец1]]*Таблица1[[#This Row],[коэф]])),
IF((G76="3/24"),((база!$M$4*2*Таблица1[[#This Row],[Столбец1]]*Таблица1[[#This Row],[коэф]])),
IF((G76="5/16"),((база!$L$6*2*Таблица1[[#This Row],[Столбец1]]*Таблица1[[#This Row],[коэф]])),
IF((G76="4/16"),((база!$L$5*2*Таблица1[[#This Row],[Столбец1]]*Таблица1[[#This Row],[коэф]])),
IF((G76="3/16"),((база!$L$4*2*Таблица1[[#This Row],[Столбец1]]*Таблица1[[#This Row],[коэф]])),
IF((G76="4/4"),((база!$I$5*2*Таблица1[[#This Row],[Столбец1]]*Таблица1[[#This Row],[коэф]])),
IF(OR(G76="2/4",G76="3/4"),((база!$I$4*2*Таблица1[[#This Row],[Столбец1]]*Таблица1[[#This Row],[коэф]])),
IF((G76="5/8"),((база!$J$6*2*Таблица1[[#This Row],[Столбец1]]*Таблица1[[#This Row],[коэф]])),
IF((G76="4/8"),((база!$J$5*2*Таблица1[[#This Row],[Столбец1]]*Таблица1[[#This Row],[коэф]])),
IF(OR(G76="3/8",G76="2/8"),((база!$J$4*2*Таблица1[[#This Row],[Столбец1]]*Таблица1[[#This Row],[коэф]])))))))))))))),
(IF((G76="5/24"),((база!$M$6*2*Таблица1[[#This Row],[Столбец1]]*Таблица1[[#This Row],[коэф]])),
IF(OR(G76="4/24",G76="3/24"),((база!$M$5*2*Таблица1[[#This Row],[Столбец1]]*Таблица1[[#This Row],[коэф]])),
IF((G76="5/16"),((база!$L$6*2*Таблица1[[#This Row],[Столбец1]]*Таблица1[[#This Row],[коэф]])),
IF(OR(G76="4/16",G76="3/16"),((база!$L$5*2*Таблица1[[#This Row],[Столбец1]]*Таблица1[[#This Row],[коэф]])),
IF(OR(G76="2/4",G76="3/4",G76="4/4"),((база!$I$5*2*Таблица1[[#This Row],[Столбец1]]*Таблица1[[#This Row],[коэф]])),
IF((G76="5/8"),((база!$J$6*2*Таблица1[[#This Row],[Столбец1]]*Таблица1[[#This Row],[коэф]])),
IF(OR(G76="4/8",G76="3/8",G76="2/8"),((база!$J$5*2*Таблица1[[#This Row],[Столбец1]]*Таблица1[[#This Row],[коэф]])))))))))))</f>
        <v>0</v>
      </c>
      <c r="AQ76" s="697" t="str">
        <f>IFERROR(INDEX(база!T:T, MATCH(F76,база!Q:Q,0)),"")</f>
        <v/>
      </c>
      <c r="AR76" s="207">
        <f>IFERROR(INDEX(база!D:D, MATCH(F76,база!B:B,0)),"")</f>
        <v>0</v>
      </c>
    </row>
    <row r="77" spans="1:44" ht="15">
      <c r="A77" s="66" t="str">
        <f t="shared" si="1"/>
        <v>декабрь</v>
      </c>
      <c r="B77" s="230">
        <v>2023</v>
      </c>
      <c r="C77" s="60"/>
      <c r="D77" s="61"/>
      <c r="E77" s="210"/>
      <c r="F77" s="669"/>
      <c r="G77" s="47"/>
      <c r="H77" s="212"/>
      <c r="I77" s="48"/>
      <c r="J77" s="48"/>
      <c r="K77" s="48"/>
      <c r="L77" s="48"/>
      <c r="M77" s="48"/>
      <c r="N77" s="49"/>
      <c r="O77" s="49"/>
      <c r="P77" s="49"/>
      <c r="Q77" s="49"/>
      <c r="R77" s="48"/>
      <c r="S77" s="48"/>
      <c r="T77" s="48"/>
      <c r="U77" s="48"/>
      <c r="V77" s="48"/>
      <c r="W77" s="48"/>
      <c r="X77" s="48"/>
      <c r="Y77" s="48"/>
      <c r="Z77" s="48"/>
      <c r="AA77" s="48"/>
      <c r="AB77" s="48"/>
      <c r="AC77" s="48"/>
      <c r="AD77" s="48"/>
      <c r="AE77" s="48"/>
      <c r="AF77" s="51"/>
      <c r="AG77" s="51"/>
      <c r="AH77" s="48"/>
      <c r="AI77" s="48"/>
      <c r="AJ77" s="48"/>
      <c r="AK77" s="48"/>
      <c r="AL77" s="51"/>
      <c r="AM77" s="211">
        <f>IF(AQ77=1,SUM(H77:I77,L77:O77,R77:U77,X77:AA77,AD77:AG77,AI77:AK77),
IF(AQ77=2,SUM(H77:K77,N77:Q77,T77:W77,Z77:AC77,AF77:AI77),
IF(AQ77=3,SUM(J77:M77,P77:S77,V77:Y77,AB77:AE77,AH77:AK77),SUM(Таблица1[[#This Row],[1]:[31]])-Таблица1[[#This Row],[Столбец1]])))</f>
        <v>0</v>
      </c>
      <c r="AN77" s="290">
        <f t="array" ref="AN77">IF(AQ77=1,SUM(J77:K77,P77:Q77,V77:W77,AB77:AC77,AH77:AI77),
IF(AQ77=2,SUM(L77:M77,R77:S77,X77:Y77,AD77:AE77),
IF(AQ77=3,SUM(H77:I77,N77:O77,T77:U77,Z77:AA77,AF77:AG77),
SUM(IFERROR(WEEKDAY($H$2:$AL$2,2)&gt;5,)*H77:AL77))))</f>
        <v>0</v>
      </c>
      <c r="AO77" s="292" t="b">
        <f>IF(AR77&lt;=3,(IF((G77="5/24"),((база!$M$6*Таблица1[[#This Row],[сумма]]*Таблица1[[#This Row],[коэф]])),
IF((G77="4/24"),((база!$M$5*Таблица1[[#This Row],[сумма]]*Таблица1[[#This Row],[коэф]])),
IF((G77="3/24"),((база!$M$4*Таблица1[[#This Row],[сумма]]*Таблица1[[#This Row],[коэф]])),
IF((G77="5/16"),((база!$L$6*Таблица1[[#This Row],[сумма]]*Таблица1[[#This Row],[коэф]])),
IF((G77="4/16"),((база!$L$5*Таблица1[[#This Row],[сумма]]*Таблица1[[#This Row],[коэф]])),
IF((G77="3/16"),((база!$L$4*Таблица1[[#This Row],[сумма]]*Таблица1[[#This Row],[коэф]])),
IF((G77="4/4"),((база!$I$5*Таблица1[[#This Row],[сумма]]*Таблица1[[#This Row],[коэф]])),
IF(OR(G77="2/4",G77="3/4"),((база!$I$4*Таблица1[[#This Row],[сумма]]*Таблица1[[#This Row],[коэф]])),
IF((G77="5/8"),((база!$J$6*Таблица1[[#This Row],[сумма]]*Таблица1[[#This Row],[коэф]])),
IF((G77="4/8"),((база!$J$5*Таблица1[[#This Row],[сумма]]*Таблица1[[#This Row],[коэф]])),
IF(OR(G77="3/8",G77="2/8"),((база!$J$4*Таблица1[[#This Row],[сумма]]*Таблица1[[#This Row],[коэф]])))))))))))))),
(IF((G77="5/24"),((база!$M$6*Таблица1[[#This Row],[сумма]]*Таблица1[[#This Row],[коэф]])),
IF(OR(G77="4/24",G77="3/24"),((база!$M$5*Таблица1[[#This Row],[сумма]]*Таблица1[[#This Row],[коэф]])),
IF((G77="5/16"),((база!$L$6*Таблица1[[#This Row],[сумма]]*Таблица1[[#This Row],[коэф]])),
IF(OR(G77="4/16",G77="3/16"),((база!$L$5*Таблица1[[#This Row],[сумма]]*Таблица1[[#This Row],[коэф]])),
IF(OR(G77="2/4",G77="3/4",G77="4/4"),((база!$I$5*Таблица1[[#This Row],[сумма]]*Таблица1[[#This Row],[коэф]])),
IF((G77="5/8"),((база!$J$6*Таблица1[[#This Row],[сумма]]*Таблица1[[#This Row],[коэф]])),
IF(OR(G77="4/8",G77="3/8",G77="2/8"),((база!$J$5*Таблица1[[#This Row],[сумма]]*Таблица1[[#This Row],[коэф]])))))))))))</f>
        <v>0</v>
      </c>
      <c r="AP77" s="715" t="b">
        <f>IF(AR77&lt;=3,(IF((G77="5/24"),((база!$M$6*2*Таблица1[[#This Row],[Столбец1]]*Таблица1[[#This Row],[коэф]])),
IF((G77="4/24"),((база!$M$5*2*Таблица1[[#This Row],[Столбец1]]*Таблица1[[#This Row],[коэф]])),
IF((G77="3/24"),((база!$M$4*2*Таблица1[[#This Row],[Столбец1]]*Таблица1[[#This Row],[коэф]])),
IF((G77="5/16"),((база!$L$6*2*Таблица1[[#This Row],[Столбец1]]*Таблица1[[#This Row],[коэф]])),
IF((G77="4/16"),((база!$L$5*2*Таблица1[[#This Row],[Столбец1]]*Таблица1[[#This Row],[коэф]])),
IF((G77="3/16"),((база!$L$4*2*Таблица1[[#This Row],[Столбец1]]*Таблица1[[#This Row],[коэф]])),
IF((G77="4/4"),((база!$I$5*2*Таблица1[[#This Row],[Столбец1]]*Таблица1[[#This Row],[коэф]])),
IF(OR(G77="2/4",G77="3/4"),((база!$I$4*2*Таблица1[[#This Row],[Столбец1]]*Таблица1[[#This Row],[коэф]])),
IF((G77="5/8"),((база!$J$6*2*Таблица1[[#This Row],[Столбец1]]*Таблица1[[#This Row],[коэф]])),
IF((G77="4/8"),((база!$J$5*2*Таблица1[[#This Row],[Столбец1]]*Таблица1[[#This Row],[коэф]])),
IF(OR(G77="3/8",G77="2/8"),((база!$J$4*2*Таблица1[[#This Row],[Столбец1]]*Таблица1[[#This Row],[коэф]])))))))))))))),
(IF((G77="5/24"),((база!$M$6*2*Таблица1[[#This Row],[Столбец1]]*Таблица1[[#This Row],[коэф]])),
IF(OR(G77="4/24",G77="3/24"),((база!$M$5*2*Таблица1[[#This Row],[Столбец1]]*Таблица1[[#This Row],[коэф]])),
IF((G77="5/16"),((база!$L$6*2*Таблица1[[#This Row],[Столбец1]]*Таблица1[[#This Row],[коэф]])),
IF(OR(G77="4/16",G77="3/16"),((база!$L$5*2*Таблица1[[#This Row],[Столбец1]]*Таблица1[[#This Row],[коэф]])),
IF(OR(G77="2/4",G77="3/4",G77="4/4"),((база!$I$5*2*Таблица1[[#This Row],[Столбец1]]*Таблица1[[#This Row],[коэф]])),
IF((G77="5/8"),((база!$J$6*2*Таблица1[[#This Row],[Столбец1]]*Таблица1[[#This Row],[коэф]])),
IF(OR(G77="4/8",G77="3/8",G77="2/8"),((база!$J$5*2*Таблица1[[#This Row],[Столбец1]]*Таблица1[[#This Row],[коэф]])))))))))))</f>
        <v>0</v>
      </c>
      <c r="AQ77" s="697" t="str">
        <f>IFERROR(INDEX(база!T:T, MATCH(F77,база!Q:Q,0)),"")</f>
        <v/>
      </c>
      <c r="AR77" s="207">
        <f>IFERROR(INDEX(база!D:D, MATCH(F77,база!B:B,0)),"")</f>
        <v>0</v>
      </c>
    </row>
    <row r="78" spans="1:44" ht="15">
      <c r="A78" s="66" t="str">
        <f t="shared" si="1"/>
        <v>декабрь</v>
      </c>
      <c r="B78" s="230">
        <v>2023</v>
      </c>
      <c r="C78" s="60"/>
      <c r="D78" s="61"/>
      <c r="E78" s="210"/>
      <c r="F78" s="669"/>
      <c r="G78" s="47"/>
      <c r="H78" s="212"/>
      <c r="I78" s="48"/>
      <c r="J78" s="48"/>
      <c r="K78" s="48"/>
      <c r="L78" s="48"/>
      <c r="M78" s="48"/>
      <c r="N78" s="49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  <c r="AA78" s="48"/>
      <c r="AB78" s="48"/>
      <c r="AC78" s="48"/>
      <c r="AD78" s="48"/>
      <c r="AE78" s="48"/>
      <c r="AF78" s="51"/>
      <c r="AG78" s="51"/>
      <c r="AH78" s="48"/>
      <c r="AI78" s="48"/>
      <c r="AJ78" s="48"/>
      <c r="AK78" s="48"/>
      <c r="AL78" s="51"/>
      <c r="AM78" s="211">
        <f>IF(AQ78=1,SUM(H78:I78,L78:O78,R78:U78,X78:AA78,AD78:AG78,AI78:AK78),
IF(AQ78=2,SUM(H78:K78,N78:Q78,T78:W78,Z78:AC78,AF78:AI78),
IF(AQ78=3,SUM(J78:M78,P78:S78,V78:Y78,AB78:AE78,AH78:AK78),SUM(Таблица1[[#This Row],[1]:[31]])-Таблица1[[#This Row],[Столбец1]])))</f>
        <v>0</v>
      </c>
      <c r="AN78" s="290">
        <f t="array" ref="AN78">IF(AQ78=1,SUM(J78:K78,P78:Q78,V78:W78,AB78:AC78,AH78:AI78),
IF(AQ78=2,SUM(L78:M78,R78:S78,X78:Y78,AD78:AE78),
IF(AQ78=3,SUM(H78:I78,N78:O78,T78:U78,Z78:AA78,AF78:AG78),
SUM(IFERROR(WEEKDAY($H$2:$AL$2,2)&gt;5,)*H78:AL78))))</f>
        <v>0</v>
      </c>
      <c r="AO78" s="292" t="b">
        <f>IF(AR78&lt;=3,(IF((G78="5/24"),((база!$M$6*Таблица1[[#This Row],[сумма]]*Таблица1[[#This Row],[коэф]])),
IF((G78="4/24"),((база!$M$5*Таблица1[[#This Row],[сумма]]*Таблица1[[#This Row],[коэф]])),
IF((G78="3/24"),((база!$M$4*Таблица1[[#This Row],[сумма]]*Таблица1[[#This Row],[коэф]])),
IF((G78="5/16"),((база!$L$6*Таблица1[[#This Row],[сумма]]*Таблица1[[#This Row],[коэф]])),
IF((G78="4/16"),((база!$L$5*Таблица1[[#This Row],[сумма]]*Таблица1[[#This Row],[коэф]])),
IF((G78="3/16"),((база!$L$4*Таблица1[[#This Row],[сумма]]*Таблица1[[#This Row],[коэф]])),
IF((G78="4/4"),((база!$I$5*Таблица1[[#This Row],[сумма]]*Таблица1[[#This Row],[коэф]])),
IF(OR(G78="2/4",G78="3/4"),((база!$I$4*Таблица1[[#This Row],[сумма]]*Таблица1[[#This Row],[коэф]])),
IF((G78="5/8"),((база!$J$6*Таблица1[[#This Row],[сумма]]*Таблица1[[#This Row],[коэф]])),
IF((G78="4/8"),((база!$J$5*Таблица1[[#This Row],[сумма]]*Таблица1[[#This Row],[коэф]])),
IF(OR(G78="3/8",G78="2/8"),((база!$J$4*Таблица1[[#This Row],[сумма]]*Таблица1[[#This Row],[коэф]])))))))))))))),
(IF((G78="5/24"),((база!$M$6*Таблица1[[#This Row],[сумма]]*Таблица1[[#This Row],[коэф]])),
IF(OR(G78="4/24",G78="3/24"),((база!$M$5*Таблица1[[#This Row],[сумма]]*Таблица1[[#This Row],[коэф]])),
IF((G78="5/16"),((база!$L$6*Таблица1[[#This Row],[сумма]]*Таблица1[[#This Row],[коэф]])),
IF(OR(G78="4/16",G78="3/16"),((база!$L$5*Таблица1[[#This Row],[сумма]]*Таблица1[[#This Row],[коэф]])),
IF(OR(G78="2/4",G78="3/4",G78="4/4"),((база!$I$5*Таблица1[[#This Row],[сумма]]*Таблица1[[#This Row],[коэф]])),
IF((G78="5/8"),((база!$J$6*Таблица1[[#This Row],[сумма]]*Таблица1[[#This Row],[коэф]])),
IF(OR(G78="4/8",G78="3/8",G78="2/8"),((база!$J$5*Таблица1[[#This Row],[сумма]]*Таблица1[[#This Row],[коэф]])))))))))))</f>
        <v>0</v>
      </c>
      <c r="AP78" s="715" t="b">
        <f>IF(AR78&lt;=3,(IF((G78="5/24"),((база!$M$6*2*Таблица1[[#This Row],[Столбец1]]*Таблица1[[#This Row],[коэф]])),
IF((G78="4/24"),((база!$M$5*2*Таблица1[[#This Row],[Столбец1]]*Таблица1[[#This Row],[коэф]])),
IF((G78="3/24"),((база!$M$4*2*Таблица1[[#This Row],[Столбец1]]*Таблица1[[#This Row],[коэф]])),
IF((G78="5/16"),((база!$L$6*2*Таблица1[[#This Row],[Столбец1]]*Таблица1[[#This Row],[коэф]])),
IF((G78="4/16"),((база!$L$5*2*Таблица1[[#This Row],[Столбец1]]*Таблица1[[#This Row],[коэф]])),
IF((G78="3/16"),((база!$L$4*2*Таблица1[[#This Row],[Столбец1]]*Таблица1[[#This Row],[коэф]])),
IF((G78="4/4"),((база!$I$5*2*Таблица1[[#This Row],[Столбец1]]*Таблица1[[#This Row],[коэф]])),
IF(OR(G78="2/4",G78="3/4"),((база!$I$4*2*Таблица1[[#This Row],[Столбец1]]*Таблица1[[#This Row],[коэф]])),
IF((G78="5/8"),((база!$J$6*2*Таблица1[[#This Row],[Столбец1]]*Таблица1[[#This Row],[коэф]])),
IF((G78="4/8"),((база!$J$5*2*Таблица1[[#This Row],[Столбец1]]*Таблица1[[#This Row],[коэф]])),
IF(OR(G78="3/8",G78="2/8"),((база!$J$4*2*Таблица1[[#This Row],[Столбец1]]*Таблица1[[#This Row],[коэф]])))))))))))))),
(IF((G78="5/24"),((база!$M$6*2*Таблица1[[#This Row],[Столбец1]]*Таблица1[[#This Row],[коэф]])),
IF(OR(G78="4/24",G78="3/24"),((база!$M$5*2*Таблица1[[#This Row],[Столбец1]]*Таблица1[[#This Row],[коэф]])),
IF((G78="5/16"),((база!$L$6*2*Таблица1[[#This Row],[Столбец1]]*Таблица1[[#This Row],[коэф]])),
IF(OR(G78="4/16",G78="3/16"),((база!$L$5*2*Таблица1[[#This Row],[Столбец1]]*Таблица1[[#This Row],[коэф]])),
IF(OR(G78="2/4",G78="3/4",G78="4/4"),((база!$I$5*2*Таблица1[[#This Row],[Столбец1]]*Таблица1[[#This Row],[коэф]])),
IF((G78="5/8"),((база!$J$6*2*Таблица1[[#This Row],[Столбец1]]*Таблица1[[#This Row],[коэф]])),
IF(OR(G78="4/8",G78="3/8",G78="2/8"),((база!$J$5*2*Таблица1[[#This Row],[Столбец1]]*Таблица1[[#This Row],[коэф]])))))))))))</f>
        <v>0</v>
      </c>
      <c r="AQ78" s="697" t="str">
        <f>IFERROR(INDEX(база!T:T, MATCH(F78,база!Q:Q,0)),"")</f>
        <v/>
      </c>
      <c r="AR78" s="207">
        <f>IFERROR(INDEX(база!D:D, MATCH(F78,база!B:B,0)),"")</f>
        <v>0</v>
      </c>
    </row>
    <row r="79" spans="1:44" ht="15">
      <c r="A79" s="66" t="str">
        <f t="shared" si="1"/>
        <v>декабрь</v>
      </c>
      <c r="B79" s="230">
        <v>2023</v>
      </c>
      <c r="C79" s="60"/>
      <c r="D79" s="61"/>
      <c r="E79" s="210"/>
      <c r="F79" s="669"/>
      <c r="G79" s="47"/>
      <c r="H79" s="212"/>
      <c r="I79" s="48"/>
      <c r="J79" s="48"/>
      <c r="K79" s="48"/>
      <c r="L79" s="48"/>
      <c r="M79" s="48"/>
      <c r="N79" s="49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  <c r="AA79" s="48"/>
      <c r="AB79" s="48"/>
      <c r="AC79" s="48"/>
      <c r="AD79" s="48"/>
      <c r="AE79" s="48"/>
      <c r="AF79" s="48"/>
      <c r="AG79" s="48"/>
      <c r="AH79" s="48"/>
      <c r="AI79" s="48"/>
      <c r="AJ79" s="48"/>
      <c r="AK79" s="51"/>
      <c r="AL79" s="51"/>
      <c r="AM79" s="211">
        <f>IF(AQ79=1,SUM(H79:I79,L79:O79,R79:U79,X79:AA79,AD79:AG79,AI79:AK79),
IF(AQ79=2,SUM(H79:K79,N79:Q79,T79:W79,Z79:AC79,AF79:AI79),
IF(AQ79=3,SUM(J79:M79,P79:S79,V79:Y79,AB79:AE79,AH79:AK79),SUM(Таблица1[[#This Row],[1]:[31]])-Таблица1[[#This Row],[Столбец1]])))</f>
        <v>0</v>
      </c>
      <c r="AN79" s="290">
        <f t="array" ref="AN79">IF(AQ79=1,SUM(J79:K79,P79:Q79,V79:W79,AB79:AC79,AH79:AI79),
IF(AQ79=2,SUM(L79:M79,R79:S79,X79:Y79,AD79:AE79),
IF(AQ79=3,SUM(H79:I79,N79:O79,T79:U79,Z79:AA79,AF79:AG79),
SUM(IFERROR(WEEKDAY($H$2:$AL$2,2)&gt;5,)*H79:AL79))))</f>
        <v>0</v>
      </c>
      <c r="AO79" s="292" t="b">
        <f>IF(AR79&lt;=3,(IF((G79="5/24"),((база!$M$6*Таблица1[[#This Row],[сумма]]*Таблица1[[#This Row],[коэф]])),
IF((G79="4/24"),((база!$M$5*Таблица1[[#This Row],[сумма]]*Таблица1[[#This Row],[коэф]])),
IF((G79="3/24"),((база!$M$4*Таблица1[[#This Row],[сумма]]*Таблица1[[#This Row],[коэф]])),
IF((G79="5/16"),((база!$L$6*Таблица1[[#This Row],[сумма]]*Таблица1[[#This Row],[коэф]])),
IF((G79="4/16"),((база!$L$5*Таблица1[[#This Row],[сумма]]*Таблица1[[#This Row],[коэф]])),
IF((G79="3/16"),((база!$L$4*Таблица1[[#This Row],[сумма]]*Таблица1[[#This Row],[коэф]])),
IF((G79="4/4"),((база!$I$5*Таблица1[[#This Row],[сумма]]*Таблица1[[#This Row],[коэф]])),
IF(OR(G79="2/4",G79="3/4"),((база!$I$4*Таблица1[[#This Row],[сумма]]*Таблица1[[#This Row],[коэф]])),
IF((G79="5/8"),((база!$J$6*Таблица1[[#This Row],[сумма]]*Таблица1[[#This Row],[коэф]])),
IF((G79="4/8"),((база!$J$5*Таблица1[[#This Row],[сумма]]*Таблица1[[#This Row],[коэф]])),
IF(OR(G79="3/8",G79="2/8"),((база!$J$4*Таблица1[[#This Row],[сумма]]*Таблица1[[#This Row],[коэф]])))))))))))))),
(IF((G79="5/24"),((база!$M$6*Таблица1[[#This Row],[сумма]]*Таблица1[[#This Row],[коэф]])),
IF(OR(G79="4/24",G79="3/24"),((база!$M$5*Таблица1[[#This Row],[сумма]]*Таблица1[[#This Row],[коэф]])),
IF((G79="5/16"),((база!$L$6*Таблица1[[#This Row],[сумма]]*Таблица1[[#This Row],[коэф]])),
IF(OR(G79="4/16",G79="3/16"),((база!$L$5*Таблица1[[#This Row],[сумма]]*Таблица1[[#This Row],[коэф]])),
IF(OR(G79="2/4",G79="3/4",G79="4/4"),((база!$I$5*Таблица1[[#This Row],[сумма]]*Таблица1[[#This Row],[коэф]])),
IF((G79="5/8"),((база!$J$6*Таблица1[[#This Row],[сумма]]*Таблица1[[#This Row],[коэф]])),
IF(OR(G79="4/8",G79="3/8",G79="2/8"),((база!$J$5*Таблица1[[#This Row],[сумма]]*Таблица1[[#This Row],[коэф]])))))))))))</f>
        <v>0</v>
      </c>
      <c r="AP79" s="715" t="b">
        <f>IF(AR79&lt;=3,(IF((G79="5/24"),((база!$M$6*2*Таблица1[[#This Row],[Столбец1]]*Таблица1[[#This Row],[коэф]])),
IF((G79="4/24"),((база!$M$5*2*Таблица1[[#This Row],[Столбец1]]*Таблица1[[#This Row],[коэф]])),
IF((G79="3/24"),((база!$M$4*2*Таблица1[[#This Row],[Столбец1]]*Таблица1[[#This Row],[коэф]])),
IF((G79="5/16"),((база!$L$6*2*Таблица1[[#This Row],[Столбец1]]*Таблица1[[#This Row],[коэф]])),
IF((G79="4/16"),((база!$L$5*2*Таблица1[[#This Row],[Столбец1]]*Таблица1[[#This Row],[коэф]])),
IF((G79="3/16"),((база!$L$4*2*Таблица1[[#This Row],[Столбец1]]*Таблица1[[#This Row],[коэф]])),
IF((G79="4/4"),((база!$I$5*2*Таблица1[[#This Row],[Столбец1]]*Таблица1[[#This Row],[коэф]])),
IF(OR(G79="2/4",G79="3/4"),((база!$I$4*2*Таблица1[[#This Row],[Столбец1]]*Таблица1[[#This Row],[коэф]])),
IF((G79="5/8"),((база!$J$6*2*Таблица1[[#This Row],[Столбец1]]*Таблица1[[#This Row],[коэф]])),
IF((G79="4/8"),((база!$J$5*2*Таблица1[[#This Row],[Столбец1]]*Таблица1[[#This Row],[коэф]])),
IF(OR(G79="3/8",G79="2/8"),((база!$J$4*2*Таблица1[[#This Row],[Столбец1]]*Таблица1[[#This Row],[коэф]])))))))))))))),
(IF((G79="5/24"),((база!$M$6*2*Таблица1[[#This Row],[Столбец1]]*Таблица1[[#This Row],[коэф]])),
IF(OR(G79="4/24",G79="3/24"),((база!$M$5*2*Таблица1[[#This Row],[Столбец1]]*Таблица1[[#This Row],[коэф]])),
IF((G79="5/16"),((база!$L$6*2*Таблица1[[#This Row],[Столбец1]]*Таблица1[[#This Row],[коэф]])),
IF(OR(G79="4/16",G79="3/16"),((база!$L$5*2*Таблица1[[#This Row],[Столбец1]]*Таблица1[[#This Row],[коэф]])),
IF(OR(G79="2/4",G79="3/4",G79="4/4"),((база!$I$5*2*Таблица1[[#This Row],[Столбец1]]*Таблица1[[#This Row],[коэф]])),
IF((G79="5/8"),((база!$J$6*2*Таблица1[[#This Row],[Столбец1]]*Таблица1[[#This Row],[коэф]])),
IF(OR(G79="4/8",G79="3/8",G79="2/8"),((база!$J$5*2*Таблица1[[#This Row],[Столбец1]]*Таблица1[[#This Row],[коэф]])))))))))))</f>
        <v>0</v>
      </c>
      <c r="AQ79" s="697" t="str">
        <f>IFERROR(INDEX(база!T:T, MATCH(F79,база!Q:Q,0)),"")</f>
        <v/>
      </c>
      <c r="AR79" s="207">
        <f>IFERROR(INDEX(база!D:D, MATCH(F79,база!B:B,0)),"")</f>
        <v>0</v>
      </c>
    </row>
    <row r="80" spans="1:44" ht="15">
      <c r="A80" s="66" t="str">
        <f>A79</f>
        <v>декабрь</v>
      </c>
      <c r="B80" s="230">
        <v>2023</v>
      </c>
      <c r="C80" s="60"/>
      <c r="D80" s="61"/>
      <c r="E80" s="210"/>
      <c r="F80" s="669"/>
      <c r="G80" s="47"/>
      <c r="H80" s="212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  <c r="AA80" s="48"/>
      <c r="AB80" s="48"/>
      <c r="AC80" s="48"/>
      <c r="AD80" s="48"/>
      <c r="AE80" s="48"/>
      <c r="AF80" s="48"/>
      <c r="AG80" s="48"/>
      <c r="AH80" s="48"/>
      <c r="AI80" s="48"/>
      <c r="AJ80" s="51"/>
      <c r="AK80" s="51"/>
      <c r="AL80" s="51"/>
      <c r="AM80" s="211">
        <f>IF(AQ80=1,SUM(H80:I80,L80:O80,R80:U80,X80:AA80,AD80:AG80,AI80:AK80),
IF(AQ80=2,SUM(H80:K80,N80:Q80,T80:W80,Z80:AC80,AF80:AI80),
IF(AQ80=3,SUM(J80:M80,P80:S80,V80:Y80,AB80:AE80,AH80:AK80),SUM(Таблица1[[#This Row],[1]:[31]])-Таблица1[[#This Row],[Столбец1]])))</f>
        <v>0</v>
      </c>
      <c r="AN80" s="290">
        <f t="array" ref="AN80">IF(AQ80=1,SUM(J80:K80,P80:Q80,V80:W80,AB80:AC80,AH80:AI80),
IF(AQ80=2,SUM(L80:M80,R80:S80,X80:Y80,AD80:AE80),
IF(AQ80=3,SUM(H80:I80,N80:O80,T80:U80,Z80:AA80,AF80:AG80),
SUM(IFERROR(WEEKDAY($H$2:$AL$2,2)&gt;5,)*H80:AL80))))</f>
        <v>0</v>
      </c>
      <c r="AO80" s="292" t="b">
        <f>IF(AR80&lt;=3,(IF((G80="5/24"),((база!$M$6*Таблица1[[#This Row],[сумма]]*Таблица1[[#This Row],[коэф]])),
IF((G80="4/24"),((база!$M$5*Таблица1[[#This Row],[сумма]]*Таблица1[[#This Row],[коэф]])),
IF((G80="3/24"),((база!$M$4*Таблица1[[#This Row],[сумма]]*Таблица1[[#This Row],[коэф]])),
IF((G80="5/16"),((база!$L$6*Таблица1[[#This Row],[сумма]]*Таблица1[[#This Row],[коэф]])),
IF((G80="4/16"),((база!$L$5*Таблица1[[#This Row],[сумма]]*Таблица1[[#This Row],[коэф]])),
IF((G80="3/16"),((база!$L$4*Таблица1[[#This Row],[сумма]]*Таблица1[[#This Row],[коэф]])),
IF((G80="4/4"),((база!$I$5*Таблица1[[#This Row],[сумма]]*Таблица1[[#This Row],[коэф]])),
IF(OR(G80="2/4",G80="3/4"),((база!$I$4*Таблица1[[#This Row],[сумма]]*Таблица1[[#This Row],[коэф]])),
IF((G80="5/8"),((база!$J$6*Таблица1[[#This Row],[сумма]]*Таблица1[[#This Row],[коэф]])),
IF((G80="4/8"),((база!$J$5*Таблица1[[#This Row],[сумма]]*Таблица1[[#This Row],[коэф]])),
IF(OR(G80="3/8",G80="2/8"),((база!$J$4*Таблица1[[#This Row],[сумма]]*Таблица1[[#This Row],[коэф]])))))))))))))),
(IF((G80="5/24"),((база!$M$6*Таблица1[[#This Row],[сумма]]*Таблица1[[#This Row],[коэф]])),
IF(OR(G80="4/24",G80="3/24"),((база!$M$5*Таблица1[[#This Row],[сумма]]*Таблица1[[#This Row],[коэф]])),
IF((G80="5/16"),((база!$L$6*Таблица1[[#This Row],[сумма]]*Таблица1[[#This Row],[коэф]])),
IF(OR(G80="4/16",G80="3/16"),((база!$L$5*Таблица1[[#This Row],[сумма]]*Таблица1[[#This Row],[коэф]])),
IF(OR(G80="2/4",G80="3/4",G80="4/4"),((база!$I$5*Таблица1[[#This Row],[сумма]]*Таблица1[[#This Row],[коэф]])),
IF((G80="5/8"),((база!$J$6*Таблица1[[#This Row],[сумма]]*Таблица1[[#This Row],[коэф]])),
IF(OR(G80="4/8",G80="3/8",G80="2/8"),((база!$J$5*Таблица1[[#This Row],[сумма]]*Таблица1[[#This Row],[коэф]])))))))))))</f>
        <v>0</v>
      </c>
      <c r="AP80" s="715" t="b">
        <f>IF(AR80&lt;=3,(IF((G80="5/24"),((база!$M$6*2*Таблица1[[#This Row],[Столбец1]]*Таблица1[[#This Row],[коэф]])),
IF((G80="4/24"),((база!$M$5*2*Таблица1[[#This Row],[Столбец1]]*Таблица1[[#This Row],[коэф]])),
IF((G80="3/24"),((база!$M$4*2*Таблица1[[#This Row],[Столбец1]]*Таблица1[[#This Row],[коэф]])),
IF((G80="5/16"),((база!$L$6*2*Таблица1[[#This Row],[Столбец1]]*Таблица1[[#This Row],[коэф]])),
IF((G80="4/16"),((база!$L$5*2*Таблица1[[#This Row],[Столбец1]]*Таблица1[[#This Row],[коэф]])),
IF((G80="3/16"),((база!$L$4*2*Таблица1[[#This Row],[Столбец1]]*Таблица1[[#This Row],[коэф]])),
IF((G80="4/4"),((база!$I$5*2*Таблица1[[#This Row],[Столбец1]]*Таблица1[[#This Row],[коэф]])),
IF(OR(G80="2/4",G80="3/4"),((база!$I$4*2*Таблица1[[#This Row],[Столбец1]]*Таблица1[[#This Row],[коэф]])),
IF((G80="5/8"),((база!$J$6*2*Таблица1[[#This Row],[Столбец1]]*Таблица1[[#This Row],[коэф]])),
IF((G80="4/8"),((база!$J$5*2*Таблица1[[#This Row],[Столбец1]]*Таблица1[[#This Row],[коэф]])),
IF(OR(G80="3/8",G80="2/8"),((база!$J$4*2*Таблица1[[#This Row],[Столбец1]]*Таблица1[[#This Row],[коэф]])))))))))))))),
(IF((G80="5/24"),((база!$M$6*2*Таблица1[[#This Row],[Столбец1]]*Таблица1[[#This Row],[коэф]])),
IF(OR(G80="4/24",G80="3/24"),((база!$M$5*2*Таблица1[[#This Row],[Столбец1]]*Таблица1[[#This Row],[коэф]])),
IF((G80="5/16"),((база!$L$6*2*Таблица1[[#This Row],[Столбец1]]*Таблица1[[#This Row],[коэф]])),
IF(OR(G80="4/16",G80="3/16"),((база!$L$5*2*Таблица1[[#This Row],[Столбец1]]*Таблица1[[#This Row],[коэф]])),
IF(OR(G80="2/4",G80="3/4",G80="4/4"),((база!$I$5*2*Таблица1[[#This Row],[Столбец1]]*Таблица1[[#This Row],[коэф]])),
IF((G80="5/8"),((база!$J$6*2*Таблица1[[#This Row],[Столбец1]]*Таблица1[[#This Row],[коэф]])),
IF(OR(G80="4/8",G80="3/8",G80="2/8"),((база!$J$5*2*Таблица1[[#This Row],[Столбец1]]*Таблица1[[#This Row],[коэф]])))))))))))</f>
        <v>0</v>
      </c>
      <c r="AQ80" s="697" t="str">
        <f>IFERROR(INDEX(база!T:T, MATCH(F80,база!Q:Q,0)),"")</f>
        <v/>
      </c>
      <c r="AR80" s="207">
        <f>IFERROR(INDEX(база!D:D, MATCH(F80,база!B:B,0)),"")</f>
        <v>0</v>
      </c>
    </row>
    <row r="81" spans="1:44" ht="15">
      <c r="A81" s="66" t="str">
        <f t="shared" si="1"/>
        <v>декабрь</v>
      </c>
      <c r="B81" s="230">
        <v>2023</v>
      </c>
      <c r="C81" s="60"/>
      <c r="D81" s="61"/>
      <c r="E81" s="210"/>
      <c r="F81" s="669"/>
      <c r="G81" s="47"/>
      <c r="H81" s="212"/>
      <c r="I81" s="48"/>
      <c r="J81" s="48"/>
      <c r="K81" s="48"/>
      <c r="L81" s="48"/>
      <c r="M81" s="48"/>
      <c r="N81" s="49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  <c r="AA81" s="48"/>
      <c r="AB81" s="48"/>
      <c r="AC81" s="48"/>
      <c r="AD81" s="48"/>
      <c r="AE81" s="48"/>
      <c r="AF81" s="48"/>
      <c r="AG81" s="48"/>
      <c r="AH81" s="48"/>
      <c r="AI81" s="48"/>
      <c r="AJ81" s="51"/>
      <c r="AK81" s="51"/>
      <c r="AL81" s="51"/>
      <c r="AM81" s="211">
        <f>IF(AQ81=1,SUM(H81:I81,L81:O81,R81:U81,X81:AA81,AD81:AG81,AI81:AK81),
IF(AQ81=2,SUM(H81:K81,N81:Q81,T81:W81,Z81:AC81,AF81:AI81),
IF(AQ81=3,SUM(J81:M81,P81:S81,V81:Y81,AB81:AE81,AH81:AK81),SUM(Таблица1[[#This Row],[1]:[31]])-Таблица1[[#This Row],[Столбец1]])))</f>
        <v>0</v>
      </c>
      <c r="AN81" s="290">
        <f t="array" ref="AN81">IF(AQ81=1,SUM(J81:K81,P81:Q81,V81:W81,AB81:AC81,AH81:AI81),
IF(AQ81=2,SUM(L81:M81,R81:S81,X81:Y81,AD81:AE81),
IF(AQ81=3,SUM(H81:I81,N81:O81,T81:U81,Z81:AA81,AF81:AG81),
SUM(IFERROR(WEEKDAY($H$2:$AL$2,2)&gt;5,)*H81:AL81))))</f>
        <v>0</v>
      </c>
      <c r="AO81" s="292" t="b">
        <f>IF(AR81&lt;=3,(IF((G81="5/24"),((база!$M$6*Таблица1[[#This Row],[сумма]]*Таблица1[[#This Row],[коэф]])),
IF((G81="4/24"),((база!$M$5*Таблица1[[#This Row],[сумма]]*Таблица1[[#This Row],[коэф]])),
IF((G81="3/24"),((база!$M$4*Таблица1[[#This Row],[сумма]]*Таблица1[[#This Row],[коэф]])),
IF((G81="5/16"),((база!$L$6*Таблица1[[#This Row],[сумма]]*Таблица1[[#This Row],[коэф]])),
IF((G81="4/16"),((база!$L$5*Таблица1[[#This Row],[сумма]]*Таблица1[[#This Row],[коэф]])),
IF((G81="3/16"),((база!$L$4*Таблица1[[#This Row],[сумма]]*Таблица1[[#This Row],[коэф]])),
IF((G81="4/4"),((база!$I$5*Таблица1[[#This Row],[сумма]]*Таблица1[[#This Row],[коэф]])),
IF(OR(G81="2/4",G81="3/4"),((база!$I$4*Таблица1[[#This Row],[сумма]]*Таблица1[[#This Row],[коэф]])),
IF((G81="5/8"),((база!$J$6*Таблица1[[#This Row],[сумма]]*Таблица1[[#This Row],[коэф]])),
IF((G81="4/8"),((база!$J$5*Таблица1[[#This Row],[сумма]]*Таблица1[[#This Row],[коэф]])),
IF(OR(G81="3/8",G81="2/8"),((база!$J$4*Таблица1[[#This Row],[сумма]]*Таблица1[[#This Row],[коэф]])))))))))))))),
(IF((G81="5/24"),((база!$M$6*Таблица1[[#This Row],[сумма]]*Таблица1[[#This Row],[коэф]])),
IF(OR(G81="4/24",G81="3/24"),((база!$M$5*Таблица1[[#This Row],[сумма]]*Таблица1[[#This Row],[коэф]])),
IF((G81="5/16"),((база!$L$6*Таблица1[[#This Row],[сумма]]*Таблица1[[#This Row],[коэф]])),
IF(OR(G81="4/16",G81="3/16"),((база!$L$5*Таблица1[[#This Row],[сумма]]*Таблица1[[#This Row],[коэф]])),
IF(OR(G81="2/4",G81="3/4",G81="4/4"),((база!$I$5*Таблица1[[#This Row],[сумма]]*Таблица1[[#This Row],[коэф]])),
IF((G81="5/8"),((база!$J$6*Таблица1[[#This Row],[сумма]]*Таблица1[[#This Row],[коэф]])),
IF(OR(G81="4/8",G81="3/8",G81="2/8"),((база!$J$5*Таблица1[[#This Row],[сумма]]*Таблица1[[#This Row],[коэф]])))))))))))</f>
        <v>0</v>
      </c>
      <c r="AP81" s="715" t="b">
        <f>IF(AR81&lt;=3,(IF((G81="5/24"),((база!$M$6*2*Таблица1[[#This Row],[Столбец1]]*Таблица1[[#This Row],[коэф]])),
IF((G81="4/24"),((база!$M$5*2*Таблица1[[#This Row],[Столбец1]]*Таблица1[[#This Row],[коэф]])),
IF((G81="3/24"),((база!$M$4*2*Таблица1[[#This Row],[Столбец1]]*Таблица1[[#This Row],[коэф]])),
IF((G81="5/16"),((база!$L$6*2*Таблица1[[#This Row],[Столбец1]]*Таблица1[[#This Row],[коэф]])),
IF((G81="4/16"),((база!$L$5*2*Таблица1[[#This Row],[Столбец1]]*Таблица1[[#This Row],[коэф]])),
IF((G81="3/16"),((база!$L$4*2*Таблица1[[#This Row],[Столбец1]]*Таблица1[[#This Row],[коэф]])),
IF((G81="4/4"),((база!$I$5*2*Таблица1[[#This Row],[Столбец1]]*Таблица1[[#This Row],[коэф]])),
IF(OR(G81="2/4",G81="3/4"),((база!$I$4*2*Таблица1[[#This Row],[Столбец1]]*Таблица1[[#This Row],[коэф]])),
IF((G81="5/8"),((база!$J$6*2*Таблица1[[#This Row],[Столбец1]]*Таблица1[[#This Row],[коэф]])),
IF((G81="4/8"),((база!$J$5*2*Таблица1[[#This Row],[Столбец1]]*Таблица1[[#This Row],[коэф]])),
IF(OR(G81="3/8",G81="2/8"),((база!$J$4*2*Таблица1[[#This Row],[Столбец1]]*Таблица1[[#This Row],[коэф]])))))))))))))),
(IF((G81="5/24"),((база!$M$6*2*Таблица1[[#This Row],[Столбец1]]*Таблица1[[#This Row],[коэф]])),
IF(OR(G81="4/24",G81="3/24"),((база!$M$5*2*Таблица1[[#This Row],[Столбец1]]*Таблица1[[#This Row],[коэф]])),
IF((G81="5/16"),((база!$L$6*2*Таблица1[[#This Row],[Столбец1]]*Таблица1[[#This Row],[коэф]])),
IF(OR(G81="4/16",G81="3/16"),((база!$L$5*2*Таблица1[[#This Row],[Столбец1]]*Таблица1[[#This Row],[коэф]])),
IF(OR(G81="2/4",G81="3/4",G81="4/4"),((база!$I$5*2*Таблица1[[#This Row],[Столбец1]]*Таблица1[[#This Row],[коэф]])),
IF((G81="5/8"),((база!$J$6*2*Таблица1[[#This Row],[Столбец1]]*Таблица1[[#This Row],[коэф]])),
IF(OR(G81="4/8",G81="3/8",G81="2/8"),((база!$J$5*2*Таблица1[[#This Row],[Столбец1]]*Таблица1[[#This Row],[коэф]])))))))))))</f>
        <v>0</v>
      </c>
      <c r="AQ81" s="697" t="str">
        <f>IFERROR(INDEX(база!T:T, MATCH(F81,база!Q:Q,0)),"")</f>
        <v/>
      </c>
      <c r="AR81" s="207">
        <f>IFERROR(INDEX(база!D:D, MATCH(F81,база!B:B,0)),"")</f>
        <v>0</v>
      </c>
    </row>
    <row r="82" spans="1:44" ht="15">
      <c r="A82" s="66" t="str">
        <f t="shared" si="1"/>
        <v>декабрь</v>
      </c>
      <c r="B82" s="230">
        <v>2023</v>
      </c>
      <c r="C82" s="60"/>
      <c r="D82" s="61"/>
      <c r="E82" s="210"/>
      <c r="F82" s="669"/>
      <c r="G82" s="47"/>
      <c r="H82" s="212"/>
      <c r="I82" s="48"/>
      <c r="J82" s="48"/>
      <c r="K82" s="49"/>
      <c r="L82" s="48"/>
      <c r="M82" s="48"/>
      <c r="N82" s="49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  <c r="AA82" s="48"/>
      <c r="AB82" s="48"/>
      <c r="AC82" s="48"/>
      <c r="AD82" s="48"/>
      <c r="AE82" s="48"/>
      <c r="AF82" s="48"/>
      <c r="AG82" s="48"/>
      <c r="AH82" s="48"/>
      <c r="AI82" s="48"/>
      <c r="AJ82" s="51"/>
      <c r="AK82" s="51"/>
      <c r="AL82" s="51"/>
      <c r="AM82" s="211">
        <f>IF(AQ82=1,SUM(H82:I82,L82:O82,R82:U82,X82:AA82,AD82:AG82,AI82:AK82),
IF(AQ82=2,SUM(H82:K82,N82:Q82,T82:W82,Z82:AC82,AF82:AI82),
IF(AQ82=3,SUM(J82:M82,P82:S82,V82:Y82,AB82:AE82,AH82:AK82),SUM(Таблица1[[#This Row],[1]:[31]])-Таблица1[[#This Row],[Столбец1]])))</f>
        <v>0</v>
      </c>
      <c r="AN82" s="290">
        <f t="array" ref="AN82">IF(AQ82=1,SUM(J82:K82,P82:Q82,V82:W82,AB82:AC82,AH82:AI82),
IF(AQ82=2,SUM(L82:M82,R82:S82,X82:Y82,AD82:AE82),
IF(AQ82=3,SUM(H82:I82,N82:O82,T82:U82,Z82:AA82,AF82:AG82),
SUM(IFERROR(WEEKDAY($H$2:$AL$2,2)&gt;5,)*H82:AL82))))</f>
        <v>0</v>
      </c>
      <c r="AO82" s="292" t="b">
        <f>IF(AR82&lt;=3,(IF((G82="5/24"),((база!$M$6*Таблица1[[#This Row],[сумма]]*Таблица1[[#This Row],[коэф]])),
IF((G82="4/24"),((база!$M$5*Таблица1[[#This Row],[сумма]]*Таблица1[[#This Row],[коэф]])),
IF((G82="3/24"),((база!$M$4*Таблица1[[#This Row],[сумма]]*Таблица1[[#This Row],[коэф]])),
IF((G82="5/16"),((база!$L$6*Таблица1[[#This Row],[сумма]]*Таблица1[[#This Row],[коэф]])),
IF((G82="4/16"),((база!$L$5*Таблица1[[#This Row],[сумма]]*Таблица1[[#This Row],[коэф]])),
IF((G82="3/16"),((база!$L$4*Таблица1[[#This Row],[сумма]]*Таблица1[[#This Row],[коэф]])),
IF((G82="4/4"),((база!$I$5*Таблица1[[#This Row],[сумма]]*Таблица1[[#This Row],[коэф]])),
IF(OR(G82="2/4",G82="3/4"),((база!$I$4*Таблица1[[#This Row],[сумма]]*Таблица1[[#This Row],[коэф]])),
IF((G82="5/8"),((база!$J$6*Таблица1[[#This Row],[сумма]]*Таблица1[[#This Row],[коэф]])),
IF((G82="4/8"),((база!$J$5*Таблица1[[#This Row],[сумма]]*Таблица1[[#This Row],[коэф]])),
IF(OR(G82="3/8",G82="2/8"),((база!$J$4*Таблица1[[#This Row],[сумма]]*Таблица1[[#This Row],[коэф]])))))))))))))),
(IF((G82="5/24"),((база!$M$6*Таблица1[[#This Row],[сумма]]*Таблица1[[#This Row],[коэф]])),
IF(OR(G82="4/24",G82="3/24"),((база!$M$5*Таблица1[[#This Row],[сумма]]*Таблица1[[#This Row],[коэф]])),
IF((G82="5/16"),((база!$L$6*Таблица1[[#This Row],[сумма]]*Таблица1[[#This Row],[коэф]])),
IF(OR(G82="4/16",G82="3/16"),((база!$L$5*Таблица1[[#This Row],[сумма]]*Таблица1[[#This Row],[коэф]])),
IF(OR(G82="2/4",G82="3/4",G82="4/4"),((база!$I$5*Таблица1[[#This Row],[сумма]]*Таблица1[[#This Row],[коэф]])),
IF((G82="5/8"),((база!$J$6*Таблица1[[#This Row],[сумма]]*Таблица1[[#This Row],[коэф]])),
IF(OR(G82="4/8",G82="3/8",G82="2/8"),((база!$J$5*Таблица1[[#This Row],[сумма]]*Таблица1[[#This Row],[коэф]])))))))))))</f>
        <v>0</v>
      </c>
      <c r="AP82" s="715" t="b">
        <f>IF(AR82&lt;=3,(IF((G82="5/24"),((база!$M$6*2*Таблица1[[#This Row],[Столбец1]]*Таблица1[[#This Row],[коэф]])),
IF((G82="4/24"),((база!$M$5*2*Таблица1[[#This Row],[Столбец1]]*Таблица1[[#This Row],[коэф]])),
IF((G82="3/24"),((база!$M$4*2*Таблица1[[#This Row],[Столбец1]]*Таблица1[[#This Row],[коэф]])),
IF((G82="5/16"),((база!$L$6*2*Таблица1[[#This Row],[Столбец1]]*Таблица1[[#This Row],[коэф]])),
IF((G82="4/16"),((база!$L$5*2*Таблица1[[#This Row],[Столбец1]]*Таблица1[[#This Row],[коэф]])),
IF((G82="3/16"),((база!$L$4*2*Таблица1[[#This Row],[Столбец1]]*Таблица1[[#This Row],[коэф]])),
IF((G82="4/4"),((база!$I$5*2*Таблица1[[#This Row],[Столбец1]]*Таблица1[[#This Row],[коэф]])),
IF(OR(G82="2/4",G82="3/4"),((база!$I$4*2*Таблица1[[#This Row],[Столбец1]]*Таблица1[[#This Row],[коэф]])),
IF((G82="5/8"),((база!$J$6*2*Таблица1[[#This Row],[Столбец1]]*Таблица1[[#This Row],[коэф]])),
IF((G82="4/8"),((база!$J$5*2*Таблица1[[#This Row],[Столбец1]]*Таблица1[[#This Row],[коэф]])),
IF(OR(G82="3/8",G82="2/8"),((база!$J$4*2*Таблица1[[#This Row],[Столбец1]]*Таблица1[[#This Row],[коэф]])))))))))))))),
(IF((G82="5/24"),((база!$M$6*2*Таблица1[[#This Row],[Столбец1]]*Таблица1[[#This Row],[коэф]])),
IF(OR(G82="4/24",G82="3/24"),((база!$M$5*2*Таблица1[[#This Row],[Столбец1]]*Таблица1[[#This Row],[коэф]])),
IF((G82="5/16"),((база!$L$6*2*Таблица1[[#This Row],[Столбец1]]*Таблица1[[#This Row],[коэф]])),
IF(OR(G82="4/16",G82="3/16"),((база!$L$5*2*Таблица1[[#This Row],[Столбец1]]*Таблица1[[#This Row],[коэф]])),
IF(OR(G82="2/4",G82="3/4",G82="4/4"),((база!$I$5*2*Таблица1[[#This Row],[Столбец1]]*Таблица1[[#This Row],[коэф]])),
IF((G82="5/8"),((база!$J$6*2*Таблица1[[#This Row],[Столбец1]]*Таблица1[[#This Row],[коэф]])),
IF(OR(G82="4/8",G82="3/8",G82="2/8"),((база!$J$5*2*Таблица1[[#This Row],[Столбец1]]*Таблица1[[#This Row],[коэф]])))))))))))</f>
        <v>0</v>
      </c>
      <c r="AQ82" s="697" t="str">
        <f>IFERROR(INDEX(база!T:T, MATCH(F82,база!Q:Q,0)),"")</f>
        <v/>
      </c>
      <c r="AR82" s="207">
        <f>IFERROR(INDEX(база!D:D, MATCH(F82,база!B:B,0)),"")</f>
        <v>0</v>
      </c>
    </row>
    <row r="83" spans="1:44" ht="15">
      <c r="A83" s="66" t="str">
        <f t="shared" si="1"/>
        <v>декабрь</v>
      </c>
      <c r="B83" s="230">
        <v>2023</v>
      </c>
      <c r="C83" s="60"/>
      <c r="D83" s="61"/>
      <c r="E83" s="210"/>
      <c r="F83" s="669"/>
      <c r="G83" s="47"/>
      <c r="H83" s="212"/>
      <c r="I83" s="48"/>
      <c r="J83" s="48"/>
      <c r="K83" s="48"/>
      <c r="L83" s="48"/>
      <c r="M83" s="48"/>
      <c r="N83" s="49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  <c r="AA83" s="48"/>
      <c r="AB83" s="48"/>
      <c r="AC83" s="48"/>
      <c r="AD83" s="48"/>
      <c r="AE83" s="48"/>
      <c r="AF83" s="51"/>
      <c r="AG83" s="51"/>
      <c r="AH83" s="51"/>
      <c r="AI83" s="51"/>
      <c r="AJ83" s="51"/>
      <c r="AK83" s="48"/>
      <c r="AL83" s="51"/>
      <c r="AM83" s="211">
        <f>IF(AQ83=1,SUM(H83:I83,L83:O83,R83:U83,X83:AA83,AD83:AG83,AI83:AK83),
IF(AQ83=2,SUM(H83:K83,N83:Q83,T83:W83,Z83:AC83,AF83:AI83),
IF(AQ83=3,SUM(J83:M83,P83:S83,V83:Y83,AB83:AE83,AH83:AK83),SUM(Таблица1[[#This Row],[1]:[31]])-Таблица1[[#This Row],[Столбец1]])))</f>
        <v>0</v>
      </c>
      <c r="AN83" s="290">
        <f t="array" ref="AN83">IF(AQ83=1,SUM(J83:K83,P83:Q83,V83:W83,AB83:AC83,AH83:AI83),
IF(AQ83=2,SUM(L83:M83,R83:S83,X83:Y83,AD83:AE83),
IF(AQ83=3,SUM(H83:I83,N83:O83,T83:U83,Z83:AA83,AF83:AG83),
SUM(IFERROR(WEEKDAY($H$2:$AL$2,2)&gt;5,)*H83:AL83))))</f>
        <v>0</v>
      </c>
      <c r="AO83" s="292" t="b">
        <f>IF(AR83&lt;=3,(IF((G83="5/24"),((база!$M$6*Таблица1[[#This Row],[сумма]]*Таблица1[[#This Row],[коэф]])),
IF((G83="4/24"),((база!$M$5*Таблица1[[#This Row],[сумма]]*Таблица1[[#This Row],[коэф]])),
IF((G83="3/24"),((база!$M$4*Таблица1[[#This Row],[сумма]]*Таблица1[[#This Row],[коэф]])),
IF((G83="5/16"),((база!$L$6*Таблица1[[#This Row],[сумма]]*Таблица1[[#This Row],[коэф]])),
IF((G83="4/16"),((база!$L$5*Таблица1[[#This Row],[сумма]]*Таблица1[[#This Row],[коэф]])),
IF((G83="3/16"),((база!$L$4*Таблица1[[#This Row],[сумма]]*Таблица1[[#This Row],[коэф]])),
IF((G83="4/4"),((база!$I$5*Таблица1[[#This Row],[сумма]]*Таблица1[[#This Row],[коэф]])),
IF(OR(G83="2/4",G83="3/4"),((база!$I$4*Таблица1[[#This Row],[сумма]]*Таблица1[[#This Row],[коэф]])),
IF((G83="5/8"),((база!$J$6*Таблица1[[#This Row],[сумма]]*Таблица1[[#This Row],[коэф]])),
IF((G83="4/8"),((база!$J$5*Таблица1[[#This Row],[сумма]]*Таблица1[[#This Row],[коэф]])),
IF(OR(G83="3/8",G83="2/8"),((база!$J$4*Таблица1[[#This Row],[сумма]]*Таблица1[[#This Row],[коэф]])))))))))))))),
(IF((G83="5/24"),((база!$M$6*Таблица1[[#This Row],[сумма]]*Таблица1[[#This Row],[коэф]])),
IF(OR(G83="4/24",G83="3/24"),((база!$M$5*Таблица1[[#This Row],[сумма]]*Таблица1[[#This Row],[коэф]])),
IF((G83="5/16"),((база!$L$6*Таблица1[[#This Row],[сумма]]*Таблица1[[#This Row],[коэф]])),
IF(OR(G83="4/16",G83="3/16"),((база!$L$5*Таблица1[[#This Row],[сумма]]*Таблица1[[#This Row],[коэф]])),
IF(OR(G83="2/4",G83="3/4",G83="4/4"),((база!$I$5*Таблица1[[#This Row],[сумма]]*Таблица1[[#This Row],[коэф]])),
IF((G83="5/8"),((база!$J$6*Таблица1[[#This Row],[сумма]]*Таблица1[[#This Row],[коэф]])),
IF(OR(G83="4/8",G83="3/8",G83="2/8"),((база!$J$5*Таблица1[[#This Row],[сумма]]*Таблица1[[#This Row],[коэф]])))))))))))</f>
        <v>0</v>
      </c>
      <c r="AP83" s="715" t="b">
        <f>IF(AR83&lt;=3,(IF((G83="5/24"),((база!$M$6*2*Таблица1[[#This Row],[Столбец1]]*Таблица1[[#This Row],[коэф]])),
IF((G83="4/24"),((база!$M$5*2*Таблица1[[#This Row],[Столбец1]]*Таблица1[[#This Row],[коэф]])),
IF((G83="3/24"),((база!$M$4*2*Таблица1[[#This Row],[Столбец1]]*Таблица1[[#This Row],[коэф]])),
IF((G83="5/16"),((база!$L$6*2*Таблица1[[#This Row],[Столбец1]]*Таблица1[[#This Row],[коэф]])),
IF((G83="4/16"),((база!$L$5*2*Таблица1[[#This Row],[Столбец1]]*Таблица1[[#This Row],[коэф]])),
IF((G83="3/16"),((база!$L$4*2*Таблица1[[#This Row],[Столбец1]]*Таблица1[[#This Row],[коэф]])),
IF((G83="4/4"),((база!$I$5*2*Таблица1[[#This Row],[Столбец1]]*Таблица1[[#This Row],[коэф]])),
IF(OR(G83="2/4",G83="3/4"),((база!$I$4*2*Таблица1[[#This Row],[Столбец1]]*Таблица1[[#This Row],[коэф]])),
IF((G83="5/8"),((база!$J$6*2*Таблица1[[#This Row],[Столбец1]]*Таблица1[[#This Row],[коэф]])),
IF((G83="4/8"),((база!$J$5*2*Таблица1[[#This Row],[Столбец1]]*Таблица1[[#This Row],[коэф]])),
IF(OR(G83="3/8",G83="2/8"),((база!$J$4*2*Таблица1[[#This Row],[Столбец1]]*Таблица1[[#This Row],[коэф]])))))))))))))),
(IF((G83="5/24"),((база!$M$6*2*Таблица1[[#This Row],[Столбец1]]*Таблица1[[#This Row],[коэф]])),
IF(OR(G83="4/24",G83="3/24"),((база!$M$5*2*Таблица1[[#This Row],[Столбец1]]*Таблица1[[#This Row],[коэф]])),
IF((G83="5/16"),((база!$L$6*2*Таблица1[[#This Row],[Столбец1]]*Таблица1[[#This Row],[коэф]])),
IF(OR(G83="4/16",G83="3/16"),((база!$L$5*2*Таблица1[[#This Row],[Столбец1]]*Таблица1[[#This Row],[коэф]])),
IF(OR(G83="2/4",G83="3/4",G83="4/4"),((база!$I$5*2*Таблица1[[#This Row],[Столбец1]]*Таблица1[[#This Row],[коэф]])),
IF((G83="5/8"),((база!$J$6*2*Таблица1[[#This Row],[Столбец1]]*Таблица1[[#This Row],[коэф]])),
IF(OR(G83="4/8",G83="3/8",G83="2/8"),((база!$J$5*2*Таблица1[[#This Row],[Столбец1]]*Таблица1[[#This Row],[коэф]])))))))))))</f>
        <v>0</v>
      </c>
      <c r="AQ83" s="697" t="str">
        <f>IFERROR(INDEX(база!T:T, MATCH(F83,база!Q:Q,0)),"")</f>
        <v/>
      </c>
      <c r="AR83" s="207">
        <f>IFERROR(INDEX(база!D:D, MATCH(F83,база!B:B,0)),"")</f>
        <v>0</v>
      </c>
    </row>
    <row r="84" spans="1:44" ht="15">
      <c r="A84" s="66" t="str">
        <f t="shared" si="1"/>
        <v>декабрь</v>
      </c>
      <c r="B84" s="230">
        <v>2023</v>
      </c>
      <c r="C84" s="60"/>
      <c r="D84" s="61"/>
      <c r="E84" s="210"/>
      <c r="F84" s="669"/>
      <c r="G84" s="47"/>
      <c r="H84" s="212"/>
      <c r="I84" s="48"/>
      <c r="J84" s="48"/>
      <c r="K84" s="48"/>
      <c r="L84" s="48"/>
      <c r="M84" s="48"/>
      <c r="N84" s="49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  <c r="AA84" s="48"/>
      <c r="AB84" s="48"/>
      <c r="AC84" s="48"/>
      <c r="AD84" s="48"/>
      <c r="AE84" s="48"/>
      <c r="AF84" s="51"/>
      <c r="AG84" s="51"/>
      <c r="AH84" s="51"/>
      <c r="AI84" s="51"/>
      <c r="AJ84" s="51"/>
      <c r="AK84" s="51"/>
      <c r="AL84" s="51"/>
      <c r="AM84" s="211">
        <f>IF(AQ84=1,SUM(H84:I84,L84:O84,R84:U84,X84:AA84,AD84:AG84,AI84:AK84),
IF(AQ84=2,SUM(H84:K84,N84:Q84,T84:W84,Z84:AC84,AF84:AI84),
IF(AQ84=3,SUM(J84:M84,P84:S84,V84:Y84,AB84:AE84,AH84:AK84),SUM(Таблица1[[#This Row],[1]:[31]])-Таблица1[[#This Row],[Столбец1]])))</f>
        <v>0</v>
      </c>
      <c r="AN84" s="290">
        <f t="array" ref="AN84">IF(AQ84=1,SUM(J84:K84,P84:Q84,V84:W84,AB84:AC84,AH84:AI84),
IF(AQ84=2,SUM(L84:M84,R84:S84,X84:Y84,AD84:AE84),
IF(AQ84=3,SUM(H84:I84,N84:O84,T84:U84,Z84:AA84,AF84:AG84),
SUM(IFERROR(WEEKDAY($H$2:$AL$2,2)&gt;5,)*H84:AL84))))</f>
        <v>0</v>
      </c>
      <c r="AO84" s="292" t="b">
        <f>IF(AR84&lt;=3,(IF((G84="5/24"),((база!$M$6*Таблица1[[#This Row],[сумма]]*Таблица1[[#This Row],[коэф]])),
IF((G84="4/24"),((база!$M$5*Таблица1[[#This Row],[сумма]]*Таблица1[[#This Row],[коэф]])),
IF((G84="3/24"),((база!$M$4*Таблица1[[#This Row],[сумма]]*Таблица1[[#This Row],[коэф]])),
IF((G84="5/16"),((база!$L$6*Таблица1[[#This Row],[сумма]]*Таблица1[[#This Row],[коэф]])),
IF((G84="4/16"),((база!$L$5*Таблица1[[#This Row],[сумма]]*Таблица1[[#This Row],[коэф]])),
IF((G84="3/16"),((база!$L$4*Таблица1[[#This Row],[сумма]]*Таблица1[[#This Row],[коэф]])),
IF((G84="4/4"),((база!$I$5*Таблица1[[#This Row],[сумма]]*Таблица1[[#This Row],[коэф]])),
IF(OR(G84="2/4",G84="3/4"),((база!$I$4*Таблица1[[#This Row],[сумма]]*Таблица1[[#This Row],[коэф]])),
IF((G84="5/8"),((база!$J$6*Таблица1[[#This Row],[сумма]]*Таблица1[[#This Row],[коэф]])),
IF((G84="4/8"),((база!$J$5*Таблица1[[#This Row],[сумма]]*Таблица1[[#This Row],[коэф]])),
IF(OR(G84="3/8",G84="2/8"),((база!$J$4*Таблица1[[#This Row],[сумма]]*Таблица1[[#This Row],[коэф]])))))))))))))),
(IF((G84="5/24"),((база!$M$6*Таблица1[[#This Row],[сумма]]*Таблица1[[#This Row],[коэф]])),
IF(OR(G84="4/24",G84="3/24"),((база!$M$5*Таблица1[[#This Row],[сумма]]*Таблица1[[#This Row],[коэф]])),
IF((G84="5/16"),((база!$L$6*Таблица1[[#This Row],[сумма]]*Таблица1[[#This Row],[коэф]])),
IF(OR(G84="4/16",G84="3/16"),((база!$L$5*Таблица1[[#This Row],[сумма]]*Таблица1[[#This Row],[коэф]])),
IF(OR(G84="2/4",G84="3/4",G84="4/4"),((база!$I$5*Таблица1[[#This Row],[сумма]]*Таблица1[[#This Row],[коэф]])),
IF((G84="5/8"),((база!$J$6*Таблица1[[#This Row],[сумма]]*Таблица1[[#This Row],[коэф]])),
IF(OR(G84="4/8",G84="3/8",G84="2/8"),((база!$J$5*Таблица1[[#This Row],[сумма]]*Таблица1[[#This Row],[коэф]])))))))))))</f>
        <v>0</v>
      </c>
      <c r="AP84" s="715" t="b">
        <f>IF(AR84&lt;=3,(IF((G84="5/24"),((база!$M$6*2*Таблица1[[#This Row],[Столбец1]]*Таблица1[[#This Row],[коэф]])),
IF((G84="4/24"),((база!$M$5*2*Таблица1[[#This Row],[Столбец1]]*Таблица1[[#This Row],[коэф]])),
IF((G84="3/24"),((база!$M$4*2*Таблица1[[#This Row],[Столбец1]]*Таблица1[[#This Row],[коэф]])),
IF((G84="5/16"),((база!$L$6*2*Таблица1[[#This Row],[Столбец1]]*Таблица1[[#This Row],[коэф]])),
IF((G84="4/16"),((база!$L$5*2*Таблица1[[#This Row],[Столбец1]]*Таблица1[[#This Row],[коэф]])),
IF((G84="3/16"),((база!$L$4*2*Таблица1[[#This Row],[Столбец1]]*Таблица1[[#This Row],[коэф]])),
IF((G84="4/4"),((база!$I$5*2*Таблица1[[#This Row],[Столбец1]]*Таблица1[[#This Row],[коэф]])),
IF(OR(G84="2/4",G84="3/4"),((база!$I$4*2*Таблица1[[#This Row],[Столбец1]]*Таблица1[[#This Row],[коэф]])),
IF((G84="5/8"),((база!$J$6*2*Таблица1[[#This Row],[Столбец1]]*Таблица1[[#This Row],[коэф]])),
IF((G84="4/8"),((база!$J$5*2*Таблица1[[#This Row],[Столбец1]]*Таблица1[[#This Row],[коэф]])),
IF(OR(G84="3/8",G84="2/8"),((база!$J$4*2*Таблица1[[#This Row],[Столбец1]]*Таблица1[[#This Row],[коэф]])))))))))))))),
(IF((G84="5/24"),((база!$M$6*2*Таблица1[[#This Row],[Столбец1]]*Таблица1[[#This Row],[коэф]])),
IF(OR(G84="4/24",G84="3/24"),((база!$M$5*2*Таблица1[[#This Row],[Столбец1]]*Таблица1[[#This Row],[коэф]])),
IF((G84="5/16"),((база!$L$6*2*Таблица1[[#This Row],[Столбец1]]*Таблица1[[#This Row],[коэф]])),
IF(OR(G84="4/16",G84="3/16"),((база!$L$5*2*Таблица1[[#This Row],[Столбец1]]*Таблица1[[#This Row],[коэф]])),
IF(OR(G84="2/4",G84="3/4",G84="4/4"),((база!$I$5*2*Таблица1[[#This Row],[Столбец1]]*Таблица1[[#This Row],[коэф]])),
IF((G84="5/8"),((база!$J$6*2*Таблица1[[#This Row],[Столбец1]]*Таблица1[[#This Row],[коэф]])),
IF(OR(G84="4/8",G84="3/8",G84="2/8"),((база!$J$5*2*Таблица1[[#This Row],[Столбец1]]*Таблица1[[#This Row],[коэф]])))))))))))</f>
        <v>0</v>
      </c>
      <c r="AQ84" s="697" t="str">
        <f>IFERROR(INDEX(база!T:T, MATCH(F84,база!Q:Q,0)),"")</f>
        <v/>
      </c>
      <c r="AR84" s="207">
        <f>IFERROR(INDEX(база!D:D, MATCH(F84,база!B:B,0)),"")</f>
        <v>0</v>
      </c>
    </row>
    <row r="85" spans="1:44" ht="15">
      <c r="A85" s="66" t="str">
        <f t="shared" si="1"/>
        <v>декабрь</v>
      </c>
      <c r="B85" s="230">
        <v>2023</v>
      </c>
      <c r="C85" s="60"/>
      <c r="D85" s="61"/>
      <c r="E85" s="210"/>
      <c r="F85" s="669"/>
      <c r="G85" s="47"/>
      <c r="H85" s="212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  <c r="AA85" s="48"/>
      <c r="AB85" s="48"/>
      <c r="AC85" s="48"/>
      <c r="AD85" s="48"/>
      <c r="AE85" s="48"/>
      <c r="AF85" s="48"/>
      <c r="AG85" s="48"/>
      <c r="AH85" s="48"/>
      <c r="AI85" s="48"/>
      <c r="AJ85" s="48"/>
      <c r="AK85" s="51"/>
      <c r="AL85" s="51"/>
      <c r="AM85" s="211">
        <f>IF(AQ85=1,SUM(H85:I85,L85:O85,R85:U85,X85:AA85,AD85:AG85,AI85:AK85),
IF(AQ85=2,SUM(H85:K85,N85:Q85,T85:W85,Z85:AC85,AF85:AI85),
IF(AQ85=3,SUM(J85:M85,P85:S85,V85:Y85,AB85:AE85,AH85:AK85),SUM(Таблица1[[#This Row],[1]:[31]])-Таблица1[[#This Row],[Столбец1]])))</f>
        <v>0</v>
      </c>
      <c r="AN85" s="290">
        <f t="array" ref="AN85">IF(AQ85=1,SUM(J85:K85,P85:Q85,V85:W85,AB85:AC85,AH85:AI85),
IF(AQ85=2,SUM(L85:M85,R85:S85,X85:Y85,AD85:AE85),
IF(AQ85=3,SUM(H85:I85,N85:O85,T85:U85,Z85:AA85,AF85:AG85),
SUM(IFERROR(WEEKDAY($H$2:$AL$2,2)&gt;5,)*H85:AL85))))</f>
        <v>0</v>
      </c>
      <c r="AO85" s="292" t="b">
        <f>IF(AR85&lt;=3,(IF((G85="5/24"),((база!$M$6*Таблица1[[#This Row],[сумма]]*Таблица1[[#This Row],[коэф]])),
IF((G85="4/24"),((база!$M$5*Таблица1[[#This Row],[сумма]]*Таблица1[[#This Row],[коэф]])),
IF((G85="3/24"),((база!$M$4*Таблица1[[#This Row],[сумма]]*Таблица1[[#This Row],[коэф]])),
IF((G85="5/16"),((база!$L$6*Таблица1[[#This Row],[сумма]]*Таблица1[[#This Row],[коэф]])),
IF((G85="4/16"),((база!$L$5*Таблица1[[#This Row],[сумма]]*Таблица1[[#This Row],[коэф]])),
IF((G85="3/16"),((база!$L$4*Таблица1[[#This Row],[сумма]]*Таблица1[[#This Row],[коэф]])),
IF((G85="4/4"),((база!$I$5*Таблица1[[#This Row],[сумма]]*Таблица1[[#This Row],[коэф]])),
IF(OR(G85="2/4",G85="3/4"),((база!$I$4*Таблица1[[#This Row],[сумма]]*Таблица1[[#This Row],[коэф]])),
IF((G85="5/8"),((база!$J$6*Таблица1[[#This Row],[сумма]]*Таблица1[[#This Row],[коэф]])),
IF((G85="4/8"),((база!$J$5*Таблица1[[#This Row],[сумма]]*Таблица1[[#This Row],[коэф]])),
IF(OR(G85="3/8",G85="2/8"),((база!$J$4*Таблица1[[#This Row],[сумма]]*Таблица1[[#This Row],[коэф]])))))))))))))),
(IF((G85="5/24"),((база!$M$6*Таблица1[[#This Row],[сумма]]*Таблица1[[#This Row],[коэф]])),
IF(OR(G85="4/24",G85="3/24"),((база!$M$5*Таблица1[[#This Row],[сумма]]*Таблица1[[#This Row],[коэф]])),
IF((G85="5/16"),((база!$L$6*Таблица1[[#This Row],[сумма]]*Таблица1[[#This Row],[коэф]])),
IF(OR(G85="4/16",G85="3/16"),((база!$L$5*Таблица1[[#This Row],[сумма]]*Таблица1[[#This Row],[коэф]])),
IF(OR(G85="2/4",G85="3/4",G85="4/4"),((база!$I$5*Таблица1[[#This Row],[сумма]]*Таблица1[[#This Row],[коэф]])),
IF((G85="5/8"),((база!$J$6*Таблица1[[#This Row],[сумма]]*Таблица1[[#This Row],[коэф]])),
IF(OR(G85="4/8",G85="3/8",G85="2/8"),((база!$J$5*Таблица1[[#This Row],[сумма]]*Таблица1[[#This Row],[коэф]])))))))))))</f>
        <v>0</v>
      </c>
      <c r="AP85" s="715" t="b">
        <f>IF(AR85&lt;=3,(IF((G85="5/24"),((база!$M$6*2*Таблица1[[#This Row],[Столбец1]]*Таблица1[[#This Row],[коэф]])),
IF((G85="4/24"),((база!$M$5*2*Таблица1[[#This Row],[Столбец1]]*Таблица1[[#This Row],[коэф]])),
IF((G85="3/24"),((база!$M$4*2*Таблица1[[#This Row],[Столбец1]]*Таблица1[[#This Row],[коэф]])),
IF((G85="5/16"),((база!$L$6*2*Таблица1[[#This Row],[Столбец1]]*Таблица1[[#This Row],[коэф]])),
IF((G85="4/16"),((база!$L$5*2*Таблица1[[#This Row],[Столбец1]]*Таблица1[[#This Row],[коэф]])),
IF((G85="3/16"),((база!$L$4*2*Таблица1[[#This Row],[Столбец1]]*Таблица1[[#This Row],[коэф]])),
IF((G85="4/4"),((база!$I$5*2*Таблица1[[#This Row],[Столбец1]]*Таблица1[[#This Row],[коэф]])),
IF(OR(G85="2/4",G85="3/4"),((база!$I$4*2*Таблица1[[#This Row],[Столбец1]]*Таблица1[[#This Row],[коэф]])),
IF((G85="5/8"),((база!$J$6*2*Таблица1[[#This Row],[Столбец1]]*Таблица1[[#This Row],[коэф]])),
IF((G85="4/8"),((база!$J$5*2*Таблица1[[#This Row],[Столбец1]]*Таблица1[[#This Row],[коэф]])),
IF(OR(G85="3/8",G85="2/8"),((база!$J$4*2*Таблица1[[#This Row],[Столбец1]]*Таблица1[[#This Row],[коэф]])))))))))))))),
(IF((G85="5/24"),((база!$M$6*2*Таблица1[[#This Row],[Столбец1]]*Таблица1[[#This Row],[коэф]])),
IF(OR(G85="4/24",G85="3/24"),((база!$M$5*2*Таблица1[[#This Row],[Столбец1]]*Таблица1[[#This Row],[коэф]])),
IF((G85="5/16"),((база!$L$6*2*Таблица1[[#This Row],[Столбец1]]*Таблица1[[#This Row],[коэф]])),
IF(OR(G85="4/16",G85="3/16"),((база!$L$5*2*Таблица1[[#This Row],[Столбец1]]*Таблица1[[#This Row],[коэф]])),
IF(OR(G85="2/4",G85="3/4",G85="4/4"),((база!$I$5*2*Таблица1[[#This Row],[Столбец1]]*Таблица1[[#This Row],[коэф]])),
IF((G85="5/8"),((база!$J$6*2*Таблица1[[#This Row],[Столбец1]]*Таблица1[[#This Row],[коэф]])),
IF(OR(G85="4/8",G85="3/8",G85="2/8"),((база!$J$5*2*Таблица1[[#This Row],[Столбец1]]*Таблица1[[#This Row],[коэф]])))))))))))</f>
        <v>0</v>
      </c>
      <c r="AQ85" s="697" t="str">
        <f>IFERROR(INDEX(база!T:T, MATCH(F85,база!Q:Q,0)),"")</f>
        <v/>
      </c>
      <c r="AR85" s="207">
        <f>IFERROR(INDEX(база!D:D, MATCH(F85,база!B:B,0)),"")</f>
        <v>0</v>
      </c>
    </row>
    <row r="86" spans="1:44" ht="15">
      <c r="A86" s="66" t="str">
        <f t="shared" si="1"/>
        <v>декабрь</v>
      </c>
      <c r="B86" s="230">
        <v>2023</v>
      </c>
      <c r="C86" s="60"/>
      <c r="D86" s="61"/>
      <c r="E86" s="210"/>
      <c r="F86" s="669"/>
      <c r="G86" s="47"/>
      <c r="H86" s="212"/>
      <c r="I86" s="212"/>
      <c r="J86" s="212"/>
      <c r="K86" s="48"/>
      <c r="L86" s="48"/>
      <c r="M86" s="48"/>
      <c r="N86" s="49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  <c r="AA86" s="48"/>
      <c r="AB86" s="48"/>
      <c r="AC86" s="48"/>
      <c r="AD86" s="48"/>
      <c r="AE86" s="48"/>
      <c r="AF86" s="51"/>
      <c r="AG86" s="51"/>
      <c r="AH86" s="51"/>
      <c r="AI86" s="51"/>
      <c r="AJ86" s="51"/>
      <c r="AK86" s="51"/>
      <c r="AL86" s="51"/>
      <c r="AM86" s="211">
        <f>IF(AQ86=1,SUM(H86:I86,L86:O86,R86:U86,X86:AA86,AD86:AG86,AI86:AK86),
IF(AQ86=2,SUM(H86:K86,N86:Q86,T86:W86,Z86:AC86,AF86:AI86),
IF(AQ86=3,SUM(J86:M86,P86:S86,V86:Y86,AB86:AE86,AH86:AK86),SUM(Таблица1[[#This Row],[1]:[31]])-Таблица1[[#This Row],[Столбец1]])))</f>
        <v>0</v>
      </c>
      <c r="AN86" s="290">
        <f t="array" ref="AN86">IF(AQ86=1,SUM(J86:K86,P86:Q86,V86:W86,AB86:AC86,AH86:AI86),
IF(AQ86=2,SUM(L86:M86,R86:S86,X86:Y86,AD86:AE86),
IF(AQ86=3,SUM(H86:I86,N86:O86,T86:U86,Z86:AA86,AF86:AG86),
SUM(IFERROR(WEEKDAY($H$2:$AL$2,2)&gt;5,)*H86:AL86))))</f>
        <v>0</v>
      </c>
      <c r="AO86" s="292" t="b">
        <f>IF(AR86&lt;=3,(IF((G86="5/24"),((база!$M$6*Таблица1[[#This Row],[сумма]]*Таблица1[[#This Row],[коэф]])),
IF((G86="4/24"),((база!$M$5*Таблица1[[#This Row],[сумма]]*Таблица1[[#This Row],[коэф]])),
IF((G86="3/24"),((база!$M$4*Таблица1[[#This Row],[сумма]]*Таблица1[[#This Row],[коэф]])),
IF((G86="5/16"),((база!$L$6*Таблица1[[#This Row],[сумма]]*Таблица1[[#This Row],[коэф]])),
IF((G86="4/16"),((база!$L$5*Таблица1[[#This Row],[сумма]]*Таблица1[[#This Row],[коэф]])),
IF((G86="3/16"),((база!$L$4*Таблица1[[#This Row],[сумма]]*Таблица1[[#This Row],[коэф]])),
IF((G86="4/4"),((база!$I$5*Таблица1[[#This Row],[сумма]]*Таблица1[[#This Row],[коэф]])),
IF(OR(G86="2/4",G86="3/4"),((база!$I$4*Таблица1[[#This Row],[сумма]]*Таблица1[[#This Row],[коэф]])),
IF((G86="5/8"),((база!$J$6*Таблица1[[#This Row],[сумма]]*Таблица1[[#This Row],[коэф]])),
IF((G86="4/8"),((база!$J$5*Таблица1[[#This Row],[сумма]]*Таблица1[[#This Row],[коэф]])),
IF(OR(G86="3/8",G86="2/8"),((база!$J$4*Таблица1[[#This Row],[сумма]]*Таблица1[[#This Row],[коэф]])))))))))))))),
(IF((G86="5/24"),((база!$M$6*Таблица1[[#This Row],[сумма]]*Таблица1[[#This Row],[коэф]])),
IF(OR(G86="4/24",G86="3/24"),((база!$M$5*Таблица1[[#This Row],[сумма]]*Таблица1[[#This Row],[коэф]])),
IF((G86="5/16"),((база!$L$6*Таблица1[[#This Row],[сумма]]*Таблица1[[#This Row],[коэф]])),
IF(OR(G86="4/16",G86="3/16"),((база!$L$5*Таблица1[[#This Row],[сумма]]*Таблица1[[#This Row],[коэф]])),
IF(OR(G86="2/4",G86="3/4",G86="4/4"),((база!$I$5*Таблица1[[#This Row],[сумма]]*Таблица1[[#This Row],[коэф]])),
IF((G86="5/8"),((база!$J$6*Таблица1[[#This Row],[сумма]]*Таблица1[[#This Row],[коэф]])),
IF(OR(G86="4/8",G86="3/8",G86="2/8"),((база!$J$5*Таблица1[[#This Row],[сумма]]*Таблица1[[#This Row],[коэф]])))))))))))</f>
        <v>0</v>
      </c>
      <c r="AP86" s="715" t="b">
        <f>IF(AR86&lt;=3,(IF((G86="5/24"),((база!$M$6*2*Таблица1[[#This Row],[Столбец1]]*Таблица1[[#This Row],[коэф]])),
IF((G86="4/24"),((база!$M$5*2*Таблица1[[#This Row],[Столбец1]]*Таблица1[[#This Row],[коэф]])),
IF((G86="3/24"),((база!$M$4*2*Таблица1[[#This Row],[Столбец1]]*Таблица1[[#This Row],[коэф]])),
IF((G86="5/16"),((база!$L$6*2*Таблица1[[#This Row],[Столбец1]]*Таблица1[[#This Row],[коэф]])),
IF((G86="4/16"),((база!$L$5*2*Таблица1[[#This Row],[Столбец1]]*Таблица1[[#This Row],[коэф]])),
IF((G86="3/16"),((база!$L$4*2*Таблица1[[#This Row],[Столбец1]]*Таблица1[[#This Row],[коэф]])),
IF((G86="4/4"),((база!$I$5*2*Таблица1[[#This Row],[Столбец1]]*Таблица1[[#This Row],[коэф]])),
IF(OR(G86="2/4",G86="3/4"),((база!$I$4*2*Таблица1[[#This Row],[Столбец1]]*Таблица1[[#This Row],[коэф]])),
IF((G86="5/8"),((база!$J$6*2*Таблица1[[#This Row],[Столбец1]]*Таблица1[[#This Row],[коэф]])),
IF((G86="4/8"),((база!$J$5*2*Таблица1[[#This Row],[Столбец1]]*Таблица1[[#This Row],[коэф]])),
IF(OR(G86="3/8",G86="2/8"),((база!$J$4*2*Таблица1[[#This Row],[Столбец1]]*Таблица1[[#This Row],[коэф]])))))))))))))),
(IF((G86="5/24"),((база!$M$6*2*Таблица1[[#This Row],[Столбец1]]*Таблица1[[#This Row],[коэф]])),
IF(OR(G86="4/24",G86="3/24"),((база!$M$5*2*Таблица1[[#This Row],[Столбец1]]*Таблица1[[#This Row],[коэф]])),
IF((G86="5/16"),((база!$L$6*2*Таблица1[[#This Row],[Столбец1]]*Таблица1[[#This Row],[коэф]])),
IF(OR(G86="4/16",G86="3/16"),((база!$L$5*2*Таблица1[[#This Row],[Столбец1]]*Таблица1[[#This Row],[коэф]])),
IF(OR(G86="2/4",G86="3/4",G86="4/4"),((база!$I$5*2*Таблица1[[#This Row],[Столбец1]]*Таблица1[[#This Row],[коэф]])),
IF((G86="5/8"),((база!$J$6*2*Таблица1[[#This Row],[Столбец1]]*Таблица1[[#This Row],[коэф]])),
IF(OR(G86="4/8",G86="3/8",G86="2/8"),((база!$J$5*2*Таблица1[[#This Row],[Столбец1]]*Таблица1[[#This Row],[коэф]])))))))))))</f>
        <v>0</v>
      </c>
      <c r="AQ86" s="697" t="str">
        <f>IFERROR(INDEX(база!T:T, MATCH(F86,база!Q:Q,0)),"")</f>
        <v/>
      </c>
      <c r="AR86" s="207">
        <f>IFERROR(INDEX(база!D:D, MATCH(F86,база!B:B,0)),"")</f>
        <v>0</v>
      </c>
    </row>
    <row r="87" spans="1:44" ht="15">
      <c r="A87" s="66" t="str">
        <f>A86</f>
        <v>декабрь</v>
      </c>
      <c r="B87" s="230">
        <v>2023</v>
      </c>
      <c r="C87" s="60"/>
      <c r="D87" s="61"/>
      <c r="E87" s="210"/>
      <c r="F87" s="669"/>
      <c r="G87" s="47"/>
      <c r="H87" s="212"/>
      <c r="I87" s="48"/>
      <c r="J87" s="48"/>
      <c r="K87" s="48"/>
      <c r="L87" s="48"/>
      <c r="M87" s="48"/>
      <c r="N87" s="49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  <c r="AA87" s="48"/>
      <c r="AB87" s="48"/>
      <c r="AC87" s="48"/>
      <c r="AD87" s="48"/>
      <c r="AE87" s="48"/>
      <c r="AF87" s="51"/>
      <c r="AG87" s="51"/>
      <c r="AH87" s="51"/>
      <c r="AI87" s="51"/>
      <c r="AJ87" s="51"/>
      <c r="AK87" s="51"/>
      <c r="AL87" s="51"/>
      <c r="AM87" s="211">
        <f>IF(AQ87=1,SUM(H87:I87,L87:O87,R87:U87,X87:AA87,AD87:AG87,AI87:AK87),
IF(AQ87=2,SUM(H87:K87,N87:Q87,T87:W87,Z87:AC87,AF87:AI87),
IF(AQ87=3,SUM(J87:M87,P87:S87,V87:Y87,AB87:AE87,AH87:AK87),SUM(Таблица1[[#This Row],[1]:[31]])-Таблица1[[#This Row],[Столбец1]])))</f>
        <v>0</v>
      </c>
      <c r="AN87" s="290">
        <f t="array" ref="AN87">IF(AQ87=1,SUM(J87:K87,P87:Q87,V87:W87,AB87:AC87,AH87:AI87),
IF(AQ87=2,SUM(L87:M87,R87:S87,X87:Y87,AD87:AE87),
IF(AQ87=3,SUM(H87:I87,N87:O87,T87:U87,Z87:AA87,AF87:AG87),
SUM(IFERROR(WEEKDAY($H$2:$AL$2,2)&gt;5,)*H87:AL87))))</f>
        <v>0</v>
      </c>
      <c r="AO87" s="292" t="b">
        <f>IF(AR87&lt;=3,(IF((G87="5/24"),((база!$M$6*Таблица1[[#This Row],[сумма]]*Таблица1[[#This Row],[коэф]])),
IF((G87="4/24"),((база!$M$5*Таблица1[[#This Row],[сумма]]*Таблица1[[#This Row],[коэф]])),
IF((G87="3/24"),((база!$M$4*Таблица1[[#This Row],[сумма]]*Таблица1[[#This Row],[коэф]])),
IF((G87="5/16"),((база!$L$6*Таблица1[[#This Row],[сумма]]*Таблица1[[#This Row],[коэф]])),
IF((G87="4/16"),((база!$L$5*Таблица1[[#This Row],[сумма]]*Таблица1[[#This Row],[коэф]])),
IF((G87="3/16"),((база!$L$4*Таблица1[[#This Row],[сумма]]*Таблица1[[#This Row],[коэф]])),
IF((G87="4/4"),((база!$I$5*Таблица1[[#This Row],[сумма]]*Таблица1[[#This Row],[коэф]])),
IF(OR(G87="2/4",G87="3/4"),((база!$I$4*Таблица1[[#This Row],[сумма]]*Таблица1[[#This Row],[коэф]])),
IF((G87="5/8"),((база!$J$6*Таблица1[[#This Row],[сумма]]*Таблица1[[#This Row],[коэф]])),
IF((G87="4/8"),((база!$J$5*Таблица1[[#This Row],[сумма]]*Таблица1[[#This Row],[коэф]])),
IF(OR(G87="3/8",G87="2/8"),((база!$J$4*Таблица1[[#This Row],[сумма]]*Таблица1[[#This Row],[коэф]])))))))))))))),
(IF((G87="5/24"),((база!$M$6*Таблица1[[#This Row],[сумма]]*Таблица1[[#This Row],[коэф]])),
IF(OR(G87="4/24",G87="3/24"),((база!$M$5*Таблица1[[#This Row],[сумма]]*Таблица1[[#This Row],[коэф]])),
IF((G87="5/16"),((база!$L$6*Таблица1[[#This Row],[сумма]]*Таблица1[[#This Row],[коэф]])),
IF(OR(G87="4/16",G87="3/16"),((база!$L$5*Таблица1[[#This Row],[сумма]]*Таблица1[[#This Row],[коэф]])),
IF(OR(G87="2/4",G87="3/4",G87="4/4"),((база!$I$5*Таблица1[[#This Row],[сумма]]*Таблица1[[#This Row],[коэф]])),
IF((G87="5/8"),((база!$J$6*Таблица1[[#This Row],[сумма]]*Таблица1[[#This Row],[коэф]])),
IF(OR(G87="4/8",G87="3/8",G87="2/8"),((база!$J$5*Таблица1[[#This Row],[сумма]]*Таблица1[[#This Row],[коэф]])))))))))))</f>
        <v>0</v>
      </c>
      <c r="AP87" s="715" t="b">
        <f>IF(AR87&lt;=3,(IF((G87="5/24"),((база!$M$6*2*Таблица1[[#This Row],[Столбец1]]*Таблица1[[#This Row],[коэф]])),
IF((G87="4/24"),((база!$M$5*2*Таблица1[[#This Row],[Столбец1]]*Таблица1[[#This Row],[коэф]])),
IF((G87="3/24"),((база!$M$4*2*Таблица1[[#This Row],[Столбец1]]*Таблица1[[#This Row],[коэф]])),
IF((G87="5/16"),((база!$L$6*2*Таблица1[[#This Row],[Столбец1]]*Таблица1[[#This Row],[коэф]])),
IF((G87="4/16"),((база!$L$5*2*Таблица1[[#This Row],[Столбец1]]*Таблица1[[#This Row],[коэф]])),
IF((G87="3/16"),((база!$L$4*2*Таблица1[[#This Row],[Столбец1]]*Таблица1[[#This Row],[коэф]])),
IF((G87="4/4"),((база!$I$5*2*Таблица1[[#This Row],[Столбец1]]*Таблица1[[#This Row],[коэф]])),
IF(OR(G87="2/4",G87="3/4"),((база!$I$4*2*Таблица1[[#This Row],[Столбец1]]*Таблица1[[#This Row],[коэф]])),
IF((G87="5/8"),((база!$J$6*2*Таблица1[[#This Row],[Столбец1]]*Таблица1[[#This Row],[коэф]])),
IF((G87="4/8"),((база!$J$5*2*Таблица1[[#This Row],[Столбец1]]*Таблица1[[#This Row],[коэф]])),
IF(OR(G87="3/8",G87="2/8"),((база!$J$4*2*Таблица1[[#This Row],[Столбец1]]*Таблица1[[#This Row],[коэф]])))))))))))))),
(IF((G87="5/24"),((база!$M$6*2*Таблица1[[#This Row],[Столбец1]]*Таблица1[[#This Row],[коэф]])),
IF(OR(G87="4/24",G87="3/24"),((база!$M$5*2*Таблица1[[#This Row],[Столбец1]]*Таблица1[[#This Row],[коэф]])),
IF((G87="5/16"),((база!$L$6*2*Таблица1[[#This Row],[Столбец1]]*Таблица1[[#This Row],[коэф]])),
IF(OR(G87="4/16",G87="3/16"),((база!$L$5*2*Таблица1[[#This Row],[Столбец1]]*Таблица1[[#This Row],[коэф]])),
IF(OR(G87="2/4",G87="3/4",G87="4/4"),((база!$I$5*2*Таблица1[[#This Row],[Столбец1]]*Таблица1[[#This Row],[коэф]])),
IF((G87="5/8"),((база!$J$6*2*Таблица1[[#This Row],[Столбец1]]*Таблица1[[#This Row],[коэф]])),
IF(OR(G87="4/8",G87="3/8",G87="2/8"),((база!$J$5*2*Таблица1[[#This Row],[Столбец1]]*Таблица1[[#This Row],[коэф]])))))))))))</f>
        <v>0</v>
      </c>
      <c r="AQ87" s="697" t="str">
        <f>IFERROR(INDEX(база!T:T, MATCH(F87,база!Q:Q,0)),"")</f>
        <v/>
      </c>
      <c r="AR87" s="207">
        <f>IFERROR(INDEX(база!D:D, MATCH(F87,база!B:B,0)),"")</f>
        <v>0</v>
      </c>
    </row>
    <row r="88" spans="1:44" ht="15">
      <c r="A88" s="66" t="str">
        <f>A87</f>
        <v>декабрь</v>
      </c>
      <c r="B88" s="230">
        <v>2023</v>
      </c>
      <c r="C88" s="60"/>
      <c r="D88" s="61"/>
      <c r="E88" s="210"/>
      <c r="F88" s="669"/>
      <c r="G88" s="47"/>
      <c r="H88" s="212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  <c r="AA88" s="48"/>
      <c r="AB88" s="48"/>
      <c r="AC88" s="48"/>
      <c r="AD88" s="48"/>
      <c r="AE88" s="48"/>
      <c r="AF88" s="51"/>
      <c r="AG88" s="51"/>
      <c r="AH88" s="51"/>
      <c r="AI88" s="51"/>
      <c r="AJ88" s="51"/>
      <c r="AK88" s="51"/>
      <c r="AL88" s="51"/>
      <c r="AM88" s="211">
        <f>IF(AQ88=1,SUM(H88:I88,L88:O88,R88:U88,X88:AA88,AD88:AG88,AI88:AK88),
IF(AQ88=2,SUM(H88:K88,N88:Q88,T88:W88,Z88:AC88,AF88:AI88),
IF(AQ88=3,SUM(J88:M88,P88:S88,V88:Y88,AB88:AE88,AH88:AK88),SUM(Таблица1[[#This Row],[1]:[31]])-Таблица1[[#This Row],[Столбец1]])))</f>
        <v>0</v>
      </c>
      <c r="AN88" s="290">
        <f t="array" ref="AN88">IF(AQ88=1,SUM(J88:K88,P88:Q88,V88:W88,AB88:AC88,AH88:AI88),
IF(AQ88=2,SUM(L88:M88,R88:S88,X88:Y88,AD88:AE88),
IF(AQ88=3,SUM(H88:I88,N88:O88,T88:U88,Z88:AA88,AF88:AG88),
SUM(IFERROR(WEEKDAY($H$2:$AL$2,2)&gt;5,)*H88:AL88))))</f>
        <v>0</v>
      </c>
      <c r="AO88" s="292" t="b">
        <f>IF(AR88&lt;=3,(IF((G88="5/24"),((база!$M$6*Таблица1[[#This Row],[сумма]]*Таблица1[[#This Row],[коэф]])),
IF((G88="4/24"),((база!$M$5*Таблица1[[#This Row],[сумма]]*Таблица1[[#This Row],[коэф]])),
IF((G88="3/24"),((база!$M$4*Таблица1[[#This Row],[сумма]]*Таблица1[[#This Row],[коэф]])),
IF((G88="5/16"),((база!$L$6*Таблица1[[#This Row],[сумма]]*Таблица1[[#This Row],[коэф]])),
IF((G88="4/16"),((база!$L$5*Таблица1[[#This Row],[сумма]]*Таблица1[[#This Row],[коэф]])),
IF((G88="3/16"),((база!$L$4*Таблица1[[#This Row],[сумма]]*Таблица1[[#This Row],[коэф]])),
IF((G88="4/4"),((база!$I$5*Таблица1[[#This Row],[сумма]]*Таблица1[[#This Row],[коэф]])),
IF(OR(G88="2/4",G88="3/4"),((база!$I$4*Таблица1[[#This Row],[сумма]]*Таблица1[[#This Row],[коэф]])),
IF((G88="5/8"),((база!$J$6*Таблица1[[#This Row],[сумма]]*Таблица1[[#This Row],[коэф]])),
IF((G88="4/8"),((база!$J$5*Таблица1[[#This Row],[сумма]]*Таблица1[[#This Row],[коэф]])),
IF(OR(G88="3/8",G88="2/8"),((база!$J$4*Таблица1[[#This Row],[сумма]]*Таблица1[[#This Row],[коэф]])))))))))))))),
(IF((G88="5/24"),((база!$M$6*Таблица1[[#This Row],[сумма]]*Таблица1[[#This Row],[коэф]])),
IF(OR(G88="4/24",G88="3/24"),((база!$M$5*Таблица1[[#This Row],[сумма]]*Таблица1[[#This Row],[коэф]])),
IF((G88="5/16"),((база!$L$6*Таблица1[[#This Row],[сумма]]*Таблица1[[#This Row],[коэф]])),
IF(OR(G88="4/16",G88="3/16"),((база!$L$5*Таблица1[[#This Row],[сумма]]*Таблица1[[#This Row],[коэф]])),
IF(OR(G88="2/4",G88="3/4",G88="4/4"),((база!$I$5*Таблица1[[#This Row],[сумма]]*Таблица1[[#This Row],[коэф]])),
IF((G88="5/8"),((база!$J$6*Таблица1[[#This Row],[сумма]]*Таблица1[[#This Row],[коэф]])),
IF(OR(G88="4/8",G88="3/8",G88="2/8"),((база!$J$5*Таблица1[[#This Row],[сумма]]*Таблица1[[#This Row],[коэф]])))))))))))</f>
        <v>0</v>
      </c>
      <c r="AP88" s="715" t="b">
        <f>IF(AR88&lt;=3,(IF((G88="5/24"),((база!$M$6*2*Таблица1[[#This Row],[Столбец1]]*Таблица1[[#This Row],[коэф]])),
IF((G88="4/24"),((база!$M$5*2*Таблица1[[#This Row],[Столбец1]]*Таблица1[[#This Row],[коэф]])),
IF((G88="3/24"),((база!$M$4*2*Таблица1[[#This Row],[Столбец1]]*Таблица1[[#This Row],[коэф]])),
IF((G88="5/16"),((база!$L$6*2*Таблица1[[#This Row],[Столбец1]]*Таблица1[[#This Row],[коэф]])),
IF((G88="4/16"),((база!$L$5*2*Таблица1[[#This Row],[Столбец1]]*Таблица1[[#This Row],[коэф]])),
IF((G88="3/16"),((база!$L$4*2*Таблица1[[#This Row],[Столбец1]]*Таблица1[[#This Row],[коэф]])),
IF((G88="4/4"),((база!$I$5*2*Таблица1[[#This Row],[Столбец1]]*Таблица1[[#This Row],[коэф]])),
IF(OR(G88="2/4",G88="3/4"),((база!$I$4*2*Таблица1[[#This Row],[Столбец1]]*Таблица1[[#This Row],[коэф]])),
IF((G88="5/8"),((база!$J$6*2*Таблица1[[#This Row],[Столбец1]]*Таблица1[[#This Row],[коэф]])),
IF((G88="4/8"),((база!$J$5*2*Таблица1[[#This Row],[Столбец1]]*Таблица1[[#This Row],[коэф]])),
IF(OR(G88="3/8",G88="2/8"),((база!$J$4*2*Таблица1[[#This Row],[Столбец1]]*Таблица1[[#This Row],[коэф]])))))))))))))),
(IF((G88="5/24"),((база!$M$6*2*Таблица1[[#This Row],[Столбец1]]*Таблица1[[#This Row],[коэф]])),
IF(OR(G88="4/24",G88="3/24"),((база!$M$5*2*Таблица1[[#This Row],[Столбец1]]*Таблица1[[#This Row],[коэф]])),
IF((G88="5/16"),((база!$L$6*2*Таблица1[[#This Row],[Столбец1]]*Таблица1[[#This Row],[коэф]])),
IF(OR(G88="4/16",G88="3/16"),((база!$L$5*2*Таблица1[[#This Row],[Столбец1]]*Таблица1[[#This Row],[коэф]])),
IF(OR(G88="2/4",G88="3/4",G88="4/4"),((база!$I$5*2*Таблица1[[#This Row],[Столбец1]]*Таблица1[[#This Row],[коэф]])),
IF((G88="5/8"),((база!$J$6*2*Таблица1[[#This Row],[Столбец1]]*Таблица1[[#This Row],[коэф]])),
IF(OR(G88="4/8",G88="3/8",G88="2/8"),((база!$J$5*2*Таблица1[[#This Row],[Столбец1]]*Таблица1[[#This Row],[коэф]])))))))))))</f>
        <v>0</v>
      </c>
      <c r="AQ88" s="697" t="str">
        <f>IFERROR(INDEX(база!T:T, MATCH(F88,база!Q:Q,0)),"")</f>
        <v/>
      </c>
      <c r="AR88" s="207">
        <f>IFERROR(INDEX(база!D:D, MATCH(F88,база!B:B,0)),"")</f>
        <v>0</v>
      </c>
    </row>
    <row r="89" spans="1:44" ht="15">
      <c r="A89" s="66" t="str">
        <f t="shared" ref="A89:A120" si="2">A88</f>
        <v>декабрь</v>
      </c>
      <c r="B89" s="230">
        <v>2023</v>
      </c>
      <c r="C89" s="60"/>
      <c r="D89" s="61"/>
      <c r="E89" s="210"/>
      <c r="F89" s="669"/>
      <c r="G89" s="47"/>
      <c r="H89" s="212"/>
      <c r="I89" s="48"/>
      <c r="J89" s="48"/>
      <c r="K89" s="48"/>
      <c r="L89" s="48"/>
      <c r="M89" s="48"/>
      <c r="N89" s="49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  <c r="AA89" s="48"/>
      <c r="AB89" s="48"/>
      <c r="AC89" s="48"/>
      <c r="AD89" s="48"/>
      <c r="AE89" s="48"/>
      <c r="AF89" s="48"/>
      <c r="AG89" s="48"/>
      <c r="AH89" s="48"/>
      <c r="AI89" s="48"/>
      <c r="AJ89" s="48"/>
      <c r="AK89" s="48"/>
      <c r="AL89" s="51"/>
      <c r="AM89" s="211">
        <f>IF(AQ89=1,SUM(H89:I89,L89:O89,R89:U89,X89:AA89,AD89:AG89,AI89:AK89),
IF(AQ89=2,SUM(H89:K89,N89:Q89,T89:W89,Z89:AC89,AF89:AI89),
IF(AQ89=3,SUM(J89:M89,P89:S89,V89:Y89,AB89:AE89,AH89:AK89),SUM(Таблица1[[#This Row],[1]:[31]])-Таблица1[[#This Row],[Столбец1]])))</f>
        <v>0</v>
      </c>
      <c r="AN89" s="290">
        <f t="array" ref="AN89">IF(AQ89=1,SUM(J89:K89,P89:Q89,V89:W89,AB89:AC89,AH89:AI89),
IF(AQ89=2,SUM(L89:M89,R89:S89,X89:Y89,AD89:AE89),
IF(AQ89=3,SUM(H89:I89,N89:O89,T89:U89,Z89:AA89,AF89:AG89),
SUM(IFERROR(WEEKDAY($H$2:$AL$2,2)&gt;5,)*H89:AL89))))</f>
        <v>0</v>
      </c>
      <c r="AO89" s="292" t="b">
        <f>IF(AR89&lt;=3,(IF((G89="5/24"),((база!$M$6*Таблица1[[#This Row],[сумма]]*Таблица1[[#This Row],[коэф]])),
IF((G89="4/24"),((база!$M$5*Таблица1[[#This Row],[сумма]]*Таблица1[[#This Row],[коэф]])),
IF((G89="3/24"),((база!$M$4*Таблица1[[#This Row],[сумма]]*Таблица1[[#This Row],[коэф]])),
IF((G89="5/16"),((база!$L$6*Таблица1[[#This Row],[сумма]]*Таблица1[[#This Row],[коэф]])),
IF((G89="4/16"),((база!$L$5*Таблица1[[#This Row],[сумма]]*Таблица1[[#This Row],[коэф]])),
IF((G89="3/16"),((база!$L$4*Таблица1[[#This Row],[сумма]]*Таблица1[[#This Row],[коэф]])),
IF((G89="4/4"),((база!$I$5*Таблица1[[#This Row],[сумма]]*Таблица1[[#This Row],[коэф]])),
IF(OR(G89="2/4",G89="3/4"),((база!$I$4*Таблица1[[#This Row],[сумма]]*Таблица1[[#This Row],[коэф]])),
IF((G89="5/8"),((база!$J$6*Таблица1[[#This Row],[сумма]]*Таблица1[[#This Row],[коэф]])),
IF((G89="4/8"),((база!$J$5*Таблица1[[#This Row],[сумма]]*Таблица1[[#This Row],[коэф]])),
IF(OR(G89="3/8",G89="2/8"),((база!$J$4*Таблица1[[#This Row],[сумма]]*Таблица1[[#This Row],[коэф]])))))))))))))),
(IF((G89="5/24"),((база!$M$6*Таблица1[[#This Row],[сумма]]*Таблица1[[#This Row],[коэф]])),
IF(OR(G89="4/24",G89="3/24"),((база!$M$5*Таблица1[[#This Row],[сумма]]*Таблица1[[#This Row],[коэф]])),
IF((G89="5/16"),((база!$L$6*Таблица1[[#This Row],[сумма]]*Таблица1[[#This Row],[коэф]])),
IF(OR(G89="4/16",G89="3/16"),((база!$L$5*Таблица1[[#This Row],[сумма]]*Таблица1[[#This Row],[коэф]])),
IF(OR(G89="2/4",G89="3/4",G89="4/4"),((база!$I$5*Таблица1[[#This Row],[сумма]]*Таблица1[[#This Row],[коэф]])),
IF((G89="5/8"),((база!$J$6*Таблица1[[#This Row],[сумма]]*Таблица1[[#This Row],[коэф]])),
IF(OR(G89="4/8",G89="3/8",G89="2/8"),((база!$J$5*Таблица1[[#This Row],[сумма]]*Таблица1[[#This Row],[коэф]])))))))))))</f>
        <v>0</v>
      </c>
      <c r="AP89" s="715" t="b">
        <f>IF(AR89&lt;=3,(IF((G89="5/24"),((база!$M$6*2*Таблица1[[#This Row],[Столбец1]]*Таблица1[[#This Row],[коэф]])),
IF((G89="4/24"),((база!$M$5*2*Таблица1[[#This Row],[Столбец1]]*Таблица1[[#This Row],[коэф]])),
IF((G89="3/24"),((база!$M$4*2*Таблица1[[#This Row],[Столбец1]]*Таблица1[[#This Row],[коэф]])),
IF((G89="5/16"),((база!$L$6*2*Таблица1[[#This Row],[Столбец1]]*Таблица1[[#This Row],[коэф]])),
IF((G89="4/16"),((база!$L$5*2*Таблица1[[#This Row],[Столбец1]]*Таблица1[[#This Row],[коэф]])),
IF((G89="3/16"),((база!$L$4*2*Таблица1[[#This Row],[Столбец1]]*Таблица1[[#This Row],[коэф]])),
IF((G89="4/4"),((база!$I$5*2*Таблица1[[#This Row],[Столбец1]]*Таблица1[[#This Row],[коэф]])),
IF(OR(G89="2/4",G89="3/4"),((база!$I$4*2*Таблица1[[#This Row],[Столбец1]]*Таблица1[[#This Row],[коэф]])),
IF((G89="5/8"),((база!$J$6*2*Таблица1[[#This Row],[Столбец1]]*Таблица1[[#This Row],[коэф]])),
IF((G89="4/8"),((база!$J$5*2*Таблица1[[#This Row],[Столбец1]]*Таблица1[[#This Row],[коэф]])),
IF(OR(G89="3/8",G89="2/8"),((база!$J$4*2*Таблица1[[#This Row],[Столбец1]]*Таблица1[[#This Row],[коэф]])))))))))))))),
(IF((G89="5/24"),((база!$M$6*2*Таблица1[[#This Row],[Столбец1]]*Таблица1[[#This Row],[коэф]])),
IF(OR(G89="4/24",G89="3/24"),((база!$M$5*2*Таблица1[[#This Row],[Столбец1]]*Таблица1[[#This Row],[коэф]])),
IF((G89="5/16"),((база!$L$6*2*Таблица1[[#This Row],[Столбец1]]*Таблица1[[#This Row],[коэф]])),
IF(OR(G89="4/16",G89="3/16"),((база!$L$5*2*Таблица1[[#This Row],[Столбец1]]*Таблица1[[#This Row],[коэф]])),
IF(OR(G89="2/4",G89="3/4",G89="4/4"),((база!$I$5*2*Таблица1[[#This Row],[Столбец1]]*Таблица1[[#This Row],[коэф]])),
IF((G89="5/8"),((база!$J$6*2*Таблица1[[#This Row],[Столбец1]]*Таблица1[[#This Row],[коэф]])),
IF(OR(G89="4/8",G89="3/8",G89="2/8"),((база!$J$5*2*Таблица1[[#This Row],[Столбец1]]*Таблица1[[#This Row],[коэф]])))))))))))</f>
        <v>0</v>
      </c>
      <c r="AQ89" s="697" t="str">
        <f>IFERROR(INDEX(база!T:T, MATCH(F89,база!Q:Q,0)),"")</f>
        <v/>
      </c>
      <c r="AR89" s="207">
        <f>IFERROR(INDEX(база!D:D, MATCH(F89,база!B:B,0)),"")</f>
        <v>0</v>
      </c>
    </row>
    <row r="90" spans="1:44" ht="15">
      <c r="A90" s="66" t="str">
        <f t="shared" si="2"/>
        <v>декабрь</v>
      </c>
      <c r="B90" s="230">
        <v>2023</v>
      </c>
      <c r="C90" s="60"/>
      <c r="D90" s="61"/>
      <c r="E90" s="210"/>
      <c r="F90" s="669"/>
      <c r="G90" s="47"/>
      <c r="H90" s="212"/>
      <c r="I90" s="48"/>
      <c r="J90" s="48"/>
      <c r="K90" s="48"/>
      <c r="L90" s="48"/>
      <c r="M90" s="48"/>
      <c r="N90" s="49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  <c r="AA90" s="48"/>
      <c r="AB90" s="48"/>
      <c r="AC90" s="48"/>
      <c r="AD90" s="48"/>
      <c r="AE90" s="48"/>
      <c r="AF90" s="48"/>
      <c r="AG90" s="48"/>
      <c r="AH90" s="48"/>
      <c r="AI90" s="48"/>
      <c r="AJ90" s="48"/>
      <c r="AK90" s="48"/>
      <c r="AL90" s="51"/>
      <c r="AM90" s="211">
        <f>IF(AQ90=1,SUM(H90:I90,L90:O90,R90:U90,X90:AA90,AD90:AG90,AI90:AK90),
IF(AQ90=2,SUM(H90:K90,N90:Q90,T90:W90,Z90:AC90,AF90:AI90),
IF(AQ90=3,SUM(J90:M90,P90:S90,V90:Y90,AB90:AE90,AH90:AK90),SUM(Таблица1[[#This Row],[1]:[31]])-Таблица1[[#This Row],[Столбец1]])))</f>
        <v>0</v>
      </c>
      <c r="AN90" s="290">
        <f t="array" ref="AN90">IF(AQ90=1,SUM(J90:K90,P90:Q90,V90:W90,AB90:AC90,AH90:AI90),
IF(AQ90=2,SUM(L90:M90,R90:S90,X90:Y90,AD90:AE90),
IF(AQ90=3,SUM(H90:I90,N90:O90,T90:U90,Z90:AA90,AF90:AG90),
SUM(IFERROR(WEEKDAY($H$2:$AL$2,2)&gt;5,)*H90:AL90))))</f>
        <v>0</v>
      </c>
      <c r="AO90" s="292" t="b">
        <f>IF(AR90&lt;=3,(IF((G90="5/24"),((база!$M$6*Таблица1[[#This Row],[сумма]]*Таблица1[[#This Row],[коэф]])),
IF((G90="4/24"),((база!$M$5*Таблица1[[#This Row],[сумма]]*Таблица1[[#This Row],[коэф]])),
IF((G90="3/24"),((база!$M$4*Таблица1[[#This Row],[сумма]]*Таблица1[[#This Row],[коэф]])),
IF((G90="5/16"),((база!$L$6*Таблица1[[#This Row],[сумма]]*Таблица1[[#This Row],[коэф]])),
IF((G90="4/16"),((база!$L$5*Таблица1[[#This Row],[сумма]]*Таблица1[[#This Row],[коэф]])),
IF((G90="3/16"),((база!$L$4*Таблица1[[#This Row],[сумма]]*Таблица1[[#This Row],[коэф]])),
IF((G90="4/4"),((база!$I$5*Таблица1[[#This Row],[сумма]]*Таблица1[[#This Row],[коэф]])),
IF(OR(G90="2/4",G90="3/4"),((база!$I$4*Таблица1[[#This Row],[сумма]]*Таблица1[[#This Row],[коэф]])),
IF((G90="5/8"),((база!$J$6*Таблица1[[#This Row],[сумма]]*Таблица1[[#This Row],[коэф]])),
IF((G90="4/8"),((база!$J$5*Таблица1[[#This Row],[сумма]]*Таблица1[[#This Row],[коэф]])),
IF(OR(G90="3/8",G90="2/8"),((база!$J$4*Таблица1[[#This Row],[сумма]]*Таблица1[[#This Row],[коэф]])))))))))))))),
(IF((G90="5/24"),((база!$M$6*Таблица1[[#This Row],[сумма]]*Таблица1[[#This Row],[коэф]])),
IF(OR(G90="4/24",G90="3/24"),((база!$M$5*Таблица1[[#This Row],[сумма]]*Таблица1[[#This Row],[коэф]])),
IF((G90="5/16"),((база!$L$6*Таблица1[[#This Row],[сумма]]*Таблица1[[#This Row],[коэф]])),
IF(OR(G90="4/16",G90="3/16"),((база!$L$5*Таблица1[[#This Row],[сумма]]*Таблица1[[#This Row],[коэф]])),
IF(OR(G90="2/4",G90="3/4",G90="4/4"),((база!$I$5*Таблица1[[#This Row],[сумма]]*Таблица1[[#This Row],[коэф]])),
IF((G90="5/8"),((база!$J$6*Таблица1[[#This Row],[сумма]]*Таблица1[[#This Row],[коэф]])),
IF(OR(G90="4/8",G90="3/8",G90="2/8"),((база!$J$5*Таблица1[[#This Row],[сумма]]*Таблица1[[#This Row],[коэф]])))))))))))</f>
        <v>0</v>
      </c>
      <c r="AP90" s="715" t="b">
        <f>IF(AR90&lt;=3,(IF((G90="5/24"),((база!$M$6*2*Таблица1[[#This Row],[Столбец1]]*Таблица1[[#This Row],[коэф]])),
IF((G90="4/24"),((база!$M$5*2*Таблица1[[#This Row],[Столбец1]]*Таблица1[[#This Row],[коэф]])),
IF((G90="3/24"),((база!$M$4*2*Таблица1[[#This Row],[Столбец1]]*Таблица1[[#This Row],[коэф]])),
IF((G90="5/16"),((база!$L$6*2*Таблица1[[#This Row],[Столбец1]]*Таблица1[[#This Row],[коэф]])),
IF((G90="4/16"),((база!$L$5*2*Таблица1[[#This Row],[Столбец1]]*Таблица1[[#This Row],[коэф]])),
IF((G90="3/16"),((база!$L$4*2*Таблица1[[#This Row],[Столбец1]]*Таблица1[[#This Row],[коэф]])),
IF((G90="4/4"),((база!$I$5*2*Таблица1[[#This Row],[Столбец1]]*Таблица1[[#This Row],[коэф]])),
IF(OR(G90="2/4",G90="3/4"),((база!$I$4*2*Таблица1[[#This Row],[Столбец1]]*Таблица1[[#This Row],[коэф]])),
IF((G90="5/8"),((база!$J$6*2*Таблица1[[#This Row],[Столбец1]]*Таблица1[[#This Row],[коэф]])),
IF((G90="4/8"),((база!$J$5*2*Таблица1[[#This Row],[Столбец1]]*Таблица1[[#This Row],[коэф]])),
IF(OR(G90="3/8",G90="2/8"),((база!$J$4*2*Таблица1[[#This Row],[Столбец1]]*Таблица1[[#This Row],[коэф]])))))))))))))),
(IF((G90="5/24"),((база!$M$6*2*Таблица1[[#This Row],[Столбец1]]*Таблица1[[#This Row],[коэф]])),
IF(OR(G90="4/24",G90="3/24"),((база!$M$5*2*Таблица1[[#This Row],[Столбец1]]*Таблица1[[#This Row],[коэф]])),
IF((G90="5/16"),((база!$L$6*2*Таблица1[[#This Row],[Столбец1]]*Таблица1[[#This Row],[коэф]])),
IF(OR(G90="4/16",G90="3/16"),((база!$L$5*2*Таблица1[[#This Row],[Столбец1]]*Таблица1[[#This Row],[коэф]])),
IF(OR(G90="2/4",G90="3/4",G90="4/4"),((база!$I$5*2*Таблица1[[#This Row],[Столбец1]]*Таблица1[[#This Row],[коэф]])),
IF((G90="5/8"),((база!$J$6*2*Таблица1[[#This Row],[Столбец1]]*Таблица1[[#This Row],[коэф]])),
IF(OR(G90="4/8",G90="3/8",G90="2/8"),((база!$J$5*2*Таблица1[[#This Row],[Столбец1]]*Таблица1[[#This Row],[коэф]])))))))))))</f>
        <v>0</v>
      </c>
      <c r="AQ90" s="697" t="str">
        <f>IFERROR(INDEX(база!T:T, MATCH(F90,база!Q:Q,0)),"")</f>
        <v/>
      </c>
      <c r="AR90" s="207">
        <f>IFERROR(INDEX(база!D:D, MATCH(F90,база!B:B,0)),"")</f>
        <v>0</v>
      </c>
    </row>
    <row r="91" spans="1:44" ht="15">
      <c r="A91" s="66" t="str">
        <f t="shared" si="2"/>
        <v>декабрь</v>
      </c>
      <c r="B91" s="230">
        <v>2023</v>
      </c>
      <c r="C91" s="60"/>
      <c r="D91" s="61"/>
      <c r="E91" s="210"/>
      <c r="F91" s="669"/>
      <c r="G91" s="47"/>
      <c r="H91" s="212"/>
      <c r="I91" s="48"/>
      <c r="J91" s="48"/>
      <c r="K91" s="48"/>
      <c r="L91" s="48"/>
      <c r="M91" s="48"/>
      <c r="N91" s="49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  <c r="AA91" s="48"/>
      <c r="AB91" s="48"/>
      <c r="AC91" s="48"/>
      <c r="AD91" s="48"/>
      <c r="AE91" s="48"/>
      <c r="AF91" s="48"/>
      <c r="AG91" s="48"/>
      <c r="AH91" s="48"/>
      <c r="AI91" s="48"/>
      <c r="AJ91" s="48"/>
      <c r="AK91" s="48"/>
      <c r="AL91" s="51"/>
      <c r="AM91" s="211">
        <f>IF(AQ91=1,SUM(H91:I91,L91:O91,R91:U91,X91:AA91,AD91:AG91,AI91:AK91),
IF(AQ91=2,SUM(H91:K91,N91:Q91,T91:W91,Z91:AC91,AF91:AI91),
IF(AQ91=3,SUM(J91:M91,P91:S91,V91:Y91,AB91:AE91,AH91:AK91),SUM(Таблица1[[#This Row],[1]:[31]])-Таблица1[[#This Row],[Столбец1]])))</f>
        <v>0</v>
      </c>
      <c r="AN91" s="290">
        <f t="array" ref="AN91">IF(AQ91=1,SUM(J91:K91,P91:Q91,V91:W91,AB91:AC91,AH91:AI91),
IF(AQ91=2,SUM(L91:M91,R91:S91,X91:Y91,AD91:AE91),
IF(AQ91=3,SUM(H91:I91,N91:O91,T91:U91,Z91:AA91,AF91:AG91),
SUM(IFERROR(WEEKDAY($H$2:$AL$2,2)&gt;5,)*H91:AL91))))</f>
        <v>0</v>
      </c>
      <c r="AO91" s="292" t="b">
        <f>IF(AR91&lt;=3,(IF((G91="5/24"),((база!$M$6*Таблица1[[#This Row],[сумма]]*Таблица1[[#This Row],[коэф]])),
IF((G91="4/24"),((база!$M$5*Таблица1[[#This Row],[сумма]]*Таблица1[[#This Row],[коэф]])),
IF((G91="3/24"),((база!$M$4*Таблица1[[#This Row],[сумма]]*Таблица1[[#This Row],[коэф]])),
IF((G91="5/16"),((база!$L$6*Таблица1[[#This Row],[сумма]]*Таблица1[[#This Row],[коэф]])),
IF((G91="4/16"),((база!$L$5*Таблица1[[#This Row],[сумма]]*Таблица1[[#This Row],[коэф]])),
IF((G91="3/16"),((база!$L$4*Таблица1[[#This Row],[сумма]]*Таблица1[[#This Row],[коэф]])),
IF((G91="4/4"),((база!$I$5*Таблица1[[#This Row],[сумма]]*Таблица1[[#This Row],[коэф]])),
IF(OR(G91="2/4",G91="3/4"),((база!$I$4*Таблица1[[#This Row],[сумма]]*Таблица1[[#This Row],[коэф]])),
IF((G91="5/8"),((база!$J$6*Таблица1[[#This Row],[сумма]]*Таблица1[[#This Row],[коэф]])),
IF((G91="4/8"),((база!$J$5*Таблица1[[#This Row],[сумма]]*Таблица1[[#This Row],[коэф]])),
IF(OR(G91="3/8",G91="2/8"),((база!$J$4*Таблица1[[#This Row],[сумма]]*Таблица1[[#This Row],[коэф]])))))))))))))),
(IF((G91="5/24"),((база!$M$6*Таблица1[[#This Row],[сумма]]*Таблица1[[#This Row],[коэф]])),
IF(OR(G91="4/24",G91="3/24"),((база!$M$5*Таблица1[[#This Row],[сумма]]*Таблица1[[#This Row],[коэф]])),
IF((G91="5/16"),((база!$L$6*Таблица1[[#This Row],[сумма]]*Таблица1[[#This Row],[коэф]])),
IF(OR(G91="4/16",G91="3/16"),((база!$L$5*Таблица1[[#This Row],[сумма]]*Таблица1[[#This Row],[коэф]])),
IF(OR(G91="2/4",G91="3/4",G91="4/4"),((база!$I$5*Таблица1[[#This Row],[сумма]]*Таблица1[[#This Row],[коэф]])),
IF((G91="5/8"),((база!$J$6*Таблица1[[#This Row],[сумма]]*Таблица1[[#This Row],[коэф]])),
IF(OR(G91="4/8",G91="3/8",G91="2/8"),((база!$J$5*Таблица1[[#This Row],[сумма]]*Таблица1[[#This Row],[коэф]])))))))))))</f>
        <v>0</v>
      </c>
      <c r="AP91" s="715" t="b">
        <f>IF(AR91&lt;=3,(IF((G91="5/24"),((база!$M$6*2*Таблица1[[#This Row],[Столбец1]]*Таблица1[[#This Row],[коэф]])),
IF((G91="4/24"),((база!$M$5*2*Таблица1[[#This Row],[Столбец1]]*Таблица1[[#This Row],[коэф]])),
IF((G91="3/24"),((база!$M$4*2*Таблица1[[#This Row],[Столбец1]]*Таблица1[[#This Row],[коэф]])),
IF((G91="5/16"),((база!$L$6*2*Таблица1[[#This Row],[Столбец1]]*Таблица1[[#This Row],[коэф]])),
IF((G91="4/16"),((база!$L$5*2*Таблица1[[#This Row],[Столбец1]]*Таблица1[[#This Row],[коэф]])),
IF((G91="3/16"),((база!$L$4*2*Таблица1[[#This Row],[Столбец1]]*Таблица1[[#This Row],[коэф]])),
IF((G91="4/4"),((база!$I$5*2*Таблица1[[#This Row],[Столбец1]]*Таблица1[[#This Row],[коэф]])),
IF(OR(G91="2/4",G91="3/4"),((база!$I$4*2*Таблица1[[#This Row],[Столбец1]]*Таблица1[[#This Row],[коэф]])),
IF((G91="5/8"),((база!$J$6*2*Таблица1[[#This Row],[Столбец1]]*Таблица1[[#This Row],[коэф]])),
IF((G91="4/8"),((база!$J$5*2*Таблица1[[#This Row],[Столбец1]]*Таблица1[[#This Row],[коэф]])),
IF(OR(G91="3/8",G91="2/8"),((база!$J$4*2*Таблица1[[#This Row],[Столбец1]]*Таблица1[[#This Row],[коэф]])))))))))))))),
(IF((G91="5/24"),((база!$M$6*2*Таблица1[[#This Row],[Столбец1]]*Таблица1[[#This Row],[коэф]])),
IF(OR(G91="4/24",G91="3/24"),((база!$M$5*2*Таблица1[[#This Row],[Столбец1]]*Таблица1[[#This Row],[коэф]])),
IF((G91="5/16"),((база!$L$6*2*Таблица1[[#This Row],[Столбец1]]*Таблица1[[#This Row],[коэф]])),
IF(OR(G91="4/16",G91="3/16"),((база!$L$5*2*Таблица1[[#This Row],[Столбец1]]*Таблица1[[#This Row],[коэф]])),
IF(OR(G91="2/4",G91="3/4",G91="4/4"),((база!$I$5*2*Таблица1[[#This Row],[Столбец1]]*Таблица1[[#This Row],[коэф]])),
IF((G91="5/8"),((база!$J$6*2*Таблица1[[#This Row],[Столбец1]]*Таблица1[[#This Row],[коэф]])),
IF(OR(G91="4/8",G91="3/8",G91="2/8"),((база!$J$5*2*Таблица1[[#This Row],[Столбец1]]*Таблица1[[#This Row],[коэф]])))))))))))</f>
        <v>0</v>
      </c>
      <c r="AQ91" s="697" t="str">
        <f>IFERROR(INDEX(база!T:T, MATCH(F91,база!Q:Q,0)),"")</f>
        <v/>
      </c>
      <c r="AR91" s="207">
        <f>IFERROR(INDEX(база!D:D, MATCH(F91,база!B:B,0)),"")</f>
        <v>0</v>
      </c>
    </row>
    <row r="92" spans="1:44" ht="15.75" customHeight="1">
      <c r="A92" s="66" t="str">
        <f t="shared" si="2"/>
        <v>декабрь</v>
      </c>
      <c r="B92" s="230">
        <v>2023</v>
      </c>
      <c r="C92" s="60"/>
      <c r="D92" s="61"/>
      <c r="E92" s="210"/>
      <c r="F92" s="669"/>
      <c r="G92" s="47"/>
      <c r="H92" s="212"/>
      <c r="I92" s="48"/>
      <c r="J92" s="48"/>
      <c r="K92" s="48"/>
      <c r="L92" s="48"/>
      <c r="M92" s="48"/>
      <c r="N92" s="49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  <c r="AA92" s="48"/>
      <c r="AB92" s="48"/>
      <c r="AC92" s="48"/>
      <c r="AD92" s="48"/>
      <c r="AE92" s="48"/>
      <c r="AF92" s="48"/>
      <c r="AG92" s="48"/>
      <c r="AH92" s="48"/>
      <c r="AI92" s="48"/>
      <c r="AJ92" s="48"/>
      <c r="AK92" s="48"/>
      <c r="AL92" s="51"/>
      <c r="AM92" s="211">
        <f>IF(AQ92=1,SUM(H92:I92,L92:O92,R92:U92,X92:AA92,AD92:AG92,AI92:AK92),
IF(AQ92=2,SUM(H92:K92,N92:Q92,T92:W92,Z92:AC92,AF92:AI92),
IF(AQ92=3,SUM(J92:M92,P92:S92,V92:Y92,AB92:AE92,AH92:AK92),SUM(Таблица1[[#This Row],[1]:[31]])-Таблица1[[#This Row],[Столбец1]])))</f>
        <v>0</v>
      </c>
      <c r="AN92" s="290">
        <f t="array" ref="AN92">IF(AQ92=1,SUM(J92:K92,P92:Q92,V92:W92,AB92:AC92,AH92:AI92),
IF(AQ92=2,SUM(L92:M92,R92:S92,X92:Y92,AD92:AE92),
IF(AQ92=3,SUM(H92:I92,N92:O92,T92:U92,Z92:AA92,AF92:AG92),
SUM(IFERROR(WEEKDAY($H$2:$AL$2,2)&gt;5,)*H92:AL92))))</f>
        <v>0</v>
      </c>
      <c r="AO92" s="292" t="b">
        <f>IF(AR92&lt;=3,(IF((G92="5/24"),((база!$M$6*Таблица1[[#This Row],[сумма]]*Таблица1[[#This Row],[коэф]])),
IF((G92="4/24"),((база!$M$5*Таблица1[[#This Row],[сумма]]*Таблица1[[#This Row],[коэф]])),
IF((G92="3/24"),((база!$M$4*Таблица1[[#This Row],[сумма]]*Таблица1[[#This Row],[коэф]])),
IF((G92="5/16"),((база!$L$6*Таблица1[[#This Row],[сумма]]*Таблица1[[#This Row],[коэф]])),
IF((G92="4/16"),((база!$L$5*Таблица1[[#This Row],[сумма]]*Таблица1[[#This Row],[коэф]])),
IF((G92="3/16"),((база!$L$4*Таблица1[[#This Row],[сумма]]*Таблица1[[#This Row],[коэф]])),
IF((G92="4/4"),((база!$I$5*Таблица1[[#This Row],[сумма]]*Таблица1[[#This Row],[коэф]])),
IF(OR(G92="2/4",G92="3/4"),((база!$I$4*Таблица1[[#This Row],[сумма]]*Таблица1[[#This Row],[коэф]])),
IF((G92="5/8"),((база!$J$6*Таблица1[[#This Row],[сумма]]*Таблица1[[#This Row],[коэф]])),
IF((G92="4/8"),((база!$J$5*Таблица1[[#This Row],[сумма]]*Таблица1[[#This Row],[коэф]])),
IF(OR(G92="3/8",G92="2/8"),((база!$J$4*Таблица1[[#This Row],[сумма]]*Таблица1[[#This Row],[коэф]])))))))))))))),
(IF((G92="5/24"),((база!$M$6*Таблица1[[#This Row],[сумма]]*Таблица1[[#This Row],[коэф]])),
IF(OR(G92="4/24",G92="3/24"),((база!$M$5*Таблица1[[#This Row],[сумма]]*Таблица1[[#This Row],[коэф]])),
IF((G92="5/16"),((база!$L$6*Таблица1[[#This Row],[сумма]]*Таблица1[[#This Row],[коэф]])),
IF(OR(G92="4/16",G92="3/16"),((база!$L$5*Таблица1[[#This Row],[сумма]]*Таблица1[[#This Row],[коэф]])),
IF(OR(G92="2/4",G92="3/4",G92="4/4"),((база!$I$5*Таблица1[[#This Row],[сумма]]*Таблица1[[#This Row],[коэф]])),
IF((G92="5/8"),((база!$J$6*Таблица1[[#This Row],[сумма]]*Таблица1[[#This Row],[коэф]])),
IF(OR(G92="4/8",G92="3/8",G92="2/8"),((база!$J$5*Таблица1[[#This Row],[сумма]]*Таблица1[[#This Row],[коэф]])))))))))))</f>
        <v>0</v>
      </c>
      <c r="AP92" s="715" t="b">
        <f>IF(AR92&lt;=3,(IF((G92="5/24"),((база!$M$6*2*Таблица1[[#This Row],[Столбец1]]*Таблица1[[#This Row],[коэф]])),
IF((G92="4/24"),((база!$M$5*2*Таблица1[[#This Row],[Столбец1]]*Таблица1[[#This Row],[коэф]])),
IF((G92="3/24"),((база!$M$4*2*Таблица1[[#This Row],[Столбец1]]*Таблица1[[#This Row],[коэф]])),
IF((G92="5/16"),((база!$L$6*2*Таблица1[[#This Row],[Столбец1]]*Таблица1[[#This Row],[коэф]])),
IF((G92="4/16"),((база!$L$5*2*Таблица1[[#This Row],[Столбец1]]*Таблица1[[#This Row],[коэф]])),
IF((G92="3/16"),((база!$L$4*2*Таблица1[[#This Row],[Столбец1]]*Таблица1[[#This Row],[коэф]])),
IF((G92="4/4"),((база!$I$5*2*Таблица1[[#This Row],[Столбец1]]*Таблица1[[#This Row],[коэф]])),
IF(OR(G92="2/4",G92="3/4"),((база!$I$4*2*Таблица1[[#This Row],[Столбец1]]*Таблица1[[#This Row],[коэф]])),
IF((G92="5/8"),((база!$J$6*2*Таблица1[[#This Row],[Столбец1]]*Таблица1[[#This Row],[коэф]])),
IF((G92="4/8"),((база!$J$5*2*Таблица1[[#This Row],[Столбец1]]*Таблица1[[#This Row],[коэф]])),
IF(OR(G92="3/8",G92="2/8"),((база!$J$4*2*Таблица1[[#This Row],[Столбец1]]*Таблица1[[#This Row],[коэф]])))))))))))))),
(IF((G92="5/24"),((база!$M$6*2*Таблица1[[#This Row],[Столбец1]]*Таблица1[[#This Row],[коэф]])),
IF(OR(G92="4/24",G92="3/24"),((база!$M$5*2*Таблица1[[#This Row],[Столбец1]]*Таблица1[[#This Row],[коэф]])),
IF((G92="5/16"),((база!$L$6*2*Таблица1[[#This Row],[Столбец1]]*Таблица1[[#This Row],[коэф]])),
IF(OR(G92="4/16",G92="3/16"),((база!$L$5*2*Таблица1[[#This Row],[Столбец1]]*Таблица1[[#This Row],[коэф]])),
IF(OR(G92="2/4",G92="3/4",G92="4/4"),((база!$I$5*2*Таблица1[[#This Row],[Столбец1]]*Таблица1[[#This Row],[коэф]])),
IF((G92="5/8"),((база!$J$6*2*Таблица1[[#This Row],[Столбец1]]*Таблица1[[#This Row],[коэф]])),
IF(OR(G92="4/8",G92="3/8",G92="2/8"),((база!$J$5*2*Таблица1[[#This Row],[Столбец1]]*Таблица1[[#This Row],[коэф]])))))))))))</f>
        <v>0</v>
      </c>
      <c r="AQ92" s="697" t="str">
        <f>IFERROR(INDEX(база!T:T, MATCH(F92,база!Q:Q,0)),"")</f>
        <v/>
      </c>
      <c r="AR92" s="207">
        <f>IFERROR(INDEX(база!D:D, MATCH(F92,база!B:B,0)),"")</f>
        <v>0</v>
      </c>
    </row>
    <row r="93" spans="1:44" ht="15.75" customHeight="1">
      <c r="A93" s="66" t="str">
        <f t="shared" si="2"/>
        <v>декабрь</v>
      </c>
      <c r="B93" s="230">
        <v>2023</v>
      </c>
      <c r="C93" s="60"/>
      <c r="D93" s="61"/>
      <c r="E93" s="210"/>
      <c r="F93" s="669"/>
      <c r="G93" s="47"/>
      <c r="H93" s="563"/>
      <c r="I93" s="563"/>
      <c r="J93" s="563"/>
      <c r="K93" s="48"/>
      <c r="L93" s="48"/>
      <c r="M93" s="563"/>
      <c r="N93" s="563"/>
      <c r="O93" s="563"/>
      <c r="P93" s="300"/>
      <c r="Q93" s="563"/>
      <c r="R93" s="563"/>
      <c r="S93" s="563"/>
      <c r="T93" s="563"/>
      <c r="U93" s="563"/>
      <c r="V93" s="563"/>
      <c r="W93" s="563"/>
      <c r="X93" s="563"/>
      <c r="Y93" s="48"/>
      <c r="Z93" s="48"/>
      <c r="AA93" s="48"/>
      <c r="AB93" s="48"/>
      <c r="AC93" s="48"/>
      <c r="AD93" s="48"/>
      <c r="AE93" s="48"/>
      <c r="AF93" s="48"/>
      <c r="AG93" s="48"/>
      <c r="AH93" s="48"/>
      <c r="AI93" s="48"/>
      <c r="AJ93" s="48"/>
      <c r="AK93" s="48"/>
      <c r="AL93" s="51"/>
      <c r="AM93" s="211">
        <f>IF(AQ93=1,SUM(H93:I93,L93:O93,R93:U93,X93:AA93,AD93:AG93,AI93:AK93),
IF(AQ93=2,SUM(H93:K93,N93:Q93,T93:W93,Z93:AC93,AF93:AI93),
IF(AQ93=3,SUM(J93:M93,P93:S93,V93:Y93,AB93:AE93,AH93:AK93),SUM(Таблица1[[#This Row],[1]:[31]])-Таблица1[[#This Row],[Столбец1]])))</f>
        <v>0</v>
      </c>
      <c r="AN93" s="290">
        <f t="array" ref="AN93">IF(AQ93=1,SUM(J93:K93,P93:Q93,V93:W93,AB93:AC93,AH93:AI93),
IF(AQ93=2,SUM(L93:M93,R93:S93,X93:Y93,AD93:AE93),
IF(AQ93=3,SUM(H93:I93,N93:O93,T93:U93,Z93:AA93,AF93:AG93),
SUM(IFERROR(WEEKDAY($H$2:$AL$2,2)&gt;5,)*H93:AL93))))</f>
        <v>0</v>
      </c>
      <c r="AO93" s="292" t="b">
        <f>IF(AR93&lt;=3,(IF((G93="5/24"),((база!$M$6*Таблица1[[#This Row],[сумма]]*Таблица1[[#This Row],[коэф]])),
IF((G93="4/24"),((база!$M$5*Таблица1[[#This Row],[сумма]]*Таблица1[[#This Row],[коэф]])),
IF((G93="3/24"),((база!$M$4*Таблица1[[#This Row],[сумма]]*Таблица1[[#This Row],[коэф]])),
IF((G93="5/16"),((база!$L$6*Таблица1[[#This Row],[сумма]]*Таблица1[[#This Row],[коэф]])),
IF((G93="4/16"),((база!$L$5*Таблица1[[#This Row],[сумма]]*Таблица1[[#This Row],[коэф]])),
IF((G93="3/16"),((база!$L$4*Таблица1[[#This Row],[сумма]]*Таблица1[[#This Row],[коэф]])),
IF((G93="4/4"),((база!$I$5*Таблица1[[#This Row],[сумма]]*Таблица1[[#This Row],[коэф]])),
IF(OR(G93="2/4",G93="3/4"),((база!$I$4*Таблица1[[#This Row],[сумма]]*Таблица1[[#This Row],[коэф]])),
IF((G93="5/8"),((база!$J$6*Таблица1[[#This Row],[сумма]]*Таблица1[[#This Row],[коэф]])),
IF((G93="4/8"),((база!$J$5*Таблица1[[#This Row],[сумма]]*Таблица1[[#This Row],[коэф]])),
IF(OR(G93="3/8",G93="2/8"),((база!$J$4*Таблица1[[#This Row],[сумма]]*Таблица1[[#This Row],[коэф]])))))))))))))),
(IF((G93="5/24"),((база!$M$6*Таблица1[[#This Row],[сумма]]*Таблица1[[#This Row],[коэф]])),
IF(OR(G93="4/24",G93="3/24"),((база!$M$5*Таблица1[[#This Row],[сумма]]*Таблица1[[#This Row],[коэф]])),
IF((G93="5/16"),((база!$L$6*Таблица1[[#This Row],[сумма]]*Таблица1[[#This Row],[коэф]])),
IF(OR(G93="4/16",G93="3/16"),((база!$L$5*Таблица1[[#This Row],[сумма]]*Таблица1[[#This Row],[коэф]])),
IF(OR(G93="2/4",G93="3/4",G93="4/4"),((база!$I$5*Таблица1[[#This Row],[сумма]]*Таблица1[[#This Row],[коэф]])),
IF((G93="5/8"),((база!$J$6*Таблица1[[#This Row],[сумма]]*Таблица1[[#This Row],[коэф]])),
IF(OR(G93="4/8",G93="3/8",G93="2/8"),((база!$J$5*Таблица1[[#This Row],[сумма]]*Таблица1[[#This Row],[коэф]])))))))))))</f>
        <v>0</v>
      </c>
      <c r="AP93" s="715" t="b">
        <f>IF(AR93&lt;=3,(IF((G93="5/24"),((база!$M$6*2*Таблица1[[#This Row],[Столбец1]]*Таблица1[[#This Row],[коэф]])),
IF((G93="4/24"),((база!$M$5*2*Таблица1[[#This Row],[Столбец1]]*Таблица1[[#This Row],[коэф]])),
IF((G93="3/24"),((база!$M$4*2*Таблица1[[#This Row],[Столбец1]]*Таблица1[[#This Row],[коэф]])),
IF((G93="5/16"),((база!$L$6*2*Таблица1[[#This Row],[Столбец1]]*Таблица1[[#This Row],[коэф]])),
IF((G93="4/16"),((база!$L$5*2*Таблица1[[#This Row],[Столбец1]]*Таблица1[[#This Row],[коэф]])),
IF((G93="3/16"),((база!$L$4*2*Таблица1[[#This Row],[Столбец1]]*Таблица1[[#This Row],[коэф]])),
IF((G93="4/4"),((база!$I$5*2*Таблица1[[#This Row],[Столбец1]]*Таблица1[[#This Row],[коэф]])),
IF(OR(G93="2/4",G93="3/4"),((база!$I$4*2*Таблица1[[#This Row],[Столбец1]]*Таблица1[[#This Row],[коэф]])),
IF((G93="5/8"),((база!$J$6*2*Таблица1[[#This Row],[Столбец1]]*Таблица1[[#This Row],[коэф]])),
IF((G93="4/8"),((база!$J$5*2*Таблица1[[#This Row],[Столбец1]]*Таблица1[[#This Row],[коэф]])),
IF(OR(G93="3/8",G93="2/8"),((база!$J$4*2*Таблица1[[#This Row],[Столбец1]]*Таблица1[[#This Row],[коэф]])))))))))))))),
(IF((G93="5/24"),((база!$M$6*2*Таблица1[[#This Row],[Столбец1]]*Таблица1[[#This Row],[коэф]])),
IF(OR(G93="4/24",G93="3/24"),((база!$M$5*2*Таблица1[[#This Row],[Столбец1]]*Таблица1[[#This Row],[коэф]])),
IF((G93="5/16"),((база!$L$6*2*Таблица1[[#This Row],[Столбец1]]*Таблица1[[#This Row],[коэф]])),
IF(OR(G93="4/16",G93="3/16"),((база!$L$5*2*Таблица1[[#This Row],[Столбец1]]*Таблица1[[#This Row],[коэф]])),
IF(OR(G93="2/4",G93="3/4",G93="4/4"),((база!$I$5*2*Таблица1[[#This Row],[Столбец1]]*Таблица1[[#This Row],[коэф]])),
IF((G93="5/8"),((база!$J$6*2*Таблица1[[#This Row],[Столбец1]]*Таблица1[[#This Row],[коэф]])),
IF(OR(G93="4/8",G93="3/8",G93="2/8"),((база!$J$5*2*Таблица1[[#This Row],[Столбец1]]*Таблица1[[#This Row],[коэф]])))))))))))</f>
        <v>0</v>
      </c>
      <c r="AQ93" s="697" t="str">
        <f>IFERROR(INDEX(база!T:T, MATCH(F93,база!Q:Q,0)),"")</f>
        <v/>
      </c>
      <c r="AR93" s="207">
        <f>IFERROR(INDEX(база!D:D, MATCH(F93,база!B:B,0)),"")</f>
        <v>0</v>
      </c>
    </row>
    <row r="94" spans="1:44" ht="15.75" customHeight="1">
      <c r="A94" s="66" t="str">
        <f t="shared" si="2"/>
        <v>декабрь</v>
      </c>
      <c r="B94" s="230">
        <v>2023</v>
      </c>
      <c r="C94" s="299"/>
      <c r="D94" s="61"/>
      <c r="E94" s="210"/>
      <c r="F94" s="669"/>
      <c r="G94" s="47"/>
      <c r="H94" s="563"/>
      <c r="I94" s="563"/>
      <c r="J94" s="48"/>
      <c r="K94" s="48"/>
      <c r="L94" s="48"/>
      <c r="M94" s="48"/>
      <c r="N94" s="49"/>
      <c r="O94" s="48"/>
      <c r="P94" s="48"/>
      <c r="Q94" s="48"/>
      <c r="R94" s="48"/>
      <c r="S94" s="48"/>
      <c r="T94" s="563"/>
      <c r="U94" s="563"/>
      <c r="V94" s="48"/>
      <c r="W94" s="48"/>
      <c r="X94" s="48"/>
      <c r="Y94" s="48"/>
      <c r="Z94" s="48"/>
      <c r="AA94" s="48"/>
      <c r="AB94" s="48"/>
      <c r="AC94" s="48"/>
      <c r="AD94" s="48"/>
      <c r="AE94" s="48"/>
      <c r="AF94" s="51"/>
      <c r="AG94" s="51"/>
      <c r="AH94" s="51"/>
      <c r="AI94" s="51"/>
      <c r="AJ94" s="51"/>
      <c r="AK94" s="51"/>
      <c r="AL94" s="51"/>
      <c r="AM94" s="211">
        <f>IF(AQ94=1,SUM(H94:I94,L94:O94,R94:U94,X94:AA94,AD94:AG94,AI94:AK94),
IF(AQ94=2,SUM(H94:K94,N94:Q94,T94:W94,Z94:AC94,AF94:AI94),
IF(AQ94=3,SUM(J94:M94,P94:S94,V94:Y94,AB94:AE94,AH94:AK94),SUM(Таблица1[[#This Row],[1]:[31]])-Таблица1[[#This Row],[Столбец1]])))</f>
        <v>0</v>
      </c>
      <c r="AN94" s="290">
        <f t="array" ref="AN94">IF(AQ94=1,SUM(J94:K94,P94:Q94,V94:W94,AB94:AC94,AH94:AI94),
IF(AQ94=2,SUM(L94:M94,R94:S94,X94:Y94,AD94:AE94),
IF(AQ94=3,SUM(H94:I94,N94:O94,T94:U94,Z94:AA94,AF94:AG94),
SUM(IFERROR(WEEKDAY($H$2:$AL$2,2)&gt;5,)*H94:AL94))))</f>
        <v>0</v>
      </c>
      <c r="AO94" s="292" t="b">
        <f>IF(AR94&lt;=3,(IF((G94="5/24"),((база!$M$6*Таблица1[[#This Row],[сумма]]*Таблица1[[#This Row],[коэф]])),
IF((G94="4/24"),((база!$M$5*Таблица1[[#This Row],[сумма]]*Таблица1[[#This Row],[коэф]])),
IF((G94="3/24"),((база!$M$4*Таблица1[[#This Row],[сумма]]*Таблица1[[#This Row],[коэф]])),
IF((G94="5/16"),((база!$L$6*Таблица1[[#This Row],[сумма]]*Таблица1[[#This Row],[коэф]])),
IF((G94="4/16"),((база!$L$5*Таблица1[[#This Row],[сумма]]*Таблица1[[#This Row],[коэф]])),
IF((G94="3/16"),((база!$L$4*Таблица1[[#This Row],[сумма]]*Таблица1[[#This Row],[коэф]])),
IF((G94="4/4"),((база!$I$5*Таблица1[[#This Row],[сумма]]*Таблица1[[#This Row],[коэф]])),
IF(OR(G94="2/4",G94="3/4"),((база!$I$4*Таблица1[[#This Row],[сумма]]*Таблица1[[#This Row],[коэф]])),
IF((G94="5/8"),((база!$J$6*Таблица1[[#This Row],[сумма]]*Таблица1[[#This Row],[коэф]])),
IF((G94="4/8"),((база!$J$5*Таблица1[[#This Row],[сумма]]*Таблица1[[#This Row],[коэф]])),
IF(OR(G94="3/8",G94="2/8"),((база!$J$4*Таблица1[[#This Row],[сумма]]*Таблица1[[#This Row],[коэф]])))))))))))))),
(IF((G94="5/24"),((база!$M$6*Таблица1[[#This Row],[сумма]]*Таблица1[[#This Row],[коэф]])),
IF(OR(G94="4/24",G94="3/24"),((база!$M$5*Таблица1[[#This Row],[сумма]]*Таблица1[[#This Row],[коэф]])),
IF((G94="5/16"),((база!$L$6*Таблица1[[#This Row],[сумма]]*Таблица1[[#This Row],[коэф]])),
IF(OR(G94="4/16",G94="3/16"),((база!$L$5*Таблица1[[#This Row],[сумма]]*Таблица1[[#This Row],[коэф]])),
IF(OR(G94="2/4",G94="3/4",G94="4/4"),((база!$I$5*Таблица1[[#This Row],[сумма]]*Таблица1[[#This Row],[коэф]])),
IF((G94="5/8"),((база!$J$6*Таблица1[[#This Row],[сумма]]*Таблица1[[#This Row],[коэф]])),
IF(OR(G94="4/8",G94="3/8",G94="2/8"),((база!$J$5*Таблица1[[#This Row],[сумма]]*Таблица1[[#This Row],[коэф]])))))))))))</f>
        <v>0</v>
      </c>
      <c r="AP94" s="715" t="b">
        <f>IF(AR94&lt;=3,(IF((G94="5/24"),((база!$M$6*2*Таблица1[[#This Row],[Столбец1]]*Таблица1[[#This Row],[коэф]])),
IF((G94="4/24"),((база!$M$5*2*Таблица1[[#This Row],[Столбец1]]*Таблица1[[#This Row],[коэф]])),
IF((G94="3/24"),((база!$M$4*2*Таблица1[[#This Row],[Столбец1]]*Таблица1[[#This Row],[коэф]])),
IF((G94="5/16"),((база!$L$6*2*Таблица1[[#This Row],[Столбец1]]*Таблица1[[#This Row],[коэф]])),
IF((G94="4/16"),((база!$L$5*2*Таблица1[[#This Row],[Столбец1]]*Таблица1[[#This Row],[коэф]])),
IF((G94="3/16"),((база!$L$4*2*Таблица1[[#This Row],[Столбец1]]*Таблица1[[#This Row],[коэф]])),
IF((G94="4/4"),((база!$I$5*2*Таблица1[[#This Row],[Столбец1]]*Таблица1[[#This Row],[коэф]])),
IF(OR(G94="2/4",G94="3/4"),((база!$I$4*2*Таблица1[[#This Row],[Столбец1]]*Таблица1[[#This Row],[коэф]])),
IF((G94="5/8"),((база!$J$6*2*Таблица1[[#This Row],[Столбец1]]*Таблица1[[#This Row],[коэф]])),
IF((G94="4/8"),((база!$J$5*2*Таблица1[[#This Row],[Столбец1]]*Таблица1[[#This Row],[коэф]])),
IF(OR(G94="3/8",G94="2/8"),((база!$J$4*2*Таблица1[[#This Row],[Столбец1]]*Таблица1[[#This Row],[коэф]])))))))))))))),
(IF((G94="5/24"),((база!$M$6*2*Таблица1[[#This Row],[Столбец1]]*Таблица1[[#This Row],[коэф]])),
IF(OR(G94="4/24",G94="3/24"),((база!$M$5*2*Таблица1[[#This Row],[Столбец1]]*Таблица1[[#This Row],[коэф]])),
IF((G94="5/16"),((база!$L$6*2*Таблица1[[#This Row],[Столбец1]]*Таблица1[[#This Row],[коэф]])),
IF(OR(G94="4/16",G94="3/16"),((база!$L$5*2*Таблица1[[#This Row],[Столбец1]]*Таблица1[[#This Row],[коэф]])),
IF(OR(G94="2/4",G94="3/4",G94="4/4"),((база!$I$5*2*Таблица1[[#This Row],[Столбец1]]*Таблица1[[#This Row],[коэф]])),
IF((G94="5/8"),((база!$J$6*2*Таблица1[[#This Row],[Столбец1]]*Таблица1[[#This Row],[коэф]])),
IF(OR(G94="4/8",G94="3/8",G94="2/8"),((база!$J$5*2*Таблица1[[#This Row],[Столбец1]]*Таблица1[[#This Row],[коэф]])))))))))))</f>
        <v>0</v>
      </c>
      <c r="AQ94" s="697" t="str">
        <f>IFERROR(INDEX(база!T:T, MATCH(F94,база!Q:Q,0)),"")</f>
        <v/>
      </c>
      <c r="AR94" s="207">
        <f>IFERROR(INDEX(база!D:D, MATCH(F94,база!B:B,0)),"")</f>
        <v>0</v>
      </c>
    </row>
    <row r="95" spans="1:44" ht="15.75" customHeight="1">
      <c r="A95" s="66" t="str">
        <f t="shared" si="2"/>
        <v>декабрь</v>
      </c>
      <c r="B95" s="230">
        <v>2023</v>
      </c>
      <c r="C95" s="60"/>
      <c r="D95" s="61"/>
      <c r="E95" s="210"/>
      <c r="F95" s="669"/>
      <c r="G95" s="47"/>
      <c r="H95" s="563"/>
      <c r="I95" s="563"/>
      <c r="J95" s="48"/>
      <c r="K95" s="48"/>
      <c r="L95" s="48"/>
      <c r="M95" s="48"/>
      <c r="N95" s="49"/>
      <c r="O95" s="48"/>
      <c r="P95" s="48"/>
      <c r="Q95" s="48"/>
      <c r="R95" s="563"/>
      <c r="S95" s="563"/>
      <c r="T95" s="563"/>
      <c r="U95" s="563"/>
      <c r="V95" s="563"/>
      <c r="W95" s="563"/>
      <c r="X95" s="563"/>
      <c r="Y95" s="48"/>
      <c r="Z95" s="48"/>
      <c r="AA95" s="48"/>
      <c r="AB95" s="48"/>
      <c r="AC95" s="48"/>
      <c r="AD95" s="48"/>
      <c r="AE95" s="48"/>
      <c r="AF95" s="48"/>
      <c r="AG95" s="48"/>
      <c r="AH95" s="48"/>
      <c r="AI95" s="48"/>
      <c r="AJ95" s="51"/>
      <c r="AK95" s="51"/>
      <c r="AL95" s="51"/>
      <c r="AM95" s="211">
        <f>IF(AQ95=1,SUM(H95:I95,L95:O95,R95:U95,X95:AA95,AD95:AG95,AI95:AK95),
IF(AQ95=2,SUM(H95:K95,N95:Q95,T95:W95,Z95:AC95,AF95:AI95),
IF(AQ95=3,SUM(J95:M95,P95:S95,V95:Y95,AB95:AE95,AH95:AK95),SUM(Таблица1[[#This Row],[1]:[31]])-Таблица1[[#This Row],[Столбец1]])))</f>
        <v>0</v>
      </c>
      <c r="AN95" s="290">
        <f t="array" ref="AN95">IF(AQ95=1,SUM(J95:K95,P95:Q95,V95:W95,AB95:AC95,AH95:AI95),
IF(AQ95=2,SUM(L95:M95,R95:S95,X95:Y95,AD95:AE95),
IF(AQ95=3,SUM(H95:I95,N95:O95,T95:U95,Z95:AA95,AF95:AG95),
SUM(IFERROR(WEEKDAY($H$2:$AL$2,2)&gt;5,)*H95:AL95))))</f>
        <v>0</v>
      </c>
      <c r="AO95" s="292" t="b">
        <f>IF(AR95&lt;=3,(IF((G95="5/24"),((база!$M$6*Таблица1[[#This Row],[сумма]]*Таблица1[[#This Row],[коэф]])),
IF((G95="4/24"),((база!$M$5*Таблица1[[#This Row],[сумма]]*Таблица1[[#This Row],[коэф]])),
IF((G95="3/24"),((база!$M$4*Таблица1[[#This Row],[сумма]]*Таблица1[[#This Row],[коэф]])),
IF((G95="5/16"),((база!$L$6*Таблица1[[#This Row],[сумма]]*Таблица1[[#This Row],[коэф]])),
IF((G95="4/16"),((база!$L$5*Таблица1[[#This Row],[сумма]]*Таблица1[[#This Row],[коэф]])),
IF((G95="3/16"),((база!$L$4*Таблица1[[#This Row],[сумма]]*Таблица1[[#This Row],[коэф]])),
IF((G95="4/4"),((база!$I$5*Таблица1[[#This Row],[сумма]]*Таблица1[[#This Row],[коэф]])),
IF(OR(G95="2/4",G95="3/4"),((база!$I$4*Таблица1[[#This Row],[сумма]]*Таблица1[[#This Row],[коэф]])),
IF((G95="5/8"),((база!$J$6*Таблица1[[#This Row],[сумма]]*Таблица1[[#This Row],[коэф]])),
IF((G95="4/8"),((база!$J$5*Таблица1[[#This Row],[сумма]]*Таблица1[[#This Row],[коэф]])),
IF(OR(G95="3/8",G95="2/8"),((база!$J$4*Таблица1[[#This Row],[сумма]]*Таблица1[[#This Row],[коэф]])))))))))))))),
(IF((G95="5/24"),((база!$M$6*Таблица1[[#This Row],[сумма]]*Таблица1[[#This Row],[коэф]])),
IF(OR(G95="4/24",G95="3/24"),((база!$M$5*Таблица1[[#This Row],[сумма]]*Таблица1[[#This Row],[коэф]])),
IF((G95="5/16"),((база!$L$6*Таблица1[[#This Row],[сумма]]*Таблица1[[#This Row],[коэф]])),
IF(OR(G95="4/16",G95="3/16"),((база!$L$5*Таблица1[[#This Row],[сумма]]*Таблица1[[#This Row],[коэф]])),
IF(OR(G95="2/4",G95="3/4",G95="4/4"),((база!$I$5*Таблица1[[#This Row],[сумма]]*Таблица1[[#This Row],[коэф]])),
IF((G95="5/8"),((база!$J$6*Таблица1[[#This Row],[сумма]]*Таблица1[[#This Row],[коэф]])),
IF(OR(G95="4/8",G95="3/8",G95="2/8"),((база!$J$5*Таблица1[[#This Row],[сумма]]*Таблица1[[#This Row],[коэф]])))))))))))</f>
        <v>0</v>
      </c>
      <c r="AP95" s="715" t="b">
        <f>IF(AR95&lt;=3,(IF((G95="5/24"),((база!$M$6*2*Таблица1[[#This Row],[Столбец1]]*Таблица1[[#This Row],[коэф]])),
IF((G95="4/24"),((база!$M$5*2*Таблица1[[#This Row],[Столбец1]]*Таблица1[[#This Row],[коэф]])),
IF((G95="3/24"),((база!$M$4*2*Таблица1[[#This Row],[Столбец1]]*Таблица1[[#This Row],[коэф]])),
IF((G95="5/16"),((база!$L$6*2*Таблица1[[#This Row],[Столбец1]]*Таблица1[[#This Row],[коэф]])),
IF((G95="4/16"),((база!$L$5*2*Таблица1[[#This Row],[Столбец1]]*Таблица1[[#This Row],[коэф]])),
IF((G95="3/16"),((база!$L$4*2*Таблица1[[#This Row],[Столбец1]]*Таблица1[[#This Row],[коэф]])),
IF((G95="4/4"),((база!$I$5*2*Таблица1[[#This Row],[Столбец1]]*Таблица1[[#This Row],[коэф]])),
IF(OR(G95="2/4",G95="3/4"),((база!$I$4*2*Таблица1[[#This Row],[Столбец1]]*Таблица1[[#This Row],[коэф]])),
IF((G95="5/8"),((база!$J$6*2*Таблица1[[#This Row],[Столбец1]]*Таблица1[[#This Row],[коэф]])),
IF((G95="4/8"),((база!$J$5*2*Таблица1[[#This Row],[Столбец1]]*Таблица1[[#This Row],[коэф]])),
IF(OR(G95="3/8",G95="2/8"),((база!$J$4*2*Таблица1[[#This Row],[Столбец1]]*Таблица1[[#This Row],[коэф]])))))))))))))),
(IF((G95="5/24"),((база!$M$6*2*Таблица1[[#This Row],[Столбец1]]*Таблица1[[#This Row],[коэф]])),
IF(OR(G95="4/24",G95="3/24"),((база!$M$5*2*Таблица1[[#This Row],[Столбец1]]*Таблица1[[#This Row],[коэф]])),
IF((G95="5/16"),((база!$L$6*2*Таблица1[[#This Row],[Столбец1]]*Таблица1[[#This Row],[коэф]])),
IF(OR(G95="4/16",G95="3/16"),((база!$L$5*2*Таблица1[[#This Row],[Столбец1]]*Таблица1[[#This Row],[коэф]])),
IF(OR(G95="2/4",G95="3/4",G95="4/4"),((база!$I$5*2*Таблица1[[#This Row],[Столбец1]]*Таблица1[[#This Row],[коэф]])),
IF((G95="5/8"),((база!$J$6*2*Таблица1[[#This Row],[Столбец1]]*Таблица1[[#This Row],[коэф]])),
IF(OR(G95="4/8",G95="3/8",G95="2/8"),((база!$J$5*2*Таблица1[[#This Row],[Столбец1]]*Таблица1[[#This Row],[коэф]])))))))))))</f>
        <v>0</v>
      </c>
      <c r="AQ95" s="697" t="str">
        <f>IFERROR(INDEX(база!T:T, MATCH(F95,база!Q:Q,0)),"")</f>
        <v/>
      </c>
      <c r="AR95" s="207">
        <f>IFERROR(INDEX(база!D:D, MATCH(F95,база!B:B,0)),"")</f>
        <v>0</v>
      </c>
    </row>
    <row r="96" spans="1:44" ht="15" customHeight="1">
      <c r="A96" s="66" t="str">
        <f t="shared" si="2"/>
        <v>декабрь</v>
      </c>
      <c r="B96" s="230">
        <v>2023</v>
      </c>
      <c r="C96" s="299"/>
      <c r="D96" s="61"/>
      <c r="E96" s="210"/>
      <c r="F96" s="669"/>
      <c r="G96" s="47"/>
      <c r="H96" s="563"/>
      <c r="I96" s="563"/>
      <c r="J96" s="563"/>
      <c r="K96" s="563"/>
      <c r="L96" s="563"/>
      <c r="M96" s="563"/>
      <c r="N96" s="563"/>
      <c r="O96" s="563"/>
      <c r="P96" s="300"/>
      <c r="Q96" s="563"/>
      <c r="R96" s="563"/>
      <c r="S96" s="563"/>
      <c r="T96" s="563"/>
      <c r="U96" s="563"/>
      <c r="V96" s="563"/>
      <c r="W96" s="563"/>
      <c r="X96" s="563"/>
      <c r="Y96" s="48"/>
      <c r="Z96" s="48"/>
      <c r="AA96" s="48"/>
      <c r="AB96" s="48"/>
      <c r="AC96" s="48"/>
      <c r="AD96" s="48"/>
      <c r="AE96" s="48"/>
      <c r="AF96" s="48"/>
      <c r="AG96" s="48"/>
      <c r="AH96" s="48"/>
      <c r="AI96" s="48"/>
      <c r="AJ96" s="48"/>
      <c r="AK96" s="51"/>
      <c r="AL96" s="51"/>
      <c r="AM96" s="211">
        <f>IF(AQ96=1,SUM(H96:I96,L96:O96,R96:U96,X96:AA96,AD96:AG96,AI96:AK96),
IF(AQ96=2,SUM(H96:K96,N96:Q96,T96:W96,Z96:AC96,AF96:AI96),
IF(AQ96=3,SUM(J96:M96,P96:S96,V96:Y96,AB96:AE96,AH96:AK96),SUM(Таблица1[[#This Row],[1]:[31]])-Таблица1[[#This Row],[Столбец1]])))</f>
        <v>0</v>
      </c>
      <c r="AN96" s="290">
        <f t="array" ref="AN96">IF(AQ96=1,SUM(J96:K96,P96:Q96,V96:W96,AB96:AC96,AH96:AI96),
IF(AQ96=2,SUM(L96:M96,R96:S96,X96:Y96,AD96:AE96),
IF(AQ96=3,SUM(H96:I96,N96:O96,T96:U96,Z96:AA96,AF96:AG96),
SUM(IFERROR(WEEKDAY($H$2:$AL$2,2)&gt;5,)*H96:AL96))))</f>
        <v>0</v>
      </c>
      <c r="AO96" s="292" t="b">
        <f>IF(AR96&lt;=3,(IF((G96="5/24"),((база!$M$6*Таблица1[[#This Row],[сумма]]*Таблица1[[#This Row],[коэф]])),
IF((G96="4/24"),((база!$M$5*Таблица1[[#This Row],[сумма]]*Таблица1[[#This Row],[коэф]])),
IF((G96="3/24"),((база!$M$4*Таблица1[[#This Row],[сумма]]*Таблица1[[#This Row],[коэф]])),
IF((G96="5/16"),((база!$L$6*Таблица1[[#This Row],[сумма]]*Таблица1[[#This Row],[коэф]])),
IF((G96="4/16"),((база!$L$5*Таблица1[[#This Row],[сумма]]*Таблица1[[#This Row],[коэф]])),
IF((G96="3/16"),((база!$L$4*Таблица1[[#This Row],[сумма]]*Таблица1[[#This Row],[коэф]])),
IF((G96="4/4"),((база!$I$5*Таблица1[[#This Row],[сумма]]*Таблица1[[#This Row],[коэф]])),
IF(OR(G96="2/4",G96="3/4"),((база!$I$4*Таблица1[[#This Row],[сумма]]*Таблица1[[#This Row],[коэф]])),
IF((G96="5/8"),((база!$J$6*Таблица1[[#This Row],[сумма]]*Таблица1[[#This Row],[коэф]])),
IF((G96="4/8"),((база!$J$5*Таблица1[[#This Row],[сумма]]*Таблица1[[#This Row],[коэф]])),
IF(OR(G96="3/8",G96="2/8"),((база!$J$4*Таблица1[[#This Row],[сумма]]*Таблица1[[#This Row],[коэф]])))))))))))))),
(IF((G96="5/24"),((база!$M$6*Таблица1[[#This Row],[сумма]]*Таблица1[[#This Row],[коэф]])),
IF(OR(G96="4/24",G96="3/24"),((база!$M$5*Таблица1[[#This Row],[сумма]]*Таблица1[[#This Row],[коэф]])),
IF((G96="5/16"),((база!$L$6*Таблица1[[#This Row],[сумма]]*Таблица1[[#This Row],[коэф]])),
IF(OR(G96="4/16",G96="3/16"),((база!$L$5*Таблица1[[#This Row],[сумма]]*Таблица1[[#This Row],[коэф]])),
IF(OR(G96="2/4",G96="3/4",G96="4/4"),((база!$I$5*Таблица1[[#This Row],[сумма]]*Таблица1[[#This Row],[коэф]])),
IF((G96="5/8"),((база!$J$6*Таблица1[[#This Row],[сумма]]*Таблица1[[#This Row],[коэф]])),
IF(OR(G96="4/8",G96="3/8",G96="2/8"),((база!$J$5*Таблица1[[#This Row],[сумма]]*Таблица1[[#This Row],[коэф]])))))))))))</f>
        <v>0</v>
      </c>
      <c r="AP96" s="715" t="b">
        <f>IF(AR96&lt;=3,(IF((G96="5/24"),((база!$M$6*2*Таблица1[[#This Row],[Столбец1]]*Таблица1[[#This Row],[коэф]])),
IF((G96="4/24"),((база!$M$5*2*Таблица1[[#This Row],[Столбец1]]*Таблица1[[#This Row],[коэф]])),
IF((G96="3/24"),((база!$M$4*2*Таблица1[[#This Row],[Столбец1]]*Таблица1[[#This Row],[коэф]])),
IF((G96="5/16"),((база!$L$6*2*Таблица1[[#This Row],[Столбец1]]*Таблица1[[#This Row],[коэф]])),
IF((G96="4/16"),((база!$L$5*2*Таблица1[[#This Row],[Столбец1]]*Таблица1[[#This Row],[коэф]])),
IF((G96="3/16"),((база!$L$4*2*Таблица1[[#This Row],[Столбец1]]*Таблица1[[#This Row],[коэф]])),
IF((G96="4/4"),((база!$I$5*2*Таблица1[[#This Row],[Столбец1]]*Таблица1[[#This Row],[коэф]])),
IF(OR(G96="2/4",G96="3/4"),((база!$I$4*2*Таблица1[[#This Row],[Столбец1]]*Таблица1[[#This Row],[коэф]])),
IF((G96="5/8"),((база!$J$6*2*Таблица1[[#This Row],[Столбец1]]*Таблица1[[#This Row],[коэф]])),
IF((G96="4/8"),((база!$J$5*2*Таблица1[[#This Row],[Столбец1]]*Таблица1[[#This Row],[коэф]])),
IF(OR(G96="3/8",G96="2/8"),((база!$J$4*2*Таблица1[[#This Row],[Столбец1]]*Таблица1[[#This Row],[коэф]])))))))))))))),
(IF((G96="5/24"),((база!$M$6*2*Таблица1[[#This Row],[Столбец1]]*Таблица1[[#This Row],[коэф]])),
IF(OR(G96="4/24",G96="3/24"),((база!$M$5*2*Таблица1[[#This Row],[Столбец1]]*Таблица1[[#This Row],[коэф]])),
IF((G96="5/16"),((база!$L$6*2*Таблица1[[#This Row],[Столбец1]]*Таблица1[[#This Row],[коэф]])),
IF(OR(G96="4/16",G96="3/16"),((база!$L$5*2*Таблица1[[#This Row],[Столбец1]]*Таблица1[[#This Row],[коэф]])),
IF(OR(G96="2/4",G96="3/4",G96="4/4"),((база!$I$5*2*Таблица1[[#This Row],[Столбец1]]*Таблица1[[#This Row],[коэф]])),
IF((G96="5/8"),((база!$J$6*2*Таблица1[[#This Row],[Столбец1]]*Таблица1[[#This Row],[коэф]])),
IF(OR(G96="4/8",G96="3/8",G96="2/8"),((база!$J$5*2*Таблица1[[#This Row],[Столбец1]]*Таблица1[[#This Row],[коэф]])))))))))))</f>
        <v>0</v>
      </c>
      <c r="AQ96" s="697" t="str">
        <f>IFERROR(INDEX(база!T:T, MATCH(F96,база!Q:Q,0)),"")</f>
        <v/>
      </c>
      <c r="AR96" s="207">
        <f>IFERROR(INDEX(база!D:D, MATCH(F96,база!B:B,0)),"")</f>
        <v>0</v>
      </c>
    </row>
    <row r="97" spans="1:44" ht="15" customHeight="1">
      <c r="A97" s="66" t="str">
        <f t="shared" si="2"/>
        <v>декабрь</v>
      </c>
      <c r="B97" s="230">
        <v>2023</v>
      </c>
      <c r="C97" s="60"/>
      <c r="D97" s="61"/>
      <c r="E97" s="210"/>
      <c r="F97" s="669"/>
      <c r="G97" s="47"/>
      <c r="H97" s="212"/>
      <c r="I97" s="48"/>
      <c r="J97" s="48"/>
      <c r="K97" s="48"/>
      <c r="L97" s="48"/>
      <c r="M97" s="48"/>
      <c r="N97" s="48"/>
      <c r="O97" s="48"/>
      <c r="P97" s="300"/>
      <c r="Q97" s="563"/>
      <c r="R97" s="48"/>
      <c r="S97" s="48"/>
      <c r="T97" s="48"/>
      <c r="U97" s="48"/>
      <c r="V97" s="48"/>
      <c r="W97" s="48"/>
      <c r="X97" s="48"/>
      <c r="Y97" s="48"/>
      <c r="Z97" s="48"/>
      <c r="AA97" s="48"/>
      <c r="AB97" s="48"/>
      <c r="AC97" s="48"/>
      <c r="AD97" s="48"/>
      <c r="AE97" s="48"/>
      <c r="AF97" s="51"/>
      <c r="AG97" s="51"/>
      <c r="AH97" s="51"/>
      <c r="AI97" s="51"/>
      <c r="AJ97" s="51"/>
      <c r="AK97" s="51"/>
      <c r="AL97" s="51"/>
      <c r="AM97" s="211">
        <f>IF(AQ97=1,SUM(H97:I97,L97:O97,R97:U97,X97:AA97,AD97:AG97,AI97:AK97),
IF(AQ97=2,SUM(H97:K97,N97:Q97,T97:W97,Z97:AC97,AF97:AI97),
IF(AQ97=3,SUM(J97:M97,P97:S97,V97:Y97,AB97:AE97,AH97:AK97),SUM(Таблица1[[#This Row],[1]:[31]])-Таблица1[[#This Row],[Столбец1]])))</f>
        <v>0</v>
      </c>
      <c r="AN97" s="290">
        <f t="array" ref="AN97">IF(AQ97=1,SUM(J97:K97,P97:Q97,V97:W97,AB97:AC97,AH97:AI97),
IF(AQ97=2,SUM(L97:M97,R97:S97,X97:Y97,AD97:AE97),
IF(AQ97=3,SUM(H97:I97,N97:O97,T97:U97,Z97:AA97,AF97:AG97),
SUM(IFERROR(WEEKDAY($H$2:$AL$2,2)&gt;5,)*H97:AL97))))</f>
        <v>0</v>
      </c>
      <c r="AO97" s="292" t="b">
        <f>IF(AR97&lt;=3,(IF((G97="5/24"),((база!$M$6*Таблица1[[#This Row],[сумма]]*Таблица1[[#This Row],[коэф]])),
IF((G97="4/24"),((база!$M$5*Таблица1[[#This Row],[сумма]]*Таблица1[[#This Row],[коэф]])),
IF((G97="3/24"),((база!$M$4*Таблица1[[#This Row],[сумма]]*Таблица1[[#This Row],[коэф]])),
IF((G97="5/16"),((база!$L$6*Таблица1[[#This Row],[сумма]]*Таблица1[[#This Row],[коэф]])),
IF((G97="4/16"),((база!$L$5*Таблица1[[#This Row],[сумма]]*Таблица1[[#This Row],[коэф]])),
IF((G97="3/16"),((база!$L$4*Таблица1[[#This Row],[сумма]]*Таблица1[[#This Row],[коэф]])),
IF((G97="4/4"),((база!$I$5*Таблица1[[#This Row],[сумма]]*Таблица1[[#This Row],[коэф]])),
IF(OR(G97="2/4",G97="3/4"),((база!$I$4*Таблица1[[#This Row],[сумма]]*Таблица1[[#This Row],[коэф]])),
IF((G97="5/8"),((база!$J$6*Таблица1[[#This Row],[сумма]]*Таблица1[[#This Row],[коэф]])),
IF((G97="4/8"),((база!$J$5*Таблица1[[#This Row],[сумма]]*Таблица1[[#This Row],[коэф]])),
IF(OR(G97="3/8",G97="2/8"),((база!$J$4*Таблица1[[#This Row],[сумма]]*Таблица1[[#This Row],[коэф]])))))))))))))),
(IF((G97="5/24"),((база!$M$6*Таблица1[[#This Row],[сумма]]*Таблица1[[#This Row],[коэф]])),
IF(OR(G97="4/24",G97="3/24"),((база!$M$5*Таблица1[[#This Row],[сумма]]*Таблица1[[#This Row],[коэф]])),
IF((G97="5/16"),((база!$L$6*Таблица1[[#This Row],[сумма]]*Таблица1[[#This Row],[коэф]])),
IF(OR(G97="4/16",G97="3/16"),((база!$L$5*Таблица1[[#This Row],[сумма]]*Таблица1[[#This Row],[коэф]])),
IF(OR(G97="2/4",G97="3/4",G97="4/4"),((база!$I$5*Таблица1[[#This Row],[сумма]]*Таблица1[[#This Row],[коэф]])),
IF((G97="5/8"),((база!$J$6*Таблица1[[#This Row],[сумма]]*Таблица1[[#This Row],[коэф]])),
IF(OR(G97="4/8",G97="3/8",G97="2/8"),((база!$J$5*Таблица1[[#This Row],[сумма]]*Таблица1[[#This Row],[коэф]])))))))))))</f>
        <v>0</v>
      </c>
      <c r="AP97" s="715" t="b">
        <f>IF(AR97&lt;=3,(IF((G97="5/24"),((база!$M$6*2*Таблица1[[#This Row],[Столбец1]]*Таблица1[[#This Row],[коэф]])),
IF((G97="4/24"),((база!$M$5*2*Таблица1[[#This Row],[Столбец1]]*Таблица1[[#This Row],[коэф]])),
IF((G97="3/24"),((база!$M$4*2*Таблица1[[#This Row],[Столбец1]]*Таблица1[[#This Row],[коэф]])),
IF((G97="5/16"),((база!$L$6*2*Таблица1[[#This Row],[Столбец1]]*Таблица1[[#This Row],[коэф]])),
IF((G97="4/16"),((база!$L$5*2*Таблица1[[#This Row],[Столбец1]]*Таблица1[[#This Row],[коэф]])),
IF((G97="3/16"),((база!$L$4*2*Таблица1[[#This Row],[Столбец1]]*Таблица1[[#This Row],[коэф]])),
IF((G97="4/4"),((база!$I$5*2*Таблица1[[#This Row],[Столбец1]]*Таблица1[[#This Row],[коэф]])),
IF(OR(G97="2/4",G97="3/4"),((база!$I$4*2*Таблица1[[#This Row],[Столбец1]]*Таблица1[[#This Row],[коэф]])),
IF((G97="5/8"),((база!$J$6*2*Таблица1[[#This Row],[Столбец1]]*Таблица1[[#This Row],[коэф]])),
IF((G97="4/8"),((база!$J$5*2*Таблица1[[#This Row],[Столбец1]]*Таблица1[[#This Row],[коэф]])),
IF(OR(G97="3/8",G97="2/8"),((база!$J$4*2*Таблица1[[#This Row],[Столбец1]]*Таблица1[[#This Row],[коэф]])))))))))))))),
(IF((G97="5/24"),((база!$M$6*2*Таблица1[[#This Row],[Столбец1]]*Таблица1[[#This Row],[коэф]])),
IF(OR(G97="4/24",G97="3/24"),((база!$M$5*2*Таблица1[[#This Row],[Столбец1]]*Таблица1[[#This Row],[коэф]])),
IF((G97="5/16"),((база!$L$6*2*Таблица1[[#This Row],[Столбец1]]*Таблица1[[#This Row],[коэф]])),
IF(OR(G97="4/16",G97="3/16"),((база!$L$5*2*Таблица1[[#This Row],[Столбец1]]*Таблица1[[#This Row],[коэф]])),
IF(OR(G97="2/4",G97="3/4",G97="4/4"),((база!$I$5*2*Таблица1[[#This Row],[Столбец1]]*Таблица1[[#This Row],[коэф]])),
IF((G97="5/8"),((база!$J$6*2*Таблица1[[#This Row],[Столбец1]]*Таблица1[[#This Row],[коэф]])),
IF(OR(G97="4/8",G97="3/8",G97="2/8"),((база!$J$5*2*Таблица1[[#This Row],[Столбец1]]*Таблица1[[#This Row],[коэф]])))))))))))</f>
        <v>0</v>
      </c>
      <c r="AQ97" s="697" t="str">
        <f>IFERROR(INDEX(база!T:T, MATCH(F97,база!Q:Q,0)),"")</f>
        <v/>
      </c>
      <c r="AR97" s="207">
        <f>IFERROR(INDEX(база!D:D, MATCH(F97,база!B:B,0)),"")</f>
        <v>0</v>
      </c>
    </row>
    <row r="98" spans="1:44" ht="15" customHeight="1">
      <c r="A98" s="66" t="str">
        <f t="shared" si="2"/>
        <v>декабрь</v>
      </c>
      <c r="B98" s="230">
        <v>2023</v>
      </c>
      <c r="C98" s="299"/>
      <c r="D98" s="61"/>
      <c r="E98" s="210"/>
      <c r="F98" s="669"/>
      <c r="G98" s="47"/>
      <c r="H98" s="212"/>
      <c r="I98" s="48"/>
      <c r="J98" s="48"/>
      <c r="K98" s="48"/>
      <c r="L98" s="48"/>
      <c r="M98" s="48"/>
      <c r="N98" s="48"/>
      <c r="O98" s="48"/>
      <c r="P98" s="300"/>
      <c r="Q98" s="563"/>
      <c r="R98" s="563"/>
      <c r="S98" s="563"/>
      <c r="T98" s="563"/>
      <c r="U98" s="563"/>
      <c r="V98" s="563"/>
      <c r="W98" s="563"/>
      <c r="X98" s="563"/>
      <c r="Y98" s="48"/>
      <c r="Z98" s="48"/>
      <c r="AA98" s="48"/>
      <c r="AB98" s="48"/>
      <c r="AC98" s="48"/>
      <c r="AD98" s="48"/>
      <c r="AE98" s="48"/>
      <c r="AF98" s="48"/>
      <c r="AG98" s="48"/>
      <c r="AH98" s="48"/>
      <c r="AI98" s="48"/>
      <c r="AJ98" s="48"/>
      <c r="AK98" s="48"/>
      <c r="AL98" s="51"/>
      <c r="AM98" s="211">
        <f>IF(AQ98=1,SUM(H98:I98,L98:O98,R98:U98,X98:AA98,AD98:AG98,AI98:AK98),
IF(AQ98=2,SUM(H98:K98,N98:Q98,T98:W98,Z98:AC98,AF98:AI98),
IF(AQ98=3,SUM(J98:M98,P98:S98,V98:Y98,AB98:AE98,AH98:AK98),SUM(Таблица1[[#This Row],[1]:[31]])-Таблица1[[#This Row],[Столбец1]])))</f>
        <v>0</v>
      </c>
      <c r="AN98" s="290">
        <f t="array" ref="AN98">IF(AQ98=1,SUM(J98:K98,P98:Q98,V98:W98,AB98:AC98,AH98:AI98),
IF(AQ98=2,SUM(L98:M98,R98:S98,X98:Y98,AD98:AE98),
IF(AQ98=3,SUM(H98:I98,N98:O98,T98:U98,Z98:AA98,AF98:AG98),
SUM(IFERROR(WEEKDAY($H$2:$AL$2,2)&gt;5,)*H98:AL98))))</f>
        <v>0</v>
      </c>
      <c r="AO98" s="292" t="b">
        <f>IF(AR98&lt;=3,(IF((G98="5/24"),((база!$M$6*Таблица1[[#This Row],[сумма]]*Таблица1[[#This Row],[коэф]])),
IF((G98="4/24"),((база!$M$5*Таблица1[[#This Row],[сумма]]*Таблица1[[#This Row],[коэф]])),
IF((G98="3/24"),((база!$M$4*Таблица1[[#This Row],[сумма]]*Таблица1[[#This Row],[коэф]])),
IF((G98="5/16"),((база!$L$6*Таблица1[[#This Row],[сумма]]*Таблица1[[#This Row],[коэф]])),
IF((G98="4/16"),((база!$L$5*Таблица1[[#This Row],[сумма]]*Таблица1[[#This Row],[коэф]])),
IF((G98="3/16"),((база!$L$4*Таблица1[[#This Row],[сумма]]*Таблица1[[#This Row],[коэф]])),
IF((G98="4/4"),((база!$I$5*Таблица1[[#This Row],[сумма]]*Таблица1[[#This Row],[коэф]])),
IF(OR(G98="2/4",G98="3/4"),((база!$I$4*Таблица1[[#This Row],[сумма]]*Таблица1[[#This Row],[коэф]])),
IF((G98="5/8"),((база!$J$6*Таблица1[[#This Row],[сумма]]*Таблица1[[#This Row],[коэф]])),
IF((G98="4/8"),((база!$J$5*Таблица1[[#This Row],[сумма]]*Таблица1[[#This Row],[коэф]])),
IF(OR(G98="3/8",G98="2/8"),((база!$J$4*Таблица1[[#This Row],[сумма]]*Таблица1[[#This Row],[коэф]])))))))))))))),
(IF((G98="5/24"),((база!$M$6*Таблица1[[#This Row],[сумма]]*Таблица1[[#This Row],[коэф]])),
IF(OR(G98="4/24",G98="3/24"),((база!$M$5*Таблица1[[#This Row],[сумма]]*Таблица1[[#This Row],[коэф]])),
IF((G98="5/16"),((база!$L$6*Таблица1[[#This Row],[сумма]]*Таблица1[[#This Row],[коэф]])),
IF(OR(G98="4/16",G98="3/16"),((база!$L$5*Таблица1[[#This Row],[сумма]]*Таблица1[[#This Row],[коэф]])),
IF(OR(G98="2/4",G98="3/4",G98="4/4"),((база!$I$5*Таблица1[[#This Row],[сумма]]*Таблица1[[#This Row],[коэф]])),
IF((G98="5/8"),((база!$J$6*Таблица1[[#This Row],[сумма]]*Таблица1[[#This Row],[коэф]])),
IF(OR(G98="4/8",G98="3/8",G98="2/8"),((база!$J$5*Таблица1[[#This Row],[сумма]]*Таблица1[[#This Row],[коэф]])))))))))))</f>
        <v>0</v>
      </c>
      <c r="AP98" s="715" t="b">
        <f>IF(AR98&lt;=3,(IF((G98="5/24"),((база!$M$6*2*Таблица1[[#This Row],[Столбец1]]*Таблица1[[#This Row],[коэф]])),
IF((G98="4/24"),((база!$M$5*2*Таблица1[[#This Row],[Столбец1]]*Таблица1[[#This Row],[коэф]])),
IF((G98="3/24"),((база!$M$4*2*Таблица1[[#This Row],[Столбец1]]*Таблица1[[#This Row],[коэф]])),
IF((G98="5/16"),((база!$L$6*2*Таблица1[[#This Row],[Столбец1]]*Таблица1[[#This Row],[коэф]])),
IF((G98="4/16"),((база!$L$5*2*Таблица1[[#This Row],[Столбец1]]*Таблица1[[#This Row],[коэф]])),
IF((G98="3/16"),((база!$L$4*2*Таблица1[[#This Row],[Столбец1]]*Таблица1[[#This Row],[коэф]])),
IF((G98="4/4"),((база!$I$5*2*Таблица1[[#This Row],[Столбец1]]*Таблица1[[#This Row],[коэф]])),
IF(OR(G98="2/4",G98="3/4"),((база!$I$4*2*Таблица1[[#This Row],[Столбец1]]*Таблица1[[#This Row],[коэф]])),
IF((G98="5/8"),((база!$J$6*2*Таблица1[[#This Row],[Столбец1]]*Таблица1[[#This Row],[коэф]])),
IF((G98="4/8"),((база!$J$5*2*Таблица1[[#This Row],[Столбец1]]*Таблица1[[#This Row],[коэф]])),
IF(OR(G98="3/8",G98="2/8"),((база!$J$4*2*Таблица1[[#This Row],[Столбец1]]*Таблица1[[#This Row],[коэф]])))))))))))))),
(IF((G98="5/24"),((база!$M$6*2*Таблица1[[#This Row],[Столбец1]]*Таблица1[[#This Row],[коэф]])),
IF(OR(G98="4/24",G98="3/24"),((база!$M$5*2*Таблица1[[#This Row],[Столбец1]]*Таблица1[[#This Row],[коэф]])),
IF((G98="5/16"),((база!$L$6*2*Таблица1[[#This Row],[Столбец1]]*Таблица1[[#This Row],[коэф]])),
IF(OR(G98="4/16",G98="3/16"),((база!$L$5*2*Таблица1[[#This Row],[Столбец1]]*Таблица1[[#This Row],[коэф]])),
IF(OR(G98="2/4",G98="3/4",G98="4/4"),((база!$I$5*2*Таблица1[[#This Row],[Столбец1]]*Таблица1[[#This Row],[коэф]])),
IF((G98="5/8"),((база!$J$6*2*Таблица1[[#This Row],[Столбец1]]*Таблица1[[#This Row],[коэф]])),
IF(OR(G98="4/8",G98="3/8",G98="2/8"),((база!$J$5*2*Таблица1[[#This Row],[Столбец1]]*Таблица1[[#This Row],[коэф]])))))))))))</f>
        <v>0</v>
      </c>
      <c r="AQ98" s="697" t="str">
        <f>IFERROR(INDEX(база!T:T, MATCH(F98,база!Q:Q,0)),"")</f>
        <v/>
      </c>
      <c r="AR98" s="207">
        <f>IFERROR(INDEX(база!D:D, MATCH(F98,база!B:B,0)),"")</f>
        <v>0</v>
      </c>
    </row>
    <row r="99" spans="1:44" ht="15" customHeight="1">
      <c r="A99" s="66" t="str">
        <f t="shared" si="2"/>
        <v>декабрь</v>
      </c>
      <c r="B99" s="230">
        <v>2023</v>
      </c>
      <c r="C99" s="299"/>
      <c r="D99" s="61"/>
      <c r="E99" s="210"/>
      <c r="F99" s="669"/>
      <c r="G99" s="47"/>
      <c r="H99" s="563"/>
      <c r="I99" s="563"/>
      <c r="J99" s="563"/>
      <c r="K99" s="563"/>
      <c r="L99" s="563"/>
      <c r="M99" s="563"/>
      <c r="N99" s="563"/>
      <c r="O99" s="563"/>
      <c r="P99" s="300"/>
      <c r="Q99" s="563"/>
      <c r="R99" s="563"/>
      <c r="S99" s="563"/>
      <c r="T99" s="563"/>
      <c r="U99" s="563"/>
      <c r="V99" s="563"/>
      <c r="W99" s="563"/>
      <c r="X99" s="563"/>
      <c r="Y99" s="48"/>
      <c r="Z99" s="48"/>
      <c r="AA99" s="48"/>
      <c r="AB99" s="48"/>
      <c r="AC99" s="48"/>
      <c r="AD99" s="48"/>
      <c r="AE99" s="48"/>
      <c r="AF99" s="48"/>
      <c r="AG99" s="48"/>
      <c r="AH99" s="48"/>
      <c r="AI99" s="48"/>
      <c r="AJ99" s="51"/>
      <c r="AK99" s="51"/>
      <c r="AL99" s="51"/>
      <c r="AM99" s="211">
        <f>IF(AQ99=1,SUM(H99:I99,L99:O99,R99:U99,X99:AA99,AD99:AG99,AI99:AK99),
IF(AQ99=2,SUM(H99:K99,N99:Q99,T99:W99,Z99:AC99,AF99:AI99),
IF(AQ99=3,SUM(J99:M99,P99:S99,V99:Y99,AB99:AE99,AH99:AK99),SUM(Таблица1[[#This Row],[1]:[31]])-Таблица1[[#This Row],[Столбец1]])))</f>
        <v>0</v>
      </c>
      <c r="AN99" s="290">
        <f t="array" ref="AN99">IF(AQ99=1,SUM(J99:K99,P99:Q99,V99:W99,AB99:AC99,AH99:AI99),
IF(AQ99=2,SUM(L99:M99,R99:S99,X99:Y99,AD99:AE99),
IF(AQ99=3,SUM(H99:I99,N99:O99,T99:U99,Z99:AA99,AF99:AG99),
SUM(IFERROR(WEEKDAY($H$2:$AL$2,2)&gt;5,)*H99:AL99))))</f>
        <v>0</v>
      </c>
      <c r="AO99" s="292" t="b">
        <f>IF(AR99&lt;=3,(IF((G99="5/24"),((база!$M$6*Таблица1[[#This Row],[сумма]]*Таблица1[[#This Row],[коэф]])),
IF((G99="4/24"),((база!$M$5*Таблица1[[#This Row],[сумма]]*Таблица1[[#This Row],[коэф]])),
IF((G99="3/24"),((база!$M$4*Таблица1[[#This Row],[сумма]]*Таблица1[[#This Row],[коэф]])),
IF((G99="5/16"),((база!$L$6*Таблица1[[#This Row],[сумма]]*Таблица1[[#This Row],[коэф]])),
IF((G99="4/16"),((база!$L$5*Таблица1[[#This Row],[сумма]]*Таблица1[[#This Row],[коэф]])),
IF((G99="3/16"),((база!$L$4*Таблица1[[#This Row],[сумма]]*Таблица1[[#This Row],[коэф]])),
IF((G99="4/4"),((база!$I$5*Таблица1[[#This Row],[сумма]]*Таблица1[[#This Row],[коэф]])),
IF(OR(G99="2/4",G99="3/4"),((база!$I$4*Таблица1[[#This Row],[сумма]]*Таблица1[[#This Row],[коэф]])),
IF((G99="5/8"),((база!$J$6*Таблица1[[#This Row],[сумма]]*Таблица1[[#This Row],[коэф]])),
IF((G99="4/8"),((база!$J$5*Таблица1[[#This Row],[сумма]]*Таблица1[[#This Row],[коэф]])),
IF(OR(G99="3/8",G99="2/8"),((база!$J$4*Таблица1[[#This Row],[сумма]]*Таблица1[[#This Row],[коэф]])))))))))))))),
(IF((G99="5/24"),((база!$M$6*Таблица1[[#This Row],[сумма]]*Таблица1[[#This Row],[коэф]])),
IF(OR(G99="4/24",G99="3/24"),((база!$M$5*Таблица1[[#This Row],[сумма]]*Таблица1[[#This Row],[коэф]])),
IF((G99="5/16"),((база!$L$6*Таблица1[[#This Row],[сумма]]*Таблица1[[#This Row],[коэф]])),
IF(OR(G99="4/16",G99="3/16"),((база!$L$5*Таблица1[[#This Row],[сумма]]*Таблица1[[#This Row],[коэф]])),
IF(OR(G99="2/4",G99="3/4",G99="4/4"),((база!$I$5*Таблица1[[#This Row],[сумма]]*Таблица1[[#This Row],[коэф]])),
IF((G99="5/8"),((база!$J$6*Таблица1[[#This Row],[сумма]]*Таблица1[[#This Row],[коэф]])),
IF(OR(G99="4/8",G99="3/8",G99="2/8"),((база!$J$5*Таблица1[[#This Row],[сумма]]*Таблица1[[#This Row],[коэф]])))))))))))</f>
        <v>0</v>
      </c>
      <c r="AP99" s="715" t="b">
        <f>IF(AR99&lt;=3,(IF((G99="5/24"),((база!$M$6*2*Таблица1[[#This Row],[Столбец1]]*Таблица1[[#This Row],[коэф]])),
IF((G99="4/24"),((база!$M$5*2*Таблица1[[#This Row],[Столбец1]]*Таблица1[[#This Row],[коэф]])),
IF((G99="3/24"),((база!$M$4*2*Таблица1[[#This Row],[Столбец1]]*Таблица1[[#This Row],[коэф]])),
IF((G99="5/16"),((база!$L$6*2*Таблица1[[#This Row],[Столбец1]]*Таблица1[[#This Row],[коэф]])),
IF((G99="4/16"),((база!$L$5*2*Таблица1[[#This Row],[Столбец1]]*Таблица1[[#This Row],[коэф]])),
IF((G99="3/16"),((база!$L$4*2*Таблица1[[#This Row],[Столбец1]]*Таблица1[[#This Row],[коэф]])),
IF((G99="4/4"),((база!$I$5*2*Таблица1[[#This Row],[Столбец1]]*Таблица1[[#This Row],[коэф]])),
IF(OR(G99="2/4",G99="3/4"),((база!$I$4*2*Таблица1[[#This Row],[Столбец1]]*Таблица1[[#This Row],[коэф]])),
IF((G99="5/8"),((база!$J$6*2*Таблица1[[#This Row],[Столбец1]]*Таблица1[[#This Row],[коэф]])),
IF((G99="4/8"),((база!$J$5*2*Таблица1[[#This Row],[Столбец1]]*Таблица1[[#This Row],[коэф]])),
IF(OR(G99="3/8",G99="2/8"),((база!$J$4*2*Таблица1[[#This Row],[Столбец1]]*Таблица1[[#This Row],[коэф]])))))))))))))),
(IF((G99="5/24"),((база!$M$6*2*Таблица1[[#This Row],[Столбец1]]*Таблица1[[#This Row],[коэф]])),
IF(OR(G99="4/24",G99="3/24"),((база!$M$5*2*Таблица1[[#This Row],[Столбец1]]*Таблица1[[#This Row],[коэф]])),
IF((G99="5/16"),((база!$L$6*2*Таблица1[[#This Row],[Столбец1]]*Таблица1[[#This Row],[коэф]])),
IF(OR(G99="4/16",G99="3/16"),((база!$L$5*2*Таблица1[[#This Row],[Столбец1]]*Таблица1[[#This Row],[коэф]])),
IF(OR(G99="2/4",G99="3/4",G99="4/4"),((база!$I$5*2*Таблица1[[#This Row],[Столбец1]]*Таблица1[[#This Row],[коэф]])),
IF((G99="5/8"),((база!$J$6*2*Таблица1[[#This Row],[Столбец1]]*Таблица1[[#This Row],[коэф]])),
IF(OR(G99="4/8",G99="3/8",G99="2/8"),((база!$J$5*2*Таблица1[[#This Row],[Столбец1]]*Таблица1[[#This Row],[коэф]])))))))))))</f>
        <v>0</v>
      </c>
      <c r="AQ99" s="697" t="str">
        <f>IFERROR(INDEX(база!T:T, MATCH(F99,база!Q:Q,0)),"")</f>
        <v/>
      </c>
      <c r="AR99" s="207">
        <f>IFERROR(INDEX(база!D:D, MATCH(F99,база!B:B,0)),"")</f>
        <v>0</v>
      </c>
    </row>
    <row r="100" spans="1:44" s="46" customFormat="1" ht="15">
      <c r="A100" s="66" t="str">
        <f t="shared" si="2"/>
        <v>декабрь</v>
      </c>
      <c r="B100" s="230">
        <v>2023</v>
      </c>
      <c r="C100" s="60"/>
      <c r="D100" s="61"/>
      <c r="E100" s="210"/>
      <c r="F100" s="669"/>
      <c r="G100" s="47"/>
      <c r="H100" s="563"/>
      <c r="I100" s="563"/>
      <c r="J100" s="563"/>
      <c r="K100" s="563"/>
      <c r="L100" s="563"/>
      <c r="M100" s="563"/>
      <c r="N100" s="563"/>
      <c r="O100" s="563"/>
      <c r="P100" s="300"/>
      <c r="Q100" s="563"/>
      <c r="R100" s="48"/>
      <c r="S100" s="48"/>
      <c r="T100" s="48"/>
      <c r="U100" s="48"/>
      <c r="V100" s="563"/>
      <c r="W100" s="563"/>
      <c r="X100" s="48"/>
      <c r="Y100" s="48"/>
      <c r="Z100" s="48"/>
      <c r="AA100" s="48"/>
      <c r="AB100" s="48"/>
      <c r="AC100" s="48"/>
      <c r="AD100" s="48"/>
      <c r="AE100" s="48"/>
      <c r="AF100" s="48"/>
      <c r="AG100" s="48"/>
      <c r="AH100" s="48"/>
      <c r="AI100" s="48"/>
      <c r="AJ100" s="48"/>
      <c r="AK100" s="48"/>
      <c r="AL100" s="51"/>
      <c r="AM100" s="211">
        <f>IF(AQ100=1,SUM(H100:I100,L100:O100,R100:U100,X100:AA100,AD100:AG100,AI100:AK100),
IF(AQ100=2,SUM(H100:K100,N100:Q100,T100:W100,Z100:AC100,AF100:AI100),
IF(AQ100=3,SUM(J100:M100,P100:S100,V100:Y100,AB100:AE100,AH100:AK100),SUM(Таблица1[[#This Row],[1]:[31]])-Таблица1[[#This Row],[Столбец1]])))</f>
        <v>0</v>
      </c>
      <c r="AN100" s="290">
        <f t="array" ref="AN100">IF(AQ100=1,SUM(J100:K100,P100:Q100,V100:W100,AB100:AC100,AH100:AI100),
IF(AQ100=2,SUM(L100:M100,R100:S100,X100:Y100,AD100:AE100),
IF(AQ100=3,SUM(H100:I100,N100:O100,T100:U100,Z100:AA100,AF100:AG100),
SUM(IFERROR(WEEKDAY($H$2:$AL$2,2)&gt;5,)*H100:AL100))))</f>
        <v>0</v>
      </c>
      <c r="AO100" s="292" t="b">
        <f>IF(AR100&lt;=3,(IF((G100="5/24"),((база!$M$6*Таблица1[[#This Row],[сумма]]*Таблица1[[#This Row],[коэф]])),
IF((G100="4/24"),((база!$M$5*Таблица1[[#This Row],[сумма]]*Таблица1[[#This Row],[коэф]])),
IF((G100="3/24"),((база!$M$4*Таблица1[[#This Row],[сумма]]*Таблица1[[#This Row],[коэф]])),
IF((G100="5/16"),((база!$L$6*Таблица1[[#This Row],[сумма]]*Таблица1[[#This Row],[коэф]])),
IF((G100="4/16"),((база!$L$5*Таблица1[[#This Row],[сумма]]*Таблица1[[#This Row],[коэф]])),
IF((G100="3/16"),((база!$L$4*Таблица1[[#This Row],[сумма]]*Таблица1[[#This Row],[коэф]])),
IF((G100="4/4"),((база!$I$5*Таблица1[[#This Row],[сумма]]*Таблица1[[#This Row],[коэф]])),
IF(OR(G100="2/4",G100="3/4"),((база!$I$4*Таблица1[[#This Row],[сумма]]*Таблица1[[#This Row],[коэф]])),
IF((G100="5/8"),((база!$J$6*Таблица1[[#This Row],[сумма]]*Таблица1[[#This Row],[коэф]])),
IF((G100="4/8"),((база!$J$5*Таблица1[[#This Row],[сумма]]*Таблица1[[#This Row],[коэф]])),
IF(OR(G100="3/8",G100="2/8"),((база!$J$4*Таблица1[[#This Row],[сумма]]*Таблица1[[#This Row],[коэф]])))))))))))))),
(IF((G100="5/24"),((база!$M$6*Таблица1[[#This Row],[сумма]]*Таблица1[[#This Row],[коэф]])),
IF(OR(G100="4/24",G100="3/24"),((база!$M$5*Таблица1[[#This Row],[сумма]]*Таблица1[[#This Row],[коэф]])),
IF((G100="5/16"),((база!$L$6*Таблица1[[#This Row],[сумма]]*Таблица1[[#This Row],[коэф]])),
IF(OR(G100="4/16",G100="3/16"),((база!$L$5*Таблица1[[#This Row],[сумма]]*Таблица1[[#This Row],[коэф]])),
IF(OR(G100="2/4",G100="3/4",G100="4/4"),((база!$I$5*Таблица1[[#This Row],[сумма]]*Таблица1[[#This Row],[коэф]])),
IF((G100="5/8"),((база!$J$6*Таблица1[[#This Row],[сумма]]*Таблица1[[#This Row],[коэф]])),
IF(OR(G100="4/8",G100="3/8",G100="2/8"),((база!$J$5*Таблица1[[#This Row],[сумма]]*Таблица1[[#This Row],[коэф]])))))))))))</f>
        <v>0</v>
      </c>
      <c r="AP100" s="715" t="b">
        <f>IF(AR100&lt;=3,(IF((G100="5/24"),((база!$M$6*2*Таблица1[[#This Row],[Столбец1]]*Таблица1[[#This Row],[коэф]])),
IF((G100="4/24"),((база!$M$5*2*Таблица1[[#This Row],[Столбец1]]*Таблица1[[#This Row],[коэф]])),
IF((G100="3/24"),((база!$M$4*2*Таблица1[[#This Row],[Столбец1]]*Таблица1[[#This Row],[коэф]])),
IF((G100="5/16"),((база!$L$6*2*Таблица1[[#This Row],[Столбец1]]*Таблица1[[#This Row],[коэф]])),
IF((G100="4/16"),((база!$L$5*2*Таблица1[[#This Row],[Столбец1]]*Таблица1[[#This Row],[коэф]])),
IF((G100="3/16"),((база!$L$4*2*Таблица1[[#This Row],[Столбец1]]*Таблица1[[#This Row],[коэф]])),
IF((G100="4/4"),((база!$I$5*2*Таблица1[[#This Row],[Столбец1]]*Таблица1[[#This Row],[коэф]])),
IF(OR(G100="2/4",G100="3/4"),((база!$I$4*2*Таблица1[[#This Row],[Столбец1]]*Таблица1[[#This Row],[коэф]])),
IF((G100="5/8"),((база!$J$6*2*Таблица1[[#This Row],[Столбец1]]*Таблица1[[#This Row],[коэф]])),
IF((G100="4/8"),((база!$J$5*2*Таблица1[[#This Row],[Столбец1]]*Таблица1[[#This Row],[коэф]])),
IF(OR(G100="3/8",G100="2/8"),((база!$J$4*2*Таблица1[[#This Row],[Столбец1]]*Таблица1[[#This Row],[коэф]])))))))))))))),
(IF((G100="5/24"),((база!$M$6*2*Таблица1[[#This Row],[Столбец1]]*Таблица1[[#This Row],[коэф]])),
IF(OR(G100="4/24",G100="3/24"),((база!$M$5*2*Таблица1[[#This Row],[Столбец1]]*Таблица1[[#This Row],[коэф]])),
IF((G100="5/16"),((база!$L$6*2*Таблица1[[#This Row],[Столбец1]]*Таблица1[[#This Row],[коэф]])),
IF(OR(G100="4/16",G100="3/16"),((база!$L$5*2*Таблица1[[#This Row],[Столбец1]]*Таблица1[[#This Row],[коэф]])),
IF(OR(G100="2/4",G100="3/4",G100="4/4"),((база!$I$5*2*Таблица1[[#This Row],[Столбец1]]*Таблица1[[#This Row],[коэф]])),
IF((G100="5/8"),((база!$J$6*2*Таблица1[[#This Row],[Столбец1]]*Таблица1[[#This Row],[коэф]])),
IF(OR(G100="4/8",G100="3/8",G100="2/8"),((база!$J$5*2*Таблица1[[#This Row],[Столбец1]]*Таблица1[[#This Row],[коэф]])))))))))))</f>
        <v>0</v>
      </c>
      <c r="AQ100" s="697" t="str">
        <f>IFERROR(INDEX(база!T:T, MATCH(F100,база!Q:Q,0)),"")</f>
        <v/>
      </c>
      <c r="AR100" s="207">
        <f>IFERROR(INDEX(база!D:D, MATCH(F100,база!B:B,0)),"")</f>
        <v>0</v>
      </c>
    </row>
    <row r="101" spans="1:44" ht="15" customHeight="1">
      <c r="A101" s="66" t="str">
        <f t="shared" si="2"/>
        <v>декабрь</v>
      </c>
      <c r="B101" s="230">
        <v>2023</v>
      </c>
      <c r="C101" s="299"/>
      <c r="D101" s="61"/>
      <c r="E101" s="210"/>
      <c r="F101" s="669"/>
      <c r="G101" s="47"/>
      <c r="H101" s="563"/>
      <c r="I101" s="563"/>
      <c r="J101" s="563"/>
      <c r="K101" s="563"/>
      <c r="L101" s="563"/>
      <c r="M101" s="563"/>
      <c r="N101" s="563"/>
      <c r="O101" s="563"/>
      <c r="P101" s="300"/>
      <c r="Q101" s="563"/>
      <c r="R101" s="48"/>
      <c r="S101" s="48"/>
      <c r="T101" s="48"/>
      <c r="U101" s="48"/>
      <c r="V101" s="563"/>
      <c r="W101" s="563"/>
      <c r="X101" s="48"/>
      <c r="Y101" s="48"/>
      <c r="Z101" s="48"/>
      <c r="AA101" s="48"/>
      <c r="AB101" s="48"/>
      <c r="AC101" s="48"/>
      <c r="AD101" s="48"/>
      <c r="AE101" s="48"/>
      <c r="AF101" s="51"/>
      <c r="AG101" s="51"/>
      <c r="AH101" s="51"/>
      <c r="AI101" s="51"/>
      <c r="AJ101" s="51"/>
      <c r="AK101" s="51"/>
      <c r="AL101" s="51"/>
      <c r="AM101" s="211">
        <f>IF(AQ101=1,SUM(H101:I101,L101:O101,R101:U101,X101:AA101,AD101:AG101,AI101:AK101),
IF(AQ101=2,SUM(H101:K101,N101:Q101,T101:W101,Z101:AC101,AF101:AI101),
IF(AQ101=3,SUM(J101:M101,P101:S101,V101:Y101,AB101:AE101,AH101:AK101),SUM(Таблица1[[#This Row],[1]:[31]])-Таблица1[[#This Row],[Столбец1]])))</f>
        <v>0</v>
      </c>
      <c r="AN101" s="290">
        <f t="array" ref="AN101">IF(AQ101=1,SUM(J101:K101,P101:Q101,V101:W101,AB101:AC101,AH101:AI101),
IF(AQ101=2,SUM(L101:M101,R101:S101,X101:Y101,AD101:AE101),
IF(AQ101=3,SUM(H101:I101,N101:O101,T101:U101,Z101:AA101,AF101:AG101),
SUM(IFERROR(WEEKDAY($H$2:$AL$2,2)&gt;5,)*H101:AL101))))</f>
        <v>0</v>
      </c>
      <c r="AO101" s="292" t="b">
        <f>IF(AR101&lt;=3,(IF((G101="5/24"),((база!$M$6*Таблица1[[#This Row],[сумма]]*Таблица1[[#This Row],[коэф]])),
IF((G101="4/24"),((база!$M$5*Таблица1[[#This Row],[сумма]]*Таблица1[[#This Row],[коэф]])),
IF((G101="3/24"),((база!$M$4*Таблица1[[#This Row],[сумма]]*Таблица1[[#This Row],[коэф]])),
IF((G101="5/16"),((база!$L$6*Таблица1[[#This Row],[сумма]]*Таблица1[[#This Row],[коэф]])),
IF((G101="4/16"),((база!$L$5*Таблица1[[#This Row],[сумма]]*Таблица1[[#This Row],[коэф]])),
IF((G101="3/16"),((база!$L$4*Таблица1[[#This Row],[сумма]]*Таблица1[[#This Row],[коэф]])),
IF((G101="4/4"),((база!$I$5*Таблица1[[#This Row],[сумма]]*Таблица1[[#This Row],[коэф]])),
IF(OR(G101="2/4",G101="3/4"),((база!$I$4*Таблица1[[#This Row],[сумма]]*Таблица1[[#This Row],[коэф]])),
IF((G101="5/8"),((база!$J$6*Таблица1[[#This Row],[сумма]]*Таблица1[[#This Row],[коэф]])),
IF((G101="4/8"),((база!$J$5*Таблица1[[#This Row],[сумма]]*Таблица1[[#This Row],[коэф]])),
IF(OR(G101="3/8",G101="2/8"),((база!$J$4*Таблица1[[#This Row],[сумма]]*Таблица1[[#This Row],[коэф]])))))))))))))),
(IF((G101="5/24"),((база!$M$6*Таблица1[[#This Row],[сумма]]*Таблица1[[#This Row],[коэф]])),
IF(OR(G101="4/24",G101="3/24"),((база!$M$5*Таблица1[[#This Row],[сумма]]*Таблица1[[#This Row],[коэф]])),
IF((G101="5/16"),((база!$L$6*Таблица1[[#This Row],[сумма]]*Таблица1[[#This Row],[коэф]])),
IF(OR(G101="4/16",G101="3/16"),((база!$L$5*Таблица1[[#This Row],[сумма]]*Таблица1[[#This Row],[коэф]])),
IF(OR(G101="2/4",G101="3/4",G101="4/4"),((база!$I$5*Таблица1[[#This Row],[сумма]]*Таблица1[[#This Row],[коэф]])),
IF((G101="5/8"),((база!$J$6*Таблица1[[#This Row],[сумма]]*Таблица1[[#This Row],[коэф]])),
IF(OR(G101="4/8",G101="3/8",G101="2/8"),((база!$J$5*Таблица1[[#This Row],[сумма]]*Таблица1[[#This Row],[коэф]])))))))))))</f>
        <v>0</v>
      </c>
      <c r="AP101" s="715" t="b">
        <f>IF(AR101&lt;=3,(IF((G101="5/24"),((база!$M$6*2*Таблица1[[#This Row],[Столбец1]]*Таблица1[[#This Row],[коэф]])),
IF((G101="4/24"),((база!$M$5*2*Таблица1[[#This Row],[Столбец1]]*Таблица1[[#This Row],[коэф]])),
IF((G101="3/24"),((база!$M$4*2*Таблица1[[#This Row],[Столбец1]]*Таблица1[[#This Row],[коэф]])),
IF((G101="5/16"),((база!$L$6*2*Таблица1[[#This Row],[Столбец1]]*Таблица1[[#This Row],[коэф]])),
IF((G101="4/16"),((база!$L$5*2*Таблица1[[#This Row],[Столбец1]]*Таблица1[[#This Row],[коэф]])),
IF((G101="3/16"),((база!$L$4*2*Таблица1[[#This Row],[Столбец1]]*Таблица1[[#This Row],[коэф]])),
IF((G101="4/4"),((база!$I$5*2*Таблица1[[#This Row],[Столбец1]]*Таблица1[[#This Row],[коэф]])),
IF(OR(G101="2/4",G101="3/4"),((база!$I$4*2*Таблица1[[#This Row],[Столбец1]]*Таблица1[[#This Row],[коэф]])),
IF((G101="5/8"),((база!$J$6*2*Таблица1[[#This Row],[Столбец1]]*Таблица1[[#This Row],[коэф]])),
IF((G101="4/8"),((база!$J$5*2*Таблица1[[#This Row],[Столбец1]]*Таблица1[[#This Row],[коэф]])),
IF(OR(G101="3/8",G101="2/8"),((база!$J$4*2*Таблица1[[#This Row],[Столбец1]]*Таблица1[[#This Row],[коэф]])))))))))))))),
(IF((G101="5/24"),((база!$M$6*2*Таблица1[[#This Row],[Столбец1]]*Таблица1[[#This Row],[коэф]])),
IF(OR(G101="4/24",G101="3/24"),((база!$M$5*2*Таблица1[[#This Row],[Столбец1]]*Таблица1[[#This Row],[коэф]])),
IF((G101="5/16"),((база!$L$6*2*Таблица1[[#This Row],[Столбец1]]*Таблица1[[#This Row],[коэф]])),
IF(OR(G101="4/16",G101="3/16"),((база!$L$5*2*Таблица1[[#This Row],[Столбец1]]*Таблица1[[#This Row],[коэф]])),
IF(OR(G101="2/4",G101="3/4",G101="4/4"),((база!$I$5*2*Таблица1[[#This Row],[Столбец1]]*Таблица1[[#This Row],[коэф]])),
IF((G101="5/8"),((база!$J$6*2*Таблица1[[#This Row],[Столбец1]]*Таблица1[[#This Row],[коэф]])),
IF(OR(G101="4/8",G101="3/8",G101="2/8"),((база!$J$5*2*Таблица1[[#This Row],[Столбец1]]*Таблица1[[#This Row],[коэф]])))))))))))</f>
        <v>0</v>
      </c>
      <c r="AQ101" s="697" t="str">
        <f>IFERROR(INDEX(база!T:T, MATCH(F101,база!Q:Q,0)),"")</f>
        <v/>
      </c>
      <c r="AR101" s="207">
        <f>IFERROR(INDEX(база!D:D, MATCH(F101,база!B:B,0)),"")</f>
        <v>0</v>
      </c>
    </row>
    <row r="102" spans="1:44" ht="15" customHeight="1">
      <c r="A102" s="66" t="str">
        <f t="shared" si="2"/>
        <v>декабрь</v>
      </c>
      <c r="B102" s="230">
        <v>2023</v>
      </c>
      <c r="C102" s="299"/>
      <c r="D102" s="61"/>
      <c r="E102" s="210"/>
      <c r="F102" s="669"/>
      <c r="G102" s="47"/>
      <c r="H102" s="563"/>
      <c r="I102" s="563"/>
      <c r="J102" s="563"/>
      <c r="K102" s="563"/>
      <c r="L102" s="563"/>
      <c r="M102" s="563"/>
      <c r="N102" s="563"/>
      <c r="O102" s="563"/>
      <c r="P102" s="300"/>
      <c r="Q102" s="563"/>
      <c r="R102" s="563"/>
      <c r="S102" s="563"/>
      <c r="T102" s="563"/>
      <c r="U102" s="563"/>
      <c r="V102" s="563"/>
      <c r="W102" s="563"/>
      <c r="X102" s="563"/>
      <c r="Y102" s="48"/>
      <c r="Z102" s="48"/>
      <c r="AA102" s="48"/>
      <c r="AB102" s="48"/>
      <c r="AC102" s="48"/>
      <c r="AD102" s="48"/>
      <c r="AE102" s="48"/>
      <c r="AF102" s="48"/>
      <c r="AG102" s="48"/>
      <c r="AH102" s="48"/>
      <c r="AI102" s="48"/>
      <c r="AJ102" s="48"/>
      <c r="AK102" s="48"/>
      <c r="AL102" s="51"/>
      <c r="AM102" s="211">
        <f>IF(AQ102=1,SUM(H102:I102,L102:O102,R102:U102,X102:AA102,AD102:AG102,AI102:AK102),
IF(AQ102=2,SUM(H102:K102,N102:Q102,T102:W102,Z102:AC102,AF102:AI102),
IF(AQ102=3,SUM(J102:M102,P102:S102,V102:Y102,AB102:AE102,AH102:AK102),SUM(Таблица1[[#This Row],[1]:[31]])-Таблица1[[#This Row],[Столбец1]])))</f>
        <v>0</v>
      </c>
      <c r="AN102" s="290">
        <f t="array" ref="AN102">IF(AQ102=1,SUM(J102:K102,P102:Q102,V102:W102,AB102:AC102,AH102:AI102),
IF(AQ102=2,SUM(L102:M102,R102:S102,X102:Y102,AD102:AE102),
IF(AQ102=3,SUM(H102:I102,N102:O102,T102:U102,Z102:AA102,AF102:AG102),
SUM(IFERROR(WEEKDAY($H$2:$AL$2,2)&gt;5,)*H102:AL102))))</f>
        <v>0</v>
      </c>
      <c r="AO102" s="292" t="b">
        <f>IF(AR102&lt;=3,(IF((G102="5/24"),((база!$M$6*Таблица1[[#This Row],[сумма]]*Таблица1[[#This Row],[коэф]])),
IF((G102="4/24"),((база!$M$5*Таблица1[[#This Row],[сумма]]*Таблица1[[#This Row],[коэф]])),
IF((G102="3/24"),((база!$M$4*Таблица1[[#This Row],[сумма]]*Таблица1[[#This Row],[коэф]])),
IF((G102="5/16"),((база!$L$6*Таблица1[[#This Row],[сумма]]*Таблица1[[#This Row],[коэф]])),
IF((G102="4/16"),((база!$L$5*Таблица1[[#This Row],[сумма]]*Таблица1[[#This Row],[коэф]])),
IF((G102="3/16"),((база!$L$4*Таблица1[[#This Row],[сумма]]*Таблица1[[#This Row],[коэф]])),
IF((G102="4/4"),((база!$I$5*Таблица1[[#This Row],[сумма]]*Таблица1[[#This Row],[коэф]])),
IF(OR(G102="2/4",G102="3/4"),((база!$I$4*Таблица1[[#This Row],[сумма]]*Таблица1[[#This Row],[коэф]])),
IF((G102="5/8"),((база!$J$6*Таблица1[[#This Row],[сумма]]*Таблица1[[#This Row],[коэф]])),
IF((G102="4/8"),((база!$J$5*Таблица1[[#This Row],[сумма]]*Таблица1[[#This Row],[коэф]])),
IF(OR(G102="3/8",G102="2/8"),((база!$J$4*Таблица1[[#This Row],[сумма]]*Таблица1[[#This Row],[коэф]])))))))))))))),
(IF((G102="5/24"),((база!$M$6*Таблица1[[#This Row],[сумма]]*Таблица1[[#This Row],[коэф]])),
IF(OR(G102="4/24",G102="3/24"),((база!$M$5*Таблица1[[#This Row],[сумма]]*Таблица1[[#This Row],[коэф]])),
IF((G102="5/16"),((база!$L$6*Таблица1[[#This Row],[сумма]]*Таблица1[[#This Row],[коэф]])),
IF(OR(G102="4/16",G102="3/16"),((база!$L$5*Таблица1[[#This Row],[сумма]]*Таблица1[[#This Row],[коэф]])),
IF(OR(G102="2/4",G102="3/4",G102="4/4"),((база!$I$5*Таблица1[[#This Row],[сумма]]*Таблица1[[#This Row],[коэф]])),
IF((G102="5/8"),((база!$J$6*Таблица1[[#This Row],[сумма]]*Таблица1[[#This Row],[коэф]])),
IF(OR(G102="4/8",G102="3/8",G102="2/8"),((база!$J$5*Таблица1[[#This Row],[сумма]]*Таблица1[[#This Row],[коэф]])))))))))))</f>
        <v>0</v>
      </c>
      <c r="AP102" s="715" t="b">
        <f>IF(AR102&lt;=3,(IF((G102="5/24"),((база!$M$6*2*Таблица1[[#This Row],[Столбец1]]*Таблица1[[#This Row],[коэф]])),
IF((G102="4/24"),((база!$M$5*2*Таблица1[[#This Row],[Столбец1]]*Таблица1[[#This Row],[коэф]])),
IF((G102="3/24"),((база!$M$4*2*Таблица1[[#This Row],[Столбец1]]*Таблица1[[#This Row],[коэф]])),
IF((G102="5/16"),((база!$L$6*2*Таблица1[[#This Row],[Столбец1]]*Таблица1[[#This Row],[коэф]])),
IF((G102="4/16"),((база!$L$5*2*Таблица1[[#This Row],[Столбец1]]*Таблица1[[#This Row],[коэф]])),
IF((G102="3/16"),((база!$L$4*2*Таблица1[[#This Row],[Столбец1]]*Таблица1[[#This Row],[коэф]])),
IF((G102="4/4"),((база!$I$5*2*Таблица1[[#This Row],[Столбец1]]*Таблица1[[#This Row],[коэф]])),
IF(OR(G102="2/4",G102="3/4"),((база!$I$4*2*Таблица1[[#This Row],[Столбец1]]*Таблица1[[#This Row],[коэф]])),
IF((G102="5/8"),((база!$J$6*2*Таблица1[[#This Row],[Столбец1]]*Таблица1[[#This Row],[коэф]])),
IF((G102="4/8"),((база!$J$5*2*Таблица1[[#This Row],[Столбец1]]*Таблица1[[#This Row],[коэф]])),
IF(OR(G102="3/8",G102="2/8"),((база!$J$4*2*Таблица1[[#This Row],[Столбец1]]*Таблица1[[#This Row],[коэф]])))))))))))))),
(IF((G102="5/24"),((база!$M$6*2*Таблица1[[#This Row],[Столбец1]]*Таблица1[[#This Row],[коэф]])),
IF(OR(G102="4/24",G102="3/24"),((база!$M$5*2*Таблица1[[#This Row],[Столбец1]]*Таблица1[[#This Row],[коэф]])),
IF((G102="5/16"),((база!$L$6*2*Таблица1[[#This Row],[Столбец1]]*Таблица1[[#This Row],[коэф]])),
IF(OR(G102="4/16",G102="3/16"),((база!$L$5*2*Таблица1[[#This Row],[Столбец1]]*Таблица1[[#This Row],[коэф]])),
IF(OR(G102="2/4",G102="3/4",G102="4/4"),((база!$I$5*2*Таблица1[[#This Row],[Столбец1]]*Таблица1[[#This Row],[коэф]])),
IF((G102="5/8"),((база!$J$6*2*Таблица1[[#This Row],[Столбец1]]*Таблица1[[#This Row],[коэф]])),
IF(OR(G102="4/8",G102="3/8",G102="2/8"),((база!$J$5*2*Таблица1[[#This Row],[Столбец1]]*Таблица1[[#This Row],[коэф]])))))))))))</f>
        <v>0</v>
      </c>
      <c r="AQ102" s="697" t="str">
        <f>IFERROR(INDEX(база!T:T, MATCH(F102,база!Q:Q,0)),"")</f>
        <v/>
      </c>
      <c r="AR102" s="207">
        <f>IFERROR(INDEX(база!D:D, MATCH(F102,база!B:B,0)),"")</f>
        <v>0</v>
      </c>
    </row>
    <row r="103" spans="1:44" ht="15" customHeight="1">
      <c r="A103" s="66" t="str">
        <f t="shared" si="2"/>
        <v>декабрь</v>
      </c>
      <c r="B103" s="230">
        <v>2023</v>
      </c>
      <c r="C103" s="299"/>
      <c r="D103" s="61"/>
      <c r="E103" s="210"/>
      <c r="F103" s="669"/>
      <c r="G103" s="47"/>
      <c r="H103" s="563"/>
      <c r="I103" s="563"/>
      <c r="J103" s="563"/>
      <c r="K103" s="563"/>
      <c r="L103" s="563"/>
      <c r="M103" s="563"/>
      <c r="N103" s="563"/>
      <c r="O103" s="563"/>
      <c r="P103" s="300"/>
      <c r="Q103" s="563"/>
      <c r="R103" s="563"/>
      <c r="S103" s="563"/>
      <c r="T103" s="563"/>
      <c r="U103" s="563"/>
      <c r="V103" s="48"/>
      <c r="W103" s="48"/>
      <c r="X103" s="48"/>
      <c r="Y103" s="48"/>
      <c r="Z103" s="48"/>
      <c r="AA103" s="48"/>
      <c r="AB103" s="48"/>
      <c r="AC103" s="48"/>
      <c r="AD103" s="48"/>
      <c r="AE103" s="48"/>
      <c r="AF103" s="48"/>
      <c r="AG103" s="48"/>
      <c r="AH103" s="48"/>
      <c r="AI103" s="48"/>
      <c r="AJ103" s="48"/>
      <c r="AK103" s="48"/>
      <c r="AL103" s="257"/>
      <c r="AM103" s="211">
        <f>IF(AQ103=1,SUM(H103:I103,L103:O103,R103:U103,X103:AA103,AD103:AG103,AI103:AK103),
IF(AQ103=2,SUM(H103:K103,N103:Q103,T103:W103,Z103:AC103,AF103:AI103),
IF(AQ103=3,SUM(J103:M103,P103:S103,V103:Y103,AB103:AE103,AH103:AK103),SUM(Таблица1[[#This Row],[1]:[31]])-Таблица1[[#This Row],[Столбец1]])))</f>
        <v>0</v>
      </c>
      <c r="AN103" s="290">
        <f t="array" ref="AN103">IF(AQ103=1,SUM(J103:K103,P103:Q103,V103:W103,AB103:AC103,AH103:AI103),
IF(AQ103=2,SUM(L103:M103,R103:S103,X103:Y103,AD103:AE103),
IF(AQ103=3,SUM(H103:I103,N103:O103,T103:U103,Z103:AA103,AF103:AG103),
SUM(IFERROR(WEEKDAY($H$2:$AL$2,2)&gt;5,)*H103:AL103))))</f>
        <v>0</v>
      </c>
      <c r="AO103" s="292" t="b">
        <f>IF(AR103&lt;=3,(IF((G103="5/24"),((база!$M$6*Таблица1[[#This Row],[сумма]]*Таблица1[[#This Row],[коэф]])),
IF((G103="4/24"),((база!$M$5*Таблица1[[#This Row],[сумма]]*Таблица1[[#This Row],[коэф]])),
IF((G103="3/24"),((база!$M$4*Таблица1[[#This Row],[сумма]]*Таблица1[[#This Row],[коэф]])),
IF((G103="5/16"),((база!$L$6*Таблица1[[#This Row],[сумма]]*Таблица1[[#This Row],[коэф]])),
IF((G103="4/16"),((база!$L$5*Таблица1[[#This Row],[сумма]]*Таблица1[[#This Row],[коэф]])),
IF((G103="3/16"),((база!$L$4*Таблица1[[#This Row],[сумма]]*Таблица1[[#This Row],[коэф]])),
IF((G103="4/4"),((база!$I$5*Таблица1[[#This Row],[сумма]]*Таблица1[[#This Row],[коэф]])),
IF(OR(G103="2/4",G103="3/4"),((база!$I$4*Таблица1[[#This Row],[сумма]]*Таблица1[[#This Row],[коэф]])),
IF((G103="5/8"),((база!$J$6*Таблица1[[#This Row],[сумма]]*Таблица1[[#This Row],[коэф]])),
IF((G103="4/8"),((база!$J$5*Таблица1[[#This Row],[сумма]]*Таблица1[[#This Row],[коэф]])),
IF(OR(G103="3/8",G103="2/8"),((база!$J$4*Таблица1[[#This Row],[сумма]]*Таблица1[[#This Row],[коэф]])))))))))))))),
(IF((G103="5/24"),((база!$M$6*Таблица1[[#This Row],[сумма]]*Таблица1[[#This Row],[коэф]])),
IF(OR(G103="4/24",G103="3/24"),((база!$M$5*Таблица1[[#This Row],[сумма]]*Таблица1[[#This Row],[коэф]])),
IF((G103="5/16"),((база!$L$6*Таблица1[[#This Row],[сумма]]*Таблица1[[#This Row],[коэф]])),
IF(OR(G103="4/16",G103="3/16"),((база!$L$5*Таблица1[[#This Row],[сумма]]*Таблица1[[#This Row],[коэф]])),
IF(OR(G103="2/4",G103="3/4",G103="4/4"),((база!$I$5*Таблица1[[#This Row],[сумма]]*Таблица1[[#This Row],[коэф]])),
IF((G103="5/8"),((база!$J$6*Таблица1[[#This Row],[сумма]]*Таблица1[[#This Row],[коэф]])),
IF(OR(G103="4/8",G103="3/8",G103="2/8"),((база!$J$5*Таблица1[[#This Row],[сумма]]*Таблица1[[#This Row],[коэф]])))))))))))</f>
        <v>0</v>
      </c>
      <c r="AP103" s="715" t="b">
        <f>IF(AR103&lt;=3,(IF((G103="5/24"),((база!$M$6*2*Таблица1[[#This Row],[Столбец1]]*Таблица1[[#This Row],[коэф]])),
IF((G103="4/24"),((база!$M$5*2*Таблица1[[#This Row],[Столбец1]]*Таблица1[[#This Row],[коэф]])),
IF((G103="3/24"),((база!$M$4*2*Таблица1[[#This Row],[Столбец1]]*Таблица1[[#This Row],[коэф]])),
IF((G103="5/16"),((база!$L$6*2*Таблица1[[#This Row],[Столбец1]]*Таблица1[[#This Row],[коэф]])),
IF((G103="4/16"),((база!$L$5*2*Таблица1[[#This Row],[Столбец1]]*Таблица1[[#This Row],[коэф]])),
IF((G103="3/16"),((база!$L$4*2*Таблица1[[#This Row],[Столбец1]]*Таблица1[[#This Row],[коэф]])),
IF((G103="4/4"),((база!$I$5*2*Таблица1[[#This Row],[Столбец1]]*Таблица1[[#This Row],[коэф]])),
IF(OR(G103="2/4",G103="3/4"),((база!$I$4*2*Таблица1[[#This Row],[Столбец1]]*Таблица1[[#This Row],[коэф]])),
IF((G103="5/8"),((база!$J$6*2*Таблица1[[#This Row],[Столбец1]]*Таблица1[[#This Row],[коэф]])),
IF((G103="4/8"),((база!$J$5*2*Таблица1[[#This Row],[Столбец1]]*Таблица1[[#This Row],[коэф]])),
IF(OR(G103="3/8",G103="2/8"),((база!$J$4*2*Таблица1[[#This Row],[Столбец1]]*Таблица1[[#This Row],[коэф]])))))))))))))),
(IF((G103="5/24"),((база!$M$6*2*Таблица1[[#This Row],[Столбец1]]*Таблица1[[#This Row],[коэф]])),
IF(OR(G103="4/24",G103="3/24"),((база!$M$5*2*Таблица1[[#This Row],[Столбец1]]*Таблица1[[#This Row],[коэф]])),
IF((G103="5/16"),((база!$L$6*2*Таблица1[[#This Row],[Столбец1]]*Таблица1[[#This Row],[коэф]])),
IF(OR(G103="4/16",G103="3/16"),((база!$L$5*2*Таблица1[[#This Row],[Столбец1]]*Таблица1[[#This Row],[коэф]])),
IF(OR(G103="2/4",G103="3/4",G103="4/4"),((база!$I$5*2*Таблица1[[#This Row],[Столбец1]]*Таблица1[[#This Row],[коэф]])),
IF((G103="5/8"),((база!$J$6*2*Таблица1[[#This Row],[Столбец1]]*Таблица1[[#This Row],[коэф]])),
IF(OR(G103="4/8",G103="3/8",G103="2/8"),((база!$J$5*2*Таблица1[[#This Row],[Столбец1]]*Таблица1[[#This Row],[коэф]])))))))))))</f>
        <v>0</v>
      </c>
      <c r="AQ103" s="697" t="str">
        <f>IFERROR(INDEX(база!T:T, MATCH(F103,база!Q:Q,0)),"")</f>
        <v/>
      </c>
      <c r="AR103" s="207">
        <f>IFERROR(INDEX(база!D:D, MATCH(F103,база!B:B,0)),"")</f>
        <v>0</v>
      </c>
    </row>
    <row r="104" spans="1:44" ht="15" customHeight="1">
      <c r="A104" s="66" t="str">
        <f t="shared" si="2"/>
        <v>декабрь</v>
      </c>
      <c r="B104" s="230">
        <v>2023</v>
      </c>
      <c r="C104" s="299"/>
      <c r="D104" s="61"/>
      <c r="E104" s="210"/>
      <c r="F104" s="669"/>
      <c r="G104" s="47"/>
      <c r="H104" s="563"/>
      <c r="I104" s="563"/>
      <c r="J104" s="563"/>
      <c r="K104" s="563"/>
      <c r="L104" s="563"/>
      <c r="M104" s="563"/>
      <c r="N104" s="563"/>
      <c r="O104" s="563"/>
      <c r="P104" s="300"/>
      <c r="Q104" s="563"/>
      <c r="R104" s="48"/>
      <c r="S104" s="48"/>
      <c r="T104" s="48"/>
      <c r="U104" s="48"/>
      <c r="V104" s="48"/>
      <c r="W104" s="563"/>
      <c r="X104" s="563"/>
      <c r="Y104" s="48"/>
      <c r="Z104" s="48"/>
      <c r="AA104" s="48"/>
      <c r="AB104" s="48"/>
      <c r="AC104" s="563"/>
      <c r="AD104" s="48"/>
      <c r="AE104" s="48"/>
      <c r="AF104" s="48"/>
      <c r="AG104" s="48"/>
      <c r="AH104" s="48"/>
      <c r="AI104" s="48"/>
      <c r="AJ104" s="48"/>
      <c r="AK104" s="257"/>
      <c r="AL104" s="257"/>
      <c r="AM104" s="211">
        <f>IF(AQ104=1,SUM(H104:I104,L104:O104,R104:U104,X104:AA104,AD104:AG104,AI104:AK104),
IF(AQ104=2,SUM(H104:K104,N104:Q104,T104:W104,Z104:AC104,AF104:AI104),
IF(AQ104=3,SUM(J104:M104,P104:S104,V104:Y104,AB104:AE104,AH104:AK104),SUM(Таблица1[[#This Row],[1]:[31]])-Таблица1[[#This Row],[Столбец1]])))</f>
        <v>0</v>
      </c>
      <c r="AN104" s="290">
        <f t="array" ref="AN104">IF(AQ104=1,SUM(J104:K104,P104:Q104,V104:W104,AB104:AC104,AH104:AI104),
IF(AQ104=2,SUM(L104:M104,R104:S104,X104:Y104,AD104:AE104),
IF(AQ104=3,SUM(H104:I104,N104:O104,T104:U104,Z104:AA104,AF104:AG104),
SUM(IFERROR(WEEKDAY($H$2:$AL$2,2)&gt;5,)*H104:AL104))))</f>
        <v>0</v>
      </c>
      <c r="AO104" s="292" t="b">
        <f>IF(AR104&lt;=3,(IF((G104="5/24"),((база!$M$6*Таблица1[[#This Row],[сумма]]*Таблица1[[#This Row],[коэф]])),
IF((G104="4/24"),((база!$M$5*Таблица1[[#This Row],[сумма]]*Таблица1[[#This Row],[коэф]])),
IF((G104="3/24"),((база!$M$4*Таблица1[[#This Row],[сумма]]*Таблица1[[#This Row],[коэф]])),
IF((G104="5/16"),((база!$L$6*Таблица1[[#This Row],[сумма]]*Таблица1[[#This Row],[коэф]])),
IF((G104="4/16"),((база!$L$5*Таблица1[[#This Row],[сумма]]*Таблица1[[#This Row],[коэф]])),
IF((G104="3/16"),((база!$L$4*Таблица1[[#This Row],[сумма]]*Таблица1[[#This Row],[коэф]])),
IF((G104="4/4"),((база!$I$5*Таблица1[[#This Row],[сумма]]*Таблица1[[#This Row],[коэф]])),
IF(OR(G104="2/4",G104="3/4"),((база!$I$4*Таблица1[[#This Row],[сумма]]*Таблица1[[#This Row],[коэф]])),
IF((G104="5/8"),((база!$J$6*Таблица1[[#This Row],[сумма]]*Таблица1[[#This Row],[коэф]])),
IF((G104="4/8"),((база!$J$5*Таблица1[[#This Row],[сумма]]*Таблица1[[#This Row],[коэф]])),
IF(OR(G104="3/8",G104="2/8"),((база!$J$4*Таблица1[[#This Row],[сумма]]*Таблица1[[#This Row],[коэф]])))))))))))))),
(IF((G104="5/24"),((база!$M$6*Таблица1[[#This Row],[сумма]]*Таблица1[[#This Row],[коэф]])),
IF(OR(G104="4/24",G104="3/24"),((база!$M$5*Таблица1[[#This Row],[сумма]]*Таблица1[[#This Row],[коэф]])),
IF((G104="5/16"),((база!$L$6*Таблица1[[#This Row],[сумма]]*Таблица1[[#This Row],[коэф]])),
IF(OR(G104="4/16",G104="3/16"),((база!$L$5*Таблица1[[#This Row],[сумма]]*Таблица1[[#This Row],[коэф]])),
IF(OR(G104="2/4",G104="3/4",G104="4/4"),((база!$I$5*Таблица1[[#This Row],[сумма]]*Таблица1[[#This Row],[коэф]])),
IF((G104="5/8"),((база!$J$6*Таблица1[[#This Row],[сумма]]*Таблица1[[#This Row],[коэф]])),
IF(OR(G104="4/8",G104="3/8",G104="2/8"),((база!$J$5*Таблица1[[#This Row],[сумма]]*Таблица1[[#This Row],[коэф]])))))))))))</f>
        <v>0</v>
      </c>
      <c r="AP104" s="715" t="b">
        <f>IF(AR104&lt;=3,(IF((G104="5/24"),((база!$M$6*2*Таблица1[[#This Row],[Столбец1]]*Таблица1[[#This Row],[коэф]])),
IF((G104="4/24"),((база!$M$5*2*Таблица1[[#This Row],[Столбец1]]*Таблица1[[#This Row],[коэф]])),
IF((G104="3/24"),((база!$M$4*2*Таблица1[[#This Row],[Столбец1]]*Таблица1[[#This Row],[коэф]])),
IF((G104="5/16"),((база!$L$6*2*Таблица1[[#This Row],[Столбец1]]*Таблица1[[#This Row],[коэф]])),
IF((G104="4/16"),((база!$L$5*2*Таблица1[[#This Row],[Столбец1]]*Таблица1[[#This Row],[коэф]])),
IF((G104="3/16"),((база!$L$4*2*Таблица1[[#This Row],[Столбец1]]*Таблица1[[#This Row],[коэф]])),
IF((G104="4/4"),((база!$I$5*2*Таблица1[[#This Row],[Столбец1]]*Таблица1[[#This Row],[коэф]])),
IF(OR(G104="2/4",G104="3/4"),((база!$I$4*2*Таблица1[[#This Row],[Столбец1]]*Таблица1[[#This Row],[коэф]])),
IF((G104="5/8"),((база!$J$6*2*Таблица1[[#This Row],[Столбец1]]*Таблица1[[#This Row],[коэф]])),
IF((G104="4/8"),((база!$J$5*2*Таблица1[[#This Row],[Столбец1]]*Таблица1[[#This Row],[коэф]])),
IF(OR(G104="3/8",G104="2/8"),((база!$J$4*2*Таблица1[[#This Row],[Столбец1]]*Таблица1[[#This Row],[коэф]])))))))))))))),
(IF((G104="5/24"),((база!$M$6*2*Таблица1[[#This Row],[Столбец1]]*Таблица1[[#This Row],[коэф]])),
IF(OR(G104="4/24",G104="3/24"),((база!$M$5*2*Таблица1[[#This Row],[Столбец1]]*Таблица1[[#This Row],[коэф]])),
IF((G104="5/16"),((база!$L$6*2*Таблица1[[#This Row],[Столбец1]]*Таблица1[[#This Row],[коэф]])),
IF(OR(G104="4/16",G104="3/16"),((база!$L$5*2*Таблица1[[#This Row],[Столбец1]]*Таблица1[[#This Row],[коэф]])),
IF(OR(G104="2/4",G104="3/4",G104="4/4"),((база!$I$5*2*Таблица1[[#This Row],[Столбец1]]*Таблица1[[#This Row],[коэф]])),
IF((G104="5/8"),((база!$J$6*2*Таблица1[[#This Row],[Столбец1]]*Таблица1[[#This Row],[коэф]])),
IF(OR(G104="4/8",G104="3/8",G104="2/8"),((база!$J$5*2*Таблица1[[#This Row],[Столбец1]]*Таблица1[[#This Row],[коэф]])))))))))))</f>
        <v>0</v>
      </c>
      <c r="AQ104" s="697" t="str">
        <f>IFERROR(INDEX(база!T:T, MATCH(F104,база!Q:Q,0)),"")</f>
        <v/>
      </c>
      <c r="AR104" s="207">
        <f>IFERROR(INDEX(база!D:D, MATCH(F104,база!B:B,0)),"")</f>
        <v>0</v>
      </c>
    </row>
    <row r="105" spans="1:44" ht="15" customHeight="1">
      <c r="A105" s="66" t="str">
        <f t="shared" si="2"/>
        <v>декабрь</v>
      </c>
      <c r="B105" s="230">
        <v>2023</v>
      </c>
      <c r="C105" s="299"/>
      <c r="D105" s="61"/>
      <c r="E105" s="210"/>
      <c r="F105" s="669"/>
      <c r="G105" s="47"/>
      <c r="H105" s="563"/>
      <c r="I105" s="563"/>
      <c r="J105" s="563"/>
      <c r="K105" s="563"/>
      <c r="L105" s="563"/>
      <c r="M105" s="563"/>
      <c r="N105" s="563"/>
      <c r="O105" s="563"/>
      <c r="P105" s="300"/>
      <c r="Q105" s="563"/>
      <c r="R105" s="48"/>
      <c r="S105" s="48"/>
      <c r="T105" s="48"/>
      <c r="U105" s="48"/>
      <c r="V105" s="48"/>
      <c r="W105" s="563"/>
      <c r="X105" s="563"/>
      <c r="Y105" s="48"/>
      <c r="Z105" s="48"/>
      <c r="AA105" s="48"/>
      <c r="AB105" s="48"/>
      <c r="AC105" s="563"/>
      <c r="AD105" s="48"/>
      <c r="AE105" s="48"/>
      <c r="AF105" s="257"/>
      <c r="AG105" s="257"/>
      <c r="AH105" s="257"/>
      <c r="AI105" s="257"/>
      <c r="AJ105" s="257"/>
      <c r="AK105" s="48"/>
      <c r="AL105" s="51"/>
      <c r="AM105" s="211">
        <f>IF(AQ105=1,SUM(H105:I105,L105:O105,R105:U105,X105:AA105,AD105:AG105,AI105:AK105),
IF(AQ105=2,SUM(H105:K105,N105:Q105,T105:W105,Z105:AC105,AF105:AI105),
IF(AQ105=3,SUM(J105:M105,P105:S105,V105:Y105,AB105:AE105,AH105:AK105),SUM(Таблица1[[#This Row],[1]:[31]])-Таблица1[[#This Row],[Столбец1]])))</f>
        <v>0</v>
      </c>
      <c r="AN105" s="290">
        <f t="array" ref="AN105">IF(AQ105=1,SUM(J105:K105,P105:Q105,V105:W105,AB105:AC105,AH105:AI105),
IF(AQ105=2,SUM(L105:M105,R105:S105,X105:Y105,AD105:AE105),
IF(AQ105=3,SUM(H105:I105,N105:O105,T105:U105,Z105:AA105,AF105:AG105),
SUM(IFERROR(WEEKDAY($H$2:$AL$2,2)&gt;5,)*H105:AL105))))</f>
        <v>0</v>
      </c>
      <c r="AO105" s="292" t="b">
        <f>IF(AR105&lt;=3,(IF((G105="5/24"),((база!$M$6*Таблица1[[#This Row],[сумма]]*Таблица1[[#This Row],[коэф]])),
IF((G105="4/24"),((база!$M$5*Таблица1[[#This Row],[сумма]]*Таблица1[[#This Row],[коэф]])),
IF((G105="3/24"),((база!$M$4*Таблица1[[#This Row],[сумма]]*Таблица1[[#This Row],[коэф]])),
IF((G105="5/16"),((база!$L$6*Таблица1[[#This Row],[сумма]]*Таблица1[[#This Row],[коэф]])),
IF((G105="4/16"),((база!$L$5*Таблица1[[#This Row],[сумма]]*Таблица1[[#This Row],[коэф]])),
IF((G105="3/16"),((база!$L$4*Таблица1[[#This Row],[сумма]]*Таблица1[[#This Row],[коэф]])),
IF((G105="4/4"),((база!$I$5*Таблица1[[#This Row],[сумма]]*Таблица1[[#This Row],[коэф]])),
IF(OR(G105="2/4",G105="3/4"),((база!$I$4*Таблица1[[#This Row],[сумма]]*Таблица1[[#This Row],[коэф]])),
IF((G105="5/8"),((база!$J$6*Таблица1[[#This Row],[сумма]]*Таблица1[[#This Row],[коэф]])),
IF((G105="4/8"),((база!$J$5*Таблица1[[#This Row],[сумма]]*Таблица1[[#This Row],[коэф]])),
IF(OR(G105="3/8",G105="2/8"),((база!$J$4*Таблица1[[#This Row],[сумма]]*Таблица1[[#This Row],[коэф]])))))))))))))),
(IF((G105="5/24"),((база!$M$6*Таблица1[[#This Row],[сумма]]*Таблица1[[#This Row],[коэф]])),
IF(OR(G105="4/24",G105="3/24"),((база!$M$5*Таблица1[[#This Row],[сумма]]*Таблица1[[#This Row],[коэф]])),
IF((G105="5/16"),((база!$L$6*Таблица1[[#This Row],[сумма]]*Таблица1[[#This Row],[коэф]])),
IF(OR(G105="4/16",G105="3/16"),((база!$L$5*Таблица1[[#This Row],[сумма]]*Таблица1[[#This Row],[коэф]])),
IF(OR(G105="2/4",G105="3/4",G105="4/4"),((база!$I$5*Таблица1[[#This Row],[сумма]]*Таблица1[[#This Row],[коэф]])),
IF((G105="5/8"),((база!$J$6*Таблица1[[#This Row],[сумма]]*Таблица1[[#This Row],[коэф]])),
IF(OR(G105="4/8",G105="3/8",G105="2/8"),((база!$J$5*Таблица1[[#This Row],[сумма]]*Таблица1[[#This Row],[коэф]])))))))))))</f>
        <v>0</v>
      </c>
      <c r="AP105" s="715" t="b">
        <f>IF(AR105&lt;=3,(IF((G105="5/24"),((база!$M$6*2*Таблица1[[#This Row],[Столбец1]]*Таблица1[[#This Row],[коэф]])),
IF((G105="4/24"),((база!$M$5*2*Таблица1[[#This Row],[Столбец1]]*Таблица1[[#This Row],[коэф]])),
IF((G105="3/24"),((база!$M$4*2*Таблица1[[#This Row],[Столбец1]]*Таблица1[[#This Row],[коэф]])),
IF((G105="5/16"),((база!$L$6*2*Таблица1[[#This Row],[Столбец1]]*Таблица1[[#This Row],[коэф]])),
IF((G105="4/16"),((база!$L$5*2*Таблица1[[#This Row],[Столбец1]]*Таблица1[[#This Row],[коэф]])),
IF((G105="3/16"),((база!$L$4*2*Таблица1[[#This Row],[Столбец1]]*Таблица1[[#This Row],[коэф]])),
IF((G105="4/4"),((база!$I$5*2*Таблица1[[#This Row],[Столбец1]]*Таблица1[[#This Row],[коэф]])),
IF(OR(G105="2/4",G105="3/4"),((база!$I$4*2*Таблица1[[#This Row],[Столбец1]]*Таблица1[[#This Row],[коэф]])),
IF((G105="5/8"),((база!$J$6*2*Таблица1[[#This Row],[Столбец1]]*Таблица1[[#This Row],[коэф]])),
IF((G105="4/8"),((база!$J$5*2*Таблица1[[#This Row],[Столбец1]]*Таблица1[[#This Row],[коэф]])),
IF(OR(G105="3/8",G105="2/8"),((база!$J$4*2*Таблица1[[#This Row],[Столбец1]]*Таблица1[[#This Row],[коэф]])))))))))))))),
(IF((G105="5/24"),((база!$M$6*2*Таблица1[[#This Row],[Столбец1]]*Таблица1[[#This Row],[коэф]])),
IF(OR(G105="4/24",G105="3/24"),((база!$M$5*2*Таблица1[[#This Row],[Столбец1]]*Таблица1[[#This Row],[коэф]])),
IF((G105="5/16"),((база!$L$6*2*Таблица1[[#This Row],[Столбец1]]*Таблица1[[#This Row],[коэф]])),
IF(OR(G105="4/16",G105="3/16"),((база!$L$5*2*Таблица1[[#This Row],[Столбец1]]*Таблица1[[#This Row],[коэф]])),
IF(OR(G105="2/4",G105="3/4",G105="4/4"),((база!$I$5*2*Таблица1[[#This Row],[Столбец1]]*Таблица1[[#This Row],[коэф]])),
IF((G105="5/8"),((база!$J$6*2*Таблица1[[#This Row],[Столбец1]]*Таблица1[[#This Row],[коэф]])),
IF(OR(G105="4/8",G105="3/8",G105="2/8"),((база!$J$5*2*Таблица1[[#This Row],[Столбец1]]*Таблица1[[#This Row],[коэф]])))))))))))</f>
        <v>0</v>
      </c>
      <c r="AQ105" s="697" t="str">
        <f>IFERROR(INDEX(база!T:T, MATCH(F105,база!Q:Q,0)),"")</f>
        <v/>
      </c>
      <c r="AR105" s="207">
        <f>IFERROR(INDEX(база!D:D, MATCH(F105,база!B:B,0)),"")</f>
        <v>0</v>
      </c>
    </row>
    <row r="106" spans="1:44" ht="15">
      <c r="A106" s="66" t="str">
        <f t="shared" si="2"/>
        <v>декабрь</v>
      </c>
      <c r="B106" s="230">
        <v>2023</v>
      </c>
      <c r="C106" s="60"/>
      <c r="D106" s="61"/>
      <c r="E106" s="210"/>
      <c r="F106" s="669"/>
      <c r="G106" s="47"/>
      <c r="H106" s="563"/>
      <c r="I106" s="563"/>
      <c r="J106" s="563"/>
      <c r="K106" s="563"/>
      <c r="L106" s="563"/>
      <c r="M106" s="563"/>
      <c r="N106" s="563"/>
      <c r="O106" s="563"/>
      <c r="P106" s="48"/>
      <c r="Q106" s="48"/>
      <c r="R106" s="48"/>
      <c r="S106" s="48"/>
      <c r="T106" s="48"/>
      <c r="U106" s="48"/>
      <c r="V106" s="48"/>
      <c r="W106" s="563"/>
      <c r="X106" s="563"/>
      <c r="Y106" s="563"/>
      <c r="Z106" s="563"/>
      <c r="AA106" s="563"/>
      <c r="AB106" s="563"/>
      <c r="AC106" s="563"/>
      <c r="AD106" s="48"/>
      <c r="AE106" s="48"/>
      <c r="AF106" s="257"/>
      <c r="AG106" s="257"/>
      <c r="AH106" s="257"/>
      <c r="AI106" s="257"/>
      <c r="AJ106" s="257"/>
      <c r="AK106" s="48"/>
      <c r="AL106" s="51"/>
      <c r="AM106" s="211">
        <f>IF(AQ106=1,SUM(H106:I106,L106:O106,R106:U106,X106:AA106,AD106:AG106,AI106:AK106),
IF(AQ106=2,SUM(H106:K106,N106:Q106,T106:W106,Z106:AC106,AF106:AI106),
IF(AQ106=3,SUM(J106:M106,P106:S106,V106:Y106,AB106:AE106,AH106:AK106),SUM(Таблица1[[#This Row],[1]:[31]])-Таблица1[[#This Row],[Столбец1]])))</f>
        <v>0</v>
      </c>
      <c r="AN106" s="290">
        <f t="array" ref="AN106">IF(AQ106=1,SUM(J106:K106,P106:Q106,V106:W106,AB106:AC106,AH106:AI106),
IF(AQ106=2,SUM(L106:M106,R106:S106,X106:Y106,AD106:AE106),
IF(AQ106=3,SUM(H106:I106,N106:O106,T106:U106,Z106:AA106,AF106:AG106),
SUM(IFERROR(WEEKDAY($H$2:$AL$2,2)&gt;5,)*H106:AL106))))</f>
        <v>0</v>
      </c>
      <c r="AO106" s="292" t="b">
        <f>IF(AR106&lt;=3,(IF((G106="5/24"),((база!$M$6*Таблица1[[#This Row],[сумма]]*Таблица1[[#This Row],[коэф]])),
IF((G106="4/24"),((база!$M$5*Таблица1[[#This Row],[сумма]]*Таблица1[[#This Row],[коэф]])),
IF((G106="3/24"),((база!$M$4*Таблица1[[#This Row],[сумма]]*Таблица1[[#This Row],[коэф]])),
IF((G106="5/16"),((база!$L$6*Таблица1[[#This Row],[сумма]]*Таблица1[[#This Row],[коэф]])),
IF((G106="4/16"),((база!$L$5*Таблица1[[#This Row],[сумма]]*Таблица1[[#This Row],[коэф]])),
IF((G106="3/16"),((база!$L$4*Таблица1[[#This Row],[сумма]]*Таблица1[[#This Row],[коэф]])),
IF((G106="4/4"),((база!$I$5*Таблица1[[#This Row],[сумма]]*Таблица1[[#This Row],[коэф]])),
IF(OR(G106="2/4",G106="3/4"),((база!$I$4*Таблица1[[#This Row],[сумма]]*Таблица1[[#This Row],[коэф]])),
IF((G106="5/8"),((база!$J$6*Таблица1[[#This Row],[сумма]]*Таблица1[[#This Row],[коэф]])),
IF((G106="4/8"),((база!$J$5*Таблица1[[#This Row],[сумма]]*Таблица1[[#This Row],[коэф]])),
IF(OR(G106="3/8",G106="2/8"),((база!$J$4*Таблица1[[#This Row],[сумма]]*Таблица1[[#This Row],[коэф]])))))))))))))),
(IF((G106="5/24"),((база!$M$6*Таблица1[[#This Row],[сумма]]*Таблица1[[#This Row],[коэф]])),
IF(OR(G106="4/24",G106="3/24"),((база!$M$5*Таблица1[[#This Row],[сумма]]*Таблица1[[#This Row],[коэф]])),
IF((G106="5/16"),((база!$L$6*Таблица1[[#This Row],[сумма]]*Таблица1[[#This Row],[коэф]])),
IF(OR(G106="4/16",G106="3/16"),((база!$L$5*Таблица1[[#This Row],[сумма]]*Таблица1[[#This Row],[коэф]])),
IF(OR(G106="2/4",G106="3/4",G106="4/4"),((база!$I$5*Таблица1[[#This Row],[сумма]]*Таблица1[[#This Row],[коэф]])),
IF((G106="5/8"),((база!$J$6*Таблица1[[#This Row],[сумма]]*Таблица1[[#This Row],[коэф]])),
IF(OR(G106="4/8",G106="3/8",G106="2/8"),((база!$J$5*Таблица1[[#This Row],[сумма]]*Таблица1[[#This Row],[коэф]])))))))))))</f>
        <v>0</v>
      </c>
      <c r="AP106" s="715" t="b">
        <f>IF(AR106&lt;=3,(IF((G106="5/24"),((база!$M$6*2*Таблица1[[#This Row],[Столбец1]]*Таблица1[[#This Row],[коэф]])),
IF((G106="4/24"),((база!$M$5*2*Таблица1[[#This Row],[Столбец1]]*Таблица1[[#This Row],[коэф]])),
IF((G106="3/24"),((база!$M$4*2*Таблица1[[#This Row],[Столбец1]]*Таблица1[[#This Row],[коэф]])),
IF((G106="5/16"),((база!$L$6*2*Таблица1[[#This Row],[Столбец1]]*Таблица1[[#This Row],[коэф]])),
IF((G106="4/16"),((база!$L$5*2*Таблица1[[#This Row],[Столбец1]]*Таблица1[[#This Row],[коэф]])),
IF((G106="3/16"),((база!$L$4*2*Таблица1[[#This Row],[Столбец1]]*Таблица1[[#This Row],[коэф]])),
IF((G106="4/4"),((база!$I$5*2*Таблица1[[#This Row],[Столбец1]]*Таблица1[[#This Row],[коэф]])),
IF(OR(G106="2/4",G106="3/4"),((база!$I$4*2*Таблица1[[#This Row],[Столбец1]]*Таблица1[[#This Row],[коэф]])),
IF((G106="5/8"),((база!$J$6*2*Таблица1[[#This Row],[Столбец1]]*Таблица1[[#This Row],[коэф]])),
IF((G106="4/8"),((база!$J$5*2*Таблица1[[#This Row],[Столбец1]]*Таблица1[[#This Row],[коэф]])),
IF(OR(G106="3/8",G106="2/8"),((база!$J$4*2*Таблица1[[#This Row],[Столбец1]]*Таблица1[[#This Row],[коэф]])))))))))))))),
(IF((G106="5/24"),((база!$M$6*2*Таблица1[[#This Row],[Столбец1]]*Таблица1[[#This Row],[коэф]])),
IF(OR(G106="4/24",G106="3/24"),((база!$M$5*2*Таблица1[[#This Row],[Столбец1]]*Таблица1[[#This Row],[коэф]])),
IF((G106="5/16"),((база!$L$6*2*Таблица1[[#This Row],[Столбец1]]*Таблица1[[#This Row],[коэф]])),
IF(OR(G106="4/16",G106="3/16"),((база!$L$5*2*Таблица1[[#This Row],[Столбец1]]*Таблица1[[#This Row],[коэф]])),
IF(OR(G106="2/4",G106="3/4",G106="4/4"),((база!$I$5*2*Таблица1[[#This Row],[Столбец1]]*Таблица1[[#This Row],[коэф]])),
IF((G106="5/8"),((база!$J$6*2*Таблица1[[#This Row],[Столбец1]]*Таблица1[[#This Row],[коэф]])),
IF(OR(G106="4/8",G106="3/8",G106="2/8"),((база!$J$5*2*Таблица1[[#This Row],[Столбец1]]*Таблица1[[#This Row],[коэф]])))))))))))</f>
        <v>0</v>
      </c>
      <c r="AQ106" s="697" t="str">
        <f>IFERROR(INDEX(база!T:T, MATCH(F106,база!Q:Q,0)),"")</f>
        <v/>
      </c>
      <c r="AR106" s="207">
        <f>IFERROR(INDEX(база!D:D, MATCH(F106,база!B:B,0)),"")</f>
        <v>0</v>
      </c>
    </row>
    <row r="107" spans="1:44" ht="15">
      <c r="A107" s="66" t="str">
        <f t="shared" si="2"/>
        <v>декабрь</v>
      </c>
      <c r="B107" s="230">
        <v>2023</v>
      </c>
      <c r="C107" s="60"/>
      <c r="D107" s="61"/>
      <c r="E107" s="210"/>
      <c r="F107" s="669"/>
      <c r="G107" s="47"/>
      <c r="H107" s="563"/>
      <c r="I107" s="563"/>
      <c r="J107" s="563"/>
      <c r="K107" s="563"/>
      <c r="L107" s="563"/>
      <c r="M107" s="563"/>
      <c r="N107" s="563"/>
      <c r="O107" s="563"/>
      <c r="P107" s="300"/>
      <c r="Q107" s="563"/>
      <c r="R107" s="563"/>
      <c r="S107" s="563"/>
      <c r="T107" s="563"/>
      <c r="U107" s="563"/>
      <c r="V107" s="563"/>
      <c r="W107" s="563"/>
      <c r="X107" s="563"/>
      <c r="Y107" s="563"/>
      <c r="Z107" s="48"/>
      <c r="AA107" s="48"/>
      <c r="AB107" s="48"/>
      <c r="AC107" s="48"/>
      <c r="AD107" s="48"/>
      <c r="AE107" s="48"/>
      <c r="AF107" s="48"/>
      <c r="AG107" s="48"/>
      <c r="AH107" s="48"/>
      <c r="AI107" s="48"/>
      <c r="AJ107" s="48"/>
      <c r="AK107" s="48"/>
      <c r="AL107" s="51"/>
      <c r="AM107" s="211">
        <f>IF(AQ107=1,SUM(H107:I107,L107:O107,R107:U107,X107:AA107,AD107:AG107,AI107:AK107),
IF(AQ107=2,SUM(H107:K107,N107:Q107,T107:W107,Z107:AC107,AF107:AI107),
IF(AQ107=3,SUM(J107:M107,P107:S107,V107:Y107,AB107:AE107,AH107:AK107),SUM(Таблица1[[#This Row],[1]:[31]])-Таблица1[[#This Row],[Столбец1]])))</f>
        <v>0</v>
      </c>
      <c r="AN107" s="290">
        <f t="array" ref="AN107">IF(AQ107=1,SUM(J107:K107,P107:Q107,V107:W107,AB107:AC107,AH107:AI107),
IF(AQ107=2,SUM(L107:M107,R107:S107,X107:Y107,AD107:AE107),
IF(AQ107=3,SUM(H107:I107,N107:O107,T107:U107,Z107:AA107,AF107:AG107),
SUM(IFERROR(WEEKDAY($H$2:$AL$2,2)&gt;5,)*H107:AL107))))</f>
        <v>0</v>
      </c>
      <c r="AO107" s="292" t="b">
        <f>IF(AR107&lt;=3,(IF((G107="5/24"),((база!$M$6*Таблица1[[#This Row],[сумма]]*Таблица1[[#This Row],[коэф]])),
IF((G107="4/24"),((база!$M$5*Таблица1[[#This Row],[сумма]]*Таблица1[[#This Row],[коэф]])),
IF((G107="3/24"),((база!$M$4*Таблица1[[#This Row],[сумма]]*Таблица1[[#This Row],[коэф]])),
IF((G107="5/16"),((база!$L$6*Таблица1[[#This Row],[сумма]]*Таблица1[[#This Row],[коэф]])),
IF((G107="4/16"),((база!$L$5*Таблица1[[#This Row],[сумма]]*Таблица1[[#This Row],[коэф]])),
IF((G107="3/16"),((база!$L$4*Таблица1[[#This Row],[сумма]]*Таблица1[[#This Row],[коэф]])),
IF((G107="4/4"),((база!$I$5*Таблица1[[#This Row],[сумма]]*Таблица1[[#This Row],[коэф]])),
IF(OR(G107="2/4",G107="3/4"),((база!$I$4*Таблица1[[#This Row],[сумма]]*Таблица1[[#This Row],[коэф]])),
IF((G107="5/8"),((база!$J$6*Таблица1[[#This Row],[сумма]]*Таблица1[[#This Row],[коэф]])),
IF((G107="4/8"),((база!$J$5*Таблица1[[#This Row],[сумма]]*Таблица1[[#This Row],[коэф]])),
IF(OR(G107="3/8",G107="2/8"),((база!$J$4*Таблица1[[#This Row],[сумма]]*Таблица1[[#This Row],[коэф]])))))))))))))),
(IF((G107="5/24"),((база!$M$6*Таблица1[[#This Row],[сумма]]*Таблица1[[#This Row],[коэф]])),
IF(OR(G107="4/24",G107="3/24"),((база!$M$5*Таблица1[[#This Row],[сумма]]*Таблица1[[#This Row],[коэф]])),
IF((G107="5/16"),((база!$L$6*Таблица1[[#This Row],[сумма]]*Таблица1[[#This Row],[коэф]])),
IF(OR(G107="4/16",G107="3/16"),((база!$L$5*Таблица1[[#This Row],[сумма]]*Таблица1[[#This Row],[коэф]])),
IF(OR(G107="2/4",G107="3/4",G107="4/4"),((база!$I$5*Таблица1[[#This Row],[сумма]]*Таблица1[[#This Row],[коэф]])),
IF((G107="5/8"),((база!$J$6*Таблица1[[#This Row],[сумма]]*Таблица1[[#This Row],[коэф]])),
IF(OR(G107="4/8",G107="3/8",G107="2/8"),((база!$J$5*Таблица1[[#This Row],[сумма]]*Таблица1[[#This Row],[коэф]])))))))))))</f>
        <v>0</v>
      </c>
      <c r="AP107" s="715" t="b">
        <f>IF(AR107&lt;=3,(IF((G107="5/24"),((база!$M$6*2*Таблица1[[#This Row],[Столбец1]]*Таблица1[[#This Row],[коэф]])),
IF((G107="4/24"),((база!$M$5*2*Таблица1[[#This Row],[Столбец1]]*Таблица1[[#This Row],[коэф]])),
IF((G107="3/24"),((база!$M$4*2*Таблица1[[#This Row],[Столбец1]]*Таблица1[[#This Row],[коэф]])),
IF((G107="5/16"),((база!$L$6*2*Таблица1[[#This Row],[Столбец1]]*Таблица1[[#This Row],[коэф]])),
IF((G107="4/16"),((база!$L$5*2*Таблица1[[#This Row],[Столбец1]]*Таблица1[[#This Row],[коэф]])),
IF((G107="3/16"),((база!$L$4*2*Таблица1[[#This Row],[Столбец1]]*Таблица1[[#This Row],[коэф]])),
IF((G107="4/4"),((база!$I$5*2*Таблица1[[#This Row],[Столбец1]]*Таблица1[[#This Row],[коэф]])),
IF(OR(G107="2/4",G107="3/4"),((база!$I$4*2*Таблица1[[#This Row],[Столбец1]]*Таблица1[[#This Row],[коэф]])),
IF((G107="5/8"),((база!$J$6*2*Таблица1[[#This Row],[Столбец1]]*Таблица1[[#This Row],[коэф]])),
IF((G107="4/8"),((база!$J$5*2*Таблица1[[#This Row],[Столбец1]]*Таблица1[[#This Row],[коэф]])),
IF(OR(G107="3/8",G107="2/8"),((база!$J$4*2*Таблица1[[#This Row],[Столбец1]]*Таблица1[[#This Row],[коэф]])))))))))))))),
(IF((G107="5/24"),((база!$M$6*2*Таблица1[[#This Row],[Столбец1]]*Таблица1[[#This Row],[коэф]])),
IF(OR(G107="4/24",G107="3/24"),((база!$M$5*2*Таблица1[[#This Row],[Столбец1]]*Таблица1[[#This Row],[коэф]])),
IF((G107="5/16"),((база!$L$6*2*Таблица1[[#This Row],[Столбец1]]*Таблица1[[#This Row],[коэф]])),
IF(OR(G107="4/16",G107="3/16"),((база!$L$5*2*Таблица1[[#This Row],[Столбец1]]*Таблица1[[#This Row],[коэф]])),
IF(OR(G107="2/4",G107="3/4",G107="4/4"),((база!$I$5*2*Таблица1[[#This Row],[Столбец1]]*Таблица1[[#This Row],[коэф]])),
IF((G107="5/8"),((база!$J$6*2*Таблица1[[#This Row],[Столбец1]]*Таблица1[[#This Row],[коэф]])),
IF(OR(G107="4/8",G107="3/8",G107="2/8"),((база!$J$5*2*Таблица1[[#This Row],[Столбец1]]*Таблица1[[#This Row],[коэф]])))))))))))</f>
        <v>0</v>
      </c>
      <c r="AQ107" s="697" t="str">
        <f>IFERROR(INDEX(база!T:T, MATCH(F107,база!Q:Q,0)),"")</f>
        <v/>
      </c>
      <c r="AR107" s="207">
        <f>IFERROR(INDEX(база!D:D, MATCH(F107,база!B:B,0)),"")</f>
        <v>0</v>
      </c>
    </row>
    <row r="108" spans="1:44" s="46" customFormat="1" ht="15">
      <c r="A108" s="66" t="str">
        <f t="shared" si="2"/>
        <v>декабрь</v>
      </c>
      <c r="B108" s="230">
        <v>2023</v>
      </c>
      <c r="C108" s="60"/>
      <c r="D108" s="61"/>
      <c r="E108" s="210"/>
      <c r="F108" s="669"/>
      <c r="G108" s="47"/>
      <c r="H108" s="563"/>
      <c r="I108" s="563"/>
      <c r="J108" s="563"/>
      <c r="K108" s="563"/>
      <c r="L108" s="563"/>
      <c r="M108" s="563"/>
      <c r="N108" s="563"/>
      <c r="O108" s="563"/>
      <c r="P108" s="300"/>
      <c r="Q108" s="563"/>
      <c r="R108" s="48"/>
      <c r="S108" s="48"/>
      <c r="T108" s="48"/>
      <c r="U108" s="48"/>
      <c r="V108" s="48"/>
      <c r="W108" s="563"/>
      <c r="X108" s="563"/>
      <c r="Y108" s="563"/>
      <c r="Z108" s="563"/>
      <c r="AA108" s="563"/>
      <c r="AB108" s="563"/>
      <c r="AC108" s="563"/>
      <c r="AD108" s="48"/>
      <c r="AE108" s="48"/>
      <c r="AF108" s="257"/>
      <c r="AG108" s="257"/>
      <c r="AH108" s="257"/>
      <c r="AI108" s="257"/>
      <c r="AJ108" s="257"/>
      <c r="AK108" s="257"/>
      <c r="AL108" s="257"/>
      <c r="AM108" s="211">
        <f>IF(AQ108=1,SUM(H108:I108,L108:O108,R108:U108,X108:AA108,AD108:AG108,AI108:AK108),
IF(AQ108=2,SUM(H108:K108,N108:Q108,T108:W108,Z108:AC108,AF108:AI108),
IF(AQ108=3,SUM(J108:M108,P108:S108,V108:Y108,AB108:AE108,AH108:AK108),SUM(Таблица1[[#This Row],[1]:[31]])-Таблица1[[#This Row],[Столбец1]])))</f>
        <v>0</v>
      </c>
      <c r="AN108" s="290">
        <f t="array" ref="AN108">IF(AQ108=1,SUM(J108:K108,P108:Q108,V108:W108,AB108:AC108,AH108:AI108),
IF(AQ108=2,SUM(L108:M108,R108:S108,X108:Y108,AD108:AE108),
IF(AQ108=3,SUM(H108:I108,N108:O108,T108:U108,Z108:AA108,AF108:AG108),
SUM(IFERROR(WEEKDAY($H$2:$AL$2,2)&gt;5,)*H108:AL108))))</f>
        <v>0</v>
      </c>
      <c r="AO108" s="292" t="b">
        <f>IF(AR108&lt;=3,(IF((G108="5/24"),((база!$M$6*Таблица1[[#This Row],[сумма]]*Таблица1[[#This Row],[коэф]])),
IF((G108="4/24"),((база!$M$5*Таблица1[[#This Row],[сумма]]*Таблица1[[#This Row],[коэф]])),
IF((G108="3/24"),((база!$M$4*Таблица1[[#This Row],[сумма]]*Таблица1[[#This Row],[коэф]])),
IF((G108="5/16"),((база!$L$6*Таблица1[[#This Row],[сумма]]*Таблица1[[#This Row],[коэф]])),
IF((G108="4/16"),((база!$L$5*Таблица1[[#This Row],[сумма]]*Таблица1[[#This Row],[коэф]])),
IF((G108="3/16"),((база!$L$4*Таблица1[[#This Row],[сумма]]*Таблица1[[#This Row],[коэф]])),
IF((G108="4/4"),((база!$I$5*Таблица1[[#This Row],[сумма]]*Таблица1[[#This Row],[коэф]])),
IF(OR(G108="2/4",G108="3/4"),((база!$I$4*Таблица1[[#This Row],[сумма]]*Таблица1[[#This Row],[коэф]])),
IF((G108="5/8"),((база!$J$6*Таблица1[[#This Row],[сумма]]*Таблица1[[#This Row],[коэф]])),
IF((G108="4/8"),((база!$J$5*Таблица1[[#This Row],[сумма]]*Таблица1[[#This Row],[коэф]])),
IF(OR(G108="3/8",G108="2/8"),((база!$J$4*Таблица1[[#This Row],[сумма]]*Таблица1[[#This Row],[коэф]])))))))))))))),
(IF((G108="5/24"),((база!$M$6*Таблица1[[#This Row],[сумма]]*Таблица1[[#This Row],[коэф]])),
IF(OR(G108="4/24",G108="3/24"),((база!$M$5*Таблица1[[#This Row],[сумма]]*Таблица1[[#This Row],[коэф]])),
IF((G108="5/16"),((база!$L$6*Таблица1[[#This Row],[сумма]]*Таблица1[[#This Row],[коэф]])),
IF(OR(G108="4/16",G108="3/16"),((база!$L$5*Таблица1[[#This Row],[сумма]]*Таблица1[[#This Row],[коэф]])),
IF(OR(G108="2/4",G108="3/4",G108="4/4"),((база!$I$5*Таблица1[[#This Row],[сумма]]*Таблица1[[#This Row],[коэф]])),
IF((G108="5/8"),((база!$J$6*Таблица1[[#This Row],[сумма]]*Таблица1[[#This Row],[коэф]])),
IF(OR(G108="4/8",G108="3/8",G108="2/8"),((база!$J$5*Таблица1[[#This Row],[сумма]]*Таблица1[[#This Row],[коэф]])))))))))))</f>
        <v>0</v>
      </c>
      <c r="AP108" s="715" t="b">
        <f>IF(AR108&lt;=3,(IF((G108="5/24"),((база!$M$6*2*Таблица1[[#This Row],[Столбец1]]*Таблица1[[#This Row],[коэф]])),
IF((G108="4/24"),((база!$M$5*2*Таблица1[[#This Row],[Столбец1]]*Таблица1[[#This Row],[коэф]])),
IF((G108="3/24"),((база!$M$4*2*Таблица1[[#This Row],[Столбец1]]*Таблица1[[#This Row],[коэф]])),
IF((G108="5/16"),((база!$L$6*2*Таблица1[[#This Row],[Столбец1]]*Таблица1[[#This Row],[коэф]])),
IF((G108="4/16"),((база!$L$5*2*Таблица1[[#This Row],[Столбец1]]*Таблица1[[#This Row],[коэф]])),
IF((G108="3/16"),((база!$L$4*2*Таблица1[[#This Row],[Столбец1]]*Таблица1[[#This Row],[коэф]])),
IF((G108="4/4"),((база!$I$5*2*Таблица1[[#This Row],[Столбец1]]*Таблица1[[#This Row],[коэф]])),
IF(OR(G108="2/4",G108="3/4"),((база!$I$4*2*Таблица1[[#This Row],[Столбец1]]*Таблица1[[#This Row],[коэф]])),
IF((G108="5/8"),((база!$J$6*2*Таблица1[[#This Row],[Столбец1]]*Таблица1[[#This Row],[коэф]])),
IF((G108="4/8"),((база!$J$5*2*Таблица1[[#This Row],[Столбец1]]*Таблица1[[#This Row],[коэф]])),
IF(OR(G108="3/8",G108="2/8"),((база!$J$4*2*Таблица1[[#This Row],[Столбец1]]*Таблица1[[#This Row],[коэф]])))))))))))))),
(IF((G108="5/24"),((база!$M$6*2*Таблица1[[#This Row],[Столбец1]]*Таблица1[[#This Row],[коэф]])),
IF(OR(G108="4/24",G108="3/24"),((база!$M$5*2*Таблица1[[#This Row],[Столбец1]]*Таблица1[[#This Row],[коэф]])),
IF((G108="5/16"),((база!$L$6*2*Таблица1[[#This Row],[Столбец1]]*Таблица1[[#This Row],[коэф]])),
IF(OR(G108="4/16",G108="3/16"),((база!$L$5*2*Таблица1[[#This Row],[Столбец1]]*Таблица1[[#This Row],[коэф]])),
IF(OR(G108="2/4",G108="3/4",G108="4/4"),((база!$I$5*2*Таблица1[[#This Row],[Столбец1]]*Таблица1[[#This Row],[коэф]])),
IF((G108="5/8"),((база!$J$6*2*Таблица1[[#This Row],[Столбец1]]*Таблица1[[#This Row],[коэф]])),
IF(OR(G108="4/8",G108="3/8",G108="2/8"),((база!$J$5*2*Таблица1[[#This Row],[Столбец1]]*Таблица1[[#This Row],[коэф]])))))))))))</f>
        <v>0</v>
      </c>
      <c r="AQ108" s="697" t="str">
        <f>IFERROR(INDEX(база!T:T, MATCH(F108,база!Q:Q,0)),"")</f>
        <v/>
      </c>
      <c r="AR108" s="207">
        <f>IFERROR(INDEX(база!D:D, MATCH(F108,база!B:B,0)),"")</f>
        <v>0</v>
      </c>
    </row>
    <row r="109" spans="1:44" s="46" customFormat="1" ht="15">
      <c r="A109" s="66" t="str">
        <f t="shared" si="2"/>
        <v>декабрь</v>
      </c>
      <c r="B109" s="230">
        <v>2023</v>
      </c>
      <c r="C109" s="60"/>
      <c r="D109" s="61"/>
      <c r="E109" s="210"/>
      <c r="F109" s="669"/>
      <c r="G109" s="47"/>
      <c r="H109" s="563"/>
      <c r="I109" s="563"/>
      <c r="J109" s="563"/>
      <c r="K109" s="563"/>
      <c r="L109" s="563"/>
      <c r="M109" s="563"/>
      <c r="N109" s="563"/>
      <c r="O109" s="563"/>
      <c r="P109" s="300"/>
      <c r="Q109" s="563"/>
      <c r="R109" s="563"/>
      <c r="S109" s="563"/>
      <c r="T109" s="563"/>
      <c r="U109" s="563"/>
      <c r="V109" s="563"/>
      <c r="W109" s="563"/>
      <c r="X109" s="563"/>
      <c r="Y109" s="563"/>
      <c r="Z109" s="563"/>
      <c r="AA109" s="563"/>
      <c r="AB109" s="563"/>
      <c r="AC109" s="563"/>
      <c r="AD109" s="48"/>
      <c r="AE109" s="48"/>
      <c r="AF109" s="48"/>
      <c r="AG109" s="48"/>
      <c r="AH109" s="48"/>
      <c r="AI109" s="48"/>
      <c r="AJ109" s="257"/>
      <c r="AK109" s="257"/>
      <c r="AL109" s="257"/>
      <c r="AM109" s="211">
        <f>IF(AQ109=1,SUM(H109:I109,L109:O109,R109:U109,X109:AA109,AD109:AG109,AI109:AK109),
IF(AQ109=2,SUM(H109:K109,N109:Q109,T109:W109,Z109:AC109,AF109:AI109),
IF(AQ109=3,SUM(J109:M109,P109:S109,V109:Y109,AB109:AE109,AH109:AK109),SUM(Таблица1[[#This Row],[1]:[31]])-Таблица1[[#This Row],[Столбец1]])))</f>
        <v>0</v>
      </c>
      <c r="AN109" s="290">
        <f t="array" ref="AN109">IF(AQ109=1,SUM(J109:K109,P109:Q109,V109:W109,AB109:AC109,AH109:AI109),
IF(AQ109=2,SUM(L109:M109,R109:S109,X109:Y109,AD109:AE109),
IF(AQ109=3,SUM(H109:I109,N109:O109,T109:U109,Z109:AA109,AF109:AG109),
SUM(IFERROR(WEEKDAY($H$2:$AL$2,2)&gt;5,)*H109:AL109))))</f>
        <v>0</v>
      </c>
      <c r="AO109" s="292" t="b">
        <f>IF(AR109&lt;=3,(IF((G109="5/24"),((база!$M$6*Таблица1[[#This Row],[сумма]]*Таблица1[[#This Row],[коэф]])),
IF((G109="4/24"),((база!$M$5*Таблица1[[#This Row],[сумма]]*Таблица1[[#This Row],[коэф]])),
IF((G109="3/24"),((база!$M$4*Таблица1[[#This Row],[сумма]]*Таблица1[[#This Row],[коэф]])),
IF((G109="5/16"),((база!$L$6*Таблица1[[#This Row],[сумма]]*Таблица1[[#This Row],[коэф]])),
IF((G109="4/16"),((база!$L$5*Таблица1[[#This Row],[сумма]]*Таблица1[[#This Row],[коэф]])),
IF((G109="3/16"),((база!$L$4*Таблица1[[#This Row],[сумма]]*Таблица1[[#This Row],[коэф]])),
IF((G109="4/4"),((база!$I$5*Таблица1[[#This Row],[сумма]]*Таблица1[[#This Row],[коэф]])),
IF(OR(G109="2/4",G109="3/4"),((база!$I$4*Таблица1[[#This Row],[сумма]]*Таблица1[[#This Row],[коэф]])),
IF((G109="5/8"),((база!$J$6*Таблица1[[#This Row],[сумма]]*Таблица1[[#This Row],[коэф]])),
IF((G109="4/8"),((база!$J$5*Таблица1[[#This Row],[сумма]]*Таблица1[[#This Row],[коэф]])),
IF(OR(G109="3/8",G109="2/8"),((база!$J$4*Таблица1[[#This Row],[сумма]]*Таблица1[[#This Row],[коэф]])))))))))))))),
(IF((G109="5/24"),((база!$M$6*Таблица1[[#This Row],[сумма]]*Таблица1[[#This Row],[коэф]])),
IF(OR(G109="4/24",G109="3/24"),((база!$M$5*Таблица1[[#This Row],[сумма]]*Таблица1[[#This Row],[коэф]])),
IF((G109="5/16"),((база!$L$6*Таблица1[[#This Row],[сумма]]*Таблица1[[#This Row],[коэф]])),
IF(OR(G109="4/16",G109="3/16"),((база!$L$5*Таблица1[[#This Row],[сумма]]*Таблица1[[#This Row],[коэф]])),
IF(OR(G109="2/4",G109="3/4",G109="4/4"),((база!$I$5*Таблица1[[#This Row],[сумма]]*Таблица1[[#This Row],[коэф]])),
IF((G109="5/8"),((база!$J$6*Таблица1[[#This Row],[сумма]]*Таблица1[[#This Row],[коэф]])),
IF(OR(G109="4/8",G109="3/8",G109="2/8"),((база!$J$5*Таблица1[[#This Row],[сумма]]*Таблица1[[#This Row],[коэф]])))))))))))</f>
        <v>0</v>
      </c>
      <c r="AP109" s="715" t="b">
        <f>IF(AR109&lt;=3,(IF((G109="5/24"),((база!$M$6*2*Таблица1[[#This Row],[Столбец1]]*Таблица1[[#This Row],[коэф]])),
IF((G109="4/24"),((база!$M$5*2*Таблица1[[#This Row],[Столбец1]]*Таблица1[[#This Row],[коэф]])),
IF((G109="3/24"),((база!$M$4*2*Таблица1[[#This Row],[Столбец1]]*Таблица1[[#This Row],[коэф]])),
IF((G109="5/16"),((база!$L$6*2*Таблица1[[#This Row],[Столбец1]]*Таблица1[[#This Row],[коэф]])),
IF((G109="4/16"),((база!$L$5*2*Таблица1[[#This Row],[Столбец1]]*Таблица1[[#This Row],[коэф]])),
IF((G109="3/16"),((база!$L$4*2*Таблица1[[#This Row],[Столбец1]]*Таблица1[[#This Row],[коэф]])),
IF((G109="4/4"),((база!$I$5*2*Таблица1[[#This Row],[Столбец1]]*Таблица1[[#This Row],[коэф]])),
IF(OR(G109="2/4",G109="3/4"),((база!$I$4*2*Таблица1[[#This Row],[Столбец1]]*Таблица1[[#This Row],[коэф]])),
IF((G109="5/8"),((база!$J$6*2*Таблица1[[#This Row],[Столбец1]]*Таблица1[[#This Row],[коэф]])),
IF((G109="4/8"),((база!$J$5*2*Таблица1[[#This Row],[Столбец1]]*Таблица1[[#This Row],[коэф]])),
IF(OR(G109="3/8",G109="2/8"),((база!$J$4*2*Таблица1[[#This Row],[Столбец1]]*Таблица1[[#This Row],[коэф]])))))))))))))),
(IF((G109="5/24"),((база!$M$6*2*Таблица1[[#This Row],[Столбец1]]*Таблица1[[#This Row],[коэф]])),
IF(OR(G109="4/24",G109="3/24"),((база!$M$5*2*Таблица1[[#This Row],[Столбец1]]*Таблица1[[#This Row],[коэф]])),
IF((G109="5/16"),((база!$L$6*2*Таблица1[[#This Row],[Столбец1]]*Таблица1[[#This Row],[коэф]])),
IF(OR(G109="4/16",G109="3/16"),((база!$L$5*2*Таблица1[[#This Row],[Столбец1]]*Таблица1[[#This Row],[коэф]])),
IF(OR(G109="2/4",G109="3/4",G109="4/4"),((база!$I$5*2*Таблица1[[#This Row],[Столбец1]]*Таблица1[[#This Row],[коэф]])),
IF((G109="5/8"),((база!$J$6*2*Таблица1[[#This Row],[Столбец1]]*Таблица1[[#This Row],[коэф]])),
IF(OR(G109="4/8",G109="3/8",G109="2/8"),((база!$J$5*2*Таблица1[[#This Row],[Столбец1]]*Таблица1[[#This Row],[коэф]])))))))))))</f>
        <v>0</v>
      </c>
      <c r="AQ109" s="697" t="str">
        <f>IFERROR(INDEX(база!T:T, MATCH(F109,база!Q:Q,0)),"")</f>
        <v/>
      </c>
      <c r="AR109" s="207">
        <f>IFERROR(INDEX(база!D:D, MATCH(F109,база!B:B,0)),"")</f>
        <v>0</v>
      </c>
    </row>
    <row r="110" spans="1:44" s="46" customFormat="1" ht="15">
      <c r="A110" s="66" t="str">
        <f t="shared" si="2"/>
        <v>декабрь</v>
      </c>
      <c r="B110" s="230">
        <v>2023</v>
      </c>
      <c r="C110" s="60"/>
      <c r="D110" s="61"/>
      <c r="E110" s="210"/>
      <c r="F110" s="669"/>
      <c r="G110" s="47"/>
      <c r="H110" s="563"/>
      <c r="I110" s="563"/>
      <c r="J110" s="563"/>
      <c r="K110" s="563"/>
      <c r="L110" s="563"/>
      <c r="M110" s="563"/>
      <c r="N110" s="563"/>
      <c r="O110" s="563"/>
      <c r="P110" s="563"/>
      <c r="Q110" s="563"/>
      <c r="R110" s="563"/>
      <c r="S110" s="563"/>
      <c r="T110" s="563"/>
      <c r="U110" s="563"/>
      <c r="V110" s="563"/>
      <c r="W110" s="563"/>
      <c r="X110" s="48"/>
      <c r="Y110" s="48"/>
      <c r="Z110" s="48"/>
      <c r="AA110" s="48"/>
      <c r="AB110" s="563"/>
      <c r="AC110" s="563"/>
      <c r="AD110" s="48"/>
      <c r="AE110" s="48"/>
      <c r="AF110" s="48"/>
      <c r="AG110" s="48"/>
      <c r="AH110" s="48"/>
      <c r="AI110" s="48"/>
      <c r="AJ110" s="48"/>
      <c r="AK110" s="48"/>
      <c r="AL110" s="51"/>
      <c r="AM110" s="211">
        <f>IF(AQ110=1,SUM(H110:I110,L110:O110,R110:U110,X110:AA110,AD110:AG110,AI110:AK110),
IF(AQ110=2,SUM(H110:K110,N110:Q110,T110:W110,Z110:AC110,AF110:AI110),
IF(AQ110=3,SUM(J110:M110,P110:S110,V110:Y110,AB110:AE110,AH110:AK110),SUM(Таблица1[[#This Row],[1]:[31]])-Таблица1[[#This Row],[Столбец1]])))</f>
        <v>0</v>
      </c>
      <c r="AN110" s="290">
        <f t="array" ref="AN110">IF(AQ110=1,SUM(J110:K110,P110:Q110,V110:W110,AB110:AC110,AH110:AI110),
IF(AQ110=2,SUM(L110:M110,R110:S110,X110:Y110,AD110:AE110),
IF(AQ110=3,SUM(H110:I110,N110:O110,T110:U110,Z110:AA110,AF110:AG110),
SUM(IFERROR(WEEKDAY($H$2:$AL$2,2)&gt;5,)*H110:AL110))))</f>
        <v>0</v>
      </c>
      <c r="AO110" s="292" t="b">
        <f>IF(AR110&lt;=3,(IF((G110="5/24"),((база!$M$6*Таблица1[[#This Row],[сумма]]*Таблица1[[#This Row],[коэф]])),
IF((G110="4/24"),((база!$M$5*Таблица1[[#This Row],[сумма]]*Таблица1[[#This Row],[коэф]])),
IF((G110="3/24"),((база!$M$4*Таблица1[[#This Row],[сумма]]*Таблица1[[#This Row],[коэф]])),
IF((G110="5/16"),((база!$L$6*Таблица1[[#This Row],[сумма]]*Таблица1[[#This Row],[коэф]])),
IF((G110="4/16"),((база!$L$5*Таблица1[[#This Row],[сумма]]*Таблица1[[#This Row],[коэф]])),
IF((G110="3/16"),((база!$L$4*Таблица1[[#This Row],[сумма]]*Таблица1[[#This Row],[коэф]])),
IF((G110="4/4"),((база!$I$5*Таблица1[[#This Row],[сумма]]*Таблица1[[#This Row],[коэф]])),
IF(OR(G110="2/4",G110="3/4"),((база!$I$4*Таблица1[[#This Row],[сумма]]*Таблица1[[#This Row],[коэф]])),
IF((G110="5/8"),((база!$J$6*Таблица1[[#This Row],[сумма]]*Таблица1[[#This Row],[коэф]])),
IF((G110="4/8"),((база!$J$5*Таблица1[[#This Row],[сумма]]*Таблица1[[#This Row],[коэф]])),
IF(OR(G110="3/8",G110="2/8"),((база!$J$4*Таблица1[[#This Row],[сумма]]*Таблица1[[#This Row],[коэф]])))))))))))))),
(IF((G110="5/24"),((база!$M$6*Таблица1[[#This Row],[сумма]]*Таблица1[[#This Row],[коэф]])),
IF(OR(G110="4/24",G110="3/24"),((база!$M$5*Таблица1[[#This Row],[сумма]]*Таблица1[[#This Row],[коэф]])),
IF((G110="5/16"),((база!$L$6*Таблица1[[#This Row],[сумма]]*Таблица1[[#This Row],[коэф]])),
IF(OR(G110="4/16",G110="3/16"),((база!$L$5*Таблица1[[#This Row],[сумма]]*Таблица1[[#This Row],[коэф]])),
IF(OR(G110="2/4",G110="3/4",G110="4/4"),((база!$I$5*Таблица1[[#This Row],[сумма]]*Таблица1[[#This Row],[коэф]])),
IF((G110="5/8"),((база!$J$6*Таблица1[[#This Row],[сумма]]*Таблица1[[#This Row],[коэф]])),
IF(OR(G110="4/8",G110="3/8",G110="2/8"),((база!$J$5*Таблица1[[#This Row],[сумма]]*Таблица1[[#This Row],[коэф]])))))))))))</f>
        <v>0</v>
      </c>
      <c r="AP110" s="715" t="b">
        <f>IF(AR110&lt;=3,(IF((G110="5/24"),((база!$M$6*2*Таблица1[[#This Row],[Столбец1]]*Таблица1[[#This Row],[коэф]])),
IF((G110="4/24"),((база!$M$5*2*Таблица1[[#This Row],[Столбец1]]*Таблица1[[#This Row],[коэф]])),
IF((G110="3/24"),((база!$M$4*2*Таблица1[[#This Row],[Столбец1]]*Таблица1[[#This Row],[коэф]])),
IF((G110="5/16"),((база!$L$6*2*Таблица1[[#This Row],[Столбец1]]*Таблица1[[#This Row],[коэф]])),
IF((G110="4/16"),((база!$L$5*2*Таблица1[[#This Row],[Столбец1]]*Таблица1[[#This Row],[коэф]])),
IF((G110="3/16"),((база!$L$4*2*Таблица1[[#This Row],[Столбец1]]*Таблица1[[#This Row],[коэф]])),
IF((G110="4/4"),((база!$I$5*2*Таблица1[[#This Row],[Столбец1]]*Таблица1[[#This Row],[коэф]])),
IF(OR(G110="2/4",G110="3/4"),((база!$I$4*2*Таблица1[[#This Row],[Столбец1]]*Таблица1[[#This Row],[коэф]])),
IF((G110="5/8"),((база!$J$6*2*Таблица1[[#This Row],[Столбец1]]*Таблица1[[#This Row],[коэф]])),
IF((G110="4/8"),((база!$J$5*2*Таблица1[[#This Row],[Столбец1]]*Таблица1[[#This Row],[коэф]])),
IF(OR(G110="3/8",G110="2/8"),((база!$J$4*2*Таблица1[[#This Row],[Столбец1]]*Таблица1[[#This Row],[коэф]])))))))))))))),
(IF((G110="5/24"),((база!$M$6*2*Таблица1[[#This Row],[Столбец1]]*Таблица1[[#This Row],[коэф]])),
IF(OR(G110="4/24",G110="3/24"),((база!$M$5*2*Таблица1[[#This Row],[Столбец1]]*Таблица1[[#This Row],[коэф]])),
IF((G110="5/16"),((база!$L$6*2*Таблица1[[#This Row],[Столбец1]]*Таблица1[[#This Row],[коэф]])),
IF(OR(G110="4/16",G110="3/16"),((база!$L$5*2*Таблица1[[#This Row],[Столбец1]]*Таблица1[[#This Row],[коэф]])),
IF(OR(G110="2/4",G110="3/4",G110="4/4"),((база!$I$5*2*Таблица1[[#This Row],[Столбец1]]*Таблица1[[#This Row],[коэф]])),
IF((G110="5/8"),((база!$J$6*2*Таблица1[[#This Row],[Столбец1]]*Таблица1[[#This Row],[коэф]])),
IF(OR(G110="4/8",G110="3/8",G110="2/8"),((база!$J$5*2*Таблица1[[#This Row],[Столбец1]]*Таблица1[[#This Row],[коэф]])))))))))))</f>
        <v>0</v>
      </c>
      <c r="AQ110" s="697" t="str">
        <f>IFERROR(INDEX(база!T:T, MATCH(F110,база!Q:Q,0)),"")</f>
        <v/>
      </c>
      <c r="AR110" s="207">
        <f>IFERROR(INDEX(база!D:D, MATCH(F110,база!B:B,0)),"")</f>
        <v>0</v>
      </c>
    </row>
    <row r="111" spans="1:44" s="46" customFormat="1" ht="15">
      <c r="A111" s="66" t="str">
        <f t="shared" si="2"/>
        <v>декабрь</v>
      </c>
      <c r="B111" s="230">
        <v>2023</v>
      </c>
      <c r="C111" s="60"/>
      <c r="D111" s="61"/>
      <c r="E111" s="210"/>
      <c r="F111" s="669"/>
      <c r="G111" s="47"/>
      <c r="H111" s="563"/>
      <c r="I111" s="563"/>
      <c r="J111" s="563"/>
      <c r="K111" s="563"/>
      <c r="L111" s="563"/>
      <c r="M111" s="563"/>
      <c r="N111" s="563"/>
      <c r="O111" s="563"/>
      <c r="P111" s="563"/>
      <c r="Q111" s="563"/>
      <c r="R111" s="563"/>
      <c r="S111" s="563"/>
      <c r="T111" s="563"/>
      <c r="U111" s="563"/>
      <c r="V111" s="563"/>
      <c r="W111" s="563"/>
      <c r="X111" s="48"/>
      <c r="Y111" s="48"/>
      <c r="Z111" s="48"/>
      <c r="AA111" s="48"/>
      <c r="AB111" s="563"/>
      <c r="AC111" s="563"/>
      <c r="AD111" s="48"/>
      <c r="AE111" s="48"/>
      <c r="AF111" s="48"/>
      <c r="AG111" s="48"/>
      <c r="AH111" s="48"/>
      <c r="AI111" s="48"/>
      <c r="AJ111" s="48"/>
      <c r="AK111" s="48"/>
      <c r="AL111" s="257"/>
      <c r="AM111" s="211">
        <f>IF(AQ111=1,SUM(H111:I111,L111:O111,R111:U111,X111:AA111,AD111:AG111,AI111:AK111),
IF(AQ111=2,SUM(H111:K111,N111:Q111,T111:W111,Z111:AC111,AF111:AI111),
IF(AQ111=3,SUM(J111:M111,P111:S111,V111:Y111,AB111:AE111,AH111:AK111),SUM(Таблица1[[#This Row],[1]:[31]])-Таблица1[[#This Row],[Столбец1]])))</f>
        <v>0</v>
      </c>
      <c r="AN111" s="290">
        <f t="array" ref="AN111">IF(AQ111=1,SUM(J111:K111,P111:Q111,V111:W111,AB111:AC111,AH111:AI111),
IF(AQ111=2,SUM(L111:M111,R111:S111,X111:Y111,AD111:AE111),
IF(AQ111=3,SUM(H111:I111,N111:O111,T111:U111,Z111:AA111,AF111:AG111),
SUM(IFERROR(WEEKDAY($H$2:$AL$2,2)&gt;5,)*H111:AL111))))</f>
        <v>0</v>
      </c>
      <c r="AO111" s="292" t="b">
        <f>IF(AR111&lt;=3,(IF((G111="5/24"),((база!$M$6*Таблица1[[#This Row],[сумма]]*Таблица1[[#This Row],[коэф]])),
IF((G111="4/24"),((база!$M$5*Таблица1[[#This Row],[сумма]]*Таблица1[[#This Row],[коэф]])),
IF((G111="3/24"),((база!$M$4*Таблица1[[#This Row],[сумма]]*Таблица1[[#This Row],[коэф]])),
IF((G111="5/16"),((база!$L$6*Таблица1[[#This Row],[сумма]]*Таблица1[[#This Row],[коэф]])),
IF((G111="4/16"),((база!$L$5*Таблица1[[#This Row],[сумма]]*Таблица1[[#This Row],[коэф]])),
IF((G111="3/16"),((база!$L$4*Таблица1[[#This Row],[сумма]]*Таблица1[[#This Row],[коэф]])),
IF((G111="4/4"),((база!$I$5*Таблица1[[#This Row],[сумма]]*Таблица1[[#This Row],[коэф]])),
IF(OR(G111="2/4",G111="3/4"),((база!$I$4*Таблица1[[#This Row],[сумма]]*Таблица1[[#This Row],[коэф]])),
IF((G111="5/8"),((база!$J$6*Таблица1[[#This Row],[сумма]]*Таблица1[[#This Row],[коэф]])),
IF((G111="4/8"),((база!$J$5*Таблица1[[#This Row],[сумма]]*Таблица1[[#This Row],[коэф]])),
IF(OR(G111="3/8",G111="2/8"),((база!$J$4*Таблица1[[#This Row],[сумма]]*Таблица1[[#This Row],[коэф]])))))))))))))),
(IF((G111="5/24"),((база!$M$6*Таблица1[[#This Row],[сумма]]*Таблица1[[#This Row],[коэф]])),
IF(OR(G111="4/24",G111="3/24"),((база!$M$5*Таблица1[[#This Row],[сумма]]*Таблица1[[#This Row],[коэф]])),
IF((G111="5/16"),((база!$L$6*Таблица1[[#This Row],[сумма]]*Таблица1[[#This Row],[коэф]])),
IF(OR(G111="4/16",G111="3/16"),((база!$L$5*Таблица1[[#This Row],[сумма]]*Таблица1[[#This Row],[коэф]])),
IF(OR(G111="2/4",G111="3/4",G111="4/4"),((база!$I$5*Таблица1[[#This Row],[сумма]]*Таблица1[[#This Row],[коэф]])),
IF((G111="5/8"),((база!$J$6*Таблица1[[#This Row],[сумма]]*Таблица1[[#This Row],[коэф]])),
IF(OR(G111="4/8",G111="3/8",G111="2/8"),((база!$J$5*Таблица1[[#This Row],[сумма]]*Таблица1[[#This Row],[коэф]])))))))))))</f>
        <v>0</v>
      </c>
      <c r="AP111" s="715" t="b">
        <f>IF(AR111&lt;=3,(IF((G111="5/24"),((база!$M$6*2*Таблица1[[#This Row],[Столбец1]]*Таблица1[[#This Row],[коэф]])),
IF((G111="4/24"),((база!$M$5*2*Таблица1[[#This Row],[Столбец1]]*Таблица1[[#This Row],[коэф]])),
IF((G111="3/24"),((база!$M$4*2*Таблица1[[#This Row],[Столбец1]]*Таблица1[[#This Row],[коэф]])),
IF((G111="5/16"),((база!$L$6*2*Таблица1[[#This Row],[Столбец1]]*Таблица1[[#This Row],[коэф]])),
IF((G111="4/16"),((база!$L$5*2*Таблица1[[#This Row],[Столбец1]]*Таблица1[[#This Row],[коэф]])),
IF((G111="3/16"),((база!$L$4*2*Таблица1[[#This Row],[Столбец1]]*Таблица1[[#This Row],[коэф]])),
IF((G111="4/4"),((база!$I$5*2*Таблица1[[#This Row],[Столбец1]]*Таблица1[[#This Row],[коэф]])),
IF(OR(G111="2/4",G111="3/4"),((база!$I$4*2*Таблица1[[#This Row],[Столбец1]]*Таблица1[[#This Row],[коэф]])),
IF((G111="5/8"),((база!$J$6*2*Таблица1[[#This Row],[Столбец1]]*Таблица1[[#This Row],[коэф]])),
IF((G111="4/8"),((база!$J$5*2*Таблица1[[#This Row],[Столбец1]]*Таблица1[[#This Row],[коэф]])),
IF(OR(G111="3/8",G111="2/8"),((база!$J$4*2*Таблица1[[#This Row],[Столбец1]]*Таблица1[[#This Row],[коэф]])))))))))))))),
(IF((G111="5/24"),((база!$M$6*2*Таблица1[[#This Row],[Столбец1]]*Таблица1[[#This Row],[коэф]])),
IF(OR(G111="4/24",G111="3/24"),((база!$M$5*2*Таблица1[[#This Row],[Столбец1]]*Таблица1[[#This Row],[коэф]])),
IF((G111="5/16"),((база!$L$6*2*Таблица1[[#This Row],[Столбец1]]*Таблица1[[#This Row],[коэф]])),
IF(OR(G111="4/16",G111="3/16"),((база!$L$5*2*Таблица1[[#This Row],[Столбец1]]*Таблица1[[#This Row],[коэф]])),
IF(OR(G111="2/4",G111="3/4",G111="4/4"),((база!$I$5*2*Таблица1[[#This Row],[Столбец1]]*Таблица1[[#This Row],[коэф]])),
IF((G111="5/8"),((база!$J$6*2*Таблица1[[#This Row],[Столбец1]]*Таблица1[[#This Row],[коэф]])),
IF(OR(G111="4/8",G111="3/8",G111="2/8"),((база!$J$5*2*Таблица1[[#This Row],[Столбец1]]*Таблица1[[#This Row],[коэф]])))))))))))</f>
        <v>0</v>
      </c>
      <c r="AQ111" s="697" t="str">
        <f>IFERROR(INDEX(база!T:T, MATCH(F111,база!Q:Q,0)),"")</f>
        <v/>
      </c>
      <c r="AR111" s="207">
        <f>IFERROR(INDEX(база!D:D, MATCH(F111,база!B:B,0)),"")</f>
        <v>0</v>
      </c>
    </row>
    <row r="112" spans="1:44" s="46" customFormat="1" ht="15">
      <c r="A112" s="66" t="str">
        <f t="shared" si="2"/>
        <v>декабрь</v>
      </c>
      <c r="B112" s="230">
        <v>2023</v>
      </c>
      <c r="C112" s="60"/>
      <c r="D112" s="61"/>
      <c r="E112" s="210"/>
      <c r="F112" s="669"/>
      <c r="G112" s="47"/>
      <c r="H112" s="563"/>
      <c r="I112" s="563"/>
      <c r="J112" s="563"/>
      <c r="K112" s="563"/>
      <c r="L112" s="563"/>
      <c r="M112" s="563"/>
      <c r="N112" s="563"/>
      <c r="O112" s="563"/>
      <c r="P112" s="48"/>
      <c r="Q112" s="48"/>
      <c r="R112" s="563"/>
      <c r="S112" s="563"/>
      <c r="T112" s="48"/>
      <c r="U112" s="48"/>
      <c r="V112" s="48"/>
      <c r="W112" s="48"/>
      <c r="X112" s="563"/>
      <c r="Y112" s="563"/>
      <c r="Z112" s="48"/>
      <c r="AA112" s="48"/>
      <c r="AB112" s="48"/>
      <c r="AC112" s="48"/>
      <c r="AD112" s="48"/>
      <c r="AE112" s="48"/>
      <c r="AF112" s="48"/>
      <c r="AG112" s="48"/>
      <c r="AH112" s="48"/>
      <c r="AI112" s="48"/>
      <c r="AJ112" s="257"/>
      <c r="AK112" s="257"/>
      <c r="AL112" s="257"/>
      <c r="AM112" s="211">
        <f>IF(AQ112=1,SUM(H112:I112,L112:O112,R112:U112,X112:AA112,AD112:AG112,AI112:AK112),
IF(AQ112=2,SUM(H112:K112,N112:Q112,T112:W112,Z112:AC112,AF112:AI112),
IF(AQ112=3,SUM(J112:M112,P112:S112,V112:Y112,AB112:AE112,AH112:AK112),SUM(Таблица1[[#This Row],[1]:[31]])-Таблица1[[#This Row],[Столбец1]])))</f>
        <v>0</v>
      </c>
      <c r="AN112" s="290">
        <f t="array" ref="AN112">IF(AQ112=1,SUM(J112:K112,P112:Q112,V112:W112,AB112:AC112,AH112:AI112),
IF(AQ112=2,SUM(L112:M112,R112:S112,X112:Y112,AD112:AE112),
IF(AQ112=3,SUM(H112:I112,N112:O112,T112:U112,Z112:AA112,AF112:AG112),
SUM(IFERROR(WEEKDAY($H$2:$AL$2,2)&gt;5,)*H112:AL112))))</f>
        <v>0</v>
      </c>
      <c r="AO112" s="292" t="b">
        <f>IF(AR112&lt;=3,(IF((G112="5/24"),((база!$M$6*Таблица1[[#This Row],[сумма]]*Таблица1[[#This Row],[коэф]])),
IF((G112="4/24"),((база!$M$5*Таблица1[[#This Row],[сумма]]*Таблица1[[#This Row],[коэф]])),
IF((G112="3/24"),((база!$M$4*Таблица1[[#This Row],[сумма]]*Таблица1[[#This Row],[коэф]])),
IF((G112="5/16"),((база!$L$6*Таблица1[[#This Row],[сумма]]*Таблица1[[#This Row],[коэф]])),
IF((G112="4/16"),((база!$L$5*Таблица1[[#This Row],[сумма]]*Таблица1[[#This Row],[коэф]])),
IF((G112="3/16"),((база!$L$4*Таблица1[[#This Row],[сумма]]*Таблица1[[#This Row],[коэф]])),
IF((G112="4/4"),((база!$I$5*Таблица1[[#This Row],[сумма]]*Таблица1[[#This Row],[коэф]])),
IF(OR(G112="2/4",G112="3/4"),((база!$I$4*Таблица1[[#This Row],[сумма]]*Таблица1[[#This Row],[коэф]])),
IF((G112="5/8"),((база!$J$6*Таблица1[[#This Row],[сумма]]*Таблица1[[#This Row],[коэф]])),
IF((G112="4/8"),((база!$J$5*Таблица1[[#This Row],[сумма]]*Таблица1[[#This Row],[коэф]])),
IF(OR(G112="3/8",G112="2/8"),((база!$J$4*Таблица1[[#This Row],[сумма]]*Таблица1[[#This Row],[коэф]])))))))))))))),
(IF((G112="5/24"),((база!$M$6*Таблица1[[#This Row],[сумма]]*Таблица1[[#This Row],[коэф]])),
IF(OR(G112="4/24",G112="3/24"),((база!$M$5*Таблица1[[#This Row],[сумма]]*Таблица1[[#This Row],[коэф]])),
IF((G112="5/16"),((база!$L$6*Таблица1[[#This Row],[сумма]]*Таблица1[[#This Row],[коэф]])),
IF(OR(G112="4/16",G112="3/16"),((база!$L$5*Таблица1[[#This Row],[сумма]]*Таблица1[[#This Row],[коэф]])),
IF(OR(G112="2/4",G112="3/4",G112="4/4"),((база!$I$5*Таблица1[[#This Row],[сумма]]*Таблица1[[#This Row],[коэф]])),
IF((G112="5/8"),((база!$J$6*Таблица1[[#This Row],[сумма]]*Таблица1[[#This Row],[коэф]])),
IF(OR(G112="4/8",G112="3/8",G112="2/8"),((база!$J$5*Таблица1[[#This Row],[сумма]]*Таблица1[[#This Row],[коэф]])))))))))))</f>
        <v>0</v>
      </c>
      <c r="AP112" s="715" t="b">
        <f>IF(AR112&lt;=3,(IF((G112="5/24"),((база!$M$6*2*Таблица1[[#This Row],[Столбец1]]*Таблица1[[#This Row],[коэф]])),
IF((G112="4/24"),((база!$M$5*2*Таблица1[[#This Row],[Столбец1]]*Таблица1[[#This Row],[коэф]])),
IF((G112="3/24"),((база!$M$4*2*Таблица1[[#This Row],[Столбец1]]*Таблица1[[#This Row],[коэф]])),
IF((G112="5/16"),((база!$L$6*2*Таблица1[[#This Row],[Столбец1]]*Таблица1[[#This Row],[коэф]])),
IF((G112="4/16"),((база!$L$5*2*Таблица1[[#This Row],[Столбец1]]*Таблица1[[#This Row],[коэф]])),
IF((G112="3/16"),((база!$L$4*2*Таблица1[[#This Row],[Столбец1]]*Таблица1[[#This Row],[коэф]])),
IF((G112="4/4"),((база!$I$5*2*Таблица1[[#This Row],[Столбец1]]*Таблица1[[#This Row],[коэф]])),
IF(OR(G112="2/4",G112="3/4"),((база!$I$4*2*Таблица1[[#This Row],[Столбец1]]*Таблица1[[#This Row],[коэф]])),
IF((G112="5/8"),((база!$J$6*2*Таблица1[[#This Row],[Столбец1]]*Таблица1[[#This Row],[коэф]])),
IF((G112="4/8"),((база!$J$5*2*Таблица1[[#This Row],[Столбец1]]*Таблица1[[#This Row],[коэф]])),
IF(OR(G112="3/8",G112="2/8"),((база!$J$4*2*Таблица1[[#This Row],[Столбец1]]*Таблица1[[#This Row],[коэф]])))))))))))))),
(IF((G112="5/24"),((база!$M$6*2*Таблица1[[#This Row],[Столбец1]]*Таблица1[[#This Row],[коэф]])),
IF(OR(G112="4/24",G112="3/24"),((база!$M$5*2*Таблица1[[#This Row],[Столбец1]]*Таблица1[[#This Row],[коэф]])),
IF((G112="5/16"),((база!$L$6*2*Таблица1[[#This Row],[Столбец1]]*Таблица1[[#This Row],[коэф]])),
IF(OR(G112="4/16",G112="3/16"),((база!$L$5*2*Таблица1[[#This Row],[Столбец1]]*Таблица1[[#This Row],[коэф]])),
IF(OR(G112="2/4",G112="3/4",G112="4/4"),((база!$I$5*2*Таблица1[[#This Row],[Столбец1]]*Таблица1[[#This Row],[коэф]])),
IF((G112="5/8"),((база!$J$6*2*Таблица1[[#This Row],[Столбец1]]*Таблица1[[#This Row],[коэф]])),
IF(OR(G112="4/8",G112="3/8",G112="2/8"),((база!$J$5*2*Таблица1[[#This Row],[Столбец1]]*Таблица1[[#This Row],[коэф]])))))))))))</f>
        <v>0</v>
      </c>
      <c r="AQ112" s="697" t="str">
        <f>IFERROR(INDEX(база!T:T, MATCH(F112,база!Q:Q,0)),"")</f>
        <v/>
      </c>
      <c r="AR112" s="207">
        <f>IFERROR(INDEX(база!D:D, MATCH(F112,база!B:B,0)),"")</f>
        <v>0</v>
      </c>
    </row>
    <row r="113" spans="1:44" s="46" customFormat="1" ht="15">
      <c r="A113" s="66" t="str">
        <f t="shared" si="2"/>
        <v>декабрь</v>
      </c>
      <c r="B113" s="230">
        <v>2023</v>
      </c>
      <c r="C113" s="60"/>
      <c r="D113" s="61"/>
      <c r="E113" s="210"/>
      <c r="F113" s="669"/>
      <c r="G113" s="47"/>
      <c r="H113" s="563"/>
      <c r="I113" s="563"/>
      <c r="J113" s="563"/>
      <c r="K113" s="563"/>
      <c r="L113" s="563"/>
      <c r="M113" s="563"/>
      <c r="N113" s="563"/>
      <c r="O113" s="563"/>
      <c r="P113" s="300"/>
      <c r="Q113" s="563"/>
      <c r="R113" s="563"/>
      <c r="S113" s="563"/>
      <c r="T113" s="48"/>
      <c r="U113" s="48"/>
      <c r="V113" s="48"/>
      <c r="W113" s="48"/>
      <c r="X113" s="563"/>
      <c r="Y113" s="563"/>
      <c r="Z113" s="48"/>
      <c r="AA113" s="48"/>
      <c r="AB113" s="48"/>
      <c r="AC113" s="48"/>
      <c r="AD113" s="48"/>
      <c r="AE113" s="48"/>
      <c r="AF113" s="48"/>
      <c r="AG113" s="48"/>
      <c r="AH113" s="48"/>
      <c r="AI113" s="48"/>
      <c r="AJ113" s="257"/>
      <c r="AK113" s="257"/>
      <c r="AL113" s="257"/>
      <c r="AM113" s="211">
        <f>IF(AQ113=1,SUM(H113:I113,L113:O113,R113:U113,X113:AA113,AD113:AG113,AI113:AK113),
IF(AQ113=2,SUM(H113:K113,N113:Q113,T113:W113,Z113:AC113,AF113:AI113),
IF(AQ113=3,SUM(J113:M113,P113:S113,V113:Y113,AB113:AE113,AH113:AK113),SUM(Таблица1[[#This Row],[1]:[31]])-Таблица1[[#This Row],[Столбец1]])))</f>
        <v>0</v>
      </c>
      <c r="AN113" s="290">
        <f t="array" ref="AN113">IF(AQ113=1,SUM(J113:K113,P113:Q113,V113:W113,AB113:AC113,AH113:AI113),
IF(AQ113=2,SUM(L113:M113,R113:S113,X113:Y113,AD113:AE113),
IF(AQ113=3,SUM(H113:I113,N113:O113,T113:U113,Z113:AA113,AF113:AG113),
SUM(IFERROR(WEEKDAY($H$2:$AL$2,2)&gt;5,)*H113:AL113))))</f>
        <v>0</v>
      </c>
      <c r="AO113" s="292" t="b">
        <f>IF(AR113&lt;=3,(IF((G113="5/24"),((база!$M$6*Таблица1[[#This Row],[сумма]]*Таблица1[[#This Row],[коэф]])),
IF((G113="4/24"),((база!$M$5*Таблица1[[#This Row],[сумма]]*Таблица1[[#This Row],[коэф]])),
IF((G113="3/24"),((база!$M$4*Таблица1[[#This Row],[сумма]]*Таблица1[[#This Row],[коэф]])),
IF((G113="5/16"),((база!$L$6*Таблица1[[#This Row],[сумма]]*Таблица1[[#This Row],[коэф]])),
IF((G113="4/16"),((база!$L$5*Таблица1[[#This Row],[сумма]]*Таблица1[[#This Row],[коэф]])),
IF((G113="3/16"),((база!$L$4*Таблица1[[#This Row],[сумма]]*Таблица1[[#This Row],[коэф]])),
IF((G113="4/4"),((база!$I$5*Таблица1[[#This Row],[сумма]]*Таблица1[[#This Row],[коэф]])),
IF(OR(G113="2/4",G113="3/4"),((база!$I$4*Таблица1[[#This Row],[сумма]]*Таблица1[[#This Row],[коэф]])),
IF((G113="5/8"),((база!$J$6*Таблица1[[#This Row],[сумма]]*Таблица1[[#This Row],[коэф]])),
IF((G113="4/8"),((база!$J$5*Таблица1[[#This Row],[сумма]]*Таблица1[[#This Row],[коэф]])),
IF(OR(G113="3/8",G113="2/8"),((база!$J$4*Таблица1[[#This Row],[сумма]]*Таблица1[[#This Row],[коэф]])))))))))))))),
(IF((G113="5/24"),((база!$M$6*Таблица1[[#This Row],[сумма]]*Таблица1[[#This Row],[коэф]])),
IF(OR(G113="4/24",G113="3/24"),((база!$M$5*Таблица1[[#This Row],[сумма]]*Таблица1[[#This Row],[коэф]])),
IF((G113="5/16"),((база!$L$6*Таблица1[[#This Row],[сумма]]*Таблица1[[#This Row],[коэф]])),
IF(OR(G113="4/16",G113="3/16"),((база!$L$5*Таблица1[[#This Row],[сумма]]*Таблица1[[#This Row],[коэф]])),
IF(OR(G113="2/4",G113="3/4",G113="4/4"),((база!$I$5*Таблица1[[#This Row],[сумма]]*Таблица1[[#This Row],[коэф]])),
IF((G113="5/8"),((база!$J$6*Таблица1[[#This Row],[сумма]]*Таблица1[[#This Row],[коэф]])),
IF(OR(G113="4/8",G113="3/8",G113="2/8"),((база!$J$5*Таблица1[[#This Row],[сумма]]*Таблица1[[#This Row],[коэф]])))))))))))</f>
        <v>0</v>
      </c>
      <c r="AP113" s="715" t="b">
        <f>IF(AR113&lt;=3,(IF((G113="5/24"),((база!$M$6*2*Таблица1[[#This Row],[Столбец1]]*Таблица1[[#This Row],[коэф]])),
IF((G113="4/24"),((база!$M$5*2*Таблица1[[#This Row],[Столбец1]]*Таблица1[[#This Row],[коэф]])),
IF((G113="3/24"),((база!$M$4*2*Таблица1[[#This Row],[Столбец1]]*Таблица1[[#This Row],[коэф]])),
IF((G113="5/16"),((база!$L$6*2*Таблица1[[#This Row],[Столбец1]]*Таблица1[[#This Row],[коэф]])),
IF((G113="4/16"),((база!$L$5*2*Таблица1[[#This Row],[Столбец1]]*Таблица1[[#This Row],[коэф]])),
IF((G113="3/16"),((база!$L$4*2*Таблица1[[#This Row],[Столбец1]]*Таблица1[[#This Row],[коэф]])),
IF((G113="4/4"),((база!$I$5*2*Таблица1[[#This Row],[Столбец1]]*Таблица1[[#This Row],[коэф]])),
IF(OR(G113="2/4",G113="3/4"),((база!$I$4*2*Таблица1[[#This Row],[Столбец1]]*Таблица1[[#This Row],[коэф]])),
IF((G113="5/8"),((база!$J$6*2*Таблица1[[#This Row],[Столбец1]]*Таблица1[[#This Row],[коэф]])),
IF((G113="4/8"),((база!$J$5*2*Таблица1[[#This Row],[Столбец1]]*Таблица1[[#This Row],[коэф]])),
IF(OR(G113="3/8",G113="2/8"),((база!$J$4*2*Таблица1[[#This Row],[Столбец1]]*Таблица1[[#This Row],[коэф]])))))))))))))),
(IF((G113="5/24"),((база!$M$6*2*Таблица1[[#This Row],[Столбец1]]*Таблица1[[#This Row],[коэф]])),
IF(OR(G113="4/24",G113="3/24"),((база!$M$5*2*Таблица1[[#This Row],[Столбец1]]*Таблица1[[#This Row],[коэф]])),
IF((G113="5/16"),((база!$L$6*2*Таблица1[[#This Row],[Столбец1]]*Таблица1[[#This Row],[коэф]])),
IF(OR(G113="4/16",G113="3/16"),((база!$L$5*2*Таблица1[[#This Row],[Столбец1]]*Таблица1[[#This Row],[коэф]])),
IF(OR(G113="2/4",G113="3/4",G113="4/4"),((база!$I$5*2*Таблица1[[#This Row],[Столбец1]]*Таблица1[[#This Row],[коэф]])),
IF((G113="5/8"),((база!$J$6*2*Таблица1[[#This Row],[Столбец1]]*Таблица1[[#This Row],[коэф]])),
IF(OR(G113="4/8",G113="3/8",G113="2/8"),((база!$J$5*2*Таблица1[[#This Row],[Столбец1]]*Таблица1[[#This Row],[коэф]])))))))))))</f>
        <v>0</v>
      </c>
      <c r="AQ113" s="697" t="str">
        <f>IFERROR(INDEX(база!T:T, MATCH(F113,база!Q:Q,0)),"")</f>
        <v/>
      </c>
      <c r="AR113" s="207">
        <f>IFERROR(INDEX(база!D:D, MATCH(F113,база!B:B,0)),"")</f>
        <v>0</v>
      </c>
    </row>
    <row r="114" spans="1:44" s="46" customFormat="1" ht="15">
      <c r="A114" s="66" t="str">
        <f t="shared" si="2"/>
        <v>декабрь</v>
      </c>
      <c r="B114" s="230">
        <v>2023</v>
      </c>
      <c r="C114" s="60"/>
      <c r="D114" s="61"/>
      <c r="E114" s="210"/>
      <c r="F114" s="669"/>
      <c r="G114" s="47"/>
      <c r="H114" s="563"/>
      <c r="I114" s="563"/>
      <c r="J114" s="563"/>
      <c r="K114" s="563"/>
      <c r="L114" s="563"/>
      <c r="M114" s="563"/>
      <c r="N114" s="563"/>
      <c r="O114" s="563"/>
      <c r="P114" s="300"/>
      <c r="Q114" s="563"/>
      <c r="R114" s="563"/>
      <c r="S114" s="563"/>
      <c r="T114" s="563"/>
      <c r="U114" s="563"/>
      <c r="V114" s="563"/>
      <c r="W114" s="563"/>
      <c r="X114" s="563"/>
      <c r="Y114" s="563"/>
      <c r="Z114" s="48"/>
      <c r="AA114" s="48"/>
      <c r="AB114" s="48"/>
      <c r="AC114" s="48"/>
      <c r="AD114" s="48"/>
      <c r="AE114" s="48"/>
      <c r="AF114" s="48"/>
      <c r="AG114" s="48"/>
      <c r="AH114" s="48"/>
      <c r="AI114" s="48"/>
      <c r="AJ114" s="257"/>
      <c r="AK114" s="257"/>
      <c r="AL114" s="257"/>
      <c r="AM114" s="211">
        <f>IF(AQ114=1,SUM(H114:I114,L114:O114,R114:U114,X114:AA114,AD114:AG114,AI114:AK114),
IF(AQ114=2,SUM(H114:K114,N114:Q114,T114:W114,Z114:AC114,AF114:AI114),
IF(AQ114=3,SUM(J114:M114,P114:S114,V114:Y114,AB114:AE114,AH114:AK114),SUM(Таблица1[[#This Row],[1]:[31]])-Таблица1[[#This Row],[Столбец1]])))</f>
        <v>0</v>
      </c>
      <c r="AN114" s="290">
        <f t="array" ref="AN114">IF(AQ114=1,SUM(J114:K114,P114:Q114,V114:W114,AB114:AC114,AH114:AI114),
IF(AQ114=2,SUM(L114:M114,R114:S114,X114:Y114,AD114:AE114),
IF(AQ114=3,SUM(H114:I114,N114:O114,T114:U114,Z114:AA114,AF114:AG114),
SUM(IFERROR(WEEKDAY($H$2:$AL$2,2)&gt;5,)*H114:AL114))))</f>
        <v>0</v>
      </c>
      <c r="AO114" s="292" t="b">
        <f>IF(AR114&lt;=3,(IF((G114="5/24"),((база!$M$6*Таблица1[[#This Row],[сумма]]*Таблица1[[#This Row],[коэф]])),
IF((G114="4/24"),((база!$M$5*Таблица1[[#This Row],[сумма]]*Таблица1[[#This Row],[коэф]])),
IF((G114="3/24"),((база!$M$4*Таблица1[[#This Row],[сумма]]*Таблица1[[#This Row],[коэф]])),
IF((G114="5/16"),((база!$L$6*Таблица1[[#This Row],[сумма]]*Таблица1[[#This Row],[коэф]])),
IF((G114="4/16"),((база!$L$5*Таблица1[[#This Row],[сумма]]*Таблица1[[#This Row],[коэф]])),
IF((G114="3/16"),((база!$L$4*Таблица1[[#This Row],[сумма]]*Таблица1[[#This Row],[коэф]])),
IF((G114="4/4"),((база!$I$5*Таблица1[[#This Row],[сумма]]*Таблица1[[#This Row],[коэф]])),
IF(OR(G114="2/4",G114="3/4"),((база!$I$4*Таблица1[[#This Row],[сумма]]*Таблица1[[#This Row],[коэф]])),
IF((G114="5/8"),((база!$J$6*Таблица1[[#This Row],[сумма]]*Таблица1[[#This Row],[коэф]])),
IF((G114="4/8"),((база!$J$5*Таблица1[[#This Row],[сумма]]*Таблица1[[#This Row],[коэф]])),
IF(OR(G114="3/8",G114="2/8"),((база!$J$4*Таблица1[[#This Row],[сумма]]*Таблица1[[#This Row],[коэф]])))))))))))))),
(IF((G114="5/24"),((база!$M$6*Таблица1[[#This Row],[сумма]]*Таблица1[[#This Row],[коэф]])),
IF(OR(G114="4/24",G114="3/24"),((база!$M$5*Таблица1[[#This Row],[сумма]]*Таблица1[[#This Row],[коэф]])),
IF((G114="5/16"),((база!$L$6*Таблица1[[#This Row],[сумма]]*Таблица1[[#This Row],[коэф]])),
IF(OR(G114="4/16",G114="3/16"),((база!$L$5*Таблица1[[#This Row],[сумма]]*Таблица1[[#This Row],[коэф]])),
IF(OR(G114="2/4",G114="3/4",G114="4/4"),((база!$I$5*Таблица1[[#This Row],[сумма]]*Таблица1[[#This Row],[коэф]])),
IF((G114="5/8"),((база!$J$6*Таблица1[[#This Row],[сумма]]*Таблица1[[#This Row],[коэф]])),
IF(OR(G114="4/8",G114="3/8",G114="2/8"),((база!$J$5*Таблица1[[#This Row],[сумма]]*Таблица1[[#This Row],[коэф]])))))))))))</f>
        <v>0</v>
      </c>
      <c r="AP114" s="715" t="b">
        <f>IF(AR114&lt;=3,(IF((G114="5/24"),((база!$M$6*2*Таблица1[[#This Row],[Столбец1]]*Таблица1[[#This Row],[коэф]])),
IF((G114="4/24"),((база!$M$5*2*Таблица1[[#This Row],[Столбец1]]*Таблица1[[#This Row],[коэф]])),
IF((G114="3/24"),((база!$M$4*2*Таблица1[[#This Row],[Столбец1]]*Таблица1[[#This Row],[коэф]])),
IF((G114="5/16"),((база!$L$6*2*Таблица1[[#This Row],[Столбец1]]*Таблица1[[#This Row],[коэф]])),
IF((G114="4/16"),((база!$L$5*2*Таблица1[[#This Row],[Столбец1]]*Таблица1[[#This Row],[коэф]])),
IF((G114="3/16"),((база!$L$4*2*Таблица1[[#This Row],[Столбец1]]*Таблица1[[#This Row],[коэф]])),
IF((G114="4/4"),((база!$I$5*2*Таблица1[[#This Row],[Столбец1]]*Таблица1[[#This Row],[коэф]])),
IF(OR(G114="2/4",G114="3/4"),((база!$I$4*2*Таблица1[[#This Row],[Столбец1]]*Таблица1[[#This Row],[коэф]])),
IF((G114="5/8"),((база!$J$6*2*Таблица1[[#This Row],[Столбец1]]*Таблица1[[#This Row],[коэф]])),
IF((G114="4/8"),((база!$J$5*2*Таблица1[[#This Row],[Столбец1]]*Таблица1[[#This Row],[коэф]])),
IF(OR(G114="3/8",G114="2/8"),((база!$J$4*2*Таблица1[[#This Row],[Столбец1]]*Таблица1[[#This Row],[коэф]])))))))))))))),
(IF((G114="5/24"),((база!$M$6*2*Таблица1[[#This Row],[Столбец1]]*Таблица1[[#This Row],[коэф]])),
IF(OR(G114="4/24",G114="3/24"),((база!$M$5*2*Таблица1[[#This Row],[Столбец1]]*Таблица1[[#This Row],[коэф]])),
IF((G114="5/16"),((база!$L$6*2*Таблица1[[#This Row],[Столбец1]]*Таблица1[[#This Row],[коэф]])),
IF(OR(G114="4/16",G114="3/16"),((база!$L$5*2*Таблица1[[#This Row],[Столбец1]]*Таблица1[[#This Row],[коэф]])),
IF(OR(G114="2/4",G114="3/4",G114="4/4"),((база!$I$5*2*Таблица1[[#This Row],[Столбец1]]*Таблица1[[#This Row],[коэф]])),
IF((G114="5/8"),((база!$J$6*2*Таблица1[[#This Row],[Столбец1]]*Таблица1[[#This Row],[коэф]])),
IF(OR(G114="4/8",G114="3/8",G114="2/8"),((база!$J$5*2*Таблица1[[#This Row],[Столбец1]]*Таблица1[[#This Row],[коэф]])))))))))))</f>
        <v>0</v>
      </c>
      <c r="AQ114" s="697" t="str">
        <f>IFERROR(INDEX(база!T:T, MATCH(F114,база!Q:Q,0)),"")</f>
        <v/>
      </c>
      <c r="AR114" s="207">
        <f>IFERROR(INDEX(база!D:D, MATCH(F114,база!B:B,0)),"")</f>
        <v>0</v>
      </c>
    </row>
    <row r="115" spans="1:44" s="46" customFormat="1" ht="15">
      <c r="A115" s="66" t="str">
        <f t="shared" si="2"/>
        <v>декабрь</v>
      </c>
      <c r="B115" s="230">
        <v>2023</v>
      </c>
      <c r="C115" s="60"/>
      <c r="D115" s="61"/>
      <c r="E115" s="210"/>
      <c r="F115" s="669"/>
      <c r="G115" s="47"/>
      <c r="H115" s="563"/>
      <c r="I115" s="563"/>
      <c r="J115" s="563"/>
      <c r="K115" s="563"/>
      <c r="L115" s="563"/>
      <c r="M115" s="563"/>
      <c r="N115" s="563"/>
      <c r="O115" s="563"/>
      <c r="P115" s="300"/>
      <c r="Q115" s="563"/>
      <c r="R115" s="563"/>
      <c r="S115" s="563"/>
      <c r="T115" s="563"/>
      <c r="U115" s="563"/>
      <c r="V115" s="563"/>
      <c r="W115" s="563"/>
      <c r="X115" s="563"/>
      <c r="Y115" s="563"/>
      <c r="Z115" s="563"/>
      <c r="AA115" s="563"/>
      <c r="AB115" s="563"/>
      <c r="AC115" s="563"/>
      <c r="AD115" s="48"/>
      <c r="AE115" s="48"/>
      <c r="AF115" s="48"/>
      <c r="AG115" s="48"/>
      <c r="AH115" s="48"/>
      <c r="AI115" s="48"/>
      <c r="AJ115" s="257"/>
      <c r="AK115" s="257"/>
      <c r="AL115" s="257"/>
      <c r="AM115" s="211">
        <f>IF(AQ115=1,SUM(H115:I115,L115:O115,R115:U115,X115:AA115,AD115:AG115,AI115:AK115),
IF(AQ115=2,SUM(H115:K115,N115:Q115,T115:W115,Z115:AC115,AF115:AI115),
IF(AQ115=3,SUM(J115:M115,P115:S115,V115:Y115,AB115:AE115,AH115:AK115),SUM(Таблица1[[#This Row],[1]:[31]])-Таблица1[[#This Row],[Столбец1]])))</f>
        <v>0</v>
      </c>
      <c r="AN115" s="290">
        <f t="array" ref="AN115">IF(AQ115=1,SUM(J115:K115,P115:Q115,V115:W115,AB115:AC115,AH115:AI115),
IF(AQ115=2,SUM(L115:M115,R115:S115,X115:Y115,AD115:AE115),
IF(AQ115=3,SUM(H115:I115,N115:O115,T115:U115,Z115:AA115,AF115:AG115),
SUM(IFERROR(WEEKDAY($H$2:$AL$2,2)&gt;5,)*H115:AL115))))</f>
        <v>0</v>
      </c>
      <c r="AO115" s="292" t="b">
        <f>IF(AR115&lt;=3,(IF((G115="5/24"),((база!$M$6*Таблица1[[#This Row],[сумма]]*Таблица1[[#This Row],[коэф]])),
IF((G115="4/24"),((база!$M$5*Таблица1[[#This Row],[сумма]]*Таблица1[[#This Row],[коэф]])),
IF((G115="3/24"),((база!$M$4*Таблица1[[#This Row],[сумма]]*Таблица1[[#This Row],[коэф]])),
IF((G115="5/16"),((база!$L$6*Таблица1[[#This Row],[сумма]]*Таблица1[[#This Row],[коэф]])),
IF((G115="4/16"),((база!$L$5*Таблица1[[#This Row],[сумма]]*Таблица1[[#This Row],[коэф]])),
IF((G115="3/16"),((база!$L$4*Таблица1[[#This Row],[сумма]]*Таблица1[[#This Row],[коэф]])),
IF((G115="4/4"),((база!$I$5*Таблица1[[#This Row],[сумма]]*Таблица1[[#This Row],[коэф]])),
IF(OR(G115="2/4",G115="3/4"),((база!$I$4*Таблица1[[#This Row],[сумма]]*Таблица1[[#This Row],[коэф]])),
IF((G115="5/8"),((база!$J$6*Таблица1[[#This Row],[сумма]]*Таблица1[[#This Row],[коэф]])),
IF((G115="4/8"),((база!$J$5*Таблица1[[#This Row],[сумма]]*Таблица1[[#This Row],[коэф]])),
IF(OR(G115="3/8",G115="2/8"),((база!$J$4*Таблица1[[#This Row],[сумма]]*Таблица1[[#This Row],[коэф]])))))))))))))),
(IF((G115="5/24"),((база!$M$6*Таблица1[[#This Row],[сумма]]*Таблица1[[#This Row],[коэф]])),
IF(OR(G115="4/24",G115="3/24"),((база!$M$5*Таблица1[[#This Row],[сумма]]*Таблица1[[#This Row],[коэф]])),
IF((G115="5/16"),((база!$L$6*Таблица1[[#This Row],[сумма]]*Таблица1[[#This Row],[коэф]])),
IF(OR(G115="4/16",G115="3/16"),((база!$L$5*Таблица1[[#This Row],[сумма]]*Таблица1[[#This Row],[коэф]])),
IF(OR(G115="2/4",G115="3/4",G115="4/4"),((база!$I$5*Таблица1[[#This Row],[сумма]]*Таблица1[[#This Row],[коэф]])),
IF((G115="5/8"),((база!$J$6*Таблица1[[#This Row],[сумма]]*Таблица1[[#This Row],[коэф]])),
IF(OR(G115="4/8",G115="3/8",G115="2/8"),((база!$J$5*Таблица1[[#This Row],[сумма]]*Таблица1[[#This Row],[коэф]])))))))))))</f>
        <v>0</v>
      </c>
      <c r="AP115" s="715" t="b">
        <f>IF(AR115&lt;=3,(IF((G115="5/24"),((база!$M$6*2*Таблица1[[#This Row],[Столбец1]]*Таблица1[[#This Row],[коэф]])),
IF((G115="4/24"),((база!$M$5*2*Таблица1[[#This Row],[Столбец1]]*Таблица1[[#This Row],[коэф]])),
IF((G115="3/24"),((база!$M$4*2*Таблица1[[#This Row],[Столбец1]]*Таблица1[[#This Row],[коэф]])),
IF((G115="5/16"),((база!$L$6*2*Таблица1[[#This Row],[Столбец1]]*Таблица1[[#This Row],[коэф]])),
IF((G115="4/16"),((база!$L$5*2*Таблица1[[#This Row],[Столбец1]]*Таблица1[[#This Row],[коэф]])),
IF((G115="3/16"),((база!$L$4*2*Таблица1[[#This Row],[Столбец1]]*Таблица1[[#This Row],[коэф]])),
IF((G115="4/4"),((база!$I$5*2*Таблица1[[#This Row],[Столбец1]]*Таблица1[[#This Row],[коэф]])),
IF(OR(G115="2/4",G115="3/4"),((база!$I$4*2*Таблица1[[#This Row],[Столбец1]]*Таблица1[[#This Row],[коэф]])),
IF((G115="5/8"),((база!$J$6*2*Таблица1[[#This Row],[Столбец1]]*Таблица1[[#This Row],[коэф]])),
IF((G115="4/8"),((база!$J$5*2*Таблица1[[#This Row],[Столбец1]]*Таблица1[[#This Row],[коэф]])),
IF(OR(G115="3/8",G115="2/8"),((база!$J$4*2*Таблица1[[#This Row],[Столбец1]]*Таблица1[[#This Row],[коэф]])))))))))))))),
(IF((G115="5/24"),((база!$M$6*2*Таблица1[[#This Row],[Столбец1]]*Таблица1[[#This Row],[коэф]])),
IF(OR(G115="4/24",G115="3/24"),((база!$M$5*2*Таблица1[[#This Row],[Столбец1]]*Таблица1[[#This Row],[коэф]])),
IF((G115="5/16"),((база!$L$6*2*Таблица1[[#This Row],[Столбец1]]*Таблица1[[#This Row],[коэф]])),
IF(OR(G115="4/16",G115="3/16"),((база!$L$5*2*Таблица1[[#This Row],[Столбец1]]*Таблица1[[#This Row],[коэф]])),
IF(OR(G115="2/4",G115="3/4",G115="4/4"),((база!$I$5*2*Таблица1[[#This Row],[Столбец1]]*Таблица1[[#This Row],[коэф]])),
IF((G115="5/8"),((база!$J$6*2*Таблица1[[#This Row],[Столбец1]]*Таблица1[[#This Row],[коэф]])),
IF(OR(G115="4/8",G115="3/8",G115="2/8"),((база!$J$5*2*Таблица1[[#This Row],[Столбец1]]*Таблица1[[#This Row],[коэф]])))))))))))</f>
        <v>0</v>
      </c>
      <c r="AQ115" s="697" t="str">
        <f>IFERROR(INDEX(база!T:T, MATCH(F115,база!Q:Q,0)),"")</f>
        <v/>
      </c>
      <c r="AR115" s="207">
        <f>IFERROR(INDEX(база!D:D, MATCH(F115,база!B:B,0)),"")</f>
        <v>0</v>
      </c>
    </row>
    <row r="116" spans="1:44" s="46" customFormat="1" ht="15">
      <c r="A116" s="66" t="str">
        <f t="shared" si="2"/>
        <v>декабрь</v>
      </c>
      <c r="B116" s="230">
        <v>2023</v>
      </c>
      <c r="C116" s="60"/>
      <c r="D116" s="61"/>
      <c r="E116" s="210"/>
      <c r="F116" s="669"/>
      <c r="G116" s="47"/>
      <c r="H116" s="563"/>
      <c r="I116" s="563"/>
      <c r="J116" s="563"/>
      <c r="K116" s="563"/>
      <c r="L116" s="563"/>
      <c r="M116" s="563"/>
      <c r="N116" s="563"/>
      <c r="O116" s="563"/>
      <c r="P116" s="300"/>
      <c r="Q116" s="563"/>
      <c r="R116" s="563"/>
      <c r="S116" s="563"/>
      <c r="T116" s="563"/>
      <c r="U116" s="563"/>
      <c r="V116" s="563"/>
      <c r="W116" s="563"/>
      <c r="X116" s="563"/>
      <c r="Y116" s="563"/>
      <c r="Z116" s="563"/>
      <c r="AA116" s="563"/>
      <c r="AB116" s="48"/>
      <c r="AC116" s="48"/>
      <c r="AD116" s="48"/>
      <c r="AE116" s="48"/>
      <c r="AF116" s="48"/>
      <c r="AG116" s="48"/>
      <c r="AH116" s="48"/>
      <c r="AI116" s="48"/>
      <c r="AJ116" s="48"/>
      <c r="AK116" s="48"/>
      <c r="AL116" s="257"/>
      <c r="AM116" s="211">
        <f>IF(AQ116=1,SUM(H116:I116,L116:O116,R116:U116,X116:AA116,AD116:AG116,AI116:AK116),
IF(AQ116=2,SUM(H116:K116,N116:Q116,T116:W116,Z116:AC116,AF116:AI116),
IF(AQ116=3,SUM(J116:M116,P116:S116,V116:Y116,AB116:AE116,AH116:AK116),SUM(Таблица1[[#This Row],[1]:[31]])-Таблица1[[#This Row],[Столбец1]])))</f>
        <v>0</v>
      </c>
      <c r="AN116" s="290">
        <f t="array" ref="AN116">IF(AQ116=1,SUM(J116:K116,P116:Q116,V116:W116,AB116:AC116,AH116:AI116),
IF(AQ116=2,SUM(L116:M116,R116:S116,X116:Y116,AD116:AE116),
IF(AQ116=3,SUM(H116:I116,N116:O116,T116:U116,Z116:AA116,AF116:AG116),
SUM(IFERROR(WEEKDAY($H$2:$AL$2,2)&gt;5,)*H116:AL116))))</f>
        <v>0</v>
      </c>
      <c r="AO116" s="292" t="b">
        <f>IF(AR116&lt;=3,(IF((G116="5/24"),((база!$M$6*Таблица1[[#This Row],[сумма]]*Таблица1[[#This Row],[коэф]])),
IF((G116="4/24"),((база!$M$5*Таблица1[[#This Row],[сумма]]*Таблица1[[#This Row],[коэф]])),
IF((G116="3/24"),((база!$M$4*Таблица1[[#This Row],[сумма]]*Таблица1[[#This Row],[коэф]])),
IF((G116="5/16"),((база!$L$6*Таблица1[[#This Row],[сумма]]*Таблица1[[#This Row],[коэф]])),
IF((G116="4/16"),((база!$L$5*Таблица1[[#This Row],[сумма]]*Таблица1[[#This Row],[коэф]])),
IF((G116="3/16"),((база!$L$4*Таблица1[[#This Row],[сумма]]*Таблица1[[#This Row],[коэф]])),
IF((G116="4/4"),((база!$I$5*Таблица1[[#This Row],[сумма]]*Таблица1[[#This Row],[коэф]])),
IF(OR(G116="2/4",G116="3/4"),((база!$I$4*Таблица1[[#This Row],[сумма]]*Таблица1[[#This Row],[коэф]])),
IF((G116="5/8"),((база!$J$6*Таблица1[[#This Row],[сумма]]*Таблица1[[#This Row],[коэф]])),
IF((G116="4/8"),((база!$J$5*Таблица1[[#This Row],[сумма]]*Таблица1[[#This Row],[коэф]])),
IF(OR(G116="3/8",G116="2/8"),((база!$J$4*Таблица1[[#This Row],[сумма]]*Таблица1[[#This Row],[коэф]])))))))))))))),
(IF((G116="5/24"),((база!$M$6*Таблица1[[#This Row],[сумма]]*Таблица1[[#This Row],[коэф]])),
IF(OR(G116="4/24",G116="3/24"),((база!$M$5*Таблица1[[#This Row],[сумма]]*Таблица1[[#This Row],[коэф]])),
IF((G116="5/16"),((база!$L$6*Таблица1[[#This Row],[сумма]]*Таблица1[[#This Row],[коэф]])),
IF(OR(G116="4/16",G116="3/16"),((база!$L$5*Таблица1[[#This Row],[сумма]]*Таблица1[[#This Row],[коэф]])),
IF(OR(G116="2/4",G116="3/4",G116="4/4"),((база!$I$5*Таблица1[[#This Row],[сумма]]*Таблица1[[#This Row],[коэф]])),
IF((G116="5/8"),((база!$J$6*Таблица1[[#This Row],[сумма]]*Таблица1[[#This Row],[коэф]])),
IF(OR(G116="4/8",G116="3/8",G116="2/8"),((база!$J$5*Таблица1[[#This Row],[сумма]]*Таблица1[[#This Row],[коэф]])))))))))))</f>
        <v>0</v>
      </c>
      <c r="AP116" s="715" t="b">
        <f>IF(AR116&lt;=3,(IF((G116="5/24"),((база!$M$6*2*Таблица1[[#This Row],[Столбец1]]*Таблица1[[#This Row],[коэф]])),
IF((G116="4/24"),((база!$M$5*2*Таблица1[[#This Row],[Столбец1]]*Таблица1[[#This Row],[коэф]])),
IF((G116="3/24"),((база!$M$4*2*Таблица1[[#This Row],[Столбец1]]*Таблица1[[#This Row],[коэф]])),
IF((G116="5/16"),((база!$L$6*2*Таблица1[[#This Row],[Столбец1]]*Таблица1[[#This Row],[коэф]])),
IF((G116="4/16"),((база!$L$5*2*Таблица1[[#This Row],[Столбец1]]*Таблица1[[#This Row],[коэф]])),
IF((G116="3/16"),((база!$L$4*2*Таблица1[[#This Row],[Столбец1]]*Таблица1[[#This Row],[коэф]])),
IF((G116="4/4"),((база!$I$5*2*Таблица1[[#This Row],[Столбец1]]*Таблица1[[#This Row],[коэф]])),
IF(OR(G116="2/4",G116="3/4"),((база!$I$4*2*Таблица1[[#This Row],[Столбец1]]*Таблица1[[#This Row],[коэф]])),
IF((G116="5/8"),((база!$J$6*2*Таблица1[[#This Row],[Столбец1]]*Таблица1[[#This Row],[коэф]])),
IF((G116="4/8"),((база!$J$5*2*Таблица1[[#This Row],[Столбец1]]*Таблица1[[#This Row],[коэф]])),
IF(OR(G116="3/8",G116="2/8"),((база!$J$4*2*Таблица1[[#This Row],[Столбец1]]*Таблица1[[#This Row],[коэф]])))))))))))))),
(IF((G116="5/24"),((база!$M$6*2*Таблица1[[#This Row],[Столбец1]]*Таблица1[[#This Row],[коэф]])),
IF(OR(G116="4/24",G116="3/24"),((база!$M$5*2*Таблица1[[#This Row],[Столбец1]]*Таблица1[[#This Row],[коэф]])),
IF((G116="5/16"),((база!$L$6*2*Таблица1[[#This Row],[Столбец1]]*Таблица1[[#This Row],[коэф]])),
IF(OR(G116="4/16",G116="3/16"),((база!$L$5*2*Таблица1[[#This Row],[Столбец1]]*Таблица1[[#This Row],[коэф]])),
IF(OR(G116="2/4",G116="3/4",G116="4/4"),((база!$I$5*2*Таблица1[[#This Row],[Столбец1]]*Таблица1[[#This Row],[коэф]])),
IF((G116="5/8"),((база!$J$6*2*Таблица1[[#This Row],[Столбец1]]*Таблица1[[#This Row],[коэф]])),
IF(OR(G116="4/8",G116="3/8",G116="2/8"),((база!$J$5*2*Таблица1[[#This Row],[Столбец1]]*Таблица1[[#This Row],[коэф]])))))))))))</f>
        <v>0</v>
      </c>
      <c r="AQ116" s="697" t="str">
        <f>IFERROR(INDEX(база!T:T, MATCH(F116,база!Q:Q,0)),"")</f>
        <v/>
      </c>
      <c r="AR116" s="207">
        <f>IFERROR(INDEX(база!D:D, MATCH(F116,база!B:B,0)),"")</f>
        <v>0</v>
      </c>
    </row>
    <row r="117" spans="1:44" s="46" customFormat="1" ht="15">
      <c r="A117" s="66" t="str">
        <f t="shared" si="2"/>
        <v>декабрь</v>
      </c>
      <c r="B117" s="230">
        <v>2023</v>
      </c>
      <c r="C117" s="299"/>
      <c r="D117" s="61"/>
      <c r="E117" s="210"/>
      <c r="F117" s="669"/>
      <c r="G117" s="47"/>
      <c r="H117" s="563"/>
      <c r="I117" s="563"/>
      <c r="J117" s="563"/>
      <c r="K117" s="563"/>
      <c r="L117" s="563"/>
      <c r="M117" s="563"/>
      <c r="N117" s="563"/>
      <c r="O117" s="563"/>
      <c r="P117" s="300"/>
      <c r="Q117" s="563"/>
      <c r="R117" s="563"/>
      <c r="S117" s="563"/>
      <c r="T117" s="563"/>
      <c r="U117" s="563"/>
      <c r="V117" s="563"/>
      <c r="W117" s="563"/>
      <c r="X117" s="563"/>
      <c r="Y117" s="48"/>
      <c r="Z117" s="48"/>
      <c r="AA117" s="48"/>
      <c r="AB117" s="48"/>
      <c r="AC117" s="48"/>
      <c r="AD117" s="48"/>
      <c r="AE117" s="48"/>
      <c r="AF117" s="48"/>
      <c r="AG117" s="48"/>
      <c r="AH117" s="48"/>
      <c r="AI117" s="48"/>
      <c r="AJ117" s="48"/>
      <c r="AK117" s="257"/>
      <c r="AL117" s="257"/>
      <c r="AM117" s="211">
        <f>IF(AQ117=1,SUM(H117:I117,L117:O117,R117:U117,X117:AA117,AD117:AG117,AI117:AK117),
IF(AQ117=2,SUM(H117:K117,N117:Q117,T117:W117,Z117:AC117,AF117:AI117),
IF(AQ117=3,SUM(J117:M117,P117:S117,V117:Y117,AB117:AE117,AH117:AK117),SUM(Таблица1[[#This Row],[1]:[31]])-Таблица1[[#This Row],[Столбец1]])))</f>
        <v>0</v>
      </c>
      <c r="AN117" s="290">
        <f t="array" ref="AN117">IF(AQ117=1,SUM(J117:K117,P117:Q117,V117:W117,AB117:AC117,AH117:AI117),
IF(AQ117=2,SUM(L117:M117,R117:S117,X117:Y117,AD117:AE117),
IF(AQ117=3,SUM(H117:I117,N117:O117,T117:U117,Z117:AA117,AF117:AG117),
SUM(IFERROR(WEEKDAY($H$2:$AL$2,2)&gt;5,)*H117:AL117))))</f>
        <v>0</v>
      </c>
      <c r="AO117" s="292" t="b">
        <f>IF(AR117&lt;=3,(IF((G117="5/24"),((база!$M$6*Таблица1[[#This Row],[сумма]]*Таблица1[[#This Row],[коэф]])),
IF((G117="4/24"),((база!$M$5*Таблица1[[#This Row],[сумма]]*Таблица1[[#This Row],[коэф]])),
IF((G117="3/24"),((база!$M$4*Таблица1[[#This Row],[сумма]]*Таблица1[[#This Row],[коэф]])),
IF((G117="5/16"),((база!$L$6*Таблица1[[#This Row],[сумма]]*Таблица1[[#This Row],[коэф]])),
IF((G117="4/16"),((база!$L$5*Таблица1[[#This Row],[сумма]]*Таблица1[[#This Row],[коэф]])),
IF((G117="3/16"),((база!$L$4*Таблица1[[#This Row],[сумма]]*Таблица1[[#This Row],[коэф]])),
IF((G117="4/4"),((база!$I$5*Таблица1[[#This Row],[сумма]]*Таблица1[[#This Row],[коэф]])),
IF(OR(G117="2/4",G117="3/4"),((база!$I$4*Таблица1[[#This Row],[сумма]]*Таблица1[[#This Row],[коэф]])),
IF((G117="5/8"),((база!$J$6*Таблица1[[#This Row],[сумма]]*Таблица1[[#This Row],[коэф]])),
IF((G117="4/8"),((база!$J$5*Таблица1[[#This Row],[сумма]]*Таблица1[[#This Row],[коэф]])),
IF(OR(G117="3/8",G117="2/8"),((база!$J$4*Таблица1[[#This Row],[сумма]]*Таблица1[[#This Row],[коэф]])))))))))))))),
(IF((G117="5/24"),((база!$M$6*Таблица1[[#This Row],[сумма]]*Таблица1[[#This Row],[коэф]])),
IF(OR(G117="4/24",G117="3/24"),((база!$M$5*Таблица1[[#This Row],[сумма]]*Таблица1[[#This Row],[коэф]])),
IF((G117="5/16"),((база!$L$6*Таблица1[[#This Row],[сумма]]*Таблица1[[#This Row],[коэф]])),
IF(OR(G117="4/16",G117="3/16"),((база!$L$5*Таблица1[[#This Row],[сумма]]*Таблица1[[#This Row],[коэф]])),
IF(OR(G117="2/4",G117="3/4",G117="4/4"),((база!$I$5*Таблица1[[#This Row],[сумма]]*Таблица1[[#This Row],[коэф]])),
IF((G117="5/8"),((база!$J$6*Таблица1[[#This Row],[сумма]]*Таблица1[[#This Row],[коэф]])),
IF(OR(G117="4/8",G117="3/8",G117="2/8"),((база!$J$5*Таблица1[[#This Row],[сумма]]*Таблица1[[#This Row],[коэф]])))))))))))</f>
        <v>0</v>
      </c>
      <c r="AP117" s="715" t="b">
        <f>IF(AR117&lt;=3,(IF((G117="5/24"),((база!$M$6*2*Таблица1[[#This Row],[Столбец1]]*Таблица1[[#This Row],[коэф]])),
IF((G117="4/24"),((база!$M$5*2*Таблица1[[#This Row],[Столбец1]]*Таблица1[[#This Row],[коэф]])),
IF((G117="3/24"),((база!$M$4*2*Таблица1[[#This Row],[Столбец1]]*Таблица1[[#This Row],[коэф]])),
IF((G117="5/16"),((база!$L$6*2*Таблица1[[#This Row],[Столбец1]]*Таблица1[[#This Row],[коэф]])),
IF((G117="4/16"),((база!$L$5*2*Таблица1[[#This Row],[Столбец1]]*Таблица1[[#This Row],[коэф]])),
IF((G117="3/16"),((база!$L$4*2*Таблица1[[#This Row],[Столбец1]]*Таблица1[[#This Row],[коэф]])),
IF((G117="4/4"),((база!$I$5*2*Таблица1[[#This Row],[Столбец1]]*Таблица1[[#This Row],[коэф]])),
IF(OR(G117="2/4",G117="3/4"),((база!$I$4*2*Таблица1[[#This Row],[Столбец1]]*Таблица1[[#This Row],[коэф]])),
IF((G117="5/8"),((база!$J$6*2*Таблица1[[#This Row],[Столбец1]]*Таблица1[[#This Row],[коэф]])),
IF((G117="4/8"),((база!$J$5*2*Таблица1[[#This Row],[Столбец1]]*Таблица1[[#This Row],[коэф]])),
IF(OR(G117="3/8",G117="2/8"),((база!$J$4*2*Таблица1[[#This Row],[Столбец1]]*Таблица1[[#This Row],[коэф]])))))))))))))),
(IF((G117="5/24"),((база!$M$6*2*Таблица1[[#This Row],[Столбец1]]*Таблица1[[#This Row],[коэф]])),
IF(OR(G117="4/24",G117="3/24"),((база!$M$5*2*Таблица1[[#This Row],[Столбец1]]*Таблица1[[#This Row],[коэф]])),
IF((G117="5/16"),((база!$L$6*2*Таблица1[[#This Row],[Столбец1]]*Таблица1[[#This Row],[коэф]])),
IF(OR(G117="4/16",G117="3/16"),((база!$L$5*2*Таблица1[[#This Row],[Столбец1]]*Таблица1[[#This Row],[коэф]])),
IF(OR(G117="2/4",G117="3/4",G117="4/4"),((база!$I$5*2*Таблица1[[#This Row],[Столбец1]]*Таблица1[[#This Row],[коэф]])),
IF((G117="5/8"),((база!$J$6*2*Таблица1[[#This Row],[Столбец1]]*Таблица1[[#This Row],[коэф]])),
IF(OR(G117="4/8",G117="3/8",G117="2/8"),((база!$J$5*2*Таблица1[[#This Row],[Столбец1]]*Таблица1[[#This Row],[коэф]])))))))))))</f>
        <v>0</v>
      </c>
      <c r="AQ117" s="697" t="str">
        <f>IFERROR(INDEX(база!T:T, MATCH(F117,база!Q:Q,0)),"")</f>
        <v/>
      </c>
      <c r="AR117" s="207">
        <f>IFERROR(INDEX(база!D:D, MATCH(F117,база!B:B,0)),"")</f>
        <v>0</v>
      </c>
    </row>
    <row r="118" spans="1:44" s="46" customFormat="1" ht="15">
      <c r="A118" s="66" t="str">
        <f>A116</f>
        <v>декабрь</v>
      </c>
      <c r="B118" s="230">
        <v>2023</v>
      </c>
      <c r="C118" s="60"/>
      <c r="D118" s="61"/>
      <c r="E118" s="210"/>
      <c r="F118" s="669"/>
      <c r="G118" s="47"/>
      <c r="H118" s="563"/>
      <c r="I118" s="563"/>
      <c r="J118" s="563"/>
      <c r="K118" s="563"/>
      <c r="L118" s="563"/>
      <c r="M118" s="563"/>
      <c r="N118" s="563"/>
      <c r="O118" s="563"/>
      <c r="P118" s="300"/>
      <c r="Q118" s="563"/>
      <c r="R118" s="563"/>
      <c r="S118" s="563"/>
      <c r="T118" s="563"/>
      <c r="U118" s="563"/>
      <c r="V118" s="563"/>
      <c r="W118" s="563"/>
      <c r="X118" s="563"/>
      <c r="Y118" s="563"/>
      <c r="Z118" s="563"/>
      <c r="AA118" s="563"/>
      <c r="AB118" s="563"/>
      <c r="AC118" s="563"/>
      <c r="AD118" s="48"/>
      <c r="AE118" s="48"/>
      <c r="AF118" s="48"/>
      <c r="AG118" s="48"/>
      <c r="AH118" s="48"/>
      <c r="AI118" s="48"/>
      <c r="AJ118" s="48"/>
      <c r="AK118" s="48"/>
      <c r="AL118" s="51"/>
      <c r="AM118" s="211">
        <f>IF(AQ118=1,SUM(H118:I118,L118:O118,R118:U118,X118:AA118,AD118:AG118,AI118:AK118),
IF(AQ118=2,SUM(H118:K118,N118:Q118,T118:W118,Z118:AC118,AF118:AI118),
IF(AQ118=3,SUM(J118:M118,P118:S118,V118:Y118,AB118:AE118,AH118:AK118),SUM(Таблица1[[#This Row],[1]:[31]])-Таблица1[[#This Row],[Столбец1]])))</f>
        <v>0</v>
      </c>
      <c r="AN118" s="290">
        <f t="array" ref="AN118">IF(AQ118=1,SUM(J118:K118,P118:Q118,V118:W118,AB118:AC118,AH118:AI118),
IF(AQ118=2,SUM(L118:M118,R118:S118,X118:Y118,AD118:AE118),
IF(AQ118=3,SUM(H118:I118,N118:O118,T118:U118,Z118:AA118,AF118:AG118),
SUM(IFERROR(WEEKDAY($H$2:$AL$2,2)&gt;5,)*H118:AL118))))</f>
        <v>0</v>
      </c>
      <c r="AO118" s="292" t="b">
        <f>IF(AR118&lt;=3,(IF((G118="5/24"),((база!$M$6*Таблица1[[#This Row],[сумма]]*Таблица1[[#This Row],[коэф]])),
IF((G118="4/24"),((база!$M$5*Таблица1[[#This Row],[сумма]]*Таблица1[[#This Row],[коэф]])),
IF((G118="3/24"),((база!$M$4*Таблица1[[#This Row],[сумма]]*Таблица1[[#This Row],[коэф]])),
IF((G118="5/16"),((база!$L$6*Таблица1[[#This Row],[сумма]]*Таблица1[[#This Row],[коэф]])),
IF((G118="4/16"),((база!$L$5*Таблица1[[#This Row],[сумма]]*Таблица1[[#This Row],[коэф]])),
IF((G118="3/16"),((база!$L$4*Таблица1[[#This Row],[сумма]]*Таблица1[[#This Row],[коэф]])),
IF((G118="4/4"),((база!$I$5*Таблица1[[#This Row],[сумма]]*Таблица1[[#This Row],[коэф]])),
IF(OR(G118="2/4",G118="3/4"),((база!$I$4*Таблица1[[#This Row],[сумма]]*Таблица1[[#This Row],[коэф]])),
IF((G118="5/8"),((база!$J$6*Таблица1[[#This Row],[сумма]]*Таблица1[[#This Row],[коэф]])),
IF((G118="4/8"),((база!$J$5*Таблица1[[#This Row],[сумма]]*Таблица1[[#This Row],[коэф]])),
IF(OR(G118="3/8",G118="2/8"),((база!$J$4*Таблица1[[#This Row],[сумма]]*Таблица1[[#This Row],[коэф]])))))))))))))),
(IF((G118="5/24"),((база!$M$6*Таблица1[[#This Row],[сумма]]*Таблица1[[#This Row],[коэф]])),
IF(OR(G118="4/24",G118="3/24"),((база!$M$5*Таблица1[[#This Row],[сумма]]*Таблица1[[#This Row],[коэф]])),
IF((G118="5/16"),((база!$L$6*Таблица1[[#This Row],[сумма]]*Таблица1[[#This Row],[коэф]])),
IF(OR(G118="4/16",G118="3/16"),((база!$L$5*Таблица1[[#This Row],[сумма]]*Таблица1[[#This Row],[коэф]])),
IF(OR(G118="2/4",G118="3/4",G118="4/4"),((база!$I$5*Таблица1[[#This Row],[сумма]]*Таблица1[[#This Row],[коэф]])),
IF((G118="5/8"),((база!$J$6*Таблица1[[#This Row],[сумма]]*Таблица1[[#This Row],[коэф]])),
IF(OR(G118="4/8",G118="3/8",G118="2/8"),((база!$J$5*Таблица1[[#This Row],[сумма]]*Таблица1[[#This Row],[коэф]])))))))))))</f>
        <v>0</v>
      </c>
      <c r="AP118" s="715" t="b">
        <f>IF(AR118&lt;=3,(IF((G118="5/24"),((база!$M$6*2*Таблица1[[#This Row],[Столбец1]]*Таблица1[[#This Row],[коэф]])),
IF((G118="4/24"),((база!$M$5*2*Таблица1[[#This Row],[Столбец1]]*Таблица1[[#This Row],[коэф]])),
IF((G118="3/24"),((база!$M$4*2*Таблица1[[#This Row],[Столбец1]]*Таблица1[[#This Row],[коэф]])),
IF((G118="5/16"),((база!$L$6*2*Таблица1[[#This Row],[Столбец1]]*Таблица1[[#This Row],[коэф]])),
IF((G118="4/16"),((база!$L$5*2*Таблица1[[#This Row],[Столбец1]]*Таблица1[[#This Row],[коэф]])),
IF((G118="3/16"),((база!$L$4*2*Таблица1[[#This Row],[Столбец1]]*Таблица1[[#This Row],[коэф]])),
IF((G118="4/4"),((база!$I$5*2*Таблица1[[#This Row],[Столбец1]]*Таблица1[[#This Row],[коэф]])),
IF(OR(G118="2/4",G118="3/4"),((база!$I$4*2*Таблица1[[#This Row],[Столбец1]]*Таблица1[[#This Row],[коэф]])),
IF((G118="5/8"),((база!$J$6*2*Таблица1[[#This Row],[Столбец1]]*Таблица1[[#This Row],[коэф]])),
IF((G118="4/8"),((база!$J$5*2*Таблица1[[#This Row],[Столбец1]]*Таблица1[[#This Row],[коэф]])),
IF(OR(G118="3/8",G118="2/8"),((база!$J$4*2*Таблица1[[#This Row],[Столбец1]]*Таблица1[[#This Row],[коэф]])))))))))))))),
(IF((G118="5/24"),((база!$M$6*2*Таблица1[[#This Row],[Столбец1]]*Таблица1[[#This Row],[коэф]])),
IF(OR(G118="4/24",G118="3/24"),((база!$M$5*2*Таблица1[[#This Row],[Столбец1]]*Таблица1[[#This Row],[коэф]])),
IF((G118="5/16"),((база!$L$6*2*Таблица1[[#This Row],[Столбец1]]*Таблица1[[#This Row],[коэф]])),
IF(OR(G118="4/16",G118="3/16"),((база!$L$5*2*Таблица1[[#This Row],[Столбец1]]*Таблица1[[#This Row],[коэф]])),
IF(OR(G118="2/4",G118="3/4",G118="4/4"),((база!$I$5*2*Таблица1[[#This Row],[Столбец1]]*Таблица1[[#This Row],[коэф]])),
IF((G118="5/8"),((база!$J$6*2*Таблица1[[#This Row],[Столбец1]]*Таблица1[[#This Row],[коэф]])),
IF(OR(G118="4/8",G118="3/8",G118="2/8"),((база!$J$5*2*Таблица1[[#This Row],[Столбец1]]*Таблица1[[#This Row],[коэф]])))))))))))</f>
        <v>0</v>
      </c>
      <c r="AQ118" s="697" t="str">
        <f>IFERROR(INDEX(база!T:T, MATCH(F118,база!Q:Q,0)),"")</f>
        <v/>
      </c>
      <c r="AR118" s="207">
        <f>IFERROR(INDEX(база!D:D, MATCH(F118,база!B:B,0)),"")</f>
        <v>0</v>
      </c>
    </row>
    <row r="119" spans="1:44" s="46" customFormat="1" ht="15">
      <c r="A119" s="66" t="str">
        <f>A117</f>
        <v>декабрь</v>
      </c>
      <c r="B119" s="230">
        <v>2023</v>
      </c>
      <c r="C119" s="60"/>
      <c r="D119" s="61"/>
      <c r="E119" s="210"/>
      <c r="F119" s="669"/>
      <c r="G119" s="47"/>
      <c r="H119" s="563"/>
      <c r="I119" s="563"/>
      <c r="J119" s="563"/>
      <c r="K119" s="563"/>
      <c r="L119" s="563"/>
      <c r="M119" s="563"/>
      <c r="N119" s="563"/>
      <c r="O119" s="563"/>
      <c r="P119" s="563"/>
      <c r="Q119" s="563"/>
      <c r="R119" s="563"/>
      <c r="S119" s="563"/>
      <c r="T119" s="563"/>
      <c r="U119" s="563"/>
      <c r="V119" s="563"/>
      <c r="W119" s="563"/>
      <c r="X119" s="48"/>
      <c r="Y119" s="48"/>
      <c r="Z119" s="48"/>
      <c r="AA119" s="48"/>
      <c r="AB119" s="48"/>
      <c r="AC119" s="48"/>
      <c r="AD119" s="48"/>
      <c r="AE119" s="48"/>
      <c r="AF119" s="257"/>
      <c r="AG119" s="257"/>
      <c r="AH119" s="257"/>
      <c r="AI119" s="257"/>
      <c r="AJ119" s="257"/>
      <c r="AK119" s="257"/>
      <c r="AL119" s="257"/>
      <c r="AM119" s="211">
        <f>IF(AQ119=1,SUM(H119:I119,L119:O119,R119:U119,X119:AA119,AD119:AG119,AI119:AK119),
IF(AQ119=2,SUM(H119:K119,N119:Q119,T119:W119,Z119:AC119,AF119:AI119),
IF(AQ119=3,SUM(J119:M119,P119:S119,V119:Y119,AB119:AE119,AH119:AK119),SUM(Таблица1[[#This Row],[1]:[31]])-Таблица1[[#This Row],[Столбец1]])))</f>
        <v>0</v>
      </c>
      <c r="AN119" s="290">
        <f t="array" ref="AN119">IF(AQ119=1,SUM(J119:K119,P119:Q119,V119:W119,AB119:AC119,AH119:AI119),
IF(AQ119=2,SUM(L119:M119,R119:S119,X119:Y119,AD119:AE119),
IF(AQ119=3,SUM(H119:I119,N119:O119,T119:U119,Z119:AA119,AF119:AG119),
SUM(IFERROR(WEEKDAY($H$2:$AL$2,2)&gt;5,)*H119:AL119))))</f>
        <v>0</v>
      </c>
      <c r="AO119" s="292" t="b">
        <f>IF(AR119&lt;=3,(IF((G119="5/24"),((база!$M$6*Таблица1[[#This Row],[сумма]]*Таблица1[[#This Row],[коэф]])),
IF((G119="4/24"),((база!$M$5*Таблица1[[#This Row],[сумма]]*Таблица1[[#This Row],[коэф]])),
IF((G119="3/24"),((база!$M$4*Таблица1[[#This Row],[сумма]]*Таблица1[[#This Row],[коэф]])),
IF((G119="5/16"),((база!$L$6*Таблица1[[#This Row],[сумма]]*Таблица1[[#This Row],[коэф]])),
IF((G119="4/16"),((база!$L$5*Таблица1[[#This Row],[сумма]]*Таблица1[[#This Row],[коэф]])),
IF((G119="3/16"),((база!$L$4*Таблица1[[#This Row],[сумма]]*Таблица1[[#This Row],[коэф]])),
IF((G119="4/4"),((база!$I$5*Таблица1[[#This Row],[сумма]]*Таблица1[[#This Row],[коэф]])),
IF(OR(G119="2/4",G119="3/4"),((база!$I$4*Таблица1[[#This Row],[сумма]]*Таблица1[[#This Row],[коэф]])),
IF((G119="5/8"),((база!$J$6*Таблица1[[#This Row],[сумма]]*Таблица1[[#This Row],[коэф]])),
IF((G119="4/8"),((база!$J$5*Таблица1[[#This Row],[сумма]]*Таблица1[[#This Row],[коэф]])),
IF(OR(G119="3/8",G119="2/8"),((база!$J$4*Таблица1[[#This Row],[сумма]]*Таблица1[[#This Row],[коэф]])))))))))))))),
(IF((G119="5/24"),((база!$M$6*Таблица1[[#This Row],[сумма]]*Таблица1[[#This Row],[коэф]])),
IF(OR(G119="4/24",G119="3/24"),((база!$M$5*Таблица1[[#This Row],[сумма]]*Таблица1[[#This Row],[коэф]])),
IF((G119="5/16"),((база!$L$6*Таблица1[[#This Row],[сумма]]*Таблица1[[#This Row],[коэф]])),
IF(OR(G119="4/16",G119="3/16"),((база!$L$5*Таблица1[[#This Row],[сумма]]*Таблица1[[#This Row],[коэф]])),
IF(OR(G119="2/4",G119="3/4",G119="4/4"),((база!$I$5*Таблица1[[#This Row],[сумма]]*Таблица1[[#This Row],[коэф]])),
IF((G119="5/8"),((база!$J$6*Таблица1[[#This Row],[сумма]]*Таблица1[[#This Row],[коэф]])),
IF(OR(G119="4/8",G119="3/8",G119="2/8"),((база!$J$5*Таблица1[[#This Row],[сумма]]*Таблица1[[#This Row],[коэф]])))))))))))</f>
        <v>0</v>
      </c>
      <c r="AP119" s="715" t="b">
        <f>IF(AR119&lt;=3,(IF((G119="5/24"),((база!$M$6*2*Таблица1[[#This Row],[Столбец1]]*Таблица1[[#This Row],[коэф]])),
IF((G119="4/24"),((база!$M$5*2*Таблица1[[#This Row],[Столбец1]]*Таблица1[[#This Row],[коэф]])),
IF((G119="3/24"),((база!$M$4*2*Таблица1[[#This Row],[Столбец1]]*Таблица1[[#This Row],[коэф]])),
IF((G119="5/16"),((база!$L$6*2*Таблица1[[#This Row],[Столбец1]]*Таблица1[[#This Row],[коэф]])),
IF((G119="4/16"),((база!$L$5*2*Таблица1[[#This Row],[Столбец1]]*Таблица1[[#This Row],[коэф]])),
IF((G119="3/16"),((база!$L$4*2*Таблица1[[#This Row],[Столбец1]]*Таблица1[[#This Row],[коэф]])),
IF((G119="4/4"),((база!$I$5*2*Таблица1[[#This Row],[Столбец1]]*Таблица1[[#This Row],[коэф]])),
IF(OR(G119="2/4",G119="3/4"),((база!$I$4*2*Таблица1[[#This Row],[Столбец1]]*Таблица1[[#This Row],[коэф]])),
IF((G119="5/8"),((база!$J$6*2*Таблица1[[#This Row],[Столбец1]]*Таблица1[[#This Row],[коэф]])),
IF((G119="4/8"),((база!$J$5*2*Таблица1[[#This Row],[Столбец1]]*Таблица1[[#This Row],[коэф]])),
IF(OR(G119="3/8",G119="2/8"),((база!$J$4*2*Таблица1[[#This Row],[Столбец1]]*Таблица1[[#This Row],[коэф]])))))))))))))),
(IF((G119="5/24"),((база!$M$6*2*Таблица1[[#This Row],[Столбец1]]*Таблица1[[#This Row],[коэф]])),
IF(OR(G119="4/24",G119="3/24"),((база!$M$5*2*Таблица1[[#This Row],[Столбец1]]*Таблица1[[#This Row],[коэф]])),
IF((G119="5/16"),((база!$L$6*2*Таблица1[[#This Row],[Столбец1]]*Таблица1[[#This Row],[коэф]])),
IF(OR(G119="4/16",G119="3/16"),((база!$L$5*2*Таблица1[[#This Row],[Столбец1]]*Таблица1[[#This Row],[коэф]])),
IF(OR(G119="2/4",G119="3/4",G119="4/4"),((база!$I$5*2*Таблица1[[#This Row],[Столбец1]]*Таблица1[[#This Row],[коэф]])),
IF((G119="5/8"),((база!$J$6*2*Таблица1[[#This Row],[Столбец1]]*Таблица1[[#This Row],[коэф]])),
IF(OR(G119="4/8",G119="3/8",G119="2/8"),((база!$J$5*2*Таблица1[[#This Row],[Столбец1]]*Таблица1[[#This Row],[коэф]])))))))))))</f>
        <v>0</v>
      </c>
      <c r="AQ119" s="697" t="str">
        <f>IFERROR(INDEX(база!T:T, MATCH(F119,база!Q:Q,0)),"")</f>
        <v/>
      </c>
      <c r="AR119" s="207">
        <f>IFERROR(INDEX(база!D:D, MATCH(F119,база!B:B,0)),"")</f>
        <v>0</v>
      </c>
    </row>
    <row r="120" spans="1:44" s="46" customFormat="1" ht="15">
      <c r="A120" s="66" t="str">
        <f t="shared" si="2"/>
        <v>декабрь</v>
      </c>
      <c r="B120" s="230">
        <v>2023</v>
      </c>
      <c r="C120" s="299"/>
      <c r="D120" s="61"/>
      <c r="E120" s="210"/>
      <c r="F120" s="670"/>
      <c r="G120" s="47"/>
      <c r="H120" s="563"/>
      <c r="I120" s="563"/>
      <c r="J120" s="563"/>
      <c r="K120" s="563"/>
      <c r="L120" s="563"/>
      <c r="M120" s="563"/>
      <c r="N120" s="563"/>
      <c r="O120" s="563"/>
      <c r="P120" s="300"/>
      <c r="Q120" s="563"/>
      <c r="R120" s="563"/>
      <c r="S120" s="563"/>
      <c r="T120" s="563"/>
      <c r="U120" s="563"/>
      <c r="V120" s="563"/>
      <c r="W120" s="563"/>
      <c r="X120" s="563"/>
      <c r="Y120" s="563"/>
      <c r="Z120" s="48"/>
      <c r="AA120" s="48"/>
      <c r="AB120" s="48"/>
      <c r="AC120" s="48"/>
      <c r="AD120" s="48"/>
      <c r="AE120" s="48"/>
      <c r="AF120" s="48"/>
      <c r="AG120" s="48"/>
      <c r="AH120" s="48"/>
      <c r="AI120" s="48"/>
      <c r="AJ120" s="257"/>
      <c r="AK120" s="257"/>
      <c r="AL120" s="257"/>
      <c r="AM120" s="211">
        <f>IF(AQ120=1,SUM(H120:I120,L120:O120,R120:U120,X120:AA120,AD120:AG120,AI120:AK120),
IF(AQ120=2,SUM(H120:K120,N120:Q120,T120:W120,Z120:AC120,AF120:AI120),
IF(AQ120=3,SUM(J120:M120,P120:S120,V120:Y120,AB120:AE120,AH120:AK120),SUM(Таблица1[[#This Row],[1]:[31]])-Таблица1[[#This Row],[Столбец1]])))</f>
        <v>0</v>
      </c>
      <c r="AN120" s="290">
        <f t="array" ref="AN120">IF(AQ120=1,SUM(J120:K120,P120:Q120,V120:W120,AB120:AC120,AH120:AI120),
IF(AQ120=2,SUM(L120:M120,R120:S120,X120:Y120,AD120:AE120),
IF(AQ120=3,SUM(H120:I120,N120:O120,T120:U120,Z120:AA120,AF120:AG120),
SUM(IFERROR(WEEKDAY($H$2:$AL$2,2)&gt;5,)*H120:AL120))))</f>
        <v>0</v>
      </c>
      <c r="AO120" s="292" t="b">
        <f>IF(AR120&lt;=3,(IF((G120="5/24"),((база!$M$6*Таблица1[[#This Row],[сумма]]*Таблица1[[#This Row],[коэф]])),
IF((G120="4/24"),((база!$M$5*Таблица1[[#This Row],[сумма]]*Таблица1[[#This Row],[коэф]])),
IF((G120="3/24"),((база!$M$4*Таблица1[[#This Row],[сумма]]*Таблица1[[#This Row],[коэф]])),
IF((G120="5/16"),((база!$L$6*Таблица1[[#This Row],[сумма]]*Таблица1[[#This Row],[коэф]])),
IF((G120="4/16"),((база!$L$5*Таблица1[[#This Row],[сумма]]*Таблица1[[#This Row],[коэф]])),
IF((G120="3/16"),((база!$L$4*Таблица1[[#This Row],[сумма]]*Таблица1[[#This Row],[коэф]])),
IF((G120="4/4"),((база!$I$5*Таблица1[[#This Row],[сумма]]*Таблица1[[#This Row],[коэф]])),
IF(OR(G120="2/4",G120="3/4"),((база!$I$4*Таблица1[[#This Row],[сумма]]*Таблица1[[#This Row],[коэф]])),
IF((G120="5/8"),((база!$J$6*Таблица1[[#This Row],[сумма]]*Таблица1[[#This Row],[коэф]])),
IF((G120="4/8"),((база!$J$5*Таблица1[[#This Row],[сумма]]*Таблица1[[#This Row],[коэф]])),
IF(OR(G120="3/8",G120="2/8"),((база!$J$4*Таблица1[[#This Row],[сумма]]*Таблица1[[#This Row],[коэф]])))))))))))))),
(IF((G120="5/24"),((база!$M$6*Таблица1[[#This Row],[сумма]]*Таблица1[[#This Row],[коэф]])),
IF(OR(G120="4/24",G120="3/24"),((база!$M$5*Таблица1[[#This Row],[сумма]]*Таблица1[[#This Row],[коэф]])),
IF((G120="5/16"),((база!$L$6*Таблица1[[#This Row],[сумма]]*Таблица1[[#This Row],[коэф]])),
IF(OR(G120="4/16",G120="3/16"),((база!$L$5*Таблица1[[#This Row],[сумма]]*Таблица1[[#This Row],[коэф]])),
IF(OR(G120="2/4",G120="3/4",G120="4/4"),((база!$I$5*Таблица1[[#This Row],[сумма]]*Таблица1[[#This Row],[коэф]])),
IF((G120="5/8"),((база!$J$6*Таблица1[[#This Row],[сумма]]*Таблица1[[#This Row],[коэф]])),
IF(OR(G120="4/8",G120="3/8",G120="2/8"),((база!$J$5*Таблица1[[#This Row],[сумма]]*Таблица1[[#This Row],[коэф]])))))))))))</f>
        <v>0</v>
      </c>
      <c r="AP120" s="715" t="b">
        <f>IF(AR120&lt;=3,(IF((G120="5/24"),((база!$M$6*2*Таблица1[[#This Row],[Столбец1]]*Таблица1[[#This Row],[коэф]])),
IF((G120="4/24"),((база!$M$5*2*Таблица1[[#This Row],[Столбец1]]*Таблица1[[#This Row],[коэф]])),
IF((G120="3/24"),((база!$M$4*2*Таблица1[[#This Row],[Столбец1]]*Таблица1[[#This Row],[коэф]])),
IF((G120="5/16"),((база!$L$6*2*Таблица1[[#This Row],[Столбец1]]*Таблица1[[#This Row],[коэф]])),
IF((G120="4/16"),((база!$L$5*2*Таблица1[[#This Row],[Столбец1]]*Таблица1[[#This Row],[коэф]])),
IF((G120="3/16"),((база!$L$4*2*Таблица1[[#This Row],[Столбец1]]*Таблица1[[#This Row],[коэф]])),
IF((G120="4/4"),((база!$I$5*2*Таблица1[[#This Row],[Столбец1]]*Таблица1[[#This Row],[коэф]])),
IF(OR(G120="2/4",G120="3/4"),((база!$I$4*2*Таблица1[[#This Row],[Столбец1]]*Таблица1[[#This Row],[коэф]])),
IF((G120="5/8"),((база!$J$6*2*Таблица1[[#This Row],[Столбец1]]*Таблица1[[#This Row],[коэф]])),
IF((G120="4/8"),((база!$J$5*2*Таблица1[[#This Row],[Столбец1]]*Таблица1[[#This Row],[коэф]])),
IF(OR(G120="3/8",G120="2/8"),((база!$J$4*2*Таблица1[[#This Row],[Столбец1]]*Таблица1[[#This Row],[коэф]])))))))))))))),
(IF((G120="5/24"),((база!$M$6*2*Таблица1[[#This Row],[Столбец1]]*Таблица1[[#This Row],[коэф]])),
IF(OR(G120="4/24",G120="3/24"),((база!$M$5*2*Таблица1[[#This Row],[Столбец1]]*Таблица1[[#This Row],[коэф]])),
IF((G120="5/16"),((база!$L$6*2*Таблица1[[#This Row],[Столбец1]]*Таблица1[[#This Row],[коэф]])),
IF(OR(G120="4/16",G120="3/16"),((база!$L$5*2*Таблица1[[#This Row],[Столбец1]]*Таблица1[[#This Row],[коэф]])),
IF(OR(G120="2/4",G120="3/4",G120="4/4"),((база!$I$5*2*Таблица1[[#This Row],[Столбец1]]*Таблица1[[#This Row],[коэф]])),
IF((G120="5/8"),((база!$J$6*2*Таблица1[[#This Row],[Столбец1]]*Таблица1[[#This Row],[коэф]])),
IF(OR(G120="4/8",G120="3/8",G120="2/8"),((база!$J$5*2*Таблица1[[#This Row],[Столбец1]]*Таблица1[[#This Row],[коэф]])))))))))))</f>
        <v>0</v>
      </c>
      <c r="AQ120" s="697" t="str">
        <f>IFERROR(INDEX(база!T:T, MATCH(F120,база!Q:Q,0)),"")</f>
        <v/>
      </c>
      <c r="AR120" s="207">
        <f>IFERROR(INDEX(база!D:D, MATCH(F120,база!B:B,0)),"")</f>
        <v>0</v>
      </c>
    </row>
    <row r="121" spans="1:44" ht="15">
      <c r="A121" s="66" t="str">
        <f t="shared" ref="A121:A181" si="3">A120</f>
        <v>декабрь</v>
      </c>
      <c r="B121" s="230">
        <v>2023</v>
      </c>
      <c r="C121" s="299"/>
      <c r="D121" s="61"/>
      <c r="E121" s="210"/>
      <c r="F121" s="670"/>
      <c r="G121" s="47"/>
      <c r="H121" s="563"/>
      <c r="I121" s="563"/>
      <c r="J121" s="563"/>
      <c r="K121" s="563"/>
      <c r="L121" s="563"/>
      <c r="M121" s="563"/>
      <c r="N121" s="563"/>
      <c r="O121" s="563"/>
      <c r="P121" s="300"/>
      <c r="Q121" s="563"/>
      <c r="R121" s="563"/>
      <c r="S121" s="563"/>
      <c r="T121" s="563"/>
      <c r="U121" s="563"/>
      <c r="V121" s="48"/>
      <c r="W121" s="48"/>
      <c r="X121" s="48"/>
      <c r="Y121" s="48"/>
      <c r="Z121" s="48"/>
      <c r="AA121" s="48"/>
      <c r="AB121" s="48"/>
      <c r="AC121" s="48"/>
      <c r="AD121" s="48"/>
      <c r="AE121" s="48"/>
      <c r="AF121" s="257"/>
      <c r="AG121" s="257"/>
      <c r="AH121" s="257"/>
      <c r="AI121" s="257"/>
      <c r="AJ121" s="257"/>
      <c r="AK121" s="257"/>
      <c r="AL121" s="257"/>
      <c r="AM121" s="211">
        <f>IF(AQ121=1,SUM(H121:I121,L121:O121,R121:U121,X121:AA121,AD121:AG121,AI121:AK121),
IF(AQ121=2,SUM(H121:K121,N121:Q121,T121:W121,Z121:AC121,AF121:AI121),
IF(AQ121=3,SUM(J121:M121,P121:S121,V121:Y121,AB121:AE121,AH121:AK121),SUM(Таблица1[[#This Row],[1]:[31]])-Таблица1[[#This Row],[Столбец1]])))</f>
        <v>0</v>
      </c>
      <c r="AN121" s="290">
        <f t="array" ref="AN121">IF(AQ121=1,SUM(J121:K121,P121:Q121,V121:W121,AB121:AC121,AH121:AI121),
IF(AQ121=2,SUM(L121:M121,R121:S121,X121:Y121,AD121:AE121),
IF(AQ121=3,SUM(H121:I121,N121:O121,T121:U121,Z121:AA121,AF121:AG121),
SUM(IFERROR(WEEKDAY($H$2:$AL$2,2)&gt;5,)*H121:AL121))))</f>
        <v>0</v>
      </c>
      <c r="AO121" s="292" t="b">
        <f>IF(AR121&lt;=3,(IF((G121="5/24"),((база!$M$6*Таблица1[[#This Row],[сумма]]*Таблица1[[#This Row],[коэф]])),
IF((G121="4/24"),((база!$M$5*Таблица1[[#This Row],[сумма]]*Таблица1[[#This Row],[коэф]])),
IF((G121="3/24"),((база!$M$4*Таблица1[[#This Row],[сумма]]*Таблица1[[#This Row],[коэф]])),
IF((G121="5/16"),((база!$L$6*Таблица1[[#This Row],[сумма]]*Таблица1[[#This Row],[коэф]])),
IF((G121="4/16"),((база!$L$5*Таблица1[[#This Row],[сумма]]*Таблица1[[#This Row],[коэф]])),
IF((G121="3/16"),((база!$L$4*Таблица1[[#This Row],[сумма]]*Таблица1[[#This Row],[коэф]])),
IF((G121="4/4"),((база!$I$5*Таблица1[[#This Row],[сумма]]*Таблица1[[#This Row],[коэф]])),
IF(OR(G121="2/4",G121="3/4"),((база!$I$4*Таблица1[[#This Row],[сумма]]*Таблица1[[#This Row],[коэф]])),
IF((G121="5/8"),((база!$J$6*Таблица1[[#This Row],[сумма]]*Таблица1[[#This Row],[коэф]])),
IF((G121="4/8"),((база!$J$5*Таблица1[[#This Row],[сумма]]*Таблица1[[#This Row],[коэф]])),
IF(OR(G121="3/8",G121="2/8"),((база!$J$4*Таблица1[[#This Row],[сумма]]*Таблица1[[#This Row],[коэф]])))))))))))))),
(IF((G121="5/24"),((база!$M$6*Таблица1[[#This Row],[сумма]]*Таблица1[[#This Row],[коэф]])),
IF(OR(G121="4/24",G121="3/24"),((база!$M$5*Таблица1[[#This Row],[сумма]]*Таблица1[[#This Row],[коэф]])),
IF((G121="5/16"),((база!$L$6*Таблица1[[#This Row],[сумма]]*Таблица1[[#This Row],[коэф]])),
IF(OR(G121="4/16",G121="3/16"),((база!$L$5*Таблица1[[#This Row],[сумма]]*Таблица1[[#This Row],[коэф]])),
IF(OR(G121="2/4",G121="3/4",G121="4/4"),((база!$I$5*Таблица1[[#This Row],[сумма]]*Таблица1[[#This Row],[коэф]])),
IF((G121="5/8"),((база!$J$6*Таблица1[[#This Row],[сумма]]*Таблица1[[#This Row],[коэф]])),
IF(OR(G121="4/8",G121="3/8",G121="2/8"),((база!$J$5*Таблица1[[#This Row],[сумма]]*Таблица1[[#This Row],[коэф]])))))))))))</f>
        <v>0</v>
      </c>
      <c r="AP121" s="715" t="b">
        <f>IF(AR121&lt;=3,(IF((G121="5/24"),((база!$M$6*2*Таблица1[[#This Row],[Столбец1]]*Таблица1[[#This Row],[коэф]])),
IF((G121="4/24"),((база!$M$5*2*Таблица1[[#This Row],[Столбец1]]*Таблица1[[#This Row],[коэф]])),
IF((G121="3/24"),((база!$M$4*2*Таблица1[[#This Row],[Столбец1]]*Таблица1[[#This Row],[коэф]])),
IF((G121="5/16"),((база!$L$6*2*Таблица1[[#This Row],[Столбец1]]*Таблица1[[#This Row],[коэф]])),
IF((G121="4/16"),((база!$L$5*2*Таблица1[[#This Row],[Столбец1]]*Таблица1[[#This Row],[коэф]])),
IF((G121="3/16"),((база!$L$4*2*Таблица1[[#This Row],[Столбец1]]*Таблица1[[#This Row],[коэф]])),
IF((G121="4/4"),((база!$I$5*2*Таблица1[[#This Row],[Столбец1]]*Таблица1[[#This Row],[коэф]])),
IF(OR(G121="2/4",G121="3/4"),((база!$I$4*2*Таблица1[[#This Row],[Столбец1]]*Таблица1[[#This Row],[коэф]])),
IF((G121="5/8"),((база!$J$6*2*Таблица1[[#This Row],[Столбец1]]*Таблица1[[#This Row],[коэф]])),
IF((G121="4/8"),((база!$J$5*2*Таблица1[[#This Row],[Столбец1]]*Таблица1[[#This Row],[коэф]])),
IF(OR(G121="3/8",G121="2/8"),((база!$J$4*2*Таблица1[[#This Row],[Столбец1]]*Таблица1[[#This Row],[коэф]])))))))))))))),
(IF((G121="5/24"),((база!$M$6*2*Таблица1[[#This Row],[Столбец1]]*Таблица1[[#This Row],[коэф]])),
IF(OR(G121="4/24",G121="3/24"),((база!$M$5*2*Таблица1[[#This Row],[Столбец1]]*Таблица1[[#This Row],[коэф]])),
IF((G121="5/16"),((база!$L$6*2*Таблица1[[#This Row],[Столбец1]]*Таблица1[[#This Row],[коэф]])),
IF(OR(G121="4/16",G121="3/16"),((база!$L$5*2*Таблица1[[#This Row],[Столбец1]]*Таблица1[[#This Row],[коэф]])),
IF(OR(G121="2/4",G121="3/4",G121="4/4"),((база!$I$5*2*Таблица1[[#This Row],[Столбец1]]*Таблица1[[#This Row],[коэф]])),
IF((G121="5/8"),((база!$J$6*2*Таблица1[[#This Row],[Столбец1]]*Таблица1[[#This Row],[коэф]])),
IF(OR(G121="4/8",G121="3/8",G121="2/8"),((база!$J$5*2*Таблица1[[#This Row],[Столбец1]]*Таблица1[[#This Row],[коэф]])))))))))))</f>
        <v>0</v>
      </c>
      <c r="AQ121" s="697" t="str">
        <f>IFERROR(INDEX(база!T:T, MATCH(F121,база!Q:Q,0)),"")</f>
        <v/>
      </c>
      <c r="AR121" s="207">
        <f>IFERROR(INDEX(база!D:D, MATCH(F121,база!B:B,0)),"")</f>
        <v>0</v>
      </c>
    </row>
    <row r="122" spans="1:44" ht="15">
      <c r="A122" s="66" t="str">
        <f t="shared" si="3"/>
        <v>декабрь</v>
      </c>
      <c r="B122" s="230">
        <v>2023</v>
      </c>
      <c r="C122" s="299"/>
      <c r="D122" s="61"/>
      <c r="E122" s="210"/>
      <c r="F122" s="670"/>
      <c r="G122" s="47"/>
      <c r="H122" s="563"/>
      <c r="I122" s="563"/>
      <c r="J122" s="563"/>
      <c r="K122" s="48"/>
      <c r="L122" s="48"/>
      <c r="M122" s="48"/>
      <c r="N122" s="49"/>
      <c r="O122" s="48"/>
      <c r="P122" s="48"/>
      <c r="Q122" s="48"/>
      <c r="R122" s="48"/>
      <c r="S122" s="48"/>
      <c r="T122" s="48"/>
      <c r="U122" s="48"/>
      <c r="V122" s="48"/>
      <c r="W122" s="563"/>
      <c r="X122" s="563"/>
      <c r="Y122" s="48"/>
      <c r="Z122" s="48"/>
      <c r="AA122" s="48"/>
      <c r="AB122" s="48"/>
      <c r="AC122" s="48"/>
      <c r="AD122" s="48"/>
      <c r="AE122" s="48"/>
      <c r="AF122" s="257"/>
      <c r="AG122" s="257"/>
      <c r="AH122" s="257"/>
      <c r="AI122" s="257"/>
      <c r="AJ122" s="257"/>
      <c r="AK122" s="257"/>
      <c r="AL122" s="257"/>
      <c r="AM122" s="211">
        <f>IF(AQ122=1,SUM(H122:I122,L122:O122,R122:U122,X122:AA122,AD122:AG122,AI122:AK122),
IF(AQ122=2,SUM(H122:K122,N122:Q122,T122:W122,Z122:AC122,AF122:AI122),
IF(AQ122=3,SUM(J122:M122,P122:S122,V122:Y122,AB122:AE122,AH122:AK122),SUM(Таблица1[[#This Row],[1]:[31]])-Таблица1[[#This Row],[Столбец1]])))</f>
        <v>0</v>
      </c>
      <c r="AN122" s="290">
        <f t="array" ref="AN122">IF(AQ122=1,SUM(J122:K122,P122:Q122,V122:W122,AB122:AC122,AH122:AI122),
IF(AQ122=2,SUM(L122:M122,R122:S122,X122:Y122,AD122:AE122),
IF(AQ122=3,SUM(H122:I122,N122:O122,T122:U122,Z122:AA122,AF122:AG122),
SUM(IFERROR(WEEKDAY($H$2:$AL$2,2)&gt;5,)*H122:AL122))))</f>
        <v>0</v>
      </c>
      <c r="AO122" s="292" t="b">
        <f>IF(AR122&lt;=3,(IF((G122="5/24"),((база!$M$6*Таблица1[[#This Row],[сумма]]*Таблица1[[#This Row],[коэф]])),
IF((G122="4/24"),((база!$M$5*Таблица1[[#This Row],[сумма]]*Таблица1[[#This Row],[коэф]])),
IF((G122="3/24"),((база!$M$4*Таблица1[[#This Row],[сумма]]*Таблица1[[#This Row],[коэф]])),
IF((G122="5/16"),((база!$L$6*Таблица1[[#This Row],[сумма]]*Таблица1[[#This Row],[коэф]])),
IF((G122="4/16"),((база!$L$5*Таблица1[[#This Row],[сумма]]*Таблица1[[#This Row],[коэф]])),
IF((G122="3/16"),((база!$L$4*Таблица1[[#This Row],[сумма]]*Таблица1[[#This Row],[коэф]])),
IF((G122="4/4"),((база!$I$5*Таблица1[[#This Row],[сумма]]*Таблица1[[#This Row],[коэф]])),
IF(OR(G122="2/4",G122="3/4"),((база!$I$4*Таблица1[[#This Row],[сумма]]*Таблица1[[#This Row],[коэф]])),
IF((G122="5/8"),((база!$J$6*Таблица1[[#This Row],[сумма]]*Таблица1[[#This Row],[коэф]])),
IF((G122="4/8"),((база!$J$5*Таблица1[[#This Row],[сумма]]*Таблица1[[#This Row],[коэф]])),
IF(OR(G122="3/8",G122="2/8"),((база!$J$4*Таблица1[[#This Row],[сумма]]*Таблица1[[#This Row],[коэф]])))))))))))))),
(IF((G122="5/24"),((база!$M$6*Таблица1[[#This Row],[сумма]]*Таблица1[[#This Row],[коэф]])),
IF(OR(G122="4/24",G122="3/24"),((база!$M$5*Таблица1[[#This Row],[сумма]]*Таблица1[[#This Row],[коэф]])),
IF((G122="5/16"),((база!$L$6*Таблица1[[#This Row],[сумма]]*Таблица1[[#This Row],[коэф]])),
IF(OR(G122="4/16",G122="3/16"),((база!$L$5*Таблица1[[#This Row],[сумма]]*Таблица1[[#This Row],[коэф]])),
IF(OR(G122="2/4",G122="3/4",G122="4/4"),((база!$I$5*Таблица1[[#This Row],[сумма]]*Таблица1[[#This Row],[коэф]])),
IF((G122="5/8"),((база!$J$6*Таблица1[[#This Row],[сумма]]*Таблица1[[#This Row],[коэф]])),
IF(OR(G122="4/8",G122="3/8",G122="2/8"),((база!$J$5*Таблица1[[#This Row],[сумма]]*Таблица1[[#This Row],[коэф]])))))))))))</f>
        <v>0</v>
      </c>
      <c r="AP122" s="715" t="b">
        <f>IF(AR122&lt;=3,(IF((G122="5/24"),((база!$M$6*2*Таблица1[[#This Row],[Столбец1]]*Таблица1[[#This Row],[коэф]])),
IF((G122="4/24"),((база!$M$5*2*Таблица1[[#This Row],[Столбец1]]*Таблица1[[#This Row],[коэф]])),
IF((G122="3/24"),((база!$M$4*2*Таблица1[[#This Row],[Столбец1]]*Таблица1[[#This Row],[коэф]])),
IF((G122="5/16"),((база!$L$6*2*Таблица1[[#This Row],[Столбец1]]*Таблица1[[#This Row],[коэф]])),
IF((G122="4/16"),((база!$L$5*2*Таблица1[[#This Row],[Столбец1]]*Таблица1[[#This Row],[коэф]])),
IF((G122="3/16"),((база!$L$4*2*Таблица1[[#This Row],[Столбец1]]*Таблица1[[#This Row],[коэф]])),
IF((G122="4/4"),((база!$I$5*2*Таблица1[[#This Row],[Столбец1]]*Таблица1[[#This Row],[коэф]])),
IF(OR(G122="2/4",G122="3/4"),((база!$I$4*2*Таблица1[[#This Row],[Столбец1]]*Таблица1[[#This Row],[коэф]])),
IF((G122="5/8"),((база!$J$6*2*Таблица1[[#This Row],[Столбец1]]*Таблица1[[#This Row],[коэф]])),
IF((G122="4/8"),((база!$J$5*2*Таблица1[[#This Row],[Столбец1]]*Таблица1[[#This Row],[коэф]])),
IF(OR(G122="3/8",G122="2/8"),((база!$J$4*2*Таблица1[[#This Row],[Столбец1]]*Таблица1[[#This Row],[коэф]])))))))))))))),
(IF((G122="5/24"),((база!$M$6*2*Таблица1[[#This Row],[Столбец1]]*Таблица1[[#This Row],[коэф]])),
IF(OR(G122="4/24",G122="3/24"),((база!$M$5*2*Таблица1[[#This Row],[Столбец1]]*Таблица1[[#This Row],[коэф]])),
IF((G122="5/16"),((база!$L$6*2*Таблица1[[#This Row],[Столбец1]]*Таблица1[[#This Row],[коэф]])),
IF(OR(G122="4/16",G122="3/16"),((база!$L$5*2*Таблица1[[#This Row],[Столбец1]]*Таблица1[[#This Row],[коэф]])),
IF(OR(G122="2/4",G122="3/4",G122="4/4"),((база!$I$5*2*Таблица1[[#This Row],[Столбец1]]*Таблица1[[#This Row],[коэф]])),
IF((G122="5/8"),((база!$J$6*2*Таблица1[[#This Row],[Столбец1]]*Таблица1[[#This Row],[коэф]])),
IF(OR(G122="4/8",G122="3/8",G122="2/8"),((база!$J$5*2*Таблица1[[#This Row],[Столбец1]]*Таблица1[[#This Row],[коэф]])))))))))))</f>
        <v>0</v>
      </c>
      <c r="AQ122" s="697" t="str">
        <f>IFERROR(INDEX(база!T:T, MATCH(F122,база!Q:Q,0)),"")</f>
        <v/>
      </c>
      <c r="AR122" s="207">
        <f>IFERROR(INDEX(база!D:D, MATCH(F122,база!B:B,0)),"")</f>
        <v>0</v>
      </c>
    </row>
    <row r="123" spans="1:44" ht="15">
      <c r="A123" s="66" t="str">
        <f t="shared" si="3"/>
        <v>декабрь</v>
      </c>
      <c r="B123" s="230">
        <v>2023</v>
      </c>
      <c r="C123" s="299"/>
      <c r="D123" s="61"/>
      <c r="E123" s="210"/>
      <c r="F123" s="670"/>
      <c r="G123" s="47"/>
      <c r="H123" s="212"/>
      <c r="I123" s="48"/>
      <c r="J123" s="48"/>
      <c r="K123" s="48"/>
      <c r="L123" s="563"/>
      <c r="M123" s="563"/>
      <c r="N123" s="563"/>
      <c r="O123" s="563"/>
      <c r="P123" s="300"/>
      <c r="Q123" s="563"/>
      <c r="R123" s="563"/>
      <c r="S123" s="563"/>
      <c r="T123" s="563"/>
      <c r="U123" s="563"/>
      <c r="V123" s="563"/>
      <c r="W123" s="563"/>
      <c r="X123" s="563"/>
      <c r="Y123" s="563"/>
      <c r="Z123" s="48"/>
      <c r="AA123" s="48"/>
      <c r="AB123" s="48"/>
      <c r="AC123" s="48"/>
      <c r="AD123" s="48"/>
      <c r="AE123" s="48"/>
      <c r="AF123" s="48"/>
      <c r="AG123" s="48"/>
      <c r="AH123" s="48"/>
      <c r="AI123" s="48"/>
      <c r="AJ123" s="257"/>
      <c r="AK123" s="48"/>
      <c r="AL123" s="51"/>
      <c r="AM123" s="211">
        <f>IF(AQ123=1,SUM(H123:I123,L123:O123,R123:U123,X123:AA123,AD123:AG123,AI123:AK123),
IF(AQ123=2,SUM(H123:K123,N123:Q123,T123:W123,Z123:AC123,AF123:AI123),
IF(AQ123=3,SUM(J123:M123,P123:S123,V123:Y123,AB123:AE123,AH123:AK123),SUM(Таблица1[[#This Row],[1]:[31]])-Таблица1[[#This Row],[Столбец1]])))</f>
        <v>0</v>
      </c>
      <c r="AN123" s="290">
        <f t="array" ref="AN123">IF(AQ123=1,SUM(J123:K123,P123:Q123,V123:W123,AB123:AC123,AH123:AI123),
IF(AQ123=2,SUM(L123:M123,R123:S123,X123:Y123,AD123:AE123),
IF(AQ123=3,SUM(H123:I123,N123:O123,T123:U123,Z123:AA123,AF123:AG123),
SUM(IFERROR(WEEKDAY($H$2:$AL$2,2)&gt;5,)*H123:AL123))))</f>
        <v>0</v>
      </c>
      <c r="AO123" s="292" t="b">
        <f>IF(AR123&lt;=3,(IF((G123="5/24"),((база!$M$6*Таблица1[[#This Row],[сумма]]*Таблица1[[#This Row],[коэф]])),
IF((G123="4/24"),((база!$M$5*Таблица1[[#This Row],[сумма]]*Таблица1[[#This Row],[коэф]])),
IF((G123="3/24"),((база!$M$4*Таблица1[[#This Row],[сумма]]*Таблица1[[#This Row],[коэф]])),
IF((G123="5/16"),((база!$L$6*Таблица1[[#This Row],[сумма]]*Таблица1[[#This Row],[коэф]])),
IF((G123="4/16"),((база!$L$5*Таблица1[[#This Row],[сумма]]*Таблица1[[#This Row],[коэф]])),
IF((G123="3/16"),((база!$L$4*Таблица1[[#This Row],[сумма]]*Таблица1[[#This Row],[коэф]])),
IF((G123="4/4"),((база!$I$5*Таблица1[[#This Row],[сумма]]*Таблица1[[#This Row],[коэф]])),
IF(OR(G123="2/4",G123="3/4"),((база!$I$4*Таблица1[[#This Row],[сумма]]*Таблица1[[#This Row],[коэф]])),
IF((G123="5/8"),((база!$J$6*Таблица1[[#This Row],[сумма]]*Таблица1[[#This Row],[коэф]])),
IF((G123="4/8"),((база!$J$5*Таблица1[[#This Row],[сумма]]*Таблица1[[#This Row],[коэф]])),
IF(OR(G123="3/8",G123="2/8"),((база!$J$4*Таблица1[[#This Row],[сумма]]*Таблица1[[#This Row],[коэф]])))))))))))))),
(IF((G123="5/24"),((база!$M$6*Таблица1[[#This Row],[сумма]]*Таблица1[[#This Row],[коэф]])),
IF(OR(G123="4/24",G123="3/24"),((база!$M$5*Таблица1[[#This Row],[сумма]]*Таблица1[[#This Row],[коэф]])),
IF((G123="5/16"),((база!$L$6*Таблица1[[#This Row],[сумма]]*Таблица1[[#This Row],[коэф]])),
IF(OR(G123="4/16",G123="3/16"),((база!$L$5*Таблица1[[#This Row],[сумма]]*Таблица1[[#This Row],[коэф]])),
IF(OR(G123="2/4",G123="3/4",G123="4/4"),((база!$I$5*Таблица1[[#This Row],[сумма]]*Таблица1[[#This Row],[коэф]])),
IF((G123="5/8"),((база!$J$6*Таблица1[[#This Row],[сумма]]*Таблица1[[#This Row],[коэф]])),
IF(OR(G123="4/8",G123="3/8",G123="2/8"),((база!$J$5*Таблица1[[#This Row],[сумма]]*Таблица1[[#This Row],[коэф]])))))))))))</f>
        <v>0</v>
      </c>
      <c r="AP123" s="715" t="b">
        <f>IF(AR123&lt;=3,(IF((G123="5/24"),((база!$M$6*2*Таблица1[[#This Row],[Столбец1]]*Таблица1[[#This Row],[коэф]])),
IF((G123="4/24"),((база!$M$5*2*Таблица1[[#This Row],[Столбец1]]*Таблица1[[#This Row],[коэф]])),
IF((G123="3/24"),((база!$M$4*2*Таблица1[[#This Row],[Столбец1]]*Таблица1[[#This Row],[коэф]])),
IF((G123="5/16"),((база!$L$6*2*Таблица1[[#This Row],[Столбец1]]*Таблица1[[#This Row],[коэф]])),
IF((G123="4/16"),((база!$L$5*2*Таблица1[[#This Row],[Столбец1]]*Таблица1[[#This Row],[коэф]])),
IF((G123="3/16"),((база!$L$4*2*Таблица1[[#This Row],[Столбец1]]*Таблица1[[#This Row],[коэф]])),
IF((G123="4/4"),((база!$I$5*2*Таблица1[[#This Row],[Столбец1]]*Таблица1[[#This Row],[коэф]])),
IF(OR(G123="2/4",G123="3/4"),((база!$I$4*2*Таблица1[[#This Row],[Столбец1]]*Таблица1[[#This Row],[коэф]])),
IF((G123="5/8"),((база!$J$6*2*Таблица1[[#This Row],[Столбец1]]*Таблица1[[#This Row],[коэф]])),
IF((G123="4/8"),((база!$J$5*2*Таблица1[[#This Row],[Столбец1]]*Таблица1[[#This Row],[коэф]])),
IF(OR(G123="3/8",G123="2/8"),((база!$J$4*2*Таблица1[[#This Row],[Столбец1]]*Таблица1[[#This Row],[коэф]])))))))))))))),
(IF((G123="5/24"),((база!$M$6*2*Таблица1[[#This Row],[Столбец1]]*Таблица1[[#This Row],[коэф]])),
IF(OR(G123="4/24",G123="3/24"),((база!$M$5*2*Таблица1[[#This Row],[Столбец1]]*Таблица1[[#This Row],[коэф]])),
IF((G123="5/16"),((база!$L$6*2*Таблица1[[#This Row],[Столбец1]]*Таблица1[[#This Row],[коэф]])),
IF(OR(G123="4/16",G123="3/16"),((база!$L$5*2*Таблица1[[#This Row],[Столбец1]]*Таблица1[[#This Row],[коэф]])),
IF(OR(G123="2/4",G123="3/4",G123="4/4"),((база!$I$5*2*Таблица1[[#This Row],[Столбец1]]*Таблица1[[#This Row],[коэф]])),
IF((G123="5/8"),((база!$J$6*2*Таблица1[[#This Row],[Столбец1]]*Таблица1[[#This Row],[коэф]])),
IF(OR(G123="4/8",G123="3/8",G123="2/8"),((база!$J$5*2*Таблица1[[#This Row],[Столбец1]]*Таблица1[[#This Row],[коэф]])))))))))))</f>
        <v>0</v>
      </c>
      <c r="AQ123" s="697" t="str">
        <f>IFERROR(INDEX(база!T:T, MATCH(F123,база!Q:Q,0)),"")</f>
        <v/>
      </c>
      <c r="AR123" s="207">
        <f>IFERROR(INDEX(база!D:D, MATCH(F123,база!B:B,0)),"")</f>
        <v>0</v>
      </c>
    </row>
    <row r="124" spans="1:44" ht="15">
      <c r="A124" s="66" t="str">
        <f t="shared" si="3"/>
        <v>декабрь</v>
      </c>
      <c r="B124" s="230">
        <v>2023</v>
      </c>
      <c r="C124" s="60"/>
      <c r="D124" s="61"/>
      <c r="E124" s="210"/>
      <c r="F124" s="670"/>
      <c r="G124" s="47"/>
      <c r="H124" s="563"/>
      <c r="I124" s="563"/>
      <c r="J124" s="563"/>
      <c r="K124" s="563"/>
      <c r="L124" s="563"/>
      <c r="M124" s="563"/>
      <c r="N124" s="563"/>
      <c r="O124" s="563"/>
      <c r="P124" s="300"/>
      <c r="Q124" s="563"/>
      <c r="R124" s="563"/>
      <c r="S124" s="563"/>
      <c r="T124" s="563"/>
      <c r="U124" s="563"/>
      <c r="V124" s="563"/>
      <c r="W124" s="563"/>
      <c r="X124" s="563"/>
      <c r="Y124" s="563"/>
      <c r="Z124" s="48"/>
      <c r="AA124" s="48"/>
      <c r="AB124" s="48"/>
      <c r="AC124" s="48"/>
      <c r="AD124" s="48"/>
      <c r="AE124" s="48"/>
      <c r="AF124" s="48"/>
      <c r="AG124" s="48"/>
      <c r="AH124" s="48"/>
      <c r="AI124" s="48"/>
      <c r="AJ124" s="257"/>
      <c r="AK124" s="257"/>
      <c r="AL124" s="257"/>
      <c r="AM124" s="211">
        <f>IF(AQ124=1,SUM(H124:I124,L124:O124,R124:U124,X124:AA124,AD124:AG124,AI124:AK124),
IF(AQ124=2,SUM(H124:K124,N124:Q124,T124:W124,Z124:AC124,AF124:AI124),
IF(AQ124=3,SUM(J124:M124,P124:S124,V124:Y124,AB124:AE124,AH124:AK124),SUM(Таблица1[[#This Row],[1]:[31]])-Таблица1[[#This Row],[Столбец1]])))</f>
        <v>0</v>
      </c>
      <c r="AN124" s="290">
        <f t="array" ref="AN124">IF(AQ124=1,SUM(J124:K124,P124:Q124,V124:W124,AB124:AC124,AH124:AI124),
IF(AQ124=2,SUM(L124:M124,R124:S124,X124:Y124,AD124:AE124),
IF(AQ124=3,SUM(H124:I124,N124:O124,T124:U124,Z124:AA124,AF124:AG124),
SUM(IFERROR(WEEKDAY($H$2:$AL$2,2)&gt;5,)*H124:AL124))))</f>
        <v>0</v>
      </c>
      <c r="AO124" s="292" t="b">
        <f>IF(AR124&lt;=3,(IF((G124="5/24"),((база!$M$6*Таблица1[[#This Row],[сумма]]*Таблица1[[#This Row],[коэф]])),
IF((G124="4/24"),((база!$M$5*Таблица1[[#This Row],[сумма]]*Таблица1[[#This Row],[коэф]])),
IF((G124="3/24"),((база!$M$4*Таблица1[[#This Row],[сумма]]*Таблица1[[#This Row],[коэф]])),
IF((G124="5/16"),((база!$L$6*Таблица1[[#This Row],[сумма]]*Таблица1[[#This Row],[коэф]])),
IF((G124="4/16"),((база!$L$5*Таблица1[[#This Row],[сумма]]*Таблица1[[#This Row],[коэф]])),
IF((G124="3/16"),((база!$L$4*Таблица1[[#This Row],[сумма]]*Таблица1[[#This Row],[коэф]])),
IF((G124="4/4"),((база!$I$5*Таблица1[[#This Row],[сумма]]*Таблица1[[#This Row],[коэф]])),
IF(OR(G124="2/4",G124="3/4"),((база!$I$4*Таблица1[[#This Row],[сумма]]*Таблица1[[#This Row],[коэф]])),
IF((G124="5/8"),((база!$J$6*Таблица1[[#This Row],[сумма]]*Таблица1[[#This Row],[коэф]])),
IF((G124="4/8"),((база!$J$5*Таблица1[[#This Row],[сумма]]*Таблица1[[#This Row],[коэф]])),
IF(OR(G124="3/8",G124="2/8"),((база!$J$4*Таблица1[[#This Row],[сумма]]*Таблица1[[#This Row],[коэф]])))))))))))))),
(IF((G124="5/24"),((база!$M$6*Таблица1[[#This Row],[сумма]]*Таблица1[[#This Row],[коэф]])),
IF(OR(G124="4/24",G124="3/24"),((база!$M$5*Таблица1[[#This Row],[сумма]]*Таблица1[[#This Row],[коэф]])),
IF((G124="5/16"),((база!$L$6*Таблица1[[#This Row],[сумма]]*Таблица1[[#This Row],[коэф]])),
IF(OR(G124="4/16",G124="3/16"),((база!$L$5*Таблица1[[#This Row],[сумма]]*Таблица1[[#This Row],[коэф]])),
IF(OR(G124="2/4",G124="3/4",G124="4/4"),((база!$I$5*Таблица1[[#This Row],[сумма]]*Таблица1[[#This Row],[коэф]])),
IF((G124="5/8"),((база!$J$6*Таблица1[[#This Row],[сумма]]*Таблица1[[#This Row],[коэф]])),
IF(OR(G124="4/8",G124="3/8",G124="2/8"),((база!$J$5*Таблица1[[#This Row],[сумма]]*Таблица1[[#This Row],[коэф]])))))))))))</f>
        <v>0</v>
      </c>
      <c r="AP124" s="715" t="b">
        <f>IF(AR124&lt;=3,(IF((G124="5/24"),((база!$M$6*2*Таблица1[[#This Row],[Столбец1]]*Таблица1[[#This Row],[коэф]])),
IF((G124="4/24"),((база!$M$5*2*Таблица1[[#This Row],[Столбец1]]*Таблица1[[#This Row],[коэф]])),
IF((G124="3/24"),((база!$M$4*2*Таблица1[[#This Row],[Столбец1]]*Таблица1[[#This Row],[коэф]])),
IF((G124="5/16"),((база!$L$6*2*Таблица1[[#This Row],[Столбец1]]*Таблица1[[#This Row],[коэф]])),
IF((G124="4/16"),((база!$L$5*2*Таблица1[[#This Row],[Столбец1]]*Таблица1[[#This Row],[коэф]])),
IF((G124="3/16"),((база!$L$4*2*Таблица1[[#This Row],[Столбец1]]*Таблица1[[#This Row],[коэф]])),
IF((G124="4/4"),((база!$I$5*2*Таблица1[[#This Row],[Столбец1]]*Таблица1[[#This Row],[коэф]])),
IF(OR(G124="2/4",G124="3/4"),((база!$I$4*2*Таблица1[[#This Row],[Столбец1]]*Таблица1[[#This Row],[коэф]])),
IF((G124="5/8"),((база!$J$6*2*Таблица1[[#This Row],[Столбец1]]*Таблица1[[#This Row],[коэф]])),
IF((G124="4/8"),((база!$J$5*2*Таблица1[[#This Row],[Столбец1]]*Таблица1[[#This Row],[коэф]])),
IF(OR(G124="3/8",G124="2/8"),((база!$J$4*2*Таблица1[[#This Row],[Столбец1]]*Таблица1[[#This Row],[коэф]])))))))))))))),
(IF((G124="5/24"),((база!$M$6*2*Таблица1[[#This Row],[Столбец1]]*Таблица1[[#This Row],[коэф]])),
IF(OR(G124="4/24",G124="3/24"),((база!$M$5*2*Таблица1[[#This Row],[Столбец1]]*Таблица1[[#This Row],[коэф]])),
IF((G124="5/16"),((база!$L$6*2*Таблица1[[#This Row],[Столбец1]]*Таблица1[[#This Row],[коэф]])),
IF(OR(G124="4/16",G124="3/16"),((база!$L$5*2*Таблица1[[#This Row],[Столбец1]]*Таблица1[[#This Row],[коэф]])),
IF(OR(G124="2/4",G124="3/4",G124="4/4"),((база!$I$5*2*Таблица1[[#This Row],[Столбец1]]*Таблица1[[#This Row],[коэф]])),
IF((G124="5/8"),((база!$J$6*2*Таблица1[[#This Row],[Столбец1]]*Таблица1[[#This Row],[коэф]])),
IF(OR(G124="4/8",G124="3/8",G124="2/8"),((база!$J$5*2*Таблица1[[#This Row],[Столбец1]]*Таблица1[[#This Row],[коэф]])))))))))))</f>
        <v>0</v>
      </c>
      <c r="AQ124" s="697" t="str">
        <f>IFERROR(INDEX(база!T:T, MATCH(F124,база!Q:Q,0)),"")</f>
        <v/>
      </c>
      <c r="AR124" s="207">
        <f>IFERROR(INDEX(база!D:D, MATCH(F124,база!B:B,0)),"")</f>
        <v>0</v>
      </c>
    </row>
    <row r="125" spans="1:44" ht="15">
      <c r="A125" s="66" t="str">
        <f t="shared" si="3"/>
        <v>декабрь</v>
      </c>
      <c r="B125" s="230">
        <v>2023</v>
      </c>
      <c r="C125" s="60"/>
      <c r="D125" s="61"/>
      <c r="E125" s="210"/>
      <c r="F125" s="670"/>
      <c r="G125" s="47"/>
      <c r="H125" s="563"/>
      <c r="I125" s="563"/>
      <c r="J125" s="563"/>
      <c r="K125" s="563"/>
      <c r="L125" s="563"/>
      <c r="M125" s="563"/>
      <c r="N125" s="563"/>
      <c r="O125" s="563"/>
      <c r="P125" s="300"/>
      <c r="Q125" s="563"/>
      <c r="R125" s="48"/>
      <c r="S125" s="48"/>
      <c r="T125" s="48"/>
      <c r="U125" s="48"/>
      <c r="V125" s="48"/>
      <c r="W125" s="563"/>
      <c r="X125" s="563"/>
      <c r="Y125" s="48"/>
      <c r="Z125" s="48"/>
      <c r="AA125" s="48"/>
      <c r="AB125" s="48"/>
      <c r="AC125" s="48"/>
      <c r="AD125" s="48"/>
      <c r="AE125" s="48"/>
      <c r="AF125" s="48"/>
      <c r="AG125" s="48"/>
      <c r="AH125" s="48"/>
      <c r="AI125" s="48"/>
      <c r="AJ125" s="48"/>
      <c r="AK125" s="257"/>
      <c r="AL125" s="257"/>
      <c r="AM125" s="211">
        <f>IF(AQ125=1,SUM(H125:I125,L125:O125,R125:U125,X125:AA125,AD125:AG125,AI125:AK125),
IF(AQ125=2,SUM(H125:K125,N125:Q125,T125:W125,Z125:AC125,AF125:AI125),
IF(AQ125=3,SUM(J125:M125,P125:S125,V125:Y125,AB125:AE125,AH125:AK125),SUM(Таблица1[[#This Row],[1]:[31]])-Таблица1[[#This Row],[Столбец1]])))</f>
        <v>0</v>
      </c>
      <c r="AN125" s="290">
        <f t="array" ref="AN125">IF(AQ125=1,SUM(J125:K125,P125:Q125,V125:W125,AB125:AC125,AH125:AI125),
IF(AQ125=2,SUM(L125:M125,R125:S125,X125:Y125,AD125:AE125),
IF(AQ125=3,SUM(H125:I125,N125:O125,T125:U125,Z125:AA125,AF125:AG125),
SUM(IFERROR(WEEKDAY($H$2:$AL$2,2)&gt;5,)*H125:AL125))))</f>
        <v>0</v>
      </c>
      <c r="AO125" s="292" t="b">
        <f>IF(AR125&lt;=3,(IF((G125="5/24"),((база!$M$6*Таблица1[[#This Row],[сумма]]*Таблица1[[#This Row],[коэф]])),
IF((G125="4/24"),((база!$M$5*Таблица1[[#This Row],[сумма]]*Таблица1[[#This Row],[коэф]])),
IF((G125="3/24"),((база!$M$4*Таблица1[[#This Row],[сумма]]*Таблица1[[#This Row],[коэф]])),
IF((G125="5/16"),((база!$L$6*Таблица1[[#This Row],[сумма]]*Таблица1[[#This Row],[коэф]])),
IF((G125="4/16"),((база!$L$5*Таблица1[[#This Row],[сумма]]*Таблица1[[#This Row],[коэф]])),
IF((G125="3/16"),((база!$L$4*Таблица1[[#This Row],[сумма]]*Таблица1[[#This Row],[коэф]])),
IF((G125="4/4"),((база!$I$5*Таблица1[[#This Row],[сумма]]*Таблица1[[#This Row],[коэф]])),
IF(OR(G125="2/4",G125="3/4"),((база!$I$4*Таблица1[[#This Row],[сумма]]*Таблица1[[#This Row],[коэф]])),
IF((G125="5/8"),((база!$J$6*Таблица1[[#This Row],[сумма]]*Таблица1[[#This Row],[коэф]])),
IF((G125="4/8"),((база!$J$5*Таблица1[[#This Row],[сумма]]*Таблица1[[#This Row],[коэф]])),
IF(OR(G125="3/8",G125="2/8"),((база!$J$4*Таблица1[[#This Row],[сумма]]*Таблица1[[#This Row],[коэф]])))))))))))))),
(IF((G125="5/24"),((база!$M$6*Таблица1[[#This Row],[сумма]]*Таблица1[[#This Row],[коэф]])),
IF(OR(G125="4/24",G125="3/24"),((база!$M$5*Таблица1[[#This Row],[сумма]]*Таблица1[[#This Row],[коэф]])),
IF((G125="5/16"),((база!$L$6*Таблица1[[#This Row],[сумма]]*Таблица1[[#This Row],[коэф]])),
IF(OR(G125="4/16",G125="3/16"),((база!$L$5*Таблица1[[#This Row],[сумма]]*Таблица1[[#This Row],[коэф]])),
IF(OR(G125="2/4",G125="3/4",G125="4/4"),((база!$I$5*Таблица1[[#This Row],[сумма]]*Таблица1[[#This Row],[коэф]])),
IF((G125="5/8"),((база!$J$6*Таблица1[[#This Row],[сумма]]*Таблица1[[#This Row],[коэф]])),
IF(OR(G125="4/8",G125="3/8",G125="2/8"),((база!$J$5*Таблица1[[#This Row],[сумма]]*Таблица1[[#This Row],[коэф]])))))))))))</f>
        <v>0</v>
      </c>
      <c r="AP125" s="715" t="b">
        <f>IF(AR125&lt;=3,(IF((G125="5/24"),((база!$M$6*2*Таблица1[[#This Row],[Столбец1]]*Таблица1[[#This Row],[коэф]])),
IF((G125="4/24"),((база!$M$5*2*Таблица1[[#This Row],[Столбец1]]*Таблица1[[#This Row],[коэф]])),
IF((G125="3/24"),((база!$M$4*2*Таблица1[[#This Row],[Столбец1]]*Таблица1[[#This Row],[коэф]])),
IF((G125="5/16"),((база!$L$6*2*Таблица1[[#This Row],[Столбец1]]*Таблица1[[#This Row],[коэф]])),
IF((G125="4/16"),((база!$L$5*2*Таблица1[[#This Row],[Столбец1]]*Таблица1[[#This Row],[коэф]])),
IF((G125="3/16"),((база!$L$4*2*Таблица1[[#This Row],[Столбец1]]*Таблица1[[#This Row],[коэф]])),
IF((G125="4/4"),((база!$I$5*2*Таблица1[[#This Row],[Столбец1]]*Таблица1[[#This Row],[коэф]])),
IF(OR(G125="2/4",G125="3/4"),((база!$I$4*2*Таблица1[[#This Row],[Столбец1]]*Таблица1[[#This Row],[коэф]])),
IF((G125="5/8"),((база!$J$6*2*Таблица1[[#This Row],[Столбец1]]*Таблица1[[#This Row],[коэф]])),
IF((G125="4/8"),((база!$J$5*2*Таблица1[[#This Row],[Столбец1]]*Таблица1[[#This Row],[коэф]])),
IF(OR(G125="3/8",G125="2/8"),((база!$J$4*2*Таблица1[[#This Row],[Столбец1]]*Таблица1[[#This Row],[коэф]])))))))))))))),
(IF((G125="5/24"),((база!$M$6*2*Таблица1[[#This Row],[Столбец1]]*Таблица1[[#This Row],[коэф]])),
IF(OR(G125="4/24",G125="3/24"),((база!$M$5*2*Таблица1[[#This Row],[Столбец1]]*Таблица1[[#This Row],[коэф]])),
IF((G125="5/16"),((база!$L$6*2*Таблица1[[#This Row],[Столбец1]]*Таблица1[[#This Row],[коэф]])),
IF(OR(G125="4/16",G125="3/16"),((база!$L$5*2*Таблица1[[#This Row],[Столбец1]]*Таблица1[[#This Row],[коэф]])),
IF(OR(G125="2/4",G125="3/4",G125="4/4"),((база!$I$5*2*Таблица1[[#This Row],[Столбец1]]*Таблица1[[#This Row],[коэф]])),
IF((G125="5/8"),((база!$J$6*2*Таблица1[[#This Row],[Столбец1]]*Таблица1[[#This Row],[коэф]])),
IF(OR(G125="4/8",G125="3/8",G125="2/8"),((база!$J$5*2*Таблица1[[#This Row],[Столбец1]]*Таблица1[[#This Row],[коэф]])))))))))))</f>
        <v>0</v>
      </c>
      <c r="AQ125" s="697" t="str">
        <f>IFERROR(INDEX(база!T:T, MATCH(F125,база!Q:Q,0)),"")</f>
        <v/>
      </c>
      <c r="AR125" s="207">
        <f>IFERROR(INDEX(база!D:D, MATCH(F125,база!B:B,0)),"")</f>
        <v>0</v>
      </c>
    </row>
    <row r="126" spans="1:44" ht="15">
      <c r="A126" s="66" t="str">
        <f t="shared" si="3"/>
        <v>декабрь</v>
      </c>
      <c r="B126" s="230">
        <v>2023</v>
      </c>
      <c r="C126" s="60"/>
      <c r="D126" s="61"/>
      <c r="E126" s="210"/>
      <c r="F126" s="670"/>
      <c r="G126" s="47"/>
      <c r="H126" s="563"/>
      <c r="I126" s="563"/>
      <c r="J126" s="563"/>
      <c r="K126" s="563"/>
      <c r="L126" s="563"/>
      <c r="M126" s="563"/>
      <c r="N126" s="563"/>
      <c r="O126" s="563"/>
      <c r="P126" s="300"/>
      <c r="Q126" s="563"/>
      <c r="R126" s="48"/>
      <c r="S126" s="48"/>
      <c r="T126" s="48"/>
      <c r="U126" s="48"/>
      <c r="V126" s="48"/>
      <c r="W126" s="563"/>
      <c r="X126" s="563"/>
      <c r="Y126" s="563"/>
      <c r="Z126" s="563"/>
      <c r="AA126" s="563"/>
      <c r="AB126" s="563"/>
      <c r="AC126" s="563"/>
      <c r="AD126" s="48"/>
      <c r="AE126" s="48"/>
      <c r="AF126" s="48"/>
      <c r="AG126" s="48"/>
      <c r="AH126" s="48"/>
      <c r="AI126" s="48"/>
      <c r="AJ126" s="48"/>
      <c r="AK126" s="257"/>
      <c r="AL126" s="257"/>
      <c r="AM126" s="211">
        <f>IF(AQ126=1,SUM(H126:I126,L126:O126,R126:U126,X126:AA126,AD126:AG126,AI126:AK126),
IF(AQ126=2,SUM(H126:K126,N126:Q126,T126:W126,Z126:AC126,AF126:AI126),
IF(AQ126=3,SUM(J126:M126,P126:S126,V126:Y126,AB126:AE126,AH126:AK126),SUM(Таблица1[[#This Row],[1]:[31]])-Таблица1[[#This Row],[Столбец1]])))</f>
        <v>0</v>
      </c>
      <c r="AN126" s="290">
        <f t="array" ref="AN126">IF(AQ126=1,SUM(J126:K126,P126:Q126,V126:W126,AB126:AC126,AH126:AI126),
IF(AQ126=2,SUM(L126:M126,R126:S126,X126:Y126,AD126:AE126),
IF(AQ126=3,SUM(H126:I126,N126:O126,T126:U126,Z126:AA126,AF126:AG126),
SUM(IFERROR(WEEKDAY($H$2:$AL$2,2)&gt;5,)*H126:AL126))))</f>
        <v>0</v>
      </c>
      <c r="AO126" s="292" t="b">
        <f>IF(AR126&lt;=3,(IF((G126="5/24"),((база!$M$6*Таблица1[[#This Row],[сумма]]*Таблица1[[#This Row],[коэф]])),
IF((G126="4/24"),((база!$M$5*Таблица1[[#This Row],[сумма]]*Таблица1[[#This Row],[коэф]])),
IF((G126="3/24"),((база!$M$4*Таблица1[[#This Row],[сумма]]*Таблица1[[#This Row],[коэф]])),
IF((G126="5/16"),((база!$L$6*Таблица1[[#This Row],[сумма]]*Таблица1[[#This Row],[коэф]])),
IF((G126="4/16"),((база!$L$5*Таблица1[[#This Row],[сумма]]*Таблица1[[#This Row],[коэф]])),
IF((G126="3/16"),((база!$L$4*Таблица1[[#This Row],[сумма]]*Таблица1[[#This Row],[коэф]])),
IF((G126="4/4"),((база!$I$5*Таблица1[[#This Row],[сумма]]*Таблица1[[#This Row],[коэф]])),
IF(OR(G126="2/4",G126="3/4"),((база!$I$4*Таблица1[[#This Row],[сумма]]*Таблица1[[#This Row],[коэф]])),
IF((G126="5/8"),((база!$J$6*Таблица1[[#This Row],[сумма]]*Таблица1[[#This Row],[коэф]])),
IF((G126="4/8"),((база!$J$5*Таблица1[[#This Row],[сумма]]*Таблица1[[#This Row],[коэф]])),
IF(OR(G126="3/8",G126="2/8"),((база!$J$4*Таблица1[[#This Row],[сумма]]*Таблица1[[#This Row],[коэф]])))))))))))))),
(IF((G126="5/24"),((база!$M$6*Таблица1[[#This Row],[сумма]]*Таблица1[[#This Row],[коэф]])),
IF(OR(G126="4/24",G126="3/24"),((база!$M$5*Таблица1[[#This Row],[сумма]]*Таблица1[[#This Row],[коэф]])),
IF((G126="5/16"),((база!$L$6*Таблица1[[#This Row],[сумма]]*Таблица1[[#This Row],[коэф]])),
IF(OR(G126="4/16",G126="3/16"),((база!$L$5*Таблица1[[#This Row],[сумма]]*Таблица1[[#This Row],[коэф]])),
IF(OR(G126="2/4",G126="3/4",G126="4/4"),((база!$I$5*Таблица1[[#This Row],[сумма]]*Таблица1[[#This Row],[коэф]])),
IF((G126="5/8"),((база!$J$6*Таблица1[[#This Row],[сумма]]*Таблица1[[#This Row],[коэф]])),
IF(OR(G126="4/8",G126="3/8",G126="2/8"),((база!$J$5*Таблица1[[#This Row],[сумма]]*Таблица1[[#This Row],[коэф]])))))))))))</f>
        <v>0</v>
      </c>
      <c r="AP126" s="715" t="b">
        <f>IF(AR126&lt;=3,(IF((G126="5/24"),((база!$M$6*2*Таблица1[[#This Row],[Столбец1]]*Таблица1[[#This Row],[коэф]])),
IF((G126="4/24"),((база!$M$5*2*Таблица1[[#This Row],[Столбец1]]*Таблица1[[#This Row],[коэф]])),
IF((G126="3/24"),((база!$M$4*2*Таблица1[[#This Row],[Столбец1]]*Таблица1[[#This Row],[коэф]])),
IF((G126="5/16"),((база!$L$6*2*Таблица1[[#This Row],[Столбец1]]*Таблица1[[#This Row],[коэф]])),
IF((G126="4/16"),((база!$L$5*2*Таблица1[[#This Row],[Столбец1]]*Таблица1[[#This Row],[коэф]])),
IF((G126="3/16"),((база!$L$4*2*Таблица1[[#This Row],[Столбец1]]*Таблица1[[#This Row],[коэф]])),
IF((G126="4/4"),((база!$I$5*2*Таблица1[[#This Row],[Столбец1]]*Таблица1[[#This Row],[коэф]])),
IF(OR(G126="2/4",G126="3/4"),((база!$I$4*2*Таблица1[[#This Row],[Столбец1]]*Таблица1[[#This Row],[коэф]])),
IF((G126="5/8"),((база!$J$6*2*Таблица1[[#This Row],[Столбец1]]*Таблица1[[#This Row],[коэф]])),
IF((G126="4/8"),((база!$J$5*2*Таблица1[[#This Row],[Столбец1]]*Таблица1[[#This Row],[коэф]])),
IF(OR(G126="3/8",G126="2/8"),((база!$J$4*2*Таблица1[[#This Row],[Столбец1]]*Таблица1[[#This Row],[коэф]])))))))))))))),
(IF((G126="5/24"),((база!$M$6*2*Таблица1[[#This Row],[Столбец1]]*Таблица1[[#This Row],[коэф]])),
IF(OR(G126="4/24",G126="3/24"),((база!$M$5*2*Таблица1[[#This Row],[Столбец1]]*Таблица1[[#This Row],[коэф]])),
IF((G126="5/16"),((база!$L$6*2*Таблица1[[#This Row],[Столбец1]]*Таблица1[[#This Row],[коэф]])),
IF(OR(G126="4/16",G126="3/16"),((база!$L$5*2*Таблица1[[#This Row],[Столбец1]]*Таблица1[[#This Row],[коэф]])),
IF(OR(G126="2/4",G126="3/4",G126="4/4"),((база!$I$5*2*Таблица1[[#This Row],[Столбец1]]*Таблица1[[#This Row],[коэф]])),
IF((G126="5/8"),((база!$J$6*2*Таблица1[[#This Row],[Столбец1]]*Таблица1[[#This Row],[коэф]])),
IF(OR(G126="4/8",G126="3/8",G126="2/8"),((база!$J$5*2*Таблица1[[#This Row],[Столбец1]]*Таблица1[[#This Row],[коэф]])))))))))))</f>
        <v>0</v>
      </c>
      <c r="AQ126" s="697" t="str">
        <f>IFERROR(INDEX(база!T:T, MATCH(F126,база!Q:Q,0)),"")</f>
        <v/>
      </c>
      <c r="AR126" s="207">
        <f>IFERROR(INDEX(база!D:D, MATCH(F126,база!B:B,0)),"")</f>
        <v>0</v>
      </c>
    </row>
    <row r="127" spans="1:44" ht="15">
      <c r="A127" s="66" t="str">
        <f t="shared" si="3"/>
        <v>декабрь</v>
      </c>
      <c r="B127" s="230">
        <v>2023</v>
      </c>
      <c r="C127" s="60"/>
      <c r="D127" s="61"/>
      <c r="E127" s="210"/>
      <c r="F127" s="670"/>
      <c r="G127" s="47"/>
      <c r="H127" s="563"/>
      <c r="I127" s="563"/>
      <c r="J127" s="563"/>
      <c r="K127" s="563"/>
      <c r="L127" s="563"/>
      <c r="M127" s="563"/>
      <c r="N127" s="563"/>
      <c r="O127" s="563"/>
      <c r="P127" s="300"/>
      <c r="Q127" s="563"/>
      <c r="R127" s="563"/>
      <c r="S127" s="563"/>
      <c r="T127" s="563"/>
      <c r="U127" s="563"/>
      <c r="V127" s="563"/>
      <c r="W127" s="563"/>
      <c r="X127" s="563"/>
      <c r="Y127" s="563"/>
      <c r="Z127" s="563"/>
      <c r="AA127" s="563"/>
      <c r="AB127" s="563"/>
      <c r="AC127" s="563"/>
      <c r="AD127" s="48"/>
      <c r="AE127" s="48"/>
      <c r="AF127" s="48"/>
      <c r="AG127" s="48"/>
      <c r="AH127" s="48"/>
      <c r="AI127" s="48"/>
      <c r="AJ127" s="48"/>
      <c r="AK127" s="257"/>
      <c r="AL127" s="257"/>
      <c r="AM127" s="211">
        <f>IF(AQ127=1,SUM(H127:I127,L127:O127,R127:U127,X127:AA127,AD127:AG127,AI127:AK127),
IF(AQ127=2,SUM(H127:K127,N127:Q127,T127:W127,Z127:AC127,AF127:AI127),
IF(AQ127=3,SUM(J127:M127,P127:S127,V127:Y127,AB127:AE127,AH127:AK127),SUM(Таблица1[[#This Row],[1]:[31]])-Таблица1[[#This Row],[Столбец1]])))</f>
        <v>0</v>
      </c>
      <c r="AN127" s="290">
        <f t="array" ref="AN127">IF(AQ127=1,SUM(J127:K127,P127:Q127,V127:W127,AB127:AC127,AH127:AI127),
IF(AQ127=2,SUM(L127:M127,R127:S127,X127:Y127,AD127:AE127),
IF(AQ127=3,SUM(H127:I127,N127:O127,T127:U127,Z127:AA127,AF127:AG127),
SUM(IFERROR(WEEKDAY($H$2:$AL$2,2)&gt;5,)*H127:AL127))))</f>
        <v>0</v>
      </c>
      <c r="AO127" s="292" t="b">
        <f>IF(AR127&lt;=3,(IF((G127="5/24"),((база!$M$6*Таблица1[[#This Row],[сумма]]*Таблица1[[#This Row],[коэф]])),
IF((G127="4/24"),((база!$M$5*Таблица1[[#This Row],[сумма]]*Таблица1[[#This Row],[коэф]])),
IF((G127="3/24"),((база!$M$4*Таблица1[[#This Row],[сумма]]*Таблица1[[#This Row],[коэф]])),
IF((G127="5/16"),((база!$L$6*Таблица1[[#This Row],[сумма]]*Таблица1[[#This Row],[коэф]])),
IF((G127="4/16"),((база!$L$5*Таблица1[[#This Row],[сумма]]*Таблица1[[#This Row],[коэф]])),
IF((G127="3/16"),((база!$L$4*Таблица1[[#This Row],[сумма]]*Таблица1[[#This Row],[коэф]])),
IF((G127="4/4"),((база!$I$5*Таблица1[[#This Row],[сумма]]*Таблица1[[#This Row],[коэф]])),
IF(OR(G127="2/4",G127="3/4"),((база!$I$4*Таблица1[[#This Row],[сумма]]*Таблица1[[#This Row],[коэф]])),
IF((G127="5/8"),((база!$J$6*Таблица1[[#This Row],[сумма]]*Таблица1[[#This Row],[коэф]])),
IF((G127="4/8"),((база!$J$5*Таблица1[[#This Row],[сумма]]*Таблица1[[#This Row],[коэф]])),
IF(OR(G127="3/8",G127="2/8"),((база!$J$4*Таблица1[[#This Row],[сумма]]*Таблица1[[#This Row],[коэф]])))))))))))))),
(IF((G127="5/24"),((база!$M$6*Таблица1[[#This Row],[сумма]]*Таблица1[[#This Row],[коэф]])),
IF(OR(G127="4/24",G127="3/24"),((база!$M$5*Таблица1[[#This Row],[сумма]]*Таблица1[[#This Row],[коэф]])),
IF((G127="5/16"),((база!$L$6*Таблица1[[#This Row],[сумма]]*Таблица1[[#This Row],[коэф]])),
IF(OR(G127="4/16",G127="3/16"),((база!$L$5*Таблица1[[#This Row],[сумма]]*Таблица1[[#This Row],[коэф]])),
IF(OR(G127="2/4",G127="3/4",G127="4/4"),((база!$I$5*Таблица1[[#This Row],[сумма]]*Таблица1[[#This Row],[коэф]])),
IF((G127="5/8"),((база!$J$6*Таблица1[[#This Row],[сумма]]*Таблица1[[#This Row],[коэф]])),
IF(OR(G127="4/8",G127="3/8",G127="2/8"),((база!$J$5*Таблица1[[#This Row],[сумма]]*Таблица1[[#This Row],[коэф]])))))))))))</f>
        <v>0</v>
      </c>
      <c r="AP127" s="715" t="b">
        <f>IF(AR127&lt;=3,(IF((G127="5/24"),((база!$M$6*2*Таблица1[[#This Row],[Столбец1]]*Таблица1[[#This Row],[коэф]])),
IF((G127="4/24"),((база!$M$5*2*Таблица1[[#This Row],[Столбец1]]*Таблица1[[#This Row],[коэф]])),
IF((G127="3/24"),((база!$M$4*2*Таблица1[[#This Row],[Столбец1]]*Таблица1[[#This Row],[коэф]])),
IF((G127="5/16"),((база!$L$6*2*Таблица1[[#This Row],[Столбец1]]*Таблица1[[#This Row],[коэф]])),
IF((G127="4/16"),((база!$L$5*2*Таблица1[[#This Row],[Столбец1]]*Таблица1[[#This Row],[коэф]])),
IF((G127="3/16"),((база!$L$4*2*Таблица1[[#This Row],[Столбец1]]*Таблица1[[#This Row],[коэф]])),
IF((G127="4/4"),((база!$I$5*2*Таблица1[[#This Row],[Столбец1]]*Таблица1[[#This Row],[коэф]])),
IF(OR(G127="2/4",G127="3/4"),((база!$I$4*2*Таблица1[[#This Row],[Столбец1]]*Таблица1[[#This Row],[коэф]])),
IF((G127="5/8"),((база!$J$6*2*Таблица1[[#This Row],[Столбец1]]*Таблица1[[#This Row],[коэф]])),
IF((G127="4/8"),((база!$J$5*2*Таблица1[[#This Row],[Столбец1]]*Таблица1[[#This Row],[коэф]])),
IF(OR(G127="3/8",G127="2/8"),((база!$J$4*2*Таблица1[[#This Row],[Столбец1]]*Таблица1[[#This Row],[коэф]])))))))))))))),
(IF((G127="5/24"),((база!$M$6*2*Таблица1[[#This Row],[Столбец1]]*Таблица1[[#This Row],[коэф]])),
IF(OR(G127="4/24",G127="3/24"),((база!$M$5*2*Таблица1[[#This Row],[Столбец1]]*Таблица1[[#This Row],[коэф]])),
IF((G127="5/16"),((база!$L$6*2*Таблица1[[#This Row],[Столбец1]]*Таблица1[[#This Row],[коэф]])),
IF(OR(G127="4/16",G127="3/16"),((база!$L$5*2*Таблица1[[#This Row],[Столбец1]]*Таблица1[[#This Row],[коэф]])),
IF(OR(G127="2/4",G127="3/4",G127="4/4"),((база!$I$5*2*Таблица1[[#This Row],[Столбец1]]*Таблица1[[#This Row],[коэф]])),
IF((G127="5/8"),((база!$J$6*2*Таблица1[[#This Row],[Столбец1]]*Таблица1[[#This Row],[коэф]])),
IF(OR(G127="4/8",G127="3/8",G127="2/8"),((база!$J$5*2*Таблица1[[#This Row],[Столбец1]]*Таблица1[[#This Row],[коэф]])))))))))))</f>
        <v>0</v>
      </c>
      <c r="AQ127" s="697" t="str">
        <f>IFERROR(INDEX(база!T:T, MATCH(F127,база!Q:Q,0)),"")</f>
        <v/>
      </c>
      <c r="AR127" s="207">
        <f>IFERROR(INDEX(база!D:D, MATCH(F127,база!B:B,0)),"")</f>
        <v>0</v>
      </c>
    </row>
    <row r="128" spans="1:44" ht="15">
      <c r="A128" s="66" t="str">
        <f t="shared" si="3"/>
        <v>декабрь</v>
      </c>
      <c r="B128" s="230">
        <v>2023</v>
      </c>
      <c r="C128" s="60"/>
      <c r="D128" s="61"/>
      <c r="E128" s="210"/>
      <c r="F128" s="670"/>
      <c r="G128" s="47"/>
      <c r="H128" s="563"/>
      <c r="I128" s="563"/>
      <c r="J128" s="563"/>
      <c r="K128" s="563"/>
      <c r="L128" s="563"/>
      <c r="M128" s="563"/>
      <c r="N128" s="563"/>
      <c r="O128" s="563"/>
      <c r="P128" s="300"/>
      <c r="Q128" s="563"/>
      <c r="R128" s="48"/>
      <c r="S128" s="48"/>
      <c r="T128" s="48"/>
      <c r="U128" s="48"/>
      <c r="V128" s="48"/>
      <c r="W128" s="563"/>
      <c r="X128" s="563"/>
      <c r="Y128" s="48"/>
      <c r="Z128" s="48"/>
      <c r="AA128" s="48"/>
      <c r="AB128" s="48"/>
      <c r="AC128" s="48"/>
      <c r="AD128" s="48"/>
      <c r="AE128" s="48"/>
      <c r="AF128" s="257"/>
      <c r="AG128" s="257"/>
      <c r="AH128" s="257"/>
      <c r="AI128" s="257"/>
      <c r="AJ128" s="257"/>
      <c r="AK128" s="257"/>
      <c r="AL128" s="257"/>
      <c r="AM128" s="211">
        <f>IF(AQ128=1,SUM(H128:I128,L128:O128,R128:U128,X128:AA128,AD128:AG128,AI128:AK128),
IF(AQ128=2,SUM(H128:K128,N128:Q128,T128:W128,Z128:AC128,AF128:AI128),
IF(AQ128=3,SUM(J128:M128,P128:S128,V128:Y128,AB128:AE128,AH128:AK128),SUM(Таблица1[[#This Row],[1]:[31]])-Таблица1[[#This Row],[Столбец1]])))</f>
        <v>0</v>
      </c>
      <c r="AN128" s="290">
        <f t="array" ref="AN128">IF(AQ128=1,SUM(J128:K128,P128:Q128,V128:W128,AB128:AC128,AH128:AI128),
IF(AQ128=2,SUM(L128:M128,R128:S128,X128:Y128,AD128:AE128),
IF(AQ128=3,SUM(H128:I128,N128:O128,T128:U128,Z128:AA128,AF128:AG128),
SUM(IFERROR(WEEKDAY($H$2:$AL$2,2)&gt;5,)*H128:AL128))))</f>
        <v>0</v>
      </c>
      <c r="AO128" s="292" t="b">
        <f>IF(AR128&lt;=3,(IF((G128="5/24"),((база!$M$6*Таблица1[[#This Row],[сумма]]*Таблица1[[#This Row],[коэф]])),
IF((G128="4/24"),((база!$M$5*Таблица1[[#This Row],[сумма]]*Таблица1[[#This Row],[коэф]])),
IF((G128="3/24"),((база!$M$4*Таблица1[[#This Row],[сумма]]*Таблица1[[#This Row],[коэф]])),
IF((G128="5/16"),((база!$L$6*Таблица1[[#This Row],[сумма]]*Таблица1[[#This Row],[коэф]])),
IF((G128="4/16"),((база!$L$5*Таблица1[[#This Row],[сумма]]*Таблица1[[#This Row],[коэф]])),
IF((G128="3/16"),((база!$L$4*Таблица1[[#This Row],[сумма]]*Таблица1[[#This Row],[коэф]])),
IF((G128="4/4"),((база!$I$5*Таблица1[[#This Row],[сумма]]*Таблица1[[#This Row],[коэф]])),
IF(OR(G128="2/4",G128="3/4"),((база!$I$4*Таблица1[[#This Row],[сумма]]*Таблица1[[#This Row],[коэф]])),
IF((G128="5/8"),((база!$J$6*Таблица1[[#This Row],[сумма]]*Таблица1[[#This Row],[коэф]])),
IF((G128="4/8"),((база!$J$5*Таблица1[[#This Row],[сумма]]*Таблица1[[#This Row],[коэф]])),
IF(OR(G128="3/8",G128="2/8"),((база!$J$4*Таблица1[[#This Row],[сумма]]*Таблица1[[#This Row],[коэф]])))))))))))))),
(IF((G128="5/24"),((база!$M$6*Таблица1[[#This Row],[сумма]]*Таблица1[[#This Row],[коэф]])),
IF(OR(G128="4/24",G128="3/24"),((база!$M$5*Таблица1[[#This Row],[сумма]]*Таблица1[[#This Row],[коэф]])),
IF((G128="5/16"),((база!$L$6*Таблица1[[#This Row],[сумма]]*Таблица1[[#This Row],[коэф]])),
IF(OR(G128="4/16",G128="3/16"),((база!$L$5*Таблица1[[#This Row],[сумма]]*Таблица1[[#This Row],[коэф]])),
IF(OR(G128="2/4",G128="3/4",G128="4/4"),((база!$I$5*Таблица1[[#This Row],[сумма]]*Таблица1[[#This Row],[коэф]])),
IF((G128="5/8"),((база!$J$6*Таблица1[[#This Row],[сумма]]*Таблица1[[#This Row],[коэф]])),
IF(OR(G128="4/8",G128="3/8",G128="2/8"),((база!$J$5*Таблица1[[#This Row],[сумма]]*Таблица1[[#This Row],[коэф]])))))))))))</f>
        <v>0</v>
      </c>
      <c r="AP128" s="715" t="b">
        <f>IF(AR128&lt;=3,(IF((G128="5/24"),((база!$M$6*2*Таблица1[[#This Row],[Столбец1]]*Таблица1[[#This Row],[коэф]])),
IF((G128="4/24"),((база!$M$5*2*Таблица1[[#This Row],[Столбец1]]*Таблица1[[#This Row],[коэф]])),
IF((G128="3/24"),((база!$M$4*2*Таблица1[[#This Row],[Столбец1]]*Таблица1[[#This Row],[коэф]])),
IF((G128="5/16"),((база!$L$6*2*Таблица1[[#This Row],[Столбец1]]*Таблица1[[#This Row],[коэф]])),
IF((G128="4/16"),((база!$L$5*2*Таблица1[[#This Row],[Столбец1]]*Таблица1[[#This Row],[коэф]])),
IF((G128="3/16"),((база!$L$4*2*Таблица1[[#This Row],[Столбец1]]*Таблица1[[#This Row],[коэф]])),
IF((G128="4/4"),((база!$I$5*2*Таблица1[[#This Row],[Столбец1]]*Таблица1[[#This Row],[коэф]])),
IF(OR(G128="2/4",G128="3/4"),((база!$I$4*2*Таблица1[[#This Row],[Столбец1]]*Таблица1[[#This Row],[коэф]])),
IF((G128="5/8"),((база!$J$6*2*Таблица1[[#This Row],[Столбец1]]*Таблица1[[#This Row],[коэф]])),
IF((G128="4/8"),((база!$J$5*2*Таблица1[[#This Row],[Столбец1]]*Таблица1[[#This Row],[коэф]])),
IF(OR(G128="3/8",G128="2/8"),((база!$J$4*2*Таблица1[[#This Row],[Столбец1]]*Таблица1[[#This Row],[коэф]])))))))))))))),
(IF((G128="5/24"),((база!$M$6*2*Таблица1[[#This Row],[Столбец1]]*Таблица1[[#This Row],[коэф]])),
IF(OR(G128="4/24",G128="3/24"),((база!$M$5*2*Таблица1[[#This Row],[Столбец1]]*Таблица1[[#This Row],[коэф]])),
IF((G128="5/16"),((база!$L$6*2*Таблица1[[#This Row],[Столбец1]]*Таблица1[[#This Row],[коэф]])),
IF(OR(G128="4/16",G128="3/16"),((база!$L$5*2*Таблица1[[#This Row],[Столбец1]]*Таблица1[[#This Row],[коэф]])),
IF(OR(G128="2/4",G128="3/4",G128="4/4"),((база!$I$5*2*Таблица1[[#This Row],[Столбец1]]*Таблица1[[#This Row],[коэф]])),
IF((G128="5/8"),((база!$J$6*2*Таблица1[[#This Row],[Столбец1]]*Таблица1[[#This Row],[коэф]])),
IF(OR(G128="4/8",G128="3/8",G128="2/8"),((база!$J$5*2*Таблица1[[#This Row],[Столбец1]]*Таблица1[[#This Row],[коэф]])))))))))))</f>
        <v>0</v>
      </c>
      <c r="AQ128" s="697" t="str">
        <f>IFERROR(INDEX(база!T:T, MATCH(F128,база!Q:Q,0)),"")</f>
        <v/>
      </c>
      <c r="AR128" s="207">
        <f>IFERROR(INDEX(база!D:D, MATCH(F128,база!B:B,0)),"")</f>
        <v>0</v>
      </c>
    </row>
    <row r="129" spans="1:44" ht="15">
      <c r="A129" s="66" t="str">
        <f t="shared" si="3"/>
        <v>декабрь</v>
      </c>
      <c r="B129" s="230">
        <v>2023</v>
      </c>
      <c r="C129" s="60"/>
      <c r="D129" s="61"/>
      <c r="E129" s="210"/>
      <c r="F129" s="670"/>
      <c r="G129" s="47"/>
      <c r="H129" s="563"/>
      <c r="I129" s="563"/>
      <c r="J129" s="563"/>
      <c r="K129" s="563"/>
      <c r="L129" s="563"/>
      <c r="M129" s="563"/>
      <c r="N129" s="563"/>
      <c r="O129" s="563"/>
      <c r="P129" s="300"/>
      <c r="Q129" s="563"/>
      <c r="R129" s="563"/>
      <c r="S129" s="563"/>
      <c r="T129" s="563"/>
      <c r="U129" s="563"/>
      <c r="V129" s="563"/>
      <c r="W129" s="563"/>
      <c r="X129" s="563"/>
      <c r="Y129" s="48"/>
      <c r="Z129" s="48"/>
      <c r="AA129" s="48"/>
      <c r="AB129" s="48"/>
      <c r="AC129" s="48"/>
      <c r="AD129" s="48"/>
      <c r="AE129" s="48"/>
      <c r="AF129" s="257"/>
      <c r="AG129" s="257"/>
      <c r="AH129" s="257"/>
      <c r="AI129" s="257"/>
      <c r="AJ129" s="257"/>
      <c r="AK129" s="257"/>
      <c r="AL129" s="257"/>
      <c r="AM129" s="211">
        <f>IF(AQ129=1,SUM(H129:I129,L129:O129,R129:U129,X129:AA129,AD129:AG129,AI129:AK129),
IF(AQ129=2,SUM(H129:K129,N129:Q129,T129:W129,Z129:AC129,AF129:AI129),
IF(AQ129=3,SUM(J129:M129,P129:S129,V129:Y129,AB129:AE129,AH129:AK129),SUM(Таблица1[[#This Row],[1]:[31]])-Таблица1[[#This Row],[Столбец1]])))</f>
        <v>0</v>
      </c>
      <c r="AN129" s="290">
        <f t="array" ref="AN129">IF(AQ129=1,SUM(J129:K129,P129:Q129,V129:W129,AB129:AC129,AH129:AI129),
IF(AQ129=2,SUM(L129:M129,R129:S129,X129:Y129,AD129:AE129),
IF(AQ129=3,SUM(H129:I129,N129:O129,T129:U129,Z129:AA129,AF129:AG129),
SUM(IFERROR(WEEKDAY($H$2:$AL$2,2)&gt;5,)*H129:AL129))))</f>
        <v>0</v>
      </c>
      <c r="AO129" s="292" t="b">
        <f>IF(AR129&lt;=3,(IF((G129="5/24"),((база!$M$6*Таблица1[[#This Row],[сумма]]*Таблица1[[#This Row],[коэф]])),
IF((G129="4/24"),((база!$M$5*Таблица1[[#This Row],[сумма]]*Таблица1[[#This Row],[коэф]])),
IF((G129="3/24"),((база!$M$4*Таблица1[[#This Row],[сумма]]*Таблица1[[#This Row],[коэф]])),
IF((G129="5/16"),((база!$L$6*Таблица1[[#This Row],[сумма]]*Таблица1[[#This Row],[коэф]])),
IF((G129="4/16"),((база!$L$5*Таблица1[[#This Row],[сумма]]*Таблица1[[#This Row],[коэф]])),
IF((G129="3/16"),((база!$L$4*Таблица1[[#This Row],[сумма]]*Таблица1[[#This Row],[коэф]])),
IF((G129="4/4"),((база!$I$5*Таблица1[[#This Row],[сумма]]*Таблица1[[#This Row],[коэф]])),
IF(OR(G129="2/4",G129="3/4"),((база!$I$4*Таблица1[[#This Row],[сумма]]*Таблица1[[#This Row],[коэф]])),
IF((G129="5/8"),((база!$J$6*Таблица1[[#This Row],[сумма]]*Таблица1[[#This Row],[коэф]])),
IF((G129="4/8"),((база!$J$5*Таблица1[[#This Row],[сумма]]*Таблица1[[#This Row],[коэф]])),
IF(OR(G129="3/8",G129="2/8"),((база!$J$4*Таблица1[[#This Row],[сумма]]*Таблица1[[#This Row],[коэф]])))))))))))))),
(IF((G129="5/24"),((база!$M$6*Таблица1[[#This Row],[сумма]]*Таблица1[[#This Row],[коэф]])),
IF(OR(G129="4/24",G129="3/24"),((база!$M$5*Таблица1[[#This Row],[сумма]]*Таблица1[[#This Row],[коэф]])),
IF((G129="5/16"),((база!$L$6*Таблица1[[#This Row],[сумма]]*Таблица1[[#This Row],[коэф]])),
IF(OR(G129="4/16",G129="3/16"),((база!$L$5*Таблица1[[#This Row],[сумма]]*Таблица1[[#This Row],[коэф]])),
IF(OR(G129="2/4",G129="3/4",G129="4/4"),((база!$I$5*Таблица1[[#This Row],[сумма]]*Таблица1[[#This Row],[коэф]])),
IF((G129="5/8"),((база!$J$6*Таблица1[[#This Row],[сумма]]*Таблица1[[#This Row],[коэф]])),
IF(OR(G129="4/8",G129="3/8",G129="2/8"),((база!$J$5*Таблица1[[#This Row],[сумма]]*Таблица1[[#This Row],[коэф]])))))))))))</f>
        <v>0</v>
      </c>
      <c r="AP129" s="715" t="b">
        <f>IF(AR129&lt;=3,(IF((G129="5/24"),((база!$M$6*2*Таблица1[[#This Row],[Столбец1]]*Таблица1[[#This Row],[коэф]])),
IF((G129="4/24"),((база!$M$5*2*Таблица1[[#This Row],[Столбец1]]*Таблица1[[#This Row],[коэф]])),
IF((G129="3/24"),((база!$M$4*2*Таблица1[[#This Row],[Столбец1]]*Таблица1[[#This Row],[коэф]])),
IF((G129="5/16"),((база!$L$6*2*Таблица1[[#This Row],[Столбец1]]*Таблица1[[#This Row],[коэф]])),
IF((G129="4/16"),((база!$L$5*2*Таблица1[[#This Row],[Столбец1]]*Таблица1[[#This Row],[коэф]])),
IF((G129="3/16"),((база!$L$4*2*Таблица1[[#This Row],[Столбец1]]*Таблица1[[#This Row],[коэф]])),
IF((G129="4/4"),((база!$I$5*2*Таблица1[[#This Row],[Столбец1]]*Таблица1[[#This Row],[коэф]])),
IF(OR(G129="2/4",G129="3/4"),((база!$I$4*2*Таблица1[[#This Row],[Столбец1]]*Таблица1[[#This Row],[коэф]])),
IF((G129="5/8"),((база!$J$6*2*Таблица1[[#This Row],[Столбец1]]*Таблица1[[#This Row],[коэф]])),
IF((G129="4/8"),((база!$J$5*2*Таблица1[[#This Row],[Столбец1]]*Таблица1[[#This Row],[коэф]])),
IF(OR(G129="3/8",G129="2/8"),((база!$J$4*2*Таблица1[[#This Row],[Столбец1]]*Таблица1[[#This Row],[коэф]])))))))))))))),
(IF((G129="5/24"),((база!$M$6*2*Таблица1[[#This Row],[Столбец1]]*Таблица1[[#This Row],[коэф]])),
IF(OR(G129="4/24",G129="3/24"),((база!$M$5*2*Таблица1[[#This Row],[Столбец1]]*Таблица1[[#This Row],[коэф]])),
IF((G129="5/16"),((база!$L$6*2*Таблица1[[#This Row],[Столбец1]]*Таблица1[[#This Row],[коэф]])),
IF(OR(G129="4/16",G129="3/16"),((база!$L$5*2*Таблица1[[#This Row],[Столбец1]]*Таблица1[[#This Row],[коэф]])),
IF(OR(G129="2/4",G129="3/4",G129="4/4"),((база!$I$5*2*Таблица1[[#This Row],[Столбец1]]*Таблица1[[#This Row],[коэф]])),
IF((G129="5/8"),((база!$J$6*2*Таблица1[[#This Row],[Столбец1]]*Таблица1[[#This Row],[коэф]])),
IF(OR(G129="4/8",G129="3/8",G129="2/8"),((база!$J$5*2*Таблица1[[#This Row],[Столбец1]]*Таблица1[[#This Row],[коэф]])))))))))))</f>
        <v>0</v>
      </c>
      <c r="AQ129" s="697" t="str">
        <f>IFERROR(INDEX(база!T:T, MATCH(F129,база!Q:Q,0)),"")</f>
        <v/>
      </c>
      <c r="AR129" s="207">
        <f>IFERROR(INDEX(база!D:D, MATCH(F129,база!B:B,0)),"")</f>
        <v>0</v>
      </c>
    </row>
    <row r="130" spans="1:44" ht="15">
      <c r="A130" s="66" t="str">
        <f t="shared" si="3"/>
        <v>декабрь</v>
      </c>
      <c r="B130" s="230">
        <v>2023</v>
      </c>
      <c r="C130" s="60"/>
      <c r="D130" s="61"/>
      <c r="E130" s="210"/>
      <c r="F130" s="670"/>
      <c r="G130" s="47"/>
      <c r="H130" s="563"/>
      <c r="I130" s="563"/>
      <c r="J130" s="563"/>
      <c r="K130" s="563"/>
      <c r="L130" s="563"/>
      <c r="M130" s="563"/>
      <c r="N130" s="563"/>
      <c r="O130" s="563"/>
      <c r="P130" s="563"/>
      <c r="Q130" s="563"/>
      <c r="R130" s="48"/>
      <c r="S130" s="48"/>
      <c r="T130" s="48"/>
      <c r="U130" s="48"/>
      <c r="V130" s="48"/>
      <c r="W130" s="563"/>
      <c r="X130" s="563"/>
      <c r="Y130" s="563"/>
      <c r="Z130" s="563"/>
      <c r="AA130" s="563"/>
      <c r="AB130" s="563"/>
      <c r="AC130" s="563"/>
      <c r="AD130" s="48"/>
      <c r="AE130" s="48"/>
      <c r="AF130" s="48"/>
      <c r="AG130" s="48"/>
      <c r="AH130" s="48"/>
      <c r="AI130" s="48"/>
      <c r="AJ130" s="48"/>
      <c r="AK130" s="257"/>
      <c r="AL130" s="257"/>
      <c r="AM130" s="211">
        <f>IF(AQ130=1,SUM(H130:I130,L130:O130,R130:U130,X130:AA130,AD130:AG130,AI130:AK130),
IF(AQ130=2,SUM(H130:K130,N130:Q130,T130:W130,Z130:AC130,AF130:AI130),
IF(AQ130=3,SUM(J130:M130,P130:S130,V130:Y130,AB130:AE130,AH130:AK130),SUM(Таблица1[[#This Row],[1]:[31]])-Таблица1[[#This Row],[Столбец1]])))</f>
        <v>0</v>
      </c>
      <c r="AN130" s="290">
        <f t="array" ref="AN130">IF(AQ130=1,SUM(J130:K130,P130:Q130,V130:W130,AB130:AC130,AH130:AI130),
IF(AQ130=2,SUM(L130:M130,R130:S130,X130:Y130,AD130:AE130),
IF(AQ130=3,SUM(H130:I130,N130:O130,T130:U130,Z130:AA130,AF130:AG130),
SUM(IFERROR(WEEKDAY($H$2:$AL$2,2)&gt;5,)*H130:AL130))))</f>
        <v>0</v>
      </c>
      <c r="AO130" s="292" t="b">
        <f>IF(AR130&lt;=3,(IF((G130="5/24"),((база!$M$6*Таблица1[[#This Row],[сумма]]*Таблица1[[#This Row],[коэф]])),
IF((G130="4/24"),((база!$M$5*Таблица1[[#This Row],[сумма]]*Таблица1[[#This Row],[коэф]])),
IF((G130="3/24"),((база!$M$4*Таблица1[[#This Row],[сумма]]*Таблица1[[#This Row],[коэф]])),
IF((G130="5/16"),((база!$L$6*Таблица1[[#This Row],[сумма]]*Таблица1[[#This Row],[коэф]])),
IF((G130="4/16"),((база!$L$5*Таблица1[[#This Row],[сумма]]*Таблица1[[#This Row],[коэф]])),
IF((G130="3/16"),((база!$L$4*Таблица1[[#This Row],[сумма]]*Таблица1[[#This Row],[коэф]])),
IF((G130="4/4"),((база!$I$5*Таблица1[[#This Row],[сумма]]*Таблица1[[#This Row],[коэф]])),
IF(OR(G130="2/4",G130="3/4"),((база!$I$4*Таблица1[[#This Row],[сумма]]*Таблица1[[#This Row],[коэф]])),
IF((G130="5/8"),((база!$J$6*Таблица1[[#This Row],[сумма]]*Таблица1[[#This Row],[коэф]])),
IF((G130="4/8"),((база!$J$5*Таблица1[[#This Row],[сумма]]*Таблица1[[#This Row],[коэф]])),
IF(OR(G130="3/8",G130="2/8"),((база!$J$4*Таблица1[[#This Row],[сумма]]*Таблица1[[#This Row],[коэф]])))))))))))))),
(IF((G130="5/24"),((база!$M$6*Таблица1[[#This Row],[сумма]]*Таблица1[[#This Row],[коэф]])),
IF(OR(G130="4/24",G130="3/24"),((база!$M$5*Таблица1[[#This Row],[сумма]]*Таблица1[[#This Row],[коэф]])),
IF((G130="5/16"),((база!$L$6*Таблица1[[#This Row],[сумма]]*Таблица1[[#This Row],[коэф]])),
IF(OR(G130="4/16",G130="3/16"),((база!$L$5*Таблица1[[#This Row],[сумма]]*Таблица1[[#This Row],[коэф]])),
IF(OR(G130="2/4",G130="3/4",G130="4/4"),((база!$I$5*Таблица1[[#This Row],[сумма]]*Таблица1[[#This Row],[коэф]])),
IF((G130="5/8"),((база!$J$6*Таблица1[[#This Row],[сумма]]*Таблица1[[#This Row],[коэф]])),
IF(OR(G130="4/8",G130="3/8",G130="2/8"),((база!$J$5*Таблица1[[#This Row],[сумма]]*Таблица1[[#This Row],[коэф]])))))))))))</f>
        <v>0</v>
      </c>
      <c r="AP130" s="715" t="b">
        <f>IF(AR130&lt;=3,(IF((G130="5/24"),((база!$M$6*2*Таблица1[[#This Row],[Столбец1]]*Таблица1[[#This Row],[коэф]])),
IF((G130="4/24"),((база!$M$5*2*Таблица1[[#This Row],[Столбец1]]*Таблица1[[#This Row],[коэф]])),
IF((G130="3/24"),((база!$M$4*2*Таблица1[[#This Row],[Столбец1]]*Таблица1[[#This Row],[коэф]])),
IF((G130="5/16"),((база!$L$6*2*Таблица1[[#This Row],[Столбец1]]*Таблица1[[#This Row],[коэф]])),
IF((G130="4/16"),((база!$L$5*2*Таблица1[[#This Row],[Столбец1]]*Таблица1[[#This Row],[коэф]])),
IF((G130="3/16"),((база!$L$4*2*Таблица1[[#This Row],[Столбец1]]*Таблица1[[#This Row],[коэф]])),
IF((G130="4/4"),((база!$I$5*2*Таблица1[[#This Row],[Столбец1]]*Таблица1[[#This Row],[коэф]])),
IF(OR(G130="2/4",G130="3/4"),((база!$I$4*2*Таблица1[[#This Row],[Столбец1]]*Таблица1[[#This Row],[коэф]])),
IF((G130="5/8"),((база!$J$6*2*Таблица1[[#This Row],[Столбец1]]*Таблица1[[#This Row],[коэф]])),
IF((G130="4/8"),((база!$J$5*2*Таблица1[[#This Row],[Столбец1]]*Таблица1[[#This Row],[коэф]])),
IF(OR(G130="3/8",G130="2/8"),((база!$J$4*2*Таблица1[[#This Row],[Столбец1]]*Таблица1[[#This Row],[коэф]])))))))))))))),
(IF((G130="5/24"),((база!$M$6*2*Таблица1[[#This Row],[Столбец1]]*Таблица1[[#This Row],[коэф]])),
IF(OR(G130="4/24",G130="3/24"),((база!$M$5*2*Таблица1[[#This Row],[Столбец1]]*Таблица1[[#This Row],[коэф]])),
IF((G130="5/16"),((база!$L$6*2*Таблица1[[#This Row],[Столбец1]]*Таблица1[[#This Row],[коэф]])),
IF(OR(G130="4/16",G130="3/16"),((база!$L$5*2*Таблица1[[#This Row],[Столбец1]]*Таблица1[[#This Row],[коэф]])),
IF(OR(G130="2/4",G130="3/4",G130="4/4"),((база!$I$5*2*Таблица1[[#This Row],[Столбец1]]*Таблица1[[#This Row],[коэф]])),
IF((G130="5/8"),((база!$J$6*2*Таблица1[[#This Row],[Столбец1]]*Таблица1[[#This Row],[коэф]])),
IF(OR(G130="4/8",G130="3/8",G130="2/8"),((база!$J$5*2*Таблица1[[#This Row],[Столбец1]]*Таблица1[[#This Row],[коэф]])))))))))))</f>
        <v>0</v>
      </c>
      <c r="AQ130" s="697" t="str">
        <f>IFERROR(INDEX(база!T:T, MATCH(F130,база!Q:Q,0)),"")</f>
        <v/>
      </c>
      <c r="AR130" s="207">
        <f>IFERROR(INDEX(база!D:D, MATCH(F130,база!B:B,0)),"")</f>
        <v>0</v>
      </c>
    </row>
    <row r="131" spans="1:44" ht="15">
      <c r="A131" s="66" t="str">
        <f t="shared" ref="A131:A133" si="4">A130</f>
        <v>декабрь</v>
      </c>
      <c r="B131" s="230">
        <v>2023</v>
      </c>
      <c r="C131" s="60"/>
      <c r="D131" s="61"/>
      <c r="E131" s="210"/>
      <c r="F131" s="670"/>
      <c r="G131" s="47"/>
      <c r="H131" s="563"/>
      <c r="I131" s="563"/>
      <c r="J131" s="563"/>
      <c r="K131" s="563"/>
      <c r="L131" s="563"/>
      <c r="M131" s="563"/>
      <c r="N131" s="563"/>
      <c r="O131" s="563"/>
      <c r="P131" s="300"/>
      <c r="Q131" s="563"/>
      <c r="R131" s="563"/>
      <c r="S131" s="563"/>
      <c r="T131" s="563"/>
      <c r="U131" s="563"/>
      <c r="V131" s="563"/>
      <c r="W131" s="563"/>
      <c r="X131" s="563"/>
      <c r="Y131" s="563"/>
      <c r="Z131" s="563"/>
      <c r="AA131" s="563"/>
      <c r="AB131" s="563"/>
      <c r="AC131" s="563"/>
      <c r="AD131" s="48"/>
      <c r="AE131" s="48"/>
      <c r="AF131" s="48"/>
      <c r="AG131" s="48"/>
      <c r="AH131" s="48"/>
      <c r="AI131" s="48"/>
      <c r="AJ131" s="48"/>
      <c r="AK131" s="257"/>
      <c r="AL131" s="257"/>
      <c r="AM131" s="211">
        <f>IF(AQ131=1,SUM(H131:I131,L131:O131,R131:U131,X131:AA131,AD131:AG131,AI131:AK131),
IF(AQ131=2,SUM(H131:K131,N131:Q131,T131:W131,Z131:AC131,AF131:AI131),
IF(AQ131=3,SUM(J131:M131,P131:S131,V131:Y131,AB131:AE131,AH131:AK131),SUM(Таблица1[[#This Row],[1]:[31]])-Таблица1[[#This Row],[Столбец1]])))</f>
        <v>0</v>
      </c>
      <c r="AN131" s="290">
        <f t="array" ref="AN131">IF(AQ131=1,SUM(J131:K131,P131:Q131,V131:W131,AB131:AC131,AH131:AI131),
IF(AQ131=2,SUM(L131:M131,R131:S131,X131:Y131,AD131:AE131),
IF(AQ131=3,SUM(H131:I131,N131:O131,T131:U131,Z131:AA131,AF131:AG131),
SUM(IFERROR(WEEKDAY($H$2:$AL$2,2)&gt;5,)*H131:AL131))))</f>
        <v>0</v>
      </c>
      <c r="AO131" s="292" t="b">
        <f>IF(AR131&lt;=3,(IF((G131="5/24"),((база!$M$6*Таблица1[[#This Row],[сумма]]*Таблица1[[#This Row],[коэф]])),
IF((G131="4/24"),((база!$M$5*Таблица1[[#This Row],[сумма]]*Таблица1[[#This Row],[коэф]])),
IF((G131="3/24"),((база!$M$4*Таблица1[[#This Row],[сумма]]*Таблица1[[#This Row],[коэф]])),
IF((G131="5/16"),((база!$L$6*Таблица1[[#This Row],[сумма]]*Таблица1[[#This Row],[коэф]])),
IF((G131="4/16"),((база!$L$5*Таблица1[[#This Row],[сумма]]*Таблица1[[#This Row],[коэф]])),
IF((G131="3/16"),((база!$L$4*Таблица1[[#This Row],[сумма]]*Таблица1[[#This Row],[коэф]])),
IF((G131="4/4"),((база!$I$5*Таблица1[[#This Row],[сумма]]*Таблица1[[#This Row],[коэф]])),
IF(OR(G131="2/4",G131="3/4"),((база!$I$4*Таблица1[[#This Row],[сумма]]*Таблица1[[#This Row],[коэф]])),
IF((G131="5/8"),((база!$J$6*Таблица1[[#This Row],[сумма]]*Таблица1[[#This Row],[коэф]])),
IF((G131="4/8"),((база!$J$5*Таблица1[[#This Row],[сумма]]*Таблица1[[#This Row],[коэф]])),
IF(OR(G131="3/8",G131="2/8"),((база!$J$4*Таблица1[[#This Row],[сумма]]*Таблица1[[#This Row],[коэф]])))))))))))))),
(IF((G131="5/24"),((база!$M$6*Таблица1[[#This Row],[сумма]]*Таблица1[[#This Row],[коэф]])),
IF(OR(G131="4/24",G131="3/24"),((база!$M$5*Таблица1[[#This Row],[сумма]]*Таблица1[[#This Row],[коэф]])),
IF((G131="5/16"),((база!$L$6*Таблица1[[#This Row],[сумма]]*Таблица1[[#This Row],[коэф]])),
IF(OR(G131="4/16",G131="3/16"),((база!$L$5*Таблица1[[#This Row],[сумма]]*Таблица1[[#This Row],[коэф]])),
IF(OR(G131="2/4",G131="3/4",G131="4/4"),((база!$I$5*Таблица1[[#This Row],[сумма]]*Таблица1[[#This Row],[коэф]])),
IF((G131="5/8"),((база!$J$6*Таблица1[[#This Row],[сумма]]*Таблица1[[#This Row],[коэф]])),
IF(OR(G131="4/8",G131="3/8",G131="2/8"),((база!$J$5*Таблица1[[#This Row],[сумма]]*Таблица1[[#This Row],[коэф]])))))))))))</f>
        <v>0</v>
      </c>
      <c r="AP131" s="715" t="b">
        <f>IF(AR131&lt;=3,(IF((G131="5/24"),((база!$M$6*2*Таблица1[[#This Row],[Столбец1]]*Таблица1[[#This Row],[коэф]])),
IF((G131="4/24"),((база!$M$5*2*Таблица1[[#This Row],[Столбец1]]*Таблица1[[#This Row],[коэф]])),
IF((G131="3/24"),((база!$M$4*2*Таблица1[[#This Row],[Столбец1]]*Таблица1[[#This Row],[коэф]])),
IF((G131="5/16"),((база!$L$6*2*Таблица1[[#This Row],[Столбец1]]*Таблица1[[#This Row],[коэф]])),
IF((G131="4/16"),((база!$L$5*2*Таблица1[[#This Row],[Столбец1]]*Таблица1[[#This Row],[коэф]])),
IF((G131="3/16"),((база!$L$4*2*Таблица1[[#This Row],[Столбец1]]*Таблица1[[#This Row],[коэф]])),
IF((G131="4/4"),((база!$I$5*2*Таблица1[[#This Row],[Столбец1]]*Таблица1[[#This Row],[коэф]])),
IF(OR(G131="2/4",G131="3/4"),((база!$I$4*2*Таблица1[[#This Row],[Столбец1]]*Таблица1[[#This Row],[коэф]])),
IF((G131="5/8"),((база!$J$6*2*Таблица1[[#This Row],[Столбец1]]*Таблица1[[#This Row],[коэф]])),
IF((G131="4/8"),((база!$J$5*2*Таблица1[[#This Row],[Столбец1]]*Таблица1[[#This Row],[коэф]])),
IF(OR(G131="3/8",G131="2/8"),((база!$J$4*2*Таблица1[[#This Row],[Столбец1]]*Таблица1[[#This Row],[коэф]])))))))))))))),
(IF((G131="5/24"),((база!$M$6*2*Таблица1[[#This Row],[Столбец1]]*Таблица1[[#This Row],[коэф]])),
IF(OR(G131="4/24",G131="3/24"),((база!$M$5*2*Таблица1[[#This Row],[Столбец1]]*Таблица1[[#This Row],[коэф]])),
IF((G131="5/16"),((база!$L$6*2*Таблица1[[#This Row],[Столбец1]]*Таблица1[[#This Row],[коэф]])),
IF(OR(G131="4/16",G131="3/16"),((база!$L$5*2*Таблица1[[#This Row],[Столбец1]]*Таблица1[[#This Row],[коэф]])),
IF(OR(G131="2/4",G131="3/4",G131="4/4"),((база!$I$5*2*Таблица1[[#This Row],[Столбец1]]*Таблица1[[#This Row],[коэф]])),
IF((G131="5/8"),((база!$J$6*2*Таблица1[[#This Row],[Столбец1]]*Таблица1[[#This Row],[коэф]])),
IF(OR(G131="4/8",G131="3/8",G131="2/8"),((база!$J$5*2*Таблица1[[#This Row],[Столбец1]]*Таблица1[[#This Row],[коэф]])))))))))))</f>
        <v>0</v>
      </c>
      <c r="AQ131" s="697" t="str">
        <f>IFERROR(INDEX(база!T:T, MATCH(F131,база!Q:Q,0)),"")</f>
        <v/>
      </c>
      <c r="AR131" s="207">
        <f>IFERROR(INDEX(база!D:D, MATCH(F131,база!B:B,0)),"")</f>
        <v>0</v>
      </c>
    </row>
    <row r="132" spans="1:44" ht="15">
      <c r="A132" s="66" t="str">
        <f t="shared" si="4"/>
        <v>декабрь</v>
      </c>
      <c r="B132" s="230">
        <v>2023</v>
      </c>
      <c r="C132" s="299"/>
      <c r="D132" s="61"/>
      <c r="E132" s="210"/>
      <c r="F132" s="670"/>
      <c r="G132" s="47"/>
      <c r="H132" s="563"/>
      <c r="I132" s="563"/>
      <c r="J132" s="563"/>
      <c r="K132" s="563"/>
      <c r="L132" s="563"/>
      <c r="M132" s="563"/>
      <c r="N132" s="563"/>
      <c r="O132" s="563"/>
      <c r="P132" s="300"/>
      <c r="Q132" s="563"/>
      <c r="R132" s="563"/>
      <c r="S132" s="563"/>
      <c r="T132" s="48"/>
      <c r="U132" s="48"/>
      <c r="V132" s="48"/>
      <c r="W132" s="48"/>
      <c r="X132" s="563"/>
      <c r="Y132" s="563"/>
      <c r="Z132" s="48"/>
      <c r="AA132" s="48"/>
      <c r="AB132" s="48"/>
      <c r="AC132" s="48"/>
      <c r="AD132" s="48"/>
      <c r="AE132" s="48"/>
      <c r="AF132" s="48"/>
      <c r="AG132" s="48"/>
      <c r="AH132" s="48"/>
      <c r="AI132" s="48"/>
      <c r="AJ132" s="257"/>
      <c r="AK132" s="257"/>
      <c r="AL132" s="257"/>
      <c r="AM132" s="211">
        <f>IF(AQ132=1,SUM(H132:I132,L132:O132,R132:U132,X132:AA132,AD132:AG132,AI132:AK132),
IF(AQ132=2,SUM(H132:K132,N132:Q132,T132:W132,Z132:AC132,AF132:AI132),
IF(AQ132=3,SUM(J132:M132,P132:S132,V132:Y132,AB132:AE132,AH132:AK132),SUM(Таблица1[[#This Row],[1]:[31]])-Таблица1[[#This Row],[Столбец1]])))</f>
        <v>0</v>
      </c>
      <c r="AN132" s="290">
        <f t="array" ref="AN132">IF(AQ132=1,SUM(J132:K132,P132:Q132,V132:W132,AB132:AC132,AH132:AI132),
IF(AQ132=2,SUM(L132:M132,R132:S132,X132:Y132,AD132:AE132),
IF(AQ132=3,SUM(H132:I132,N132:O132,T132:U132,Z132:AA132,AF132:AG132),
SUM(IFERROR(WEEKDAY($H$2:$AL$2,2)&gt;5,)*H132:AL132))))</f>
        <v>0</v>
      </c>
      <c r="AO132" s="292" t="b">
        <f>IF(AR132&lt;=3,(IF((G132="5/24"),((база!$M$6*Таблица1[[#This Row],[сумма]]*Таблица1[[#This Row],[коэф]])),
IF((G132="4/24"),((база!$M$5*Таблица1[[#This Row],[сумма]]*Таблица1[[#This Row],[коэф]])),
IF((G132="3/24"),((база!$M$4*Таблица1[[#This Row],[сумма]]*Таблица1[[#This Row],[коэф]])),
IF((G132="5/16"),((база!$L$6*Таблица1[[#This Row],[сумма]]*Таблица1[[#This Row],[коэф]])),
IF((G132="4/16"),((база!$L$5*Таблица1[[#This Row],[сумма]]*Таблица1[[#This Row],[коэф]])),
IF((G132="3/16"),((база!$L$4*Таблица1[[#This Row],[сумма]]*Таблица1[[#This Row],[коэф]])),
IF((G132="4/4"),((база!$I$5*Таблица1[[#This Row],[сумма]]*Таблица1[[#This Row],[коэф]])),
IF(OR(G132="2/4",G132="3/4"),((база!$I$4*Таблица1[[#This Row],[сумма]]*Таблица1[[#This Row],[коэф]])),
IF((G132="5/8"),((база!$J$6*Таблица1[[#This Row],[сумма]]*Таблица1[[#This Row],[коэф]])),
IF((G132="4/8"),((база!$J$5*Таблица1[[#This Row],[сумма]]*Таблица1[[#This Row],[коэф]])),
IF(OR(G132="3/8",G132="2/8"),((база!$J$4*Таблица1[[#This Row],[сумма]]*Таблица1[[#This Row],[коэф]])))))))))))))),
(IF((G132="5/24"),((база!$M$6*Таблица1[[#This Row],[сумма]]*Таблица1[[#This Row],[коэф]])),
IF(OR(G132="4/24",G132="3/24"),((база!$M$5*Таблица1[[#This Row],[сумма]]*Таблица1[[#This Row],[коэф]])),
IF((G132="5/16"),((база!$L$6*Таблица1[[#This Row],[сумма]]*Таблица1[[#This Row],[коэф]])),
IF(OR(G132="4/16",G132="3/16"),((база!$L$5*Таблица1[[#This Row],[сумма]]*Таблица1[[#This Row],[коэф]])),
IF(OR(G132="2/4",G132="3/4",G132="4/4"),((база!$I$5*Таблица1[[#This Row],[сумма]]*Таблица1[[#This Row],[коэф]])),
IF((G132="5/8"),((база!$J$6*Таблица1[[#This Row],[сумма]]*Таблица1[[#This Row],[коэф]])),
IF(OR(G132="4/8",G132="3/8",G132="2/8"),((база!$J$5*Таблица1[[#This Row],[сумма]]*Таблица1[[#This Row],[коэф]])))))))))))</f>
        <v>0</v>
      </c>
      <c r="AP132" s="715" t="b">
        <f>IF(AR132&lt;=3,(IF((G132="5/24"),((база!$M$6*2*Таблица1[[#This Row],[Столбец1]]*Таблица1[[#This Row],[коэф]])),
IF((G132="4/24"),((база!$M$5*2*Таблица1[[#This Row],[Столбец1]]*Таблица1[[#This Row],[коэф]])),
IF((G132="3/24"),((база!$M$4*2*Таблица1[[#This Row],[Столбец1]]*Таблица1[[#This Row],[коэф]])),
IF((G132="5/16"),((база!$L$6*2*Таблица1[[#This Row],[Столбец1]]*Таблица1[[#This Row],[коэф]])),
IF((G132="4/16"),((база!$L$5*2*Таблица1[[#This Row],[Столбец1]]*Таблица1[[#This Row],[коэф]])),
IF((G132="3/16"),((база!$L$4*2*Таблица1[[#This Row],[Столбец1]]*Таблица1[[#This Row],[коэф]])),
IF((G132="4/4"),((база!$I$5*2*Таблица1[[#This Row],[Столбец1]]*Таблица1[[#This Row],[коэф]])),
IF(OR(G132="2/4",G132="3/4"),((база!$I$4*2*Таблица1[[#This Row],[Столбец1]]*Таблица1[[#This Row],[коэф]])),
IF((G132="5/8"),((база!$J$6*2*Таблица1[[#This Row],[Столбец1]]*Таблица1[[#This Row],[коэф]])),
IF((G132="4/8"),((база!$J$5*2*Таблица1[[#This Row],[Столбец1]]*Таблица1[[#This Row],[коэф]])),
IF(OR(G132="3/8",G132="2/8"),((база!$J$4*2*Таблица1[[#This Row],[Столбец1]]*Таблица1[[#This Row],[коэф]])))))))))))))),
(IF((G132="5/24"),((база!$M$6*2*Таблица1[[#This Row],[Столбец1]]*Таблица1[[#This Row],[коэф]])),
IF(OR(G132="4/24",G132="3/24"),((база!$M$5*2*Таблица1[[#This Row],[Столбец1]]*Таблица1[[#This Row],[коэф]])),
IF((G132="5/16"),((база!$L$6*2*Таблица1[[#This Row],[Столбец1]]*Таблица1[[#This Row],[коэф]])),
IF(OR(G132="4/16",G132="3/16"),((база!$L$5*2*Таблица1[[#This Row],[Столбец1]]*Таблица1[[#This Row],[коэф]])),
IF(OR(G132="2/4",G132="3/4",G132="4/4"),((база!$I$5*2*Таблица1[[#This Row],[Столбец1]]*Таблица1[[#This Row],[коэф]])),
IF((G132="5/8"),((база!$J$6*2*Таблица1[[#This Row],[Столбец1]]*Таблица1[[#This Row],[коэф]])),
IF(OR(G132="4/8",G132="3/8",G132="2/8"),((база!$J$5*2*Таблица1[[#This Row],[Столбец1]]*Таблица1[[#This Row],[коэф]])))))))))))</f>
        <v>0</v>
      </c>
      <c r="AQ132" s="697" t="str">
        <f>IFERROR(INDEX(база!T:T, MATCH(F132,база!Q:Q,0)),"")</f>
        <v/>
      </c>
      <c r="AR132" s="207">
        <f>IFERROR(INDEX(база!D:D, MATCH(F132,база!B:B,0)),"")</f>
        <v>0</v>
      </c>
    </row>
    <row r="133" spans="1:44" ht="15">
      <c r="A133" s="66" t="str">
        <f t="shared" si="4"/>
        <v>декабрь</v>
      </c>
      <c r="B133" s="230">
        <v>2023</v>
      </c>
      <c r="C133" s="60"/>
      <c r="D133" s="61"/>
      <c r="E133" s="210"/>
      <c r="F133" s="670"/>
      <c r="G133" s="47"/>
      <c r="H133" s="563"/>
      <c r="I133" s="563"/>
      <c r="J133" s="563"/>
      <c r="K133" s="563"/>
      <c r="L133" s="563"/>
      <c r="M133" s="563"/>
      <c r="N133" s="563"/>
      <c r="O133" s="563"/>
      <c r="P133" s="300"/>
      <c r="Q133" s="563"/>
      <c r="R133" s="563"/>
      <c r="S133" s="563"/>
      <c r="T133" s="48"/>
      <c r="U133" s="48"/>
      <c r="V133" s="48"/>
      <c r="W133" s="48"/>
      <c r="X133" s="563"/>
      <c r="Y133" s="563"/>
      <c r="Z133" s="563"/>
      <c r="AA133" s="563"/>
      <c r="AB133" s="563"/>
      <c r="AC133" s="563"/>
      <c r="AD133" s="48"/>
      <c r="AE133" s="48"/>
      <c r="AF133" s="48"/>
      <c r="AG133" s="48"/>
      <c r="AH133" s="48"/>
      <c r="AI133" s="48"/>
      <c r="AJ133" s="257"/>
      <c r="AK133" s="48"/>
      <c r="AL133" s="51"/>
      <c r="AM133" s="211">
        <f>IF(AQ133=1,SUM(H133:I133,L133:O133,R133:U133,X133:AA133,AD133:AG133,AI133:AK133),
IF(AQ133=2,SUM(H133:K133,N133:Q133,T133:W133,Z133:AC133,AF133:AI133),
IF(AQ133=3,SUM(J133:M133,P133:S133,V133:Y133,AB133:AE133,AH133:AK133),SUM(Таблица1[[#This Row],[1]:[31]])-Таблица1[[#This Row],[Столбец1]])))</f>
        <v>0</v>
      </c>
      <c r="AN133" s="290">
        <f t="array" ref="AN133">IF(AQ133=1,SUM(J133:K133,P133:Q133,V133:W133,AB133:AC133,AH133:AI133),
IF(AQ133=2,SUM(L133:M133,R133:S133,X133:Y133,AD133:AE133),
IF(AQ133=3,SUM(H133:I133,N133:O133,T133:U133,Z133:AA133,AF133:AG133),
SUM(IFERROR(WEEKDAY($H$2:$AL$2,2)&gt;5,)*H133:AL133))))</f>
        <v>0</v>
      </c>
      <c r="AO133" s="292" t="b">
        <f>IF(AR133&lt;=3,(IF((G133="5/24"),((база!$M$6*Таблица1[[#This Row],[сумма]]*Таблица1[[#This Row],[коэф]])),
IF((G133="4/24"),((база!$M$5*Таблица1[[#This Row],[сумма]]*Таблица1[[#This Row],[коэф]])),
IF((G133="3/24"),((база!$M$4*Таблица1[[#This Row],[сумма]]*Таблица1[[#This Row],[коэф]])),
IF((G133="5/16"),((база!$L$6*Таблица1[[#This Row],[сумма]]*Таблица1[[#This Row],[коэф]])),
IF((G133="4/16"),((база!$L$5*Таблица1[[#This Row],[сумма]]*Таблица1[[#This Row],[коэф]])),
IF((G133="3/16"),((база!$L$4*Таблица1[[#This Row],[сумма]]*Таблица1[[#This Row],[коэф]])),
IF((G133="4/4"),((база!$I$5*Таблица1[[#This Row],[сумма]]*Таблица1[[#This Row],[коэф]])),
IF(OR(G133="2/4",G133="3/4"),((база!$I$4*Таблица1[[#This Row],[сумма]]*Таблица1[[#This Row],[коэф]])),
IF((G133="5/8"),((база!$J$6*Таблица1[[#This Row],[сумма]]*Таблица1[[#This Row],[коэф]])),
IF((G133="4/8"),((база!$J$5*Таблица1[[#This Row],[сумма]]*Таблица1[[#This Row],[коэф]])),
IF(OR(G133="3/8",G133="2/8"),((база!$J$4*Таблица1[[#This Row],[сумма]]*Таблица1[[#This Row],[коэф]])))))))))))))),
(IF((G133="5/24"),((база!$M$6*Таблица1[[#This Row],[сумма]]*Таблица1[[#This Row],[коэф]])),
IF(OR(G133="4/24",G133="3/24"),((база!$M$5*Таблица1[[#This Row],[сумма]]*Таблица1[[#This Row],[коэф]])),
IF((G133="5/16"),((база!$L$6*Таблица1[[#This Row],[сумма]]*Таблица1[[#This Row],[коэф]])),
IF(OR(G133="4/16",G133="3/16"),((база!$L$5*Таблица1[[#This Row],[сумма]]*Таблица1[[#This Row],[коэф]])),
IF(OR(G133="2/4",G133="3/4",G133="4/4"),((база!$I$5*Таблица1[[#This Row],[сумма]]*Таблица1[[#This Row],[коэф]])),
IF((G133="5/8"),((база!$J$6*Таблица1[[#This Row],[сумма]]*Таблица1[[#This Row],[коэф]])),
IF(OR(G133="4/8",G133="3/8",G133="2/8"),((база!$J$5*Таблица1[[#This Row],[сумма]]*Таблица1[[#This Row],[коэф]])))))))))))</f>
        <v>0</v>
      </c>
      <c r="AP133" s="715" t="b">
        <f>IF(AR133&lt;=3,(IF((G133="5/24"),((база!$M$6*2*Таблица1[[#This Row],[Столбец1]]*Таблица1[[#This Row],[коэф]])),
IF((G133="4/24"),((база!$M$5*2*Таблица1[[#This Row],[Столбец1]]*Таблица1[[#This Row],[коэф]])),
IF((G133="3/24"),((база!$M$4*2*Таблица1[[#This Row],[Столбец1]]*Таблица1[[#This Row],[коэф]])),
IF((G133="5/16"),((база!$L$6*2*Таблица1[[#This Row],[Столбец1]]*Таблица1[[#This Row],[коэф]])),
IF((G133="4/16"),((база!$L$5*2*Таблица1[[#This Row],[Столбец1]]*Таблица1[[#This Row],[коэф]])),
IF((G133="3/16"),((база!$L$4*2*Таблица1[[#This Row],[Столбец1]]*Таблица1[[#This Row],[коэф]])),
IF((G133="4/4"),((база!$I$5*2*Таблица1[[#This Row],[Столбец1]]*Таблица1[[#This Row],[коэф]])),
IF(OR(G133="2/4",G133="3/4"),((база!$I$4*2*Таблица1[[#This Row],[Столбец1]]*Таблица1[[#This Row],[коэф]])),
IF((G133="5/8"),((база!$J$6*2*Таблица1[[#This Row],[Столбец1]]*Таблица1[[#This Row],[коэф]])),
IF((G133="4/8"),((база!$J$5*2*Таблица1[[#This Row],[Столбец1]]*Таблица1[[#This Row],[коэф]])),
IF(OR(G133="3/8",G133="2/8"),((база!$J$4*2*Таблица1[[#This Row],[Столбец1]]*Таблица1[[#This Row],[коэф]])))))))))))))),
(IF((G133="5/24"),((база!$M$6*2*Таблица1[[#This Row],[Столбец1]]*Таблица1[[#This Row],[коэф]])),
IF(OR(G133="4/24",G133="3/24"),((база!$M$5*2*Таблица1[[#This Row],[Столбец1]]*Таблица1[[#This Row],[коэф]])),
IF((G133="5/16"),((база!$L$6*2*Таблица1[[#This Row],[Столбец1]]*Таблица1[[#This Row],[коэф]])),
IF(OR(G133="4/16",G133="3/16"),((база!$L$5*2*Таблица1[[#This Row],[Столбец1]]*Таблица1[[#This Row],[коэф]])),
IF(OR(G133="2/4",G133="3/4",G133="4/4"),((база!$I$5*2*Таблица1[[#This Row],[Столбец1]]*Таблица1[[#This Row],[коэф]])),
IF((G133="5/8"),((база!$J$6*2*Таблица1[[#This Row],[Столбец1]]*Таблица1[[#This Row],[коэф]])),
IF(OR(G133="4/8",G133="3/8",G133="2/8"),((база!$J$5*2*Таблица1[[#This Row],[Столбец1]]*Таблица1[[#This Row],[коэф]])))))))))))</f>
        <v>0</v>
      </c>
      <c r="AQ133" s="697" t="str">
        <f>IFERROR(INDEX(база!T:T, MATCH(F133,база!Q:Q,0)),"")</f>
        <v/>
      </c>
      <c r="AR133" s="207">
        <f>IFERROR(INDEX(база!D:D, MATCH(F133,база!B:B,0)),"")</f>
        <v>0</v>
      </c>
    </row>
    <row r="134" spans="1:44" ht="15">
      <c r="A134" s="66" t="str">
        <f t="shared" si="3"/>
        <v>декабрь</v>
      </c>
      <c r="B134" s="230">
        <v>2023</v>
      </c>
      <c r="C134" s="299"/>
      <c r="D134" s="61"/>
      <c r="E134" s="210"/>
      <c r="F134" s="670"/>
      <c r="G134" s="47"/>
      <c r="H134" s="563"/>
      <c r="I134" s="563"/>
      <c r="J134" s="563"/>
      <c r="K134" s="563"/>
      <c r="L134" s="563"/>
      <c r="M134" s="563"/>
      <c r="N134" s="563"/>
      <c r="O134" s="563"/>
      <c r="P134" s="563"/>
      <c r="Q134" s="563"/>
      <c r="R134" s="563"/>
      <c r="S134" s="563"/>
      <c r="T134" s="563"/>
      <c r="U134" s="563"/>
      <c r="V134" s="563"/>
      <c r="W134" s="563"/>
      <c r="X134" s="563"/>
      <c r="Y134" s="563"/>
      <c r="Z134" s="48"/>
      <c r="AA134" s="48"/>
      <c r="AB134" s="48"/>
      <c r="AC134" s="48"/>
      <c r="AD134" s="48"/>
      <c r="AE134" s="48"/>
      <c r="AF134" s="48"/>
      <c r="AG134" s="48"/>
      <c r="AH134" s="48"/>
      <c r="AI134" s="48"/>
      <c r="AJ134" s="257"/>
      <c r="AK134" s="257"/>
      <c r="AL134" s="257"/>
      <c r="AM134" s="211">
        <f>IF(AQ134=1,SUM(H134:I134,L134:O134,R134:U134,X134:AA134,AD134:AG134,AI134:AK134),
IF(AQ134=2,SUM(H134:K134,N134:Q134,T134:W134,Z134:AC134,AF134:AI134),
IF(AQ134=3,SUM(J134:M134,P134:S134,V134:Y134,AB134:AE134,AH134:AK134),SUM(Таблица1[[#This Row],[1]:[31]])-Таблица1[[#This Row],[Столбец1]])))</f>
        <v>0</v>
      </c>
      <c r="AN134" s="290">
        <f t="array" ref="AN134">IF(AQ134=1,SUM(J134:K134,P134:Q134,V134:W134,AB134:AC134,AH134:AI134),
IF(AQ134=2,SUM(L134:M134,R134:S134,X134:Y134,AD134:AE134),
IF(AQ134=3,SUM(H134:I134,N134:O134,T134:U134,Z134:AA134,AF134:AG134),
SUM(IFERROR(WEEKDAY($H$2:$AL$2,2)&gt;5,)*H134:AL134))))</f>
        <v>0</v>
      </c>
      <c r="AO134" s="292" t="b">
        <f>IF(AR134&lt;=3,(IF((G134="5/24"),((база!$M$6*Таблица1[[#This Row],[сумма]]*Таблица1[[#This Row],[коэф]])),
IF((G134="4/24"),((база!$M$5*Таблица1[[#This Row],[сумма]]*Таблица1[[#This Row],[коэф]])),
IF((G134="3/24"),((база!$M$4*Таблица1[[#This Row],[сумма]]*Таблица1[[#This Row],[коэф]])),
IF((G134="5/16"),((база!$L$6*Таблица1[[#This Row],[сумма]]*Таблица1[[#This Row],[коэф]])),
IF((G134="4/16"),((база!$L$5*Таблица1[[#This Row],[сумма]]*Таблица1[[#This Row],[коэф]])),
IF((G134="3/16"),((база!$L$4*Таблица1[[#This Row],[сумма]]*Таблица1[[#This Row],[коэф]])),
IF((G134="4/4"),((база!$I$5*Таблица1[[#This Row],[сумма]]*Таблица1[[#This Row],[коэф]])),
IF(OR(G134="2/4",G134="3/4"),((база!$I$4*Таблица1[[#This Row],[сумма]]*Таблица1[[#This Row],[коэф]])),
IF((G134="5/8"),((база!$J$6*Таблица1[[#This Row],[сумма]]*Таблица1[[#This Row],[коэф]])),
IF((G134="4/8"),((база!$J$5*Таблица1[[#This Row],[сумма]]*Таблица1[[#This Row],[коэф]])),
IF(OR(G134="3/8",G134="2/8"),((база!$J$4*Таблица1[[#This Row],[сумма]]*Таблица1[[#This Row],[коэф]])))))))))))))),
(IF((G134="5/24"),((база!$M$6*Таблица1[[#This Row],[сумма]]*Таблица1[[#This Row],[коэф]])),
IF(OR(G134="4/24",G134="3/24"),((база!$M$5*Таблица1[[#This Row],[сумма]]*Таблица1[[#This Row],[коэф]])),
IF((G134="5/16"),((база!$L$6*Таблица1[[#This Row],[сумма]]*Таблица1[[#This Row],[коэф]])),
IF(OR(G134="4/16",G134="3/16"),((база!$L$5*Таблица1[[#This Row],[сумма]]*Таблица1[[#This Row],[коэф]])),
IF(OR(G134="2/4",G134="3/4",G134="4/4"),((база!$I$5*Таблица1[[#This Row],[сумма]]*Таблица1[[#This Row],[коэф]])),
IF((G134="5/8"),((база!$J$6*Таблица1[[#This Row],[сумма]]*Таблица1[[#This Row],[коэф]])),
IF(OR(G134="4/8",G134="3/8",G134="2/8"),((база!$J$5*Таблица1[[#This Row],[сумма]]*Таблица1[[#This Row],[коэф]])))))))))))</f>
        <v>0</v>
      </c>
      <c r="AP134" s="715" t="b">
        <f>IF(AR134&lt;=3,(IF((G134="5/24"),((база!$M$6*2*Таблица1[[#This Row],[Столбец1]]*Таблица1[[#This Row],[коэф]])),
IF((G134="4/24"),((база!$M$5*2*Таблица1[[#This Row],[Столбец1]]*Таблица1[[#This Row],[коэф]])),
IF((G134="3/24"),((база!$M$4*2*Таблица1[[#This Row],[Столбец1]]*Таблица1[[#This Row],[коэф]])),
IF((G134="5/16"),((база!$L$6*2*Таблица1[[#This Row],[Столбец1]]*Таблица1[[#This Row],[коэф]])),
IF((G134="4/16"),((база!$L$5*2*Таблица1[[#This Row],[Столбец1]]*Таблица1[[#This Row],[коэф]])),
IF((G134="3/16"),((база!$L$4*2*Таблица1[[#This Row],[Столбец1]]*Таблица1[[#This Row],[коэф]])),
IF((G134="4/4"),((база!$I$5*2*Таблица1[[#This Row],[Столбец1]]*Таблица1[[#This Row],[коэф]])),
IF(OR(G134="2/4",G134="3/4"),((база!$I$4*2*Таблица1[[#This Row],[Столбец1]]*Таблица1[[#This Row],[коэф]])),
IF((G134="5/8"),((база!$J$6*2*Таблица1[[#This Row],[Столбец1]]*Таблица1[[#This Row],[коэф]])),
IF((G134="4/8"),((база!$J$5*2*Таблица1[[#This Row],[Столбец1]]*Таблица1[[#This Row],[коэф]])),
IF(OR(G134="3/8",G134="2/8"),((база!$J$4*2*Таблица1[[#This Row],[Столбец1]]*Таблица1[[#This Row],[коэф]])))))))))))))),
(IF((G134="5/24"),((база!$M$6*2*Таблица1[[#This Row],[Столбец1]]*Таблица1[[#This Row],[коэф]])),
IF(OR(G134="4/24",G134="3/24"),((база!$M$5*2*Таблица1[[#This Row],[Столбец1]]*Таблица1[[#This Row],[коэф]])),
IF((G134="5/16"),((база!$L$6*2*Таблица1[[#This Row],[Столбец1]]*Таблица1[[#This Row],[коэф]])),
IF(OR(G134="4/16",G134="3/16"),((база!$L$5*2*Таблица1[[#This Row],[Столбец1]]*Таблица1[[#This Row],[коэф]])),
IF(OR(G134="2/4",G134="3/4",G134="4/4"),((база!$I$5*2*Таблица1[[#This Row],[Столбец1]]*Таблица1[[#This Row],[коэф]])),
IF((G134="5/8"),((база!$J$6*2*Таблица1[[#This Row],[Столбец1]]*Таблица1[[#This Row],[коэф]])),
IF(OR(G134="4/8",G134="3/8",G134="2/8"),((база!$J$5*2*Таблица1[[#This Row],[Столбец1]]*Таблица1[[#This Row],[коэф]])))))))))))</f>
        <v>0</v>
      </c>
      <c r="AQ134" s="697" t="str">
        <f>IFERROR(INDEX(база!T:T, MATCH(F134,база!Q:Q,0)),"")</f>
        <v/>
      </c>
      <c r="AR134" s="207">
        <f>IFERROR(INDEX(база!D:D, MATCH(F134,база!B:B,0)),"")</f>
        <v>0</v>
      </c>
    </row>
    <row r="135" spans="1:44" ht="15">
      <c r="A135" s="66" t="str">
        <f t="shared" si="3"/>
        <v>декабрь</v>
      </c>
      <c r="B135" s="230">
        <v>2023</v>
      </c>
      <c r="C135" s="60"/>
      <c r="D135" s="61"/>
      <c r="E135" s="210"/>
      <c r="F135" s="670"/>
      <c r="G135" s="47"/>
      <c r="H135" s="563"/>
      <c r="I135" s="563"/>
      <c r="J135" s="563"/>
      <c r="K135" s="563"/>
      <c r="L135" s="563"/>
      <c r="M135" s="563"/>
      <c r="N135" s="563"/>
      <c r="O135" s="563"/>
      <c r="P135" s="563"/>
      <c r="Q135" s="563"/>
      <c r="R135" s="563"/>
      <c r="S135" s="563"/>
      <c r="T135" s="563"/>
      <c r="U135" s="563"/>
      <c r="V135" s="563"/>
      <c r="W135" s="563"/>
      <c r="X135" s="563"/>
      <c r="Y135" s="48"/>
      <c r="Z135" s="48"/>
      <c r="AA135" s="48"/>
      <c r="AB135" s="48"/>
      <c r="AC135" s="48"/>
      <c r="AD135" s="48"/>
      <c r="AE135" s="48"/>
      <c r="AF135" s="48"/>
      <c r="AG135" s="48"/>
      <c r="AH135" s="48"/>
      <c r="AI135" s="48"/>
      <c r="AJ135" s="48"/>
      <c r="AK135" s="257"/>
      <c r="AL135" s="257"/>
      <c r="AM135" s="211">
        <f>IF(AQ135=1,SUM(H135:I135,L135:O135,R135:U135,X135:AA135,AD135:AG135,AI135:AK135),
IF(AQ135=2,SUM(H135:K135,N135:Q135,T135:W135,Z135:AC135,AF135:AI135),
IF(AQ135=3,SUM(J135:M135,P135:S135,V135:Y135,AB135:AE135,AH135:AK135),SUM(Таблица1[[#This Row],[1]:[31]])-Таблица1[[#This Row],[Столбец1]])))</f>
        <v>0</v>
      </c>
      <c r="AN135" s="290">
        <f t="array" ref="AN135">IF(AQ135=1,SUM(J135:K135,P135:Q135,V135:W135,AB135:AC135,AH135:AI135),
IF(AQ135=2,SUM(L135:M135,R135:S135,X135:Y135,AD135:AE135),
IF(AQ135=3,SUM(H135:I135,N135:O135,T135:U135,Z135:AA135,AF135:AG135),
SUM(IFERROR(WEEKDAY($H$2:$AL$2,2)&gt;5,)*H135:AL135))))</f>
        <v>0</v>
      </c>
      <c r="AO135" s="292" t="b">
        <f>IF(AR135&lt;=3,(IF((G135="5/24"),((база!$M$6*Таблица1[[#This Row],[сумма]]*Таблица1[[#This Row],[коэф]])),
IF((G135="4/24"),((база!$M$5*Таблица1[[#This Row],[сумма]]*Таблица1[[#This Row],[коэф]])),
IF((G135="3/24"),((база!$M$4*Таблица1[[#This Row],[сумма]]*Таблица1[[#This Row],[коэф]])),
IF((G135="5/16"),((база!$L$6*Таблица1[[#This Row],[сумма]]*Таблица1[[#This Row],[коэф]])),
IF((G135="4/16"),((база!$L$5*Таблица1[[#This Row],[сумма]]*Таблица1[[#This Row],[коэф]])),
IF((G135="3/16"),((база!$L$4*Таблица1[[#This Row],[сумма]]*Таблица1[[#This Row],[коэф]])),
IF((G135="4/4"),((база!$I$5*Таблица1[[#This Row],[сумма]]*Таблица1[[#This Row],[коэф]])),
IF(OR(G135="2/4",G135="3/4"),((база!$I$4*Таблица1[[#This Row],[сумма]]*Таблица1[[#This Row],[коэф]])),
IF((G135="5/8"),((база!$J$6*Таблица1[[#This Row],[сумма]]*Таблица1[[#This Row],[коэф]])),
IF((G135="4/8"),((база!$J$5*Таблица1[[#This Row],[сумма]]*Таблица1[[#This Row],[коэф]])),
IF(OR(G135="3/8",G135="2/8"),((база!$J$4*Таблица1[[#This Row],[сумма]]*Таблица1[[#This Row],[коэф]])))))))))))))),
(IF((G135="5/24"),((база!$M$6*Таблица1[[#This Row],[сумма]]*Таблица1[[#This Row],[коэф]])),
IF(OR(G135="4/24",G135="3/24"),((база!$M$5*Таблица1[[#This Row],[сумма]]*Таблица1[[#This Row],[коэф]])),
IF((G135="5/16"),((база!$L$6*Таблица1[[#This Row],[сумма]]*Таблица1[[#This Row],[коэф]])),
IF(OR(G135="4/16",G135="3/16"),((база!$L$5*Таблица1[[#This Row],[сумма]]*Таблица1[[#This Row],[коэф]])),
IF(OR(G135="2/4",G135="3/4",G135="4/4"),((база!$I$5*Таблица1[[#This Row],[сумма]]*Таблица1[[#This Row],[коэф]])),
IF((G135="5/8"),((база!$J$6*Таблица1[[#This Row],[сумма]]*Таблица1[[#This Row],[коэф]])),
IF(OR(G135="4/8",G135="3/8",G135="2/8"),((база!$J$5*Таблица1[[#This Row],[сумма]]*Таблица1[[#This Row],[коэф]])))))))))))</f>
        <v>0</v>
      </c>
      <c r="AP135" s="715" t="b">
        <f>IF(AR135&lt;=3,(IF((G135="5/24"),((база!$M$6*2*Таблица1[[#This Row],[Столбец1]]*Таблица1[[#This Row],[коэф]])),
IF((G135="4/24"),((база!$M$5*2*Таблица1[[#This Row],[Столбец1]]*Таблица1[[#This Row],[коэф]])),
IF((G135="3/24"),((база!$M$4*2*Таблица1[[#This Row],[Столбец1]]*Таблица1[[#This Row],[коэф]])),
IF((G135="5/16"),((база!$L$6*2*Таблица1[[#This Row],[Столбец1]]*Таблица1[[#This Row],[коэф]])),
IF((G135="4/16"),((база!$L$5*2*Таблица1[[#This Row],[Столбец1]]*Таблица1[[#This Row],[коэф]])),
IF((G135="3/16"),((база!$L$4*2*Таблица1[[#This Row],[Столбец1]]*Таблица1[[#This Row],[коэф]])),
IF((G135="4/4"),((база!$I$5*2*Таблица1[[#This Row],[Столбец1]]*Таблица1[[#This Row],[коэф]])),
IF(OR(G135="2/4",G135="3/4"),((база!$I$4*2*Таблица1[[#This Row],[Столбец1]]*Таблица1[[#This Row],[коэф]])),
IF((G135="5/8"),((база!$J$6*2*Таблица1[[#This Row],[Столбец1]]*Таблица1[[#This Row],[коэф]])),
IF((G135="4/8"),((база!$J$5*2*Таблица1[[#This Row],[Столбец1]]*Таблица1[[#This Row],[коэф]])),
IF(OR(G135="3/8",G135="2/8"),((база!$J$4*2*Таблица1[[#This Row],[Столбец1]]*Таблица1[[#This Row],[коэф]])))))))))))))),
(IF((G135="5/24"),((база!$M$6*2*Таблица1[[#This Row],[Столбец1]]*Таблица1[[#This Row],[коэф]])),
IF(OR(G135="4/24",G135="3/24"),((база!$M$5*2*Таблица1[[#This Row],[Столбец1]]*Таблица1[[#This Row],[коэф]])),
IF((G135="5/16"),((база!$L$6*2*Таблица1[[#This Row],[Столбец1]]*Таблица1[[#This Row],[коэф]])),
IF(OR(G135="4/16",G135="3/16"),((база!$L$5*2*Таблица1[[#This Row],[Столбец1]]*Таблица1[[#This Row],[коэф]])),
IF(OR(G135="2/4",G135="3/4",G135="4/4"),((база!$I$5*2*Таблица1[[#This Row],[Столбец1]]*Таблица1[[#This Row],[коэф]])),
IF((G135="5/8"),((база!$J$6*2*Таблица1[[#This Row],[Столбец1]]*Таблица1[[#This Row],[коэф]])),
IF(OR(G135="4/8",G135="3/8",G135="2/8"),((база!$J$5*2*Таблица1[[#This Row],[Столбец1]]*Таблица1[[#This Row],[коэф]])))))))))))</f>
        <v>0</v>
      </c>
      <c r="AQ135" s="697" t="str">
        <f>IFERROR(INDEX(база!T:T, MATCH(F135,база!Q:Q,0)),"")</f>
        <v/>
      </c>
      <c r="AR135" s="207">
        <f>IFERROR(INDEX(база!D:D, MATCH(F135,база!B:B,0)),"")</f>
        <v>0</v>
      </c>
    </row>
    <row r="136" spans="1:44" ht="15">
      <c r="A136" s="66" t="str">
        <f t="shared" si="3"/>
        <v>декабрь</v>
      </c>
      <c r="B136" s="230">
        <v>2023</v>
      </c>
      <c r="C136" s="60"/>
      <c r="D136" s="61"/>
      <c r="E136" s="210"/>
      <c r="F136" s="670"/>
      <c r="G136" s="47"/>
      <c r="H136" s="563"/>
      <c r="I136" s="563"/>
      <c r="J136" s="563"/>
      <c r="K136" s="48"/>
      <c r="L136" s="48"/>
      <c r="M136" s="563"/>
      <c r="N136" s="563"/>
      <c r="O136" s="563"/>
      <c r="P136" s="563"/>
      <c r="Q136" s="563"/>
      <c r="R136" s="48"/>
      <c r="S136" s="48"/>
      <c r="T136" s="48"/>
      <c r="U136" s="48"/>
      <c r="V136" s="48"/>
      <c r="W136" s="563"/>
      <c r="X136" s="563"/>
      <c r="Y136" s="48"/>
      <c r="Z136" s="48"/>
      <c r="AA136" s="48"/>
      <c r="AB136" s="48"/>
      <c r="AC136" s="48"/>
      <c r="AD136" s="48"/>
      <c r="AE136" s="48"/>
      <c r="AF136" s="257"/>
      <c r="AG136" s="257"/>
      <c r="AH136" s="257"/>
      <c r="AI136" s="257"/>
      <c r="AJ136" s="257"/>
      <c r="AK136" s="257"/>
      <c r="AL136" s="257"/>
      <c r="AM136" s="211">
        <f>IF(AQ136=1,SUM(H136:I136,L136:O136,R136:U136,X136:AA136,AD136:AG136,AI136:AK136),
IF(AQ136=2,SUM(H136:K136,N136:Q136,T136:W136,Z136:AC136,AF136:AI136),
IF(AQ136=3,SUM(J136:M136,P136:S136,V136:Y136,AB136:AE136,AH136:AK136),SUM(Таблица1[[#This Row],[1]:[31]])-Таблица1[[#This Row],[Столбец1]])))</f>
        <v>0</v>
      </c>
      <c r="AN136" s="290">
        <f t="array" ref="AN136">IF(AQ136=1,SUM(J136:K136,P136:Q136,V136:W136,AB136:AC136,AH136:AI136),
IF(AQ136=2,SUM(L136:M136,R136:S136,X136:Y136,AD136:AE136),
IF(AQ136=3,SUM(H136:I136,N136:O136,T136:U136,Z136:AA136,AF136:AG136),
SUM(IFERROR(WEEKDAY($H$2:$AL$2,2)&gt;5,)*H136:AL136))))</f>
        <v>0</v>
      </c>
      <c r="AO136" s="292" t="b">
        <f>IF(AR136&lt;=3,(IF((G136="5/24"),((база!$M$6*Таблица1[[#This Row],[сумма]]*Таблица1[[#This Row],[коэф]])),
IF((G136="4/24"),((база!$M$5*Таблица1[[#This Row],[сумма]]*Таблица1[[#This Row],[коэф]])),
IF((G136="3/24"),((база!$M$4*Таблица1[[#This Row],[сумма]]*Таблица1[[#This Row],[коэф]])),
IF((G136="5/16"),((база!$L$6*Таблица1[[#This Row],[сумма]]*Таблица1[[#This Row],[коэф]])),
IF((G136="4/16"),((база!$L$5*Таблица1[[#This Row],[сумма]]*Таблица1[[#This Row],[коэф]])),
IF((G136="3/16"),((база!$L$4*Таблица1[[#This Row],[сумма]]*Таблица1[[#This Row],[коэф]])),
IF((G136="4/4"),((база!$I$5*Таблица1[[#This Row],[сумма]]*Таблица1[[#This Row],[коэф]])),
IF(OR(G136="2/4",G136="3/4"),((база!$I$4*Таблица1[[#This Row],[сумма]]*Таблица1[[#This Row],[коэф]])),
IF((G136="5/8"),((база!$J$6*Таблица1[[#This Row],[сумма]]*Таблица1[[#This Row],[коэф]])),
IF((G136="4/8"),((база!$J$5*Таблица1[[#This Row],[сумма]]*Таблица1[[#This Row],[коэф]])),
IF(OR(G136="3/8",G136="2/8"),((база!$J$4*Таблица1[[#This Row],[сумма]]*Таблица1[[#This Row],[коэф]])))))))))))))),
(IF((G136="5/24"),((база!$M$6*Таблица1[[#This Row],[сумма]]*Таблица1[[#This Row],[коэф]])),
IF(OR(G136="4/24",G136="3/24"),((база!$M$5*Таблица1[[#This Row],[сумма]]*Таблица1[[#This Row],[коэф]])),
IF((G136="5/16"),((база!$L$6*Таблица1[[#This Row],[сумма]]*Таблица1[[#This Row],[коэф]])),
IF(OR(G136="4/16",G136="3/16"),((база!$L$5*Таблица1[[#This Row],[сумма]]*Таблица1[[#This Row],[коэф]])),
IF(OR(G136="2/4",G136="3/4",G136="4/4"),((база!$I$5*Таблица1[[#This Row],[сумма]]*Таблица1[[#This Row],[коэф]])),
IF((G136="5/8"),((база!$J$6*Таблица1[[#This Row],[сумма]]*Таблица1[[#This Row],[коэф]])),
IF(OR(G136="4/8",G136="3/8",G136="2/8"),((база!$J$5*Таблица1[[#This Row],[сумма]]*Таблица1[[#This Row],[коэф]])))))))))))</f>
        <v>0</v>
      </c>
      <c r="AP136" s="715" t="b">
        <f>IF(AR136&lt;=3,(IF((G136="5/24"),((база!$M$6*2*Таблица1[[#This Row],[Столбец1]]*Таблица1[[#This Row],[коэф]])),
IF((G136="4/24"),((база!$M$5*2*Таблица1[[#This Row],[Столбец1]]*Таблица1[[#This Row],[коэф]])),
IF((G136="3/24"),((база!$M$4*2*Таблица1[[#This Row],[Столбец1]]*Таблица1[[#This Row],[коэф]])),
IF((G136="5/16"),((база!$L$6*2*Таблица1[[#This Row],[Столбец1]]*Таблица1[[#This Row],[коэф]])),
IF((G136="4/16"),((база!$L$5*2*Таблица1[[#This Row],[Столбец1]]*Таблица1[[#This Row],[коэф]])),
IF((G136="3/16"),((база!$L$4*2*Таблица1[[#This Row],[Столбец1]]*Таблица1[[#This Row],[коэф]])),
IF((G136="4/4"),((база!$I$5*2*Таблица1[[#This Row],[Столбец1]]*Таблица1[[#This Row],[коэф]])),
IF(OR(G136="2/4",G136="3/4"),((база!$I$4*2*Таблица1[[#This Row],[Столбец1]]*Таблица1[[#This Row],[коэф]])),
IF((G136="5/8"),((база!$J$6*2*Таблица1[[#This Row],[Столбец1]]*Таблица1[[#This Row],[коэф]])),
IF((G136="4/8"),((база!$J$5*2*Таблица1[[#This Row],[Столбец1]]*Таблица1[[#This Row],[коэф]])),
IF(OR(G136="3/8",G136="2/8"),((база!$J$4*2*Таблица1[[#This Row],[Столбец1]]*Таблица1[[#This Row],[коэф]])))))))))))))),
(IF((G136="5/24"),((база!$M$6*2*Таблица1[[#This Row],[Столбец1]]*Таблица1[[#This Row],[коэф]])),
IF(OR(G136="4/24",G136="3/24"),((база!$M$5*2*Таблица1[[#This Row],[Столбец1]]*Таблица1[[#This Row],[коэф]])),
IF((G136="5/16"),((база!$L$6*2*Таблица1[[#This Row],[Столбец1]]*Таблица1[[#This Row],[коэф]])),
IF(OR(G136="4/16",G136="3/16"),((база!$L$5*2*Таблица1[[#This Row],[Столбец1]]*Таблица1[[#This Row],[коэф]])),
IF(OR(G136="2/4",G136="3/4",G136="4/4"),((база!$I$5*2*Таблица1[[#This Row],[Столбец1]]*Таблица1[[#This Row],[коэф]])),
IF((G136="5/8"),((база!$J$6*2*Таблица1[[#This Row],[Столбец1]]*Таблица1[[#This Row],[коэф]])),
IF(OR(G136="4/8",G136="3/8",G136="2/8"),((база!$J$5*2*Таблица1[[#This Row],[Столбец1]]*Таблица1[[#This Row],[коэф]])))))))))))</f>
        <v>0</v>
      </c>
      <c r="AQ136" s="697" t="str">
        <f>IFERROR(INDEX(база!T:T, MATCH(F136,база!Q:Q,0)),"")</f>
        <v/>
      </c>
      <c r="AR136" s="207">
        <f>IFERROR(INDEX(база!D:D, MATCH(F136,база!B:B,0)),"")</f>
        <v>0</v>
      </c>
    </row>
    <row r="137" spans="1:44" ht="15">
      <c r="A137" s="66" t="str">
        <f t="shared" si="3"/>
        <v>декабрь</v>
      </c>
      <c r="B137" s="230">
        <v>2023</v>
      </c>
      <c r="C137" s="60"/>
      <c r="D137" s="61"/>
      <c r="E137" s="210"/>
      <c r="F137" s="670"/>
      <c r="G137" s="47"/>
      <c r="H137" s="563"/>
      <c r="I137" s="563"/>
      <c r="J137" s="563"/>
      <c r="K137" s="48"/>
      <c r="L137" s="48"/>
      <c r="M137" s="563"/>
      <c r="N137" s="563"/>
      <c r="O137" s="563"/>
      <c r="P137" s="300"/>
      <c r="Q137" s="300"/>
      <c r="R137" s="48"/>
      <c r="S137" s="48"/>
      <c r="T137" s="48"/>
      <c r="U137" s="48"/>
      <c r="V137" s="48"/>
      <c r="W137" s="563"/>
      <c r="X137" s="563"/>
      <c r="Y137" s="48"/>
      <c r="Z137" s="48"/>
      <c r="AA137" s="48"/>
      <c r="AB137" s="48"/>
      <c r="AC137" s="48"/>
      <c r="AD137" s="48"/>
      <c r="AE137" s="48"/>
      <c r="AF137" s="257"/>
      <c r="AG137" s="257"/>
      <c r="AH137" s="257"/>
      <c r="AI137" s="257"/>
      <c r="AJ137" s="257"/>
      <c r="AK137" s="257"/>
      <c r="AL137" s="257"/>
      <c r="AM137" s="211">
        <f>IF(AQ137=1,SUM(H137:I137,L137:O137,R137:U137,X137:AA137,AD137:AG137,AI137:AK137),
IF(AQ137=2,SUM(H137:K137,N137:Q137,T137:W137,Z137:AC137,AF137:AI137),
IF(AQ137=3,SUM(J137:M137,P137:S137,V137:Y137,AB137:AE137,AH137:AK137),SUM(Таблица1[[#This Row],[1]:[31]])-Таблица1[[#This Row],[Столбец1]])))</f>
        <v>0</v>
      </c>
      <c r="AN137" s="290">
        <f t="array" ref="AN137">IF(AQ137=1,SUM(J137:K137,P137:Q137,V137:W137,AB137:AC137,AH137:AI137),
IF(AQ137=2,SUM(L137:M137,R137:S137,X137:Y137,AD137:AE137),
IF(AQ137=3,SUM(H137:I137,N137:O137,T137:U137,Z137:AA137,AF137:AG137),
SUM(IFERROR(WEEKDAY($H$2:$AL$2,2)&gt;5,)*H137:AL137))))</f>
        <v>0</v>
      </c>
      <c r="AO137" s="292" t="b">
        <f>IF(AR137&lt;=3,(IF((G137="5/24"),((база!$M$6*Таблица1[[#This Row],[сумма]]*Таблица1[[#This Row],[коэф]])),
IF((G137="4/24"),((база!$M$5*Таблица1[[#This Row],[сумма]]*Таблица1[[#This Row],[коэф]])),
IF((G137="3/24"),((база!$M$4*Таблица1[[#This Row],[сумма]]*Таблица1[[#This Row],[коэф]])),
IF((G137="5/16"),((база!$L$6*Таблица1[[#This Row],[сумма]]*Таблица1[[#This Row],[коэф]])),
IF((G137="4/16"),((база!$L$5*Таблица1[[#This Row],[сумма]]*Таблица1[[#This Row],[коэф]])),
IF((G137="3/16"),((база!$L$4*Таблица1[[#This Row],[сумма]]*Таблица1[[#This Row],[коэф]])),
IF((G137="4/4"),((база!$I$5*Таблица1[[#This Row],[сумма]]*Таблица1[[#This Row],[коэф]])),
IF(OR(G137="2/4",G137="3/4"),((база!$I$4*Таблица1[[#This Row],[сумма]]*Таблица1[[#This Row],[коэф]])),
IF((G137="5/8"),((база!$J$6*Таблица1[[#This Row],[сумма]]*Таблица1[[#This Row],[коэф]])),
IF((G137="4/8"),((база!$J$5*Таблица1[[#This Row],[сумма]]*Таблица1[[#This Row],[коэф]])),
IF(OR(G137="3/8",G137="2/8"),((база!$J$4*Таблица1[[#This Row],[сумма]]*Таблица1[[#This Row],[коэф]])))))))))))))),
(IF((G137="5/24"),((база!$M$6*Таблица1[[#This Row],[сумма]]*Таблица1[[#This Row],[коэф]])),
IF(OR(G137="4/24",G137="3/24"),((база!$M$5*Таблица1[[#This Row],[сумма]]*Таблица1[[#This Row],[коэф]])),
IF((G137="5/16"),((база!$L$6*Таблица1[[#This Row],[сумма]]*Таблица1[[#This Row],[коэф]])),
IF(OR(G137="4/16",G137="3/16"),((база!$L$5*Таблица1[[#This Row],[сумма]]*Таблица1[[#This Row],[коэф]])),
IF(OR(G137="2/4",G137="3/4",G137="4/4"),((база!$I$5*Таблица1[[#This Row],[сумма]]*Таблица1[[#This Row],[коэф]])),
IF((G137="5/8"),((база!$J$6*Таблица1[[#This Row],[сумма]]*Таблица1[[#This Row],[коэф]])),
IF(OR(G137="4/8",G137="3/8",G137="2/8"),((база!$J$5*Таблица1[[#This Row],[сумма]]*Таблица1[[#This Row],[коэф]])))))))))))</f>
        <v>0</v>
      </c>
      <c r="AP137" s="715" t="b">
        <f>IF(AR137&lt;=3,(IF((G137="5/24"),((база!$M$6*2*Таблица1[[#This Row],[Столбец1]]*Таблица1[[#This Row],[коэф]])),
IF((G137="4/24"),((база!$M$5*2*Таблица1[[#This Row],[Столбец1]]*Таблица1[[#This Row],[коэф]])),
IF((G137="3/24"),((база!$M$4*2*Таблица1[[#This Row],[Столбец1]]*Таблица1[[#This Row],[коэф]])),
IF((G137="5/16"),((база!$L$6*2*Таблица1[[#This Row],[Столбец1]]*Таблица1[[#This Row],[коэф]])),
IF((G137="4/16"),((база!$L$5*2*Таблица1[[#This Row],[Столбец1]]*Таблица1[[#This Row],[коэф]])),
IF((G137="3/16"),((база!$L$4*2*Таблица1[[#This Row],[Столбец1]]*Таблица1[[#This Row],[коэф]])),
IF((G137="4/4"),((база!$I$5*2*Таблица1[[#This Row],[Столбец1]]*Таблица1[[#This Row],[коэф]])),
IF(OR(G137="2/4",G137="3/4"),((база!$I$4*2*Таблица1[[#This Row],[Столбец1]]*Таблица1[[#This Row],[коэф]])),
IF((G137="5/8"),((база!$J$6*2*Таблица1[[#This Row],[Столбец1]]*Таблица1[[#This Row],[коэф]])),
IF((G137="4/8"),((база!$J$5*2*Таблица1[[#This Row],[Столбец1]]*Таблица1[[#This Row],[коэф]])),
IF(OR(G137="3/8",G137="2/8"),((база!$J$4*2*Таблица1[[#This Row],[Столбец1]]*Таблица1[[#This Row],[коэф]])))))))))))))),
(IF((G137="5/24"),((база!$M$6*2*Таблица1[[#This Row],[Столбец1]]*Таблица1[[#This Row],[коэф]])),
IF(OR(G137="4/24",G137="3/24"),((база!$M$5*2*Таблица1[[#This Row],[Столбец1]]*Таблица1[[#This Row],[коэф]])),
IF((G137="5/16"),((база!$L$6*2*Таблица1[[#This Row],[Столбец1]]*Таблица1[[#This Row],[коэф]])),
IF(OR(G137="4/16",G137="3/16"),((база!$L$5*2*Таблица1[[#This Row],[Столбец1]]*Таблица1[[#This Row],[коэф]])),
IF(OR(G137="2/4",G137="3/4",G137="4/4"),((база!$I$5*2*Таблица1[[#This Row],[Столбец1]]*Таблица1[[#This Row],[коэф]])),
IF((G137="5/8"),((база!$J$6*2*Таблица1[[#This Row],[Столбец1]]*Таблица1[[#This Row],[коэф]])),
IF(OR(G137="4/8",G137="3/8",G137="2/8"),((база!$J$5*2*Таблица1[[#This Row],[Столбец1]]*Таблица1[[#This Row],[коэф]])))))))))))</f>
        <v>0</v>
      </c>
      <c r="AQ137" s="697" t="str">
        <f>IFERROR(INDEX(база!T:T, MATCH(F137,база!Q:Q,0)),"")</f>
        <v/>
      </c>
      <c r="AR137" s="207">
        <f>IFERROR(INDEX(база!D:D, MATCH(F137,база!B:B,0)),"")</f>
        <v>0</v>
      </c>
    </row>
    <row r="138" spans="1:44" ht="15">
      <c r="A138" s="66" t="str">
        <f t="shared" si="3"/>
        <v>декабрь</v>
      </c>
      <c r="B138" s="230">
        <v>2023</v>
      </c>
      <c r="C138" s="299"/>
      <c r="D138" s="61"/>
      <c r="E138" s="210"/>
      <c r="F138" s="670"/>
      <c r="G138" s="47"/>
      <c r="H138" s="563"/>
      <c r="I138" s="563"/>
      <c r="J138" s="563"/>
      <c r="K138" s="563"/>
      <c r="L138" s="563"/>
      <c r="M138" s="563"/>
      <c r="N138" s="563"/>
      <c r="O138" s="563"/>
      <c r="P138" s="300"/>
      <c r="Q138" s="300"/>
      <c r="R138" s="48"/>
      <c r="S138" s="48"/>
      <c r="T138" s="48"/>
      <c r="U138" s="48"/>
      <c r="V138" s="48"/>
      <c r="W138" s="563"/>
      <c r="X138" s="563"/>
      <c r="Y138" s="48"/>
      <c r="Z138" s="48"/>
      <c r="AA138" s="48"/>
      <c r="AB138" s="48"/>
      <c r="AC138" s="48"/>
      <c r="AD138" s="48"/>
      <c r="AE138" s="48"/>
      <c r="AF138" s="257"/>
      <c r="AG138" s="257"/>
      <c r="AH138" s="257"/>
      <c r="AI138" s="257"/>
      <c r="AJ138" s="257"/>
      <c r="AK138" s="257"/>
      <c r="AL138" s="257"/>
      <c r="AM138" s="211">
        <f>IF(AQ138=1,SUM(H138:I138,L138:O138,R138:U138,X138:AA138,AD138:AG138,AI138:AK138),
IF(AQ138=2,SUM(H138:K138,N138:Q138,T138:W138,Z138:AC138,AF138:AI138),
IF(AQ138=3,SUM(J138:M138,P138:S138,V138:Y138,AB138:AE138,AH138:AK138),SUM(Таблица1[[#This Row],[1]:[31]])-Таблица1[[#This Row],[Столбец1]])))</f>
        <v>0</v>
      </c>
      <c r="AN138" s="290">
        <f t="array" ref="AN138">IF(AQ138=1,SUM(J138:K138,P138:Q138,V138:W138,AB138:AC138,AH138:AI138),
IF(AQ138=2,SUM(L138:M138,R138:S138,X138:Y138,AD138:AE138),
IF(AQ138=3,SUM(H138:I138,N138:O138,T138:U138,Z138:AA138,AF138:AG138),
SUM(IFERROR(WEEKDAY($H$2:$AL$2,2)&gt;5,)*H138:AL138))))</f>
        <v>0</v>
      </c>
      <c r="AO138" s="292" t="b">
        <f>IF(AR138&lt;=3,(IF((G138="5/24"),((база!$M$6*Таблица1[[#This Row],[сумма]]*Таблица1[[#This Row],[коэф]])),
IF((G138="4/24"),((база!$M$5*Таблица1[[#This Row],[сумма]]*Таблица1[[#This Row],[коэф]])),
IF((G138="3/24"),((база!$M$4*Таблица1[[#This Row],[сумма]]*Таблица1[[#This Row],[коэф]])),
IF((G138="5/16"),((база!$L$6*Таблица1[[#This Row],[сумма]]*Таблица1[[#This Row],[коэф]])),
IF((G138="4/16"),((база!$L$5*Таблица1[[#This Row],[сумма]]*Таблица1[[#This Row],[коэф]])),
IF((G138="3/16"),((база!$L$4*Таблица1[[#This Row],[сумма]]*Таблица1[[#This Row],[коэф]])),
IF((G138="4/4"),((база!$I$5*Таблица1[[#This Row],[сумма]]*Таблица1[[#This Row],[коэф]])),
IF(OR(G138="2/4",G138="3/4"),((база!$I$4*Таблица1[[#This Row],[сумма]]*Таблица1[[#This Row],[коэф]])),
IF((G138="5/8"),((база!$J$6*Таблица1[[#This Row],[сумма]]*Таблица1[[#This Row],[коэф]])),
IF((G138="4/8"),((база!$J$5*Таблица1[[#This Row],[сумма]]*Таблица1[[#This Row],[коэф]])),
IF(OR(G138="3/8",G138="2/8"),((база!$J$4*Таблица1[[#This Row],[сумма]]*Таблица1[[#This Row],[коэф]])))))))))))))),
(IF((G138="5/24"),((база!$M$6*Таблица1[[#This Row],[сумма]]*Таблица1[[#This Row],[коэф]])),
IF(OR(G138="4/24",G138="3/24"),((база!$M$5*Таблица1[[#This Row],[сумма]]*Таблица1[[#This Row],[коэф]])),
IF((G138="5/16"),((база!$L$6*Таблица1[[#This Row],[сумма]]*Таблица1[[#This Row],[коэф]])),
IF(OR(G138="4/16",G138="3/16"),((база!$L$5*Таблица1[[#This Row],[сумма]]*Таблица1[[#This Row],[коэф]])),
IF(OR(G138="2/4",G138="3/4",G138="4/4"),((база!$I$5*Таблица1[[#This Row],[сумма]]*Таблица1[[#This Row],[коэф]])),
IF((G138="5/8"),((база!$J$6*Таблица1[[#This Row],[сумма]]*Таблица1[[#This Row],[коэф]])),
IF(OR(G138="4/8",G138="3/8",G138="2/8"),((база!$J$5*Таблица1[[#This Row],[сумма]]*Таблица1[[#This Row],[коэф]])))))))))))</f>
        <v>0</v>
      </c>
      <c r="AP138" s="715" t="b">
        <f>IF(AR138&lt;=3,(IF((G138="5/24"),((база!$M$6*2*Таблица1[[#This Row],[Столбец1]]*Таблица1[[#This Row],[коэф]])),
IF((G138="4/24"),((база!$M$5*2*Таблица1[[#This Row],[Столбец1]]*Таблица1[[#This Row],[коэф]])),
IF((G138="3/24"),((база!$M$4*2*Таблица1[[#This Row],[Столбец1]]*Таблица1[[#This Row],[коэф]])),
IF((G138="5/16"),((база!$L$6*2*Таблица1[[#This Row],[Столбец1]]*Таблица1[[#This Row],[коэф]])),
IF((G138="4/16"),((база!$L$5*2*Таблица1[[#This Row],[Столбец1]]*Таблица1[[#This Row],[коэф]])),
IF((G138="3/16"),((база!$L$4*2*Таблица1[[#This Row],[Столбец1]]*Таблица1[[#This Row],[коэф]])),
IF((G138="4/4"),((база!$I$5*2*Таблица1[[#This Row],[Столбец1]]*Таблица1[[#This Row],[коэф]])),
IF(OR(G138="2/4",G138="3/4"),((база!$I$4*2*Таблица1[[#This Row],[Столбец1]]*Таблица1[[#This Row],[коэф]])),
IF((G138="5/8"),((база!$J$6*2*Таблица1[[#This Row],[Столбец1]]*Таблица1[[#This Row],[коэф]])),
IF((G138="4/8"),((база!$J$5*2*Таблица1[[#This Row],[Столбец1]]*Таблица1[[#This Row],[коэф]])),
IF(OR(G138="3/8",G138="2/8"),((база!$J$4*2*Таблица1[[#This Row],[Столбец1]]*Таблица1[[#This Row],[коэф]])))))))))))))),
(IF((G138="5/24"),((база!$M$6*2*Таблица1[[#This Row],[Столбец1]]*Таблица1[[#This Row],[коэф]])),
IF(OR(G138="4/24",G138="3/24"),((база!$M$5*2*Таблица1[[#This Row],[Столбец1]]*Таблица1[[#This Row],[коэф]])),
IF((G138="5/16"),((база!$L$6*2*Таблица1[[#This Row],[Столбец1]]*Таблица1[[#This Row],[коэф]])),
IF(OR(G138="4/16",G138="3/16"),((база!$L$5*2*Таблица1[[#This Row],[Столбец1]]*Таблица1[[#This Row],[коэф]])),
IF(OR(G138="2/4",G138="3/4",G138="4/4"),((база!$I$5*2*Таблица1[[#This Row],[Столбец1]]*Таблица1[[#This Row],[коэф]])),
IF((G138="5/8"),((база!$J$6*2*Таблица1[[#This Row],[Столбец1]]*Таблица1[[#This Row],[коэф]])),
IF(OR(G138="4/8",G138="3/8",G138="2/8"),((база!$J$5*2*Таблица1[[#This Row],[Столбец1]]*Таблица1[[#This Row],[коэф]])))))))))))</f>
        <v>0</v>
      </c>
      <c r="AQ138" s="697" t="str">
        <f>IFERROR(INDEX(база!T:T, MATCH(F138,база!Q:Q,0)),"")</f>
        <v/>
      </c>
      <c r="AR138" s="207">
        <f>IFERROR(INDEX(база!D:D, MATCH(F138,база!B:B,0)),"")</f>
        <v>0</v>
      </c>
    </row>
    <row r="139" spans="1:44" ht="15">
      <c r="A139" s="66" t="str">
        <f t="shared" si="3"/>
        <v>декабрь</v>
      </c>
      <c r="B139" s="230">
        <v>2023</v>
      </c>
      <c r="C139" s="60"/>
      <c r="D139" s="61"/>
      <c r="E139" s="210"/>
      <c r="F139" s="669"/>
      <c r="G139" s="47"/>
      <c r="H139" s="563"/>
      <c r="I139" s="563"/>
      <c r="J139" s="563"/>
      <c r="K139" s="563"/>
      <c r="L139" s="48"/>
      <c r="M139" s="48"/>
      <c r="N139" s="48"/>
      <c r="O139" s="48"/>
      <c r="P139" s="300"/>
      <c r="Q139" s="563"/>
      <c r="R139" s="48"/>
      <c r="S139" s="48"/>
      <c r="T139" s="48"/>
      <c r="U139" s="48"/>
      <c r="V139" s="563"/>
      <c r="W139" s="563"/>
      <c r="X139" s="48"/>
      <c r="Y139" s="48"/>
      <c r="Z139" s="48"/>
      <c r="AA139" s="48"/>
      <c r="AB139" s="563"/>
      <c r="AC139" s="563"/>
      <c r="AD139" s="48"/>
      <c r="AE139" s="48"/>
      <c r="AF139" s="257"/>
      <c r="AG139" s="257"/>
      <c r="AH139" s="257"/>
      <c r="AI139" s="257"/>
      <c r="AJ139" s="257"/>
      <c r="AK139" s="257"/>
      <c r="AL139" s="257"/>
      <c r="AM139" s="211">
        <f>IF(AQ139=1,SUM(H139:I139,L139:O139,R139:U139,X139:AA139,AD139:AG139,AI139:AK139),
IF(AQ139=2,SUM(H139:K139,N139:Q139,T139:W139,Z139:AC139,AF139:AI139),
IF(AQ139=3,SUM(J139:M139,P139:S139,V139:Y139,AB139:AE139,AH139:AK139),SUM(Таблица1[[#This Row],[1]:[31]])-Таблица1[[#This Row],[Столбец1]])))</f>
        <v>0</v>
      </c>
      <c r="AN139" s="290">
        <f t="array" ref="AN139">IF(AQ139=1,SUM(J139:K139,P139:Q139,V139:W139,AB139:AC139,AH139:AI139),
IF(AQ139=2,SUM(L139:M139,R139:S139,X139:Y139,AD139:AE139),
IF(AQ139=3,SUM(H139:I139,N139:O139,T139:U139,Z139:AA139,AF139:AG139),
SUM(IFERROR(WEEKDAY($H$2:$AL$2,2)&gt;5,)*H139:AL139))))</f>
        <v>0</v>
      </c>
      <c r="AO139" s="292" t="b">
        <f>IF(AR139&lt;=3,(IF((G139="5/24"),((база!$M$6*Таблица1[[#This Row],[сумма]]*Таблица1[[#This Row],[коэф]])),
IF((G139="4/24"),((база!$M$5*Таблица1[[#This Row],[сумма]]*Таблица1[[#This Row],[коэф]])),
IF((G139="3/24"),((база!$M$4*Таблица1[[#This Row],[сумма]]*Таблица1[[#This Row],[коэф]])),
IF((G139="5/16"),((база!$L$6*Таблица1[[#This Row],[сумма]]*Таблица1[[#This Row],[коэф]])),
IF((G139="4/16"),((база!$L$5*Таблица1[[#This Row],[сумма]]*Таблица1[[#This Row],[коэф]])),
IF((G139="3/16"),((база!$L$4*Таблица1[[#This Row],[сумма]]*Таблица1[[#This Row],[коэф]])),
IF((G139="4/4"),((база!$I$5*Таблица1[[#This Row],[сумма]]*Таблица1[[#This Row],[коэф]])),
IF(OR(G139="2/4",G139="3/4"),((база!$I$4*Таблица1[[#This Row],[сумма]]*Таблица1[[#This Row],[коэф]])),
IF((G139="5/8"),((база!$J$6*Таблица1[[#This Row],[сумма]]*Таблица1[[#This Row],[коэф]])),
IF((G139="4/8"),((база!$J$5*Таблица1[[#This Row],[сумма]]*Таблица1[[#This Row],[коэф]])),
IF(OR(G139="3/8",G139="2/8"),((база!$J$4*Таблица1[[#This Row],[сумма]]*Таблица1[[#This Row],[коэф]])))))))))))))),
(IF((G139="5/24"),((база!$M$6*Таблица1[[#This Row],[сумма]]*Таблица1[[#This Row],[коэф]])),
IF(OR(G139="4/24",G139="3/24"),((база!$M$5*Таблица1[[#This Row],[сумма]]*Таблица1[[#This Row],[коэф]])),
IF((G139="5/16"),((база!$L$6*Таблица1[[#This Row],[сумма]]*Таблица1[[#This Row],[коэф]])),
IF(OR(G139="4/16",G139="3/16"),((база!$L$5*Таблица1[[#This Row],[сумма]]*Таблица1[[#This Row],[коэф]])),
IF(OR(G139="2/4",G139="3/4",G139="4/4"),((база!$I$5*Таблица1[[#This Row],[сумма]]*Таблица1[[#This Row],[коэф]])),
IF((G139="5/8"),((база!$J$6*Таблица1[[#This Row],[сумма]]*Таблица1[[#This Row],[коэф]])),
IF(OR(G139="4/8",G139="3/8",G139="2/8"),((база!$J$5*Таблица1[[#This Row],[сумма]]*Таблица1[[#This Row],[коэф]])))))))))))</f>
        <v>0</v>
      </c>
      <c r="AP139" s="715" t="b">
        <f>IF(AR139&lt;=3,(IF((G139="5/24"),((база!$M$6*2*Таблица1[[#This Row],[Столбец1]]*Таблица1[[#This Row],[коэф]])),
IF((G139="4/24"),((база!$M$5*2*Таблица1[[#This Row],[Столбец1]]*Таблица1[[#This Row],[коэф]])),
IF((G139="3/24"),((база!$M$4*2*Таблица1[[#This Row],[Столбец1]]*Таблица1[[#This Row],[коэф]])),
IF((G139="5/16"),((база!$L$6*2*Таблица1[[#This Row],[Столбец1]]*Таблица1[[#This Row],[коэф]])),
IF((G139="4/16"),((база!$L$5*2*Таблица1[[#This Row],[Столбец1]]*Таблица1[[#This Row],[коэф]])),
IF((G139="3/16"),((база!$L$4*2*Таблица1[[#This Row],[Столбец1]]*Таблица1[[#This Row],[коэф]])),
IF((G139="4/4"),((база!$I$5*2*Таблица1[[#This Row],[Столбец1]]*Таблица1[[#This Row],[коэф]])),
IF(OR(G139="2/4",G139="3/4"),((база!$I$4*2*Таблица1[[#This Row],[Столбец1]]*Таблица1[[#This Row],[коэф]])),
IF((G139="5/8"),((база!$J$6*2*Таблица1[[#This Row],[Столбец1]]*Таблица1[[#This Row],[коэф]])),
IF((G139="4/8"),((база!$J$5*2*Таблица1[[#This Row],[Столбец1]]*Таблица1[[#This Row],[коэф]])),
IF(OR(G139="3/8",G139="2/8"),((база!$J$4*2*Таблица1[[#This Row],[Столбец1]]*Таблица1[[#This Row],[коэф]])))))))))))))),
(IF((G139="5/24"),((база!$M$6*2*Таблица1[[#This Row],[Столбец1]]*Таблица1[[#This Row],[коэф]])),
IF(OR(G139="4/24",G139="3/24"),((база!$M$5*2*Таблица1[[#This Row],[Столбец1]]*Таблица1[[#This Row],[коэф]])),
IF((G139="5/16"),((база!$L$6*2*Таблица1[[#This Row],[Столбец1]]*Таблица1[[#This Row],[коэф]])),
IF(OR(G139="4/16",G139="3/16"),((база!$L$5*2*Таблица1[[#This Row],[Столбец1]]*Таблица1[[#This Row],[коэф]])),
IF(OR(G139="2/4",G139="3/4",G139="4/4"),((база!$I$5*2*Таблица1[[#This Row],[Столбец1]]*Таблица1[[#This Row],[коэф]])),
IF((G139="5/8"),((база!$J$6*2*Таблица1[[#This Row],[Столбец1]]*Таблица1[[#This Row],[коэф]])),
IF(OR(G139="4/8",G139="3/8",G139="2/8"),((база!$J$5*2*Таблица1[[#This Row],[Столбец1]]*Таблица1[[#This Row],[коэф]])))))))))))</f>
        <v>0</v>
      </c>
      <c r="AQ139" s="697" t="str">
        <f>IFERROR(INDEX(база!T:T, MATCH(F139,база!Q:Q,0)),"")</f>
        <v/>
      </c>
      <c r="AR139" s="207">
        <f>IFERROR(INDEX(база!D:D, MATCH(F139,база!B:B,0)),"")</f>
        <v>0</v>
      </c>
    </row>
    <row r="140" spans="1:44" ht="15">
      <c r="A140" s="66" t="str">
        <f t="shared" si="3"/>
        <v>декабрь</v>
      </c>
      <c r="B140" s="230">
        <v>2023</v>
      </c>
      <c r="C140" s="571"/>
      <c r="D140" s="61"/>
      <c r="E140" s="210"/>
      <c r="F140" s="669"/>
      <c r="G140" s="47"/>
      <c r="H140" s="563"/>
      <c r="I140" s="563"/>
      <c r="J140" s="563"/>
      <c r="K140" s="563"/>
      <c r="L140" s="48"/>
      <c r="M140" s="48"/>
      <c r="N140" s="48"/>
      <c r="O140" s="48"/>
      <c r="P140" s="563"/>
      <c r="Q140" s="563"/>
      <c r="R140" s="48"/>
      <c r="S140" s="48"/>
      <c r="T140" s="48"/>
      <c r="U140" s="48"/>
      <c r="V140" s="563"/>
      <c r="W140" s="563"/>
      <c r="X140" s="48"/>
      <c r="Y140" s="48"/>
      <c r="Z140" s="48"/>
      <c r="AA140" s="48"/>
      <c r="AB140" s="563"/>
      <c r="AC140" s="563"/>
      <c r="AD140" s="48"/>
      <c r="AE140" s="48"/>
      <c r="AF140" s="257"/>
      <c r="AG140" s="257"/>
      <c r="AH140" s="257"/>
      <c r="AI140" s="257"/>
      <c r="AJ140" s="257"/>
      <c r="AK140" s="257"/>
      <c r="AL140" s="257"/>
      <c r="AM140" s="211">
        <f>IF(AQ140=1,SUM(H140:I140,L140:O140,R140:U140,X140:AA140,AD140:AG140,AI140:AK140),
IF(AQ140=2,SUM(H140:K140,N140:Q140,T140:W140,Z140:AC140,AF140:AI140),
IF(AQ140=3,SUM(J140:M140,P140:S140,V140:Y140,AB140:AE140,AH140:AK140),SUM(Таблица1[[#This Row],[1]:[31]])-Таблица1[[#This Row],[Столбец1]])))</f>
        <v>0</v>
      </c>
      <c r="AN140" s="290">
        <f t="array" ref="AN140">IF(AQ140=1,SUM(J140:K140,P140:Q140,V140:W140,AB140:AC140,AH140:AI140),
IF(AQ140=2,SUM(L140:M140,R140:S140,X140:Y140,AD140:AE140),
IF(AQ140=3,SUM(H140:I140,N140:O140,T140:U140,Z140:AA140,AF140:AG140),
SUM(IFERROR(WEEKDAY($H$2:$AL$2,2)&gt;5,)*H140:AL140))))</f>
        <v>0</v>
      </c>
      <c r="AO140" s="292" t="b">
        <f>IF(AR140&lt;=3,(IF((G140="5/24"),((база!$M$6*Таблица1[[#This Row],[сумма]]*Таблица1[[#This Row],[коэф]])),
IF((G140="4/24"),((база!$M$5*Таблица1[[#This Row],[сумма]]*Таблица1[[#This Row],[коэф]])),
IF((G140="3/24"),((база!$M$4*Таблица1[[#This Row],[сумма]]*Таблица1[[#This Row],[коэф]])),
IF((G140="5/16"),((база!$L$6*Таблица1[[#This Row],[сумма]]*Таблица1[[#This Row],[коэф]])),
IF((G140="4/16"),((база!$L$5*Таблица1[[#This Row],[сумма]]*Таблица1[[#This Row],[коэф]])),
IF((G140="3/16"),((база!$L$4*Таблица1[[#This Row],[сумма]]*Таблица1[[#This Row],[коэф]])),
IF((G140="4/4"),((база!$I$5*Таблица1[[#This Row],[сумма]]*Таблица1[[#This Row],[коэф]])),
IF(OR(G140="2/4",G140="3/4"),((база!$I$4*Таблица1[[#This Row],[сумма]]*Таблица1[[#This Row],[коэф]])),
IF((G140="5/8"),((база!$J$6*Таблица1[[#This Row],[сумма]]*Таблица1[[#This Row],[коэф]])),
IF((G140="4/8"),((база!$J$5*Таблица1[[#This Row],[сумма]]*Таблица1[[#This Row],[коэф]])),
IF(OR(G140="3/8",G140="2/8"),((база!$J$4*Таблица1[[#This Row],[сумма]]*Таблица1[[#This Row],[коэф]])))))))))))))),
(IF((G140="5/24"),((база!$M$6*Таблица1[[#This Row],[сумма]]*Таблица1[[#This Row],[коэф]])),
IF(OR(G140="4/24",G140="3/24"),((база!$M$5*Таблица1[[#This Row],[сумма]]*Таблица1[[#This Row],[коэф]])),
IF((G140="5/16"),((база!$L$6*Таблица1[[#This Row],[сумма]]*Таблица1[[#This Row],[коэф]])),
IF(OR(G140="4/16",G140="3/16"),((база!$L$5*Таблица1[[#This Row],[сумма]]*Таблица1[[#This Row],[коэф]])),
IF(OR(G140="2/4",G140="3/4",G140="4/4"),((база!$I$5*Таблица1[[#This Row],[сумма]]*Таблица1[[#This Row],[коэф]])),
IF((G140="5/8"),((база!$J$6*Таблица1[[#This Row],[сумма]]*Таблица1[[#This Row],[коэф]])),
IF(OR(G140="4/8",G140="3/8",G140="2/8"),((база!$J$5*Таблица1[[#This Row],[сумма]]*Таблица1[[#This Row],[коэф]])))))))))))</f>
        <v>0</v>
      </c>
      <c r="AP140" s="715" t="b">
        <f>IF(AR140&lt;=3,(IF((G140="5/24"),((база!$M$6*2*Таблица1[[#This Row],[Столбец1]]*Таблица1[[#This Row],[коэф]])),
IF((G140="4/24"),((база!$M$5*2*Таблица1[[#This Row],[Столбец1]]*Таблица1[[#This Row],[коэф]])),
IF((G140="3/24"),((база!$M$4*2*Таблица1[[#This Row],[Столбец1]]*Таблица1[[#This Row],[коэф]])),
IF((G140="5/16"),((база!$L$6*2*Таблица1[[#This Row],[Столбец1]]*Таблица1[[#This Row],[коэф]])),
IF((G140="4/16"),((база!$L$5*2*Таблица1[[#This Row],[Столбец1]]*Таблица1[[#This Row],[коэф]])),
IF((G140="3/16"),((база!$L$4*2*Таблица1[[#This Row],[Столбец1]]*Таблица1[[#This Row],[коэф]])),
IF((G140="4/4"),((база!$I$5*2*Таблица1[[#This Row],[Столбец1]]*Таблица1[[#This Row],[коэф]])),
IF(OR(G140="2/4",G140="3/4"),((база!$I$4*2*Таблица1[[#This Row],[Столбец1]]*Таблица1[[#This Row],[коэф]])),
IF((G140="5/8"),((база!$J$6*2*Таблица1[[#This Row],[Столбец1]]*Таблица1[[#This Row],[коэф]])),
IF((G140="4/8"),((база!$J$5*2*Таблица1[[#This Row],[Столбец1]]*Таблица1[[#This Row],[коэф]])),
IF(OR(G140="3/8",G140="2/8"),((база!$J$4*2*Таблица1[[#This Row],[Столбец1]]*Таблица1[[#This Row],[коэф]])))))))))))))),
(IF((G140="5/24"),((база!$M$6*2*Таблица1[[#This Row],[Столбец1]]*Таблица1[[#This Row],[коэф]])),
IF(OR(G140="4/24",G140="3/24"),((база!$M$5*2*Таблица1[[#This Row],[Столбец1]]*Таблица1[[#This Row],[коэф]])),
IF((G140="5/16"),((база!$L$6*2*Таблица1[[#This Row],[Столбец1]]*Таблица1[[#This Row],[коэф]])),
IF(OR(G140="4/16",G140="3/16"),((база!$L$5*2*Таблица1[[#This Row],[Столбец1]]*Таблица1[[#This Row],[коэф]])),
IF(OR(G140="2/4",G140="3/4",G140="4/4"),((база!$I$5*2*Таблица1[[#This Row],[Столбец1]]*Таблица1[[#This Row],[коэф]])),
IF((G140="5/8"),((база!$J$6*2*Таблица1[[#This Row],[Столбец1]]*Таблица1[[#This Row],[коэф]])),
IF(OR(G140="4/8",G140="3/8",G140="2/8"),((база!$J$5*2*Таблица1[[#This Row],[Столбец1]]*Таблица1[[#This Row],[коэф]])))))))))))</f>
        <v>0</v>
      </c>
      <c r="AQ140" s="697" t="str">
        <f>IFERROR(INDEX(база!T:T, MATCH(F140,база!Q:Q,0)),"")</f>
        <v/>
      </c>
      <c r="AR140" s="207">
        <f>IFERROR(INDEX(база!D:D, MATCH(F140,база!B:B,0)),"")</f>
        <v>0</v>
      </c>
    </row>
    <row r="141" spans="1:44" ht="15">
      <c r="A141" s="66" t="str">
        <f t="shared" si="3"/>
        <v>декабрь</v>
      </c>
      <c r="B141" s="230">
        <v>2023</v>
      </c>
      <c r="C141" s="60"/>
      <c r="D141" s="61"/>
      <c r="E141" s="210"/>
      <c r="F141" s="669"/>
      <c r="G141" s="47"/>
      <c r="H141" s="563"/>
      <c r="I141" s="563"/>
      <c r="J141" s="563"/>
      <c r="K141" s="563"/>
      <c r="L141" s="563"/>
      <c r="M141" s="563"/>
      <c r="N141" s="563"/>
      <c r="O141" s="563"/>
      <c r="P141" s="563"/>
      <c r="Q141" s="563"/>
      <c r="R141" s="48"/>
      <c r="S141" s="48"/>
      <c r="T141" s="48"/>
      <c r="U141" s="48"/>
      <c r="V141" s="563"/>
      <c r="W141" s="563"/>
      <c r="X141" s="48"/>
      <c r="Y141" s="48"/>
      <c r="Z141" s="48"/>
      <c r="AA141" s="48"/>
      <c r="AB141" s="563"/>
      <c r="AC141" s="563"/>
      <c r="AD141" s="48"/>
      <c r="AE141" s="48"/>
      <c r="AF141" s="257"/>
      <c r="AG141" s="257"/>
      <c r="AH141" s="257"/>
      <c r="AI141" s="257"/>
      <c r="AJ141" s="257"/>
      <c r="AK141" s="257"/>
      <c r="AL141" s="257"/>
      <c r="AM141" s="211">
        <f>IF(AQ141=1,SUM(H141:I141,L141:O141,R141:U141,X141:AA141,AD141:AG141,AI141:AK141),
IF(AQ141=2,SUM(H141:K141,N141:Q141,T141:W141,Z141:AC141,AF141:AI141),
IF(AQ141=3,SUM(J141:M141,P141:S141,V141:Y141,AB141:AE141,AH141:AK141),SUM(Таблица1[[#This Row],[1]:[31]])-Таблица1[[#This Row],[Столбец1]])))</f>
        <v>0</v>
      </c>
      <c r="AN141" s="290">
        <f t="array" ref="AN141">IF(AQ141=1,SUM(J141:K141,P141:Q141,V141:W141,AB141:AC141,AH141:AI141),
IF(AQ141=2,SUM(L141:M141,R141:S141,X141:Y141,AD141:AE141),
IF(AQ141=3,SUM(H141:I141,N141:O141,T141:U141,Z141:AA141,AF141:AG141),
SUM(IFERROR(WEEKDAY($H$2:$AL$2,2)&gt;5,)*H141:AL141))))</f>
        <v>0</v>
      </c>
      <c r="AO141" s="292" t="b">
        <f>IF(AR141&lt;=3,(IF((G141="5/24"),((база!$M$6*Таблица1[[#This Row],[сумма]]*Таблица1[[#This Row],[коэф]])),
IF((G141="4/24"),((база!$M$5*Таблица1[[#This Row],[сумма]]*Таблица1[[#This Row],[коэф]])),
IF((G141="3/24"),((база!$M$4*Таблица1[[#This Row],[сумма]]*Таблица1[[#This Row],[коэф]])),
IF((G141="5/16"),((база!$L$6*Таблица1[[#This Row],[сумма]]*Таблица1[[#This Row],[коэф]])),
IF((G141="4/16"),((база!$L$5*Таблица1[[#This Row],[сумма]]*Таблица1[[#This Row],[коэф]])),
IF((G141="3/16"),((база!$L$4*Таблица1[[#This Row],[сумма]]*Таблица1[[#This Row],[коэф]])),
IF((G141="4/4"),((база!$I$5*Таблица1[[#This Row],[сумма]]*Таблица1[[#This Row],[коэф]])),
IF(OR(G141="2/4",G141="3/4"),((база!$I$4*Таблица1[[#This Row],[сумма]]*Таблица1[[#This Row],[коэф]])),
IF((G141="5/8"),((база!$J$6*Таблица1[[#This Row],[сумма]]*Таблица1[[#This Row],[коэф]])),
IF((G141="4/8"),((база!$J$5*Таблица1[[#This Row],[сумма]]*Таблица1[[#This Row],[коэф]])),
IF(OR(G141="3/8",G141="2/8"),((база!$J$4*Таблица1[[#This Row],[сумма]]*Таблица1[[#This Row],[коэф]])))))))))))))),
(IF((G141="5/24"),((база!$M$6*Таблица1[[#This Row],[сумма]]*Таблица1[[#This Row],[коэф]])),
IF(OR(G141="4/24",G141="3/24"),((база!$M$5*Таблица1[[#This Row],[сумма]]*Таблица1[[#This Row],[коэф]])),
IF((G141="5/16"),((база!$L$6*Таблица1[[#This Row],[сумма]]*Таблица1[[#This Row],[коэф]])),
IF(OR(G141="4/16",G141="3/16"),((база!$L$5*Таблица1[[#This Row],[сумма]]*Таблица1[[#This Row],[коэф]])),
IF(OR(G141="2/4",G141="3/4",G141="4/4"),((база!$I$5*Таблица1[[#This Row],[сумма]]*Таблица1[[#This Row],[коэф]])),
IF((G141="5/8"),((база!$J$6*Таблица1[[#This Row],[сумма]]*Таблица1[[#This Row],[коэф]])),
IF(OR(G141="4/8",G141="3/8",G141="2/8"),((база!$J$5*Таблица1[[#This Row],[сумма]]*Таблица1[[#This Row],[коэф]])))))))))))</f>
        <v>0</v>
      </c>
      <c r="AP141" s="715" t="b">
        <f>IF(AR141&lt;=3,(IF((G141="5/24"),((база!$M$6*2*Таблица1[[#This Row],[Столбец1]]*Таблица1[[#This Row],[коэф]])),
IF((G141="4/24"),((база!$M$5*2*Таблица1[[#This Row],[Столбец1]]*Таблица1[[#This Row],[коэф]])),
IF((G141="3/24"),((база!$M$4*2*Таблица1[[#This Row],[Столбец1]]*Таблица1[[#This Row],[коэф]])),
IF((G141="5/16"),((база!$L$6*2*Таблица1[[#This Row],[Столбец1]]*Таблица1[[#This Row],[коэф]])),
IF((G141="4/16"),((база!$L$5*2*Таблица1[[#This Row],[Столбец1]]*Таблица1[[#This Row],[коэф]])),
IF((G141="3/16"),((база!$L$4*2*Таблица1[[#This Row],[Столбец1]]*Таблица1[[#This Row],[коэф]])),
IF((G141="4/4"),((база!$I$5*2*Таблица1[[#This Row],[Столбец1]]*Таблица1[[#This Row],[коэф]])),
IF(OR(G141="2/4",G141="3/4"),((база!$I$4*2*Таблица1[[#This Row],[Столбец1]]*Таблица1[[#This Row],[коэф]])),
IF((G141="5/8"),((база!$J$6*2*Таблица1[[#This Row],[Столбец1]]*Таблица1[[#This Row],[коэф]])),
IF((G141="4/8"),((база!$J$5*2*Таблица1[[#This Row],[Столбец1]]*Таблица1[[#This Row],[коэф]])),
IF(OR(G141="3/8",G141="2/8"),((база!$J$4*2*Таблица1[[#This Row],[Столбец1]]*Таблица1[[#This Row],[коэф]])))))))))))))),
(IF((G141="5/24"),((база!$M$6*2*Таблица1[[#This Row],[Столбец1]]*Таблица1[[#This Row],[коэф]])),
IF(OR(G141="4/24",G141="3/24"),((база!$M$5*2*Таблица1[[#This Row],[Столбец1]]*Таблица1[[#This Row],[коэф]])),
IF((G141="5/16"),((база!$L$6*2*Таблица1[[#This Row],[Столбец1]]*Таблица1[[#This Row],[коэф]])),
IF(OR(G141="4/16",G141="3/16"),((база!$L$5*2*Таблица1[[#This Row],[Столбец1]]*Таблица1[[#This Row],[коэф]])),
IF(OR(G141="2/4",G141="3/4",G141="4/4"),((база!$I$5*2*Таблица1[[#This Row],[Столбец1]]*Таблица1[[#This Row],[коэф]])),
IF((G141="5/8"),((база!$J$6*2*Таблица1[[#This Row],[Столбец1]]*Таблица1[[#This Row],[коэф]])),
IF(OR(G141="4/8",G141="3/8",G141="2/8"),((база!$J$5*2*Таблица1[[#This Row],[Столбец1]]*Таблица1[[#This Row],[коэф]])))))))))))</f>
        <v>0</v>
      </c>
      <c r="AQ141" s="697" t="str">
        <f>IFERROR(INDEX(база!T:T, MATCH(F141,база!Q:Q,0)),"")</f>
        <v/>
      </c>
      <c r="AR141" s="207">
        <f>IFERROR(INDEX(база!D:D, MATCH(F141,база!B:B,0)),"")</f>
        <v>0</v>
      </c>
    </row>
    <row r="142" spans="1:44" ht="15">
      <c r="A142" s="66" t="str">
        <f t="shared" si="3"/>
        <v>декабрь</v>
      </c>
      <c r="B142" s="230">
        <v>2023</v>
      </c>
      <c r="C142" s="60"/>
      <c r="D142" s="61"/>
      <c r="E142" s="210"/>
      <c r="F142" s="669"/>
      <c r="G142" s="47"/>
      <c r="H142" s="563"/>
      <c r="I142" s="563"/>
      <c r="J142" s="563"/>
      <c r="K142" s="563"/>
      <c r="L142" s="563"/>
      <c r="M142" s="563"/>
      <c r="N142" s="563"/>
      <c r="O142" s="563"/>
      <c r="P142" s="300"/>
      <c r="Q142" s="563"/>
      <c r="R142" s="563"/>
      <c r="S142" s="563"/>
      <c r="T142" s="563"/>
      <c r="U142" s="563"/>
      <c r="V142" s="563"/>
      <c r="W142" s="563"/>
      <c r="X142" s="48"/>
      <c r="Y142" s="48"/>
      <c r="Z142" s="48"/>
      <c r="AA142" s="48"/>
      <c r="AB142" s="563"/>
      <c r="AC142" s="563"/>
      <c r="AD142" s="48"/>
      <c r="AE142" s="48"/>
      <c r="AF142" s="257"/>
      <c r="AG142" s="257"/>
      <c r="AH142" s="257"/>
      <c r="AI142" s="257"/>
      <c r="AJ142" s="257"/>
      <c r="AK142" s="257"/>
      <c r="AL142" s="257"/>
      <c r="AM142" s="211">
        <f>IF(AQ142=1,SUM(H142:I142,L142:O142,R142:U142,X142:AA142,AD142:AG142,AI142:AK142),
IF(AQ142=2,SUM(H142:K142,N142:Q142,T142:W142,Z142:AC142,AF142:AI142),
IF(AQ142=3,SUM(J142:M142,P142:S142,V142:Y142,AB142:AE142,AH142:AK142),SUM(Таблица1[[#This Row],[1]:[31]])-Таблица1[[#This Row],[Столбец1]])))</f>
        <v>0</v>
      </c>
      <c r="AN142" s="290">
        <f t="array" ref="AN142">IF(AQ142=1,SUM(J142:K142,P142:Q142,V142:W142,AB142:AC142,AH142:AI142),
IF(AQ142=2,SUM(L142:M142,R142:S142,X142:Y142,AD142:AE142),
IF(AQ142=3,SUM(H142:I142,N142:O142,T142:U142,Z142:AA142,AF142:AG142),
SUM(IFERROR(WEEKDAY($H$2:$AL$2,2)&gt;5,)*H142:AL142))))</f>
        <v>0</v>
      </c>
      <c r="AO142" s="292" t="b">
        <f>IF(AR142&lt;=3,(IF((G142="5/24"),((база!$M$6*Таблица1[[#This Row],[сумма]]*Таблица1[[#This Row],[коэф]])),
IF((G142="4/24"),((база!$M$5*Таблица1[[#This Row],[сумма]]*Таблица1[[#This Row],[коэф]])),
IF((G142="3/24"),((база!$M$4*Таблица1[[#This Row],[сумма]]*Таблица1[[#This Row],[коэф]])),
IF((G142="5/16"),((база!$L$6*Таблица1[[#This Row],[сумма]]*Таблица1[[#This Row],[коэф]])),
IF((G142="4/16"),((база!$L$5*Таблица1[[#This Row],[сумма]]*Таблица1[[#This Row],[коэф]])),
IF((G142="3/16"),((база!$L$4*Таблица1[[#This Row],[сумма]]*Таблица1[[#This Row],[коэф]])),
IF((G142="4/4"),((база!$I$5*Таблица1[[#This Row],[сумма]]*Таблица1[[#This Row],[коэф]])),
IF(OR(G142="2/4",G142="3/4"),((база!$I$4*Таблица1[[#This Row],[сумма]]*Таблица1[[#This Row],[коэф]])),
IF((G142="5/8"),((база!$J$6*Таблица1[[#This Row],[сумма]]*Таблица1[[#This Row],[коэф]])),
IF((G142="4/8"),((база!$J$5*Таблица1[[#This Row],[сумма]]*Таблица1[[#This Row],[коэф]])),
IF(OR(G142="3/8",G142="2/8"),((база!$J$4*Таблица1[[#This Row],[сумма]]*Таблица1[[#This Row],[коэф]])))))))))))))),
(IF((G142="5/24"),((база!$M$6*Таблица1[[#This Row],[сумма]]*Таблица1[[#This Row],[коэф]])),
IF(OR(G142="4/24",G142="3/24"),((база!$M$5*Таблица1[[#This Row],[сумма]]*Таблица1[[#This Row],[коэф]])),
IF((G142="5/16"),((база!$L$6*Таблица1[[#This Row],[сумма]]*Таблица1[[#This Row],[коэф]])),
IF(OR(G142="4/16",G142="3/16"),((база!$L$5*Таблица1[[#This Row],[сумма]]*Таблица1[[#This Row],[коэф]])),
IF(OR(G142="2/4",G142="3/4",G142="4/4"),((база!$I$5*Таблица1[[#This Row],[сумма]]*Таблица1[[#This Row],[коэф]])),
IF((G142="5/8"),((база!$J$6*Таблица1[[#This Row],[сумма]]*Таблица1[[#This Row],[коэф]])),
IF(OR(G142="4/8",G142="3/8",G142="2/8"),((база!$J$5*Таблица1[[#This Row],[сумма]]*Таблица1[[#This Row],[коэф]])))))))))))</f>
        <v>0</v>
      </c>
      <c r="AP142" s="715" t="b">
        <f>IF(AR142&lt;=3,(IF((G142="5/24"),((база!$M$6*2*Таблица1[[#This Row],[Столбец1]]*Таблица1[[#This Row],[коэф]])),
IF((G142="4/24"),((база!$M$5*2*Таблица1[[#This Row],[Столбец1]]*Таблица1[[#This Row],[коэф]])),
IF((G142="3/24"),((база!$M$4*2*Таблица1[[#This Row],[Столбец1]]*Таблица1[[#This Row],[коэф]])),
IF((G142="5/16"),((база!$L$6*2*Таблица1[[#This Row],[Столбец1]]*Таблица1[[#This Row],[коэф]])),
IF((G142="4/16"),((база!$L$5*2*Таблица1[[#This Row],[Столбец1]]*Таблица1[[#This Row],[коэф]])),
IF((G142="3/16"),((база!$L$4*2*Таблица1[[#This Row],[Столбец1]]*Таблица1[[#This Row],[коэф]])),
IF((G142="4/4"),((база!$I$5*2*Таблица1[[#This Row],[Столбец1]]*Таблица1[[#This Row],[коэф]])),
IF(OR(G142="2/4",G142="3/4"),((база!$I$4*2*Таблица1[[#This Row],[Столбец1]]*Таблица1[[#This Row],[коэф]])),
IF((G142="5/8"),((база!$J$6*2*Таблица1[[#This Row],[Столбец1]]*Таблица1[[#This Row],[коэф]])),
IF((G142="4/8"),((база!$J$5*2*Таблица1[[#This Row],[Столбец1]]*Таблица1[[#This Row],[коэф]])),
IF(OR(G142="3/8",G142="2/8"),((база!$J$4*2*Таблица1[[#This Row],[Столбец1]]*Таблица1[[#This Row],[коэф]])))))))))))))),
(IF((G142="5/24"),((база!$M$6*2*Таблица1[[#This Row],[Столбец1]]*Таблица1[[#This Row],[коэф]])),
IF(OR(G142="4/24",G142="3/24"),((база!$M$5*2*Таблица1[[#This Row],[Столбец1]]*Таблица1[[#This Row],[коэф]])),
IF((G142="5/16"),((база!$L$6*2*Таблица1[[#This Row],[Столбец1]]*Таблица1[[#This Row],[коэф]])),
IF(OR(G142="4/16",G142="3/16"),((база!$L$5*2*Таблица1[[#This Row],[Столбец1]]*Таблица1[[#This Row],[коэф]])),
IF(OR(G142="2/4",G142="3/4",G142="4/4"),((база!$I$5*2*Таблица1[[#This Row],[Столбец1]]*Таблица1[[#This Row],[коэф]])),
IF((G142="5/8"),((база!$J$6*2*Таблица1[[#This Row],[Столбец1]]*Таблица1[[#This Row],[коэф]])),
IF(OR(G142="4/8",G142="3/8",G142="2/8"),((база!$J$5*2*Таблица1[[#This Row],[Столбец1]]*Таблица1[[#This Row],[коэф]])))))))))))</f>
        <v>0</v>
      </c>
      <c r="AQ142" s="697" t="str">
        <f>IFERROR(INDEX(база!T:T, MATCH(F142,база!Q:Q,0)),"")</f>
        <v/>
      </c>
      <c r="AR142" s="207">
        <f>IFERROR(INDEX(база!D:D, MATCH(F142,база!B:B,0)),"")</f>
        <v>0</v>
      </c>
    </row>
    <row r="143" spans="1:44" ht="15">
      <c r="A143" s="66" t="str">
        <f t="shared" si="3"/>
        <v>декабрь</v>
      </c>
      <c r="B143" s="230">
        <v>2023</v>
      </c>
      <c r="C143" s="299"/>
      <c r="D143" s="61"/>
      <c r="E143" s="210"/>
      <c r="F143" s="670"/>
      <c r="G143" s="47"/>
      <c r="H143" s="563"/>
      <c r="I143" s="563"/>
      <c r="J143" s="563"/>
      <c r="K143" s="563"/>
      <c r="L143" s="563"/>
      <c r="M143" s="563"/>
      <c r="N143" s="563"/>
      <c r="O143" s="563"/>
      <c r="P143" s="300"/>
      <c r="Q143" s="563"/>
      <c r="R143" s="563"/>
      <c r="S143" s="563"/>
      <c r="T143" s="48"/>
      <c r="U143" s="48"/>
      <c r="V143" s="48"/>
      <c r="W143" s="48"/>
      <c r="X143" s="563"/>
      <c r="Y143" s="563"/>
      <c r="Z143" s="563"/>
      <c r="AA143" s="563"/>
      <c r="AB143" s="563"/>
      <c r="AC143" s="563"/>
      <c r="AD143" s="48"/>
      <c r="AE143" s="48"/>
      <c r="AF143" s="48"/>
      <c r="AG143" s="48"/>
      <c r="AH143" s="48"/>
      <c r="AI143" s="48"/>
      <c r="AJ143" s="257"/>
      <c r="AK143" s="48"/>
      <c r="AL143" s="51"/>
      <c r="AM143" s="211">
        <f>IF(AQ143=1,SUM(H143:I143,L143:O143,R143:U143,X143:AA143,AD143:AG143,AI143:AK143),
IF(AQ143=2,SUM(H143:K143,N143:Q143,T143:W143,Z143:AC143,AF143:AI143),
IF(AQ143=3,SUM(J143:M143,P143:S143,V143:Y143,AB143:AE143,AH143:AK143),SUM(Таблица1[[#This Row],[1]:[31]])-Таблица1[[#This Row],[Столбец1]])))</f>
        <v>0</v>
      </c>
      <c r="AN143" s="290">
        <f t="array" ref="AN143">IF(AQ143=1,SUM(J143:K143,P143:Q143,V143:W143,AB143:AC143,AH143:AI143),
IF(AQ143=2,SUM(L143:M143,R143:S143,X143:Y143,AD143:AE143),
IF(AQ143=3,SUM(H143:I143,N143:O143,T143:U143,Z143:AA143,AF143:AG143),
SUM(IFERROR(WEEKDAY($H$2:$AL$2,2)&gt;5,)*H143:AL143))))</f>
        <v>0</v>
      </c>
      <c r="AO143" s="292" t="b">
        <f>IF(AR143&lt;=3,(IF((G143="5/24"),((база!$M$6*Таблица1[[#This Row],[сумма]]*Таблица1[[#This Row],[коэф]])),
IF((G143="4/24"),((база!$M$5*Таблица1[[#This Row],[сумма]]*Таблица1[[#This Row],[коэф]])),
IF((G143="3/24"),((база!$M$4*Таблица1[[#This Row],[сумма]]*Таблица1[[#This Row],[коэф]])),
IF((G143="5/16"),((база!$L$6*Таблица1[[#This Row],[сумма]]*Таблица1[[#This Row],[коэф]])),
IF((G143="4/16"),((база!$L$5*Таблица1[[#This Row],[сумма]]*Таблица1[[#This Row],[коэф]])),
IF((G143="3/16"),((база!$L$4*Таблица1[[#This Row],[сумма]]*Таблица1[[#This Row],[коэф]])),
IF((G143="4/4"),((база!$I$5*Таблица1[[#This Row],[сумма]]*Таблица1[[#This Row],[коэф]])),
IF(OR(G143="2/4",G143="3/4"),((база!$I$4*Таблица1[[#This Row],[сумма]]*Таблица1[[#This Row],[коэф]])),
IF((G143="5/8"),((база!$J$6*Таблица1[[#This Row],[сумма]]*Таблица1[[#This Row],[коэф]])),
IF((G143="4/8"),((база!$J$5*Таблица1[[#This Row],[сумма]]*Таблица1[[#This Row],[коэф]])),
IF(OR(G143="3/8",G143="2/8"),((база!$J$4*Таблица1[[#This Row],[сумма]]*Таблица1[[#This Row],[коэф]])))))))))))))),
(IF((G143="5/24"),((база!$M$6*Таблица1[[#This Row],[сумма]]*Таблица1[[#This Row],[коэф]])),
IF(OR(G143="4/24",G143="3/24"),((база!$M$5*Таблица1[[#This Row],[сумма]]*Таблица1[[#This Row],[коэф]])),
IF((G143="5/16"),((база!$L$6*Таблица1[[#This Row],[сумма]]*Таблица1[[#This Row],[коэф]])),
IF(OR(G143="4/16",G143="3/16"),((база!$L$5*Таблица1[[#This Row],[сумма]]*Таблица1[[#This Row],[коэф]])),
IF(OR(G143="2/4",G143="3/4",G143="4/4"),((база!$I$5*Таблица1[[#This Row],[сумма]]*Таблица1[[#This Row],[коэф]])),
IF((G143="5/8"),((база!$J$6*Таблица1[[#This Row],[сумма]]*Таблица1[[#This Row],[коэф]])),
IF(OR(G143="4/8",G143="3/8",G143="2/8"),((база!$J$5*Таблица1[[#This Row],[сумма]]*Таблица1[[#This Row],[коэф]])))))))))))</f>
        <v>0</v>
      </c>
      <c r="AP143" s="715" t="b">
        <f>IF(AR143&lt;=3,(IF((G143="5/24"),((база!$M$6*2*Таблица1[[#This Row],[Столбец1]]*Таблица1[[#This Row],[коэф]])),
IF((G143="4/24"),((база!$M$5*2*Таблица1[[#This Row],[Столбец1]]*Таблица1[[#This Row],[коэф]])),
IF((G143="3/24"),((база!$M$4*2*Таблица1[[#This Row],[Столбец1]]*Таблица1[[#This Row],[коэф]])),
IF((G143="5/16"),((база!$L$6*2*Таблица1[[#This Row],[Столбец1]]*Таблица1[[#This Row],[коэф]])),
IF((G143="4/16"),((база!$L$5*2*Таблица1[[#This Row],[Столбец1]]*Таблица1[[#This Row],[коэф]])),
IF((G143="3/16"),((база!$L$4*2*Таблица1[[#This Row],[Столбец1]]*Таблица1[[#This Row],[коэф]])),
IF((G143="4/4"),((база!$I$5*2*Таблица1[[#This Row],[Столбец1]]*Таблица1[[#This Row],[коэф]])),
IF(OR(G143="2/4",G143="3/4"),((база!$I$4*2*Таблица1[[#This Row],[Столбец1]]*Таблица1[[#This Row],[коэф]])),
IF((G143="5/8"),((база!$J$6*2*Таблица1[[#This Row],[Столбец1]]*Таблица1[[#This Row],[коэф]])),
IF((G143="4/8"),((база!$J$5*2*Таблица1[[#This Row],[Столбец1]]*Таблица1[[#This Row],[коэф]])),
IF(OR(G143="3/8",G143="2/8"),((база!$J$4*2*Таблица1[[#This Row],[Столбец1]]*Таблица1[[#This Row],[коэф]])))))))))))))),
(IF((G143="5/24"),((база!$M$6*2*Таблица1[[#This Row],[Столбец1]]*Таблица1[[#This Row],[коэф]])),
IF(OR(G143="4/24",G143="3/24"),((база!$M$5*2*Таблица1[[#This Row],[Столбец1]]*Таблица1[[#This Row],[коэф]])),
IF((G143="5/16"),((база!$L$6*2*Таблица1[[#This Row],[Столбец1]]*Таблица1[[#This Row],[коэф]])),
IF(OR(G143="4/16",G143="3/16"),((база!$L$5*2*Таблица1[[#This Row],[Столбец1]]*Таблица1[[#This Row],[коэф]])),
IF(OR(G143="2/4",G143="3/4",G143="4/4"),((база!$I$5*2*Таблица1[[#This Row],[Столбец1]]*Таблица1[[#This Row],[коэф]])),
IF((G143="5/8"),((база!$J$6*2*Таблица1[[#This Row],[Столбец1]]*Таблица1[[#This Row],[коэф]])),
IF(OR(G143="4/8",G143="3/8",G143="2/8"),((база!$J$5*2*Таблица1[[#This Row],[Столбец1]]*Таблица1[[#This Row],[коэф]])))))))))))</f>
        <v>0</v>
      </c>
      <c r="AQ143" s="697" t="str">
        <f>IFERROR(INDEX(база!T:T, MATCH(F143,база!Q:Q,0)),"")</f>
        <v/>
      </c>
      <c r="AR143" s="207">
        <f>IFERROR(INDEX(база!D:D, MATCH(F143,база!B:B,0)),"")</f>
        <v>0</v>
      </c>
    </row>
    <row r="144" spans="1:44" ht="15">
      <c r="A144" s="66" t="str">
        <f t="shared" si="3"/>
        <v>декабрь</v>
      </c>
      <c r="B144" s="230">
        <v>2023</v>
      </c>
      <c r="C144" s="571"/>
      <c r="D144" s="61"/>
      <c r="E144" s="210"/>
      <c r="F144" s="670"/>
      <c r="G144" s="47"/>
      <c r="H144" s="563"/>
      <c r="I144" s="563"/>
      <c r="J144" s="563"/>
      <c r="K144" s="563"/>
      <c r="L144" s="563"/>
      <c r="M144" s="563"/>
      <c r="N144" s="563"/>
      <c r="O144" s="563"/>
      <c r="P144" s="300"/>
      <c r="Q144" s="563"/>
      <c r="R144" s="563"/>
      <c r="S144" s="563"/>
      <c r="T144" s="563"/>
      <c r="U144" s="563"/>
      <c r="V144" s="563"/>
      <c r="W144" s="563"/>
      <c r="X144" s="563"/>
      <c r="Y144" s="563"/>
      <c r="Z144" s="563"/>
      <c r="AA144" s="563"/>
      <c r="AB144" s="563"/>
      <c r="AC144" s="563"/>
      <c r="AD144" s="48"/>
      <c r="AE144" s="48"/>
      <c r="AF144" s="48"/>
      <c r="AG144" s="48"/>
      <c r="AH144" s="48"/>
      <c r="AI144" s="48"/>
      <c r="AJ144" s="257"/>
      <c r="AK144" s="257"/>
      <c r="AL144" s="257"/>
      <c r="AM144" s="211">
        <f>IF(AQ144=1,SUM(H144:I144,L144:O144,R144:U144,X144:AA144,AD144:AG144,AI144:AK144),
IF(AQ144=2,SUM(H144:K144,N144:Q144,T144:W144,Z144:AC144,AF144:AI144),
IF(AQ144=3,SUM(J144:M144,P144:S144,V144:Y144,AB144:AE144,AH144:AK144),SUM(Таблица1[[#This Row],[1]:[31]])-Таблица1[[#This Row],[Столбец1]])))</f>
        <v>0</v>
      </c>
      <c r="AN144" s="290">
        <f t="array" ref="AN144">IF(AQ144=1,SUM(J144:K144,P144:Q144,V144:W144,AB144:AC144,AH144:AI144),
IF(AQ144=2,SUM(L144:M144,R144:S144,X144:Y144,AD144:AE144),
IF(AQ144=3,SUM(H144:I144,N144:O144,T144:U144,Z144:AA144,AF144:AG144),
SUM(IFERROR(WEEKDAY($H$2:$AL$2,2)&gt;5,)*H144:AL144))))</f>
        <v>0</v>
      </c>
      <c r="AO144" s="292" t="b">
        <f>IF(AR144&lt;=3,(IF((G144="5/24"),((база!$M$6*Таблица1[[#This Row],[сумма]]*Таблица1[[#This Row],[коэф]])),
IF((G144="4/24"),((база!$M$5*Таблица1[[#This Row],[сумма]]*Таблица1[[#This Row],[коэф]])),
IF((G144="3/24"),((база!$M$4*Таблица1[[#This Row],[сумма]]*Таблица1[[#This Row],[коэф]])),
IF((G144="5/16"),((база!$L$6*Таблица1[[#This Row],[сумма]]*Таблица1[[#This Row],[коэф]])),
IF((G144="4/16"),((база!$L$5*Таблица1[[#This Row],[сумма]]*Таблица1[[#This Row],[коэф]])),
IF((G144="3/16"),((база!$L$4*Таблица1[[#This Row],[сумма]]*Таблица1[[#This Row],[коэф]])),
IF((G144="4/4"),((база!$I$5*Таблица1[[#This Row],[сумма]]*Таблица1[[#This Row],[коэф]])),
IF(OR(G144="2/4",G144="3/4"),((база!$I$4*Таблица1[[#This Row],[сумма]]*Таблица1[[#This Row],[коэф]])),
IF((G144="5/8"),((база!$J$6*Таблица1[[#This Row],[сумма]]*Таблица1[[#This Row],[коэф]])),
IF((G144="4/8"),((база!$J$5*Таблица1[[#This Row],[сумма]]*Таблица1[[#This Row],[коэф]])),
IF(OR(G144="3/8",G144="2/8"),((база!$J$4*Таблица1[[#This Row],[сумма]]*Таблица1[[#This Row],[коэф]])))))))))))))),
(IF((G144="5/24"),((база!$M$6*Таблица1[[#This Row],[сумма]]*Таблица1[[#This Row],[коэф]])),
IF(OR(G144="4/24",G144="3/24"),((база!$M$5*Таблица1[[#This Row],[сумма]]*Таблица1[[#This Row],[коэф]])),
IF((G144="5/16"),((база!$L$6*Таблица1[[#This Row],[сумма]]*Таблица1[[#This Row],[коэф]])),
IF(OR(G144="4/16",G144="3/16"),((база!$L$5*Таблица1[[#This Row],[сумма]]*Таблица1[[#This Row],[коэф]])),
IF(OR(G144="2/4",G144="3/4",G144="4/4"),((база!$I$5*Таблица1[[#This Row],[сумма]]*Таблица1[[#This Row],[коэф]])),
IF((G144="5/8"),((база!$J$6*Таблица1[[#This Row],[сумма]]*Таблица1[[#This Row],[коэф]])),
IF(OR(G144="4/8",G144="3/8",G144="2/8"),((база!$J$5*Таблица1[[#This Row],[сумма]]*Таблица1[[#This Row],[коэф]])))))))))))</f>
        <v>0</v>
      </c>
      <c r="AP144" s="715" t="b">
        <f>IF(AR144&lt;=3,(IF((G144="5/24"),((база!$M$6*2*Таблица1[[#This Row],[Столбец1]]*Таблица1[[#This Row],[коэф]])),
IF((G144="4/24"),((база!$M$5*2*Таблица1[[#This Row],[Столбец1]]*Таблица1[[#This Row],[коэф]])),
IF((G144="3/24"),((база!$M$4*2*Таблица1[[#This Row],[Столбец1]]*Таблица1[[#This Row],[коэф]])),
IF((G144="5/16"),((база!$L$6*2*Таблица1[[#This Row],[Столбец1]]*Таблица1[[#This Row],[коэф]])),
IF((G144="4/16"),((база!$L$5*2*Таблица1[[#This Row],[Столбец1]]*Таблица1[[#This Row],[коэф]])),
IF((G144="3/16"),((база!$L$4*2*Таблица1[[#This Row],[Столбец1]]*Таблица1[[#This Row],[коэф]])),
IF((G144="4/4"),((база!$I$5*2*Таблица1[[#This Row],[Столбец1]]*Таблица1[[#This Row],[коэф]])),
IF(OR(G144="2/4",G144="3/4"),((база!$I$4*2*Таблица1[[#This Row],[Столбец1]]*Таблица1[[#This Row],[коэф]])),
IF((G144="5/8"),((база!$J$6*2*Таблица1[[#This Row],[Столбец1]]*Таблица1[[#This Row],[коэф]])),
IF((G144="4/8"),((база!$J$5*2*Таблица1[[#This Row],[Столбец1]]*Таблица1[[#This Row],[коэф]])),
IF(OR(G144="3/8",G144="2/8"),((база!$J$4*2*Таблица1[[#This Row],[Столбец1]]*Таблица1[[#This Row],[коэф]])))))))))))))),
(IF((G144="5/24"),((база!$M$6*2*Таблица1[[#This Row],[Столбец1]]*Таблица1[[#This Row],[коэф]])),
IF(OR(G144="4/24",G144="3/24"),((база!$M$5*2*Таблица1[[#This Row],[Столбец1]]*Таблица1[[#This Row],[коэф]])),
IF((G144="5/16"),((база!$L$6*2*Таблица1[[#This Row],[Столбец1]]*Таблица1[[#This Row],[коэф]])),
IF(OR(G144="4/16",G144="3/16"),((база!$L$5*2*Таблица1[[#This Row],[Столбец1]]*Таблица1[[#This Row],[коэф]])),
IF(OR(G144="2/4",G144="3/4",G144="4/4"),((база!$I$5*2*Таблица1[[#This Row],[Столбец1]]*Таблица1[[#This Row],[коэф]])),
IF((G144="5/8"),((база!$J$6*2*Таблица1[[#This Row],[Столбец1]]*Таблица1[[#This Row],[коэф]])),
IF(OR(G144="4/8",G144="3/8",G144="2/8"),((база!$J$5*2*Таблица1[[#This Row],[Столбец1]]*Таблица1[[#This Row],[коэф]])))))))))))</f>
        <v>0</v>
      </c>
      <c r="AQ144" s="697" t="str">
        <f>IFERROR(INDEX(база!T:T, MATCH(F144,база!Q:Q,0)),"")</f>
        <v/>
      </c>
      <c r="AR144" s="207">
        <f>IFERROR(INDEX(база!D:D, MATCH(F144,база!B:B,0)),"")</f>
        <v>0</v>
      </c>
    </row>
    <row r="145" spans="1:44" ht="15">
      <c r="A145" s="66" t="str">
        <f t="shared" si="3"/>
        <v>декабрь</v>
      </c>
      <c r="B145" s="230">
        <v>2023</v>
      </c>
      <c r="C145" s="299"/>
      <c r="D145" s="61"/>
      <c r="E145" s="210"/>
      <c r="F145" s="670"/>
      <c r="G145" s="47"/>
      <c r="H145" s="563"/>
      <c r="I145" s="563"/>
      <c r="J145" s="563"/>
      <c r="K145" s="563"/>
      <c r="L145" s="563"/>
      <c r="M145" s="563"/>
      <c r="N145" s="49"/>
      <c r="O145" s="48"/>
      <c r="P145" s="48"/>
      <c r="Q145" s="48"/>
      <c r="R145" s="563"/>
      <c r="S145" s="563"/>
      <c r="T145" s="563"/>
      <c r="U145" s="563"/>
      <c r="V145" s="563"/>
      <c r="W145" s="563"/>
      <c r="X145" s="563"/>
      <c r="Y145" s="563"/>
      <c r="Z145" s="48"/>
      <c r="AA145" s="48"/>
      <c r="AB145" s="48"/>
      <c r="AC145" s="48"/>
      <c r="AD145" s="48"/>
      <c r="AE145" s="48"/>
      <c r="AF145" s="257"/>
      <c r="AG145" s="257"/>
      <c r="AH145" s="257"/>
      <c r="AI145" s="257"/>
      <c r="AJ145" s="257"/>
      <c r="AK145" s="257"/>
      <c r="AL145" s="257"/>
      <c r="AM145" s="211">
        <f>IF(AQ145=1,SUM(H145:I145,L145:O145,R145:U145,X145:AA145,AD145:AG145,AI145:AK145),
IF(AQ145=2,SUM(H145:K145,N145:Q145,T145:W145,Z145:AC145,AF145:AI145),
IF(AQ145=3,SUM(J145:M145,P145:S145,V145:Y145,AB145:AE145,AH145:AK145),SUM(Таблица1[[#This Row],[1]:[31]])-Таблица1[[#This Row],[Столбец1]])))</f>
        <v>0</v>
      </c>
      <c r="AN145" s="290">
        <f t="array" ref="AN145">IF(AQ145=1,SUM(J145:K145,P145:Q145,V145:W145,AB145:AC145,AH145:AI145),
IF(AQ145=2,SUM(L145:M145,R145:S145,X145:Y145,AD145:AE145),
IF(AQ145=3,SUM(H145:I145,N145:O145,T145:U145,Z145:AA145,AF145:AG145),
SUM(IFERROR(WEEKDAY($H$2:$AL$2,2)&gt;5,)*H145:AL145))))</f>
        <v>0</v>
      </c>
      <c r="AO145" s="292" t="b">
        <f>IF(AR145&lt;=3,(IF((G145="5/24"),((база!$M$6*Таблица1[[#This Row],[сумма]]*Таблица1[[#This Row],[коэф]])),
IF((G145="4/24"),((база!$M$5*Таблица1[[#This Row],[сумма]]*Таблица1[[#This Row],[коэф]])),
IF((G145="3/24"),((база!$M$4*Таблица1[[#This Row],[сумма]]*Таблица1[[#This Row],[коэф]])),
IF((G145="5/16"),((база!$L$6*Таблица1[[#This Row],[сумма]]*Таблица1[[#This Row],[коэф]])),
IF((G145="4/16"),((база!$L$5*Таблица1[[#This Row],[сумма]]*Таблица1[[#This Row],[коэф]])),
IF((G145="3/16"),((база!$L$4*Таблица1[[#This Row],[сумма]]*Таблица1[[#This Row],[коэф]])),
IF((G145="4/4"),((база!$I$5*Таблица1[[#This Row],[сумма]]*Таблица1[[#This Row],[коэф]])),
IF(OR(G145="2/4",G145="3/4"),((база!$I$4*Таблица1[[#This Row],[сумма]]*Таблица1[[#This Row],[коэф]])),
IF((G145="5/8"),((база!$J$6*Таблица1[[#This Row],[сумма]]*Таблица1[[#This Row],[коэф]])),
IF((G145="4/8"),((база!$J$5*Таблица1[[#This Row],[сумма]]*Таблица1[[#This Row],[коэф]])),
IF(OR(G145="3/8",G145="2/8"),((база!$J$4*Таблица1[[#This Row],[сумма]]*Таблица1[[#This Row],[коэф]])))))))))))))),
(IF((G145="5/24"),((база!$M$6*Таблица1[[#This Row],[сумма]]*Таблица1[[#This Row],[коэф]])),
IF(OR(G145="4/24",G145="3/24"),((база!$M$5*Таблица1[[#This Row],[сумма]]*Таблица1[[#This Row],[коэф]])),
IF((G145="5/16"),((база!$L$6*Таблица1[[#This Row],[сумма]]*Таблица1[[#This Row],[коэф]])),
IF(OR(G145="4/16",G145="3/16"),((база!$L$5*Таблица1[[#This Row],[сумма]]*Таблица1[[#This Row],[коэф]])),
IF(OR(G145="2/4",G145="3/4",G145="4/4"),((база!$I$5*Таблица1[[#This Row],[сумма]]*Таблица1[[#This Row],[коэф]])),
IF((G145="5/8"),((база!$J$6*Таблица1[[#This Row],[сумма]]*Таблица1[[#This Row],[коэф]])),
IF(OR(G145="4/8",G145="3/8",G145="2/8"),((база!$J$5*Таблица1[[#This Row],[сумма]]*Таблица1[[#This Row],[коэф]])))))))))))</f>
        <v>0</v>
      </c>
      <c r="AP145" s="715" t="b">
        <f>IF(AR145&lt;=3,(IF((G145="5/24"),((база!$M$6*2*Таблица1[[#This Row],[Столбец1]]*Таблица1[[#This Row],[коэф]])),
IF((G145="4/24"),((база!$M$5*2*Таблица1[[#This Row],[Столбец1]]*Таблица1[[#This Row],[коэф]])),
IF((G145="3/24"),((база!$M$4*2*Таблица1[[#This Row],[Столбец1]]*Таблица1[[#This Row],[коэф]])),
IF((G145="5/16"),((база!$L$6*2*Таблица1[[#This Row],[Столбец1]]*Таблица1[[#This Row],[коэф]])),
IF((G145="4/16"),((база!$L$5*2*Таблица1[[#This Row],[Столбец1]]*Таблица1[[#This Row],[коэф]])),
IF((G145="3/16"),((база!$L$4*2*Таблица1[[#This Row],[Столбец1]]*Таблица1[[#This Row],[коэф]])),
IF((G145="4/4"),((база!$I$5*2*Таблица1[[#This Row],[Столбец1]]*Таблица1[[#This Row],[коэф]])),
IF(OR(G145="2/4",G145="3/4"),((база!$I$4*2*Таблица1[[#This Row],[Столбец1]]*Таблица1[[#This Row],[коэф]])),
IF((G145="5/8"),((база!$J$6*2*Таблица1[[#This Row],[Столбец1]]*Таблица1[[#This Row],[коэф]])),
IF((G145="4/8"),((база!$J$5*2*Таблица1[[#This Row],[Столбец1]]*Таблица1[[#This Row],[коэф]])),
IF(OR(G145="3/8",G145="2/8"),((база!$J$4*2*Таблица1[[#This Row],[Столбец1]]*Таблица1[[#This Row],[коэф]])))))))))))))),
(IF((G145="5/24"),((база!$M$6*2*Таблица1[[#This Row],[Столбец1]]*Таблица1[[#This Row],[коэф]])),
IF(OR(G145="4/24",G145="3/24"),((база!$M$5*2*Таблица1[[#This Row],[Столбец1]]*Таблица1[[#This Row],[коэф]])),
IF((G145="5/16"),((база!$L$6*2*Таблица1[[#This Row],[Столбец1]]*Таблица1[[#This Row],[коэф]])),
IF(OR(G145="4/16",G145="3/16"),((база!$L$5*2*Таблица1[[#This Row],[Столбец1]]*Таблица1[[#This Row],[коэф]])),
IF(OR(G145="2/4",G145="3/4",G145="4/4"),((база!$I$5*2*Таблица1[[#This Row],[Столбец1]]*Таблица1[[#This Row],[коэф]])),
IF((G145="5/8"),((база!$J$6*2*Таблица1[[#This Row],[Столбец1]]*Таблица1[[#This Row],[коэф]])),
IF(OR(G145="4/8",G145="3/8",G145="2/8"),((база!$J$5*2*Таблица1[[#This Row],[Столбец1]]*Таблица1[[#This Row],[коэф]])))))))))))</f>
        <v>0</v>
      </c>
      <c r="AQ145" s="697" t="str">
        <f>IFERROR(INDEX(база!T:T, MATCH(F145,база!Q:Q,0)),"")</f>
        <v/>
      </c>
      <c r="AR145" s="207">
        <f>IFERROR(INDEX(база!D:D, MATCH(F145,база!B:B,0)),"")</f>
        <v>0</v>
      </c>
    </row>
    <row r="146" spans="1:44" ht="15">
      <c r="A146" s="66" t="str">
        <f t="shared" si="3"/>
        <v>декабрь</v>
      </c>
      <c r="B146" s="230">
        <v>2023</v>
      </c>
      <c r="C146" s="60"/>
      <c r="D146" s="61"/>
      <c r="E146" s="210"/>
      <c r="F146" s="670"/>
      <c r="G146" s="47"/>
      <c r="H146" s="563"/>
      <c r="I146" s="563"/>
      <c r="J146" s="563"/>
      <c r="K146" s="563"/>
      <c r="L146" s="563"/>
      <c r="M146" s="563"/>
      <c r="N146" s="563"/>
      <c r="O146" s="563"/>
      <c r="P146" s="300"/>
      <c r="Q146" s="563"/>
      <c r="R146" s="48"/>
      <c r="S146" s="48"/>
      <c r="T146" s="48"/>
      <c r="U146" s="48"/>
      <c r="V146" s="563"/>
      <c r="W146" s="563"/>
      <c r="X146" s="563"/>
      <c r="Y146" s="563"/>
      <c r="Z146" s="563"/>
      <c r="AA146" s="563"/>
      <c r="AB146" s="563"/>
      <c r="AC146" s="563"/>
      <c r="AD146" s="48"/>
      <c r="AE146" s="48"/>
      <c r="AF146" s="48"/>
      <c r="AG146" s="48"/>
      <c r="AH146" s="48"/>
      <c r="AI146" s="48"/>
      <c r="AJ146" s="48"/>
      <c r="AK146" s="48"/>
      <c r="AL146" s="257"/>
      <c r="AM146" s="211">
        <f>IF(AQ146=1,SUM(H146:I146,L146:O146,R146:U146,X146:AA146,AD146:AG146,AI146:AK146),
IF(AQ146=2,SUM(H146:K146,N146:Q146,T146:W146,Z146:AC146,AF146:AI146),
IF(AQ146=3,SUM(J146:M146,P146:S146,V146:Y146,AB146:AE146,AH146:AK146),SUM(Таблица1[[#This Row],[1]:[31]])-Таблица1[[#This Row],[Столбец1]])))</f>
        <v>0</v>
      </c>
      <c r="AN146" s="290">
        <f t="array" ref="AN146">IF(AQ146=1,SUM(J146:K146,P146:Q146,V146:W146,AB146:AC146,AH146:AI146),
IF(AQ146=2,SUM(L146:M146,R146:S146,X146:Y146,AD146:AE146),
IF(AQ146=3,SUM(H146:I146,N146:O146,T146:U146,Z146:AA146,AF146:AG146),
SUM(IFERROR(WEEKDAY($H$2:$AL$2,2)&gt;5,)*H146:AL146))))</f>
        <v>0</v>
      </c>
      <c r="AO146" s="292" t="b">
        <f>IF(AR146&lt;=3,(IF((G146="5/24"),((база!$M$6*Таблица1[[#This Row],[сумма]]*Таблица1[[#This Row],[коэф]])),
IF((G146="4/24"),((база!$M$5*Таблица1[[#This Row],[сумма]]*Таблица1[[#This Row],[коэф]])),
IF((G146="3/24"),((база!$M$4*Таблица1[[#This Row],[сумма]]*Таблица1[[#This Row],[коэф]])),
IF((G146="5/16"),((база!$L$6*Таблица1[[#This Row],[сумма]]*Таблица1[[#This Row],[коэф]])),
IF((G146="4/16"),((база!$L$5*Таблица1[[#This Row],[сумма]]*Таблица1[[#This Row],[коэф]])),
IF((G146="3/16"),((база!$L$4*Таблица1[[#This Row],[сумма]]*Таблица1[[#This Row],[коэф]])),
IF((G146="4/4"),((база!$I$5*Таблица1[[#This Row],[сумма]]*Таблица1[[#This Row],[коэф]])),
IF(OR(G146="2/4",G146="3/4"),((база!$I$4*Таблица1[[#This Row],[сумма]]*Таблица1[[#This Row],[коэф]])),
IF((G146="5/8"),((база!$J$6*Таблица1[[#This Row],[сумма]]*Таблица1[[#This Row],[коэф]])),
IF((G146="4/8"),((база!$J$5*Таблица1[[#This Row],[сумма]]*Таблица1[[#This Row],[коэф]])),
IF(OR(G146="3/8",G146="2/8"),((база!$J$4*Таблица1[[#This Row],[сумма]]*Таблица1[[#This Row],[коэф]])))))))))))))),
(IF((G146="5/24"),((база!$M$6*Таблица1[[#This Row],[сумма]]*Таблица1[[#This Row],[коэф]])),
IF(OR(G146="4/24",G146="3/24"),((база!$M$5*Таблица1[[#This Row],[сумма]]*Таблица1[[#This Row],[коэф]])),
IF((G146="5/16"),((база!$L$6*Таблица1[[#This Row],[сумма]]*Таблица1[[#This Row],[коэф]])),
IF(OR(G146="4/16",G146="3/16"),((база!$L$5*Таблица1[[#This Row],[сумма]]*Таблица1[[#This Row],[коэф]])),
IF(OR(G146="2/4",G146="3/4",G146="4/4"),((база!$I$5*Таблица1[[#This Row],[сумма]]*Таблица1[[#This Row],[коэф]])),
IF((G146="5/8"),((база!$J$6*Таблица1[[#This Row],[сумма]]*Таблица1[[#This Row],[коэф]])),
IF(OR(G146="4/8",G146="3/8",G146="2/8"),((база!$J$5*Таблица1[[#This Row],[сумма]]*Таблица1[[#This Row],[коэф]])))))))))))</f>
        <v>0</v>
      </c>
      <c r="AP146" s="715" t="b">
        <f>IF(AR146&lt;=3,(IF((G146="5/24"),((база!$M$6*2*Таблица1[[#This Row],[Столбец1]]*Таблица1[[#This Row],[коэф]])),
IF((G146="4/24"),((база!$M$5*2*Таблица1[[#This Row],[Столбец1]]*Таблица1[[#This Row],[коэф]])),
IF((G146="3/24"),((база!$M$4*2*Таблица1[[#This Row],[Столбец1]]*Таблица1[[#This Row],[коэф]])),
IF((G146="5/16"),((база!$L$6*2*Таблица1[[#This Row],[Столбец1]]*Таблица1[[#This Row],[коэф]])),
IF((G146="4/16"),((база!$L$5*2*Таблица1[[#This Row],[Столбец1]]*Таблица1[[#This Row],[коэф]])),
IF((G146="3/16"),((база!$L$4*2*Таблица1[[#This Row],[Столбец1]]*Таблица1[[#This Row],[коэф]])),
IF((G146="4/4"),((база!$I$5*2*Таблица1[[#This Row],[Столбец1]]*Таблица1[[#This Row],[коэф]])),
IF(OR(G146="2/4",G146="3/4"),((база!$I$4*2*Таблица1[[#This Row],[Столбец1]]*Таблица1[[#This Row],[коэф]])),
IF((G146="5/8"),((база!$J$6*2*Таблица1[[#This Row],[Столбец1]]*Таблица1[[#This Row],[коэф]])),
IF((G146="4/8"),((база!$J$5*2*Таблица1[[#This Row],[Столбец1]]*Таблица1[[#This Row],[коэф]])),
IF(OR(G146="3/8",G146="2/8"),((база!$J$4*2*Таблица1[[#This Row],[Столбец1]]*Таблица1[[#This Row],[коэф]])))))))))))))),
(IF((G146="5/24"),((база!$M$6*2*Таблица1[[#This Row],[Столбец1]]*Таблица1[[#This Row],[коэф]])),
IF(OR(G146="4/24",G146="3/24"),((база!$M$5*2*Таблица1[[#This Row],[Столбец1]]*Таблица1[[#This Row],[коэф]])),
IF((G146="5/16"),((база!$L$6*2*Таблица1[[#This Row],[Столбец1]]*Таблица1[[#This Row],[коэф]])),
IF(OR(G146="4/16",G146="3/16"),((база!$L$5*2*Таблица1[[#This Row],[Столбец1]]*Таблица1[[#This Row],[коэф]])),
IF(OR(G146="2/4",G146="3/4",G146="4/4"),((база!$I$5*2*Таблица1[[#This Row],[Столбец1]]*Таблица1[[#This Row],[коэф]])),
IF((G146="5/8"),((база!$J$6*2*Таблица1[[#This Row],[Столбец1]]*Таблица1[[#This Row],[коэф]])),
IF(OR(G146="4/8",G146="3/8",G146="2/8"),((база!$J$5*2*Таблица1[[#This Row],[Столбец1]]*Таблица1[[#This Row],[коэф]])))))))))))</f>
        <v>0</v>
      </c>
      <c r="AQ146" s="697" t="str">
        <f>IFERROR(INDEX(база!T:T, MATCH(F146,база!Q:Q,0)),"")</f>
        <v/>
      </c>
      <c r="AR146" s="207">
        <f>IFERROR(INDEX(база!D:D, MATCH(F146,база!B:B,0)),"")</f>
        <v>0</v>
      </c>
    </row>
    <row r="147" spans="1:44" ht="15">
      <c r="A147" s="66" t="str">
        <f t="shared" si="3"/>
        <v>декабрь</v>
      </c>
      <c r="B147" s="230">
        <v>2023</v>
      </c>
      <c r="C147" s="60"/>
      <c r="D147" s="61"/>
      <c r="E147" s="210"/>
      <c r="F147" s="670"/>
      <c r="G147" s="47"/>
      <c r="H147" s="212"/>
      <c r="I147" s="48"/>
      <c r="J147" s="48"/>
      <c r="K147" s="48"/>
      <c r="L147" s="48"/>
      <c r="M147" s="48"/>
      <c r="N147" s="49"/>
      <c r="O147" s="48"/>
      <c r="P147" s="300"/>
      <c r="Q147" s="563"/>
      <c r="R147" s="563"/>
      <c r="S147" s="563"/>
      <c r="T147" s="563"/>
      <c r="U147" s="563"/>
      <c r="V147" s="563"/>
      <c r="W147" s="563"/>
      <c r="X147" s="48"/>
      <c r="Y147" s="48"/>
      <c r="Z147" s="48"/>
      <c r="AA147" s="48"/>
      <c r="AB147" s="48"/>
      <c r="AC147" s="48"/>
      <c r="AD147" s="48"/>
      <c r="AE147" s="48"/>
      <c r="AF147" s="48"/>
      <c r="AG147" s="48"/>
      <c r="AH147" s="48"/>
      <c r="AI147" s="48"/>
      <c r="AJ147" s="48"/>
      <c r="AK147" s="48"/>
      <c r="AL147" s="257"/>
      <c r="AM147" s="211">
        <f>IF(AQ147=1,SUM(H147:I147,L147:O147,R147:U147,X147:AA147,AD147:AG147,AI147:AK147),
IF(AQ147=2,SUM(H147:K147,N147:Q147,T147:W147,Z147:AC147,AF147:AI147),
IF(AQ147=3,SUM(J147:M147,P147:S147,V147:Y147,AB147:AE147,AH147:AK147),SUM(Таблица1[[#This Row],[1]:[31]])-Таблица1[[#This Row],[Столбец1]])))</f>
        <v>0</v>
      </c>
      <c r="AN147" s="290">
        <f t="array" ref="AN147">IF(AQ147=1,SUM(J147:K147,P147:Q147,V147:W147,AB147:AC147,AH147:AI147),
IF(AQ147=2,SUM(L147:M147,R147:S147,X147:Y147,AD147:AE147),
IF(AQ147=3,SUM(H147:I147,N147:O147,T147:U147,Z147:AA147,AF147:AG147),
SUM(IFERROR(WEEKDAY($H$2:$AL$2,2)&gt;5,)*H147:AL147))))</f>
        <v>0</v>
      </c>
      <c r="AO147" s="292" t="b">
        <f>IF(AR147&lt;=3,(IF((G147="5/24"),((база!$M$6*Таблица1[[#This Row],[сумма]]*Таблица1[[#This Row],[коэф]])),
IF((G147="4/24"),((база!$M$5*Таблица1[[#This Row],[сумма]]*Таблица1[[#This Row],[коэф]])),
IF((G147="3/24"),((база!$M$4*Таблица1[[#This Row],[сумма]]*Таблица1[[#This Row],[коэф]])),
IF((G147="5/16"),((база!$L$6*Таблица1[[#This Row],[сумма]]*Таблица1[[#This Row],[коэф]])),
IF((G147="4/16"),((база!$L$5*Таблица1[[#This Row],[сумма]]*Таблица1[[#This Row],[коэф]])),
IF((G147="3/16"),((база!$L$4*Таблица1[[#This Row],[сумма]]*Таблица1[[#This Row],[коэф]])),
IF((G147="4/4"),((база!$I$5*Таблица1[[#This Row],[сумма]]*Таблица1[[#This Row],[коэф]])),
IF(OR(G147="2/4",G147="3/4"),((база!$I$4*Таблица1[[#This Row],[сумма]]*Таблица1[[#This Row],[коэф]])),
IF((G147="5/8"),((база!$J$6*Таблица1[[#This Row],[сумма]]*Таблица1[[#This Row],[коэф]])),
IF((G147="4/8"),((база!$J$5*Таблица1[[#This Row],[сумма]]*Таблица1[[#This Row],[коэф]])),
IF(OR(G147="3/8",G147="2/8"),((база!$J$4*Таблица1[[#This Row],[сумма]]*Таблица1[[#This Row],[коэф]])))))))))))))),
(IF((G147="5/24"),((база!$M$6*Таблица1[[#This Row],[сумма]]*Таблица1[[#This Row],[коэф]])),
IF(OR(G147="4/24",G147="3/24"),((база!$M$5*Таблица1[[#This Row],[сумма]]*Таблица1[[#This Row],[коэф]])),
IF((G147="5/16"),((база!$L$6*Таблица1[[#This Row],[сумма]]*Таблица1[[#This Row],[коэф]])),
IF(OR(G147="4/16",G147="3/16"),((база!$L$5*Таблица1[[#This Row],[сумма]]*Таблица1[[#This Row],[коэф]])),
IF(OR(G147="2/4",G147="3/4",G147="4/4"),((база!$I$5*Таблица1[[#This Row],[сумма]]*Таблица1[[#This Row],[коэф]])),
IF((G147="5/8"),((база!$J$6*Таблица1[[#This Row],[сумма]]*Таблица1[[#This Row],[коэф]])),
IF(OR(G147="4/8",G147="3/8",G147="2/8"),((база!$J$5*Таблица1[[#This Row],[сумма]]*Таблица1[[#This Row],[коэф]])))))))))))</f>
        <v>0</v>
      </c>
      <c r="AP147" s="715" t="b">
        <f>IF(AR147&lt;=3,(IF((G147="5/24"),((база!$M$6*2*Таблица1[[#This Row],[Столбец1]]*Таблица1[[#This Row],[коэф]])),
IF((G147="4/24"),((база!$M$5*2*Таблица1[[#This Row],[Столбец1]]*Таблица1[[#This Row],[коэф]])),
IF((G147="3/24"),((база!$M$4*2*Таблица1[[#This Row],[Столбец1]]*Таблица1[[#This Row],[коэф]])),
IF((G147="5/16"),((база!$L$6*2*Таблица1[[#This Row],[Столбец1]]*Таблица1[[#This Row],[коэф]])),
IF((G147="4/16"),((база!$L$5*2*Таблица1[[#This Row],[Столбец1]]*Таблица1[[#This Row],[коэф]])),
IF((G147="3/16"),((база!$L$4*2*Таблица1[[#This Row],[Столбец1]]*Таблица1[[#This Row],[коэф]])),
IF((G147="4/4"),((база!$I$5*2*Таблица1[[#This Row],[Столбец1]]*Таблица1[[#This Row],[коэф]])),
IF(OR(G147="2/4",G147="3/4"),((база!$I$4*2*Таблица1[[#This Row],[Столбец1]]*Таблица1[[#This Row],[коэф]])),
IF((G147="5/8"),((база!$J$6*2*Таблица1[[#This Row],[Столбец1]]*Таблица1[[#This Row],[коэф]])),
IF((G147="4/8"),((база!$J$5*2*Таблица1[[#This Row],[Столбец1]]*Таблица1[[#This Row],[коэф]])),
IF(OR(G147="3/8",G147="2/8"),((база!$J$4*2*Таблица1[[#This Row],[Столбец1]]*Таблица1[[#This Row],[коэф]])))))))))))))),
(IF((G147="5/24"),((база!$M$6*2*Таблица1[[#This Row],[Столбец1]]*Таблица1[[#This Row],[коэф]])),
IF(OR(G147="4/24",G147="3/24"),((база!$M$5*2*Таблица1[[#This Row],[Столбец1]]*Таблица1[[#This Row],[коэф]])),
IF((G147="5/16"),((база!$L$6*2*Таблица1[[#This Row],[Столбец1]]*Таблица1[[#This Row],[коэф]])),
IF(OR(G147="4/16",G147="3/16"),((база!$L$5*2*Таблица1[[#This Row],[Столбец1]]*Таблица1[[#This Row],[коэф]])),
IF(OR(G147="2/4",G147="3/4",G147="4/4"),((база!$I$5*2*Таблица1[[#This Row],[Столбец1]]*Таблица1[[#This Row],[коэф]])),
IF((G147="5/8"),((база!$J$6*2*Таблица1[[#This Row],[Столбец1]]*Таблица1[[#This Row],[коэф]])),
IF(OR(G147="4/8",G147="3/8",G147="2/8"),((база!$J$5*2*Таблица1[[#This Row],[Столбец1]]*Таблица1[[#This Row],[коэф]])))))))))))</f>
        <v>0</v>
      </c>
      <c r="AQ147" s="697" t="str">
        <f>IFERROR(INDEX(база!T:T, MATCH(F147,база!Q:Q,0)),"")</f>
        <v/>
      </c>
      <c r="AR147" s="207">
        <f>IFERROR(INDEX(база!D:D, MATCH(F147,база!B:B,0)),"")</f>
        <v>0</v>
      </c>
    </row>
    <row r="148" spans="1:44" ht="15">
      <c r="A148" s="66" t="str">
        <f t="shared" si="3"/>
        <v>декабрь</v>
      </c>
      <c r="B148" s="230">
        <v>2023</v>
      </c>
      <c r="C148" s="60"/>
      <c r="D148" s="61"/>
      <c r="E148" s="210"/>
      <c r="F148" s="670"/>
      <c r="G148" s="47"/>
      <c r="H148" s="563"/>
      <c r="I148" s="563"/>
      <c r="J148" s="563"/>
      <c r="K148" s="563"/>
      <c r="L148" s="563"/>
      <c r="M148" s="563"/>
      <c r="N148" s="563"/>
      <c r="O148" s="563"/>
      <c r="P148" s="563"/>
      <c r="Q148" s="563"/>
      <c r="R148" s="563"/>
      <c r="S148" s="563"/>
      <c r="T148" s="563"/>
      <c r="U148" s="563"/>
      <c r="V148" s="563"/>
      <c r="W148" s="563"/>
      <c r="X148" s="563"/>
      <c r="Y148" s="563"/>
      <c r="Z148" s="563"/>
      <c r="AA148" s="563"/>
      <c r="AB148" s="563"/>
      <c r="AC148" s="563"/>
      <c r="AD148" s="48"/>
      <c r="AE148" s="48"/>
      <c r="AF148" s="48"/>
      <c r="AG148" s="48"/>
      <c r="AH148" s="48"/>
      <c r="AI148" s="48"/>
      <c r="AJ148" s="48"/>
      <c r="AK148" s="48"/>
      <c r="AL148" s="257"/>
      <c r="AM148" s="211">
        <f>IF(AQ148=1,SUM(H148:I148,L148:O148,R148:U148,X148:AA148,AD148:AG148,AI148:AK148),
IF(AQ148=2,SUM(H148:K148,N148:Q148,T148:W148,Z148:AC148,AF148:AI148),
IF(AQ148=3,SUM(J148:M148,P148:S148,V148:Y148,AB148:AE148,AH148:AK148),SUM(Таблица1[[#This Row],[1]:[31]])-Таблица1[[#This Row],[Столбец1]])))</f>
        <v>0</v>
      </c>
      <c r="AN148" s="290">
        <f t="array" ref="AN148">IF(AQ148=1,SUM(J148:K148,P148:Q148,V148:W148,AB148:AC148,AH148:AI148),
IF(AQ148=2,SUM(L148:M148,R148:S148,X148:Y148,AD148:AE148),
IF(AQ148=3,SUM(H148:I148,N148:O148,T148:U148,Z148:AA148,AF148:AG148),
SUM(IFERROR(WEEKDAY($H$2:$AL$2,2)&gt;5,)*H148:AL148))))</f>
        <v>0</v>
      </c>
      <c r="AO148" s="292" t="b">
        <f>IF(AR148&lt;=3,(IF((G148="5/24"),((база!$M$6*Таблица1[[#This Row],[сумма]]*Таблица1[[#This Row],[коэф]])),
IF((G148="4/24"),((база!$M$5*Таблица1[[#This Row],[сумма]]*Таблица1[[#This Row],[коэф]])),
IF((G148="3/24"),((база!$M$4*Таблица1[[#This Row],[сумма]]*Таблица1[[#This Row],[коэф]])),
IF((G148="5/16"),((база!$L$6*Таблица1[[#This Row],[сумма]]*Таблица1[[#This Row],[коэф]])),
IF((G148="4/16"),((база!$L$5*Таблица1[[#This Row],[сумма]]*Таблица1[[#This Row],[коэф]])),
IF((G148="3/16"),((база!$L$4*Таблица1[[#This Row],[сумма]]*Таблица1[[#This Row],[коэф]])),
IF((G148="4/4"),((база!$I$5*Таблица1[[#This Row],[сумма]]*Таблица1[[#This Row],[коэф]])),
IF(OR(G148="2/4",G148="3/4"),((база!$I$4*Таблица1[[#This Row],[сумма]]*Таблица1[[#This Row],[коэф]])),
IF((G148="5/8"),((база!$J$6*Таблица1[[#This Row],[сумма]]*Таблица1[[#This Row],[коэф]])),
IF((G148="4/8"),((база!$J$5*Таблица1[[#This Row],[сумма]]*Таблица1[[#This Row],[коэф]])),
IF(OR(G148="3/8",G148="2/8"),((база!$J$4*Таблица1[[#This Row],[сумма]]*Таблица1[[#This Row],[коэф]])))))))))))))),
(IF((G148="5/24"),((база!$M$6*Таблица1[[#This Row],[сумма]]*Таблица1[[#This Row],[коэф]])),
IF(OR(G148="4/24",G148="3/24"),((база!$M$5*Таблица1[[#This Row],[сумма]]*Таблица1[[#This Row],[коэф]])),
IF((G148="5/16"),((база!$L$6*Таблица1[[#This Row],[сумма]]*Таблица1[[#This Row],[коэф]])),
IF(OR(G148="4/16",G148="3/16"),((база!$L$5*Таблица1[[#This Row],[сумма]]*Таблица1[[#This Row],[коэф]])),
IF(OR(G148="2/4",G148="3/4",G148="4/4"),((база!$I$5*Таблица1[[#This Row],[сумма]]*Таблица1[[#This Row],[коэф]])),
IF((G148="5/8"),((база!$J$6*Таблица1[[#This Row],[сумма]]*Таблица1[[#This Row],[коэф]])),
IF(OR(G148="4/8",G148="3/8",G148="2/8"),((база!$J$5*Таблица1[[#This Row],[сумма]]*Таблица1[[#This Row],[коэф]])))))))))))</f>
        <v>0</v>
      </c>
      <c r="AP148" s="715" t="b">
        <f>IF(AR148&lt;=3,(IF((G148="5/24"),((база!$M$6*2*Таблица1[[#This Row],[Столбец1]]*Таблица1[[#This Row],[коэф]])),
IF((G148="4/24"),((база!$M$5*2*Таблица1[[#This Row],[Столбец1]]*Таблица1[[#This Row],[коэф]])),
IF((G148="3/24"),((база!$M$4*2*Таблица1[[#This Row],[Столбец1]]*Таблица1[[#This Row],[коэф]])),
IF((G148="5/16"),((база!$L$6*2*Таблица1[[#This Row],[Столбец1]]*Таблица1[[#This Row],[коэф]])),
IF((G148="4/16"),((база!$L$5*2*Таблица1[[#This Row],[Столбец1]]*Таблица1[[#This Row],[коэф]])),
IF((G148="3/16"),((база!$L$4*2*Таблица1[[#This Row],[Столбец1]]*Таблица1[[#This Row],[коэф]])),
IF((G148="4/4"),((база!$I$5*2*Таблица1[[#This Row],[Столбец1]]*Таблица1[[#This Row],[коэф]])),
IF(OR(G148="2/4",G148="3/4"),((база!$I$4*2*Таблица1[[#This Row],[Столбец1]]*Таблица1[[#This Row],[коэф]])),
IF((G148="5/8"),((база!$J$6*2*Таблица1[[#This Row],[Столбец1]]*Таблица1[[#This Row],[коэф]])),
IF((G148="4/8"),((база!$J$5*2*Таблица1[[#This Row],[Столбец1]]*Таблица1[[#This Row],[коэф]])),
IF(OR(G148="3/8",G148="2/8"),((база!$J$4*2*Таблица1[[#This Row],[Столбец1]]*Таблица1[[#This Row],[коэф]])))))))))))))),
(IF((G148="5/24"),((база!$M$6*2*Таблица1[[#This Row],[Столбец1]]*Таблица1[[#This Row],[коэф]])),
IF(OR(G148="4/24",G148="3/24"),((база!$M$5*2*Таблица1[[#This Row],[Столбец1]]*Таблица1[[#This Row],[коэф]])),
IF((G148="5/16"),((база!$L$6*2*Таблица1[[#This Row],[Столбец1]]*Таблица1[[#This Row],[коэф]])),
IF(OR(G148="4/16",G148="3/16"),((база!$L$5*2*Таблица1[[#This Row],[Столбец1]]*Таблица1[[#This Row],[коэф]])),
IF(OR(G148="2/4",G148="3/4",G148="4/4"),((база!$I$5*2*Таблица1[[#This Row],[Столбец1]]*Таблица1[[#This Row],[коэф]])),
IF((G148="5/8"),((база!$J$6*2*Таблица1[[#This Row],[Столбец1]]*Таблица1[[#This Row],[коэф]])),
IF(OR(G148="4/8",G148="3/8",G148="2/8"),((база!$J$5*2*Таблица1[[#This Row],[Столбец1]]*Таблица1[[#This Row],[коэф]])))))))))))</f>
        <v>0</v>
      </c>
      <c r="AQ148" s="697" t="str">
        <f>IFERROR(INDEX(база!T:T, MATCH(F148,база!Q:Q,0)),"")</f>
        <v/>
      </c>
      <c r="AR148" s="207">
        <f>IFERROR(INDEX(база!D:D, MATCH(F148,база!B:B,0)),"")</f>
        <v>0</v>
      </c>
    </row>
    <row r="149" spans="1:44" ht="15">
      <c r="A149" s="66" t="str">
        <f t="shared" si="3"/>
        <v>декабрь</v>
      </c>
      <c r="B149" s="230">
        <v>2023</v>
      </c>
      <c r="C149" s="60"/>
      <c r="D149" s="61"/>
      <c r="E149" s="210"/>
      <c r="F149" s="670"/>
      <c r="G149" s="47"/>
      <c r="H149" s="563"/>
      <c r="I149" s="563"/>
      <c r="J149" s="563"/>
      <c r="K149" s="563"/>
      <c r="L149" s="563"/>
      <c r="M149" s="563"/>
      <c r="N149" s="563"/>
      <c r="O149" s="563"/>
      <c r="P149" s="300"/>
      <c r="Q149" s="563"/>
      <c r="R149" s="563"/>
      <c r="S149" s="563"/>
      <c r="T149" s="563"/>
      <c r="U149" s="563"/>
      <c r="V149" s="563"/>
      <c r="W149" s="563"/>
      <c r="X149" s="563"/>
      <c r="Y149" s="563"/>
      <c r="Z149" s="563"/>
      <c r="AA149" s="48"/>
      <c r="AB149" s="48"/>
      <c r="AC149" s="48"/>
      <c r="AD149" s="48"/>
      <c r="AE149" s="48"/>
      <c r="AF149" s="48"/>
      <c r="AG149" s="48"/>
      <c r="AH149" s="48"/>
      <c r="AI149" s="48"/>
      <c r="AJ149" s="48"/>
      <c r="AK149" s="48"/>
      <c r="AL149" s="257"/>
      <c r="AM149" s="211">
        <f>IF(AQ149=1,SUM(H149:I149,L149:O149,R149:U149,X149:AA149,AD149:AG149,AI149:AK149),
IF(AQ149=2,SUM(H149:K149,N149:Q149,T149:W149,Z149:AC149,AF149:AI149),
IF(AQ149=3,SUM(J149:M149,P149:S149,V149:Y149,AB149:AE149,AH149:AK149),SUM(Таблица1[[#This Row],[1]:[31]])-Таблица1[[#This Row],[Столбец1]])))</f>
        <v>0</v>
      </c>
      <c r="AN149" s="290">
        <f t="array" ref="AN149">IF(AQ149=1,SUM(J149:K149,P149:Q149,V149:W149,AB149:AC149,AH149:AI149),
IF(AQ149=2,SUM(L149:M149,R149:S149,X149:Y149,AD149:AE149),
IF(AQ149=3,SUM(H149:I149,N149:O149,T149:U149,Z149:AA149,AF149:AG149),
SUM(IFERROR(WEEKDAY($H$2:$AL$2,2)&gt;5,)*H149:AL149))))</f>
        <v>0</v>
      </c>
      <c r="AO149" s="292" t="b">
        <f>IF(AR149&lt;=3,(IF((G149="5/24"),((база!$M$6*Таблица1[[#This Row],[сумма]]*Таблица1[[#This Row],[коэф]])),
IF((G149="4/24"),((база!$M$5*Таблица1[[#This Row],[сумма]]*Таблица1[[#This Row],[коэф]])),
IF((G149="3/24"),((база!$M$4*Таблица1[[#This Row],[сумма]]*Таблица1[[#This Row],[коэф]])),
IF((G149="5/16"),((база!$L$6*Таблица1[[#This Row],[сумма]]*Таблица1[[#This Row],[коэф]])),
IF((G149="4/16"),((база!$L$5*Таблица1[[#This Row],[сумма]]*Таблица1[[#This Row],[коэф]])),
IF((G149="3/16"),((база!$L$4*Таблица1[[#This Row],[сумма]]*Таблица1[[#This Row],[коэф]])),
IF((G149="4/4"),((база!$I$5*Таблица1[[#This Row],[сумма]]*Таблица1[[#This Row],[коэф]])),
IF(OR(G149="2/4",G149="3/4"),((база!$I$4*Таблица1[[#This Row],[сумма]]*Таблица1[[#This Row],[коэф]])),
IF((G149="5/8"),((база!$J$6*Таблица1[[#This Row],[сумма]]*Таблица1[[#This Row],[коэф]])),
IF((G149="4/8"),((база!$J$5*Таблица1[[#This Row],[сумма]]*Таблица1[[#This Row],[коэф]])),
IF(OR(G149="3/8",G149="2/8"),((база!$J$4*Таблица1[[#This Row],[сумма]]*Таблица1[[#This Row],[коэф]])))))))))))))),
(IF((G149="5/24"),((база!$M$6*Таблица1[[#This Row],[сумма]]*Таблица1[[#This Row],[коэф]])),
IF(OR(G149="4/24",G149="3/24"),((база!$M$5*Таблица1[[#This Row],[сумма]]*Таблица1[[#This Row],[коэф]])),
IF((G149="5/16"),((база!$L$6*Таблица1[[#This Row],[сумма]]*Таблица1[[#This Row],[коэф]])),
IF(OR(G149="4/16",G149="3/16"),((база!$L$5*Таблица1[[#This Row],[сумма]]*Таблица1[[#This Row],[коэф]])),
IF(OR(G149="2/4",G149="3/4",G149="4/4"),((база!$I$5*Таблица1[[#This Row],[сумма]]*Таблица1[[#This Row],[коэф]])),
IF((G149="5/8"),((база!$J$6*Таблица1[[#This Row],[сумма]]*Таблица1[[#This Row],[коэф]])),
IF(OR(G149="4/8",G149="3/8",G149="2/8"),((база!$J$5*Таблица1[[#This Row],[сумма]]*Таблица1[[#This Row],[коэф]])))))))))))</f>
        <v>0</v>
      </c>
      <c r="AP149" s="715" t="b">
        <f>IF(AR149&lt;=3,(IF((G149="5/24"),((база!$M$6*2*Таблица1[[#This Row],[Столбец1]]*Таблица1[[#This Row],[коэф]])),
IF((G149="4/24"),((база!$M$5*2*Таблица1[[#This Row],[Столбец1]]*Таблица1[[#This Row],[коэф]])),
IF((G149="3/24"),((база!$M$4*2*Таблица1[[#This Row],[Столбец1]]*Таблица1[[#This Row],[коэф]])),
IF((G149="5/16"),((база!$L$6*2*Таблица1[[#This Row],[Столбец1]]*Таблица1[[#This Row],[коэф]])),
IF((G149="4/16"),((база!$L$5*2*Таблица1[[#This Row],[Столбец1]]*Таблица1[[#This Row],[коэф]])),
IF((G149="3/16"),((база!$L$4*2*Таблица1[[#This Row],[Столбец1]]*Таблица1[[#This Row],[коэф]])),
IF((G149="4/4"),((база!$I$5*2*Таблица1[[#This Row],[Столбец1]]*Таблица1[[#This Row],[коэф]])),
IF(OR(G149="2/4",G149="3/4"),((база!$I$4*2*Таблица1[[#This Row],[Столбец1]]*Таблица1[[#This Row],[коэф]])),
IF((G149="5/8"),((база!$J$6*2*Таблица1[[#This Row],[Столбец1]]*Таблица1[[#This Row],[коэф]])),
IF((G149="4/8"),((база!$J$5*2*Таблица1[[#This Row],[Столбец1]]*Таблица1[[#This Row],[коэф]])),
IF(OR(G149="3/8",G149="2/8"),((база!$J$4*2*Таблица1[[#This Row],[Столбец1]]*Таблица1[[#This Row],[коэф]])))))))))))))),
(IF((G149="5/24"),((база!$M$6*2*Таблица1[[#This Row],[Столбец1]]*Таблица1[[#This Row],[коэф]])),
IF(OR(G149="4/24",G149="3/24"),((база!$M$5*2*Таблица1[[#This Row],[Столбец1]]*Таблица1[[#This Row],[коэф]])),
IF((G149="5/16"),((база!$L$6*2*Таблица1[[#This Row],[Столбец1]]*Таблица1[[#This Row],[коэф]])),
IF(OR(G149="4/16",G149="3/16"),((база!$L$5*2*Таблица1[[#This Row],[Столбец1]]*Таблица1[[#This Row],[коэф]])),
IF(OR(G149="2/4",G149="3/4",G149="4/4"),((база!$I$5*2*Таблица1[[#This Row],[Столбец1]]*Таблица1[[#This Row],[коэф]])),
IF((G149="5/8"),((база!$J$6*2*Таблица1[[#This Row],[Столбец1]]*Таблица1[[#This Row],[коэф]])),
IF(OR(G149="4/8",G149="3/8",G149="2/8"),((база!$J$5*2*Таблица1[[#This Row],[Столбец1]]*Таблица1[[#This Row],[коэф]])))))))))))</f>
        <v>0</v>
      </c>
      <c r="AQ149" s="697" t="str">
        <f>IFERROR(INDEX(база!T:T, MATCH(F149,база!Q:Q,0)),"")</f>
        <v/>
      </c>
      <c r="AR149" s="207">
        <f>IFERROR(INDEX(база!D:D, MATCH(F149,база!B:B,0)),"")</f>
        <v>0</v>
      </c>
    </row>
    <row r="150" spans="1:44" ht="15">
      <c r="A150" s="66" t="str">
        <f t="shared" si="3"/>
        <v>декабрь</v>
      </c>
      <c r="B150" s="230">
        <v>2023</v>
      </c>
      <c r="C150" s="60"/>
      <c r="D150" s="61"/>
      <c r="E150" s="210"/>
      <c r="F150" s="669"/>
      <c r="G150" s="47"/>
      <c r="H150" s="563"/>
      <c r="I150" s="563"/>
      <c r="J150" s="563"/>
      <c r="K150" s="563"/>
      <c r="L150" s="563"/>
      <c r="M150" s="563"/>
      <c r="N150" s="563"/>
      <c r="O150" s="563"/>
      <c r="P150" s="300"/>
      <c r="Q150" s="563"/>
      <c r="R150" s="563"/>
      <c r="S150" s="563"/>
      <c r="T150" s="563"/>
      <c r="U150" s="563"/>
      <c r="V150" s="563"/>
      <c r="W150" s="563"/>
      <c r="X150" s="563"/>
      <c r="Y150" s="563"/>
      <c r="Z150" s="563"/>
      <c r="AA150" s="563"/>
      <c r="AB150" s="563"/>
      <c r="AC150" s="563"/>
      <c r="AD150" s="48"/>
      <c r="AE150" s="48"/>
      <c r="AF150" s="257"/>
      <c r="AG150" s="257"/>
      <c r="AH150" s="48"/>
      <c r="AI150" s="48"/>
      <c r="AJ150" s="48"/>
      <c r="AK150" s="48"/>
      <c r="AL150" s="257"/>
      <c r="AM150" s="211">
        <f>IF(AQ150=1,SUM(H150:I150,L150:O150,R150:U150,X150:AA150,AD150:AG150,AI150:AK150),
IF(AQ150=2,SUM(H150:K150,N150:Q150,T150:W150,Z150:AC150,AF150:AI150),
IF(AQ150=3,SUM(J150:M150,P150:S150,V150:Y150,AB150:AE150,AH150:AK150),SUM(Таблица1[[#This Row],[1]:[31]])-Таблица1[[#This Row],[Столбец1]])))</f>
        <v>0</v>
      </c>
      <c r="AN150" s="290">
        <f t="array" ref="AN150">IF(AQ150=1,SUM(J150:K150,P150:Q150,V150:W150,AB150:AC150,AH150:AI150),
IF(AQ150=2,SUM(L150:M150,R150:S150,X150:Y150,AD150:AE150),
IF(AQ150=3,SUM(H150:I150,N150:O150,T150:U150,Z150:AA150,AF150:AG150),
SUM(IFERROR(WEEKDAY($H$2:$AL$2,2)&gt;5,)*H150:AL150))))</f>
        <v>0</v>
      </c>
      <c r="AO150" s="292" t="b">
        <f>IF(AR150&lt;=3,(IF((G150="5/24"),((база!$M$6*Таблица1[[#This Row],[сумма]]*Таблица1[[#This Row],[коэф]])),
IF((G150="4/24"),((база!$M$5*Таблица1[[#This Row],[сумма]]*Таблица1[[#This Row],[коэф]])),
IF((G150="3/24"),((база!$M$4*Таблица1[[#This Row],[сумма]]*Таблица1[[#This Row],[коэф]])),
IF((G150="5/16"),((база!$L$6*Таблица1[[#This Row],[сумма]]*Таблица1[[#This Row],[коэф]])),
IF((G150="4/16"),((база!$L$5*Таблица1[[#This Row],[сумма]]*Таблица1[[#This Row],[коэф]])),
IF((G150="3/16"),((база!$L$4*Таблица1[[#This Row],[сумма]]*Таблица1[[#This Row],[коэф]])),
IF((G150="4/4"),((база!$I$5*Таблица1[[#This Row],[сумма]]*Таблица1[[#This Row],[коэф]])),
IF(OR(G150="2/4",G150="3/4"),((база!$I$4*Таблица1[[#This Row],[сумма]]*Таблица1[[#This Row],[коэф]])),
IF((G150="5/8"),((база!$J$6*Таблица1[[#This Row],[сумма]]*Таблица1[[#This Row],[коэф]])),
IF((G150="4/8"),((база!$J$5*Таблица1[[#This Row],[сумма]]*Таблица1[[#This Row],[коэф]])),
IF(OR(G150="3/8",G150="2/8"),((база!$J$4*Таблица1[[#This Row],[сумма]]*Таблица1[[#This Row],[коэф]])))))))))))))),
(IF((G150="5/24"),((база!$M$6*Таблица1[[#This Row],[сумма]]*Таблица1[[#This Row],[коэф]])),
IF(OR(G150="4/24",G150="3/24"),((база!$M$5*Таблица1[[#This Row],[сумма]]*Таблица1[[#This Row],[коэф]])),
IF((G150="5/16"),((база!$L$6*Таблица1[[#This Row],[сумма]]*Таблица1[[#This Row],[коэф]])),
IF(OR(G150="4/16",G150="3/16"),((база!$L$5*Таблица1[[#This Row],[сумма]]*Таблица1[[#This Row],[коэф]])),
IF(OR(G150="2/4",G150="3/4",G150="4/4"),((база!$I$5*Таблица1[[#This Row],[сумма]]*Таблица1[[#This Row],[коэф]])),
IF((G150="5/8"),((база!$J$6*Таблица1[[#This Row],[сумма]]*Таблица1[[#This Row],[коэф]])),
IF(OR(G150="4/8",G150="3/8",G150="2/8"),((база!$J$5*Таблица1[[#This Row],[сумма]]*Таблица1[[#This Row],[коэф]])))))))))))</f>
        <v>0</v>
      </c>
      <c r="AP150" s="715" t="b">
        <f>IF(AR150&lt;=3,(IF((G150="5/24"),((база!$M$6*2*Таблица1[[#This Row],[Столбец1]]*Таблица1[[#This Row],[коэф]])),
IF((G150="4/24"),((база!$M$5*2*Таблица1[[#This Row],[Столбец1]]*Таблица1[[#This Row],[коэф]])),
IF((G150="3/24"),((база!$M$4*2*Таблица1[[#This Row],[Столбец1]]*Таблица1[[#This Row],[коэф]])),
IF((G150="5/16"),((база!$L$6*2*Таблица1[[#This Row],[Столбец1]]*Таблица1[[#This Row],[коэф]])),
IF((G150="4/16"),((база!$L$5*2*Таблица1[[#This Row],[Столбец1]]*Таблица1[[#This Row],[коэф]])),
IF((G150="3/16"),((база!$L$4*2*Таблица1[[#This Row],[Столбец1]]*Таблица1[[#This Row],[коэф]])),
IF((G150="4/4"),((база!$I$5*2*Таблица1[[#This Row],[Столбец1]]*Таблица1[[#This Row],[коэф]])),
IF(OR(G150="2/4",G150="3/4"),((база!$I$4*2*Таблица1[[#This Row],[Столбец1]]*Таблица1[[#This Row],[коэф]])),
IF((G150="5/8"),((база!$J$6*2*Таблица1[[#This Row],[Столбец1]]*Таблица1[[#This Row],[коэф]])),
IF((G150="4/8"),((база!$J$5*2*Таблица1[[#This Row],[Столбец1]]*Таблица1[[#This Row],[коэф]])),
IF(OR(G150="3/8",G150="2/8"),((база!$J$4*2*Таблица1[[#This Row],[Столбец1]]*Таблица1[[#This Row],[коэф]])))))))))))))),
(IF((G150="5/24"),((база!$M$6*2*Таблица1[[#This Row],[Столбец1]]*Таблица1[[#This Row],[коэф]])),
IF(OR(G150="4/24",G150="3/24"),((база!$M$5*2*Таблица1[[#This Row],[Столбец1]]*Таблица1[[#This Row],[коэф]])),
IF((G150="5/16"),((база!$L$6*2*Таблица1[[#This Row],[Столбец1]]*Таблица1[[#This Row],[коэф]])),
IF(OR(G150="4/16",G150="3/16"),((база!$L$5*2*Таблица1[[#This Row],[Столбец1]]*Таблица1[[#This Row],[коэф]])),
IF(OR(G150="2/4",G150="3/4",G150="4/4"),((база!$I$5*2*Таблица1[[#This Row],[Столбец1]]*Таблица1[[#This Row],[коэф]])),
IF((G150="5/8"),((база!$J$6*2*Таблица1[[#This Row],[Столбец1]]*Таблица1[[#This Row],[коэф]])),
IF(OR(G150="4/8",G150="3/8",G150="2/8"),((база!$J$5*2*Таблица1[[#This Row],[Столбец1]]*Таблица1[[#This Row],[коэф]])))))))))))</f>
        <v>0</v>
      </c>
      <c r="AQ150" s="697" t="str">
        <f>IFERROR(INDEX(база!T:T, MATCH(F150,база!Q:Q,0)),"")</f>
        <v/>
      </c>
      <c r="AR150" s="207">
        <f>IFERROR(INDEX(база!D:D, MATCH(F150,база!B:B,0)),"")</f>
        <v>0</v>
      </c>
    </row>
    <row r="151" spans="1:44" ht="15">
      <c r="A151" s="66" t="str">
        <f t="shared" si="3"/>
        <v>декабрь</v>
      </c>
      <c r="B151" s="230">
        <v>2023</v>
      </c>
      <c r="C151" s="299"/>
      <c r="D151" s="61"/>
      <c r="E151" s="210"/>
      <c r="F151" s="669"/>
      <c r="G151" s="47"/>
      <c r="H151" s="563"/>
      <c r="I151" s="563"/>
      <c r="J151" s="563"/>
      <c r="K151" s="563"/>
      <c r="L151" s="563"/>
      <c r="M151" s="563"/>
      <c r="N151" s="563"/>
      <c r="O151" s="563"/>
      <c r="P151" s="300"/>
      <c r="Q151" s="563"/>
      <c r="R151" s="563"/>
      <c r="S151" s="563"/>
      <c r="T151" s="563"/>
      <c r="U151" s="563"/>
      <c r="V151" s="563"/>
      <c r="W151" s="563"/>
      <c r="X151" s="563"/>
      <c r="Y151" s="48"/>
      <c r="Z151" s="48"/>
      <c r="AA151" s="48"/>
      <c r="AB151" s="48"/>
      <c r="AC151" s="48"/>
      <c r="AD151" s="48"/>
      <c r="AE151" s="48"/>
      <c r="AF151" s="48"/>
      <c r="AG151" s="48"/>
      <c r="AH151" s="48"/>
      <c r="AI151" s="48"/>
      <c r="AJ151" s="48"/>
      <c r="AK151" s="257"/>
      <c r="AL151" s="257"/>
      <c r="AM151" s="211">
        <f>IF(AQ151=1,SUM(H151:I151,L151:O151,R151:U151,X151:AA151,AD151:AG151,AI151:AK151),
IF(AQ151=2,SUM(H151:K151,N151:Q151,T151:W151,Z151:AC151,AF151:AI151),
IF(AQ151=3,SUM(J151:M151,P151:S151,V151:Y151,AB151:AE151,AH151:AK151),SUM(Таблица1[[#This Row],[1]:[31]])-Таблица1[[#This Row],[Столбец1]])))</f>
        <v>0</v>
      </c>
      <c r="AN151" s="290">
        <f t="array" ref="AN151">IF(AQ151=1,SUM(J151:K151,P151:Q151,V151:W151,AB151:AC151,AH151:AI151),
IF(AQ151=2,SUM(L151:M151,R151:S151,X151:Y151,AD151:AE151),
IF(AQ151=3,SUM(H151:I151,N151:O151,T151:U151,Z151:AA151,AF151:AG151),
SUM(IFERROR(WEEKDAY($H$2:$AL$2,2)&gt;5,)*H151:AL151))))</f>
        <v>0</v>
      </c>
      <c r="AO151" s="292" t="b">
        <f>IF(AR151&lt;=3,(IF((G151="5/24"),((база!$M$6*Таблица1[[#This Row],[сумма]]*Таблица1[[#This Row],[коэф]])),
IF((G151="4/24"),((база!$M$5*Таблица1[[#This Row],[сумма]]*Таблица1[[#This Row],[коэф]])),
IF((G151="3/24"),((база!$M$4*Таблица1[[#This Row],[сумма]]*Таблица1[[#This Row],[коэф]])),
IF((G151="5/16"),((база!$L$6*Таблица1[[#This Row],[сумма]]*Таблица1[[#This Row],[коэф]])),
IF((G151="4/16"),((база!$L$5*Таблица1[[#This Row],[сумма]]*Таблица1[[#This Row],[коэф]])),
IF((G151="3/16"),((база!$L$4*Таблица1[[#This Row],[сумма]]*Таблица1[[#This Row],[коэф]])),
IF((G151="4/4"),((база!$I$5*Таблица1[[#This Row],[сумма]]*Таблица1[[#This Row],[коэф]])),
IF(OR(G151="2/4",G151="3/4"),((база!$I$4*Таблица1[[#This Row],[сумма]]*Таблица1[[#This Row],[коэф]])),
IF((G151="5/8"),((база!$J$6*Таблица1[[#This Row],[сумма]]*Таблица1[[#This Row],[коэф]])),
IF((G151="4/8"),((база!$J$5*Таблица1[[#This Row],[сумма]]*Таблица1[[#This Row],[коэф]])),
IF(OR(G151="3/8",G151="2/8"),((база!$J$4*Таблица1[[#This Row],[сумма]]*Таблица1[[#This Row],[коэф]])))))))))))))),
(IF((G151="5/24"),((база!$M$6*Таблица1[[#This Row],[сумма]]*Таблица1[[#This Row],[коэф]])),
IF(OR(G151="4/24",G151="3/24"),((база!$M$5*Таблица1[[#This Row],[сумма]]*Таблица1[[#This Row],[коэф]])),
IF((G151="5/16"),((база!$L$6*Таблица1[[#This Row],[сумма]]*Таблица1[[#This Row],[коэф]])),
IF(OR(G151="4/16",G151="3/16"),((база!$L$5*Таблица1[[#This Row],[сумма]]*Таблица1[[#This Row],[коэф]])),
IF(OR(G151="2/4",G151="3/4",G151="4/4"),((база!$I$5*Таблица1[[#This Row],[сумма]]*Таблица1[[#This Row],[коэф]])),
IF((G151="5/8"),((база!$J$6*Таблица1[[#This Row],[сумма]]*Таблица1[[#This Row],[коэф]])),
IF(OR(G151="4/8",G151="3/8",G151="2/8"),((база!$J$5*Таблица1[[#This Row],[сумма]]*Таблица1[[#This Row],[коэф]])))))))))))</f>
        <v>0</v>
      </c>
      <c r="AP151" s="715" t="b">
        <f>IF(AR151&lt;=3,(IF((G151="5/24"),((база!$M$6*2*Таблица1[[#This Row],[Столбец1]]*Таблица1[[#This Row],[коэф]])),
IF((G151="4/24"),((база!$M$5*2*Таблица1[[#This Row],[Столбец1]]*Таблица1[[#This Row],[коэф]])),
IF((G151="3/24"),((база!$M$4*2*Таблица1[[#This Row],[Столбец1]]*Таблица1[[#This Row],[коэф]])),
IF((G151="5/16"),((база!$L$6*2*Таблица1[[#This Row],[Столбец1]]*Таблица1[[#This Row],[коэф]])),
IF((G151="4/16"),((база!$L$5*2*Таблица1[[#This Row],[Столбец1]]*Таблица1[[#This Row],[коэф]])),
IF((G151="3/16"),((база!$L$4*2*Таблица1[[#This Row],[Столбец1]]*Таблица1[[#This Row],[коэф]])),
IF((G151="4/4"),((база!$I$5*2*Таблица1[[#This Row],[Столбец1]]*Таблица1[[#This Row],[коэф]])),
IF(OR(G151="2/4",G151="3/4"),((база!$I$4*2*Таблица1[[#This Row],[Столбец1]]*Таблица1[[#This Row],[коэф]])),
IF((G151="5/8"),((база!$J$6*2*Таблица1[[#This Row],[Столбец1]]*Таблица1[[#This Row],[коэф]])),
IF((G151="4/8"),((база!$J$5*2*Таблица1[[#This Row],[Столбец1]]*Таблица1[[#This Row],[коэф]])),
IF(OR(G151="3/8",G151="2/8"),((база!$J$4*2*Таблица1[[#This Row],[Столбец1]]*Таблица1[[#This Row],[коэф]])))))))))))))),
(IF((G151="5/24"),((база!$M$6*2*Таблица1[[#This Row],[Столбец1]]*Таблица1[[#This Row],[коэф]])),
IF(OR(G151="4/24",G151="3/24"),((база!$M$5*2*Таблица1[[#This Row],[Столбец1]]*Таблица1[[#This Row],[коэф]])),
IF((G151="5/16"),((база!$L$6*2*Таблица1[[#This Row],[Столбец1]]*Таблица1[[#This Row],[коэф]])),
IF(OR(G151="4/16",G151="3/16"),((база!$L$5*2*Таблица1[[#This Row],[Столбец1]]*Таблица1[[#This Row],[коэф]])),
IF(OR(G151="2/4",G151="3/4",G151="4/4"),((база!$I$5*2*Таблица1[[#This Row],[Столбец1]]*Таблица1[[#This Row],[коэф]])),
IF((G151="5/8"),((база!$J$6*2*Таблица1[[#This Row],[Столбец1]]*Таблица1[[#This Row],[коэф]])),
IF(OR(G151="4/8",G151="3/8",G151="2/8"),((база!$J$5*2*Таблица1[[#This Row],[Столбец1]]*Таблица1[[#This Row],[коэф]])))))))))))</f>
        <v>0</v>
      </c>
      <c r="AQ151" s="697" t="str">
        <f>IFERROR(INDEX(база!T:T, MATCH(F151,база!Q:Q,0)),"")</f>
        <v/>
      </c>
      <c r="AR151" s="207">
        <f>IFERROR(INDEX(база!D:D, MATCH(F151,база!B:B,0)),"")</f>
        <v>0</v>
      </c>
    </row>
    <row r="152" spans="1:44" ht="14.25" customHeight="1">
      <c r="A152" s="66" t="str">
        <f t="shared" si="3"/>
        <v>декабрь</v>
      </c>
      <c r="B152" s="230">
        <v>2023</v>
      </c>
      <c r="C152" s="299"/>
      <c r="D152" s="61"/>
      <c r="E152" s="210"/>
      <c r="F152" s="669"/>
      <c r="G152" s="47"/>
      <c r="H152" s="563"/>
      <c r="I152" s="563"/>
      <c r="J152" s="563"/>
      <c r="K152" s="563"/>
      <c r="L152" s="563"/>
      <c r="M152" s="563"/>
      <c r="N152" s="563"/>
      <c r="O152" s="563"/>
      <c r="P152" s="300"/>
      <c r="Q152" s="300"/>
      <c r="R152" s="300"/>
      <c r="S152" s="300"/>
      <c r="T152" s="300"/>
      <c r="U152" s="563"/>
      <c r="V152" s="563"/>
      <c r="W152" s="563"/>
      <c r="X152" s="563"/>
      <c r="Y152" s="48"/>
      <c r="Z152" s="48"/>
      <c r="AA152" s="48"/>
      <c r="AB152" s="48"/>
      <c r="AC152" s="48"/>
      <c r="AD152" s="48"/>
      <c r="AE152" s="48"/>
      <c r="AF152" s="48"/>
      <c r="AG152" s="48"/>
      <c r="AH152" s="48"/>
      <c r="AI152" s="48"/>
      <c r="AJ152" s="257"/>
      <c r="AK152" s="48"/>
      <c r="AL152" s="51"/>
      <c r="AM152" s="211">
        <f>IF(AQ152=1,SUM(H152:I152,L152:O152,R152:U152,X152:AA152,AD152:AG152,AI152:AK152),
IF(AQ152=2,SUM(H152:K152,N152:Q152,T152:W152,Z152:AC152,AF152:AI152),
IF(AQ152=3,SUM(J152:M152,P152:S152,V152:Y152,AB152:AE152,AH152:AK152),SUM(Таблица1[[#This Row],[1]:[31]])-Таблица1[[#This Row],[Столбец1]])))</f>
        <v>0</v>
      </c>
      <c r="AN152" s="290">
        <f t="array" ref="AN152">IF(AQ152=1,SUM(J152:K152,P152:Q152,V152:W152,AB152:AC152,AH152:AI152),
IF(AQ152=2,SUM(L152:M152,R152:S152,X152:Y152,AD152:AE152),
IF(AQ152=3,SUM(H152:I152,N152:O152,T152:U152,Z152:AA152,AF152:AG152),
SUM(IFERROR(WEEKDAY($H$2:$AL$2,2)&gt;5,)*H152:AL152))))</f>
        <v>0</v>
      </c>
      <c r="AO152" s="292" t="b">
        <f>IF(AR152&lt;=3,(IF((G152="5/24"),((база!$M$6*Таблица1[[#This Row],[сумма]]*Таблица1[[#This Row],[коэф]])),
IF((G152="4/24"),((база!$M$5*Таблица1[[#This Row],[сумма]]*Таблица1[[#This Row],[коэф]])),
IF((G152="3/24"),((база!$M$4*Таблица1[[#This Row],[сумма]]*Таблица1[[#This Row],[коэф]])),
IF((G152="5/16"),((база!$L$6*Таблица1[[#This Row],[сумма]]*Таблица1[[#This Row],[коэф]])),
IF((G152="4/16"),((база!$L$5*Таблица1[[#This Row],[сумма]]*Таблица1[[#This Row],[коэф]])),
IF((G152="3/16"),((база!$L$4*Таблица1[[#This Row],[сумма]]*Таблица1[[#This Row],[коэф]])),
IF((G152="4/4"),((база!$I$5*Таблица1[[#This Row],[сумма]]*Таблица1[[#This Row],[коэф]])),
IF(OR(G152="2/4",G152="3/4"),((база!$I$4*Таблица1[[#This Row],[сумма]]*Таблица1[[#This Row],[коэф]])),
IF((G152="5/8"),((база!$J$6*Таблица1[[#This Row],[сумма]]*Таблица1[[#This Row],[коэф]])),
IF((G152="4/8"),((база!$J$5*Таблица1[[#This Row],[сумма]]*Таблица1[[#This Row],[коэф]])),
IF(OR(G152="3/8",G152="2/8"),((база!$J$4*Таблица1[[#This Row],[сумма]]*Таблица1[[#This Row],[коэф]])))))))))))))),
(IF((G152="5/24"),((база!$M$6*Таблица1[[#This Row],[сумма]]*Таблица1[[#This Row],[коэф]])),
IF(OR(G152="4/24",G152="3/24"),((база!$M$5*Таблица1[[#This Row],[сумма]]*Таблица1[[#This Row],[коэф]])),
IF((G152="5/16"),((база!$L$6*Таблица1[[#This Row],[сумма]]*Таблица1[[#This Row],[коэф]])),
IF(OR(G152="4/16",G152="3/16"),((база!$L$5*Таблица1[[#This Row],[сумма]]*Таблица1[[#This Row],[коэф]])),
IF(OR(G152="2/4",G152="3/4",G152="4/4"),((база!$I$5*Таблица1[[#This Row],[сумма]]*Таблица1[[#This Row],[коэф]])),
IF((G152="5/8"),((база!$J$6*Таблица1[[#This Row],[сумма]]*Таблица1[[#This Row],[коэф]])),
IF(OR(G152="4/8",G152="3/8",G152="2/8"),((база!$J$5*Таблица1[[#This Row],[сумма]]*Таблица1[[#This Row],[коэф]])))))))))))</f>
        <v>0</v>
      </c>
      <c r="AP152" s="715" t="b">
        <f>IF(AR152&lt;=3,(IF((G152="5/24"),((база!$M$6*2*Таблица1[[#This Row],[Столбец1]]*Таблица1[[#This Row],[коэф]])),
IF((G152="4/24"),((база!$M$5*2*Таблица1[[#This Row],[Столбец1]]*Таблица1[[#This Row],[коэф]])),
IF((G152="3/24"),((база!$M$4*2*Таблица1[[#This Row],[Столбец1]]*Таблица1[[#This Row],[коэф]])),
IF((G152="5/16"),((база!$L$6*2*Таблица1[[#This Row],[Столбец1]]*Таблица1[[#This Row],[коэф]])),
IF((G152="4/16"),((база!$L$5*2*Таблица1[[#This Row],[Столбец1]]*Таблица1[[#This Row],[коэф]])),
IF((G152="3/16"),((база!$L$4*2*Таблица1[[#This Row],[Столбец1]]*Таблица1[[#This Row],[коэф]])),
IF((G152="4/4"),((база!$I$5*2*Таблица1[[#This Row],[Столбец1]]*Таблица1[[#This Row],[коэф]])),
IF(OR(G152="2/4",G152="3/4"),((база!$I$4*2*Таблица1[[#This Row],[Столбец1]]*Таблица1[[#This Row],[коэф]])),
IF((G152="5/8"),((база!$J$6*2*Таблица1[[#This Row],[Столбец1]]*Таблица1[[#This Row],[коэф]])),
IF((G152="4/8"),((база!$J$5*2*Таблица1[[#This Row],[Столбец1]]*Таблица1[[#This Row],[коэф]])),
IF(OR(G152="3/8",G152="2/8"),((база!$J$4*2*Таблица1[[#This Row],[Столбец1]]*Таблица1[[#This Row],[коэф]])))))))))))))),
(IF((G152="5/24"),((база!$M$6*2*Таблица1[[#This Row],[Столбец1]]*Таблица1[[#This Row],[коэф]])),
IF(OR(G152="4/24",G152="3/24"),((база!$M$5*2*Таблица1[[#This Row],[Столбец1]]*Таблица1[[#This Row],[коэф]])),
IF((G152="5/16"),((база!$L$6*2*Таблица1[[#This Row],[Столбец1]]*Таблица1[[#This Row],[коэф]])),
IF(OR(G152="4/16",G152="3/16"),((база!$L$5*2*Таблица1[[#This Row],[Столбец1]]*Таблица1[[#This Row],[коэф]])),
IF(OR(G152="2/4",G152="3/4",G152="4/4"),((база!$I$5*2*Таблица1[[#This Row],[Столбец1]]*Таблица1[[#This Row],[коэф]])),
IF((G152="5/8"),((база!$J$6*2*Таблица1[[#This Row],[Столбец1]]*Таблица1[[#This Row],[коэф]])),
IF(OR(G152="4/8",G152="3/8",G152="2/8"),((база!$J$5*2*Таблица1[[#This Row],[Столбец1]]*Таблица1[[#This Row],[коэф]])))))))))))</f>
        <v>0</v>
      </c>
      <c r="AQ152" s="697" t="str">
        <f>IFERROR(INDEX(база!T:T, MATCH(F152,база!Q:Q,0)),"")</f>
        <v/>
      </c>
      <c r="AR152" s="207">
        <f>IFERROR(INDEX(база!D:D, MATCH(F152,база!B:B,0)),"")</f>
        <v>0</v>
      </c>
    </row>
    <row r="153" spans="1:44" ht="15">
      <c r="A153" s="66" t="str">
        <f t="shared" si="3"/>
        <v>декабрь</v>
      </c>
      <c r="B153" s="230">
        <v>2023</v>
      </c>
      <c r="C153" s="60"/>
      <c r="D153" s="61"/>
      <c r="E153" s="210"/>
      <c r="F153" s="669"/>
      <c r="G153" s="47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48"/>
      <c r="Z153" s="48"/>
      <c r="AA153" s="48"/>
      <c r="AB153" s="48"/>
      <c r="AC153" s="48"/>
      <c r="AD153" s="48"/>
      <c r="AE153" s="48"/>
      <c r="AF153" s="48"/>
      <c r="AG153" s="48"/>
      <c r="AH153" s="48"/>
      <c r="AI153" s="48"/>
      <c r="AJ153" s="48"/>
      <c r="AK153" s="48"/>
      <c r="AL153" s="257"/>
      <c r="AM153" s="211">
        <f>IF(AQ153=1,SUM(H153:I153,L153:O153,R153:U153,X153:AA153,AD153:AG153,AI153:AK153),
IF(AQ153=2,SUM(H153:K153,N153:Q153,T153:W153,Z153:AC153,AF153:AI153),
IF(AQ153=3,SUM(J153:M153,P153:S153,V153:Y153,AB153:AE153,AH153:AK153),SUM(Таблица1[[#This Row],[1]:[31]])-Таблица1[[#This Row],[Столбец1]])))</f>
        <v>0</v>
      </c>
      <c r="AN153" s="290">
        <f t="array" ref="AN153">IF(AQ153=1,SUM(J153:K153,P153:Q153,V153:W153,AB153:AC153,AH153:AI153),
IF(AQ153=2,SUM(L153:M153,R153:S153,X153:Y153,AD153:AE153),
IF(AQ153=3,SUM(H153:I153,N153:O153,T153:U153,Z153:AA153,AF153:AG153),
SUM(IFERROR(WEEKDAY($H$2:$AL$2,2)&gt;5,)*H153:AL153))))</f>
        <v>0</v>
      </c>
      <c r="AO153" s="292" t="b">
        <f>IF(AR153&lt;=3,(IF((G153="5/24"),((база!$M$6*Таблица1[[#This Row],[сумма]]*Таблица1[[#This Row],[коэф]])),
IF((G153="4/24"),((база!$M$5*Таблица1[[#This Row],[сумма]]*Таблица1[[#This Row],[коэф]])),
IF((G153="3/24"),((база!$M$4*Таблица1[[#This Row],[сумма]]*Таблица1[[#This Row],[коэф]])),
IF((G153="5/16"),((база!$L$6*Таблица1[[#This Row],[сумма]]*Таблица1[[#This Row],[коэф]])),
IF((G153="4/16"),((база!$L$5*Таблица1[[#This Row],[сумма]]*Таблица1[[#This Row],[коэф]])),
IF((G153="3/16"),((база!$L$4*Таблица1[[#This Row],[сумма]]*Таблица1[[#This Row],[коэф]])),
IF((G153="4/4"),((база!$I$5*Таблица1[[#This Row],[сумма]]*Таблица1[[#This Row],[коэф]])),
IF(OR(G153="2/4",G153="3/4"),((база!$I$4*Таблица1[[#This Row],[сумма]]*Таблица1[[#This Row],[коэф]])),
IF((G153="5/8"),((база!$J$6*Таблица1[[#This Row],[сумма]]*Таблица1[[#This Row],[коэф]])),
IF((G153="4/8"),((база!$J$5*Таблица1[[#This Row],[сумма]]*Таблица1[[#This Row],[коэф]])),
IF(OR(G153="3/8",G153="2/8"),((база!$J$4*Таблица1[[#This Row],[сумма]]*Таблица1[[#This Row],[коэф]])))))))))))))),
(IF((G153="5/24"),((база!$M$6*Таблица1[[#This Row],[сумма]]*Таблица1[[#This Row],[коэф]])),
IF(OR(G153="4/24",G153="3/24"),((база!$M$5*Таблица1[[#This Row],[сумма]]*Таблица1[[#This Row],[коэф]])),
IF((G153="5/16"),((база!$L$6*Таблица1[[#This Row],[сумма]]*Таблица1[[#This Row],[коэф]])),
IF(OR(G153="4/16",G153="3/16"),((база!$L$5*Таблица1[[#This Row],[сумма]]*Таблица1[[#This Row],[коэф]])),
IF(OR(G153="2/4",G153="3/4",G153="4/4"),((база!$I$5*Таблица1[[#This Row],[сумма]]*Таблица1[[#This Row],[коэф]])),
IF((G153="5/8"),((база!$J$6*Таблица1[[#This Row],[сумма]]*Таблица1[[#This Row],[коэф]])),
IF(OR(G153="4/8",G153="3/8",G153="2/8"),((база!$J$5*Таблица1[[#This Row],[сумма]]*Таблица1[[#This Row],[коэф]])))))))))))</f>
        <v>0</v>
      </c>
      <c r="AP153" s="715" t="b">
        <f>IF(AR153&lt;=3,(IF((G153="5/24"),((база!$M$6*2*Таблица1[[#This Row],[Столбец1]]*Таблица1[[#This Row],[коэф]])),
IF((G153="4/24"),((база!$M$5*2*Таблица1[[#This Row],[Столбец1]]*Таблица1[[#This Row],[коэф]])),
IF((G153="3/24"),((база!$M$4*2*Таблица1[[#This Row],[Столбец1]]*Таблица1[[#This Row],[коэф]])),
IF((G153="5/16"),((база!$L$6*2*Таблица1[[#This Row],[Столбец1]]*Таблица1[[#This Row],[коэф]])),
IF((G153="4/16"),((база!$L$5*2*Таблица1[[#This Row],[Столбец1]]*Таблица1[[#This Row],[коэф]])),
IF((G153="3/16"),((база!$L$4*2*Таблица1[[#This Row],[Столбец1]]*Таблица1[[#This Row],[коэф]])),
IF((G153="4/4"),((база!$I$5*2*Таблица1[[#This Row],[Столбец1]]*Таблица1[[#This Row],[коэф]])),
IF(OR(G153="2/4",G153="3/4"),((база!$I$4*2*Таблица1[[#This Row],[Столбец1]]*Таблица1[[#This Row],[коэф]])),
IF((G153="5/8"),((база!$J$6*2*Таблица1[[#This Row],[Столбец1]]*Таблица1[[#This Row],[коэф]])),
IF((G153="4/8"),((база!$J$5*2*Таблица1[[#This Row],[Столбец1]]*Таблица1[[#This Row],[коэф]])),
IF(OR(G153="3/8",G153="2/8"),((база!$J$4*2*Таблица1[[#This Row],[Столбец1]]*Таблица1[[#This Row],[коэф]])))))))))))))),
(IF((G153="5/24"),((база!$M$6*2*Таблица1[[#This Row],[Столбец1]]*Таблица1[[#This Row],[коэф]])),
IF(OR(G153="4/24",G153="3/24"),((база!$M$5*2*Таблица1[[#This Row],[Столбец1]]*Таблица1[[#This Row],[коэф]])),
IF((G153="5/16"),((база!$L$6*2*Таблица1[[#This Row],[Столбец1]]*Таблица1[[#This Row],[коэф]])),
IF(OR(G153="4/16",G153="3/16"),((база!$L$5*2*Таблица1[[#This Row],[Столбец1]]*Таблица1[[#This Row],[коэф]])),
IF(OR(G153="2/4",G153="3/4",G153="4/4"),((база!$I$5*2*Таблица1[[#This Row],[Столбец1]]*Таблица1[[#This Row],[коэф]])),
IF((G153="5/8"),((база!$J$6*2*Таблица1[[#This Row],[Столбец1]]*Таблица1[[#This Row],[коэф]])),
IF(OR(G153="4/8",G153="3/8",G153="2/8"),((база!$J$5*2*Таблица1[[#This Row],[Столбец1]]*Таблица1[[#This Row],[коэф]])))))))))))</f>
        <v>0</v>
      </c>
      <c r="AQ153" s="697" t="str">
        <f>IFERROR(INDEX(база!T:T, MATCH(F153,база!Q:Q,0)),"")</f>
        <v/>
      </c>
      <c r="AR153" s="207">
        <f>IFERROR(INDEX(база!D:D, MATCH(F153,база!B:B,0)),"")</f>
        <v>0</v>
      </c>
    </row>
    <row r="154" spans="1:44" ht="15">
      <c r="A154" s="66" t="str">
        <f t="shared" si="3"/>
        <v>декабрь</v>
      </c>
      <c r="B154" s="230">
        <v>2023</v>
      </c>
      <c r="C154" s="299"/>
      <c r="D154" s="61"/>
      <c r="E154" s="210"/>
      <c r="F154" s="669"/>
      <c r="G154" s="47"/>
      <c r="H154" s="563"/>
      <c r="I154" s="563"/>
      <c r="J154" s="563"/>
      <c r="K154" s="563"/>
      <c r="L154" s="563"/>
      <c r="M154" s="563"/>
      <c r="N154" s="563"/>
      <c r="O154" s="563"/>
      <c r="P154" s="563"/>
      <c r="Q154" s="563"/>
      <c r="R154" s="563"/>
      <c r="S154" s="563"/>
      <c r="T154" s="563"/>
      <c r="U154" s="563"/>
      <c r="V154" s="563"/>
      <c r="W154" s="563"/>
      <c r="X154" s="563"/>
      <c r="Y154" s="563"/>
      <c r="Z154" s="563"/>
      <c r="AA154" s="563"/>
      <c r="AB154" s="563"/>
      <c r="AC154" s="563"/>
      <c r="AD154" s="48"/>
      <c r="AE154" s="48"/>
      <c r="AF154" s="257"/>
      <c r="AG154" s="257"/>
      <c r="AH154" s="257"/>
      <c r="AI154" s="257"/>
      <c r="AJ154" s="257"/>
      <c r="AK154" s="257"/>
      <c r="AL154" s="257"/>
      <c r="AM154" s="211">
        <f>IF(AQ154=1,SUM(H154:I154,L154:O154,R154:U154,X154:AA154,AD154:AG154,AI154:AK154),
IF(AQ154=2,SUM(H154:K154,N154:Q154,T154:W154,Z154:AC154,AF154:AI154),
IF(AQ154=3,SUM(J154:M154,P154:S154,V154:Y154,AB154:AE154,AH154:AK154),SUM(Таблица1[[#This Row],[1]:[31]])-Таблица1[[#This Row],[Столбец1]])))</f>
        <v>0</v>
      </c>
      <c r="AN154" s="290">
        <f t="array" ref="AN154">IF(AQ154=1,SUM(J154:K154,P154:Q154,V154:W154,AB154:AC154,AH154:AI154),
IF(AQ154=2,SUM(L154:M154,R154:S154,X154:Y154,AD154:AE154),
IF(AQ154=3,SUM(H154:I154,N154:O154,T154:U154,Z154:AA154,AF154:AG154),
SUM(IFERROR(WEEKDAY($H$2:$AL$2,2)&gt;5,)*H154:AL154))))</f>
        <v>0</v>
      </c>
      <c r="AO154" s="292" t="b">
        <f>IF(AR154&lt;=3,(IF((G154="5/24"),((база!$M$6*Таблица1[[#This Row],[сумма]]*Таблица1[[#This Row],[коэф]])),
IF((G154="4/24"),((база!$M$5*Таблица1[[#This Row],[сумма]]*Таблица1[[#This Row],[коэф]])),
IF((G154="3/24"),((база!$M$4*Таблица1[[#This Row],[сумма]]*Таблица1[[#This Row],[коэф]])),
IF((G154="5/16"),((база!$L$6*Таблица1[[#This Row],[сумма]]*Таблица1[[#This Row],[коэф]])),
IF((G154="4/16"),((база!$L$5*Таблица1[[#This Row],[сумма]]*Таблица1[[#This Row],[коэф]])),
IF((G154="3/16"),((база!$L$4*Таблица1[[#This Row],[сумма]]*Таблица1[[#This Row],[коэф]])),
IF((G154="4/4"),((база!$I$5*Таблица1[[#This Row],[сумма]]*Таблица1[[#This Row],[коэф]])),
IF(OR(G154="2/4",G154="3/4"),((база!$I$4*Таблица1[[#This Row],[сумма]]*Таблица1[[#This Row],[коэф]])),
IF((G154="5/8"),((база!$J$6*Таблица1[[#This Row],[сумма]]*Таблица1[[#This Row],[коэф]])),
IF((G154="4/8"),((база!$J$5*Таблица1[[#This Row],[сумма]]*Таблица1[[#This Row],[коэф]])),
IF(OR(G154="3/8",G154="2/8"),((база!$J$4*Таблица1[[#This Row],[сумма]]*Таблица1[[#This Row],[коэф]])))))))))))))),
(IF((G154="5/24"),((база!$M$6*Таблица1[[#This Row],[сумма]]*Таблица1[[#This Row],[коэф]])),
IF(OR(G154="4/24",G154="3/24"),((база!$M$5*Таблица1[[#This Row],[сумма]]*Таблица1[[#This Row],[коэф]])),
IF((G154="5/16"),((база!$L$6*Таблица1[[#This Row],[сумма]]*Таблица1[[#This Row],[коэф]])),
IF(OR(G154="4/16",G154="3/16"),((база!$L$5*Таблица1[[#This Row],[сумма]]*Таблица1[[#This Row],[коэф]])),
IF(OR(G154="2/4",G154="3/4",G154="4/4"),((база!$I$5*Таблица1[[#This Row],[сумма]]*Таблица1[[#This Row],[коэф]])),
IF((G154="5/8"),((база!$J$6*Таблица1[[#This Row],[сумма]]*Таблица1[[#This Row],[коэф]])),
IF(OR(G154="4/8",G154="3/8",G154="2/8"),((база!$J$5*Таблица1[[#This Row],[сумма]]*Таблица1[[#This Row],[коэф]])))))))))))</f>
        <v>0</v>
      </c>
      <c r="AP154" s="715" t="b">
        <f>IF(AR154&lt;=3,(IF((G154="5/24"),((база!$M$6*2*Таблица1[[#This Row],[Столбец1]]*Таблица1[[#This Row],[коэф]])),
IF((G154="4/24"),((база!$M$5*2*Таблица1[[#This Row],[Столбец1]]*Таблица1[[#This Row],[коэф]])),
IF((G154="3/24"),((база!$M$4*2*Таблица1[[#This Row],[Столбец1]]*Таблица1[[#This Row],[коэф]])),
IF((G154="5/16"),((база!$L$6*2*Таблица1[[#This Row],[Столбец1]]*Таблица1[[#This Row],[коэф]])),
IF((G154="4/16"),((база!$L$5*2*Таблица1[[#This Row],[Столбец1]]*Таблица1[[#This Row],[коэф]])),
IF((G154="3/16"),((база!$L$4*2*Таблица1[[#This Row],[Столбец1]]*Таблица1[[#This Row],[коэф]])),
IF((G154="4/4"),((база!$I$5*2*Таблица1[[#This Row],[Столбец1]]*Таблица1[[#This Row],[коэф]])),
IF(OR(G154="2/4",G154="3/4"),((база!$I$4*2*Таблица1[[#This Row],[Столбец1]]*Таблица1[[#This Row],[коэф]])),
IF((G154="5/8"),((база!$J$6*2*Таблица1[[#This Row],[Столбец1]]*Таблица1[[#This Row],[коэф]])),
IF((G154="4/8"),((база!$J$5*2*Таблица1[[#This Row],[Столбец1]]*Таблица1[[#This Row],[коэф]])),
IF(OR(G154="3/8",G154="2/8"),((база!$J$4*2*Таблица1[[#This Row],[Столбец1]]*Таблица1[[#This Row],[коэф]])))))))))))))),
(IF((G154="5/24"),((база!$M$6*2*Таблица1[[#This Row],[Столбец1]]*Таблица1[[#This Row],[коэф]])),
IF(OR(G154="4/24",G154="3/24"),((база!$M$5*2*Таблица1[[#This Row],[Столбец1]]*Таблица1[[#This Row],[коэф]])),
IF((G154="5/16"),((база!$L$6*2*Таблица1[[#This Row],[Столбец1]]*Таблица1[[#This Row],[коэф]])),
IF(OR(G154="4/16",G154="3/16"),((база!$L$5*2*Таблица1[[#This Row],[Столбец1]]*Таблица1[[#This Row],[коэф]])),
IF(OR(G154="2/4",G154="3/4",G154="4/4"),((база!$I$5*2*Таблица1[[#This Row],[Столбец1]]*Таблица1[[#This Row],[коэф]])),
IF((G154="5/8"),((база!$J$6*2*Таблица1[[#This Row],[Столбец1]]*Таблица1[[#This Row],[коэф]])),
IF(OR(G154="4/8",G154="3/8",G154="2/8"),((база!$J$5*2*Таблица1[[#This Row],[Столбец1]]*Таблица1[[#This Row],[коэф]])))))))))))</f>
        <v>0</v>
      </c>
      <c r="AQ154" s="697" t="str">
        <f>IFERROR(INDEX(база!T:T, MATCH(F154,база!Q:Q,0)),"")</f>
        <v/>
      </c>
      <c r="AR154" s="207">
        <f>IFERROR(INDEX(база!D:D, MATCH(F154,база!B:B,0)),"")</f>
        <v>0</v>
      </c>
    </row>
    <row r="155" spans="1:44" ht="15">
      <c r="A155" s="66" t="str">
        <f t="shared" si="3"/>
        <v>декабрь</v>
      </c>
      <c r="B155" s="230">
        <v>2023</v>
      </c>
      <c r="C155" s="60"/>
      <c r="D155" s="61"/>
      <c r="E155" s="210"/>
      <c r="F155" s="669"/>
      <c r="G155" s="47"/>
      <c r="H155" s="563"/>
      <c r="I155" s="563"/>
      <c r="J155" s="563"/>
      <c r="K155" s="563"/>
      <c r="L155" s="563"/>
      <c r="M155" s="563"/>
      <c r="N155" s="563"/>
      <c r="O155" s="563"/>
      <c r="P155" s="300"/>
      <c r="Q155" s="563"/>
      <c r="R155" s="563"/>
      <c r="S155" s="563"/>
      <c r="T155" s="563"/>
      <c r="U155" s="563"/>
      <c r="V155" s="563"/>
      <c r="W155" s="563"/>
      <c r="X155" s="563"/>
      <c r="Y155" s="563"/>
      <c r="Z155" s="563"/>
      <c r="AA155" s="563"/>
      <c r="AB155" s="563"/>
      <c r="AC155" s="563"/>
      <c r="AD155" s="48"/>
      <c r="AE155" s="48"/>
      <c r="AF155" s="257"/>
      <c r="AG155" s="257"/>
      <c r="AH155" s="257"/>
      <c r="AI155" s="257"/>
      <c r="AJ155" s="257"/>
      <c r="AK155" s="257"/>
      <c r="AL155" s="257"/>
      <c r="AM155" s="211">
        <f>IF(AQ155=1,SUM(H155:I155,L155:O155,R155:U155,X155:AA155,AD155:AG155,AI155:AK155),
IF(AQ155=2,SUM(H155:K155,N155:Q155,T155:W155,Z155:AC155,AF155:AI155),
IF(AQ155=3,SUM(J155:M155,P155:S155,V155:Y155,AB155:AE155,AH155:AK155),SUM(Таблица1[[#This Row],[1]:[31]])-Таблица1[[#This Row],[Столбец1]])))</f>
        <v>0</v>
      </c>
      <c r="AN155" s="290">
        <f t="array" ref="AN155">IF(AQ155=1,SUM(J155:K155,P155:Q155,V155:W155,AB155:AC155,AH155:AI155),
IF(AQ155=2,SUM(L155:M155,R155:S155,X155:Y155,AD155:AE155),
IF(AQ155=3,SUM(H155:I155,N155:O155,T155:U155,Z155:AA155,AF155:AG155),
SUM(IFERROR(WEEKDAY($H$2:$AL$2,2)&gt;5,)*H155:AL155))))</f>
        <v>0</v>
      </c>
      <c r="AO155" s="292" t="b">
        <f>IF(AR155&lt;=3,(IF((G155="5/24"),((база!$M$6*Таблица1[[#This Row],[сумма]]*Таблица1[[#This Row],[коэф]])),
IF((G155="4/24"),((база!$M$5*Таблица1[[#This Row],[сумма]]*Таблица1[[#This Row],[коэф]])),
IF((G155="3/24"),((база!$M$4*Таблица1[[#This Row],[сумма]]*Таблица1[[#This Row],[коэф]])),
IF((G155="5/16"),((база!$L$6*Таблица1[[#This Row],[сумма]]*Таблица1[[#This Row],[коэф]])),
IF((G155="4/16"),((база!$L$5*Таблица1[[#This Row],[сумма]]*Таблица1[[#This Row],[коэф]])),
IF((G155="3/16"),((база!$L$4*Таблица1[[#This Row],[сумма]]*Таблица1[[#This Row],[коэф]])),
IF((G155="4/4"),((база!$I$5*Таблица1[[#This Row],[сумма]]*Таблица1[[#This Row],[коэф]])),
IF(OR(G155="2/4",G155="3/4"),((база!$I$4*Таблица1[[#This Row],[сумма]]*Таблица1[[#This Row],[коэф]])),
IF((G155="5/8"),((база!$J$6*Таблица1[[#This Row],[сумма]]*Таблица1[[#This Row],[коэф]])),
IF((G155="4/8"),((база!$J$5*Таблица1[[#This Row],[сумма]]*Таблица1[[#This Row],[коэф]])),
IF(OR(G155="3/8",G155="2/8"),((база!$J$4*Таблица1[[#This Row],[сумма]]*Таблица1[[#This Row],[коэф]])))))))))))))),
(IF((G155="5/24"),((база!$M$6*Таблица1[[#This Row],[сумма]]*Таблица1[[#This Row],[коэф]])),
IF(OR(G155="4/24",G155="3/24"),((база!$M$5*Таблица1[[#This Row],[сумма]]*Таблица1[[#This Row],[коэф]])),
IF((G155="5/16"),((база!$L$6*Таблица1[[#This Row],[сумма]]*Таблица1[[#This Row],[коэф]])),
IF(OR(G155="4/16",G155="3/16"),((база!$L$5*Таблица1[[#This Row],[сумма]]*Таблица1[[#This Row],[коэф]])),
IF(OR(G155="2/4",G155="3/4",G155="4/4"),((база!$I$5*Таблица1[[#This Row],[сумма]]*Таблица1[[#This Row],[коэф]])),
IF((G155="5/8"),((база!$J$6*Таблица1[[#This Row],[сумма]]*Таблица1[[#This Row],[коэф]])),
IF(OR(G155="4/8",G155="3/8",G155="2/8"),((база!$J$5*Таблица1[[#This Row],[сумма]]*Таблица1[[#This Row],[коэф]])))))))))))</f>
        <v>0</v>
      </c>
      <c r="AP155" s="715" t="b">
        <f>IF(AR155&lt;=3,(IF((G155="5/24"),((база!$M$6*2*Таблица1[[#This Row],[Столбец1]]*Таблица1[[#This Row],[коэф]])),
IF((G155="4/24"),((база!$M$5*2*Таблица1[[#This Row],[Столбец1]]*Таблица1[[#This Row],[коэф]])),
IF((G155="3/24"),((база!$M$4*2*Таблица1[[#This Row],[Столбец1]]*Таблица1[[#This Row],[коэф]])),
IF((G155="5/16"),((база!$L$6*2*Таблица1[[#This Row],[Столбец1]]*Таблица1[[#This Row],[коэф]])),
IF((G155="4/16"),((база!$L$5*2*Таблица1[[#This Row],[Столбец1]]*Таблица1[[#This Row],[коэф]])),
IF((G155="3/16"),((база!$L$4*2*Таблица1[[#This Row],[Столбец1]]*Таблица1[[#This Row],[коэф]])),
IF((G155="4/4"),((база!$I$5*2*Таблица1[[#This Row],[Столбец1]]*Таблица1[[#This Row],[коэф]])),
IF(OR(G155="2/4",G155="3/4"),((база!$I$4*2*Таблица1[[#This Row],[Столбец1]]*Таблица1[[#This Row],[коэф]])),
IF((G155="5/8"),((база!$J$6*2*Таблица1[[#This Row],[Столбец1]]*Таблица1[[#This Row],[коэф]])),
IF((G155="4/8"),((база!$J$5*2*Таблица1[[#This Row],[Столбец1]]*Таблица1[[#This Row],[коэф]])),
IF(OR(G155="3/8",G155="2/8"),((база!$J$4*2*Таблица1[[#This Row],[Столбец1]]*Таблица1[[#This Row],[коэф]])))))))))))))),
(IF((G155="5/24"),((база!$M$6*2*Таблица1[[#This Row],[Столбец1]]*Таблица1[[#This Row],[коэф]])),
IF(OR(G155="4/24",G155="3/24"),((база!$M$5*2*Таблица1[[#This Row],[Столбец1]]*Таблица1[[#This Row],[коэф]])),
IF((G155="5/16"),((база!$L$6*2*Таблица1[[#This Row],[Столбец1]]*Таблица1[[#This Row],[коэф]])),
IF(OR(G155="4/16",G155="3/16"),((база!$L$5*2*Таблица1[[#This Row],[Столбец1]]*Таблица1[[#This Row],[коэф]])),
IF(OR(G155="2/4",G155="3/4",G155="4/4"),((база!$I$5*2*Таблица1[[#This Row],[Столбец1]]*Таблица1[[#This Row],[коэф]])),
IF((G155="5/8"),((база!$J$6*2*Таблица1[[#This Row],[Столбец1]]*Таблица1[[#This Row],[коэф]])),
IF(OR(G155="4/8",G155="3/8",G155="2/8"),((база!$J$5*2*Таблица1[[#This Row],[Столбец1]]*Таблица1[[#This Row],[коэф]])))))))))))</f>
        <v>0</v>
      </c>
      <c r="AQ155" s="697" t="str">
        <f>IFERROR(INDEX(база!T:T, MATCH(F155,база!Q:Q,0)),"")</f>
        <v/>
      </c>
      <c r="AR155" s="207">
        <f>IFERROR(INDEX(база!D:D, MATCH(F155,база!B:B,0)),"")</f>
        <v>0</v>
      </c>
    </row>
    <row r="156" spans="1:44" ht="15">
      <c r="A156" s="66" t="str">
        <f t="shared" si="3"/>
        <v>декабрь</v>
      </c>
      <c r="B156" s="230">
        <v>2023</v>
      </c>
      <c r="C156" s="60"/>
      <c r="D156" s="61"/>
      <c r="E156" s="210"/>
      <c r="F156" s="669"/>
      <c r="G156" s="47"/>
      <c r="H156" s="563"/>
      <c r="I156" s="563"/>
      <c r="J156" s="563"/>
      <c r="K156" s="563"/>
      <c r="L156" s="563"/>
      <c r="M156" s="563"/>
      <c r="N156" s="563"/>
      <c r="O156" s="563"/>
      <c r="P156" s="563"/>
      <c r="Q156" s="563"/>
      <c r="R156" s="563"/>
      <c r="S156" s="563"/>
      <c r="T156" s="563"/>
      <c r="U156" s="563"/>
      <c r="V156" s="563"/>
      <c r="W156" s="563"/>
      <c r="X156" s="563"/>
      <c r="Y156" s="563"/>
      <c r="Z156" s="563"/>
      <c r="AA156" s="563"/>
      <c r="AB156" s="563"/>
      <c r="AC156" s="563"/>
      <c r="AD156" s="48"/>
      <c r="AE156" s="48"/>
      <c r="AF156" s="48"/>
      <c r="AG156" s="48"/>
      <c r="AH156" s="257"/>
      <c r="AI156" s="257"/>
      <c r="AJ156" s="257"/>
      <c r="AK156" s="257"/>
      <c r="AL156" s="257"/>
      <c r="AM156" s="211">
        <f>IF(AQ156=1,SUM(H156:I156,L156:O156,R156:U156,X156:AA156,AD156:AG156,AI156:AK156),
IF(AQ156=2,SUM(H156:K156,N156:Q156,T156:W156,Z156:AC156,AF156:AI156),
IF(AQ156=3,SUM(J156:M156,P156:S156,V156:Y156,AB156:AE156,AH156:AK156),SUM(Таблица1[[#This Row],[1]:[31]])-Таблица1[[#This Row],[Столбец1]])))</f>
        <v>0</v>
      </c>
      <c r="AN156" s="290">
        <f t="array" ref="AN156">IF(AQ156=1,SUM(J156:K156,P156:Q156,V156:W156,AB156:AC156,AH156:AI156),
IF(AQ156=2,SUM(L156:M156,R156:S156,X156:Y156,AD156:AE156),
IF(AQ156=3,SUM(H156:I156,N156:O156,T156:U156,Z156:AA156,AF156:AG156),
SUM(IFERROR(WEEKDAY($H$2:$AL$2,2)&gt;5,)*H156:AL156))))</f>
        <v>0</v>
      </c>
      <c r="AO156" s="292" t="b">
        <f>IF(AR156&lt;=3,(IF((G156="5/24"),((база!$M$6*Таблица1[[#This Row],[сумма]]*Таблица1[[#This Row],[коэф]])),
IF((G156="4/24"),((база!$M$5*Таблица1[[#This Row],[сумма]]*Таблица1[[#This Row],[коэф]])),
IF((G156="3/24"),((база!$M$4*Таблица1[[#This Row],[сумма]]*Таблица1[[#This Row],[коэф]])),
IF((G156="5/16"),((база!$L$6*Таблица1[[#This Row],[сумма]]*Таблица1[[#This Row],[коэф]])),
IF((G156="4/16"),((база!$L$5*Таблица1[[#This Row],[сумма]]*Таблица1[[#This Row],[коэф]])),
IF((G156="3/16"),((база!$L$4*Таблица1[[#This Row],[сумма]]*Таблица1[[#This Row],[коэф]])),
IF((G156="4/4"),((база!$I$5*Таблица1[[#This Row],[сумма]]*Таблица1[[#This Row],[коэф]])),
IF(OR(G156="2/4",G156="3/4"),((база!$I$4*Таблица1[[#This Row],[сумма]]*Таблица1[[#This Row],[коэф]])),
IF((G156="5/8"),((база!$J$6*Таблица1[[#This Row],[сумма]]*Таблица1[[#This Row],[коэф]])),
IF((G156="4/8"),((база!$J$5*Таблица1[[#This Row],[сумма]]*Таблица1[[#This Row],[коэф]])),
IF(OR(G156="3/8",G156="2/8"),((база!$J$4*Таблица1[[#This Row],[сумма]]*Таблица1[[#This Row],[коэф]])))))))))))))),
(IF((G156="5/24"),((база!$M$6*Таблица1[[#This Row],[сумма]]*Таблица1[[#This Row],[коэф]])),
IF(OR(G156="4/24",G156="3/24"),((база!$M$5*Таблица1[[#This Row],[сумма]]*Таблица1[[#This Row],[коэф]])),
IF((G156="5/16"),((база!$L$6*Таблица1[[#This Row],[сумма]]*Таблица1[[#This Row],[коэф]])),
IF(OR(G156="4/16",G156="3/16"),((база!$L$5*Таблица1[[#This Row],[сумма]]*Таблица1[[#This Row],[коэф]])),
IF(OR(G156="2/4",G156="3/4",G156="4/4"),((база!$I$5*Таблица1[[#This Row],[сумма]]*Таблица1[[#This Row],[коэф]])),
IF((G156="5/8"),((база!$J$6*Таблица1[[#This Row],[сумма]]*Таблица1[[#This Row],[коэф]])),
IF(OR(G156="4/8",G156="3/8",G156="2/8"),((база!$J$5*Таблица1[[#This Row],[сумма]]*Таблица1[[#This Row],[коэф]])))))))))))</f>
        <v>0</v>
      </c>
      <c r="AP156" s="715" t="b">
        <f>IF(AR156&lt;=3,(IF((G156="5/24"),((база!$M$6*2*Таблица1[[#This Row],[Столбец1]]*Таблица1[[#This Row],[коэф]])),
IF((G156="4/24"),((база!$M$5*2*Таблица1[[#This Row],[Столбец1]]*Таблица1[[#This Row],[коэф]])),
IF((G156="3/24"),((база!$M$4*2*Таблица1[[#This Row],[Столбец1]]*Таблица1[[#This Row],[коэф]])),
IF((G156="5/16"),((база!$L$6*2*Таблица1[[#This Row],[Столбец1]]*Таблица1[[#This Row],[коэф]])),
IF((G156="4/16"),((база!$L$5*2*Таблица1[[#This Row],[Столбец1]]*Таблица1[[#This Row],[коэф]])),
IF((G156="3/16"),((база!$L$4*2*Таблица1[[#This Row],[Столбец1]]*Таблица1[[#This Row],[коэф]])),
IF((G156="4/4"),((база!$I$5*2*Таблица1[[#This Row],[Столбец1]]*Таблица1[[#This Row],[коэф]])),
IF(OR(G156="2/4",G156="3/4"),((база!$I$4*2*Таблица1[[#This Row],[Столбец1]]*Таблица1[[#This Row],[коэф]])),
IF((G156="5/8"),((база!$J$6*2*Таблица1[[#This Row],[Столбец1]]*Таблица1[[#This Row],[коэф]])),
IF((G156="4/8"),((база!$J$5*2*Таблица1[[#This Row],[Столбец1]]*Таблица1[[#This Row],[коэф]])),
IF(OR(G156="3/8",G156="2/8"),((база!$J$4*2*Таблица1[[#This Row],[Столбец1]]*Таблица1[[#This Row],[коэф]])))))))))))))),
(IF((G156="5/24"),((база!$M$6*2*Таблица1[[#This Row],[Столбец1]]*Таблица1[[#This Row],[коэф]])),
IF(OR(G156="4/24",G156="3/24"),((база!$M$5*2*Таблица1[[#This Row],[Столбец1]]*Таблица1[[#This Row],[коэф]])),
IF((G156="5/16"),((база!$L$6*2*Таблица1[[#This Row],[Столбец1]]*Таблица1[[#This Row],[коэф]])),
IF(OR(G156="4/16",G156="3/16"),((база!$L$5*2*Таблица1[[#This Row],[Столбец1]]*Таблица1[[#This Row],[коэф]])),
IF(OR(G156="2/4",G156="3/4",G156="4/4"),((база!$I$5*2*Таблица1[[#This Row],[Столбец1]]*Таблица1[[#This Row],[коэф]])),
IF((G156="5/8"),((база!$J$6*2*Таблица1[[#This Row],[Столбец1]]*Таблица1[[#This Row],[коэф]])),
IF(OR(G156="4/8",G156="3/8",G156="2/8"),((база!$J$5*2*Таблица1[[#This Row],[Столбец1]]*Таблица1[[#This Row],[коэф]])))))))))))</f>
        <v>0</v>
      </c>
      <c r="AQ156" s="697" t="str">
        <f>IFERROR(INDEX(база!T:T, MATCH(F156,база!Q:Q,0)),"")</f>
        <v/>
      </c>
      <c r="AR156" s="207">
        <f>IFERROR(INDEX(база!D:D, MATCH(F156,база!B:B,0)),"")</f>
        <v>0</v>
      </c>
    </row>
    <row r="157" spans="1:44" ht="15">
      <c r="A157" s="66" t="str">
        <f t="shared" si="3"/>
        <v>декабрь</v>
      </c>
      <c r="B157" s="230">
        <v>2023</v>
      </c>
      <c r="C157" s="299"/>
      <c r="D157" s="61"/>
      <c r="E157" s="210"/>
      <c r="F157" s="669"/>
      <c r="G157" s="47"/>
      <c r="H157" s="563"/>
      <c r="I157" s="563"/>
      <c r="J157" s="563"/>
      <c r="K157" s="563"/>
      <c r="L157" s="563"/>
      <c r="M157" s="563"/>
      <c r="N157" s="563"/>
      <c r="O157" s="563"/>
      <c r="P157" s="300"/>
      <c r="Q157" s="563"/>
      <c r="R157" s="563"/>
      <c r="S157" s="563"/>
      <c r="T157" s="563"/>
      <c r="U157" s="563"/>
      <c r="V157" s="563"/>
      <c r="W157" s="563"/>
      <c r="X157" s="563"/>
      <c r="Y157" s="563"/>
      <c r="Z157" s="563"/>
      <c r="AA157" s="563"/>
      <c r="AB157" s="563"/>
      <c r="AC157" s="563"/>
      <c r="AD157" s="48"/>
      <c r="AE157" s="48"/>
      <c r="AF157" s="257"/>
      <c r="AG157" s="257"/>
      <c r="AH157" s="257"/>
      <c r="AI157" s="257"/>
      <c r="AJ157" s="257"/>
      <c r="AK157" s="257"/>
      <c r="AL157" s="257"/>
      <c r="AM157" s="211">
        <f>IF(AQ157=1,SUM(H157:I157,L157:O157,R157:U157,X157:AA157,AD157:AG157,AI157:AK157),
IF(AQ157=2,SUM(H157:K157,N157:Q157,T157:W157,Z157:AC157,AF157:AI157),
IF(AQ157=3,SUM(J157:M157,P157:S157,V157:Y157,AB157:AE157,AH157:AK157),SUM(Таблица1[[#This Row],[1]:[31]])-Таблица1[[#This Row],[Столбец1]])))</f>
        <v>0</v>
      </c>
      <c r="AN157" s="290">
        <f t="array" ref="AN157">IF(AQ157=1,SUM(J157:K157,P157:Q157,V157:W157,AB157:AC157,AH157:AI157),
IF(AQ157=2,SUM(L157:M157,R157:S157,X157:Y157,AD157:AE157),
IF(AQ157=3,SUM(H157:I157,N157:O157,T157:U157,Z157:AA157,AF157:AG157),
SUM(IFERROR(WEEKDAY($H$2:$AL$2,2)&gt;5,)*H157:AL157))))</f>
        <v>0</v>
      </c>
      <c r="AO157" s="292" t="b">
        <f>IF(AR157&lt;=3,(IF((G157="5/24"),((база!$M$6*Таблица1[[#This Row],[сумма]]*Таблица1[[#This Row],[коэф]])),
IF((G157="4/24"),((база!$M$5*Таблица1[[#This Row],[сумма]]*Таблица1[[#This Row],[коэф]])),
IF((G157="3/24"),((база!$M$4*Таблица1[[#This Row],[сумма]]*Таблица1[[#This Row],[коэф]])),
IF((G157="5/16"),((база!$L$6*Таблица1[[#This Row],[сумма]]*Таблица1[[#This Row],[коэф]])),
IF((G157="4/16"),((база!$L$5*Таблица1[[#This Row],[сумма]]*Таблица1[[#This Row],[коэф]])),
IF((G157="3/16"),((база!$L$4*Таблица1[[#This Row],[сумма]]*Таблица1[[#This Row],[коэф]])),
IF((G157="4/4"),((база!$I$5*Таблица1[[#This Row],[сумма]]*Таблица1[[#This Row],[коэф]])),
IF(OR(G157="2/4",G157="3/4"),((база!$I$4*Таблица1[[#This Row],[сумма]]*Таблица1[[#This Row],[коэф]])),
IF((G157="5/8"),((база!$J$6*Таблица1[[#This Row],[сумма]]*Таблица1[[#This Row],[коэф]])),
IF((G157="4/8"),((база!$J$5*Таблица1[[#This Row],[сумма]]*Таблица1[[#This Row],[коэф]])),
IF(OR(G157="3/8",G157="2/8"),((база!$J$4*Таблица1[[#This Row],[сумма]]*Таблица1[[#This Row],[коэф]])))))))))))))),
(IF((G157="5/24"),((база!$M$6*Таблица1[[#This Row],[сумма]]*Таблица1[[#This Row],[коэф]])),
IF(OR(G157="4/24",G157="3/24"),((база!$M$5*Таблица1[[#This Row],[сумма]]*Таблица1[[#This Row],[коэф]])),
IF((G157="5/16"),((база!$L$6*Таблица1[[#This Row],[сумма]]*Таблица1[[#This Row],[коэф]])),
IF(OR(G157="4/16",G157="3/16"),((база!$L$5*Таблица1[[#This Row],[сумма]]*Таблица1[[#This Row],[коэф]])),
IF(OR(G157="2/4",G157="3/4",G157="4/4"),((база!$I$5*Таблица1[[#This Row],[сумма]]*Таблица1[[#This Row],[коэф]])),
IF((G157="5/8"),((база!$J$6*Таблица1[[#This Row],[сумма]]*Таблица1[[#This Row],[коэф]])),
IF(OR(G157="4/8",G157="3/8",G157="2/8"),((база!$J$5*Таблица1[[#This Row],[сумма]]*Таблица1[[#This Row],[коэф]])))))))))))</f>
        <v>0</v>
      </c>
      <c r="AP157" s="715" t="b">
        <f>IF(AR157&lt;=3,(IF((G157="5/24"),((база!$M$6*2*Таблица1[[#This Row],[Столбец1]]*Таблица1[[#This Row],[коэф]])),
IF((G157="4/24"),((база!$M$5*2*Таблица1[[#This Row],[Столбец1]]*Таблица1[[#This Row],[коэф]])),
IF((G157="3/24"),((база!$M$4*2*Таблица1[[#This Row],[Столбец1]]*Таблица1[[#This Row],[коэф]])),
IF((G157="5/16"),((база!$L$6*2*Таблица1[[#This Row],[Столбец1]]*Таблица1[[#This Row],[коэф]])),
IF((G157="4/16"),((база!$L$5*2*Таблица1[[#This Row],[Столбец1]]*Таблица1[[#This Row],[коэф]])),
IF((G157="3/16"),((база!$L$4*2*Таблица1[[#This Row],[Столбец1]]*Таблица1[[#This Row],[коэф]])),
IF((G157="4/4"),((база!$I$5*2*Таблица1[[#This Row],[Столбец1]]*Таблица1[[#This Row],[коэф]])),
IF(OR(G157="2/4",G157="3/4"),((база!$I$4*2*Таблица1[[#This Row],[Столбец1]]*Таблица1[[#This Row],[коэф]])),
IF((G157="5/8"),((база!$J$6*2*Таблица1[[#This Row],[Столбец1]]*Таблица1[[#This Row],[коэф]])),
IF((G157="4/8"),((база!$J$5*2*Таблица1[[#This Row],[Столбец1]]*Таблица1[[#This Row],[коэф]])),
IF(OR(G157="3/8",G157="2/8"),((база!$J$4*2*Таблица1[[#This Row],[Столбец1]]*Таблица1[[#This Row],[коэф]])))))))))))))),
(IF((G157="5/24"),((база!$M$6*2*Таблица1[[#This Row],[Столбец1]]*Таблица1[[#This Row],[коэф]])),
IF(OR(G157="4/24",G157="3/24"),((база!$M$5*2*Таблица1[[#This Row],[Столбец1]]*Таблица1[[#This Row],[коэф]])),
IF((G157="5/16"),((база!$L$6*2*Таблица1[[#This Row],[Столбец1]]*Таблица1[[#This Row],[коэф]])),
IF(OR(G157="4/16",G157="3/16"),((база!$L$5*2*Таблица1[[#This Row],[Столбец1]]*Таблица1[[#This Row],[коэф]])),
IF(OR(G157="2/4",G157="3/4",G157="4/4"),((база!$I$5*2*Таблица1[[#This Row],[Столбец1]]*Таблица1[[#This Row],[коэф]])),
IF((G157="5/8"),((база!$J$6*2*Таблица1[[#This Row],[Столбец1]]*Таблица1[[#This Row],[коэф]])),
IF(OR(G157="4/8",G157="3/8",G157="2/8"),((база!$J$5*2*Таблица1[[#This Row],[Столбец1]]*Таблица1[[#This Row],[коэф]])))))))))))</f>
        <v>0</v>
      </c>
      <c r="AQ157" s="697" t="str">
        <f>IFERROR(INDEX(база!T:T, MATCH(F157,база!Q:Q,0)),"")</f>
        <v/>
      </c>
      <c r="AR157" s="207">
        <f>IFERROR(INDEX(база!D:D, MATCH(F157,база!B:B,0)),"")</f>
        <v>0</v>
      </c>
    </row>
    <row r="158" spans="1:44" ht="15">
      <c r="A158" s="66" t="str">
        <f t="shared" si="3"/>
        <v>декабрь</v>
      </c>
      <c r="B158" s="230">
        <v>2023</v>
      </c>
      <c r="C158" s="60"/>
      <c r="D158" s="61"/>
      <c r="E158" s="210"/>
      <c r="F158" s="669"/>
      <c r="G158" s="47"/>
      <c r="H158" s="563"/>
      <c r="I158" s="563"/>
      <c r="J158" s="563"/>
      <c r="K158" s="563"/>
      <c r="L158" s="563"/>
      <c r="M158" s="563"/>
      <c r="N158" s="563"/>
      <c r="O158" s="563"/>
      <c r="P158" s="300"/>
      <c r="Q158" s="563"/>
      <c r="R158" s="563"/>
      <c r="S158" s="563"/>
      <c r="T158" s="563"/>
      <c r="U158" s="563"/>
      <c r="V158" s="563"/>
      <c r="W158" s="563"/>
      <c r="X158" s="563"/>
      <c r="Y158" s="563"/>
      <c r="Z158" s="563"/>
      <c r="AA158" s="563"/>
      <c r="AB158" s="563"/>
      <c r="AC158" s="563"/>
      <c r="AD158" s="48"/>
      <c r="AE158" s="48"/>
      <c r="AF158" s="257"/>
      <c r="AG158" s="257"/>
      <c r="AH158" s="257"/>
      <c r="AI158" s="257"/>
      <c r="AJ158" s="257"/>
      <c r="AK158" s="257"/>
      <c r="AL158" s="257"/>
      <c r="AM158" s="211">
        <f>IF(AQ158=1,SUM(H158:I158,L158:O158,R158:U158,X158:AA158,AD158:AG158,AI158:AK158),
IF(AQ158=2,SUM(H158:K158,N158:Q158,T158:W158,Z158:AC158,AF158:AI158),
IF(AQ158=3,SUM(J158:M158,P158:S158,V158:Y158,AB158:AE158,AH158:AK158),SUM(Таблица1[[#This Row],[1]:[31]])-Таблица1[[#This Row],[Столбец1]])))</f>
        <v>0</v>
      </c>
      <c r="AN158" s="290">
        <f t="array" ref="AN158">IF(AQ158=1,SUM(J158:K158,P158:Q158,V158:W158,AB158:AC158,AH158:AI158),
IF(AQ158=2,SUM(L158:M158,R158:S158,X158:Y158,AD158:AE158),
IF(AQ158=3,SUM(H158:I158,N158:O158,T158:U158,Z158:AA158,AF158:AG158),
SUM(IFERROR(WEEKDAY($H$2:$AL$2,2)&gt;5,)*H158:AL158))))</f>
        <v>0</v>
      </c>
      <c r="AO158" s="292" t="b">
        <f>IF(AR158&lt;=3,(IF((G158="5/24"),((база!$M$6*Таблица1[[#This Row],[сумма]]*Таблица1[[#This Row],[коэф]])),
IF((G158="4/24"),((база!$M$5*Таблица1[[#This Row],[сумма]]*Таблица1[[#This Row],[коэф]])),
IF((G158="3/24"),((база!$M$4*Таблица1[[#This Row],[сумма]]*Таблица1[[#This Row],[коэф]])),
IF((G158="5/16"),((база!$L$6*Таблица1[[#This Row],[сумма]]*Таблица1[[#This Row],[коэф]])),
IF((G158="4/16"),((база!$L$5*Таблица1[[#This Row],[сумма]]*Таблица1[[#This Row],[коэф]])),
IF((G158="3/16"),((база!$L$4*Таблица1[[#This Row],[сумма]]*Таблица1[[#This Row],[коэф]])),
IF((G158="4/4"),((база!$I$5*Таблица1[[#This Row],[сумма]]*Таблица1[[#This Row],[коэф]])),
IF(OR(G158="2/4",G158="3/4"),((база!$I$4*Таблица1[[#This Row],[сумма]]*Таблица1[[#This Row],[коэф]])),
IF((G158="5/8"),((база!$J$6*Таблица1[[#This Row],[сумма]]*Таблица1[[#This Row],[коэф]])),
IF((G158="4/8"),((база!$J$5*Таблица1[[#This Row],[сумма]]*Таблица1[[#This Row],[коэф]])),
IF(OR(G158="3/8",G158="2/8"),((база!$J$4*Таблица1[[#This Row],[сумма]]*Таблица1[[#This Row],[коэф]])))))))))))))),
(IF((G158="5/24"),((база!$M$6*Таблица1[[#This Row],[сумма]]*Таблица1[[#This Row],[коэф]])),
IF(OR(G158="4/24",G158="3/24"),((база!$M$5*Таблица1[[#This Row],[сумма]]*Таблица1[[#This Row],[коэф]])),
IF((G158="5/16"),((база!$L$6*Таблица1[[#This Row],[сумма]]*Таблица1[[#This Row],[коэф]])),
IF(OR(G158="4/16",G158="3/16"),((база!$L$5*Таблица1[[#This Row],[сумма]]*Таблица1[[#This Row],[коэф]])),
IF(OR(G158="2/4",G158="3/4",G158="4/4"),((база!$I$5*Таблица1[[#This Row],[сумма]]*Таблица1[[#This Row],[коэф]])),
IF((G158="5/8"),((база!$J$6*Таблица1[[#This Row],[сумма]]*Таблица1[[#This Row],[коэф]])),
IF(OR(G158="4/8",G158="3/8",G158="2/8"),((база!$J$5*Таблица1[[#This Row],[сумма]]*Таблица1[[#This Row],[коэф]])))))))))))</f>
        <v>0</v>
      </c>
      <c r="AP158" s="715" t="b">
        <f>IF(AR158&lt;=3,(IF((G158="5/24"),((база!$M$6*2*Таблица1[[#This Row],[Столбец1]]*Таблица1[[#This Row],[коэф]])),
IF((G158="4/24"),((база!$M$5*2*Таблица1[[#This Row],[Столбец1]]*Таблица1[[#This Row],[коэф]])),
IF((G158="3/24"),((база!$M$4*2*Таблица1[[#This Row],[Столбец1]]*Таблица1[[#This Row],[коэф]])),
IF((G158="5/16"),((база!$L$6*2*Таблица1[[#This Row],[Столбец1]]*Таблица1[[#This Row],[коэф]])),
IF((G158="4/16"),((база!$L$5*2*Таблица1[[#This Row],[Столбец1]]*Таблица1[[#This Row],[коэф]])),
IF((G158="3/16"),((база!$L$4*2*Таблица1[[#This Row],[Столбец1]]*Таблица1[[#This Row],[коэф]])),
IF((G158="4/4"),((база!$I$5*2*Таблица1[[#This Row],[Столбец1]]*Таблица1[[#This Row],[коэф]])),
IF(OR(G158="2/4",G158="3/4"),((база!$I$4*2*Таблица1[[#This Row],[Столбец1]]*Таблица1[[#This Row],[коэф]])),
IF((G158="5/8"),((база!$J$6*2*Таблица1[[#This Row],[Столбец1]]*Таблица1[[#This Row],[коэф]])),
IF((G158="4/8"),((база!$J$5*2*Таблица1[[#This Row],[Столбец1]]*Таблица1[[#This Row],[коэф]])),
IF(OR(G158="3/8",G158="2/8"),((база!$J$4*2*Таблица1[[#This Row],[Столбец1]]*Таблица1[[#This Row],[коэф]])))))))))))))),
(IF((G158="5/24"),((база!$M$6*2*Таблица1[[#This Row],[Столбец1]]*Таблица1[[#This Row],[коэф]])),
IF(OR(G158="4/24",G158="3/24"),((база!$M$5*2*Таблица1[[#This Row],[Столбец1]]*Таблица1[[#This Row],[коэф]])),
IF((G158="5/16"),((база!$L$6*2*Таблица1[[#This Row],[Столбец1]]*Таблица1[[#This Row],[коэф]])),
IF(OR(G158="4/16",G158="3/16"),((база!$L$5*2*Таблица1[[#This Row],[Столбец1]]*Таблица1[[#This Row],[коэф]])),
IF(OR(G158="2/4",G158="3/4",G158="4/4"),((база!$I$5*2*Таблица1[[#This Row],[Столбец1]]*Таблица1[[#This Row],[коэф]])),
IF((G158="5/8"),((база!$J$6*2*Таблица1[[#This Row],[Столбец1]]*Таблица1[[#This Row],[коэф]])),
IF(OR(G158="4/8",G158="3/8",G158="2/8"),((база!$J$5*2*Таблица1[[#This Row],[Столбец1]]*Таблица1[[#This Row],[коэф]])))))))))))</f>
        <v>0</v>
      </c>
      <c r="AQ158" s="697" t="str">
        <f>IFERROR(INDEX(база!T:T, MATCH(F158,база!Q:Q,0)),"")</f>
        <v/>
      </c>
      <c r="AR158" s="207">
        <f>IFERROR(INDEX(база!D:D, MATCH(F158,база!B:B,0)),"")</f>
        <v>0</v>
      </c>
    </row>
    <row r="159" spans="1:44" ht="15">
      <c r="A159" s="66" t="str">
        <f t="shared" si="3"/>
        <v>декабрь</v>
      </c>
      <c r="B159" s="230">
        <v>2023</v>
      </c>
      <c r="C159" s="299"/>
      <c r="D159" s="61"/>
      <c r="E159" s="210"/>
      <c r="F159" s="669"/>
      <c r="G159" s="47"/>
      <c r="H159" s="563"/>
      <c r="I159" s="563"/>
      <c r="J159" s="563"/>
      <c r="K159" s="563"/>
      <c r="L159" s="563"/>
      <c r="M159" s="563"/>
      <c r="N159" s="563"/>
      <c r="O159" s="563"/>
      <c r="P159" s="300"/>
      <c r="Q159" s="300"/>
      <c r="R159" s="300"/>
      <c r="S159" s="300"/>
      <c r="T159" s="300"/>
      <c r="U159" s="563"/>
      <c r="V159" s="563"/>
      <c r="W159" s="563"/>
      <c r="X159" s="563"/>
      <c r="Y159" s="563"/>
      <c r="Z159" s="563"/>
      <c r="AA159" s="563"/>
      <c r="AB159" s="563"/>
      <c r="AC159" s="563"/>
      <c r="AD159" s="48"/>
      <c r="AE159" s="48"/>
      <c r="AF159" s="257"/>
      <c r="AG159" s="257"/>
      <c r="AH159" s="257"/>
      <c r="AI159" s="257"/>
      <c r="AJ159" s="257"/>
      <c r="AK159" s="257"/>
      <c r="AL159" s="257"/>
      <c r="AM159" s="211">
        <f>IF(AQ159=1,SUM(H159:I159,L159:O159,R159:U159,X159:AA159,AD159:AG159,AI159:AK159),
IF(AQ159=2,SUM(H159:K159,N159:Q159,T159:W159,Z159:AC159,AF159:AI159),
IF(AQ159=3,SUM(J159:M159,P159:S159,V159:Y159,AB159:AE159,AH159:AK159),SUM(Таблица1[[#This Row],[1]:[31]])-Таблица1[[#This Row],[Столбец1]])))</f>
        <v>0</v>
      </c>
      <c r="AN159" s="290">
        <f t="array" ref="AN159">IF(AQ159=1,SUM(J159:K159,P159:Q159,V159:W159,AB159:AC159,AH159:AI159),
IF(AQ159=2,SUM(L159:M159,R159:S159,X159:Y159,AD159:AE159),
IF(AQ159=3,SUM(H159:I159,N159:O159,T159:U159,Z159:AA159,AF159:AG159),
SUM(IFERROR(WEEKDAY($H$2:$AL$2,2)&gt;5,)*H159:AL159))))</f>
        <v>0</v>
      </c>
      <c r="AO159" s="292" t="b">
        <f>IF(AR159&lt;=3,(IF((G159="5/24"),((база!$M$6*Таблица1[[#This Row],[сумма]]*Таблица1[[#This Row],[коэф]])),
IF((G159="4/24"),((база!$M$5*Таблица1[[#This Row],[сумма]]*Таблица1[[#This Row],[коэф]])),
IF((G159="3/24"),((база!$M$4*Таблица1[[#This Row],[сумма]]*Таблица1[[#This Row],[коэф]])),
IF((G159="5/16"),((база!$L$6*Таблица1[[#This Row],[сумма]]*Таблица1[[#This Row],[коэф]])),
IF((G159="4/16"),((база!$L$5*Таблица1[[#This Row],[сумма]]*Таблица1[[#This Row],[коэф]])),
IF((G159="3/16"),((база!$L$4*Таблица1[[#This Row],[сумма]]*Таблица1[[#This Row],[коэф]])),
IF((G159="4/4"),((база!$I$5*Таблица1[[#This Row],[сумма]]*Таблица1[[#This Row],[коэф]])),
IF(OR(G159="2/4",G159="3/4"),((база!$I$4*Таблица1[[#This Row],[сумма]]*Таблица1[[#This Row],[коэф]])),
IF((G159="5/8"),((база!$J$6*Таблица1[[#This Row],[сумма]]*Таблица1[[#This Row],[коэф]])),
IF((G159="4/8"),((база!$J$5*Таблица1[[#This Row],[сумма]]*Таблица1[[#This Row],[коэф]])),
IF(OR(G159="3/8",G159="2/8"),((база!$J$4*Таблица1[[#This Row],[сумма]]*Таблица1[[#This Row],[коэф]])))))))))))))),
(IF((G159="5/24"),((база!$M$6*Таблица1[[#This Row],[сумма]]*Таблица1[[#This Row],[коэф]])),
IF(OR(G159="4/24",G159="3/24"),((база!$M$5*Таблица1[[#This Row],[сумма]]*Таблица1[[#This Row],[коэф]])),
IF((G159="5/16"),((база!$L$6*Таблица1[[#This Row],[сумма]]*Таблица1[[#This Row],[коэф]])),
IF(OR(G159="4/16",G159="3/16"),((база!$L$5*Таблица1[[#This Row],[сумма]]*Таблица1[[#This Row],[коэф]])),
IF(OR(G159="2/4",G159="3/4",G159="4/4"),((база!$I$5*Таблица1[[#This Row],[сумма]]*Таблица1[[#This Row],[коэф]])),
IF((G159="5/8"),((база!$J$6*Таблица1[[#This Row],[сумма]]*Таблица1[[#This Row],[коэф]])),
IF(OR(G159="4/8",G159="3/8",G159="2/8"),((база!$J$5*Таблица1[[#This Row],[сумма]]*Таблица1[[#This Row],[коэф]])))))))))))</f>
        <v>0</v>
      </c>
      <c r="AP159" s="715" t="b">
        <f>IF(AR159&lt;=3,(IF((G159="5/24"),((база!$M$6*2*Таблица1[[#This Row],[Столбец1]]*Таблица1[[#This Row],[коэф]])),
IF((G159="4/24"),((база!$M$5*2*Таблица1[[#This Row],[Столбец1]]*Таблица1[[#This Row],[коэф]])),
IF((G159="3/24"),((база!$M$4*2*Таблица1[[#This Row],[Столбец1]]*Таблица1[[#This Row],[коэф]])),
IF((G159="5/16"),((база!$L$6*2*Таблица1[[#This Row],[Столбец1]]*Таблица1[[#This Row],[коэф]])),
IF((G159="4/16"),((база!$L$5*2*Таблица1[[#This Row],[Столбец1]]*Таблица1[[#This Row],[коэф]])),
IF((G159="3/16"),((база!$L$4*2*Таблица1[[#This Row],[Столбец1]]*Таблица1[[#This Row],[коэф]])),
IF((G159="4/4"),((база!$I$5*2*Таблица1[[#This Row],[Столбец1]]*Таблица1[[#This Row],[коэф]])),
IF(OR(G159="2/4",G159="3/4"),((база!$I$4*2*Таблица1[[#This Row],[Столбец1]]*Таблица1[[#This Row],[коэф]])),
IF((G159="5/8"),((база!$J$6*2*Таблица1[[#This Row],[Столбец1]]*Таблица1[[#This Row],[коэф]])),
IF((G159="4/8"),((база!$J$5*2*Таблица1[[#This Row],[Столбец1]]*Таблица1[[#This Row],[коэф]])),
IF(OR(G159="3/8",G159="2/8"),((база!$J$4*2*Таблица1[[#This Row],[Столбец1]]*Таблица1[[#This Row],[коэф]])))))))))))))),
(IF((G159="5/24"),((база!$M$6*2*Таблица1[[#This Row],[Столбец1]]*Таблица1[[#This Row],[коэф]])),
IF(OR(G159="4/24",G159="3/24"),((база!$M$5*2*Таблица1[[#This Row],[Столбец1]]*Таблица1[[#This Row],[коэф]])),
IF((G159="5/16"),((база!$L$6*2*Таблица1[[#This Row],[Столбец1]]*Таблица1[[#This Row],[коэф]])),
IF(OR(G159="4/16",G159="3/16"),((база!$L$5*2*Таблица1[[#This Row],[Столбец1]]*Таблица1[[#This Row],[коэф]])),
IF(OR(G159="2/4",G159="3/4",G159="4/4"),((база!$I$5*2*Таблица1[[#This Row],[Столбец1]]*Таблица1[[#This Row],[коэф]])),
IF((G159="5/8"),((база!$J$6*2*Таблица1[[#This Row],[Столбец1]]*Таблица1[[#This Row],[коэф]])),
IF(OR(G159="4/8",G159="3/8",G159="2/8"),((база!$J$5*2*Таблица1[[#This Row],[Столбец1]]*Таблица1[[#This Row],[коэф]])))))))))))</f>
        <v>0</v>
      </c>
      <c r="AQ159" s="697" t="str">
        <f>IFERROR(INDEX(база!T:T, MATCH(F159,база!Q:Q,0)),"")</f>
        <v/>
      </c>
      <c r="AR159" s="207">
        <f>IFERROR(INDEX(база!D:D, MATCH(F159,база!B:B,0)),"")</f>
        <v>0</v>
      </c>
    </row>
    <row r="160" spans="1:44" ht="15">
      <c r="A160" s="66" t="str">
        <f t="shared" si="3"/>
        <v>декабрь</v>
      </c>
      <c r="B160" s="230">
        <v>2023</v>
      </c>
      <c r="C160" s="299"/>
      <c r="D160" s="61"/>
      <c r="E160" s="210"/>
      <c r="F160" s="669"/>
      <c r="G160" s="47"/>
      <c r="H160" s="563"/>
      <c r="I160" s="563"/>
      <c r="J160" s="563"/>
      <c r="K160" s="563"/>
      <c r="L160" s="563"/>
      <c r="M160" s="563"/>
      <c r="N160" s="563"/>
      <c r="O160" s="563"/>
      <c r="P160" s="300"/>
      <c r="Q160" s="563"/>
      <c r="R160" s="563"/>
      <c r="S160" s="563"/>
      <c r="T160" s="563"/>
      <c r="U160" s="563"/>
      <c r="V160" s="563"/>
      <c r="W160" s="563"/>
      <c r="X160" s="563"/>
      <c r="Y160" s="563"/>
      <c r="Z160" s="563"/>
      <c r="AA160" s="563"/>
      <c r="AB160" s="563"/>
      <c r="AC160" s="563"/>
      <c r="AD160" s="48"/>
      <c r="AE160" s="48"/>
      <c r="AF160" s="257"/>
      <c r="AG160" s="257"/>
      <c r="AH160" s="257"/>
      <c r="AI160" s="257"/>
      <c r="AJ160" s="257"/>
      <c r="AK160" s="257"/>
      <c r="AL160" s="257"/>
      <c r="AM160" s="211">
        <f>IF(AQ160=1,SUM(H160:I160,L160:O160,R160:U160,X160:AA160,AD160:AG160,AI160:AK160),
IF(AQ160=2,SUM(H160:K160,N160:Q160,T160:W160,Z160:AC160,AF160:AI160),
IF(AQ160=3,SUM(J160:M160,P160:S160,V160:Y160,AB160:AE160,AH160:AK160),SUM(Таблица1[[#This Row],[1]:[31]])-Таблица1[[#This Row],[Столбец1]])))</f>
        <v>0</v>
      </c>
      <c r="AN160" s="290">
        <f t="array" ref="AN160">IF(AQ160=1,SUM(J160:K160,P160:Q160,V160:W160,AB160:AC160,AH160:AI160),
IF(AQ160=2,SUM(L160:M160,R160:S160,X160:Y160,AD160:AE160),
IF(AQ160=3,SUM(H160:I160,N160:O160,T160:U160,Z160:AA160,AF160:AG160),
SUM(IFERROR(WEEKDAY($H$2:$AL$2,2)&gt;5,)*H160:AL160))))</f>
        <v>0</v>
      </c>
      <c r="AO160" s="292" t="b">
        <f>IF(AR160&lt;=3,(IF((G160="5/24"),((база!$M$6*Таблица1[[#This Row],[сумма]]*Таблица1[[#This Row],[коэф]])),
IF((G160="4/24"),((база!$M$5*Таблица1[[#This Row],[сумма]]*Таблица1[[#This Row],[коэф]])),
IF((G160="3/24"),((база!$M$4*Таблица1[[#This Row],[сумма]]*Таблица1[[#This Row],[коэф]])),
IF((G160="5/16"),((база!$L$6*Таблица1[[#This Row],[сумма]]*Таблица1[[#This Row],[коэф]])),
IF((G160="4/16"),((база!$L$5*Таблица1[[#This Row],[сумма]]*Таблица1[[#This Row],[коэф]])),
IF((G160="3/16"),((база!$L$4*Таблица1[[#This Row],[сумма]]*Таблица1[[#This Row],[коэф]])),
IF((G160="4/4"),((база!$I$5*Таблица1[[#This Row],[сумма]]*Таблица1[[#This Row],[коэф]])),
IF(OR(G160="2/4",G160="3/4"),((база!$I$4*Таблица1[[#This Row],[сумма]]*Таблица1[[#This Row],[коэф]])),
IF((G160="5/8"),((база!$J$6*Таблица1[[#This Row],[сумма]]*Таблица1[[#This Row],[коэф]])),
IF((G160="4/8"),((база!$J$5*Таблица1[[#This Row],[сумма]]*Таблица1[[#This Row],[коэф]])),
IF(OR(G160="3/8",G160="2/8"),((база!$J$4*Таблица1[[#This Row],[сумма]]*Таблица1[[#This Row],[коэф]])))))))))))))),
(IF((G160="5/24"),((база!$M$6*Таблица1[[#This Row],[сумма]]*Таблица1[[#This Row],[коэф]])),
IF(OR(G160="4/24",G160="3/24"),((база!$M$5*Таблица1[[#This Row],[сумма]]*Таблица1[[#This Row],[коэф]])),
IF((G160="5/16"),((база!$L$6*Таблица1[[#This Row],[сумма]]*Таблица1[[#This Row],[коэф]])),
IF(OR(G160="4/16",G160="3/16"),((база!$L$5*Таблица1[[#This Row],[сумма]]*Таблица1[[#This Row],[коэф]])),
IF(OR(G160="2/4",G160="3/4",G160="4/4"),((база!$I$5*Таблица1[[#This Row],[сумма]]*Таблица1[[#This Row],[коэф]])),
IF((G160="5/8"),((база!$J$6*Таблица1[[#This Row],[сумма]]*Таблица1[[#This Row],[коэф]])),
IF(OR(G160="4/8",G160="3/8",G160="2/8"),((база!$J$5*Таблица1[[#This Row],[сумма]]*Таблица1[[#This Row],[коэф]])))))))))))</f>
        <v>0</v>
      </c>
      <c r="AP160" s="715" t="b">
        <f>IF(AR160&lt;=3,(IF((G160="5/24"),((база!$M$6*2*Таблица1[[#This Row],[Столбец1]]*Таблица1[[#This Row],[коэф]])),
IF((G160="4/24"),((база!$M$5*2*Таблица1[[#This Row],[Столбец1]]*Таблица1[[#This Row],[коэф]])),
IF((G160="3/24"),((база!$M$4*2*Таблица1[[#This Row],[Столбец1]]*Таблица1[[#This Row],[коэф]])),
IF((G160="5/16"),((база!$L$6*2*Таблица1[[#This Row],[Столбец1]]*Таблица1[[#This Row],[коэф]])),
IF((G160="4/16"),((база!$L$5*2*Таблица1[[#This Row],[Столбец1]]*Таблица1[[#This Row],[коэф]])),
IF((G160="3/16"),((база!$L$4*2*Таблица1[[#This Row],[Столбец1]]*Таблица1[[#This Row],[коэф]])),
IF((G160="4/4"),((база!$I$5*2*Таблица1[[#This Row],[Столбец1]]*Таблица1[[#This Row],[коэф]])),
IF(OR(G160="2/4",G160="3/4"),((база!$I$4*2*Таблица1[[#This Row],[Столбец1]]*Таблица1[[#This Row],[коэф]])),
IF((G160="5/8"),((база!$J$6*2*Таблица1[[#This Row],[Столбец1]]*Таблица1[[#This Row],[коэф]])),
IF((G160="4/8"),((база!$J$5*2*Таблица1[[#This Row],[Столбец1]]*Таблица1[[#This Row],[коэф]])),
IF(OR(G160="3/8",G160="2/8"),((база!$J$4*2*Таблица1[[#This Row],[Столбец1]]*Таблица1[[#This Row],[коэф]])))))))))))))),
(IF((G160="5/24"),((база!$M$6*2*Таблица1[[#This Row],[Столбец1]]*Таблица1[[#This Row],[коэф]])),
IF(OR(G160="4/24",G160="3/24"),((база!$M$5*2*Таблица1[[#This Row],[Столбец1]]*Таблица1[[#This Row],[коэф]])),
IF((G160="5/16"),((база!$L$6*2*Таблица1[[#This Row],[Столбец1]]*Таблица1[[#This Row],[коэф]])),
IF(OR(G160="4/16",G160="3/16"),((база!$L$5*2*Таблица1[[#This Row],[Столбец1]]*Таблица1[[#This Row],[коэф]])),
IF(OR(G160="2/4",G160="3/4",G160="4/4"),((база!$I$5*2*Таблица1[[#This Row],[Столбец1]]*Таблица1[[#This Row],[коэф]])),
IF((G160="5/8"),((база!$J$6*2*Таблица1[[#This Row],[Столбец1]]*Таблица1[[#This Row],[коэф]])),
IF(OR(G160="4/8",G160="3/8",G160="2/8"),((база!$J$5*2*Таблица1[[#This Row],[Столбец1]]*Таблица1[[#This Row],[коэф]])))))))))))</f>
        <v>0</v>
      </c>
      <c r="AQ160" s="697" t="str">
        <f>IFERROR(INDEX(база!T:T, MATCH(F160,база!Q:Q,0)),"")</f>
        <v/>
      </c>
      <c r="AR160" s="207">
        <f>IFERROR(INDEX(база!D:D, MATCH(F160,база!B:B,0)),"")</f>
        <v>0</v>
      </c>
    </row>
    <row r="161" spans="1:47" ht="15">
      <c r="A161" s="66" t="str">
        <f t="shared" si="3"/>
        <v>декабрь</v>
      </c>
      <c r="B161" s="230">
        <v>2023</v>
      </c>
      <c r="C161" s="299"/>
      <c r="D161" s="61"/>
      <c r="E161" s="210"/>
      <c r="F161" s="669"/>
      <c r="G161" s="47"/>
      <c r="H161" s="563"/>
      <c r="I161" s="563"/>
      <c r="J161" s="563"/>
      <c r="K161" s="563"/>
      <c r="L161" s="563"/>
      <c r="M161" s="563"/>
      <c r="N161" s="563"/>
      <c r="O161" s="563"/>
      <c r="P161" s="300"/>
      <c r="Q161" s="563"/>
      <c r="R161" s="563"/>
      <c r="S161" s="563"/>
      <c r="T161" s="563"/>
      <c r="U161" s="563"/>
      <c r="V161" s="563"/>
      <c r="W161" s="563"/>
      <c r="X161" s="563"/>
      <c r="Y161" s="563"/>
      <c r="Z161" s="563"/>
      <c r="AA161" s="563"/>
      <c r="AB161" s="563"/>
      <c r="AC161" s="563"/>
      <c r="AD161" s="48"/>
      <c r="AE161" s="48"/>
      <c r="AF161" s="48"/>
      <c r="AG161" s="48"/>
      <c r="AH161" s="48"/>
      <c r="AI161" s="48"/>
      <c r="AJ161" s="257"/>
      <c r="AK161" s="257"/>
      <c r="AL161" s="257"/>
      <c r="AM161" s="211">
        <f>IF(AQ161=1,SUM(H161:I161,L161:O161,R161:U161,X161:AA161,AD161:AG161,AI161:AK161),
IF(AQ161=2,SUM(H161:K161,N161:Q161,T161:W161,Z161:AC161,AF161:AI161),
IF(AQ161=3,SUM(J161:M161,P161:S161,V161:Y161,AB161:AE161,AH161:AK161),SUM(Таблица1[[#This Row],[1]:[31]])-Таблица1[[#This Row],[Столбец1]])))</f>
        <v>0</v>
      </c>
      <c r="AN161" s="290">
        <f t="array" ref="AN161">IF(AQ161=1,SUM(J161:K161,P161:Q161,V161:W161,AB161:AC161,AH161:AI161),
IF(AQ161=2,SUM(L161:M161,R161:S161,X161:Y161,AD161:AE161),
IF(AQ161=3,SUM(H161:I161,N161:O161,T161:U161,Z161:AA161,AF161:AG161),
SUM(IFERROR(WEEKDAY($H$2:$AL$2,2)&gt;5,)*H161:AL161))))</f>
        <v>0</v>
      </c>
      <c r="AO161" s="292" t="b">
        <f>IF(AR161&lt;=3,(IF((G161="5/24"),((база!$M$6*Таблица1[[#This Row],[сумма]]*Таблица1[[#This Row],[коэф]])),
IF((G161="4/24"),((база!$M$5*Таблица1[[#This Row],[сумма]]*Таблица1[[#This Row],[коэф]])),
IF((G161="3/24"),((база!$M$4*Таблица1[[#This Row],[сумма]]*Таблица1[[#This Row],[коэф]])),
IF((G161="5/16"),((база!$L$6*Таблица1[[#This Row],[сумма]]*Таблица1[[#This Row],[коэф]])),
IF((G161="4/16"),((база!$L$5*Таблица1[[#This Row],[сумма]]*Таблица1[[#This Row],[коэф]])),
IF((G161="3/16"),((база!$L$4*Таблица1[[#This Row],[сумма]]*Таблица1[[#This Row],[коэф]])),
IF((G161="4/4"),((база!$I$5*Таблица1[[#This Row],[сумма]]*Таблица1[[#This Row],[коэф]])),
IF(OR(G161="2/4",G161="3/4"),((база!$I$4*Таблица1[[#This Row],[сумма]]*Таблица1[[#This Row],[коэф]])),
IF((G161="5/8"),((база!$J$6*Таблица1[[#This Row],[сумма]]*Таблица1[[#This Row],[коэф]])),
IF((G161="4/8"),((база!$J$5*Таблица1[[#This Row],[сумма]]*Таблица1[[#This Row],[коэф]])),
IF(OR(G161="3/8",G161="2/8"),((база!$J$4*Таблица1[[#This Row],[сумма]]*Таблица1[[#This Row],[коэф]])))))))))))))),
(IF((G161="5/24"),((база!$M$6*Таблица1[[#This Row],[сумма]]*Таблица1[[#This Row],[коэф]])),
IF(OR(G161="4/24",G161="3/24"),((база!$M$5*Таблица1[[#This Row],[сумма]]*Таблица1[[#This Row],[коэф]])),
IF((G161="5/16"),((база!$L$6*Таблица1[[#This Row],[сумма]]*Таблица1[[#This Row],[коэф]])),
IF(OR(G161="4/16",G161="3/16"),((база!$L$5*Таблица1[[#This Row],[сумма]]*Таблица1[[#This Row],[коэф]])),
IF(OR(G161="2/4",G161="3/4",G161="4/4"),((база!$I$5*Таблица1[[#This Row],[сумма]]*Таблица1[[#This Row],[коэф]])),
IF((G161="5/8"),((база!$J$6*Таблица1[[#This Row],[сумма]]*Таблица1[[#This Row],[коэф]])),
IF(OR(G161="4/8",G161="3/8",G161="2/8"),((база!$J$5*Таблица1[[#This Row],[сумма]]*Таблица1[[#This Row],[коэф]])))))))))))</f>
        <v>0</v>
      </c>
      <c r="AP161" s="715" t="b">
        <f>IF(AR161&lt;=3,(IF((G161="5/24"),((база!$M$6*2*Таблица1[[#This Row],[Столбец1]]*Таблица1[[#This Row],[коэф]])),
IF((G161="4/24"),((база!$M$5*2*Таблица1[[#This Row],[Столбец1]]*Таблица1[[#This Row],[коэф]])),
IF((G161="3/24"),((база!$M$4*2*Таблица1[[#This Row],[Столбец1]]*Таблица1[[#This Row],[коэф]])),
IF((G161="5/16"),((база!$L$6*2*Таблица1[[#This Row],[Столбец1]]*Таблица1[[#This Row],[коэф]])),
IF((G161="4/16"),((база!$L$5*2*Таблица1[[#This Row],[Столбец1]]*Таблица1[[#This Row],[коэф]])),
IF((G161="3/16"),((база!$L$4*2*Таблица1[[#This Row],[Столбец1]]*Таблица1[[#This Row],[коэф]])),
IF((G161="4/4"),((база!$I$5*2*Таблица1[[#This Row],[Столбец1]]*Таблица1[[#This Row],[коэф]])),
IF(OR(G161="2/4",G161="3/4"),((база!$I$4*2*Таблица1[[#This Row],[Столбец1]]*Таблица1[[#This Row],[коэф]])),
IF((G161="5/8"),((база!$J$6*2*Таблица1[[#This Row],[Столбец1]]*Таблица1[[#This Row],[коэф]])),
IF((G161="4/8"),((база!$J$5*2*Таблица1[[#This Row],[Столбец1]]*Таблица1[[#This Row],[коэф]])),
IF(OR(G161="3/8",G161="2/8"),((база!$J$4*2*Таблица1[[#This Row],[Столбец1]]*Таблица1[[#This Row],[коэф]])))))))))))))),
(IF((G161="5/24"),((база!$M$6*2*Таблица1[[#This Row],[Столбец1]]*Таблица1[[#This Row],[коэф]])),
IF(OR(G161="4/24",G161="3/24"),((база!$M$5*2*Таблица1[[#This Row],[Столбец1]]*Таблица1[[#This Row],[коэф]])),
IF((G161="5/16"),((база!$L$6*2*Таблица1[[#This Row],[Столбец1]]*Таблица1[[#This Row],[коэф]])),
IF(OR(G161="4/16",G161="3/16"),((база!$L$5*2*Таблица1[[#This Row],[Столбец1]]*Таблица1[[#This Row],[коэф]])),
IF(OR(G161="2/4",G161="3/4",G161="4/4"),((база!$I$5*2*Таблица1[[#This Row],[Столбец1]]*Таблица1[[#This Row],[коэф]])),
IF((G161="5/8"),((база!$J$6*2*Таблица1[[#This Row],[Столбец1]]*Таблица1[[#This Row],[коэф]])),
IF(OR(G161="4/8",G161="3/8",G161="2/8"),((база!$J$5*2*Таблица1[[#This Row],[Столбец1]]*Таблица1[[#This Row],[коэф]])))))))))))</f>
        <v>0</v>
      </c>
      <c r="AQ161" s="697" t="str">
        <f>IFERROR(INDEX(база!T:T, MATCH(F161,база!Q:Q,0)),"")</f>
        <v/>
      </c>
      <c r="AR161" s="207">
        <f>IFERROR(INDEX(база!D:D, MATCH(F161,база!B:B,0)),"")</f>
        <v>0</v>
      </c>
    </row>
    <row r="162" spans="1:47" ht="15">
      <c r="A162" s="66" t="str">
        <f t="shared" si="3"/>
        <v>декабрь</v>
      </c>
      <c r="B162" s="230">
        <v>2023</v>
      </c>
      <c r="C162" s="60"/>
      <c r="D162" s="61"/>
      <c r="E162" s="210"/>
      <c r="F162" s="669"/>
      <c r="G162" s="47"/>
      <c r="H162" s="563"/>
      <c r="I162" s="563"/>
      <c r="J162" s="563"/>
      <c r="K162" s="563"/>
      <c r="L162" s="563"/>
      <c r="M162" s="563"/>
      <c r="N162" s="563"/>
      <c r="O162" s="563"/>
      <c r="P162" s="300"/>
      <c r="Q162" s="563"/>
      <c r="R162" s="563"/>
      <c r="S162" s="563"/>
      <c r="T162" s="48"/>
      <c r="U162" s="48"/>
      <c r="V162" s="48"/>
      <c r="W162" s="563"/>
      <c r="X162" s="563"/>
      <c r="Y162" s="563"/>
      <c r="Z162" s="563"/>
      <c r="AA162" s="563"/>
      <c r="AB162" s="563"/>
      <c r="AC162" s="563"/>
      <c r="AD162" s="257"/>
      <c r="AE162" s="257"/>
      <c r="AF162" s="257"/>
      <c r="AG162" s="257"/>
      <c r="AH162" s="257"/>
      <c r="AI162" s="257"/>
      <c r="AJ162" s="257"/>
      <c r="AK162" s="257"/>
      <c r="AL162" s="257"/>
      <c r="AM162" s="211">
        <f>IF(AQ162=1,SUM(H162:I162,L162:O162,R162:U162,X162:AA162,AD162:AG162,AI162:AK162),
IF(AQ162=2,SUM(H162:K162,N162:Q162,T162:W162,Z162:AC162,AF162:AI162),
IF(AQ162=3,SUM(J162:M162,P162:S162,V162:Y162,AB162:AE162,AH162:AK162),SUM(Таблица1[[#This Row],[1]:[31]])-Таблица1[[#This Row],[Столбец1]])))</f>
        <v>0</v>
      </c>
      <c r="AN162" s="290">
        <f t="array" ref="AN162">IF(AQ162=1,SUM(J162:K162,P162:Q162,V162:W162,AB162:AC162,AH162:AI162),
IF(AQ162=2,SUM(L162:M162,R162:S162,X162:Y162,AD162:AE162),
IF(AQ162=3,SUM(H162:I162,N162:O162,T162:U162,Z162:AA162,AF162:AG162),
SUM(IFERROR(WEEKDAY($H$2:$AL$2,2)&gt;5,)*H162:AL162))))</f>
        <v>0</v>
      </c>
      <c r="AO162" s="292" t="b">
        <f>IF(AR162&lt;=3,(IF((G162="5/24"),((база!$M$6*Таблица1[[#This Row],[сумма]]*Таблица1[[#This Row],[коэф]])),
IF((G162="4/24"),((база!$M$5*Таблица1[[#This Row],[сумма]]*Таблица1[[#This Row],[коэф]])),
IF((G162="3/24"),((база!$M$4*Таблица1[[#This Row],[сумма]]*Таблица1[[#This Row],[коэф]])),
IF((G162="5/16"),((база!$L$6*Таблица1[[#This Row],[сумма]]*Таблица1[[#This Row],[коэф]])),
IF((G162="4/16"),((база!$L$5*Таблица1[[#This Row],[сумма]]*Таблица1[[#This Row],[коэф]])),
IF((G162="3/16"),((база!$L$4*Таблица1[[#This Row],[сумма]]*Таблица1[[#This Row],[коэф]])),
IF((G162="4/4"),((база!$I$5*Таблица1[[#This Row],[сумма]]*Таблица1[[#This Row],[коэф]])),
IF(OR(G162="2/4",G162="3/4"),((база!$I$4*Таблица1[[#This Row],[сумма]]*Таблица1[[#This Row],[коэф]])),
IF((G162="5/8"),((база!$J$6*Таблица1[[#This Row],[сумма]]*Таблица1[[#This Row],[коэф]])),
IF((G162="4/8"),((база!$J$5*Таблица1[[#This Row],[сумма]]*Таблица1[[#This Row],[коэф]])),
IF(OR(G162="3/8",G162="2/8"),((база!$J$4*Таблица1[[#This Row],[сумма]]*Таблица1[[#This Row],[коэф]])))))))))))))),
(IF((G162="5/24"),((база!$M$6*Таблица1[[#This Row],[сумма]]*Таблица1[[#This Row],[коэф]])),
IF(OR(G162="4/24",G162="3/24"),((база!$M$5*Таблица1[[#This Row],[сумма]]*Таблица1[[#This Row],[коэф]])),
IF((G162="5/16"),((база!$L$6*Таблица1[[#This Row],[сумма]]*Таблица1[[#This Row],[коэф]])),
IF(OR(G162="4/16",G162="3/16"),((база!$L$5*Таблица1[[#This Row],[сумма]]*Таблица1[[#This Row],[коэф]])),
IF(OR(G162="2/4",G162="3/4",G162="4/4"),((база!$I$5*Таблица1[[#This Row],[сумма]]*Таблица1[[#This Row],[коэф]])),
IF((G162="5/8"),((база!$J$6*Таблица1[[#This Row],[сумма]]*Таблица1[[#This Row],[коэф]])),
IF(OR(G162="4/8",G162="3/8",G162="2/8"),((база!$J$5*Таблица1[[#This Row],[сумма]]*Таблица1[[#This Row],[коэф]])))))))))))</f>
        <v>0</v>
      </c>
      <c r="AP162" s="715" t="b">
        <f>IF(AR162&lt;=3,(IF((G162="5/24"),((база!$M$6*2*Таблица1[[#This Row],[Столбец1]]*Таблица1[[#This Row],[коэф]])),
IF((G162="4/24"),((база!$M$5*2*Таблица1[[#This Row],[Столбец1]]*Таблица1[[#This Row],[коэф]])),
IF((G162="3/24"),((база!$M$4*2*Таблица1[[#This Row],[Столбец1]]*Таблица1[[#This Row],[коэф]])),
IF((G162="5/16"),((база!$L$6*2*Таблица1[[#This Row],[Столбец1]]*Таблица1[[#This Row],[коэф]])),
IF((G162="4/16"),((база!$L$5*2*Таблица1[[#This Row],[Столбец1]]*Таблица1[[#This Row],[коэф]])),
IF((G162="3/16"),((база!$L$4*2*Таблица1[[#This Row],[Столбец1]]*Таблица1[[#This Row],[коэф]])),
IF((G162="4/4"),((база!$I$5*2*Таблица1[[#This Row],[Столбец1]]*Таблица1[[#This Row],[коэф]])),
IF(OR(G162="2/4",G162="3/4"),((база!$I$4*2*Таблица1[[#This Row],[Столбец1]]*Таблица1[[#This Row],[коэф]])),
IF((G162="5/8"),((база!$J$6*2*Таблица1[[#This Row],[Столбец1]]*Таблица1[[#This Row],[коэф]])),
IF((G162="4/8"),((база!$J$5*2*Таблица1[[#This Row],[Столбец1]]*Таблица1[[#This Row],[коэф]])),
IF(OR(G162="3/8",G162="2/8"),((база!$J$4*2*Таблица1[[#This Row],[Столбец1]]*Таблица1[[#This Row],[коэф]])))))))))))))),
(IF((G162="5/24"),((база!$M$6*2*Таблица1[[#This Row],[Столбец1]]*Таблица1[[#This Row],[коэф]])),
IF(OR(G162="4/24",G162="3/24"),((база!$M$5*2*Таблица1[[#This Row],[Столбец1]]*Таблица1[[#This Row],[коэф]])),
IF((G162="5/16"),((база!$L$6*2*Таблица1[[#This Row],[Столбец1]]*Таблица1[[#This Row],[коэф]])),
IF(OR(G162="4/16",G162="3/16"),((база!$L$5*2*Таблица1[[#This Row],[Столбец1]]*Таблица1[[#This Row],[коэф]])),
IF(OR(G162="2/4",G162="3/4",G162="4/4"),((база!$I$5*2*Таблица1[[#This Row],[Столбец1]]*Таблица1[[#This Row],[коэф]])),
IF((G162="5/8"),((база!$J$6*2*Таблица1[[#This Row],[Столбец1]]*Таблица1[[#This Row],[коэф]])),
IF(OR(G162="4/8",G162="3/8",G162="2/8"),((база!$J$5*2*Таблица1[[#This Row],[Столбец1]]*Таблица1[[#This Row],[коэф]])))))))))))</f>
        <v>0</v>
      </c>
      <c r="AQ162" s="697" t="str">
        <f>IFERROR(INDEX(база!T:T, MATCH(F162,база!Q:Q,0)),"")</f>
        <v/>
      </c>
      <c r="AR162" s="207">
        <f>IFERROR(INDEX(база!D:D, MATCH(F162,база!B:B,0)),"")</f>
        <v>0</v>
      </c>
    </row>
    <row r="163" spans="1:47" ht="15">
      <c r="A163" s="66" t="str">
        <f t="shared" si="3"/>
        <v>декабрь</v>
      </c>
      <c r="B163" s="230">
        <v>2023</v>
      </c>
      <c r="C163" s="299"/>
      <c r="D163" s="61"/>
      <c r="E163" s="210"/>
      <c r="F163" s="669"/>
      <c r="G163" s="47"/>
      <c r="H163" s="563"/>
      <c r="I163" s="563"/>
      <c r="J163" s="563"/>
      <c r="K163" s="563"/>
      <c r="L163" s="563"/>
      <c r="M163" s="563"/>
      <c r="N163" s="563"/>
      <c r="O163" s="563"/>
      <c r="P163" s="300"/>
      <c r="Q163" s="563"/>
      <c r="R163" s="563"/>
      <c r="S163" s="563"/>
      <c r="T163" s="563"/>
      <c r="U163" s="563"/>
      <c r="V163" s="563"/>
      <c r="W163" s="563"/>
      <c r="X163" s="563"/>
      <c r="Y163" s="563"/>
      <c r="Z163" s="563"/>
      <c r="AA163" s="563"/>
      <c r="AB163" s="563"/>
      <c r="AC163" s="563"/>
      <c r="AD163" s="48"/>
      <c r="AE163" s="48"/>
      <c r="AF163" s="257"/>
      <c r="AG163" s="257"/>
      <c r="AH163" s="257"/>
      <c r="AI163" s="257"/>
      <c r="AJ163" s="257"/>
      <c r="AK163" s="257"/>
      <c r="AL163" s="257"/>
      <c r="AM163" s="211">
        <f>IF(AQ163=1,SUM(H163:I163,L163:O163,R163:U163,X163:AA163,AD163:AG163,AI163:AK163),
IF(AQ163=2,SUM(H163:K163,N163:Q163,T163:W163,Z163:AC163,AF163:AI163),
IF(AQ163=3,SUM(J163:M163,P163:S163,V163:Y163,AB163:AE163,AH163:AK163),SUM(Таблица1[[#This Row],[1]:[31]])-Таблица1[[#This Row],[Столбец1]])))</f>
        <v>0</v>
      </c>
      <c r="AN163" s="290">
        <f t="array" ref="AN163">IF(AQ163=1,SUM(J163:K163,P163:Q163,V163:W163,AB163:AC163,AH163:AI163),
IF(AQ163=2,SUM(L163:M163,R163:S163,X163:Y163,AD163:AE163),
IF(AQ163=3,SUM(H163:I163,N163:O163,T163:U163,Z163:AA163,AF163:AG163),
SUM(IFERROR(WEEKDAY($H$2:$AL$2,2)&gt;5,)*H163:AL163))))</f>
        <v>0</v>
      </c>
      <c r="AO163" s="292" t="b">
        <f>IF(AR163&lt;=3,(IF((G163="5/24"),((база!$M$6*Таблица1[[#This Row],[сумма]]*Таблица1[[#This Row],[коэф]])),
IF((G163="4/24"),((база!$M$5*Таблица1[[#This Row],[сумма]]*Таблица1[[#This Row],[коэф]])),
IF((G163="3/24"),((база!$M$4*Таблица1[[#This Row],[сумма]]*Таблица1[[#This Row],[коэф]])),
IF((G163="5/16"),((база!$L$6*Таблица1[[#This Row],[сумма]]*Таблица1[[#This Row],[коэф]])),
IF((G163="4/16"),((база!$L$5*Таблица1[[#This Row],[сумма]]*Таблица1[[#This Row],[коэф]])),
IF((G163="3/16"),((база!$L$4*Таблица1[[#This Row],[сумма]]*Таблица1[[#This Row],[коэф]])),
IF((G163="4/4"),((база!$I$5*Таблица1[[#This Row],[сумма]]*Таблица1[[#This Row],[коэф]])),
IF(OR(G163="2/4",G163="3/4"),((база!$I$4*Таблица1[[#This Row],[сумма]]*Таблица1[[#This Row],[коэф]])),
IF((G163="5/8"),((база!$J$6*Таблица1[[#This Row],[сумма]]*Таблица1[[#This Row],[коэф]])),
IF((G163="4/8"),((база!$J$5*Таблица1[[#This Row],[сумма]]*Таблица1[[#This Row],[коэф]])),
IF(OR(G163="3/8",G163="2/8"),((база!$J$4*Таблица1[[#This Row],[сумма]]*Таблица1[[#This Row],[коэф]])))))))))))))),
(IF((G163="5/24"),((база!$M$6*Таблица1[[#This Row],[сумма]]*Таблица1[[#This Row],[коэф]])),
IF(OR(G163="4/24",G163="3/24"),((база!$M$5*Таблица1[[#This Row],[сумма]]*Таблица1[[#This Row],[коэф]])),
IF((G163="5/16"),((база!$L$6*Таблица1[[#This Row],[сумма]]*Таблица1[[#This Row],[коэф]])),
IF(OR(G163="4/16",G163="3/16"),((база!$L$5*Таблица1[[#This Row],[сумма]]*Таблица1[[#This Row],[коэф]])),
IF(OR(G163="2/4",G163="3/4",G163="4/4"),((база!$I$5*Таблица1[[#This Row],[сумма]]*Таблица1[[#This Row],[коэф]])),
IF((G163="5/8"),((база!$J$6*Таблица1[[#This Row],[сумма]]*Таблица1[[#This Row],[коэф]])),
IF(OR(G163="4/8",G163="3/8",G163="2/8"),((база!$J$5*Таблица1[[#This Row],[сумма]]*Таблица1[[#This Row],[коэф]])))))))))))</f>
        <v>0</v>
      </c>
      <c r="AP163" s="715" t="b">
        <f>IF(AR163&lt;=3,(IF((G163="5/24"),((база!$M$6*2*Таблица1[[#This Row],[Столбец1]]*Таблица1[[#This Row],[коэф]])),
IF((G163="4/24"),((база!$M$5*2*Таблица1[[#This Row],[Столбец1]]*Таблица1[[#This Row],[коэф]])),
IF((G163="3/24"),((база!$M$4*2*Таблица1[[#This Row],[Столбец1]]*Таблица1[[#This Row],[коэф]])),
IF((G163="5/16"),((база!$L$6*2*Таблица1[[#This Row],[Столбец1]]*Таблица1[[#This Row],[коэф]])),
IF((G163="4/16"),((база!$L$5*2*Таблица1[[#This Row],[Столбец1]]*Таблица1[[#This Row],[коэф]])),
IF((G163="3/16"),((база!$L$4*2*Таблица1[[#This Row],[Столбец1]]*Таблица1[[#This Row],[коэф]])),
IF((G163="4/4"),((база!$I$5*2*Таблица1[[#This Row],[Столбец1]]*Таблица1[[#This Row],[коэф]])),
IF(OR(G163="2/4",G163="3/4"),((база!$I$4*2*Таблица1[[#This Row],[Столбец1]]*Таблица1[[#This Row],[коэф]])),
IF((G163="5/8"),((база!$J$6*2*Таблица1[[#This Row],[Столбец1]]*Таблица1[[#This Row],[коэф]])),
IF((G163="4/8"),((база!$J$5*2*Таблица1[[#This Row],[Столбец1]]*Таблица1[[#This Row],[коэф]])),
IF(OR(G163="3/8",G163="2/8"),((база!$J$4*2*Таблица1[[#This Row],[Столбец1]]*Таблица1[[#This Row],[коэф]])))))))))))))),
(IF((G163="5/24"),((база!$M$6*2*Таблица1[[#This Row],[Столбец1]]*Таблица1[[#This Row],[коэф]])),
IF(OR(G163="4/24",G163="3/24"),((база!$M$5*2*Таблица1[[#This Row],[Столбец1]]*Таблица1[[#This Row],[коэф]])),
IF((G163="5/16"),((база!$L$6*2*Таблица1[[#This Row],[Столбец1]]*Таблица1[[#This Row],[коэф]])),
IF(OR(G163="4/16",G163="3/16"),((база!$L$5*2*Таблица1[[#This Row],[Столбец1]]*Таблица1[[#This Row],[коэф]])),
IF(OR(G163="2/4",G163="3/4",G163="4/4"),((база!$I$5*2*Таблица1[[#This Row],[Столбец1]]*Таблица1[[#This Row],[коэф]])),
IF((G163="5/8"),((база!$J$6*2*Таблица1[[#This Row],[Столбец1]]*Таблица1[[#This Row],[коэф]])),
IF(OR(G163="4/8",G163="3/8",G163="2/8"),((база!$J$5*2*Таблица1[[#This Row],[Столбец1]]*Таблица1[[#This Row],[коэф]])))))))))))</f>
        <v>0</v>
      </c>
      <c r="AQ163" s="697" t="str">
        <f>IFERROR(INDEX(база!T:T, MATCH(F163,база!Q:Q,0)),"")</f>
        <v/>
      </c>
      <c r="AR163" s="207">
        <f>IFERROR(INDEX(база!D:D, MATCH(F163,база!B:B,0)),"")</f>
        <v>0</v>
      </c>
    </row>
    <row r="164" spans="1:47" ht="15">
      <c r="A164" s="66" t="str">
        <f t="shared" si="3"/>
        <v>декабрь</v>
      </c>
      <c r="B164" s="230">
        <v>2023</v>
      </c>
      <c r="C164" s="60"/>
      <c r="D164" s="61"/>
      <c r="E164" s="210"/>
      <c r="F164" s="669"/>
      <c r="G164" s="47"/>
      <c r="H164" s="563"/>
      <c r="I164" s="563"/>
      <c r="J164" s="563"/>
      <c r="K164" s="563"/>
      <c r="L164" s="563"/>
      <c r="M164" s="563"/>
      <c r="N164" s="563"/>
      <c r="O164" s="563"/>
      <c r="P164" s="300"/>
      <c r="Q164" s="563"/>
      <c r="R164" s="563"/>
      <c r="S164" s="563"/>
      <c r="T164" s="563"/>
      <c r="U164" s="563"/>
      <c r="V164" s="563"/>
      <c r="W164" s="563"/>
      <c r="X164" s="563"/>
      <c r="Y164" s="563"/>
      <c r="Z164" s="563"/>
      <c r="AA164" s="563"/>
      <c r="AB164" s="563"/>
      <c r="AC164" s="563"/>
      <c r="AD164" s="48"/>
      <c r="AE164" s="48"/>
      <c r="AF164" s="257"/>
      <c r="AG164" s="257"/>
      <c r="AH164" s="257"/>
      <c r="AI164" s="257"/>
      <c r="AJ164" s="257"/>
      <c r="AK164" s="48"/>
      <c r="AL164" s="51"/>
      <c r="AM164" s="211">
        <f>IF(AQ164=1,SUM(H164:I164,L164:O164,R164:U164,X164:AA164,AD164:AG164,AI164:AK164),
IF(AQ164=2,SUM(H164:K164,N164:Q164,T164:W164,Z164:AC164,AF164:AI164),
IF(AQ164=3,SUM(J164:M164,P164:S164,V164:Y164,AB164:AE164,AH164:AK164),SUM(Таблица1[[#This Row],[1]:[31]])-Таблица1[[#This Row],[Столбец1]])))</f>
        <v>0</v>
      </c>
      <c r="AN164" s="290">
        <f t="array" ref="AN164">IF(AQ164=1,SUM(J164:K164,P164:Q164,V164:W164,AB164:AC164,AH164:AI164),
IF(AQ164=2,SUM(L164:M164,R164:S164,X164:Y164,AD164:AE164),
IF(AQ164=3,SUM(H164:I164,N164:O164,T164:U164,Z164:AA164,AF164:AG164),
SUM(IFERROR(WEEKDAY($H$2:$AL$2,2)&gt;5,)*H164:AL164))))</f>
        <v>0</v>
      </c>
      <c r="AO164" s="292" t="b">
        <f>IF(AR164&lt;=3,(IF((G164="5/24"),((база!$M$6*Таблица1[[#This Row],[сумма]]*Таблица1[[#This Row],[коэф]])),
IF((G164="4/24"),((база!$M$5*Таблица1[[#This Row],[сумма]]*Таблица1[[#This Row],[коэф]])),
IF((G164="3/24"),((база!$M$4*Таблица1[[#This Row],[сумма]]*Таблица1[[#This Row],[коэф]])),
IF((G164="5/16"),((база!$L$6*Таблица1[[#This Row],[сумма]]*Таблица1[[#This Row],[коэф]])),
IF((G164="4/16"),((база!$L$5*Таблица1[[#This Row],[сумма]]*Таблица1[[#This Row],[коэф]])),
IF((G164="3/16"),((база!$L$4*Таблица1[[#This Row],[сумма]]*Таблица1[[#This Row],[коэф]])),
IF((G164="4/4"),((база!$I$5*Таблица1[[#This Row],[сумма]]*Таблица1[[#This Row],[коэф]])),
IF(OR(G164="2/4",G164="3/4"),((база!$I$4*Таблица1[[#This Row],[сумма]]*Таблица1[[#This Row],[коэф]])),
IF((G164="5/8"),((база!$J$6*Таблица1[[#This Row],[сумма]]*Таблица1[[#This Row],[коэф]])),
IF((G164="4/8"),((база!$J$5*Таблица1[[#This Row],[сумма]]*Таблица1[[#This Row],[коэф]])),
IF(OR(G164="3/8",G164="2/8"),((база!$J$4*Таблица1[[#This Row],[сумма]]*Таблица1[[#This Row],[коэф]])))))))))))))),
(IF((G164="5/24"),((база!$M$6*Таблица1[[#This Row],[сумма]]*Таблица1[[#This Row],[коэф]])),
IF(OR(G164="4/24",G164="3/24"),((база!$M$5*Таблица1[[#This Row],[сумма]]*Таблица1[[#This Row],[коэф]])),
IF((G164="5/16"),((база!$L$6*Таблица1[[#This Row],[сумма]]*Таблица1[[#This Row],[коэф]])),
IF(OR(G164="4/16",G164="3/16"),((база!$L$5*Таблица1[[#This Row],[сумма]]*Таблица1[[#This Row],[коэф]])),
IF(OR(G164="2/4",G164="3/4",G164="4/4"),((база!$I$5*Таблица1[[#This Row],[сумма]]*Таблица1[[#This Row],[коэф]])),
IF((G164="5/8"),((база!$J$6*Таблица1[[#This Row],[сумма]]*Таблица1[[#This Row],[коэф]])),
IF(OR(G164="4/8",G164="3/8",G164="2/8"),((база!$J$5*Таблица1[[#This Row],[сумма]]*Таблица1[[#This Row],[коэф]])))))))))))</f>
        <v>0</v>
      </c>
      <c r="AP164" s="715" t="b">
        <f>IF(AR164&lt;=3,(IF((G164="5/24"),((база!$M$6*2*Таблица1[[#This Row],[Столбец1]]*Таблица1[[#This Row],[коэф]])),
IF((G164="4/24"),((база!$M$5*2*Таблица1[[#This Row],[Столбец1]]*Таблица1[[#This Row],[коэф]])),
IF((G164="3/24"),((база!$M$4*2*Таблица1[[#This Row],[Столбец1]]*Таблица1[[#This Row],[коэф]])),
IF((G164="5/16"),((база!$L$6*2*Таблица1[[#This Row],[Столбец1]]*Таблица1[[#This Row],[коэф]])),
IF((G164="4/16"),((база!$L$5*2*Таблица1[[#This Row],[Столбец1]]*Таблица1[[#This Row],[коэф]])),
IF((G164="3/16"),((база!$L$4*2*Таблица1[[#This Row],[Столбец1]]*Таблица1[[#This Row],[коэф]])),
IF((G164="4/4"),((база!$I$5*2*Таблица1[[#This Row],[Столбец1]]*Таблица1[[#This Row],[коэф]])),
IF(OR(G164="2/4",G164="3/4"),((база!$I$4*2*Таблица1[[#This Row],[Столбец1]]*Таблица1[[#This Row],[коэф]])),
IF((G164="5/8"),((база!$J$6*2*Таблица1[[#This Row],[Столбец1]]*Таблица1[[#This Row],[коэф]])),
IF((G164="4/8"),((база!$J$5*2*Таблица1[[#This Row],[Столбец1]]*Таблица1[[#This Row],[коэф]])),
IF(OR(G164="3/8",G164="2/8"),((база!$J$4*2*Таблица1[[#This Row],[Столбец1]]*Таблица1[[#This Row],[коэф]])))))))))))))),
(IF((G164="5/24"),((база!$M$6*2*Таблица1[[#This Row],[Столбец1]]*Таблица1[[#This Row],[коэф]])),
IF(OR(G164="4/24",G164="3/24"),((база!$M$5*2*Таблица1[[#This Row],[Столбец1]]*Таблица1[[#This Row],[коэф]])),
IF((G164="5/16"),((база!$L$6*2*Таблица1[[#This Row],[Столбец1]]*Таблица1[[#This Row],[коэф]])),
IF(OR(G164="4/16",G164="3/16"),((база!$L$5*2*Таблица1[[#This Row],[Столбец1]]*Таблица1[[#This Row],[коэф]])),
IF(OR(G164="2/4",G164="3/4",G164="4/4"),((база!$I$5*2*Таблица1[[#This Row],[Столбец1]]*Таблица1[[#This Row],[коэф]])),
IF((G164="5/8"),((база!$J$6*2*Таблица1[[#This Row],[Столбец1]]*Таблица1[[#This Row],[коэф]])),
IF(OR(G164="4/8",G164="3/8",G164="2/8"),((база!$J$5*2*Таблица1[[#This Row],[Столбец1]]*Таблица1[[#This Row],[коэф]])))))))))))</f>
        <v>0</v>
      </c>
      <c r="AQ164" s="697" t="str">
        <f>IFERROR(INDEX(база!T:T, MATCH(F164,база!Q:Q,0)),"")</f>
        <v/>
      </c>
      <c r="AR164" s="207">
        <f>IFERROR(INDEX(база!D:D, MATCH(F164,база!B:B,0)),"")</f>
        <v>0</v>
      </c>
    </row>
    <row r="165" spans="1:47" ht="15">
      <c r="A165" s="66" t="str">
        <f t="shared" si="3"/>
        <v>декабрь</v>
      </c>
      <c r="B165" s="230">
        <v>2023</v>
      </c>
      <c r="C165" s="60"/>
      <c r="D165" s="61"/>
      <c r="E165" s="210"/>
      <c r="F165" s="669"/>
      <c r="G165" s="47"/>
      <c r="H165" s="563"/>
      <c r="I165" s="563"/>
      <c r="J165" s="563"/>
      <c r="K165" s="563"/>
      <c r="L165" s="563"/>
      <c r="M165" s="563"/>
      <c r="N165" s="563"/>
      <c r="O165" s="563"/>
      <c r="P165" s="300"/>
      <c r="Q165" s="563"/>
      <c r="R165" s="563"/>
      <c r="S165" s="563"/>
      <c r="T165" s="563"/>
      <c r="U165" s="563"/>
      <c r="V165" s="563"/>
      <c r="W165" s="563"/>
      <c r="X165" s="563"/>
      <c r="Y165" s="563"/>
      <c r="Z165" s="563"/>
      <c r="AA165" s="563"/>
      <c r="AB165" s="563"/>
      <c r="AC165" s="563"/>
      <c r="AD165" s="563"/>
      <c r="AE165" s="563"/>
      <c r="AF165" s="257"/>
      <c r="AG165" s="257"/>
      <c r="AH165" s="257"/>
      <c r="AI165" s="257"/>
      <c r="AJ165" s="257"/>
      <c r="AK165" s="257"/>
      <c r="AL165" s="257"/>
      <c r="AM165" s="211">
        <f>IF(AQ165=1,SUM(H165:I165,L165:O165,R165:U165,X165:AA165,AD165:AG165,AI165:AK165),
IF(AQ165=2,SUM(H165:K165,N165:Q165,T165:W165,Z165:AC165,AF165:AI165),
IF(AQ165=3,SUM(J165:M165,P165:S165,V165:Y165,AB165:AE165,AH165:AK165),SUM(Таблица1[[#This Row],[1]:[31]])-Таблица1[[#This Row],[Столбец1]])))</f>
        <v>0</v>
      </c>
      <c r="AN165" s="290">
        <f t="array" ref="AN165">IF(AQ165=1,SUM(J165:K165,P165:Q165,V165:W165,AB165:AC165,AH165:AI165),
IF(AQ165=2,SUM(L165:M165,R165:S165,X165:Y165,AD165:AE165),
IF(AQ165=3,SUM(H165:I165,N165:O165,T165:U165,Z165:AA165,AF165:AG165),
SUM(IFERROR(WEEKDAY($H$2:$AL$2,2)&gt;5,)*H165:AL165))))</f>
        <v>0</v>
      </c>
      <c r="AO165" s="292" t="b">
        <f>IF(AR165&lt;=3,(IF((G165="5/24"),((база!$M$6*Таблица1[[#This Row],[сумма]]*Таблица1[[#This Row],[коэф]])),
IF((G165="4/24"),((база!$M$5*Таблица1[[#This Row],[сумма]]*Таблица1[[#This Row],[коэф]])),
IF((G165="3/24"),((база!$M$4*Таблица1[[#This Row],[сумма]]*Таблица1[[#This Row],[коэф]])),
IF((G165="5/16"),((база!$L$6*Таблица1[[#This Row],[сумма]]*Таблица1[[#This Row],[коэф]])),
IF((G165="4/16"),((база!$L$5*Таблица1[[#This Row],[сумма]]*Таблица1[[#This Row],[коэф]])),
IF((G165="3/16"),((база!$L$4*Таблица1[[#This Row],[сумма]]*Таблица1[[#This Row],[коэф]])),
IF((G165="4/4"),((база!$I$5*Таблица1[[#This Row],[сумма]]*Таблица1[[#This Row],[коэф]])),
IF(OR(G165="2/4",G165="3/4"),((база!$I$4*Таблица1[[#This Row],[сумма]]*Таблица1[[#This Row],[коэф]])),
IF((G165="5/8"),((база!$J$6*Таблица1[[#This Row],[сумма]]*Таблица1[[#This Row],[коэф]])),
IF((G165="4/8"),((база!$J$5*Таблица1[[#This Row],[сумма]]*Таблица1[[#This Row],[коэф]])),
IF(OR(G165="3/8",G165="2/8"),((база!$J$4*Таблица1[[#This Row],[сумма]]*Таблица1[[#This Row],[коэф]])))))))))))))),
(IF((G165="5/24"),((база!$M$6*Таблица1[[#This Row],[сумма]]*Таблица1[[#This Row],[коэф]])),
IF(OR(G165="4/24",G165="3/24"),((база!$M$5*Таблица1[[#This Row],[сумма]]*Таблица1[[#This Row],[коэф]])),
IF((G165="5/16"),((база!$L$6*Таблица1[[#This Row],[сумма]]*Таблица1[[#This Row],[коэф]])),
IF(OR(G165="4/16",G165="3/16"),((база!$L$5*Таблица1[[#This Row],[сумма]]*Таблица1[[#This Row],[коэф]])),
IF(OR(G165="2/4",G165="3/4",G165="4/4"),((база!$I$5*Таблица1[[#This Row],[сумма]]*Таблица1[[#This Row],[коэф]])),
IF((G165="5/8"),((база!$J$6*Таблица1[[#This Row],[сумма]]*Таблица1[[#This Row],[коэф]])),
IF(OR(G165="4/8",G165="3/8",G165="2/8"),((база!$J$5*Таблица1[[#This Row],[сумма]]*Таблица1[[#This Row],[коэф]])))))))))))</f>
        <v>0</v>
      </c>
      <c r="AP165" s="715" t="b">
        <f>IF(AR165&lt;=3,(IF((G165="5/24"),((база!$M$6*2*Таблица1[[#This Row],[Столбец1]]*Таблица1[[#This Row],[коэф]])),
IF((G165="4/24"),((база!$M$5*2*Таблица1[[#This Row],[Столбец1]]*Таблица1[[#This Row],[коэф]])),
IF((G165="3/24"),((база!$M$4*2*Таблица1[[#This Row],[Столбец1]]*Таблица1[[#This Row],[коэф]])),
IF((G165="5/16"),((база!$L$6*2*Таблица1[[#This Row],[Столбец1]]*Таблица1[[#This Row],[коэф]])),
IF((G165="4/16"),((база!$L$5*2*Таблица1[[#This Row],[Столбец1]]*Таблица1[[#This Row],[коэф]])),
IF((G165="3/16"),((база!$L$4*2*Таблица1[[#This Row],[Столбец1]]*Таблица1[[#This Row],[коэф]])),
IF((G165="4/4"),((база!$I$5*2*Таблица1[[#This Row],[Столбец1]]*Таблица1[[#This Row],[коэф]])),
IF(OR(G165="2/4",G165="3/4"),((база!$I$4*2*Таблица1[[#This Row],[Столбец1]]*Таблица1[[#This Row],[коэф]])),
IF((G165="5/8"),((база!$J$6*2*Таблица1[[#This Row],[Столбец1]]*Таблица1[[#This Row],[коэф]])),
IF((G165="4/8"),((база!$J$5*2*Таблица1[[#This Row],[Столбец1]]*Таблица1[[#This Row],[коэф]])),
IF(OR(G165="3/8",G165="2/8"),((база!$J$4*2*Таблица1[[#This Row],[Столбец1]]*Таблица1[[#This Row],[коэф]])))))))))))))),
(IF((G165="5/24"),((база!$M$6*2*Таблица1[[#This Row],[Столбец1]]*Таблица1[[#This Row],[коэф]])),
IF(OR(G165="4/24",G165="3/24"),((база!$M$5*2*Таблица1[[#This Row],[Столбец1]]*Таблица1[[#This Row],[коэф]])),
IF((G165="5/16"),((база!$L$6*2*Таблица1[[#This Row],[Столбец1]]*Таблица1[[#This Row],[коэф]])),
IF(OR(G165="4/16",G165="3/16"),((база!$L$5*2*Таблица1[[#This Row],[Столбец1]]*Таблица1[[#This Row],[коэф]])),
IF(OR(G165="2/4",G165="3/4",G165="4/4"),((база!$I$5*2*Таблица1[[#This Row],[Столбец1]]*Таблица1[[#This Row],[коэф]])),
IF((G165="5/8"),((база!$J$6*2*Таблица1[[#This Row],[Столбец1]]*Таблица1[[#This Row],[коэф]])),
IF(OR(G165="4/8",G165="3/8",G165="2/8"),((база!$J$5*2*Таблица1[[#This Row],[Столбец1]]*Таблица1[[#This Row],[коэф]])))))))))))</f>
        <v>0</v>
      </c>
      <c r="AQ165" s="697" t="str">
        <f>IFERROR(INDEX(база!T:T, MATCH(F165,база!Q:Q,0)),"")</f>
        <v/>
      </c>
      <c r="AR165" s="207">
        <f>IFERROR(INDEX(база!D:D, MATCH(F165,база!B:B,0)),"")</f>
        <v>0</v>
      </c>
    </row>
    <row r="166" spans="1:47" ht="15">
      <c r="A166" s="66" t="str">
        <f t="shared" si="3"/>
        <v>декабрь</v>
      </c>
      <c r="B166" s="230">
        <v>2023</v>
      </c>
      <c r="C166" s="60"/>
      <c r="D166" s="61"/>
      <c r="E166" s="210"/>
      <c r="F166" s="669"/>
      <c r="G166" s="47"/>
      <c r="H166" s="563"/>
      <c r="I166" s="563"/>
      <c r="J166" s="563"/>
      <c r="K166" s="563"/>
      <c r="L166" s="563"/>
      <c r="M166" s="563"/>
      <c r="N166" s="563"/>
      <c r="O166" s="563"/>
      <c r="P166" s="300"/>
      <c r="Q166" s="563"/>
      <c r="R166" s="563"/>
      <c r="S166" s="563"/>
      <c r="T166" s="563"/>
      <c r="U166" s="563"/>
      <c r="V166" s="563"/>
      <c r="W166" s="563"/>
      <c r="X166" s="563"/>
      <c r="Y166" s="563"/>
      <c r="Z166" s="563"/>
      <c r="AA166" s="563"/>
      <c r="AB166" s="563"/>
      <c r="AC166" s="563"/>
      <c r="AD166" s="48"/>
      <c r="AE166" s="48"/>
      <c r="AF166" s="257"/>
      <c r="AG166" s="257"/>
      <c r="AH166" s="257"/>
      <c r="AI166" s="257"/>
      <c r="AJ166" s="257"/>
      <c r="AK166" s="257"/>
      <c r="AL166" s="257"/>
      <c r="AM166" s="211">
        <f>IF(AQ166=1,SUM(H166:I166,L166:O166,R166:U166,X166:AA166,AD166:AG166,AI166:AK166),
IF(AQ166=2,SUM(H166:K166,N166:Q166,T166:W166,Z166:AC166,AF166:AI166),
IF(AQ166=3,SUM(J166:M166,P166:S166,V166:Y166,AB166:AE166,AH166:AK166),SUM(Таблица1[[#This Row],[1]:[31]])-Таблица1[[#This Row],[Столбец1]])))</f>
        <v>0</v>
      </c>
      <c r="AN166" s="290">
        <f t="array" ref="AN166">IF(AQ166=1,SUM(J166:K166,P166:Q166,V166:W166,AB166:AC166,AH166:AI166),
IF(AQ166=2,SUM(L166:M166,R166:S166,X166:Y166,AD166:AE166),
IF(AQ166=3,SUM(H166:I166,N166:O166,T166:U166,Z166:AA166,AF166:AG166),
SUM(IFERROR(WEEKDAY($H$2:$AL$2,2)&gt;5,)*H166:AL166))))</f>
        <v>0</v>
      </c>
      <c r="AO166" s="292" t="b">
        <f>IF(AR166&lt;=3,(IF((G166="5/24"),((база!$M$6*Таблица1[[#This Row],[сумма]]*Таблица1[[#This Row],[коэф]])),
IF((G166="4/24"),((база!$M$5*Таблица1[[#This Row],[сумма]]*Таблица1[[#This Row],[коэф]])),
IF((G166="3/24"),((база!$M$4*Таблица1[[#This Row],[сумма]]*Таблица1[[#This Row],[коэф]])),
IF((G166="5/16"),((база!$L$6*Таблица1[[#This Row],[сумма]]*Таблица1[[#This Row],[коэф]])),
IF((G166="4/16"),((база!$L$5*Таблица1[[#This Row],[сумма]]*Таблица1[[#This Row],[коэф]])),
IF((G166="3/16"),((база!$L$4*Таблица1[[#This Row],[сумма]]*Таблица1[[#This Row],[коэф]])),
IF((G166="4/4"),((база!$I$5*Таблица1[[#This Row],[сумма]]*Таблица1[[#This Row],[коэф]])),
IF(OR(G166="2/4",G166="3/4"),((база!$I$4*Таблица1[[#This Row],[сумма]]*Таблица1[[#This Row],[коэф]])),
IF((G166="5/8"),((база!$J$6*Таблица1[[#This Row],[сумма]]*Таблица1[[#This Row],[коэф]])),
IF((G166="4/8"),((база!$J$5*Таблица1[[#This Row],[сумма]]*Таблица1[[#This Row],[коэф]])),
IF(OR(G166="3/8",G166="2/8"),((база!$J$4*Таблица1[[#This Row],[сумма]]*Таблица1[[#This Row],[коэф]])))))))))))))),
(IF((G166="5/24"),((база!$M$6*Таблица1[[#This Row],[сумма]]*Таблица1[[#This Row],[коэф]])),
IF(OR(G166="4/24",G166="3/24"),((база!$M$5*Таблица1[[#This Row],[сумма]]*Таблица1[[#This Row],[коэф]])),
IF((G166="5/16"),((база!$L$6*Таблица1[[#This Row],[сумма]]*Таблица1[[#This Row],[коэф]])),
IF(OR(G166="4/16",G166="3/16"),((база!$L$5*Таблица1[[#This Row],[сумма]]*Таблица1[[#This Row],[коэф]])),
IF(OR(G166="2/4",G166="3/4",G166="4/4"),((база!$I$5*Таблица1[[#This Row],[сумма]]*Таблица1[[#This Row],[коэф]])),
IF((G166="5/8"),((база!$J$6*Таблица1[[#This Row],[сумма]]*Таблица1[[#This Row],[коэф]])),
IF(OR(G166="4/8",G166="3/8",G166="2/8"),((база!$J$5*Таблица1[[#This Row],[сумма]]*Таблица1[[#This Row],[коэф]])))))))))))</f>
        <v>0</v>
      </c>
      <c r="AP166" s="715" t="b">
        <f>IF(AR166&lt;=3,(IF((G166="5/24"),((база!$M$6*2*Таблица1[[#This Row],[Столбец1]]*Таблица1[[#This Row],[коэф]])),
IF((G166="4/24"),((база!$M$5*2*Таблица1[[#This Row],[Столбец1]]*Таблица1[[#This Row],[коэф]])),
IF((G166="3/24"),((база!$M$4*2*Таблица1[[#This Row],[Столбец1]]*Таблица1[[#This Row],[коэф]])),
IF((G166="5/16"),((база!$L$6*2*Таблица1[[#This Row],[Столбец1]]*Таблица1[[#This Row],[коэф]])),
IF((G166="4/16"),((база!$L$5*2*Таблица1[[#This Row],[Столбец1]]*Таблица1[[#This Row],[коэф]])),
IF((G166="3/16"),((база!$L$4*2*Таблица1[[#This Row],[Столбец1]]*Таблица1[[#This Row],[коэф]])),
IF((G166="4/4"),((база!$I$5*2*Таблица1[[#This Row],[Столбец1]]*Таблица1[[#This Row],[коэф]])),
IF(OR(G166="2/4",G166="3/4"),((база!$I$4*2*Таблица1[[#This Row],[Столбец1]]*Таблица1[[#This Row],[коэф]])),
IF((G166="5/8"),((база!$J$6*2*Таблица1[[#This Row],[Столбец1]]*Таблица1[[#This Row],[коэф]])),
IF((G166="4/8"),((база!$J$5*2*Таблица1[[#This Row],[Столбец1]]*Таблица1[[#This Row],[коэф]])),
IF(OR(G166="3/8",G166="2/8"),((база!$J$4*2*Таблица1[[#This Row],[Столбец1]]*Таблица1[[#This Row],[коэф]])))))))))))))),
(IF((G166="5/24"),((база!$M$6*2*Таблица1[[#This Row],[Столбец1]]*Таблица1[[#This Row],[коэф]])),
IF(OR(G166="4/24",G166="3/24"),((база!$M$5*2*Таблица1[[#This Row],[Столбец1]]*Таблица1[[#This Row],[коэф]])),
IF((G166="5/16"),((база!$L$6*2*Таблица1[[#This Row],[Столбец1]]*Таблица1[[#This Row],[коэф]])),
IF(OR(G166="4/16",G166="3/16"),((база!$L$5*2*Таблица1[[#This Row],[Столбец1]]*Таблица1[[#This Row],[коэф]])),
IF(OR(G166="2/4",G166="3/4",G166="4/4"),((база!$I$5*2*Таблица1[[#This Row],[Столбец1]]*Таблица1[[#This Row],[коэф]])),
IF((G166="5/8"),((база!$J$6*2*Таблица1[[#This Row],[Столбец1]]*Таблица1[[#This Row],[коэф]])),
IF(OR(G166="4/8",G166="3/8",G166="2/8"),((база!$J$5*2*Таблица1[[#This Row],[Столбец1]]*Таблица1[[#This Row],[коэф]])))))))))))</f>
        <v>0</v>
      </c>
      <c r="AQ166" s="697" t="str">
        <f>IFERROR(INDEX(база!T:T, MATCH(F166,база!Q:Q,0)),"")</f>
        <v/>
      </c>
      <c r="AR166" s="207">
        <f>IFERROR(INDEX(база!D:D, MATCH(F166,база!B:B,0)),"")</f>
        <v>0</v>
      </c>
    </row>
    <row r="167" spans="1:47" ht="15">
      <c r="A167" s="66" t="str">
        <f t="shared" si="3"/>
        <v>декабрь</v>
      </c>
      <c r="B167" s="230">
        <v>2023</v>
      </c>
      <c r="C167" s="60"/>
      <c r="D167" s="61"/>
      <c r="E167" s="210"/>
      <c r="F167" s="669"/>
      <c r="G167" s="47"/>
      <c r="H167" s="563"/>
      <c r="I167" s="563"/>
      <c r="J167" s="563"/>
      <c r="K167" s="563"/>
      <c r="L167" s="563"/>
      <c r="M167" s="563"/>
      <c r="N167" s="563"/>
      <c r="O167" s="563"/>
      <c r="P167" s="300"/>
      <c r="Q167" s="563"/>
      <c r="R167" s="563"/>
      <c r="S167" s="563"/>
      <c r="T167" s="563"/>
      <c r="U167" s="563"/>
      <c r="V167" s="563"/>
      <c r="W167" s="563"/>
      <c r="X167" s="563"/>
      <c r="Y167" s="563"/>
      <c r="Z167" s="563"/>
      <c r="AA167" s="563"/>
      <c r="AB167" s="563"/>
      <c r="AC167" s="563"/>
      <c r="AD167" s="48"/>
      <c r="AE167" s="48"/>
      <c r="AF167" s="257"/>
      <c r="AG167" s="257"/>
      <c r="AH167" s="257"/>
      <c r="AI167" s="257"/>
      <c r="AJ167" s="257"/>
      <c r="AK167" s="257"/>
      <c r="AL167" s="257"/>
      <c r="AM167" s="211">
        <f>IF(AQ167=1,SUM(H167:I167,L167:O167,R167:U167,X167:AA167,AD167:AG167,AI167:AK167),
IF(AQ167=2,SUM(H167:K167,N167:Q167,T167:W167,Z167:AC167,AF167:AI167),
IF(AQ167=3,SUM(J167:M167,P167:S167,V167:Y167,AB167:AE167,AH167:AK167),SUM(Таблица1[[#This Row],[1]:[31]])-Таблица1[[#This Row],[Столбец1]])))</f>
        <v>0</v>
      </c>
      <c r="AN167" s="290">
        <f t="array" ref="AN167">IF(AQ167=1,SUM(J167:K167,P167:Q167,V167:W167,AB167:AC167,AH167:AI167),
IF(AQ167=2,SUM(L167:M167,R167:S167,X167:Y167,AD167:AE167),
IF(AQ167=3,SUM(H167:I167,N167:O167,T167:U167,Z167:AA167,AF167:AG167),
SUM(IFERROR(WEEKDAY($H$2:$AL$2,2)&gt;5,)*H167:AL167))))</f>
        <v>0</v>
      </c>
      <c r="AO167" s="292" t="b">
        <f>IF(AR167&lt;=3,(IF((G167="5/24"),((база!$M$6*Таблица1[[#This Row],[сумма]]*Таблица1[[#This Row],[коэф]])),
IF((G167="4/24"),((база!$M$5*Таблица1[[#This Row],[сумма]]*Таблица1[[#This Row],[коэф]])),
IF((G167="3/24"),((база!$M$4*Таблица1[[#This Row],[сумма]]*Таблица1[[#This Row],[коэф]])),
IF((G167="5/16"),((база!$L$6*Таблица1[[#This Row],[сумма]]*Таблица1[[#This Row],[коэф]])),
IF((G167="4/16"),((база!$L$5*Таблица1[[#This Row],[сумма]]*Таблица1[[#This Row],[коэф]])),
IF((G167="3/16"),((база!$L$4*Таблица1[[#This Row],[сумма]]*Таблица1[[#This Row],[коэф]])),
IF((G167="4/4"),((база!$I$5*Таблица1[[#This Row],[сумма]]*Таблица1[[#This Row],[коэф]])),
IF(OR(G167="2/4",G167="3/4"),((база!$I$4*Таблица1[[#This Row],[сумма]]*Таблица1[[#This Row],[коэф]])),
IF((G167="5/8"),((база!$J$6*Таблица1[[#This Row],[сумма]]*Таблица1[[#This Row],[коэф]])),
IF((G167="4/8"),((база!$J$5*Таблица1[[#This Row],[сумма]]*Таблица1[[#This Row],[коэф]])),
IF(OR(G167="3/8",G167="2/8"),((база!$J$4*Таблица1[[#This Row],[сумма]]*Таблица1[[#This Row],[коэф]])))))))))))))),
(IF((G167="5/24"),((база!$M$6*Таблица1[[#This Row],[сумма]]*Таблица1[[#This Row],[коэф]])),
IF(OR(G167="4/24",G167="3/24"),((база!$M$5*Таблица1[[#This Row],[сумма]]*Таблица1[[#This Row],[коэф]])),
IF((G167="5/16"),((база!$L$6*Таблица1[[#This Row],[сумма]]*Таблица1[[#This Row],[коэф]])),
IF(OR(G167="4/16",G167="3/16"),((база!$L$5*Таблица1[[#This Row],[сумма]]*Таблица1[[#This Row],[коэф]])),
IF(OR(G167="2/4",G167="3/4",G167="4/4"),((база!$I$5*Таблица1[[#This Row],[сумма]]*Таблица1[[#This Row],[коэф]])),
IF((G167="5/8"),((база!$J$6*Таблица1[[#This Row],[сумма]]*Таблица1[[#This Row],[коэф]])),
IF(OR(G167="4/8",G167="3/8",G167="2/8"),((база!$J$5*Таблица1[[#This Row],[сумма]]*Таблица1[[#This Row],[коэф]])))))))))))</f>
        <v>0</v>
      </c>
      <c r="AP167" s="715" t="b">
        <f>IF(AR167&lt;=3,(IF((G167="5/24"),((база!$M$6*2*Таблица1[[#This Row],[Столбец1]]*Таблица1[[#This Row],[коэф]])),
IF((G167="4/24"),((база!$M$5*2*Таблица1[[#This Row],[Столбец1]]*Таблица1[[#This Row],[коэф]])),
IF((G167="3/24"),((база!$M$4*2*Таблица1[[#This Row],[Столбец1]]*Таблица1[[#This Row],[коэф]])),
IF((G167="5/16"),((база!$L$6*2*Таблица1[[#This Row],[Столбец1]]*Таблица1[[#This Row],[коэф]])),
IF((G167="4/16"),((база!$L$5*2*Таблица1[[#This Row],[Столбец1]]*Таблица1[[#This Row],[коэф]])),
IF((G167="3/16"),((база!$L$4*2*Таблица1[[#This Row],[Столбец1]]*Таблица1[[#This Row],[коэф]])),
IF((G167="4/4"),((база!$I$5*2*Таблица1[[#This Row],[Столбец1]]*Таблица1[[#This Row],[коэф]])),
IF(OR(G167="2/4",G167="3/4"),((база!$I$4*2*Таблица1[[#This Row],[Столбец1]]*Таблица1[[#This Row],[коэф]])),
IF((G167="5/8"),((база!$J$6*2*Таблица1[[#This Row],[Столбец1]]*Таблица1[[#This Row],[коэф]])),
IF((G167="4/8"),((база!$J$5*2*Таблица1[[#This Row],[Столбец1]]*Таблица1[[#This Row],[коэф]])),
IF(OR(G167="3/8",G167="2/8"),((база!$J$4*2*Таблица1[[#This Row],[Столбец1]]*Таблица1[[#This Row],[коэф]])))))))))))))),
(IF((G167="5/24"),((база!$M$6*2*Таблица1[[#This Row],[Столбец1]]*Таблица1[[#This Row],[коэф]])),
IF(OR(G167="4/24",G167="3/24"),((база!$M$5*2*Таблица1[[#This Row],[Столбец1]]*Таблица1[[#This Row],[коэф]])),
IF((G167="5/16"),((база!$L$6*2*Таблица1[[#This Row],[Столбец1]]*Таблица1[[#This Row],[коэф]])),
IF(OR(G167="4/16",G167="3/16"),((база!$L$5*2*Таблица1[[#This Row],[Столбец1]]*Таблица1[[#This Row],[коэф]])),
IF(OR(G167="2/4",G167="3/4",G167="4/4"),((база!$I$5*2*Таблица1[[#This Row],[Столбец1]]*Таблица1[[#This Row],[коэф]])),
IF((G167="5/8"),((база!$J$6*2*Таблица1[[#This Row],[Столбец1]]*Таблица1[[#This Row],[коэф]])),
IF(OR(G167="4/8",G167="3/8",G167="2/8"),((база!$J$5*2*Таблица1[[#This Row],[Столбец1]]*Таблица1[[#This Row],[коэф]])))))))))))</f>
        <v>0</v>
      </c>
      <c r="AQ167" s="697" t="str">
        <f>IFERROR(INDEX(база!T:T, MATCH(F167,база!Q:Q,0)),"")</f>
        <v/>
      </c>
      <c r="AR167" s="207">
        <f>IFERROR(INDEX(база!D:D, MATCH(F167,база!B:B,0)),"")</f>
        <v>0</v>
      </c>
    </row>
    <row r="168" spans="1:47" ht="15">
      <c r="A168" s="66" t="str">
        <f t="shared" si="3"/>
        <v>декабрь</v>
      </c>
      <c r="B168" s="230">
        <v>2023</v>
      </c>
      <c r="C168" s="60"/>
      <c r="D168" s="61"/>
      <c r="E168" s="210"/>
      <c r="F168" s="669"/>
      <c r="G168" s="47"/>
      <c r="H168" s="563"/>
      <c r="I168" s="563"/>
      <c r="J168" s="563"/>
      <c r="K168" s="563"/>
      <c r="L168" s="563"/>
      <c r="M168" s="563"/>
      <c r="N168" s="563"/>
      <c r="O168" s="563"/>
      <c r="P168" s="300"/>
      <c r="Q168" s="563"/>
      <c r="R168" s="563"/>
      <c r="S168" s="563"/>
      <c r="T168" s="563"/>
      <c r="U168" s="563"/>
      <c r="V168" s="563"/>
      <c r="W168" s="563"/>
      <c r="X168" s="563"/>
      <c r="Y168" s="563"/>
      <c r="Z168" s="563"/>
      <c r="AA168" s="563"/>
      <c r="AB168" s="563"/>
      <c r="AC168" s="563"/>
      <c r="AD168" s="48"/>
      <c r="AE168" s="48"/>
      <c r="AF168" s="257"/>
      <c r="AG168" s="257"/>
      <c r="AH168" s="257"/>
      <c r="AI168" s="257"/>
      <c r="AJ168" s="257"/>
      <c r="AK168" s="257"/>
      <c r="AL168" s="257"/>
      <c r="AM168" s="211">
        <f>IF(AQ168=1,SUM(H168:I168,L168:O168,R168:U168,X168:AA168,AD168:AG168,AI168:AK168),
IF(AQ168=2,SUM(H168:K168,N168:Q168,T168:W168,Z168:AC168,AF168:AI168),
IF(AQ168=3,SUM(J168:M168,P168:S168,V168:Y168,AB168:AE168,AH168:AK168),SUM(Таблица1[[#This Row],[1]:[31]])-Таблица1[[#This Row],[Столбец1]])))</f>
        <v>0</v>
      </c>
      <c r="AN168" s="290">
        <f t="array" ref="AN168">IF(AQ168=1,SUM(J168:K168,P168:Q168,V168:W168,AB168:AC168,AH168:AI168),
IF(AQ168=2,SUM(L168:M168,R168:S168,X168:Y168,AD168:AE168),
IF(AQ168=3,SUM(H168:I168,N168:O168,T168:U168,Z168:AA168,AF168:AG168),
SUM(IFERROR(WEEKDAY($H$2:$AL$2,2)&gt;5,)*H168:AL168))))</f>
        <v>0</v>
      </c>
      <c r="AO168" s="292" t="b">
        <f>IF(AR168&lt;=3,(IF((G168="5/24"),((база!$M$6*Таблица1[[#This Row],[сумма]]*Таблица1[[#This Row],[коэф]])),
IF((G168="4/24"),((база!$M$5*Таблица1[[#This Row],[сумма]]*Таблица1[[#This Row],[коэф]])),
IF((G168="3/24"),((база!$M$4*Таблица1[[#This Row],[сумма]]*Таблица1[[#This Row],[коэф]])),
IF((G168="5/16"),((база!$L$6*Таблица1[[#This Row],[сумма]]*Таблица1[[#This Row],[коэф]])),
IF((G168="4/16"),((база!$L$5*Таблица1[[#This Row],[сумма]]*Таблица1[[#This Row],[коэф]])),
IF((G168="3/16"),((база!$L$4*Таблица1[[#This Row],[сумма]]*Таблица1[[#This Row],[коэф]])),
IF((G168="4/4"),((база!$I$5*Таблица1[[#This Row],[сумма]]*Таблица1[[#This Row],[коэф]])),
IF(OR(G168="2/4",G168="3/4"),((база!$I$4*Таблица1[[#This Row],[сумма]]*Таблица1[[#This Row],[коэф]])),
IF((G168="5/8"),((база!$J$6*Таблица1[[#This Row],[сумма]]*Таблица1[[#This Row],[коэф]])),
IF((G168="4/8"),((база!$J$5*Таблица1[[#This Row],[сумма]]*Таблица1[[#This Row],[коэф]])),
IF(OR(G168="3/8",G168="2/8"),((база!$J$4*Таблица1[[#This Row],[сумма]]*Таблица1[[#This Row],[коэф]])))))))))))))),
(IF((G168="5/24"),((база!$M$6*Таблица1[[#This Row],[сумма]]*Таблица1[[#This Row],[коэф]])),
IF(OR(G168="4/24",G168="3/24"),((база!$M$5*Таблица1[[#This Row],[сумма]]*Таблица1[[#This Row],[коэф]])),
IF((G168="5/16"),((база!$L$6*Таблица1[[#This Row],[сумма]]*Таблица1[[#This Row],[коэф]])),
IF(OR(G168="4/16",G168="3/16"),((база!$L$5*Таблица1[[#This Row],[сумма]]*Таблица1[[#This Row],[коэф]])),
IF(OR(G168="2/4",G168="3/4",G168="4/4"),((база!$I$5*Таблица1[[#This Row],[сумма]]*Таблица1[[#This Row],[коэф]])),
IF((G168="5/8"),((база!$J$6*Таблица1[[#This Row],[сумма]]*Таблица1[[#This Row],[коэф]])),
IF(OR(G168="4/8",G168="3/8",G168="2/8"),((база!$J$5*Таблица1[[#This Row],[сумма]]*Таблица1[[#This Row],[коэф]])))))))))))</f>
        <v>0</v>
      </c>
      <c r="AP168" s="715" t="b">
        <f>IF(AR168&lt;=3,(IF((G168="5/24"),((база!$M$6*2*Таблица1[[#This Row],[Столбец1]]*Таблица1[[#This Row],[коэф]])),
IF((G168="4/24"),((база!$M$5*2*Таблица1[[#This Row],[Столбец1]]*Таблица1[[#This Row],[коэф]])),
IF((G168="3/24"),((база!$M$4*2*Таблица1[[#This Row],[Столбец1]]*Таблица1[[#This Row],[коэф]])),
IF((G168="5/16"),((база!$L$6*2*Таблица1[[#This Row],[Столбец1]]*Таблица1[[#This Row],[коэф]])),
IF((G168="4/16"),((база!$L$5*2*Таблица1[[#This Row],[Столбец1]]*Таблица1[[#This Row],[коэф]])),
IF((G168="3/16"),((база!$L$4*2*Таблица1[[#This Row],[Столбец1]]*Таблица1[[#This Row],[коэф]])),
IF((G168="4/4"),((база!$I$5*2*Таблица1[[#This Row],[Столбец1]]*Таблица1[[#This Row],[коэф]])),
IF(OR(G168="2/4",G168="3/4"),((база!$I$4*2*Таблица1[[#This Row],[Столбец1]]*Таблица1[[#This Row],[коэф]])),
IF((G168="5/8"),((база!$J$6*2*Таблица1[[#This Row],[Столбец1]]*Таблица1[[#This Row],[коэф]])),
IF((G168="4/8"),((база!$J$5*2*Таблица1[[#This Row],[Столбец1]]*Таблица1[[#This Row],[коэф]])),
IF(OR(G168="3/8",G168="2/8"),((база!$J$4*2*Таблица1[[#This Row],[Столбец1]]*Таблица1[[#This Row],[коэф]])))))))))))))),
(IF((G168="5/24"),((база!$M$6*2*Таблица1[[#This Row],[Столбец1]]*Таблица1[[#This Row],[коэф]])),
IF(OR(G168="4/24",G168="3/24"),((база!$M$5*2*Таблица1[[#This Row],[Столбец1]]*Таблица1[[#This Row],[коэф]])),
IF((G168="5/16"),((база!$L$6*2*Таблица1[[#This Row],[Столбец1]]*Таблица1[[#This Row],[коэф]])),
IF(OR(G168="4/16",G168="3/16"),((база!$L$5*2*Таблица1[[#This Row],[Столбец1]]*Таблица1[[#This Row],[коэф]])),
IF(OR(G168="2/4",G168="3/4",G168="4/4"),((база!$I$5*2*Таблица1[[#This Row],[Столбец1]]*Таблица1[[#This Row],[коэф]])),
IF((G168="5/8"),((база!$J$6*2*Таблица1[[#This Row],[Столбец1]]*Таблица1[[#This Row],[коэф]])),
IF(OR(G168="4/8",G168="3/8",G168="2/8"),((база!$J$5*2*Таблица1[[#This Row],[Столбец1]]*Таблица1[[#This Row],[коэф]])))))))))))</f>
        <v>0</v>
      </c>
      <c r="AQ168" s="697" t="str">
        <f>IFERROR(INDEX(база!T:T, MATCH(F168,база!Q:Q,0)),"")</f>
        <v/>
      </c>
      <c r="AR168" s="207">
        <f>IFERROR(INDEX(база!D:D, MATCH(F168,база!B:B,0)),"")</f>
        <v>0</v>
      </c>
    </row>
    <row r="169" spans="1:47" ht="15">
      <c r="A169" s="66" t="str">
        <f t="shared" si="3"/>
        <v>декабрь</v>
      </c>
      <c r="B169" s="230">
        <v>2023</v>
      </c>
      <c r="C169" s="299"/>
      <c r="D169" s="61"/>
      <c r="E169" s="210"/>
      <c r="F169" s="669"/>
      <c r="G169" s="47"/>
      <c r="H169" s="563"/>
      <c r="I169" s="563"/>
      <c r="J169" s="563"/>
      <c r="K169" s="563"/>
      <c r="L169" s="563"/>
      <c r="M169" s="563"/>
      <c r="N169" s="563"/>
      <c r="O169" s="563"/>
      <c r="P169" s="300"/>
      <c r="Q169" s="563"/>
      <c r="R169" s="563"/>
      <c r="S169" s="563"/>
      <c r="T169" s="563"/>
      <c r="U169" s="563"/>
      <c r="V169" s="563"/>
      <c r="W169" s="563"/>
      <c r="X169" s="563"/>
      <c r="Y169" s="563"/>
      <c r="Z169" s="563"/>
      <c r="AA169" s="563"/>
      <c r="AB169" s="563"/>
      <c r="AC169" s="563"/>
      <c r="AD169" s="48"/>
      <c r="AE169" s="48"/>
      <c r="AF169" s="257"/>
      <c r="AG169" s="257"/>
      <c r="AH169" s="257"/>
      <c r="AI169" s="257"/>
      <c r="AJ169" s="257"/>
      <c r="AK169" s="257"/>
      <c r="AL169" s="257"/>
      <c r="AM169" s="211">
        <f>IF(AQ169=1,SUM(H169:I169,L169:O169,R169:U169,X169:AA169,AD169:AG169,AI169:AK169),
IF(AQ169=2,SUM(H169:K169,N169:Q169,T169:W169,Z169:AC169,AF169:AI169),
IF(AQ169=3,SUM(J169:M169,P169:S169,V169:Y169,AB169:AE169,AH169:AK169),SUM(Таблица1[[#This Row],[1]:[31]])-Таблица1[[#This Row],[Столбец1]])))</f>
        <v>0</v>
      </c>
      <c r="AN169" s="290">
        <f t="array" ref="AN169">IF(AQ169=1,SUM(J169:K169,P169:Q169,V169:W169,AB169:AC169,AH169:AI169),
IF(AQ169=2,SUM(L169:M169,R169:S169,X169:Y169,AD169:AE169),
IF(AQ169=3,SUM(H169:I169,N169:O169,T169:U169,Z169:AA169,AF169:AG169),
SUM(IFERROR(WEEKDAY($H$2:$AL$2,2)&gt;5,)*H169:AL169))))</f>
        <v>0</v>
      </c>
      <c r="AO169" s="292" t="b">
        <f>IF(AR169&lt;=3,(IF((G169="5/24"),((база!$M$6*Таблица1[[#This Row],[сумма]]*Таблица1[[#This Row],[коэф]])),
IF((G169="4/24"),((база!$M$5*Таблица1[[#This Row],[сумма]]*Таблица1[[#This Row],[коэф]])),
IF((G169="3/24"),((база!$M$4*Таблица1[[#This Row],[сумма]]*Таблица1[[#This Row],[коэф]])),
IF((G169="5/16"),((база!$L$6*Таблица1[[#This Row],[сумма]]*Таблица1[[#This Row],[коэф]])),
IF((G169="4/16"),((база!$L$5*Таблица1[[#This Row],[сумма]]*Таблица1[[#This Row],[коэф]])),
IF((G169="3/16"),((база!$L$4*Таблица1[[#This Row],[сумма]]*Таблица1[[#This Row],[коэф]])),
IF((G169="4/4"),((база!$I$5*Таблица1[[#This Row],[сумма]]*Таблица1[[#This Row],[коэф]])),
IF(OR(G169="2/4",G169="3/4"),((база!$I$4*Таблица1[[#This Row],[сумма]]*Таблица1[[#This Row],[коэф]])),
IF((G169="5/8"),((база!$J$6*Таблица1[[#This Row],[сумма]]*Таблица1[[#This Row],[коэф]])),
IF((G169="4/8"),((база!$J$5*Таблица1[[#This Row],[сумма]]*Таблица1[[#This Row],[коэф]])),
IF(OR(G169="3/8",G169="2/8"),((база!$J$4*Таблица1[[#This Row],[сумма]]*Таблица1[[#This Row],[коэф]])))))))))))))),
(IF((G169="5/24"),((база!$M$6*Таблица1[[#This Row],[сумма]]*Таблица1[[#This Row],[коэф]])),
IF(OR(G169="4/24",G169="3/24"),((база!$M$5*Таблица1[[#This Row],[сумма]]*Таблица1[[#This Row],[коэф]])),
IF((G169="5/16"),((база!$L$6*Таблица1[[#This Row],[сумма]]*Таблица1[[#This Row],[коэф]])),
IF(OR(G169="4/16",G169="3/16"),((база!$L$5*Таблица1[[#This Row],[сумма]]*Таблица1[[#This Row],[коэф]])),
IF(OR(G169="2/4",G169="3/4",G169="4/4"),((база!$I$5*Таблица1[[#This Row],[сумма]]*Таблица1[[#This Row],[коэф]])),
IF((G169="5/8"),((база!$J$6*Таблица1[[#This Row],[сумма]]*Таблица1[[#This Row],[коэф]])),
IF(OR(G169="4/8",G169="3/8",G169="2/8"),((база!$J$5*Таблица1[[#This Row],[сумма]]*Таблица1[[#This Row],[коэф]])))))))))))</f>
        <v>0</v>
      </c>
      <c r="AP169" s="715" t="b">
        <f>IF(AR169&lt;=3,(IF((G169="5/24"),((база!$M$6*2*Таблица1[[#This Row],[Столбец1]]*Таблица1[[#This Row],[коэф]])),
IF((G169="4/24"),((база!$M$5*2*Таблица1[[#This Row],[Столбец1]]*Таблица1[[#This Row],[коэф]])),
IF((G169="3/24"),((база!$M$4*2*Таблица1[[#This Row],[Столбец1]]*Таблица1[[#This Row],[коэф]])),
IF((G169="5/16"),((база!$L$6*2*Таблица1[[#This Row],[Столбец1]]*Таблица1[[#This Row],[коэф]])),
IF((G169="4/16"),((база!$L$5*2*Таблица1[[#This Row],[Столбец1]]*Таблица1[[#This Row],[коэф]])),
IF((G169="3/16"),((база!$L$4*2*Таблица1[[#This Row],[Столбец1]]*Таблица1[[#This Row],[коэф]])),
IF((G169="4/4"),((база!$I$5*2*Таблица1[[#This Row],[Столбец1]]*Таблица1[[#This Row],[коэф]])),
IF(OR(G169="2/4",G169="3/4"),((база!$I$4*2*Таблица1[[#This Row],[Столбец1]]*Таблица1[[#This Row],[коэф]])),
IF((G169="5/8"),((база!$J$6*2*Таблица1[[#This Row],[Столбец1]]*Таблица1[[#This Row],[коэф]])),
IF((G169="4/8"),((база!$J$5*2*Таблица1[[#This Row],[Столбец1]]*Таблица1[[#This Row],[коэф]])),
IF(OR(G169="3/8",G169="2/8"),((база!$J$4*2*Таблица1[[#This Row],[Столбец1]]*Таблица1[[#This Row],[коэф]])))))))))))))),
(IF((G169="5/24"),((база!$M$6*2*Таблица1[[#This Row],[Столбец1]]*Таблица1[[#This Row],[коэф]])),
IF(OR(G169="4/24",G169="3/24"),((база!$M$5*2*Таблица1[[#This Row],[Столбец1]]*Таблица1[[#This Row],[коэф]])),
IF((G169="5/16"),((база!$L$6*2*Таблица1[[#This Row],[Столбец1]]*Таблица1[[#This Row],[коэф]])),
IF(OR(G169="4/16",G169="3/16"),((база!$L$5*2*Таблица1[[#This Row],[Столбец1]]*Таблица1[[#This Row],[коэф]])),
IF(OR(G169="2/4",G169="3/4",G169="4/4"),((база!$I$5*2*Таблица1[[#This Row],[Столбец1]]*Таблица1[[#This Row],[коэф]])),
IF((G169="5/8"),((база!$J$6*2*Таблица1[[#This Row],[Столбец1]]*Таблица1[[#This Row],[коэф]])),
IF(OR(G169="4/8",G169="3/8",G169="2/8"),((база!$J$5*2*Таблица1[[#This Row],[Столбец1]]*Таблица1[[#This Row],[коэф]])))))))))))</f>
        <v>0</v>
      </c>
      <c r="AQ169" s="697" t="str">
        <f>IFERROR(INDEX(база!T:T, MATCH(F169,база!Q:Q,0)),"")</f>
        <v/>
      </c>
      <c r="AR169" s="207">
        <f>IFERROR(INDEX(база!D:D, MATCH(F169,база!B:B,0)),"")</f>
        <v>0</v>
      </c>
    </row>
    <row r="170" spans="1:47" ht="15">
      <c r="A170" s="66" t="str">
        <f t="shared" si="3"/>
        <v>декабрь</v>
      </c>
      <c r="B170" s="230">
        <v>2023</v>
      </c>
      <c r="C170" s="60"/>
      <c r="D170" s="61"/>
      <c r="E170" s="210"/>
      <c r="F170" s="669"/>
      <c r="G170" s="47"/>
      <c r="H170" s="563"/>
      <c r="I170" s="563"/>
      <c r="J170" s="563"/>
      <c r="K170" s="563"/>
      <c r="L170" s="563"/>
      <c r="M170" s="563"/>
      <c r="N170" s="563"/>
      <c r="O170" s="563"/>
      <c r="P170" s="300"/>
      <c r="Q170" s="563"/>
      <c r="R170" s="563"/>
      <c r="S170" s="563"/>
      <c r="T170" s="563"/>
      <c r="U170" s="563"/>
      <c r="V170" s="563"/>
      <c r="W170" s="563"/>
      <c r="X170" s="563"/>
      <c r="Y170" s="563"/>
      <c r="Z170" s="563"/>
      <c r="AA170" s="563"/>
      <c r="AB170" s="563"/>
      <c r="AC170" s="563"/>
      <c r="AD170" s="48"/>
      <c r="AE170" s="48"/>
      <c r="AF170" s="257"/>
      <c r="AG170" s="257"/>
      <c r="AH170" s="257"/>
      <c r="AI170" s="257"/>
      <c r="AJ170" s="257"/>
      <c r="AK170" s="257"/>
      <c r="AL170" s="257"/>
      <c r="AM170" s="211">
        <f>IF(AQ170=1,SUM(H170:I170,L170:O170,R170:U170,X170:AA170,AD170:AG170,AI170:AK170),
IF(AQ170=2,SUM(H170:K170,N170:Q170,T170:W170,Z170:AC170,AF170:AI170),
IF(AQ170=3,SUM(J170:M170,P170:S170,V170:Y170,AB170:AE170,AH170:AK170),SUM(Таблица1[[#This Row],[1]:[31]])-Таблица1[[#This Row],[Столбец1]])))</f>
        <v>0</v>
      </c>
      <c r="AN170" s="290">
        <f t="array" ref="AN170">IF(AQ170=1,SUM(J170:K170,P170:Q170,V170:W170,AB170:AC170,AH170:AI170),
IF(AQ170=2,SUM(L170:M170,R170:S170,X170:Y170,AD170:AE170),
IF(AQ170=3,SUM(H170:I170,N170:O170,T170:U170,Z170:AA170,AF170:AG170),
SUM(IFERROR(WEEKDAY($H$2:$AL$2,2)&gt;5,)*H170:AL170))))</f>
        <v>0</v>
      </c>
      <c r="AO170" s="292" t="b">
        <f>IF(AR170&lt;=3,(IF((G170="5/24"),((база!$M$6*Таблица1[[#This Row],[сумма]]*Таблица1[[#This Row],[коэф]])),
IF((G170="4/24"),((база!$M$5*Таблица1[[#This Row],[сумма]]*Таблица1[[#This Row],[коэф]])),
IF((G170="3/24"),((база!$M$4*Таблица1[[#This Row],[сумма]]*Таблица1[[#This Row],[коэф]])),
IF((G170="5/16"),((база!$L$6*Таблица1[[#This Row],[сумма]]*Таблица1[[#This Row],[коэф]])),
IF((G170="4/16"),((база!$L$5*Таблица1[[#This Row],[сумма]]*Таблица1[[#This Row],[коэф]])),
IF((G170="3/16"),((база!$L$4*Таблица1[[#This Row],[сумма]]*Таблица1[[#This Row],[коэф]])),
IF((G170="4/4"),((база!$I$5*Таблица1[[#This Row],[сумма]]*Таблица1[[#This Row],[коэф]])),
IF(OR(G170="2/4",G170="3/4"),((база!$I$4*Таблица1[[#This Row],[сумма]]*Таблица1[[#This Row],[коэф]])),
IF((G170="5/8"),((база!$J$6*Таблица1[[#This Row],[сумма]]*Таблица1[[#This Row],[коэф]])),
IF((G170="4/8"),((база!$J$5*Таблица1[[#This Row],[сумма]]*Таблица1[[#This Row],[коэф]])),
IF(OR(G170="3/8",G170="2/8"),((база!$J$4*Таблица1[[#This Row],[сумма]]*Таблица1[[#This Row],[коэф]])))))))))))))),
(IF((G170="5/24"),((база!$M$6*Таблица1[[#This Row],[сумма]]*Таблица1[[#This Row],[коэф]])),
IF(OR(G170="4/24",G170="3/24"),((база!$M$5*Таблица1[[#This Row],[сумма]]*Таблица1[[#This Row],[коэф]])),
IF((G170="5/16"),((база!$L$6*Таблица1[[#This Row],[сумма]]*Таблица1[[#This Row],[коэф]])),
IF(OR(G170="4/16",G170="3/16"),((база!$L$5*Таблица1[[#This Row],[сумма]]*Таблица1[[#This Row],[коэф]])),
IF(OR(G170="2/4",G170="3/4",G170="4/4"),((база!$I$5*Таблица1[[#This Row],[сумма]]*Таблица1[[#This Row],[коэф]])),
IF((G170="5/8"),((база!$J$6*Таблица1[[#This Row],[сумма]]*Таблица1[[#This Row],[коэф]])),
IF(OR(G170="4/8",G170="3/8",G170="2/8"),((база!$J$5*Таблица1[[#This Row],[сумма]]*Таблица1[[#This Row],[коэф]])))))))))))</f>
        <v>0</v>
      </c>
      <c r="AP170" s="715" t="b">
        <f>IF(AR170&lt;=3,(IF((G170="5/24"),((база!$M$6*2*Таблица1[[#This Row],[Столбец1]]*Таблица1[[#This Row],[коэф]])),
IF((G170="4/24"),((база!$M$5*2*Таблица1[[#This Row],[Столбец1]]*Таблица1[[#This Row],[коэф]])),
IF((G170="3/24"),((база!$M$4*2*Таблица1[[#This Row],[Столбец1]]*Таблица1[[#This Row],[коэф]])),
IF((G170="5/16"),((база!$L$6*2*Таблица1[[#This Row],[Столбец1]]*Таблица1[[#This Row],[коэф]])),
IF((G170="4/16"),((база!$L$5*2*Таблица1[[#This Row],[Столбец1]]*Таблица1[[#This Row],[коэф]])),
IF((G170="3/16"),((база!$L$4*2*Таблица1[[#This Row],[Столбец1]]*Таблица1[[#This Row],[коэф]])),
IF((G170="4/4"),((база!$I$5*2*Таблица1[[#This Row],[Столбец1]]*Таблица1[[#This Row],[коэф]])),
IF(OR(G170="2/4",G170="3/4"),((база!$I$4*2*Таблица1[[#This Row],[Столбец1]]*Таблица1[[#This Row],[коэф]])),
IF((G170="5/8"),((база!$J$6*2*Таблица1[[#This Row],[Столбец1]]*Таблица1[[#This Row],[коэф]])),
IF((G170="4/8"),((база!$J$5*2*Таблица1[[#This Row],[Столбец1]]*Таблица1[[#This Row],[коэф]])),
IF(OR(G170="3/8",G170="2/8"),((база!$J$4*2*Таблица1[[#This Row],[Столбец1]]*Таблица1[[#This Row],[коэф]])))))))))))))),
(IF((G170="5/24"),((база!$M$6*2*Таблица1[[#This Row],[Столбец1]]*Таблица1[[#This Row],[коэф]])),
IF(OR(G170="4/24",G170="3/24"),((база!$M$5*2*Таблица1[[#This Row],[Столбец1]]*Таблица1[[#This Row],[коэф]])),
IF((G170="5/16"),((база!$L$6*2*Таблица1[[#This Row],[Столбец1]]*Таблица1[[#This Row],[коэф]])),
IF(OR(G170="4/16",G170="3/16"),((база!$L$5*2*Таблица1[[#This Row],[Столбец1]]*Таблица1[[#This Row],[коэф]])),
IF(OR(G170="2/4",G170="3/4",G170="4/4"),((база!$I$5*2*Таблица1[[#This Row],[Столбец1]]*Таблица1[[#This Row],[коэф]])),
IF((G170="5/8"),((база!$J$6*2*Таблица1[[#This Row],[Столбец1]]*Таблица1[[#This Row],[коэф]])),
IF(OR(G170="4/8",G170="3/8",G170="2/8"),((база!$J$5*2*Таблица1[[#This Row],[Столбец1]]*Таблица1[[#This Row],[коэф]])))))))))))</f>
        <v>0</v>
      </c>
      <c r="AQ170" s="697" t="str">
        <f>IFERROR(INDEX(база!T:T, MATCH(F170,база!Q:Q,0)),"")</f>
        <v/>
      </c>
      <c r="AR170" s="207">
        <f>IFERROR(INDEX(база!D:D, MATCH(F170,база!B:B,0)),"")</f>
        <v>0</v>
      </c>
      <c r="AS170" s="46"/>
      <c r="AT170" s="46"/>
      <c r="AU170" s="46"/>
    </row>
    <row r="171" spans="1:47" ht="15">
      <c r="A171" s="66" t="str">
        <f t="shared" si="3"/>
        <v>декабрь</v>
      </c>
      <c r="B171" s="230">
        <v>2023</v>
      </c>
      <c r="C171" s="299"/>
      <c r="D171" s="61"/>
      <c r="E171" s="210"/>
      <c r="F171" s="669"/>
      <c r="G171" s="47"/>
      <c r="H171" s="563"/>
      <c r="I171" s="563"/>
      <c r="J171" s="563"/>
      <c r="K171" s="563"/>
      <c r="L171" s="563"/>
      <c r="M171" s="563"/>
      <c r="N171" s="563"/>
      <c r="O171" s="563"/>
      <c r="P171" s="300"/>
      <c r="Q171" s="563"/>
      <c r="R171" s="563"/>
      <c r="S171" s="563"/>
      <c r="T171" s="563"/>
      <c r="U171" s="563"/>
      <c r="V171" s="563"/>
      <c r="W171" s="563"/>
      <c r="X171" s="563"/>
      <c r="Y171" s="563"/>
      <c r="Z171" s="563"/>
      <c r="AA171" s="563"/>
      <c r="AB171" s="563"/>
      <c r="AC171" s="563"/>
      <c r="AD171" s="48"/>
      <c r="AE171" s="48"/>
      <c r="AF171" s="257"/>
      <c r="AG171" s="257"/>
      <c r="AH171" s="257"/>
      <c r="AI171" s="257"/>
      <c r="AJ171" s="257"/>
      <c r="AK171" s="257"/>
      <c r="AL171" s="257"/>
      <c r="AM171" s="211">
        <f>IF(AQ171=1,SUM(H171:I171,L171:O171,R171:U171,X171:AA171,AD171:AG171,AI171:AK171),
IF(AQ171=2,SUM(H171:K171,N171:Q171,T171:W171,Z171:AC171,AF171:AI171),
IF(AQ171=3,SUM(J171:M171,P171:S171,V171:Y171,AB171:AE171,AH171:AK171),SUM(Таблица1[[#This Row],[1]:[31]])-Таблица1[[#This Row],[Столбец1]])))</f>
        <v>0</v>
      </c>
      <c r="AN171" s="290">
        <f t="array" ref="AN171">IF(AQ171=1,SUM(J171:K171,P171:Q171,V171:W171,AB171:AC171,AH171:AI171),
IF(AQ171=2,SUM(L171:M171,R171:S171,X171:Y171,AD171:AE171),
IF(AQ171=3,SUM(H171:I171,N171:O171,T171:U171,Z171:AA171,AF171:AG171),
SUM(IFERROR(WEEKDAY($H$2:$AL$2,2)&gt;5,)*H171:AL171))))</f>
        <v>0</v>
      </c>
      <c r="AO171" s="292" t="b">
        <f>IF(AR171&lt;=3,(IF((G171="5/24"),((база!$M$6*Таблица1[[#This Row],[сумма]]*Таблица1[[#This Row],[коэф]])),
IF((G171="4/24"),((база!$M$5*Таблица1[[#This Row],[сумма]]*Таблица1[[#This Row],[коэф]])),
IF((G171="3/24"),((база!$M$4*Таблица1[[#This Row],[сумма]]*Таблица1[[#This Row],[коэф]])),
IF((G171="5/16"),((база!$L$6*Таблица1[[#This Row],[сумма]]*Таблица1[[#This Row],[коэф]])),
IF((G171="4/16"),((база!$L$5*Таблица1[[#This Row],[сумма]]*Таблица1[[#This Row],[коэф]])),
IF((G171="3/16"),((база!$L$4*Таблица1[[#This Row],[сумма]]*Таблица1[[#This Row],[коэф]])),
IF((G171="4/4"),((база!$I$5*Таблица1[[#This Row],[сумма]]*Таблица1[[#This Row],[коэф]])),
IF(OR(G171="2/4",G171="3/4"),((база!$I$4*Таблица1[[#This Row],[сумма]]*Таблица1[[#This Row],[коэф]])),
IF((G171="5/8"),((база!$J$6*Таблица1[[#This Row],[сумма]]*Таблица1[[#This Row],[коэф]])),
IF((G171="4/8"),((база!$J$5*Таблица1[[#This Row],[сумма]]*Таблица1[[#This Row],[коэф]])),
IF(OR(G171="3/8",G171="2/8"),((база!$J$4*Таблица1[[#This Row],[сумма]]*Таблица1[[#This Row],[коэф]])))))))))))))),
(IF((G171="5/24"),((база!$M$6*Таблица1[[#This Row],[сумма]]*Таблица1[[#This Row],[коэф]])),
IF(OR(G171="4/24",G171="3/24"),((база!$M$5*Таблица1[[#This Row],[сумма]]*Таблица1[[#This Row],[коэф]])),
IF((G171="5/16"),((база!$L$6*Таблица1[[#This Row],[сумма]]*Таблица1[[#This Row],[коэф]])),
IF(OR(G171="4/16",G171="3/16"),((база!$L$5*Таблица1[[#This Row],[сумма]]*Таблица1[[#This Row],[коэф]])),
IF(OR(G171="2/4",G171="3/4",G171="4/4"),((база!$I$5*Таблица1[[#This Row],[сумма]]*Таблица1[[#This Row],[коэф]])),
IF((G171="5/8"),((база!$J$6*Таблица1[[#This Row],[сумма]]*Таблица1[[#This Row],[коэф]])),
IF(OR(G171="4/8",G171="3/8",G171="2/8"),((база!$J$5*Таблица1[[#This Row],[сумма]]*Таблица1[[#This Row],[коэф]])))))))))))</f>
        <v>0</v>
      </c>
      <c r="AP171" s="715" t="b">
        <f>IF(AR171&lt;=3,(IF((G171="5/24"),((база!$M$6*2*Таблица1[[#This Row],[Столбец1]]*Таблица1[[#This Row],[коэф]])),
IF((G171="4/24"),((база!$M$5*2*Таблица1[[#This Row],[Столбец1]]*Таблица1[[#This Row],[коэф]])),
IF((G171="3/24"),((база!$M$4*2*Таблица1[[#This Row],[Столбец1]]*Таблица1[[#This Row],[коэф]])),
IF((G171="5/16"),((база!$L$6*2*Таблица1[[#This Row],[Столбец1]]*Таблица1[[#This Row],[коэф]])),
IF((G171="4/16"),((база!$L$5*2*Таблица1[[#This Row],[Столбец1]]*Таблица1[[#This Row],[коэф]])),
IF((G171="3/16"),((база!$L$4*2*Таблица1[[#This Row],[Столбец1]]*Таблица1[[#This Row],[коэф]])),
IF((G171="4/4"),((база!$I$5*2*Таблица1[[#This Row],[Столбец1]]*Таблица1[[#This Row],[коэф]])),
IF(OR(G171="2/4",G171="3/4"),((база!$I$4*2*Таблица1[[#This Row],[Столбец1]]*Таблица1[[#This Row],[коэф]])),
IF((G171="5/8"),((база!$J$6*2*Таблица1[[#This Row],[Столбец1]]*Таблица1[[#This Row],[коэф]])),
IF((G171="4/8"),((база!$J$5*2*Таблица1[[#This Row],[Столбец1]]*Таблица1[[#This Row],[коэф]])),
IF(OR(G171="3/8",G171="2/8"),((база!$J$4*2*Таблица1[[#This Row],[Столбец1]]*Таблица1[[#This Row],[коэф]])))))))))))))),
(IF((G171="5/24"),((база!$M$6*2*Таблица1[[#This Row],[Столбец1]]*Таблица1[[#This Row],[коэф]])),
IF(OR(G171="4/24",G171="3/24"),((база!$M$5*2*Таблица1[[#This Row],[Столбец1]]*Таблица1[[#This Row],[коэф]])),
IF((G171="5/16"),((база!$L$6*2*Таблица1[[#This Row],[Столбец1]]*Таблица1[[#This Row],[коэф]])),
IF(OR(G171="4/16",G171="3/16"),((база!$L$5*2*Таблица1[[#This Row],[Столбец1]]*Таблица1[[#This Row],[коэф]])),
IF(OR(G171="2/4",G171="3/4",G171="4/4"),((база!$I$5*2*Таблица1[[#This Row],[Столбец1]]*Таблица1[[#This Row],[коэф]])),
IF((G171="5/8"),((база!$J$6*2*Таблица1[[#This Row],[Столбец1]]*Таблица1[[#This Row],[коэф]])),
IF(OR(G171="4/8",G171="3/8",G171="2/8"),((база!$J$5*2*Таблица1[[#This Row],[Столбец1]]*Таблица1[[#This Row],[коэф]])))))))))))</f>
        <v>0</v>
      </c>
      <c r="AQ171" s="697" t="str">
        <f>IFERROR(INDEX(база!T:T, MATCH(F171,база!Q:Q,0)),"")</f>
        <v/>
      </c>
      <c r="AR171" s="207">
        <f>IFERROR(INDEX(база!D:D, MATCH(F171,база!B:B,0)),"")</f>
        <v>0</v>
      </c>
      <c r="AS171" s="46"/>
      <c r="AT171" s="46"/>
      <c r="AU171" s="46"/>
    </row>
    <row r="172" spans="1:47" ht="15">
      <c r="A172" s="66" t="str">
        <f t="shared" si="3"/>
        <v>декабрь</v>
      </c>
      <c r="B172" s="230">
        <v>2023</v>
      </c>
      <c r="C172" s="60"/>
      <c r="D172" s="61"/>
      <c r="E172" s="210"/>
      <c r="F172" s="669"/>
      <c r="G172" s="47"/>
      <c r="H172" s="563"/>
      <c r="I172" s="563"/>
      <c r="J172" s="563"/>
      <c r="K172" s="563"/>
      <c r="L172" s="563"/>
      <c r="M172" s="563"/>
      <c r="N172" s="563"/>
      <c r="O172" s="563"/>
      <c r="P172" s="300"/>
      <c r="Q172" s="563"/>
      <c r="R172" s="563"/>
      <c r="S172" s="563"/>
      <c r="T172" s="563"/>
      <c r="U172" s="563"/>
      <c r="V172" s="563"/>
      <c r="W172" s="563"/>
      <c r="X172" s="563"/>
      <c r="Y172" s="563"/>
      <c r="Z172" s="563"/>
      <c r="AA172" s="563"/>
      <c r="AB172" s="563"/>
      <c r="AC172" s="563"/>
      <c r="AD172" s="48"/>
      <c r="AE172" s="48"/>
      <c r="AF172" s="257"/>
      <c r="AG172" s="257"/>
      <c r="AH172" s="257"/>
      <c r="AI172" s="257"/>
      <c r="AJ172" s="257"/>
      <c r="AK172" s="257"/>
      <c r="AL172" s="257"/>
      <c r="AM172" s="211">
        <f>IF(AQ172=1,SUM(H172:I172,L172:O172,R172:U172,X172:AA172,AD172:AG172,AI172:AK172),
IF(AQ172=2,SUM(H172:K172,N172:Q172,T172:W172,Z172:AC172,AF172:AI172),
IF(AQ172=3,SUM(J172:M172,P172:S172,V172:Y172,AB172:AE172,AH172:AK172),SUM(Таблица1[[#This Row],[1]:[31]])-Таблица1[[#This Row],[Столбец1]])))</f>
        <v>0</v>
      </c>
      <c r="AN172" s="290">
        <f t="array" ref="AN172">IF(AQ172=1,SUM(J172:K172,P172:Q172,V172:W172,AB172:AC172,AH172:AI172),
IF(AQ172=2,SUM(L172:M172,R172:S172,X172:Y172,AD172:AE172),
IF(AQ172=3,SUM(H172:I172,N172:O172,T172:U172,Z172:AA172,AF172:AG172),
SUM(IFERROR(WEEKDAY($H$2:$AL$2,2)&gt;5,)*H172:AL172))))</f>
        <v>0</v>
      </c>
      <c r="AO172" s="292" t="b">
        <f>IF(AR172&lt;=3,(IF((G172="5/24"),((база!$M$6*Таблица1[[#This Row],[сумма]]*Таблица1[[#This Row],[коэф]])),
IF((G172="4/24"),((база!$M$5*Таблица1[[#This Row],[сумма]]*Таблица1[[#This Row],[коэф]])),
IF((G172="3/24"),((база!$M$4*Таблица1[[#This Row],[сумма]]*Таблица1[[#This Row],[коэф]])),
IF((G172="5/16"),((база!$L$6*Таблица1[[#This Row],[сумма]]*Таблица1[[#This Row],[коэф]])),
IF((G172="4/16"),((база!$L$5*Таблица1[[#This Row],[сумма]]*Таблица1[[#This Row],[коэф]])),
IF((G172="3/16"),((база!$L$4*Таблица1[[#This Row],[сумма]]*Таблица1[[#This Row],[коэф]])),
IF((G172="4/4"),((база!$I$5*Таблица1[[#This Row],[сумма]]*Таблица1[[#This Row],[коэф]])),
IF(OR(G172="2/4",G172="3/4"),((база!$I$4*Таблица1[[#This Row],[сумма]]*Таблица1[[#This Row],[коэф]])),
IF((G172="5/8"),((база!$J$6*Таблица1[[#This Row],[сумма]]*Таблица1[[#This Row],[коэф]])),
IF((G172="4/8"),((база!$J$5*Таблица1[[#This Row],[сумма]]*Таблица1[[#This Row],[коэф]])),
IF(OR(G172="3/8",G172="2/8"),((база!$J$4*Таблица1[[#This Row],[сумма]]*Таблица1[[#This Row],[коэф]])))))))))))))),
(IF((G172="5/24"),((база!$M$6*Таблица1[[#This Row],[сумма]]*Таблица1[[#This Row],[коэф]])),
IF(OR(G172="4/24",G172="3/24"),((база!$M$5*Таблица1[[#This Row],[сумма]]*Таблица1[[#This Row],[коэф]])),
IF((G172="5/16"),((база!$L$6*Таблица1[[#This Row],[сумма]]*Таблица1[[#This Row],[коэф]])),
IF(OR(G172="4/16",G172="3/16"),((база!$L$5*Таблица1[[#This Row],[сумма]]*Таблица1[[#This Row],[коэф]])),
IF(OR(G172="2/4",G172="3/4",G172="4/4"),((база!$I$5*Таблица1[[#This Row],[сумма]]*Таблица1[[#This Row],[коэф]])),
IF((G172="5/8"),((база!$J$6*Таблица1[[#This Row],[сумма]]*Таблица1[[#This Row],[коэф]])),
IF(OR(G172="4/8",G172="3/8",G172="2/8"),((база!$J$5*Таблица1[[#This Row],[сумма]]*Таблица1[[#This Row],[коэф]])))))))))))</f>
        <v>0</v>
      </c>
      <c r="AP172" s="715" t="b">
        <f>IF(AR172&lt;=3,(IF((G172="5/24"),((база!$M$6*2*Таблица1[[#This Row],[Столбец1]]*Таблица1[[#This Row],[коэф]])),
IF((G172="4/24"),((база!$M$5*2*Таблица1[[#This Row],[Столбец1]]*Таблица1[[#This Row],[коэф]])),
IF((G172="3/24"),((база!$M$4*2*Таблица1[[#This Row],[Столбец1]]*Таблица1[[#This Row],[коэф]])),
IF((G172="5/16"),((база!$L$6*2*Таблица1[[#This Row],[Столбец1]]*Таблица1[[#This Row],[коэф]])),
IF((G172="4/16"),((база!$L$5*2*Таблица1[[#This Row],[Столбец1]]*Таблица1[[#This Row],[коэф]])),
IF((G172="3/16"),((база!$L$4*2*Таблица1[[#This Row],[Столбец1]]*Таблица1[[#This Row],[коэф]])),
IF((G172="4/4"),((база!$I$5*2*Таблица1[[#This Row],[Столбец1]]*Таблица1[[#This Row],[коэф]])),
IF(OR(G172="2/4",G172="3/4"),((база!$I$4*2*Таблица1[[#This Row],[Столбец1]]*Таблица1[[#This Row],[коэф]])),
IF((G172="5/8"),((база!$J$6*2*Таблица1[[#This Row],[Столбец1]]*Таблица1[[#This Row],[коэф]])),
IF((G172="4/8"),((база!$J$5*2*Таблица1[[#This Row],[Столбец1]]*Таблица1[[#This Row],[коэф]])),
IF(OR(G172="3/8",G172="2/8"),((база!$J$4*2*Таблица1[[#This Row],[Столбец1]]*Таблица1[[#This Row],[коэф]])))))))))))))),
(IF((G172="5/24"),((база!$M$6*2*Таблица1[[#This Row],[Столбец1]]*Таблица1[[#This Row],[коэф]])),
IF(OR(G172="4/24",G172="3/24"),((база!$M$5*2*Таблица1[[#This Row],[Столбец1]]*Таблица1[[#This Row],[коэф]])),
IF((G172="5/16"),((база!$L$6*2*Таблица1[[#This Row],[Столбец1]]*Таблица1[[#This Row],[коэф]])),
IF(OR(G172="4/16",G172="3/16"),((база!$L$5*2*Таблица1[[#This Row],[Столбец1]]*Таблица1[[#This Row],[коэф]])),
IF(OR(G172="2/4",G172="3/4",G172="4/4"),((база!$I$5*2*Таблица1[[#This Row],[Столбец1]]*Таблица1[[#This Row],[коэф]])),
IF((G172="5/8"),((база!$J$6*2*Таблица1[[#This Row],[Столбец1]]*Таблица1[[#This Row],[коэф]])),
IF(OR(G172="4/8",G172="3/8",G172="2/8"),((база!$J$5*2*Таблица1[[#This Row],[Столбец1]]*Таблица1[[#This Row],[коэф]])))))))))))</f>
        <v>0</v>
      </c>
      <c r="AQ172" s="697" t="str">
        <f>IFERROR(INDEX(база!T:T, MATCH(F172,база!Q:Q,0)),"")</f>
        <v/>
      </c>
      <c r="AR172" s="207">
        <f>IFERROR(INDEX(база!D:D, MATCH(F172,база!B:B,0)),"")</f>
        <v>0</v>
      </c>
      <c r="AS172" s="46"/>
      <c r="AT172" s="46"/>
      <c r="AU172" s="46"/>
    </row>
    <row r="173" spans="1:47" ht="15">
      <c r="A173" s="66" t="str">
        <f t="shared" si="3"/>
        <v>декабрь</v>
      </c>
      <c r="B173" s="230">
        <v>2023</v>
      </c>
      <c r="C173" s="299"/>
      <c r="D173" s="61"/>
      <c r="E173" s="210"/>
      <c r="F173" s="669"/>
      <c r="G173" s="47"/>
      <c r="H173" s="563"/>
      <c r="I173" s="563"/>
      <c r="J173" s="563"/>
      <c r="K173" s="563"/>
      <c r="L173" s="563"/>
      <c r="M173" s="563"/>
      <c r="N173" s="563"/>
      <c r="O173" s="563"/>
      <c r="P173" s="300"/>
      <c r="Q173" s="563"/>
      <c r="R173" s="563"/>
      <c r="S173" s="563"/>
      <c r="T173" s="563"/>
      <c r="U173" s="563"/>
      <c r="V173" s="563"/>
      <c r="W173" s="563"/>
      <c r="X173" s="563"/>
      <c r="Y173" s="563"/>
      <c r="Z173" s="563"/>
      <c r="AA173" s="563"/>
      <c r="AB173" s="563"/>
      <c r="AC173" s="563"/>
      <c r="AD173" s="48"/>
      <c r="AE173" s="48"/>
      <c r="AF173" s="257"/>
      <c r="AG173" s="257"/>
      <c r="AH173" s="257"/>
      <c r="AI173" s="257"/>
      <c r="AJ173" s="257"/>
      <c r="AK173" s="257"/>
      <c r="AL173" s="257"/>
      <c r="AM173" s="211">
        <f>IF(AQ173=1,SUM(H173:I173,L173:O173,R173:U173,X173:AA173,AD173:AG173,AI173:AK173),
IF(AQ173=2,SUM(H173:K173,N173:Q173,T173:W173,Z173:AC173,AF173:AI173),
IF(AQ173=3,SUM(J173:M173,P173:S173,V173:Y173,AB173:AE173,AH173:AK173),SUM(Таблица1[[#This Row],[1]:[31]])-Таблица1[[#This Row],[Столбец1]])))</f>
        <v>0</v>
      </c>
      <c r="AN173" s="290">
        <f t="array" ref="AN173">IF(AQ173=1,SUM(J173:K173,P173:Q173,V173:W173,AB173:AC173,AH173:AI173),
IF(AQ173=2,SUM(L173:M173,R173:S173,X173:Y173,AD173:AE173),
IF(AQ173=3,SUM(H173:I173,N173:O173,T173:U173,Z173:AA173,AF173:AG173),
SUM(IFERROR(WEEKDAY($H$2:$AL$2,2)&gt;5,)*H173:AL173))))</f>
        <v>0</v>
      </c>
      <c r="AO173" s="292" t="b">
        <f>IF(AR173&lt;=3,(IF((G173="5/24"),((база!$M$6*Таблица1[[#This Row],[сумма]]*Таблица1[[#This Row],[коэф]])),
IF((G173="4/24"),((база!$M$5*Таблица1[[#This Row],[сумма]]*Таблица1[[#This Row],[коэф]])),
IF((G173="3/24"),((база!$M$4*Таблица1[[#This Row],[сумма]]*Таблица1[[#This Row],[коэф]])),
IF((G173="5/16"),((база!$L$6*Таблица1[[#This Row],[сумма]]*Таблица1[[#This Row],[коэф]])),
IF((G173="4/16"),((база!$L$5*Таблица1[[#This Row],[сумма]]*Таблица1[[#This Row],[коэф]])),
IF((G173="3/16"),((база!$L$4*Таблица1[[#This Row],[сумма]]*Таблица1[[#This Row],[коэф]])),
IF((G173="4/4"),((база!$I$5*Таблица1[[#This Row],[сумма]]*Таблица1[[#This Row],[коэф]])),
IF(OR(G173="2/4",G173="3/4"),((база!$I$4*Таблица1[[#This Row],[сумма]]*Таблица1[[#This Row],[коэф]])),
IF((G173="5/8"),((база!$J$6*Таблица1[[#This Row],[сумма]]*Таблица1[[#This Row],[коэф]])),
IF((G173="4/8"),((база!$J$5*Таблица1[[#This Row],[сумма]]*Таблица1[[#This Row],[коэф]])),
IF(OR(G173="3/8",G173="2/8"),((база!$J$4*Таблица1[[#This Row],[сумма]]*Таблица1[[#This Row],[коэф]])))))))))))))),
(IF((G173="5/24"),((база!$M$6*Таблица1[[#This Row],[сумма]]*Таблица1[[#This Row],[коэф]])),
IF(OR(G173="4/24",G173="3/24"),((база!$M$5*Таблица1[[#This Row],[сумма]]*Таблица1[[#This Row],[коэф]])),
IF((G173="5/16"),((база!$L$6*Таблица1[[#This Row],[сумма]]*Таблица1[[#This Row],[коэф]])),
IF(OR(G173="4/16",G173="3/16"),((база!$L$5*Таблица1[[#This Row],[сумма]]*Таблица1[[#This Row],[коэф]])),
IF(OR(G173="2/4",G173="3/4",G173="4/4"),((база!$I$5*Таблица1[[#This Row],[сумма]]*Таблица1[[#This Row],[коэф]])),
IF((G173="5/8"),((база!$J$6*Таблица1[[#This Row],[сумма]]*Таблица1[[#This Row],[коэф]])),
IF(OR(G173="4/8",G173="3/8",G173="2/8"),((база!$J$5*Таблица1[[#This Row],[сумма]]*Таблица1[[#This Row],[коэф]])))))))))))</f>
        <v>0</v>
      </c>
      <c r="AP173" s="715" t="b">
        <f>IF(AR173&lt;=3,(IF((G173="5/24"),((база!$M$6*2*Таблица1[[#This Row],[Столбец1]]*Таблица1[[#This Row],[коэф]])),
IF((G173="4/24"),((база!$M$5*2*Таблица1[[#This Row],[Столбец1]]*Таблица1[[#This Row],[коэф]])),
IF((G173="3/24"),((база!$M$4*2*Таблица1[[#This Row],[Столбец1]]*Таблица1[[#This Row],[коэф]])),
IF((G173="5/16"),((база!$L$6*2*Таблица1[[#This Row],[Столбец1]]*Таблица1[[#This Row],[коэф]])),
IF((G173="4/16"),((база!$L$5*2*Таблица1[[#This Row],[Столбец1]]*Таблица1[[#This Row],[коэф]])),
IF((G173="3/16"),((база!$L$4*2*Таблица1[[#This Row],[Столбец1]]*Таблица1[[#This Row],[коэф]])),
IF((G173="4/4"),((база!$I$5*2*Таблица1[[#This Row],[Столбец1]]*Таблица1[[#This Row],[коэф]])),
IF(OR(G173="2/4",G173="3/4"),((база!$I$4*2*Таблица1[[#This Row],[Столбец1]]*Таблица1[[#This Row],[коэф]])),
IF((G173="5/8"),((база!$J$6*2*Таблица1[[#This Row],[Столбец1]]*Таблица1[[#This Row],[коэф]])),
IF((G173="4/8"),((база!$J$5*2*Таблица1[[#This Row],[Столбец1]]*Таблица1[[#This Row],[коэф]])),
IF(OR(G173="3/8",G173="2/8"),((база!$J$4*2*Таблица1[[#This Row],[Столбец1]]*Таблица1[[#This Row],[коэф]])))))))))))))),
(IF((G173="5/24"),((база!$M$6*2*Таблица1[[#This Row],[Столбец1]]*Таблица1[[#This Row],[коэф]])),
IF(OR(G173="4/24",G173="3/24"),((база!$M$5*2*Таблица1[[#This Row],[Столбец1]]*Таблица1[[#This Row],[коэф]])),
IF((G173="5/16"),((база!$L$6*2*Таблица1[[#This Row],[Столбец1]]*Таблица1[[#This Row],[коэф]])),
IF(OR(G173="4/16",G173="3/16"),((база!$L$5*2*Таблица1[[#This Row],[Столбец1]]*Таблица1[[#This Row],[коэф]])),
IF(OR(G173="2/4",G173="3/4",G173="4/4"),((база!$I$5*2*Таблица1[[#This Row],[Столбец1]]*Таблица1[[#This Row],[коэф]])),
IF((G173="5/8"),((база!$J$6*2*Таблица1[[#This Row],[Столбец1]]*Таблица1[[#This Row],[коэф]])),
IF(OR(G173="4/8",G173="3/8",G173="2/8"),((база!$J$5*2*Таблица1[[#This Row],[Столбец1]]*Таблица1[[#This Row],[коэф]])))))))))))</f>
        <v>0</v>
      </c>
      <c r="AQ173" s="697" t="str">
        <f>IFERROR(INDEX(база!T:T, MATCH(F173,база!Q:Q,0)),"")</f>
        <v/>
      </c>
      <c r="AR173" s="207">
        <f>IFERROR(INDEX(база!D:D, MATCH(F173,база!B:B,0)),"")</f>
        <v>0</v>
      </c>
      <c r="AS173" s="46"/>
      <c r="AT173" s="46"/>
      <c r="AU173" s="46"/>
    </row>
    <row r="174" spans="1:47" ht="15">
      <c r="A174" s="66" t="str">
        <f t="shared" si="3"/>
        <v>декабрь</v>
      </c>
      <c r="B174" s="230">
        <v>2023</v>
      </c>
      <c r="C174" s="60"/>
      <c r="D174" s="61"/>
      <c r="E174" s="210"/>
      <c r="F174" s="669"/>
      <c r="G174" s="47"/>
      <c r="H174" s="563"/>
      <c r="I174" s="563"/>
      <c r="J174" s="563"/>
      <c r="K174" s="563"/>
      <c r="L174" s="563"/>
      <c r="M174" s="563"/>
      <c r="N174" s="563"/>
      <c r="O174" s="563"/>
      <c r="P174" s="300"/>
      <c r="Q174" s="563"/>
      <c r="R174" s="563"/>
      <c r="S174" s="563"/>
      <c r="T174" s="563"/>
      <c r="U174" s="563"/>
      <c r="V174" s="563"/>
      <c r="W174" s="563"/>
      <c r="X174" s="563"/>
      <c r="Y174" s="563"/>
      <c r="Z174" s="563"/>
      <c r="AA174" s="563"/>
      <c r="AB174" s="563"/>
      <c r="AC174" s="563"/>
      <c r="AD174" s="48"/>
      <c r="AE174" s="48"/>
      <c r="AF174" s="257"/>
      <c r="AG174" s="257"/>
      <c r="AH174" s="257"/>
      <c r="AI174" s="257"/>
      <c r="AJ174" s="257"/>
      <c r="AK174" s="257"/>
      <c r="AL174" s="257"/>
      <c r="AM174" s="211">
        <f>IF(AQ174=1,SUM(H174:I174,L174:O174,R174:U174,X174:AA174,AD174:AG174,AI174:AK174),
IF(AQ174=2,SUM(H174:K174,N174:Q174,T174:W174,Z174:AC174,AF174:AI174),
IF(AQ174=3,SUM(J174:M174,P174:S174,V174:Y174,AB174:AE174,AH174:AK174),SUM(Таблица1[[#This Row],[1]:[31]])-Таблица1[[#This Row],[Столбец1]])))</f>
        <v>0</v>
      </c>
      <c r="AN174" s="290">
        <f t="array" ref="AN174">IF(AQ174=1,SUM(J174:K174,P174:Q174,V174:W174,AB174:AC174,AH174:AI174),
IF(AQ174=2,SUM(L174:M174,R174:S174,X174:Y174,AD174:AE174),
IF(AQ174=3,SUM(H174:I174,N174:O174,T174:U174,Z174:AA174,AF174:AG174),
SUM(IFERROR(WEEKDAY($H$2:$AL$2,2)&gt;5,)*H174:AL174))))</f>
        <v>0</v>
      </c>
      <c r="AO174" s="292" t="b">
        <f>IF(AR174&lt;=3,(IF((G174="5/24"),((база!$M$6*Таблица1[[#This Row],[сумма]]*Таблица1[[#This Row],[коэф]])),
IF((G174="4/24"),((база!$M$5*Таблица1[[#This Row],[сумма]]*Таблица1[[#This Row],[коэф]])),
IF((G174="3/24"),((база!$M$4*Таблица1[[#This Row],[сумма]]*Таблица1[[#This Row],[коэф]])),
IF((G174="5/16"),((база!$L$6*Таблица1[[#This Row],[сумма]]*Таблица1[[#This Row],[коэф]])),
IF((G174="4/16"),((база!$L$5*Таблица1[[#This Row],[сумма]]*Таблица1[[#This Row],[коэф]])),
IF((G174="3/16"),((база!$L$4*Таблица1[[#This Row],[сумма]]*Таблица1[[#This Row],[коэф]])),
IF((G174="4/4"),((база!$I$5*Таблица1[[#This Row],[сумма]]*Таблица1[[#This Row],[коэф]])),
IF(OR(G174="2/4",G174="3/4"),((база!$I$4*Таблица1[[#This Row],[сумма]]*Таблица1[[#This Row],[коэф]])),
IF((G174="5/8"),((база!$J$6*Таблица1[[#This Row],[сумма]]*Таблица1[[#This Row],[коэф]])),
IF((G174="4/8"),((база!$J$5*Таблица1[[#This Row],[сумма]]*Таблица1[[#This Row],[коэф]])),
IF(OR(G174="3/8",G174="2/8"),((база!$J$4*Таблица1[[#This Row],[сумма]]*Таблица1[[#This Row],[коэф]])))))))))))))),
(IF((G174="5/24"),((база!$M$6*Таблица1[[#This Row],[сумма]]*Таблица1[[#This Row],[коэф]])),
IF(OR(G174="4/24",G174="3/24"),((база!$M$5*Таблица1[[#This Row],[сумма]]*Таблица1[[#This Row],[коэф]])),
IF((G174="5/16"),((база!$L$6*Таблица1[[#This Row],[сумма]]*Таблица1[[#This Row],[коэф]])),
IF(OR(G174="4/16",G174="3/16"),((база!$L$5*Таблица1[[#This Row],[сумма]]*Таблица1[[#This Row],[коэф]])),
IF(OR(G174="2/4",G174="3/4",G174="4/4"),((база!$I$5*Таблица1[[#This Row],[сумма]]*Таблица1[[#This Row],[коэф]])),
IF((G174="5/8"),((база!$J$6*Таблица1[[#This Row],[сумма]]*Таблица1[[#This Row],[коэф]])),
IF(OR(G174="4/8",G174="3/8",G174="2/8"),((база!$J$5*Таблица1[[#This Row],[сумма]]*Таблица1[[#This Row],[коэф]])))))))))))</f>
        <v>0</v>
      </c>
      <c r="AP174" s="715" t="b">
        <f>IF(AR174&lt;=3,(IF((G174="5/24"),((база!$M$6*2*Таблица1[[#This Row],[Столбец1]]*Таблица1[[#This Row],[коэф]])),
IF((G174="4/24"),((база!$M$5*2*Таблица1[[#This Row],[Столбец1]]*Таблица1[[#This Row],[коэф]])),
IF((G174="3/24"),((база!$M$4*2*Таблица1[[#This Row],[Столбец1]]*Таблица1[[#This Row],[коэф]])),
IF((G174="5/16"),((база!$L$6*2*Таблица1[[#This Row],[Столбец1]]*Таблица1[[#This Row],[коэф]])),
IF((G174="4/16"),((база!$L$5*2*Таблица1[[#This Row],[Столбец1]]*Таблица1[[#This Row],[коэф]])),
IF((G174="3/16"),((база!$L$4*2*Таблица1[[#This Row],[Столбец1]]*Таблица1[[#This Row],[коэф]])),
IF((G174="4/4"),((база!$I$5*2*Таблица1[[#This Row],[Столбец1]]*Таблица1[[#This Row],[коэф]])),
IF(OR(G174="2/4",G174="3/4"),((база!$I$4*2*Таблица1[[#This Row],[Столбец1]]*Таблица1[[#This Row],[коэф]])),
IF((G174="5/8"),((база!$J$6*2*Таблица1[[#This Row],[Столбец1]]*Таблица1[[#This Row],[коэф]])),
IF((G174="4/8"),((база!$J$5*2*Таблица1[[#This Row],[Столбец1]]*Таблица1[[#This Row],[коэф]])),
IF(OR(G174="3/8",G174="2/8"),((база!$J$4*2*Таблица1[[#This Row],[Столбец1]]*Таблица1[[#This Row],[коэф]])))))))))))))),
(IF((G174="5/24"),((база!$M$6*2*Таблица1[[#This Row],[Столбец1]]*Таблица1[[#This Row],[коэф]])),
IF(OR(G174="4/24",G174="3/24"),((база!$M$5*2*Таблица1[[#This Row],[Столбец1]]*Таблица1[[#This Row],[коэф]])),
IF((G174="5/16"),((база!$L$6*2*Таблица1[[#This Row],[Столбец1]]*Таблица1[[#This Row],[коэф]])),
IF(OR(G174="4/16",G174="3/16"),((база!$L$5*2*Таблица1[[#This Row],[Столбец1]]*Таблица1[[#This Row],[коэф]])),
IF(OR(G174="2/4",G174="3/4",G174="4/4"),((база!$I$5*2*Таблица1[[#This Row],[Столбец1]]*Таблица1[[#This Row],[коэф]])),
IF((G174="5/8"),((база!$J$6*2*Таблица1[[#This Row],[Столбец1]]*Таблица1[[#This Row],[коэф]])),
IF(OR(G174="4/8",G174="3/8",G174="2/8"),((база!$J$5*2*Таблица1[[#This Row],[Столбец1]]*Таблица1[[#This Row],[коэф]])))))))))))</f>
        <v>0</v>
      </c>
      <c r="AQ174" s="697" t="str">
        <f>IFERROR(INDEX(база!T:T, MATCH(F174,база!Q:Q,0)),"")</f>
        <v/>
      </c>
      <c r="AR174" s="207">
        <f>IFERROR(INDEX(база!D:D, MATCH(F174,база!B:B,0)),"")</f>
        <v>0</v>
      </c>
      <c r="AS174" s="46"/>
      <c r="AT174" s="46"/>
      <c r="AU174" s="46"/>
    </row>
    <row r="175" spans="1:47" ht="15">
      <c r="A175" s="66" t="str">
        <f t="shared" si="3"/>
        <v>декабрь</v>
      </c>
      <c r="B175" s="230">
        <v>2023</v>
      </c>
      <c r="C175" s="299"/>
      <c r="D175" s="61"/>
      <c r="E175" s="210"/>
      <c r="F175" s="669"/>
      <c r="G175" s="47"/>
      <c r="H175" s="563"/>
      <c r="I175" s="563"/>
      <c r="J175" s="563"/>
      <c r="K175" s="563"/>
      <c r="L175" s="563"/>
      <c r="M175" s="563"/>
      <c r="N175" s="563"/>
      <c r="O175" s="563"/>
      <c r="P175" s="300"/>
      <c r="Q175" s="563"/>
      <c r="R175" s="563"/>
      <c r="S175" s="563"/>
      <c r="T175" s="563"/>
      <c r="U175" s="563"/>
      <c r="V175" s="563"/>
      <c r="W175" s="563"/>
      <c r="X175" s="563"/>
      <c r="Y175" s="563"/>
      <c r="Z175" s="563"/>
      <c r="AA175" s="563"/>
      <c r="AB175" s="563"/>
      <c r="AC175" s="563"/>
      <c r="AD175" s="48"/>
      <c r="AE175" s="48"/>
      <c r="AF175" s="257"/>
      <c r="AG175" s="257"/>
      <c r="AH175" s="257"/>
      <c r="AI175" s="257"/>
      <c r="AJ175" s="257"/>
      <c r="AK175" s="257"/>
      <c r="AL175" s="257"/>
      <c r="AM175" s="211">
        <f>IF(AQ175=1,SUM(H175:I175,L175:O175,R175:U175,X175:AA175,AD175:AG175,AI175:AK175),
IF(AQ175=2,SUM(H175:K175,N175:Q175,T175:W175,Z175:AC175,AF175:AI175),
IF(AQ175=3,SUM(J175:M175,P175:S175,V175:Y175,AB175:AE175,AH175:AK175),SUM(Таблица1[[#This Row],[1]:[31]])-Таблица1[[#This Row],[Столбец1]])))</f>
        <v>0</v>
      </c>
      <c r="AN175" s="290">
        <f t="array" ref="AN175">IF(AQ175=1,SUM(J175:K175,P175:Q175,V175:W175,AB175:AC175,AH175:AI175),
IF(AQ175=2,SUM(L175:M175,R175:S175,X175:Y175,AD175:AE175),
IF(AQ175=3,SUM(H175:I175,N175:O175,T175:U175,Z175:AA175,AF175:AG175),
SUM(IFERROR(WEEKDAY($H$2:$AL$2,2)&gt;5,)*H175:AL175))))</f>
        <v>0</v>
      </c>
      <c r="AO175" s="292" t="b">
        <f>IF(AR175&lt;=3,(IF((G175="5/24"),((база!$M$6*Таблица1[[#This Row],[сумма]]*Таблица1[[#This Row],[коэф]])),
IF((G175="4/24"),((база!$M$5*Таблица1[[#This Row],[сумма]]*Таблица1[[#This Row],[коэф]])),
IF((G175="3/24"),((база!$M$4*Таблица1[[#This Row],[сумма]]*Таблица1[[#This Row],[коэф]])),
IF((G175="5/16"),((база!$L$6*Таблица1[[#This Row],[сумма]]*Таблица1[[#This Row],[коэф]])),
IF((G175="4/16"),((база!$L$5*Таблица1[[#This Row],[сумма]]*Таблица1[[#This Row],[коэф]])),
IF((G175="3/16"),((база!$L$4*Таблица1[[#This Row],[сумма]]*Таблица1[[#This Row],[коэф]])),
IF((G175="4/4"),((база!$I$5*Таблица1[[#This Row],[сумма]]*Таблица1[[#This Row],[коэф]])),
IF(OR(G175="2/4",G175="3/4"),((база!$I$4*Таблица1[[#This Row],[сумма]]*Таблица1[[#This Row],[коэф]])),
IF((G175="5/8"),((база!$J$6*Таблица1[[#This Row],[сумма]]*Таблица1[[#This Row],[коэф]])),
IF((G175="4/8"),((база!$J$5*Таблица1[[#This Row],[сумма]]*Таблица1[[#This Row],[коэф]])),
IF(OR(G175="3/8",G175="2/8"),((база!$J$4*Таблица1[[#This Row],[сумма]]*Таблица1[[#This Row],[коэф]])))))))))))))),
(IF((G175="5/24"),((база!$M$6*Таблица1[[#This Row],[сумма]]*Таблица1[[#This Row],[коэф]])),
IF(OR(G175="4/24",G175="3/24"),((база!$M$5*Таблица1[[#This Row],[сумма]]*Таблица1[[#This Row],[коэф]])),
IF((G175="5/16"),((база!$L$6*Таблица1[[#This Row],[сумма]]*Таблица1[[#This Row],[коэф]])),
IF(OR(G175="4/16",G175="3/16"),((база!$L$5*Таблица1[[#This Row],[сумма]]*Таблица1[[#This Row],[коэф]])),
IF(OR(G175="2/4",G175="3/4",G175="4/4"),((база!$I$5*Таблица1[[#This Row],[сумма]]*Таблица1[[#This Row],[коэф]])),
IF((G175="5/8"),((база!$J$6*Таблица1[[#This Row],[сумма]]*Таблица1[[#This Row],[коэф]])),
IF(OR(G175="4/8",G175="3/8",G175="2/8"),((база!$J$5*Таблица1[[#This Row],[сумма]]*Таблица1[[#This Row],[коэф]])))))))))))</f>
        <v>0</v>
      </c>
      <c r="AP175" s="715" t="b">
        <f>IF(AR175&lt;=3,(IF((G175="5/24"),((база!$M$6*2*Таблица1[[#This Row],[Столбец1]]*Таблица1[[#This Row],[коэф]])),
IF((G175="4/24"),((база!$M$5*2*Таблица1[[#This Row],[Столбец1]]*Таблица1[[#This Row],[коэф]])),
IF((G175="3/24"),((база!$M$4*2*Таблица1[[#This Row],[Столбец1]]*Таблица1[[#This Row],[коэф]])),
IF((G175="5/16"),((база!$L$6*2*Таблица1[[#This Row],[Столбец1]]*Таблица1[[#This Row],[коэф]])),
IF((G175="4/16"),((база!$L$5*2*Таблица1[[#This Row],[Столбец1]]*Таблица1[[#This Row],[коэф]])),
IF((G175="3/16"),((база!$L$4*2*Таблица1[[#This Row],[Столбец1]]*Таблица1[[#This Row],[коэф]])),
IF((G175="4/4"),((база!$I$5*2*Таблица1[[#This Row],[Столбец1]]*Таблица1[[#This Row],[коэф]])),
IF(OR(G175="2/4",G175="3/4"),((база!$I$4*2*Таблица1[[#This Row],[Столбец1]]*Таблица1[[#This Row],[коэф]])),
IF((G175="5/8"),((база!$J$6*2*Таблица1[[#This Row],[Столбец1]]*Таблица1[[#This Row],[коэф]])),
IF((G175="4/8"),((база!$J$5*2*Таблица1[[#This Row],[Столбец1]]*Таблица1[[#This Row],[коэф]])),
IF(OR(G175="3/8",G175="2/8"),((база!$J$4*2*Таблица1[[#This Row],[Столбец1]]*Таблица1[[#This Row],[коэф]])))))))))))))),
(IF((G175="5/24"),((база!$M$6*2*Таблица1[[#This Row],[Столбец1]]*Таблица1[[#This Row],[коэф]])),
IF(OR(G175="4/24",G175="3/24"),((база!$M$5*2*Таблица1[[#This Row],[Столбец1]]*Таблица1[[#This Row],[коэф]])),
IF((G175="5/16"),((база!$L$6*2*Таблица1[[#This Row],[Столбец1]]*Таблица1[[#This Row],[коэф]])),
IF(OR(G175="4/16",G175="3/16"),((база!$L$5*2*Таблица1[[#This Row],[Столбец1]]*Таблица1[[#This Row],[коэф]])),
IF(OR(G175="2/4",G175="3/4",G175="4/4"),((база!$I$5*2*Таблица1[[#This Row],[Столбец1]]*Таблица1[[#This Row],[коэф]])),
IF((G175="5/8"),((база!$J$6*2*Таблица1[[#This Row],[Столбец1]]*Таблица1[[#This Row],[коэф]])),
IF(OR(G175="4/8",G175="3/8",G175="2/8"),((база!$J$5*2*Таблица1[[#This Row],[Столбец1]]*Таблица1[[#This Row],[коэф]])))))))))))</f>
        <v>0</v>
      </c>
      <c r="AQ175" s="697" t="str">
        <f>IFERROR(INDEX(база!T:T, MATCH(F175,база!Q:Q,0)),"")</f>
        <v/>
      </c>
      <c r="AR175" s="207">
        <f>IFERROR(INDEX(база!D:D, MATCH(F175,база!B:B,0)),"")</f>
        <v>0</v>
      </c>
      <c r="AS175" s="46"/>
      <c r="AT175" s="46"/>
      <c r="AU175" s="46"/>
    </row>
    <row r="176" spans="1:47" ht="15">
      <c r="A176" s="66" t="str">
        <f t="shared" si="3"/>
        <v>декабрь</v>
      </c>
      <c r="B176" s="230">
        <v>2023</v>
      </c>
      <c r="C176" s="60"/>
      <c r="D176" s="61"/>
      <c r="E176" s="210"/>
      <c r="F176" s="669"/>
      <c r="G176" s="47"/>
      <c r="H176" s="563"/>
      <c r="I176" s="563"/>
      <c r="J176" s="563"/>
      <c r="K176" s="563"/>
      <c r="L176" s="563"/>
      <c r="M176" s="563"/>
      <c r="N176" s="563"/>
      <c r="O176" s="563"/>
      <c r="P176" s="300"/>
      <c r="Q176" s="563"/>
      <c r="R176" s="563"/>
      <c r="S176" s="563"/>
      <c r="T176" s="563"/>
      <c r="U176" s="563"/>
      <c r="V176" s="563"/>
      <c r="W176" s="563"/>
      <c r="X176" s="563"/>
      <c r="Y176" s="563"/>
      <c r="Z176" s="563"/>
      <c r="AA176" s="563"/>
      <c r="AB176" s="563"/>
      <c r="AC176" s="563"/>
      <c r="AD176" s="48"/>
      <c r="AE176" s="48"/>
      <c r="AF176" s="257"/>
      <c r="AG176" s="257"/>
      <c r="AH176" s="257"/>
      <c r="AI176" s="257"/>
      <c r="AJ176" s="257"/>
      <c r="AK176" s="257"/>
      <c r="AL176" s="257"/>
      <c r="AM176" s="211">
        <f>IF(AQ176=1,SUM(H176:I176,L176:O176,R176:U176,X176:AA176,AD176:AG176,AI176:AK176),
IF(AQ176=2,SUM(H176:K176,N176:Q176,T176:W176,Z176:AC176,AF176:AI176),
IF(AQ176=3,SUM(J176:M176,P176:S176,V176:Y176,AB176:AE176,AH176:AK176),SUM(Таблица1[[#This Row],[1]:[31]])-Таблица1[[#This Row],[Столбец1]])))</f>
        <v>0</v>
      </c>
      <c r="AN176" s="290">
        <f t="array" ref="AN176">IF(AQ176=1,SUM(J176:K176,P176:Q176,V176:W176,AB176:AC176,AH176:AI176),
IF(AQ176=2,SUM(L176:M176,R176:S176,X176:Y176,AD176:AE176),
IF(AQ176=3,SUM(H176:I176,N176:O176,T176:U176,Z176:AA176,AF176:AG176),
SUM(IFERROR(WEEKDAY($H$2:$AL$2,2)&gt;5,)*H176:AL176))))</f>
        <v>0</v>
      </c>
      <c r="AO176" s="292" t="b">
        <f>IF(AR176&lt;=3,(IF((G176="5/24"),((база!$M$6*Таблица1[[#This Row],[сумма]]*Таблица1[[#This Row],[коэф]])),
IF((G176="4/24"),((база!$M$5*Таблица1[[#This Row],[сумма]]*Таблица1[[#This Row],[коэф]])),
IF((G176="3/24"),((база!$M$4*Таблица1[[#This Row],[сумма]]*Таблица1[[#This Row],[коэф]])),
IF((G176="5/16"),((база!$L$6*Таблица1[[#This Row],[сумма]]*Таблица1[[#This Row],[коэф]])),
IF((G176="4/16"),((база!$L$5*Таблица1[[#This Row],[сумма]]*Таблица1[[#This Row],[коэф]])),
IF((G176="3/16"),((база!$L$4*Таблица1[[#This Row],[сумма]]*Таблица1[[#This Row],[коэф]])),
IF((G176="4/4"),((база!$I$5*Таблица1[[#This Row],[сумма]]*Таблица1[[#This Row],[коэф]])),
IF(OR(G176="2/4",G176="3/4"),((база!$I$4*Таблица1[[#This Row],[сумма]]*Таблица1[[#This Row],[коэф]])),
IF((G176="5/8"),((база!$J$6*Таблица1[[#This Row],[сумма]]*Таблица1[[#This Row],[коэф]])),
IF((G176="4/8"),((база!$J$5*Таблица1[[#This Row],[сумма]]*Таблица1[[#This Row],[коэф]])),
IF(OR(G176="3/8",G176="2/8"),((база!$J$4*Таблица1[[#This Row],[сумма]]*Таблица1[[#This Row],[коэф]])))))))))))))),
(IF((G176="5/24"),((база!$M$6*Таблица1[[#This Row],[сумма]]*Таблица1[[#This Row],[коэф]])),
IF(OR(G176="4/24",G176="3/24"),((база!$M$5*Таблица1[[#This Row],[сумма]]*Таблица1[[#This Row],[коэф]])),
IF((G176="5/16"),((база!$L$6*Таблица1[[#This Row],[сумма]]*Таблица1[[#This Row],[коэф]])),
IF(OR(G176="4/16",G176="3/16"),((база!$L$5*Таблица1[[#This Row],[сумма]]*Таблица1[[#This Row],[коэф]])),
IF(OR(G176="2/4",G176="3/4",G176="4/4"),((база!$I$5*Таблица1[[#This Row],[сумма]]*Таблица1[[#This Row],[коэф]])),
IF((G176="5/8"),((база!$J$6*Таблица1[[#This Row],[сумма]]*Таблица1[[#This Row],[коэф]])),
IF(OR(G176="4/8",G176="3/8",G176="2/8"),((база!$J$5*Таблица1[[#This Row],[сумма]]*Таблица1[[#This Row],[коэф]])))))))))))</f>
        <v>0</v>
      </c>
      <c r="AP176" s="715" t="b">
        <f>IF(AR176&lt;=3,(IF((G176="5/24"),((база!$M$6*2*Таблица1[[#This Row],[Столбец1]]*Таблица1[[#This Row],[коэф]])),
IF((G176="4/24"),((база!$M$5*2*Таблица1[[#This Row],[Столбец1]]*Таблица1[[#This Row],[коэф]])),
IF((G176="3/24"),((база!$M$4*2*Таблица1[[#This Row],[Столбец1]]*Таблица1[[#This Row],[коэф]])),
IF((G176="5/16"),((база!$L$6*2*Таблица1[[#This Row],[Столбец1]]*Таблица1[[#This Row],[коэф]])),
IF((G176="4/16"),((база!$L$5*2*Таблица1[[#This Row],[Столбец1]]*Таблица1[[#This Row],[коэф]])),
IF((G176="3/16"),((база!$L$4*2*Таблица1[[#This Row],[Столбец1]]*Таблица1[[#This Row],[коэф]])),
IF((G176="4/4"),((база!$I$5*2*Таблица1[[#This Row],[Столбец1]]*Таблица1[[#This Row],[коэф]])),
IF(OR(G176="2/4",G176="3/4"),((база!$I$4*2*Таблица1[[#This Row],[Столбец1]]*Таблица1[[#This Row],[коэф]])),
IF((G176="5/8"),((база!$J$6*2*Таблица1[[#This Row],[Столбец1]]*Таблица1[[#This Row],[коэф]])),
IF((G176="4/8"),((база!$J$5*2*Таблица1[[#This Row],[Столбец1]]*Таблица1[[#This Row],[коэф]])),
IF(OR(G176="3/8",G176="2/8"),((база!$J$4*2*Таблица1[[#This Row],[Столбец1]]*Таблица1[[#This Row],[коэф]])))))))))))))),
(IF((G176="5/24"),((база!$M$6*2*Таблица1[[#This Row],[Столбец1]]*Таблица1[[#This Row],[коэф]])),
IF(OR(G176="4/24",G176="3/24"),((база!$M$5*2*Таблица1[[#This Row],[Столбец1]]*Таблица1[[#This Row],[коэф]])),
IF((G176="5/16"),((база!$L$6*2*Таблица1[[#This Row],[Столбец1]]*Таблица1[[#This Row],[коэф]])),
IF(OR(G176="4/16",G176="3/16"),((база!$L$5*2*Таблица1[[#This Row],[Столбец1]]*Таблица1[[#This Row],[коэф]])),
IF(OR(G176="2/4",G176="3/4",G176="4/4"),((база!$I$5*2*Таблица1[[#This Row],[Столбец1]]*Таблица1[[#This Row],[коэф]])),
IF((G176="5/8"),((база!$J$6*2*Таблица1[[#This Row],[Столбец1]]*Таблица1[[#This Row],[коэф]])),
IF(OR(G176="4/8",G176="3/8",G176="2/8"),((база!$J$5*2*Таблица1[[#This Row],[Столбец1]]*Таблица1[[#This Row],[коэф]])))))))))))</f>
        <v>0</v>
      </c>
      <c r="AQ176" s="697" t="str">
        <f>IFERROR(INDEX(база!T:T, MATCH(F176,база!Q:Q,0)),"")</f>
        <v/>
      </c>
      <c r="AR176" s="207">
        <f>IFERROR(INDEX(база!D:D, MATCH(F176,база!B:B,0)),"")</f>
        <v>0</v>
      </c>
      <c r="AS176" s="46"/>
      <c r="AT176" s="46"/>
      <c r="AU176" s="46"/>
    </row>
    <row r="177" spans="1:47" ht="15">
      <c r="A177" s="66" t="str">
        <f t="shared" si="3"/>
        <v>декабрь</v>
      </c>
      <c r="B177" s="230">
        <v>2023</v>
      </c>
      <c r="C177" s="299"/>
      <c r="D177" s="61"/>
      <c r="E177" s="210"/>
      <c r="F177" s="669"/>
      <c r="G177" s="47"/>
      <c r="H177" s="563"/>
      <c r="I177" s="563"/>
      <c r="J177" s="563"/>
      <c r="K177" s="563"/>
      <c r="L177" s="563"/>
      <c r="M177" s="563"/>
      <c r="N177" s="563"/>
      <c r="O177" s="563"/>
      <c r="P177" s="300"/>
      <c r="Q177" s="563"/>
      <c r="R177" s="563"/>
      <c r="S177" s="563"/>
      <c r="T177" s="563"/>
      <c r="U177" s="563"/>
      <c r="V177" s="563"/>
      <c r="W177" s="563"/>
      <c r="X177" s="563"/>
      <c r="Y177" s="563"/>
      <c r="Z177" s="563"/>
      <c r="AA177" s="563"/>
      <c r="AB177" s="563"/>
      <c r="AC177" s="563"/>
      <c r="AD177" s="48"/>
      <c r="AE177" s="48"/>
      <c r="AF177" s="257"/>
      <c r="AG177" s="257"/>
      <c r="AH177" s="257"/>
      <c r="AI177" s="257"/>
      <c r="AJ177" s="257"/>
      <c r="AK177" s="257"/>
      <c r="AL177" s="257"/>
      <c r="AM177" s="211">
        <f>IF(AQ177=1,SUM(H177:I177,L177:O177,R177:U177,X177:AA177,AD177:AG177,AI177:AK177),
IF(AQ177=2,SUM(H177:K177,N177:Q177,T177:W177,Z177:AC177,AF177:AI177),
IF(AQ177=3,SUM(J177:M177,P177:S177,V177:Y177,AB177:AE177,AH177:AK177),SUM(Таблица1[[#This Row],[1]:[31]])-Таблица1[[#This Row],[Столбец1]])))</f>
        <v>0</v>
      </c>
      <c r="AN177" s="290">
        <f t="array" ref="AN177">IF(AQ177=1,SUM(J177:K177,P177:Q177,V177:W177,AB177:AC177,AH177:AI177),
IF(AQ177=2,SUM(L177:M177,R177:S177,X177:Y177,AD177:AE177),
IF(AQ177=3,SUM(H177:I177,N177:O177,T177:U177,Z177:AA177,AF177:AG177),
SUM(IFERROR(WEEKDAY($H$2:$AL$2,2)&gt;5,)*H177:AL177))))</f>
        <v>0</v>
      </c>
      <c r="AO177" s="292" t="b">
        <f>IF(AR177&lt;=3,(IF((G177="5/24"),((база!$M$6*Таблица1[[#This Row],[сумма]]*Таблица1[[#This Row],[коэф]])),
IF((G177="4/24"),((база!$M$5*Таблица1[[#This Row],[сумма]]*Таблица1[[#This Row],[коэф]])),
IF((G177="3/24"),((база!$M$4*Таблица1[[#This Row],[сумма]]*Таблица1[[#This Row],[коэф]])),
IF((G177="5/16"),((база!$L$6*Таблица1[[#This Row],[сумма]]*Таблица1[[#This Row],[коэф]])),
IF((G177="4/16"),((база!$L$5*Таблица1[[#This Row],[сумма]]*Таблица1[[#This Row],[коэф]])),
IF((G177="3/16"),((база!$L$4*Таблица1[[#This Row],[сумма]]*Таблица1[[#This Row],[коэф]])),
IF((G177="4/4"),((база!$I$5*Таблица1[[#This Row],[сумма]]*Таблица1[[#This Row],[коэф]])),
IF(OR(G177="2/4",G177="3/4"),((база!$I$4*Таблица1[[#This Row],[сумма]]*Таблица1[[#This Row],[коэф]])),
IF((G177="5/8"),((база!$J$6*Таблица1[[#This Row],[сумма]]*Таблица1[[#This Row],[коэф]])),
IF((G177="4/8"),((база!$J$5*Таблица1[[#This Row],[сумма]]*Таблица1[[#This Row],[коэф]])),
IF(OR(G177="3/8",G177="2/8"),((база!$J$4*Таблица1[[#This Row],[сумма]]*Таблица1[[#This Row],[коэф]])))))))))))))),
(IF((G177="5/24"),((база!$M$6*Таблица1[[#This Row],[сумма]]*Таблица1[[#This Row],[коэф]])),
IF(OR(G177="4/24",G177="3/24"),((база!$M$5*Таблица1[[#This Row],[сумма]]*Таблица1[[#This Row],[коэф]])),
IF((G177="5/16"),((база!$L$6*Таблица1[[#This Row],[сумма]]*Таблица1[[#This Row],[коэф]])),
IF(OR(G177="4/16",G177="3/16"),((база!$L$5*Таблица1[[#This Row],[сумма]]*Таблица1[[#This Row],[коэф]])),
IF(OR(G177="2/4",G177="3/4",G177="4/4"),((база!$I$5*Таблица1[[#This Row],[сумма]]*Таблица1[[#This Row],[коэф]])),
IF((G177="5/8"),((база!$J$6*Таблица1[[#This Row],[сумма]]*Таблица1[[#This Row],[коэф]])),
IF(OR(G177="4/8",G177="3/8",G177="2/8"),((база!$J$5*Таблица1[[#This Row],[сумма]]*Таблица1[[#This Row],[коэф]])))))))))))</f>
        <v>0</v>
      </c>
      <c r="AP177" s="715" t="b">
        <f>IF(AR177&lt;=3,(IF((G177="5/24"),((база!$M$6*2*Таблица1[[#This Row],[Столбец1]]*Таблица1[[#This Row],[коэф]])),
IF((G177="4/24"),((база!$M$5*2*Таблица1[[#This Row],[Столбец1]]*Таблица1[[#This Row],[коэф]])),
IF((G177="3/24"),((база!$M$4*2*Таблица1[[#This Row],[Столбец1]]*Таблица1[[#This Row],[коэф]])),
IF((G177="5/16"),((база!$L$6*2*Таблица1[[#This Row],[Столбец1]]*Таблица1[[#This Row],[коэф]])),
IF((G177="4/16"),((база!$L$5*2*Таблица1[[#This Row],[Столбец1]]*Таблица1[[#This Row],[коэф]])),
IF((G177="3/16"),((база!$L$4*2*Таблица1[[#This Row],[Столбец1]]*Таблица1[[#This Row],[коэф]])),
IF((G177="4/4"),((база!$I$5*2*Таблица1[[#This Row],[Столбец1]]*Таблица1[[#This Row],[коэф]])),
IF(OR(G177="2/4",G177="3/4"),((база!$I$4*2*Таблица1[[#This Row],[Столбец1]]*Таблица1[[#This Row],[коэф]])),
IF((G177="5/8"),((база!$J$6*2*Таблица1[[#This Row],[Столбец1]]*Таблица1[[#This Row],[коэф]])),
IF((G177="4/8"),((база!$J$5*2*Таблица1[[#This Row],[Столбец1]]*Таблица1[[#This Row],[коэф]])),
IF(OR(G177="3/8",G177="2/8"),((база!$J$4*2*Таблица1[[#This Row],[Столбец1]]*Таблица1[[#This Row],[коэф]])))))))))))))),
(IF((G177="5/24"),((база!$M$6*2*Таблица1[[#This Row],[Столбец1]]*Таблица1[[#This Row],[коэф]])),
IF(OR(G177="4/24",G177="3/24"),((база!$M$5*2*Таблица1[[#This Row],[Столбец1]]*Таблица1[[#This Row],[коэф]])),
IF((G177="5/16"),((база!$L$6*2*Таблица1[[#This Row],[Столбец1]]*Таблица1[[#This Row],[коэф]])),
IF(OR(G177="4/16",G177="3/16"),((база!$L$5*2*Таблица1[[#This Row],[Столбец1]]*Таблица1[[#This Row],[коэф]])),
IF(OR(G177="2/4",G177="3/4",G177="4/4"),((база!$I$5*2*Таблица1[[#This Row],[Столбец1]]*Таблица1[[#This Row],[коэф]])),
IF((G177="5/8"),((база!$J$6*2*Таблица1[[#This Row],[Столбец1]]*Таблица1[[#This Row],[коэф]])),
IF(OR(G177="4/8",G177="3/8",G177="2/8"),((база!$J$5*2*Таблица1[[#This Row],[Столбец1]]*Таблица1[[#This Row],[коэф]])))))))))))</f>
        <v>0</v>
      </c>
      <c r="AQ177" s="697" t="str">
        <f>IFERROR(INDEX(база!T:T, MATCH(F177,база!Q:Q,0)),"")</f>
        <v/>
      </c>
      <c r="AR177" s="207">
        <f>IFERROR(INDEX(база!D:D, MATCH(F177,база!B:B,0)),"")</f>
        <v>0</v>
      </c>
      <c r="AS177" s="46"/>
      <c r="AT177" s="46"/>
      <c r="AU177" s="46"/>
    </row>
    <row r="178" spans="1:47" ht="15">
      <c r="A178" s="66" t="str">
        <f t="shared" si="3"/>
        <v>декабрь</v>
      </c>
      <c r="B178" s="230">
        <v>2023</v>
      </c>
      <c r="C178" s="60"/>
      <c r="D178" s="61"/>
      <c r="E178" s="210"/>
      <c r="F178" s="669"/>
      <c r="G178" s="47"/>
      <c r="H178" s="563"/>
      <c r="I178" s="563"/>
      <c r="J178" s="563"/>
      <c r="K178" s="563"/>
      <c r="L178" s="563"/>
      <c r="M178" s="563"/>
      <c r="N178" s="563"/>
      <c r="O178" s="563"/>
      <c r="P178" s="300"/>
      <c r="Q178" s="563"/>
      <c r="R178" s="563"/>
      <c r="S178" s="563"/>
      <c r="T178" s="563"/>
      <c r="U178" s="563"/>
      <c r="V178" s="563"/>
      <c r="W178" s="563"/>
      <c r="X178" s="563"/>
      <c r="Y178" s="563"/>
      <c r="Z178" s="563"/>
      <c r="AA178" s="563"/>
      <c r="AB178" s="563"/>
      <c r="AC178" s="563"/>
      <c r="AD178" s="48"/>
      <c r="AE178" s="48"/>
      <c r="AF178" s="257"/>
      <c r="AG178" s="257"/>
      <c r="AH178" s="257"/>
      <c r="AI178" s="257"/>
      <c r="AJ178" s="257"/>
      <c r="AK178" s="257"/>
      <c r="AL178" s="257"/>
      <c r="AM178" s="211">
        <f>IF(AQ178=1,SUM(H178:I178,L178:O178,R178:U178,X178:AA178,AD178:AG178,AI178:AK178),
IF(AQ178=2,SUM(H178:K178,N178:Q178,T178:W178,Z178:AC178,AF178:AI178),
IF(AQ178=3,SUM(J178:M178,P178:S178,V178:Y178,AB178:AE178,AH178:AK178),SUM(Таблица1[[#This Row],[1]:[31]])-Таблица1[[#This Row],[Столбец1]])))</f>
        <v>0</v>
      </c>
      <c r="AN178" s="290">
        <f t="array" ref="AN178">IF(AQ178=1,SUM(J178:K178,P178:Q178,V178:W178,AB178:AC178,AH178:AI178),
IF(AQ178=2,SUM(L178:M178,R178:S178,X178:Y178,AD178:AE178),
IF(AQ178=3,SUM(H178:I178,N178:O178,T178:U178,Z178:AA178,AF178:AG178),
SUM(IFERROR(WEEKDAY($H$2:$AL$2,2)&gt;5,)*H178:AL178))))</f>
        <v>0</v>
      </c>
      <c r="AO178" s="292" t="b">
        <f>IF(AR178&lt;=3,(IF((G178="5/24"),((база!$M$6*Таблица1[[#This Row],[сумма]]*Таблица1[[#This Row],[коэф]])),
IF((G178="4/24"),((база!$M$5*Таблица1[[#This Row],[сумма]]*Таблица1[[#This Row],[коэф]])),
IF((G178="3/24"),((база!$M$4*Таблица1[[#This Row],[сумма]]*Таблица1[[#This Row],[коэф]])),
IF((G178="5/16"),((база!$L$6*Таблица1[[#This Row],[сумма]]*Таблица1[[#This Row],[коэф]])),
IF((G178="4/16"),((база!$L$5*Таблица1[[#This Row],[сумма]]*Таблица1[[#This Row],[коэф]])),
IF((G178="3/16"),((база!$L$4*Таблица1[[#This Row],[сумма]]*Таблица1[[#This Row],[коэф]])),
IF((G178="4/4"),((база!$I$5*Таблица1[[#This Row],[сумма]]*Таблица1[[#This Row],[коэф]])),
IF(OR(G178="2/4",G178="3/4"),((база!$I$4*Таблица1[[#This Row],[сумма]]*Таблица1[[#This Row],[коэф]])),
IF((G178="5/8"),((база!$J$6*Таблица1[[#This Row],[сумма]]*Таблица1[[#This Row],[коэф]])),
IF((G178="4/8"),((база!$J$5*Таблица1[[#This Row],[сумма]]*Таблица1[[#This Row],[коэф]])),
IF(OR(G178="3/8",G178="2/8"),((база!$J$4*Таблица1[[#This Row],[сумма]]*Таблица1[[#This Row],[коэф]])))))))))))))),
(IF((G178="5/24"),((база!$M$6*Таблица1[[#This Row],[сумма]]*Таблица1[[#This Row],[коэф]])),
IF(OR(G178="4/24",G178="3/24"),((база!$M$5*Таблица1[[#This Row],[сумма]]*Таблица1[[#This Row],[коэф]])),
IF((G178="5/16"),((база!$L$6*Таблица1[[#This Row],[сумма]]*Таблица1[[#This Row],[коэф]])),
IF(OR(G178="4/16",G178="3/16"),((база!$L$5*Таблица1[[#This Row],[сумма]]*Таблица1[[#This Row],[коэф]])),
IF(OR(G178="2/4",G178="3/4",G178="4/4"),((база!$I$5*Таблица1[[#This Row],[сумма]]*Таблица1[[#This Row],[коэф]])),
IF((G178="5/8"),((база!$J$6*Таблица1[[#This Row],[сумма]]*Таблица1[[#This Row],[коэф]])),
IF(OR(G178="4/8",G178="3/8",G178="2/8"),((база!$J$5*Таблица1[[#This Row],[сумма]]*Таблица1[[#This Row],[коэф]])))))))))))</f>
        <v>0</v>
      </c>
      <c r="AP178" s="715" t="b">
        <f>IF(AR178&lt;=3,(IF((G178="5/24"),((база!$M$6*2*Таблица1[[#This Row],[Столбец1]]*Таблица1[[#This Row],[коэф]])),
IF((G178="4/24"),((база!$M$5*2*Таблица1[[#This Row],[Столбец1]]*Таблица1[[#This Row],[коэф]])),
IF((G178="3/24"),((база!$M$4*2*Таблица1[[#This Row],[Столбец1]]*Таблица1[[#This Row],[коэф]])),
IF((G178="5/16"),((база!$L$6*2*Таблица1[[#This Row],[Столбец1]]*Таблица1[[#This Row],[коэф]])),
IF((G178="4/16"),((база!$L$5*2*Таблица1[[#This Row],[Столбец1]]*Таблица1[[#This Row],[коэф]])),
IF((G178="3/16"),((база!$L$4*2*Таблица1[[#This Row],[Столбец1]]*Таблица1[[#This Row],[коэф]])),
IF((G178="4/4"),((база!$I$5*2*Таблица1[[#This Row],[Столбец1]]*Таблица1[[#This Row],[коэф]])),
IF(OR(G178="2/4",G178="3/4"),((база!$I$4*2*Таблица1[[#This Row],[Столбец1]]*Таблица1[[#This Row],[коэф]])),
IF((G178="5/8"),((база!$J$6*2*Таблица1[[#This Row],[Столбец1]]*Таблица1[[#This Row],[коэф]])),
IF((G178="4/8"),((база!$J$5*2*Таблица1[[#This Row],[Столбец1]]*Таблица1[[#This Row],[коэф]])),
IF(OR(G178="3/8",G178="2/8"),((база!$J$4*2*Таблица1[[#This Row],[Столбец1]]*Таблица1[[#This Row],[коэф]])))))))))))))),
(IF((G178="5/24"),((база!$M$6*2*Таблица1[[#This Row],[Столбец1]]*Таблица1[[#This Row],[коэф]])),
IF(OR(G178="4/24",G178="3/24"),((база!$M$5*2*Таблица1[[#This Row],[Столбец1]]*Таблица1[[#This Row],[коэф]])),
IF((G178="5/16"),((база!$L$6*2*Таблица1[[#This Row],[Столбец1]]*Таблица1[[#This Row],[коэф]])),
IF(OR(G178="4/16",G178="3/16"),((база!$L$5*2*Таблица1[[#This Row],[Столбец1]]*Таблица1[[#This Row],[коэф]])),
IF(OR(G178="2/4",G178="3/4",G178="4/4"),((база!$I$5*2*Таблица1[[#This Row],[Столбец1]]*Таблица1[[#This Row],[коэф]])),
IF((G178="5/8"),((база!$J$6*2*Таблица1[[#This Row],[Столбец1]]*Таблица1[[#This Row],[коэф]])),
IF(OR(G178="4/8",G178="3/8",G178="2/8"),((база!$J$5*2*Таблица1[[#This Row],[Столбец1]]*Таблица1[[#This Row],[коэф]])))))))))))</f>
        <v>0</v>
      </c>
      <c r="AQ178" s="697" t="str">
        <f>IFERROR(INDEX(база!T:T, MATCH(F178,база!Q:Q,0)),"")</f>
        <v/>
      </c>
      <c r="AR178" s="207">
        <f>IFERROR(INDEX(база!D:D, MATCH(F178,база!B:B,0)),"")</f>
        <v>0</v>
      </c>
      <c r="AS178" s="46"/>
      <c r="AT178" s="46"/>
      <c r="AU178" s="46"/>
    </row>
    <row r="179" spans="1:47" ht="15">
      <c r="A179" s="66" t="str">
        <f t="shared" si="3"/>
        <v>декабрь</v>
      </c>
      <c r="B179" s="230">
        <v>2023</v>
      </c>
      <c r="C179" s="299"/>
      <c r="D179" s="61"/>
      <c r="E179" s="210"/>
      <c r="F179" s="669"/>
      <c r="G179" s="47"/>
      <c r="H179" s="563"/>
      <c r="I179" s="563"/>
      <c r="J179" s="563"/>
      <c r="K179" s="563"/>
      <c r="L179" s="563"/>
      <c r="M179" s="563"/>
      <c r="N179" s="563"/>
      <c r="O179" s="563"/>
      <c r="P179" s="300"/>
      <c r="Q179" s="563"/>
      <c r="R179" s="563"/>
      <c r="S179" s="563"/>
      <c r="T179" s="563"/>
      <c r="U179" s="563"/>
      <c r="V179" s="563"/>
      <c r="W179" s="563"/>
      <c r="X179" s="563"/>
      <c r="Y179" s="563"/>
      <c r="Z179" s="563"/>
      <c r="AA179" s="563"/>
      <c r="AB179" s="563"/>
      <c r="AC179" s="563"/>
      <c r="AD179" s="48"/>
      <c r="AE179" s="48"/>
      <c r="AF179" s="257"/>
      <c r="AG179" s="257"/>
      <c r="AH179" s="257"/>
      <c r="AI179" s="257"/>
      <c r="AJ179" s="257"/>
      <c r="AK179" s="257"/>
      <c r="AL179" s="257"/>
      <c r="AM179" s="211">
        <f>IF(AQ179=1,SUM(H179:I179,L179:O179,R179:U179,X179:AA179,AD179:AG179,AI179:AK179),
IF(AQ179=2,SUM(H179:K179,N179:Q179,T179:W179,Z179:AC179,AF179:AI179),
IF(AQ179=3,SUM(J179:M179,P179:S179,V179:Y179,AB179:AE179,AH179:AK179),SUM(Таблица1[[#This Row],[1]:[31]])-Таблица1[[#This Row],[Столбец1]])))</f>
        <v>0</v>
      </c>
      <c r="AN179" s="290">
        <f t="array" ref="AN179">IF(AQ179=1,SUM(J179:K179,P179:Q179,V179:W179,AB179:AC179,AH179:AI179),
IF(AQ179=2,SUM(L179:M179,R179:S179,X179:Y179,AD179:AE179),
IF(AQ179=3,SUM(H179:I179,N179:O179,T179:U179,Z179:AA179,AF179:AG179),
SUM(IFERROR(WEEKDAY($H$2:$AL$2,2)&gt;5,)*H179:AL179))))</f>
        <v>0</v>
      </c>
      <c r="AO179" s="292" t="b">
        <f>IF(AR179&lt;=3,(IF((G179="5/24"),((база!$M$6*Таблица1[[#This Row],[сумма]]*Таблица1[[#This Row],[коэф]])),
IF((G179="4/24"),((база!$M$5*Таблица1[[#This Row],[сумма]]*Таблица1[[#This Row],[коэф]])),
IF((G179="3/24"),((база!$M$4*Таблица1[[#This Row],[сумма]]*Таблица1[[#This Row],[коэф]])),
IF((G179="5/16"),((база!$L$6*Таблица1[[#This Row],[сумма]]*Таблица1[[#This Row],[коэф]])),
IF((G179="4/16"),((база!$L$5*Таблица1[[#This Row],[сумма]]*Таблица1[[#This Row],[коэф]])),
IF((G179="3/16"),((база!$L$4*Таблица1[[#This Row],[сумма]]*Таблица1[[#This Row],[коэф]])),
IF((G179="4/4"),((база!$I$5*Таблица1[[#This Row],[сумма]]*Таблица1[[#This Row],[коэф]])),
IF(OR(G179="2/4",G179="3/4"),((база!$I$4*Таблица1[[#This Row],[сумма]]*Таблица1[[#This Row],[коэф]])),
IF((G179="5/8"),((база!$J$6*Таблица1[[#This Row],[сумма]]*Таблица1[[#This Row],[коэф]])),
IF((G179="4/8"),((база!$J$5*Таблица1[[#This Row],[сумма]]*Таблица1[[#This Row],[коэф]])),
IF(OR(G179="3/8",G179="2/8"),((база!$J$4*Таблица1[[#This Row],[сумма]]*Таблица1[[#This Row],[коэф]])))))))))))))),
(IF((G179="5/24"),((база!$M$6*Таблица1[[#This Row],[сумма]]*Таблица1[[#This Row],[коэф]])),
IF(OR(G179="4/24",G179="3/24"),((база!$M$5*Таблица1[[#This Row],[сумма]]*Таблица1[[#This Row],[коэф]])),
IF((G179="5/16"),((база!$L$6*Таблица1[[#This Row],[сумма]]*Таблица1[[#This Row],[коэф]])),
IF(OR(G179="4/16",G179="3/16"),((база!$L$5*Таблица1[[#This Row],[сумма]]*Таблица1[[#This Row],[коэф]])),
IF(OR(G179="2/4",G179="3/4",G179="4/4"),((база!$I$5*Таблица1[[#This Row],[сумма]]*Таблица1[[#This Row],[коэф]])),
IF((G179="5/8"),((база!$J$6*Таблица1[[#This Row],[сумма]]*Таблица1[[#This Row],[коэф]])),
IF(OR(G179="4/8",G179="3/8",G179="2/8"),((база!$J$5*Таблица1[[#This Row],[сумма]]*Таблица1[[#This Row],[коэф]])))))))))))</f>
        <v>0</v>
      </c>
      <c r="AP179" s="715" t="b">
        <f>IF(AR179&lt;=3,(IF((G179="5/24"),((база!$M$6*2*Таблица1[[#This Row],[Столбец1]]*Таблица1[[#This Row],[коэф]])),
IF((G179="4/24"),((база!$M$5*2*Таблица1[[#This Row],[Столбец1]]*Таблица1[[#This Row],[коэф]])),
IF((G179="3/24"),((база!$M$4*2*Таблица1[[#This Row],[Столбец1]]*Таблица1[[#This Row],[коэф]])),
IF((G179="5/16"),((база!$L$6*2*Таблица1[[#This Row],[Столбец1]]*Таблица1[[#This Row],[коэф]])),
IF((G179="4/16"),((база!$L$5*2*Таблица1[[#This Row],[Столбец1]]*Таблица1[[#This Row],[коэф]])),
IF((G179="3/16"),((база!$L$4*2*Таблица1[[#This Row],[Столбец1]]*Таблица1[[#This Row],[коэф]])),
IF((G179="4/4"),((база!$I$5*2*Таблица1[[#This Row],[Столбец1]]*Таблица1[[#This Row],[коэф]])),
IF(OR(G179="2/4",G179="3/4"),((база!$I$4*2*Таблица1[[#This Row],[Столбец1]]*Таблица1[[#This Row],[коэф]])),
IF((G179="5/8"),((база!$J$6*2*Таблица1[[#This Row],[Столбец1]]*Таблица1[[#This Row],[коэф]])),
IF((G179="4/8"),((база!$J$5*2*Таблица1[[#This Row],[Столбец1]]*Таблица1[[#This Row],[коэф]])),
IF(OR(G179="3/8",G179="2/8"),((база!$J$4*2*Таблица1[[#This Row],[Столбец1]]*Таблица1[[#This Row],[коэф]])))))))))))))),
(IF((G179="5/24"),((база!$M$6*2*Таблица1[[#This Row],[Столбец1]]*Таблица1[[#This Row],[коэф]])),
IF(OR(G179="4/24",G179="3/24"),((база!$M$5*2*Таблица1[[#This Row],[Столбец1]]*Таблица1[[#This Row],[коэф]])),
IF((G179="5/16"),((база!$L$6*2*Таблица1[[#This Row],[Столбец1]]*Таблица1[[#This Row],[коэф]])),
IF(OR(G179="4/16",G179="3/16"),((база!$L$5*2*Таблица1[[#This Row],[Столбец1]]*Таблица1[[#This Row],[коэф]])),
IF(OR(G179="2/4",G179="3/4",G179="4/4"),((база!$I$5*2*Таблица1[[#This Row],[Столбец1]]*Таблица1[[#This Row],[коэф]])),
IF((G179="5/8"),((база!$J$6*2*Таблица1[[#This Row],[Столбец1]]*Таблица1[[#This Row],[коэф]])),
IF(OR(G179="4/8",G179="3/8",G179="2/8"),((база!$J$5*2*Таблица1[[#This Row],[Столбец1]]*Таблица1[[#This Row],[коэф]])))))))))))</f>
        <v>0</v>
      </c>
      <c r="AQ179" s="697" t="str">
        <f>IFERROR(INDEX(база!T:T, MATCH(F179,база!Q:Q,0)),"")</f>
        <v/>
      </c>
      <c r="AR179" s="207">
        <f>IFERROR(INDEX(база!D:D, MATCH(F179,база!B:B,0)),"")</f>
        <v>0</v>
      </c>
      <c r="AS179" s="46"/>
      <c r="AT179" s="46"/>
      <c r="AU179" s="46"/>
    </row>
    <row r="180" spans="1:47" ht="15">
      <c r="A180" s="66" t="str">
        <f t="shared" si="3"/>
        <v>декабрь</v>
      </c>
      <c r="B180" s="230">
        <v>2023</v>
      </c>
      <c r="C180" s="60"/>
      <c r="D180" s="61"/>
      <c r="E180" s="210"/>
      <c r="F180" s="669"/>
      <c r="G180" s="47"/>
      <c r="H180" s="563"/>
      <c r="I180" s="563"/>
      <c r="J180" s="563"/>
      <c r="K180" s="563"/>
      <c r="L180" s="563"/>
      <c r="M180" s="563"/>
      <c r="N180" s="563"/>
      <c r="O180" s="563"/>
      <c r="P180" s="300"/>
      <c r="Q180" s="563"/>
      <c r="R180" s="563"/>
      <c r="S180" s="563"/>
      <c r="T180" s="563"/>
      <c r="U180" s="563"/>
      <c r="V180" s="563"/>
      <c r="W180" s="563"/>
      <c r="X180" s="563"/>
      <c r="Y180" s="563"/>
      <c r="Z180" s="563"/>
      <c r="AA180" s="563"/>
      <c r="AB180" s="563"/>
      <c r="AC180" s="563"/>
      <c r="AD180" s="48"/>
      <c r="AE180" s="48"/>
      <c r="AF180" s="257"/>
      <c r="AG180" s="257"/>
      <c r="AH180" s="257"/>
      <c r="AI180" s="257"/>
      <c r="AJ180" s="257"/>
      <c r="AK180" s="257"/>
      <c r="AL180" s="257"/>
      <c r="AM180" s="211">
        <f>IF(AQ180=1,SUM(H180:I180,L180:O180,R180:U180,X180:AA180,AD180:AG180,AI180:AK180),
IF(AQ180=2,SUM(H180:K180,N180:Q180,T180:W180,Z180:AC180,AF180:AI180),
IF(AQ180=3,SUM(J180:M180,P180:S180,V180:Y180,AB180:AE180,AH180:AK180),SUM(Таблица1[[#This Row],[1]:[31]])-Таблица1[[#This Row],[Столбец1]])))</f>
        <v>0</v>
      </c>
      <c r="AN180" s="290">
        <f t="array" ref="AN180">IF(AQ180=1,SUM(J180:K180,P180:Q180,V180:W180,AB180:AC180,AH180:AI180),
IF(AQ180=2,SUM(L180:M180,R180:S180,X180:Y180,AD180:AE180),
IF(AQ180=3,SUM(H180:I180,N180:O180,T180:U180,Z180:AA180,AF180:AG180),
SUM(IFERROR(WEEKDAY($H$2:$AL$2,2)&gt;5,)*H180:AL180))))</f>
        <v>0</v>
      </c>
      <c r="AO180" s="292" t="b">
        <f>IF(AR180&lt;=3,(IF((G180="5/24"),((база!$M$6*Таблица1[[#This Row],[сумма]]*Таблица1[[#This Row],[коэф]])),
IF((G180="4/24"),((база!$M$5*Таблица1[[#This Row],[сумма]]*Таблица1[[#This Row],[коэф]])),
IF((G180="3/24"),((база!$M$4*Таблица1[[#This Row],[сумма]]*Таблица1[[#This Row],[коэф]])),
IF((G180="5/16"),((база!$L$6*Таблица1[[#This Row],[сумма]]*Таблица1[[#This Row],[коэф]])),
IF((G180="4/16"),((база!$L$5*Таблица1[[#This Row],[сумма]]*Таблица1[[#This Row],[коэф]])),
IF((G180="3/16"),((база!$L$4*Таблица1[[#This Row],[сумма]]*Таблица1[[#This Row],[коэф]])),
IF((G180="4/4"),((база!$I$5*Таблица1[[#This Row],[сумма]]*Таблица1[[#This Row],[коэф]])),
IF(OR(G180="2/4",G180="3/4"),((база!$I$4*Таблица1[[#This Row],[сумма]]*Таблица1[[#This Row],[коэф]])),
IF((G180="5/8"),((база!$J$6*Таблица1[[#This Row],[сумма]]*Таблица1[[#This Row],[коэф]])),
IF((G180="4/8"),((база!$J$5*Таблица1[[#This Row],[сумма]]*Таблица1[[#This Row],[коэф]])),
IF(OR(G180="3/8",G180="2/8"),((база!$J$4*Таблица1[[#This Row],[сумма]]*Таблица1[[#This Row],[коэф]])))))))))))))),
(IF((G180="5/24"),((база!$M$6*Таблица1[[#This Row],[сумма]]*Таблица1[[#This Row],[коэф]])),
IF(OR(G180="4/24",G180="3/24"),((база!$M$5*Таблица1[[#This Row],[сумма]]*Таблица1[[#This Row],[коэф]])),
IF((G180="5/16"),((база!$L$6*Таблица1[[#This Row],[сумма]]*Таблица1[[#This Row],[коэф]])),
IF(OR(G180="4/16",G180="3/16"),((база!$L$5*Таблица1[[#This Row],[сумма]]*Таблица1[[#This Row],[коэф]])),
IF(OR(G180="2/4",G180="3/4",G180="4/4"),((база!$I$5*Таблица1[[#This Row],[сумма]]*Таблица1[[#This Row],[коэф]])),
IF((G180="5/8"),((база!$J$6*Таблица1[[#This Row],[сумма]]*Таблица1[[#This Row],[коэф]])),
IF(OR(G180="4/8",G180="3/8",G180="2/8"),((база!$J$5*Таблица1[[#This Row],[сумма]]*Таблица1[[#This Row],[коэф]])))))))))))</f>
        <v>0</v>
      </c>
      <c r="AP180" s="715" t="b">
        <f>IF(AR180&lt;=3,(IF((G180="5/24"),((база!$M$6*2*Таблица1[[#This Row],[Столбец1]]*Таблица1[[#This Row],[коэф]])),
IF((G180="4/24"),((база!$M$5*2*Таблица1[[#This Row],[Столбец1]]*Таблица1[[#This Row],[коэф]])),
IF((G180="3/24"),((база!$M$4*2*Таблица1[[#This Row],[Столбец1]]*Таблица1[[#This Row],[коэф]])),
IF((G180="5/16"),((база!$L$6*2*Таблица1[[#This Row],[Столбец1]]*Таблица1[[#This Row],[коэф]])),
IF((G180="4/16"),((база!$L$5*2*Таблица1[[#This Row],[Столбец1]]*Таблица1[[#This Row],[коэф]])),
IF((G180="3/16"),((база!$L$4*2*Таблица1[[#This Row],[Столбец1]]*Таблица1[[#This Row],[коэф]])),
IF((G180="4/4"),((база!$I$5*2*Таблица1[[#This Row],[Столбец1]]*Таблица1[[#This Row],[коэф]])),
IF(OR(G180="2/4",G180="3/4"),((база!$I$4*2*Таблица1[[#This Row],[Столбец1]]*Таблица1[[#This Row],[коэф]])),
IF((G180="5/8"),((база!$J$6*2*Таблица1[[#This Row],[Столбец1]]*Таблица1[[#This Row],[коэф]])),
IF((G180="4/8"),((база!$J$5*2*Таблица1[[#This Row],[Столбец1]]*Таблица1[[#This Row],[коэф]])),
IF(OR(G180="3/8",G180="2/8"),((база!$J$4*2*Таблица1[[#This Row],[Столбец1]]*Таблица1[[#This Row],[коэф]])))))))))))))),
(IF((G180="5/24"),((база!$M$6*2*Таблица1[[#This Row],[Столбец1]]*Таблица1[[#This Row],[коэф]])),
IF(OR(G180="4/24",G180="3/24"),((база!$M$5*2*Таблица1[[#This Row],[Столбец1]]*Таблица1[[#This Row],[коэф]])),
IF((G180="5/16"),((база!$L$6*2*Таблица1[[#This Row],[Столбец1]]*Таблица1[[#This Row],[коэф]])),
IF(OR(G180="4/16",G180="3/16"),((база!$L$5*2*Таблица1[[#This Row],[Столбец1]]*Таблица1[[#This Row],[коэф]])),
IF(OR(G180="2/4",G180="3/4",G180="4/4"),((база!$I$5*2*Таблица1[[#This Row],[Столбец1]]*Таблица1[[#This Row],[коэф]])),
IF((G180="5/8"),((база!$J$6*2*Таблица1[[#This Row],[Столбец1]]*Таблица1[[#This Row],[коэф]])),
IF(OR(G180="4/8",G180="3/8",G180="2/8"),((база!$J$5*2*Таблица1[[#This Row],[Столбец1]]*Таблица1[[#This Row],[коэф]])))))))))))</f>
        <v>0</v>
      </c>
      <c r="AQ180" s="697" t="str">
        <f>IFERROR(INDEX(база!T:T, MATCH(F180,база!Q:Q,0)),"")</f>
        <v/>
      </c>
      <c r="AR180" s="207">
        <f>IFERROR(INDEX(база!D:D, MATCH(F180,база!B:B,0)),"")</f>
        <v>0</v>
      </c>
      <c r="AS180" s="46"/>
      <c r="AT180" s="46"/>
      <c r="AU180" s="46"/>
    </row>
    <row r="181" spans="1:47" ht="15">
      <c r="A181" s="66" t="str">
        <f t="shared" si="3"/>
        <v>декабрь</v>
      </c>
      <c r="B181" s="230">
        <v>2023</v>
      </c>
      <c r="C181" s="299"/>
      <c r="D181" s="61"/>
      <c r="E181" s="210"/>
      <c r="F181" s="669"/>
      <c r="G181" s="47"/>
      <c r="H181" s="563"/>
      <c r="I181" s="563"/>
      <c r="J181" s="563"/>
      <c r="K181" s="563"/>
      <c r="L181" s="563"/>
      <c r="M181" s="563"/>
      <c r="N181" s="563"/>
      <c r="O181" s="563"/>
      <c r="P181" s="300"/>
      <c r="Q181" s="563"/>
      <c r="R181" s="563"/>
      <c r="S181" s="563"/>
      <c r="T181" s="563"/>
      <c r="U181" s="563"/>
      <c r="V181" s="563"/>
      <c r="W181" s="563"/>
      <c r="X181" s="563"/>
      <c r="Y181" s="563"/>
      <c r="Z181" s="563"/>
      <c r="AA181" s="563"/>
      <c r="AB181" s="563"/>
      <c r="AC181" s="563"/>
      <c r="AD181" s="48"/>
      <c r="AE181" s="48"/>
      <c r="AF181" s="257"/>
      <c r="AG181" s="257"/>
      <c r="AH181" s="257"/>
      <c r="AI181" s="257"/>
      <c r="AJ181" s="257"/>
      <c r="AK181" s="257"/>
      <c r="AL181" s="257"/>
      <c r="AM181" s="211">
        <f>IF(AQ181=1,SUM(H181:I181,L181:O181,R181:U181,X181:AA181,AD181:AG181,AI181:AK181),
IF(AQ181=2,SUM(H181:K181,N181:Q181,T181:W181,Z181:AC181,AF181:AI181),
IF(AQ181=3,SUM(J181:M181,P181:S181,V181:Y181,AB181:AE181,AH181:AK181),SUM(Таблица1[[#This Row],[1]:[31]])-Таблица1[[#This Row],[Столбец1]])))</f>
        <v>0</v>
      </c>
      <c r="AN181" s="290">
        <f t="array" ref="AN181">IF(AQ181=1,SUM(J181:K181,P181:Q181,V181:W181,AB181:AC181,AH181:AI181),
IF(AQ181=2,SUM(L181:M181,R181:S181,X181:Y181,AD181:AE181),
IF(AQ181=3,SUM(H181:I181,N181:O181,T181:U181,Z181:AA181,AF181:AG181),
SUM(IFERROR(WEEKDAY($H$2:$AL$2,2)&gt;5,)*H181:AL181))))</f>
        <v>0</v>
      </c>
      <c r="AO181" s="292" t="b">
        <f>IF(AR181&lt;=3,(IF((G181="5/24"),((база!$M$6*Таблица1[[#This Row],[сумма]]*Таблица1[[#This Row],[коэф]])),
IF((G181="4/24"),((база!$M$5*Таблица1[[#This Row],[сумма]]*Таблица1[[#This Row],[коэф]])),
IF((G181="3/24"),((база!$M$4*Таблица1[[#This Row],[сумма]]*Таблица1[[#This Row],[коэф]])),
IF((G181="5/16"),((база!$L$6*Таблица1[[#This Row],[сумма]]*Таблица1[[#This Row],[коэф]])),
IF((G181="4/16"),((база!$L$5*Таблица1[[#This Row],[сумма]]*Таблица1[[#This Row],[коэф]])),
IF((G181="3/16"),((база!$L$4*Таблица1[[#This Row],[сумма]]*Таблица1[[#This Row],[коэф]])),
IF((G181="4/4"),((база!$I$5*Таблица1[[#This Row],[сумма]]*Таблица1[[#This Row],[коэф]])),
IF(OR(G181="2/4",G181="3/4"),((база!$I$4*Таблица1[[#This Row],[сумма]]*Таблица1[[#This Row],[коэф]])),
IF((G181="5/8"),((база!$J$6*Таблица1[[#This Row],[сумма]]*Таблица1[[#This Row],[коэф]])),
IF((G181="4/8"),((база!$J$5*Таблица1[[#This Row],[сумма]]*Таблица1[[#This Row],[коэф]])),
IF(OR(G181="3/8",G181="2/8"),((база!$J$4*Таблица1[[#This Row],[сумма]]*Таблица1[[#This Row],[коэф]])))))))))))))),
(IF((G181="5/24"),((база!$M$6*Таблица1[[#This Row],[сумма]]*Таблица1[[#This Row],[коэф]])),
IF(OR(G181="4/24",G181="3/24"),((база!$M$5*Таблица1[[#This Row],[сумма]]*Таблица1[[#This Row],[коэф]])),
IF((G181="5/16"),((база!$L$6*Таблица1[[#This Row],[сумма]]*Таблица1[[#This Row],[коэф]])),
IF(OR(G181="4/16",G181="3/16"),((база!$L$5*Таблица1[[#This Row],[сумма]]*Таблица1[[#This Row],[коэф]])),
IF(OR(G181="2/4",G181="3/4",G181="4/4"),((база!$I$5*Таблица1[[#This Row],[сумма]]*Таблица1[[#This Row],[коэф]])),
IF((G181="5/8"),((база!$J$6*Таблица1[[#This Row],[сумма]]*Таблица1[[#This Row],[коэф]])),
IF(OR(G181="4/8",G181="3/8",G181="2/8"),((база!$J$5*Таблица1[[#This Row],[сумма]]*Таблица1[[#This Row],[коэф]])))))))))))</f>
        <v>0</v>
      </c>
      <c r="AP181" s="715" t="b">
        <f>IF(AR181&lt;=3,(IF((G181="5/24"),((база!$M$6*2*Таблица1[[#This Row],[Столбец1]]*Таблица1[[#This Row],[коэф]])),
IF((G181="4/24"),((база!$M$5*2*Таблица1[[#This Row],[Столбец1]]*Таблица1[[#This Row],[коэф]])),
IF((G181="3/24"),((база!$M$4*2*Таблица1[[#This Row],[Столбец1]]*Таблица1[[#This Row],[коэф]])),
IF((G181="5/16"),((база!$L$6*2*Таблица1[[#This Row],[Столбец1]]*Таблица1[[#This Row],[коэф]])),
IF((G181="4/16"),((база!$L$5*2*Таблица1[[#This Row],[Столбец1]]*Таблица1[[#This Row],[коэф]])),
IF((G181="3/16"),((база!$L$4*2*Таблица1[[#This Row],[Столбец1]]*Таблица1[[#This Row],[коэф]])),
IF((G181="4/4"),((база!$I$5*2*Таблица1[[#This Row],[Столбец1]]*Таблица1[[#This Row],[коэф]])),
IF(OR(G181="2/4",G181="3/4"),((база!$I$4*2*Таблица1[[#This Row],[Столбец1]]*Таблица1[[#This Row],[коэф]])),
IF((G181="5/8"),((база!$J$6*2*Таблица1[[#This Row],[Столбец1]]*Таблица1[[#This Row],[коэф]])),
IF((G181="4/8"),((база!$J$5*2*Таблица1[[#This Row],[Столбец1]]*Таблица1[[#This Row],[коэф]])),
IF(OR(G181="3/8",G181="2/8"),((база!$J$4*2*Таблица1[[#This Row],[Столбец1]]*Таблица1[[#This Row],[коэф]])))))))))))))),
(IF((G181="5/24"),((база!$M$6*2*Таблица1[[#This Row],[Столбец1]]*Таблица1[[#This Row],[коэф]])),
IF(OR(G181="4/24",G181="3/24"),((база!$M$5*2*Таблица1[[#This Row],[Столбец1]]*Таблица1[[#This Row],[коэф]])),
IF((G181="5/16"),((база!$L$6*2*Таблица1[[#This Row],[Столбец1]]*Таблица1[[#This Row],[коэф]])),
IF(OR(G181="4/16",G181="3/16"),((база!$L$5*2*Таблица1[[#This Row],[Столбец1]]*Таблица1[[#This Row],[коэф]])),
IF(OR(G181="2/4",G181="3/4",G181="4/4"),((база!$I$5*2*Таблица1[[#This Row],[Столбец1]]*Таблица1[[#This Row],[коэф]])),
IF((G181="5/8"),((база!$J$6*2*Таблица1[[#This Row],[Столбец1]]*Таблица1[[#This Row],[коэф]])),
IF(OR(G181="4/8",G181="3/8",G181="2/8"),((база!$J$5*2*Таблица1[[#This Row],[Столбец1]]*Таблица1[[#This Row],[коэф]])))))))))))</f>
        <v>0</v>
      </c>
      <c r="AQ181" s="697" t="str">
        <f>IFERROR(INDEX(база!T:T, MATCH(F181,база!Q:Q,0)),"")</f>
        <v/>
      </c>
      <c r="AR181" s="207">
        <f>IFERROR(INDEX(база!D:D, MATCH(F181,база!B:B,0)),"")</f>
        <v>0</v>
      </c>
      <c r="AS181" s="46"/>
      <c r="AT181" s="46"/>
      <c r="AU181" s="46"/>
    </row>
    <row r="182" spans="1:47" ht="15">
      <c r="A182" s="66" t="str">
        <f t="shared" ref="A182:A211" si="5">A181</f>
        <v>декабрь</v>
      </c>
      <c r="B182" s="230">
        <v>2023</v>
      </c>
      <c r="C182" s="60"/>
      <c r="D182" s="61"/>
      <c r="E182" s="210"/>
      <c r="F182" s="669"/>
      <c r="G182" s="47"/>
      <c r="H182" s="563"/>
      <c r="I182" s="563"/>
      <c r="J182" s="563"/>
      <c r="K182" s="563"/>
      <c r="L182" s="563"/>
      <c r="M182" s="563"/>
      <c r="N182" s="563"/>
      <c r="O182" s="563"/>
      <c r="P182" s="300"/>
      <c r="Q182" s="563"/>
      <c r="R182" s="563"/>
      <c r="S182" s="563"/>
      <c r="T182" s="563"/>
      <c r="U182" s="563"/>
      <c r="V182" s="563"/>
      <c r="W182" s="563"/>
      <c r="X182" s="563"/>
      <c r="Y182" s="563"/>
      <c r="Z182" s="563"/>
      <c r="AA182" s="563"/>
      <c r="AB182" s="563"/>
      <c r="AC182" s="563"/>
      <c r="AD182" s="48"/>
      <c r="AE182" s="48"/>
      <c r="AF182" s="257"/>
      <c r="AG182" s="257"/>
      <c r="AH182" s="257"/>
      <c r="AI182" s="257"/>
      <c r="AJ182" s="257"/>
      <c r="AK182" s="257"/>
      <c r="AL182" s="257"/>
      <c r="AM182" s="211">
        <f>IF(AQ182=1,SUM(H182:I182,L182:O182,R182:U182,X182:AA182,AD182:AG182,AI182:AK182),
IF(AQ182=2,SUM(H182:K182,N182:Q182,T182:W182,Z182:AC182,AF182:AI182),
IF(AQ182=3,SUM(J182:M182,P182:S182,V182:Y182,AB182:AE182,AH182:AK182),SUM(Таблица1[[#This Row],[1]:[31]])-Таблица1[[#This Row],[Столбец1]])))</f>
        <v>0</v>
      </c>
      <c r="AN182" s="290">
        <f t="array" ref="AN182">IF(AQ182=1,SUM(J182:K182,P182:Q182,V182:W182,AB182:AC182,AH182:AI182),
IF(AQ182=2,SUM(L182:M182,R182:S182,X182:Y182,AD182:AE182),
IF(AQ182=3,SUM(H182:I182,N182:O182,T182:U182,Z182:AA182,AF182:AG182),
SUM(IFERROR(WEEKDAY($H$2:$AL$2,2)&gt;5,)*H182:AL182))))</f>
        <v>0</v>
      </c>
      <c r="AO182" s="292" t="b">
        <f>IF(AR182&lt;=3,(IF((G182="5/24"),((база!$M$6*Таблица1[[#This Row],[сумма]]*Таблица1[[#This Row],[коэф]])),
IF((G182="4/24"),((база!$M$5*Таблица1[[#This Row],[сумма]]*Таблица1[[#This Row],[коэф]])),
IF((G182="3/24"),((база!$M$4*Таблица1[[#This Row],[сумма]]*Таблица1[[#This Row],[коэф]])),
IF((G182="5/16"),((база!$L$6*Таблица1[[#This Row],[сумма]]*Таблица1[[#This Row],[коэф]])),
IF((G182="4/16"),((база!$L$5*Таблица1[[#This Row],[сумма]]*Таблица1[[#This Row],[коэф]])),
IF((G182="3/16"),((база!$L$4*Таблица1[[#This Row],[сумма]]*Таблица1[[#This Row],[коэф]])),
IF((G182="4/4"),((база!$I$5*Таблица1[[#This Row],[сумма]]*Таблица1[[#This Row],[коэф]])),
IF(OR(G182="2/4",G182="3/4"),((база!$I$4*Таблица1[[#This Row],[сумма]]*Таблица1[[#This Row],[коэф]])),
IF((G182="5/8"),((база!$J$6*Таблица1[[#This Row],[сумма]]*Таблица1[[#This Row],[коэф]])),
IF((G182="4/8"),((база!$J$5*Таблица1[[#This Row],[сумма]]*Таблица1[[#This Row],[коэф]])),
IF(OR(G182="3/8",G182="2/8"),((база!$J$4*Таблица1[[#This Row],[сумма]]*Таблица1[[#This Row],[коэф]])))))))))))))),
(IF((G182="5/24"),((база!$M$6*Таблица1[[#This Row],[сумма]]*Таблица1[[#This Row],[коэф]])),
IF(OR(G182="4/24",G182="3/24"),((база!$M$5*Таблица1[[#This Row],[сумма]]*Таблица1[[#This Row],[коэф]])),
IF((G182="5/16"),((база!$L$6*Таблица1[[#This Row],[сумма]]*Таблица1[[#This Row],[коэф]])),
IF(OR(G182="4/16",G182="3/16"),((база!$L$5*Таблица1[[#This Row],[сумма]]*Таблица1[[#This Row],[коэф]])),
IF(OR(G182="2/4",G182="3/4",G182="4/4"),((база!$I$5*Таблица1[[#This Row],[сумма]]*Таблица1[[#This Row],[коэф]])),
IF((G182="5/8"),((база!$J$6*Таблица1[[#This Row],[сумма]]*Таблица1[[#This Row],[коэф]])),
IF(OR(G182="4/8",G182="3/8",G182="2/8"),((база!$J$5*Таблица1[[#This Row],[сумма]]*Таблица1[[#This Row],[коэф]])))))))))))</f>
        <v>0</v>
      </c>
      <c r="AP182" s="715" t="b">
        <f>IF(AR182&lt;=3,(IF((G182="5/24"),((база!$M$6*2*Таблица1[[#This Row],[Столбец1]]*Таблица1[[#This Row],[коэф]])),
IF((G182="4/24"),((база!$M$5*2*Таблица1[[#This Row],[Столбец1]]*Таблица1[[#This Row],[коэф]])),
IF((G182="3/24"),((база!$M$4*2*Таблица1[[#This Row],[Столбец1]]*Таблица1[[#This Row],[коэф]])),
IF((G182="5/16"),((база!$L$6*2*Таблица1[[#This Row],[Столбец1]]*Таблица1[[#This Row],[коэф]])),
IF((G182="4/16"),((база!$L$5*2*Таблица1[[#This Row],[Столбец1]]*Таблица1[[#This Row],[коэф]])),
IF((G182="3/16"),((база!$L$4*2*Таблица1[[#This Row],[Столбец1]]*Таблица1[[#This Row],[коэф]])),
IF((G182="4/4"),((база!$I$5*2*Таблица1[[#This Row],[Столбец1]]*Таблица1[[#This Row],[коэф]])),
IF(OR(G182="2/4",G182="3/4"),((база!$I$4*2*Таблица1[[#This Row],[Столбец1]]*Таблица1[[#This Row],[коэф]])),
IF((G182="5/8"),((база!$J$6*2*Таблица1[[#This Row],[Столбец1]]*Таблица1[[#This Row],[коэф]])),
IF((G182="4/8"),((база!$J$5*2*Таблица1[[#This Row],[Столбец1]]*Таблица1[[#This Row],[коэф]])),
IF(OR(G182="3/8",G182="2/8"),((база!$J$4*2*Таблица1[[#This Row],[Столбец1]]*Таблица1[[#This Row],[коэф]])))))))))))))),
(IF((G182="5/24"),((база!$M$6*2*Таблица1[[#This Row],[Столбец1]]*Таблица1[[#This Row],[коэф]])),
IF(OR(G182="4/24",G182="3/24"),((база!$M$5*2*Таблица1[[#This Row],[Столбец1]]*Таблица1[[#This Row],[коэф]])),
IF((G182="5/16"),((база!$L$6*2*Таблица1[[#This Row],[Столбец1]]*Таблица1[[#This Row],[коэф]])),
IF(OR(G182="4/16",G182="3/16"),((база!$L$5*2*Таблица1[[#This Row],[Столбец1]]*Таблица1[[#This Row],[коэф]])),
IF(OR(G182="2/4",G182="3/4",G182="4/4"),((база!$I$5*2*Таблица1[[#This Row],[Столбец1]]*Таблица1[[#This Row],[коэф]])),
IF((G182="5/8"),((база!$J$6*2*Таблица1[[#This Row],[Столбец1]]*Таблица1[[#This Row],[коэф]])),
IF(OR(G182="4/8",G182="3/8",G182="2/8"),((база!$J$5*2*Таблица1[[#This Row],[Столбец1]]*Таблица1[[#This Row],[коэф]])))))))))))</f>
        <v>0</v>
      </c>
      <c r="AQ182" s="697" t="str">
        <f>IFERROR(INDEX(база!T:T, MATCH(F182,база!Q:Q,0)),"")</f>
        <v/>
      </c>
      <c r="AR182" s="207">
        <f>IFERROR(INDEX(база!D:D, MATCH(F182,база!B:B,0)),"")</f>
        <v>0</v>
      </c>
      <c r="AS182" s="46"/>
      <c r="AT182" s="46"/>
      <c r="AU182" s="46"/>
    </row>
    <row r="183" spans="1:47" ht="15">
      <c r="A183" s="66" t="str">
        <f t="shared" si="5"/>
        <v>декабрь</v>
      </c>
      <c r="B183" s="230">
        <v>2023</v>
      </c>
      <c r="C183" s="299"/>
      <c r="D183" s="61"/>
      <c r="E183" s="210"/>
      <c r="F183" s="669"/>
      <c r="G183" s="47"/>
      <c r="H183" s="563"/>
      <c r="I183" s="563"/>
      <c r="J183" s="563"/>
      <c r="K183" s="563"/>
      <c r="L183" s="563"/>
      <c r="M183" s="563"/>
      <c r="N183" s="563"/>
      <c r="O183" s="563"/>
      <c r="P183" s="300"/>
      <c r="Q183" s="563"/>
      <c r="R183" s="563"/>
      <c r="S183" s="563"/>
      <c r="T183" s="563"/>
      <c r="U183" s="563"/>
      <c r="V183" s="563"/>
      <c r="W183" s="563"/>
      <c r="X183" s="563"/>
      <c r="Y183" s="563"/>
      <c r="Z183" s="563"/>
      <c r="AA183" s="563"/>
      <c r="AB183" s="563"/>
      <c r="AC183" s="563"/>
      <c r="AD183" s="48"/>
      <c r="AE183" s="48"/>
      <c r="AF183" s="257"/>
      <c r="AG183" s="257"/>
      <c r="AH183" s="257"/>
      <c r="AI183" s="257"/>
      <c r="AJ183" s="257"/>
      <c r="AK183" s="257"/>
      <c r="AL183" s="257"/>
      <c r="AM183" s="211">
        <f>IF(AQ183=1,SUM(H183:I183,L183:O183,R183:U183,X183:AA183,AD183:AG183,AI183:AK183),
IF(AQ183=2,SUM(H183:K183,N183:Q183,T183:W183,Z183:AC183,AF183:AI183),
IF(AQ183=3,SUM(J183:M183,P183:S183,V183:Y183,AB183:AE183,AH183:AK183),SUM(Таблица1[[#This Row],[1]:[31]])-Таблица1[[#This Row],[Столбец1]])))</f>
        <v>0</v>
      </c>
      <c r="AN183" s="290">
        <f t="array" ref="AN183">IF(AQ183=1,SUM(J183:K183,P183:Q183,V183:W183,AB183:AC183,AH183:AI183),
IF(AQ183=2,SUM(L183:M183,R183:S183,X183:Y183,AD183:AE183),
IF(AQ183=3,SUM(H183:I183,N183:O183,T183:U183,Z183:AA183,AF183:AG183),
SUM(IFERROR(WEEKDAY($H$2:$AL$2,2)&gt;5,)*H183:AL183))))</f>
        <v>0</v>
      </c>
      <c r="AO183" s="292" t="b">
        <f>IF(AR183&lt;=3,(IF((G183="5/24"),((база!$M$6*Таблица1[[#This Row],[сумма]]*Таблица1[[#This Row],[коэф]])),
IF((G183="4/24"),((база!$M$5*Таблица1[[#This Row],[сумма]]*Таблица1[[#This Row],[коэф]])),
IF((G183="3/24"),((база!$M$4*Таблица1[[#This Row],[сумма]]*Таблица1[[#This Row],[коэф]])),
IF((G183="5/16"),((база!$L$6*Таблица1[[#This Row],[сумма]]*Таблица1[[#This Row],[коэф]])),
IF((G183="4/16"),((база!$L$5*Таблица1[[#This Row],[сумма]]*Таблица1[[#This Row],[коэф]])),
IF((G183="3/16"),((база!$L$4*Таблица1[[#This Row],[сумма]]*Таблица1[[#This Row],[коэф]])),
IF((G183="4/4"),((база!$I$5*Таблица1[[#This Row],[сумма]]*Таблица1[[#This Row],[коэф]])),
IF(OR(G183="2/4",G183="3/4"),((база!$I$4*Таблица1[[#This Row],[сумма]]*Таблица1[[#This Row],[коэф]])),
IF((G183="5/8"),((база!$J$6*Таблица1[[#This Row],[сумма]]*Таблица1[[#This Row],[коэф]])),
IF((G183="4/8"),((база!$J$5*Таблица1[[#This Row],[сумма]]*Таблица1[[#This Row],[коэф]])),
IF(OR(G183="3/8",G183="2/8"),((база!$J$4*Таблица1[[#This Row],[сумма]]*Таблица1[[#This Row],[коэф]])))))))))))))),
(IF((G183="5/24"),((база!$M$6*Таблица1[[#This Row],[сумма]]*Таблица1[[#This Row],[коэф]])),
IF(OR(G183="4/24",G183="3/24"),((база!$M$5*Таблица1[[#This Row],[сумма]]*Таблица1[[#This Row],[коэф]])),
IF((G183="5/16"),((база!$L$6*Таблица1[[#This Row],[сумма]]*Таблица1[[#This Row],[коэф]])),
IF(OR(G183="4/16",G183="3/16"),((база!$L$5*Таблица1[[#This Row],[сумма]]*Таблица1[[#This Row],[коэф]])),
IF(OR(G183="2/4",G183="3/4",G183="4/4"),((база!$I$5*Таблица1[[#This Row],[сумма]]*Таблица1[[#This Row],[коэф]])),
IF((G183="5/8"),((база!$J$6*Таблица1[[#This Row],[сумма]]*Таблица1[[#This Row],[коэф]])),
IF(OR(G183="4/8",G183="3/8",G183="2/8"),((база!$J$5*Таблица1[[#This Row],[сумма]]*Таблица1[[#This Row],[коэф]])))))))))))</f>
        <v>0</v>
      </c>
      <c r="AP183" s="715" t="b">
        <f>IF(AR183&lt;=3,(IF((G183="5/24"),((база!$M$6*2*Таблица1[[#This Row],[Столбец1]]*Таблица1[[#This Row],[коэф]])),
IF((G183="4/24"),((база!$M$5*2*Таблица1[[#This Row],[Столбец1]]*Таблица1[[#This Row],[коэф]])),
IF((G183="3/24"),((база!$M$4*2*Таблица1[[#This Row],[Столбец1]]*Таблица1[[#This Row],[коэф]])),
IF((G183="5/16"),((база!$L$6*2*Таблица1[[#This Row],[Столбец1]]*Таблица1[[#This Row],[коэф]])),
IF((G183="4/16"),((база!$L$5*2*Таблица1[[#This Row],[Столбец1]]*Таблица1[[#This Row],[коэф]])),
IF((G183="3/16"),((база!$L$4*2*Таблица1[[#This Row],[Столбец1]]*Таблица1[[#This Row],[коэф]])),
IF((G183="4/4"),((база!$I$5*2*Таблица1[[#This Row],[Столбец1]]*Таблица1[[#This Row],[коэф]])),
IF(OR(G183="2/4",G183="3/4"),((база!$I$4*2*Таблица1[[#This Row],[Столбец1]]*Таблица1[[#This Row],[коэф]])),
IF((G183="5/8"),((база!$J$6*2*Таблица1[[#This Row],[Столбец1]]*Таблица1[[#This Row],[коэф]])),
IF((G183="4/8"),((база!$J$5*2*Таблица1[[#This Row],[Столбец1]]*Таблица1[[#This Row],[коэф]])),
IF(OR(G183="3/8",G183="2/8"),((база!$J$4*2*Таблица1[[#This Row],[Столбец1]]*Таблица1[[#This Row],[коэф]])))))))))))))),
(IF((G183="5/24"),((база!$M$6*2*Таблица1[[#This Row],[Столбец1]]*Таблица1[[#This Row],[коэф]])),
IF(OR(G183="4/24",G183="3/24"),((база!$M$5*2*Таблица1[[#This Row],[Столбец1]]*Таблица1[[#This Row],[коэф]])),
IF((G183="5/16"),((база!$L$6*2*Таблица1[[#This Row],[Столбец1]]*Таблица1[[#This Row],[коэф]])),
IF(OR(G183="4/16",G183="3/16"),((база!$L$5*2*Таблица1[[#This Row],[Столбец1]]*Таблица1[[#This Row],[коэф]])),
IF(OR(G183="2/4",G183="3/4",G183="4/4"),((база!$I$5*2*Таблица1[[#This Row],[Столбец1]]*Таблица1[[#This Row],[коэф]])),
IF((G183="5/8"),((база!$J$6*2*Таблица1[[#This Row],[Столбец1]]*Таблица1[[#This Row],[коэф]])),
IF(OR(G183="4/8",G183="3/8",G183="2/8"),((база!$J$5*2*Таблица1[[#This Row],[Столбец1]]*Таблица1[[#This Row],[коэф]])))))))))))</f>
        <v>0</v>
      </c>
      <c r="AQ183" s="697" t="str">
        <f>IFERROR(INDEX(база!T:T, MATCH(F183,база!Q:Q,0)),"")</f>
        <v/>
      </c>
      <c r="AR183" s="207">
        <f>IFERROR(INDEX(база!D:D, MATCH(F183,база!B:B,0)),"")</f>
        <v>0</v>
      </c>
      <c r="AS183" s="46"/>
      <c r="AT183" s="46"/>
      <c r="AU183" s="46"/>
    </row>
    <row r="184" spans="1:47" ht="15">
      <c r="A184" s="66" t="str">
        <f t="shared" si="5"/>
        <v>декабрь</v>
      </c>
      <c r="B184" s="230">
        <v>2023</v>
      </c>
      <c r="C184" s="60"/>
      <c r="D184" s="61"/>
      <c r="E184" s="210"/>
      <c r="F184" s="669"/>
      <c r="G184" s="47"/>
      <c r="H184" s="563"/>
      <c r="I184" s="563"/>
      <c r="J184" s="563"/>
      <c r="K184" s="563"/>
      <c r="L184" s="563"/>
      <c r="M184" s="563"/>
      <c r="N184" s="563"/>
      <c r="O184" s="563"/>
      <c r="P184" s="300"/>
      <c r="Q184" s="563"/>
      <c r="R184" s="563"/>
      <c r="S184" s="563"/>
      <c r="T184" s="563"/>
      <c r="U184" s="563"/>
      <c r="V184" s="563"/>
      <c r="W184" s="563"/>
      <c r="X184" s="563"/>
      <c r="Y184" s="563"/>
      <c r="Z184" s="563"/>
      <c r="AA184" s="563"/>
      <c r="AB184" s="563"/>
      <c r="AC184" s="563"/>
      <c r="AD184" s="48"/>
      <c r="AE184" s="48"/>
      <c r="AF184" s="257"/>
      <c r="AG184" s="257"/>
      <c r="AH184" s="257"/>
      <c r="AI184" s="257"/>
      <c r="AJ184" s="257"/>
      <c r="AK184" s="257"/>
      <c r="AL184" s="257"/>
      <c r="AM184" s="211">
        <f>IF(AQ184=1,SUM(H184:I184,L184:O184,R184:U184,X184:AA184,AD184:AG184,AI184:AK184),
IF(AQ184=2,SUM(H184:K184,N184:Q184,T184:W184,Z184:AC184,AF184:AI184),
IF(AQ184=3,SUM(J184:M184,P184:S184,V184:Y184,AB184:AE184,AH184:AK184),SUM(Таблица1[[#This Row],[1]:[31]])-Таблица1[[#This Row],[Столбец1]])))</f>
        <v>0</v>
      </c>
      <c r="AN184" s="290">
        <f t="array" ref="AN184">IF(AQ184=1,SUM(J184:K184,P184:Q184,V184:W184,AB184:AC184,AH184:AI184),
IF(AQ184=2,SUM(L184:M184,R184:S184,X184:Y184,AD184:AE184),
IF(AQ184=3,SUM(H184:I184,N184:O184,T184:U184,Z184:AA184,AF184:AG184),
SUM(IFERROR(WEEKDAY($H$2:$AL$2,2)&gt;5,)*H184:AL184))))</f>
        <v>0</v>
      </c>
      <c r="AO184" s="292" t="b">
        <f>IF(AR184&lt;=3,(IF((G184="5/24"),((база!$M$6*Таблица1[[#This Row],[сумма]]*Таблица1[[#This Row],[коэф]])),
IF((G184="4/24"),((база!$M$5*Таблица1[[#This Row],[сумма]]*Таблица1[[#This Row],[коэф]])),
IF((G184="3/24"),((база!$M$4*Таблица1[[#This Row],[сумма]]*Таблица1[[#This Row],[коэф]])),
IF((G184="5/16"),((база!$L$6*Таблица1[[#This Row],[сумма]]*Таблица1[[#This Row],[коэф]])),
IF((G184="4/16"),((база!$L$5*Таблица1[[#This Row],[сумма]]*Таблица1[[#This Row],[коэф]])),
IF((G184="3/16"),((база!$L$4*Таблица1[[#This Row],[сумма]]*Таблица1[[#This Row],[коэф]])),
IF((G184="4/4"),((база!$I$5*Таблица1[[#This Row],[сумма]]*Таблица1[[#This Row],[коэф]])),
IF(OR(G184="2/4",G184="3/4"),((база!$I$4*Таблица1[[#This Row],[сумма]]*Таблица1[[#This Row],[коэф]])),
IF((G184="5/8"),((база!$J$6*Таблица1[[#This Row],[сумма]]*Таблица1[[#This Row],[коэф]])),
IF((G184="4/8"),((база!$J$5*Таблица1[[#This Row],[сумма]]*Таблица1[[#This Row],[коэф]])),
IF(OR(G184="3/8",G184="2/8"),((база!$J$4*Таблица1[[#This Row],[сумма]]*Таблица1[[#This Row],[коэф]])))))))))))))),
(IF((G184="5/24"),((база!$M$6*Таблица1[[#This Row],[сумма]]*Таблица1[[#This Row],[коэф]])),
IF(OR(G184="4/24",G184="3/24"),((база!$M$5*Таблица1[[#This Row],[сумма]]*Таблица1[[#This Row],[коэф]])),
IF((G184="5/16"),((база!$L$6*Таблица1[[#This Row],[сумма]]*Таблица1[[#This Row],[коэф]])),
IF(OR(G184="4/16",G184="3/16"),((база!$L$5*Таблица1[[#This Row],[сумма]]*Таблица1[[#This Row],[коэф]])),
IF(OR(G184="2/4",G184="3/4",G184="4/4"),((база!$I$5*Таблица1[[#This Row],[сумма]]*Таблица1[[#This Row],[коэф]])),
IF((G184="5/8"),((база!$J$6*Таблица1[[#This Row],[сумма]]*Таблица1[[#This Row],[коэф]])),
IF(OR(G184="4/8",G184="3/8",G184="2/8"),((база!$J$5*Таблица1[[#This Row],[сумма]]*Таблица1[[#This Row],[коэф]])))))))))))</f>
        <v>0</v>
      </c>
      <c r="AP184" s="715" t="b">
        <f>IF(AR184&lt;=3,(IF((G184="5/24"),((база!$M$6*2*Таблица1[[#This Row],[Столбец1]]*Таблица1[[#This Row],[коэф]])),
IF((G184="4/24"),((база!$M$5*2*Таблица1[[#This Row],[Столбец1]]*Таблица1[[#This Row],[коэф]])),
IF((G184="3/24"),((база!$M$4*2*Таблица1[[#This Row],[Столбец1]]*Таблица1[[#This Row],[коэф]])),
IF((G184="5/16"),((база!$L$6*2*Таблица1[[#This Row],[Столбец1]]*Таблица1[[#This Row],[коэф]])),
IF((G184="4/16"),((база!$L$5*2*Таблица1[[#This Row],[Столбец1]]*Таблица1[[#This Row],[коэф]])),
IF((G184="3/16"),((база!$L$4*2*Таблица1[[#This Row],[Столбец1]]*Таблица1[[#This Row],[коэф]])),
IF((G184="4/4"),((база!$I$5*2*Таблица1[[#This Row],[Столбец1]]*Таблица1[[#This Row],[коэф]])),
IF(OR(G184="2/4",G184="3/4"),((база!$I$4*2*Таблица1[[#This Row],[Столбец1]]*Таблица1[[#This Row],[коэф]])),
IF((G184="5/8"),((база!$J$6*2*Таблица1[[#This Row],[Столбец1]]*Таблица1[[#This Row],[коэф]])),
IF((G184="4/8"),((база!$J$5*2*Таблица1[[#This Row],[Столбец1]]*Таблица1[[#This Row],[коэф]])),
IF(OR(G184="3/8",G184="2/8"),((база!$J$4*2*Таблица1[[#This Row],[Столбец1]]*Таблица1[[#This Row],[коэф]])))))))))))))),
(IF((G184="5/24"),((база!$M$6*2*Таблица1[[#This Row],[Столбец1]]*Таблица1[[#This Row],[коэф]])),
IF(OR(G184="4/24",G184="3/24"),((база!$M$5*2*Таблица1[[#This Row],[Столбец1]]*Таблица1[[#This Row],[коэф]])),
IF((G184="5/16"),((база!$L$6*2*Таблица1[[#This Row],[Столбец1]]*Таблица1[[#This Row],[коэф]])),
IF(OR(G184="4/16",G184="3/16"),((база!$L$5*2*Таблица1[[#This Row],[Столбец1]]*Таблица1[[#This Row],[коэф]])),
IF(OR(G184="2/4",G184="3/4",G184="4/4"),((база!$I$5*2*Таблица1[[#This Row],[Столбец1]]*Таблица1[[#This Row],[коэф]])),
IF((G184="5/8"),((база!$J$6*2*Таблица1[[#This Row],[Столбец1]]*Таблица1[[#This Row],[коэф]])),
IF(OR(G184="4/8",G184="3/8",G184="2/8"),((база!$J$5*2*Таблица1[[#This Row],[Столбец1]]*Таблица1[[#This Row],[коэф]])))))))))))</f>
        <v>0</v>
      </c>
      <c r="AQ184" s="697" t="str">
        <f>IFERROR(INDEX(база!T:T, MATCH(F184,база!Q:Q,0)),"")</f>
        <v/>
      </c>
      <c r="AR184" s="207">
        <f>IFERROR(INDEX(база!D:D, MATCH(F184,база!B:B,0)),"")</f>
        <v>0</v>
      </c>
      <c r="AS184" s="46"/>
      <c r="AT184" s="46"/>
      <c r="AU184" s="46"/>
    </row>
    <row r="185" spans="1:47" ht="15">
      <c r="A185" s="66" t="str">
        <f t="shared" si="5"/>
        <v>декабрь</v>
      </c>
      <c r="B185" s="230">
        <v>2023</v>
      </c>
      <c r="C185" s="299"/>
      <c r="D185" s="61"/>
      <c r="E185" s="210"/>
      <c r="F185" s="669"/>
      <c r="G185" s="47"/>
      <c r="H185" s="563"/>
      <c r="I185" s="563"/>
      <c r="J185" s="563"/>
      <c r="K185" s="563"/>
      <c r="L185" s="563"/>
      <c r="M185" s="563"/>
      <c r="N185" s="563"/>
      <c r="O185" s="563"/>
      <c r="P185" s="300"/>
      <c r="Q185" s="563"/>
      <c r="R185" s="563"/>
      <c r="S185" s="563"/>
      <c r="T185" s="563"/>
      <c r="U185" s="563"/>
      <c r="V185" s="563"/>
      <c r="W185" s="563"/>
      <c r="X185" s="563"/>
      <c r="Y185" s="563"/>
      <c r="Z185" s="563"/>
      <c r="AA185" s="563"/>
      <c r="AB185" s="563"/>
      <c r="AC185" s="563"/>
      <c r="AD185" s="48"/>
      <c r="AE185" s="48"/>
      <c r="AF185" s="257"/>
      <c r="AG185" s="257"/>
      <c r="AH185" s="257"/>
      <c r="AI185" s="257"/>
      <c r="AJ185" s="257"/>
      <c r="AK185" s="257"/>
      <c r="AL185" s="257"/>
      <c r="AM185" s="211">
        <f>IF(AQ185=1,SUM(H185:I185,L185:O185,R185:U185,X185:AA185,AD185:AG185,AI185:AK185),
IF(AQ185=2,SUM(H185:K185,N185:Q185,T185:W185,Z185:AC185,AF185:AI185),
IF(AQ185=3,SUM(J185:M185,P185:S185,V185:Y185,AB185:AE185,AH185:AK185),SUM(Таблица1[[#This Row],[1]:[31]])-Таблица1[[#This Row],[Столбец1]])))</f>
        <v>0</v>
      </c>
      <c r="AN185" s="290">
        <f t="array" ref="AN185">IF(AQ185=1,SUM(J185:K185,P185:Q185,V185:W185,AB185:AC185,AH185:AI185),
IF(AQ185=2,SUM(L185:M185,R185:S185,X185:Y185,AD185:AE185),
IF(AQ185=3,SUM(H185:I185,N185:O185,T185:U185,Z185:AA185,AF185:AG185),
SUM(IFERROR(WEEKDAY($H$2:$AL$2,2)&gt;5,)*H185:AL185))))</f>
        <v>0</v>
      </c>
      <c r="AO185" s="292" t="b">
        <f>IF(AR185&lt;=3,(IF((G185="5/24"),((база!$M$6*Таблица1[[#This Row],[сумма]]*Таблица1[[#This Row],[коэф]])),
IF((G185="4/24"),((база!$M$5*Таблица1[[#This Row],[сумма]]*Таблица1[[#This Row],[коэф]])),
IF((G185="3/24"),((база!$M$4*Таблица1[[#This Row],[сумма]]*Таблица1[[#This Row],[коэф]])),
IF((G185="5/16"),((база!$L$6*Таблица1[[#This Row],[сумма]]*Таблица1[[#This Row],[коэф]])),
IF((G185="4/16"),((база!$L$5*Таблица1[[#This Row],[сумма]]*Таблица1[[#This Row],[коэф]])),
IF((G185="3/16"),((база!$L$4*Таблица1[[#This Row],[сумма]]*Таблица1[[#This Row],[коэф]])),
IF((G185="4/4"),((база!$I$5*Таблица1[[#This Row],[сумма]]*Таблица1[[#This Row],[коэф]])),
IF(OR(G185="2/4",G185="3/4"),((база!$I$4*Таблица1[[#This Row],[сумма]]*Таблица1[[#This Row],[коэф]])),
IF((G185="5/8"),((база!$J$6*Таблица1[[#This Row],[сумма]]*Таблица1[[#This Row],[коэф]])),
IF((G185="4/8"),((база!$J$5*Таблица1[[#This Row],[сумма]]*Таблица1[[#This Row],[коэф]])),
IF(OR(G185="3/8",G185="2/8"),((база!$J$4*Таблица1[[#This Row],[сумма]]*Таблица1[[#This Row],[коэф]])))))))))))))),
(IF((G185="5/24"),((база!$M$6*Таблица1[[#This Row],[сумма]]*Таблица1[[#This Row],[коэф]])),
IF(OR(G185="4/24",G185="3/24"),((база!$M$5*Таблица1[[#This Row],[сумма]]*Таблица1[[#This Row],[коэф]])),
IF((G185="5/16"),((база!$L$6*Таблица1[[#This Row],[сумма]]*Таблица1[[#This Row],[коэф]])),
IF(OR(G185="4/16",G185="3/16"),((база!$L$5*Таблица1[[#This Row],[сумма]]*Таблица1[[#This Row],[коэф]])),
IF(OR(G185="2/4",G185="3/4",G185="4/4"),((база!$I$5*Таблица1[[#This Row],[сумма]]*Таблица1[[#This Row],[коэф]])),
IF((G185="5/8"),((база!$J$6*Таблица1[[#This Row],[сумма]]*Таблица1[[#This Row],[коэф]])),
IF(OR(G185="4/8",G185="3/8",G185="2/8"),((база!$J$5*Таблица1[[#This Row],[сумма]]*Таблица1[[#This Row],[коэф]])))))))))))</f>
        <v>0</v>
      </c>
      <c r="AP185" s="715" t="b">
        <f>IF(AR185&lt;=3,(IF((G185="5/24"),((база!$M$6*2*Таблица1[[#This Row],[Столбец1]]*Таблица1[[#This Row],[коэф]])),
IF((G185="4/24"),((база!$M$5*2*Таблица1[[#This Row],[Столбец1]]*Таблица1[[#This Row],[коэф]])),
IF((G185="3/24"),((база!$M$4*2*Таблица1[[#This Row],[Столбец1]]*Таблица1[[#This Row],[коэф]])),
IF((G185="5/16"),((база!$L$6*2*Таблица1[[#This Row],[Столбец1]]*Таблица1[[#This Row],[коэф]])),
IF((G185="4/16"),((база!$L$5*2*Таблица1[[#This Row],[Столбец1]]*Таблица1[[#This Row],[коэф]])),
IF((G185="3/16"),((база!$L$4*2*Таблица1[[#This Row],[Столбец1]]*Таблица1[[#This Row],[коэф]])),
IF((G185="4/4"),((база!$I$5*2*Таблица1[[#This Row],[Столбец1]]*Таблица1[[#This Row],[коэф]])),
IF(OR(G185="2/4",G185="3/4"),((база!$I$4*2*Таблица1[[#This Row],[Столбец1]]*Таблица1[[#This Row],[коэф]])),
IF((G185="5/8"),((база!$J$6*2*Таблица1[[#This Row],[Столбец1]]*Таблица1[[#This Row],[коэф]])),
IF((G185="4/8"),((база!$J$5*2*Таблица1[[#This Row],[Столбец1]]*Таблица1[[#This Row],[коэф]])),
IF(OR(G185="3/8",G185="2/8"),((база!$J$4*2*Таблица1[[#This Row],[Столбец1]]*Таблица1[[#This Row],[коэф]])))))))))))))),
(IF((G185="5/24"),((база!$M$6*2*Таблица1[[#This Row],[Столбец1]]*Таблица1[[#This Row],[коэф]])),
IF(OR(G185="4/24",G185="3/24"),((база!$M$5*2*Таблица1[[#This Row],[Столбец1]]*Таблица1[[#This Row],[коэф]])),
IF((G185="5/16"),((база!$L$6*2*Таблица1[[#This Row],[Столбец1]]*Таблица1[[#This Row],[коэф]])),
IF(OR(G185="4/16",G185="3/16"),((база!$L$5*2*Таблица1[[#This Row],[Столбец1]]*Таблица1[[#This Row],[коэф]])),
IF(OR(G185="2/4",G185="3/4",G185="4/4"),((база!$I$5*2*Таблица1[[#This Row],[Столбец1]]*Таблица1[[#This Row],[коэф]])),
IF((G185="5/8"),((база!$J$6*2*Таблица1[[#This Row],[Столбец1]]*Таблица1[[#This Row],[коэф]])),
IF(OR(G185="4/8",G185="3/8",G185="2/8"),((база!$J$5*2*Таблица1[[#This Row],[Столбец1]]*Таблица1[[#This Row],[коэф]])))))))))))</f>
        <v>0</v>
      </c>
      <c r="AQ185" s="697" t="str">
        <f>IFERROR(INDEX(база!T:T, MATCH(F185,база!Q:Q,0)),"")</f>
        <v/>
      </c>
      <c r="AR185" s="207">
        <f>IFERROR(INDEX(база!D:D, MATCH(F185,база!B:B,0)),"")</f>
        <v>0</v>
      </c>
      <c r="AS185" s="46"/>
      <c r="AT185" s="46"/>
      <c r="AU185" s="46"/>
    </row>
    <row r="186" spans="1:47" ht="15">
      <c r="A186" s="66" t="str">
        <f t="shared" si="5"/>
        <v>декабрь</v>
      </c>
      <c r="B186" s="230">
        <v>2023</v>
      </c>
      <c r="C186" s="60"/>
      <c r="D186" s="61"/>
      <c r="E186" s="210"/>
      <c r="F186" s="669"/>
      <c r="G186" s="47"/>
      <c r="H186" s="563"/>
      <c r="I186" s="563"/>
      <c r="J186" s="563"/>
      <c r="K186" s="563"/>
      <c r="L186" s="563"/>
      <c r="M186" s="563"/>
      <c r="N186" s="563"/>
      <c r="O186" s="563"/>
      <c r="P186" s="300"/>
      <c r="Q186" s="563"/>
      <c r="R186" s="563"/>
      <c r="S186" s="563"/>
      <c r="T186" s="563"/>
      <c r="U186" s="563"/>
      <c r="V186" s="563"/>
      <c r="W186" s="563"/>
      <c r="X186" s="563"/>
      <c r="Y186" s="563"/>
      <c r="Z186" s="563"/>
      <c r="AA186" s="563"/>
      <c r="AB186" s="563"/>
      <c r="AC186" s="563"/>
      <c r="AD186" s="48"/>
      <c r="AE186" s="48"/>
      <c r="AF186" s="257"/>
      <c r="AG186" s="257"/>
      <c r="AH186" s="257"/>
      <c r="AI186" s="257"/>
      <c r="AJ186" s="257"/>
      <c r="AK186" s="257"/>
      <c r="AL186" s="257"/>
      <c r="AM186" s="211">
        <f>IF(AQ186=1,SUM(H186:I186,L186:O186,R186:U186,X186:AA186,AD186:AG186,AI186:AK186),
IF(AQ186=2,SUM(H186:K186,N186:Q186,T186:W186,Z186:AC186,AF186:AI186),
IF(AQ186=3,SUM(J186:M186,P186:S186,V186:Y186,AB186:AE186,AH186:AK186),SUM(Таблица1[[#This Row],[1]:[31]])-Таблица1[[#This Row],[Столбец1]])))</f>
        <v>0</v>
      </c>
      <c r="AN186" s="290">
        <f t="array" ref="AN186">IF(AQ186=1,SUM(J186:K186,P186:Q186,V186:W186,AB186:AC186,AH186:AI186),
IF(AQ186=2,SUM(L186:M186,R186:S186,X186:Y186,AD186:AE186),
IF(AQ186=3,SUM(H186:I186,N186:O186,T186:U186,Z186:AA186,AF186:AG186),
SUM(IFERROR(WEEKDAY($H$2:$AL$2,2)&gt;5,)*H186:AL186))))</f>
        <v>0</v>
      </c>
      <c r="AO186" s="292" t="b">
        <f>IF(AR186&lt;=3,(IF((G186="5/24"),((база!$M$6*Таблица1[[#This Row],[сумма]]*Таблица1[[#This Row],[коэф]])),
IF((G186="4/24"),((база!$M$5*Таблица1[[#This Row],[сумма]]*Таблица1[[#This Row],[коэф]])),
IF((G186="3/24"),((база!$M$4*Таблица1[[#This Row],[сумма]]*Таблица1[[#This Row],[коэф]])),
IF((G186="5/16"),((база!$L$6*Таблица1[[#This Row],[сумма]]*Таблица1[[#This Row],[коэф]])),
IF((G186="4/16"),((база!$L$5*Таблица1[[#This Row],[сумма]]*Таблица1[[#This Row],[коэф]])),
IF((G186="3/16"),((база!$L$4*Таблица1[[#This Row],[сумма]]*Таблица1[[#This Row],[коэф]])),
IF((G186="4/4"),((база!$I$5*Таблица1[[#This Row],[сумма]]*Таблица1[[#This Row],[коэф]])),
IF(OR(G186="2/4",G186="3/4"),((база!$I$4*Таблица1[[#This Row],[сумма]]*Таблица1[[#This Row],[коэф]])),
IF((G186="5/8"),((база!$J$6*Таблица1[[#This Row],[сумма]]*Таблица1[[#This Row],[коэф]])),
IF((G186="4/8"),((база!$J$5*Таблица1[[#This Row],[сумма]]*Таблица1[[#This Row],[коэф]])),
IF(OR(G186="3/8",G186="2/8"),((база!$J$4*Таблица1[[#This Row],[сумма]]*Таблица1[[#This Row],[коэф]])))))))))))))),
(IF((G186="5/24"),((база!$M$6*Таблица1[[#This Row],[сумма]]*Таблица1[[#This Row],[коэф]])),
IF(OR(G186="4/24",G186="3/24"),((база!$M$5*Таблица1[[#This Row],[сумма]]*Таблица1[[#This Row],[коэф]])),
IF((G186="5/16"),((база!$L$6*Таблица1[[#This Row],[сумма]]*Таблица1[[#This Row],[коэф]])),
IF(OR(G186="4/16",G186="3/16"),((база!$L$5*Таблица1[[#This Row],[сумма]]*Таблица1[[#This Row],[коэф]])),
IF(OR(G186="2/4",G186="3/4",G186="4/4"),((база!$I$5*Таблица1[[#This Row],[сумма]]*Таблица1[[#This Row],[коэф]])),
IF((G186="5/8"),((база!$J$6*Таблица1[[#This Row],[сумма]]*Таблица1[[#This Row],[коэф]])),
IF(OR(G186="4/8",G186="3/8",G186="2/8"),((база!$J$5*Таблица1[[#This Row],[сумма]]*Таблица1[[#This Row],[коэф]])))))))))))</f>
        <v>0</v>
      </c>
      <c r="AP186" s="715" t="b">
        <f>IF(AR186&lt;=3,(IF((G186="5/24"),((база!$M$6*2*Таблица1[[#This Row],[Столбец1]]*Таблица1[[#This Row],[коэф]])),
IF((G186="4/24"),((база!$M$5*2*Таблица1[[#This Row],[Столбец1]]*Таблица1[[#This Row],[коэф]])),
IF((G186="3/24"),((база!$M$4*2*Таблица1[[#This Row],[Столбец1]]*Таблица1[[#This Row],[коэф]])),
IF((G186="5/16"),((база!$L$6*2*Таблица1[[#This Row],[Столбец1]]*Таблица1[[#This Row],[коэф]])),
IF((G186="4/16"),((база!$L$5*2*Таблица1[[#This Row],[Столбец1]]*Таблица1[[#This Row],[коэф]])),
IF((G186="3/16"),((база!$L$4*2*Таблица1[[#This Row],[Столбец1]]*Таблица1[[#This Row],[коэф]])),
IF((G186="4/4"),((база!$I$5*2*Таблица1[[#This Row],[Столбец1]]*Таблица1[[#This Row],[коэф]])),
IF(OR(G186="2/4",G186="3/4"),((база!$I$4*2*Таблица1[[#This Row],[Столбец1]]*Таблица1[[#This Row],[коэф]])),
IF((G186="5/8"),((база!$J$6*2*Таблица1[[#This Row],[Столбец1]]*Таблица1[[#This Row],[коэф]])),
IF((G186="4/8"),((база!$J$5*2*Таблица1[[#This Row],[Столбец1]]*Таблица1[[#This Row],[коэф]])),
IF(OR(G186="3/8",G186="2/8"),((база!$J$4*2*Таблица1[[#This Row],[Столбец1]]*Таблица1[[#This Row],[коэф]])))))))))))))),
(IF((G186="5/24"),((база!$M$6*2*Таблица1[[#This Row],[Столбец1]]*Таблица1[[#This Row],[коэф]])),
IF(OR(G186="4/24",G186="3/24"),((база!$M$5*2*Таблица1[[#This Row],[Столбец1]]*Таблица1[[#This Row],[коэф]])),
IF((G186="5/16"),((база!$L$6*2*Таблица1[[#This Row],[Столбец1]]*Таблица1[[#This Row],[коэф]])),
IF(OR(G186="4/16",G186="3/16"),((база!$L$5*2*Таблица1[[#This Row],[Столбец1]]*Таблица1[[#This Row],[коэф]])),
IF(OR(G186="2/4",G186="3/4",G186="4/4"),((база!$I$5*2*Таблица1[[#This Row],[Столбец1]]*Таблица1[[#This Row],[коэф]])),
IF((G186="5/8"),((база!$J$6*2*Таблица1[[#This Row],[Столбец1]]*Таблица1[[#This Row],[коэф]])),
IF(OR(G186="4/8",G186="3/8",G186="2/8"),((база!$J$5*2*Таблица1[[#This Row],[Столбец1]]*Таблица1[[#This Row],[коэф]])))))))))))</f>
        <v>0</v>
      </c>
      <c r="AQ186" s="697" t="str">
        <f>IFERROR(INDEX(база!T:T, MATCH(F186,база!Q:Q,0)),"")</f>
        <v/>
      </c>
      <c r="AR186" s="207">
        <f>IFERROR(INDEX(база!D:D, MATCH(F186,база!B:B,0)),"")</f>
        <v>0</v>
      </c>
      <c r="AS186" s="46"/>
      <c r="AT186" s="46"/>
      <c r="AU186" s="46"/>
    </row>
    <row r="187" spans="1:47" ht="15">
      <c r="A187" s="66" t="str">
        <f t="shared" si="5"/>
        <v>декабрь</v>
      </c>
      <c r="B187" s="230">
        <v>2023</v>
      </c>
      <c r="C187" s="299"/>
      <c r="D187" s="61"/>
      <c r="E187" s="210"/>
      <c r="F187" s="669"/>
      <c r="G187" s="47"/>
      <c r="H187" s="563"/>
      <c r="I187" s="563"/>
      <c r="J187" s="563"/>
      <c r="K187" s="563"/>
      <c r="L187" s="563"/>
      <c r="M187" s="563"/>
      <c r="N187" s="563"/>
      <c r="O187" s="563"/>
      <c r="P187" s="300"/>
      <c r="Q187" s="563"/>
      <c r="R187" s="563"/>
      <c r="S187" s="563"/>
      <c r="T187" s="563"/>
      <c r="U187" s="563"/>
      <c r="V187" s="563"/>
      <c r="W187" s="563"/>
      <c r="X187" s="563"/>
      <c r="Y187" s="563"/>
      <c r="Z187" s="563"/>
      <c r="AA187" s="563"/>
      <c r="AB187" s="563"/>
      <c r="AC187" s="563"/>
      <c r="AD187" s="48"/>
      <c r="AE187" s="48"/>
      <c r="AF187" s="257"/>
      <c r="AG187" s="257"/>
      <c r="AH187" s="257"/>
      <c r="AI187" s="257"/>
      <c r="AJ187" s="257"/>
      <c r="AK187" s="257"/>
      <c r="AL187" s="257"/>
      <c r="AM187" s="211">
        <f>IF(AQ187=1,SUM(H187:I187,L187:O187,R187:U187,X187:AA187,AD187:AG187,AI187:AK187),
IF(AQ187=2,SUM(H187:K187,N187:Q187,T187:W187,Z187:AC187,AF187:AI187),
IF(AQ187=3,SUM(J187:M187,P187:S187,V187:Y187,AB187:AE187,AH187:AK187),SUM(Таблица1[[#This Row],[1]:[31]])-Таблица1[[#This Row],[Столбец1]])))</f>
        <v>0</v>
      </c>
      <c r="AN187" s="290">
        <f t="array" ref="AN187">IF(AQ187=1,SUM(J187:K187,P187:Q187,V187:W187,AB187:AC187,AH187:AI187),
IF(AQ187=2,SUM(L187:M187,R187:S187,X187:Y187,AD187:AE187),
IF(AQ187=3,SUM(H187:I187,N187:O187,T187:U187,Z187:AA187,AF187:AG187),
SUM(IFERROR(WEEKDAY($H$2:$AL$2,2)&gt;5,)*H187:AL187))))</f>
        <v>0</v>
      </c>
      <c r="AO187" s="292" t="b">
        <f>IF(AR187&lt;=3,(IF((G187="5/24"),((база!$M$6*Таблица1[[#This Row],[сумма]]*Таблица1[[#This Row],[коэф]])),
IF((G187="4/24"),((база!$M$5*Таблица1[[#This Row],[сумма]]*Таблица1[[#This Row],[коэф]])),
IF((G187="3/24"),((база!$M$4*Таблица1[[#This Row],[сумма]]*Таблица1[[#This Row],[коэф]])),
IF((G187="5/16"),((база!$L$6*Таблица1[[#This Row],[сумма]]*Таблица1[[#This Row],[коэф]])),
IF((G187="4/16"),((база!$L$5*Таблица1[[#This Row],[сумма]]*Таблица1[[#This Row],[коэф]])),
IF((G187="3/16"),((база!$L$4*Таблица1[[#This Row],[сумма]]*Таблица1[[#This Row],[коэф]])),
IF((G187="4/4"),((база!$I$5*Таблица1[[#This Row],[сумма]]*Таблица1[[#This Row],[коэф]])),
IF(OR(G187="2/4",G187="3/4"),((база!$I$4*Таблица1[[#This Row],[сумма]]*Таблица1[[#This Row],[коэф]])),
IF((G187="5/8"),((база!$J$6*Таблица1[[#This Row],[сумма]]*Таблица1[[#This Row],[коэф]])),
IF((G187="4/8"),((база!$J$5*Таблица1[[#This Row],[сумма]]*Таблица1[[#This Row],[коэф]])),
IF(OR(G187="3/8",G187="2/8"),((база!$J$4*Таблица1[[#This Row],[сумма]]*Таблица1[[#This Row],[коэф]])))))))))))))),
(IF((G187="5/24"),((база!$M$6*Таблица1[[#This Row],[сумма]]*Таблица1[[#This Row],[коэф]])),
IF(OR(G187="4/24",G187="3/24"),((база!$M$5*Таблица1[[#This Row],[сумма]]*Таблица1[[#This Row],[коэф]])),
IF((G187="5/16"),((база!$L$6*Таблица1[[#This Row],[сумма]]*Таблица1[[#This Row],[коэф]])),
IF(OR(G187="4/16",G187="3/16"),((база!$L$5*Таблица1[[#This Row],[сумма]]*Таблица1[[#This Row],[коэф]])),
IF(OR(G187="2/4",G187="3/4",G187="4/4"),((база!$I$5*Таблица1[[#This Row],[сумма]]*Таблица1[[#This Row],[коэф]])),
IF((G187="5/8"),((база!$J$6*Таблица1[[#This Row],[сумма]]*Таблица1[[#This Row],[коэф]])),
IF(OR(G187="4/8",G187="3/8",G187="2/8"),((база!$J$5*Таблица1[[#This Row],[сумма]]*Таблица1[[#This Row],[коэф]])))))))))))</f>
        <v>0</v>
      </c>
      <c r="AP187" s="715" t="b">
        <f>IF(AR187&lt;=3,(IF((G187="5/24"),((база!$M$6*2*Таблица1[[#This Row],[Столбец1]]*Таблица1[[#This Row],[коэф]])),
IF((G187="4/24"),((база!$M$5*2*Таблица1[[#This Row],[Столбец1]]*Таблица1[[#This Row],[коэф]])),
IF((G187="3/24"),((база!$M$4*2*Таблица1[[#This Row],[Столбец1]]*Таблица1[[#This Row],[коэф]])),
IF((G187="5/16"),((база!$L$6*2*Таблица1[[#This Row],[Столбец1]]*Таблица1[[#This Row],[коэф]])),
IF((G187="4/16"),((база!$L$5*2*Таблица1[[#This Row],[Столбец1]]*Таблица1[[#This Row],[коэф]])),
IF((G187="3/16"),((база!$L$4*2*Таблица1[[#This Row],[Столбец1]]*Таблица1[[#This Row],[коэф]])),
IF((G187="4/4"),((база!$I$5*2*Таблица1[[#This Row],[Столбец1]]*Таблица1[[#This Row],[коэф]])),
IF(OR(G187="2/4",G187="3/4"),((база!$I$4*2*Таблица1[[#This Row],[Столбец1]]*Таблица1[[#This Row],[коэф]])),
IF((G187="5/8"),((база!$J$6*2*Таблица1[[#This Row],[Столбец1]]*Таблица1[[#This Row],[коэф]])),
IF((G187="4/8"),((база!$J$5*2*Таблица1[[#This Row],[Столбец1]]*Таблица1[[#This Row],[коэф]])),
IF(OR(G187="3/8",G187="2/8"),((база!$J$4*2*Таблица1[[#This Row],[Столбец1]]*Таблица1[[#This Row],[коэф]])))))))))))))),
(IF((G187="5/24"),((база!$M$6*2*Таблица1[[#This Row],[Столбец1]]*Таблица1[[#This Row],[коэф]])),
IF(OR(G187="4/24",G187="3/24"),((база!$M$5*2*Таблица1[[#This Row],[Столбец1]]*Таблица1[[#This Row],[коэф]])),
IF((G187="5/16"),((база!$L$6*2*Таблица1[[#This Row],[Столбец1]]*Таблица1[[#This Row],[коэф]])),
IF(OR(G187="4/16",G187="3/16"),((база!$L$5*2*Таблица1[[#This Row],[Столбец1]]*Таблица1[[#This Row],[коэф]])),
IF(OR(G187="2/4",G187="3/4",G187="4/4"),((база!$I$5*2*Таблица1[[#This Row],[Столбец1]]*Таблица1[[#This Row],[коэф]])),
IF((G187="5/8"),((база!$J$6*2*Таблица1[[#This Row],[Столбец1]]*Таблица1[[#This Row],[коэф]])),
IF(OR(G187="4/8",G187="3/8",G187="2/8"),((база!$J$5*2*Таблица1[[#This Row],[Столбец1]]*Таблица1[[#This Row],[коэф]])))))))))))</f>
        <v>0</v>
      </c>
      <c r="AQ187" s="697" t="str">
        <f>IFERROR(INDEX(база!T:T, MATCH(F187,база!Q:Q,0)),"")</f>
        <v/>
      </c>
      <c r="AR187" s="207">
        <f>IFERROR(INDEX(база!D:D, MATCH(F187,база!B:B,0)),"")</f>
        <v>0</v>
      </c>
      <c r="AS187" s="46"/>
      <c r="AT187" s="46"/>
      <c r="AU187" s="46"/>
    </row>
    <row r="188" spans="1:47" ht="15">
      <c r="A188" s="66" t="str">
        <f t="shared" si="5"/>
        <v>декабрь</v>
      </c>
      <c r="B188" s="230">
        <v>2023</v>
      </c>
      <c r="C188" s="60"/>
      <c r="D188" s="61"/>
      <c r="E188" s="210"/>
      <c r="F188" s="669"/>
      <c r="G188" s="47"/>
      <c r="H188" s="563"/>
      <c r="I188" s="563"/>
      <c r="J188" s="563"/>
      <c r="K188" s="563"/>
      <c r="L188" s="563"/>
      <c r="M188" s="563"/>
      <c r="N188" s="563"/>
      <c r="O188" s="563"/>
      <c r="P188" s="300"/>
      <c r="Q188" s="563"/>
      <c r="R188" s="563"/>
      <c r="S188" s="563"/>
      <c r="T188" s="563"/>
      <c r="U188" s="563"/>
      <c r="V188" s="563"/>
      <c r="W188" s="563"/>
      <c r="X188" s="563"/>
      <c r="Y188" s="563"/>
      <c r="Z188" s="563"/>
      <c r="AA188" s="563"/>
      <c r="AB188" s="563"/>
      <c r="AC188" s="563"/>
      <c r="AD188" s="48"/>
      <c r="AE188" s="48"/>
      <c r="AF188" s="257"/>
      <c r="AG188" s="257"/>
      <c r="AH188" s="257"/>
      <c r="AI188" s="257"/>
      <c r="AJ188" s="257"/>
      <c r="AK188" s="257"/>
      <c r="AL188" s="257"/>
      <c r="AM188" s="211">
        <f>IF(AQ188=1,SUM(H188:I188,L188:O188,R188:U188,X188:AA188,AD188:AG188,AI188:AK188),
IF(AQ188=2,SUM(H188:K188,N188:Q188,T188:W188,Z188:AC188,AF188:AI188),
IF(AQ188=3,SUM(J188:M188,P188:S188,V188:Y188,AB188:AE188,AH188:AK188),SUM(Таблица1[[#This Row],[1]:[31]])-Таблица1[[#This Row],[Столбец1]])))</f>
        <v>0</v>
      </c>
      <c r="AN188" s="290">
        <f t="array" ref="AN188">IF(AQ188=1,SUM(J188:K188,P188:Q188,V188:W188,AB188:AC188,AH188:AI188),
IF(AQ188=2,SUM(L188:M188,R188:S188,X188:Y188,AD188:AE188),
IF(AQ188=3,SUM(H188:I188,N188:O188,T188:U188,Z188:AA188,AF188:AG188),
SUM(IFERROR(WEEKDAY($H$2:$AL$2,2)&gt;5,)*H188:AL188))))</f>
        <v>0</v>
      </c>
      <c r="AO188" s="292" t="b">
        <f>IF(AR188&lt;=3,(IF((G188="5/24"),((база!$M$6*Таблица1[[#This Row],[сумма]]*Таблица1[[#This Row],[коэф]])),
IF((G188="4/24"),((база!$M$5*Таблица1[[#This Row],[сумма]]*Таблица1[[#This Row],[коэф]])),
IF((G188="3/24"),((база!$M$4*Таблица1[[#This Row],[сумма]]*Таблица1[[#This Row],[коэф]])),
IF((G188="5/16"),((база!$L$6*Таблица1[[#This Row],[сумма]]*Таблица1[[#This Row],[коэф]])),
IF((G188="4/16"),((база!$L$5*Таблица1[[#This Row],[сумма]]*Таблица1[[#This Row],[коэф]])),
IF((G188="3/16"),((база!$L$4*Таблица1[[#This Row],[сумма]]*Таблица1[[#This Row],[коэф]])),
IF((G188="4/4"),((база!$I$5*Таблица1[[#This Row],[сумма]]*Таблица1[[#This Row],[коэф]])),
IF(OR(G188="2/4",G188="3/4"),((база!$I$4*Таблица1[[#This Row],[сумма]]*Таблица1[[#This Row],[коэф]])),
IF((G188="5/8"),((база!$J$6*Таблица1[[#This Row],[сумма]]*Таблица1[[#This Row],[коэф]])),
IF((G188="4/8"),((база!$J$5*Таблица1[[#This Row],[сумма]]*Таблица1[[#This Row],[коэф]])),
IF(OR(G188="3/8",G188="2/8"),((база!$J$4*Таблица1[[#This Row],[сумма]]*Таблица1[[#This Row],[коэф]])))))))))))))),
(IF((G188="5/24"),((база!$M$6*Таблица1[[#This Row],[сумма]]*Таблица1[[#This Row],[коэф]])),
IF(OR(G188="4/24",G188="3/24"),((база!$M$5*Таблица1[[#This Row],[сумма]]*Таблица1[[#This Row],[коэф]])),
IF((G188="5/16"),((база!$L$6*Таблица1[[#This Row],[сумма]]*Таблица1[[#This Row],[коэф]])),
IF(OR(G188="4/16",G188="3/16"),((база!$L$5*Таблица1[[#This Row],[сумма]]*Таблица1[[#This Row],[коэф]])),
IF(OR(G188="2/4",G188="3/4",G188="4/4"),((база!$I$5*Таблица1[[#This Row],[сумма]]*Таблица1[[#This Row],[коэф]])),
IF((G188="5/8"),((база!$J$6*Таблица1[[#This Row],[сумма]]*Таблица1[[#This Row],[коэф]])),
IF(OR(G188="4/8",G188="3/8",G188="2/8"),((база!$J$5*Таблица1[[#This Row],[сумма]]*Таблица1[[#This Row],[коэф]])))))))))))</f>
        <v>0</v>
      </c>
      <c r="AP188" s="715" t="b">
        <f>IF(AR188&lt;=3,(IF((G188="5/24"),((база!$M$6*2*Таблица1[[#This Row],[Столбец1]]*Таблица1[[#This Row],[коэф]])),
IF((G188="4/24"),((база!$M$5*2*Таблица1[[#This Row],[Столбец1]]*Таблица1[[#This Row],[коэф]])),
IF((G188="3/24"),((база!$M$4*2*Таблица1[[#This Row],[Столбец1]]*Таблица1[[#This Row],[коэф]])),
IF((G188="5/16"),((база!$L$6*2*Таблица1[[#This Row],[Столбец1]]*Таблица1[[#This Row],[коэф]])),
IF((G188="4/16"),((база!$L$5*2*Таблица1[[#This Row],[Столбец1]]*Таблица1[[#This Row],[коэф]])),
IF((G188="3/16"),((база!$L$4*2*Таблица1[[#This Row],[Столбец1]]*Таблица1[[#This Row],[коэф]])),
IF((G188="4/4"),((база!$I$5*2*Таблица1[[#This Row],[Столбец1]]*Таблица1[[#This Row],[коэф]])),
IF(OR(G188="2/4",G188="3/4"),((база!$I$4*2*Таблица1[[#This Row],[Столбец1]]*Таблица1[[#This Row],[коэф]])),
IF((G188="5/8"),((база!$J$6*2*Таблица1[[#This Row],[Столбец1]]*Таблица1[[#This Row],[коэф]])),
IF((G188="4/8"),((база!$J$5*2*Таблица1[[#This Row],[Столбец1]]*Таблица1[[#This Row],[коэф]])),
IF(OR(G188="3/8",G188="2/8"),((база!$J$4*2*Таблица1[[#This Row],[Столбец1]]*Таблица1[[#This Row],[коэф]])))))))))))))),
(IF((G188="5/24"),((база!$M$6*2*Таблица1[[#This Row],[Столбец1]]*Таблица1[[#This Row],[коэф]])),
IF(OR(G188="4/24",G188="3/24"),((база!$M$5*2*Таблица1[[#This Row],[Столбец1]]*Таблица1[[#This Row],[коэф]])),
IF((G188="5/16"),((база!$L$6*2*Таблица1[[#This Row],[Столбец1]]*Таблица1[[#This Row],[коэф]])),
IF(OR(G188="4/16",G188="3/16"),((база!$L$5*2*Таблица1[[#This Row],[Столбец1]]*Таблица1[[#This Row],[коэф]])),
IF(OR(G188="2/4",G188="3/4",G188="4/4"),((база!$I$5*2*Таблица1[[#This Row],[Столбец1]]*Таблица1[[#This Row],[коэф]])),
IF((G188="5/8"),((база!$J$6*2*Таблица1[[#This Row],[Столбец1]]*Таблица1[[#This Row],[коэф]])),
IF(OR(G188="4/8",G188="3/8",G188="2/8"),((база!$J$5*2*Таблица1[[#This Row],[Столбец1]]*Таблица1[[#This Row],[коэф]])))))))))))</f>
        <v>0</v>
      </c>
      <c r="AQ188" s="697" t="str">
        <f>IFERROR(INDEX(база!T:T, MATCH(F188,база!Q:Q,0)),"")</f>
        <v/>
      </c>
      <c r="AR188" s="207">
        <f>IFERROR(INDEX(база!D:D, MATCH(F188,база!B:B,0)),"")</f>
        <v>0</v>
      </c>
      <c r="AS188" s="46"/>
      <c r="AT188" s="46"/>
      <c r="AU188" s="46"/>
    </row>
    <row r="189" spans="1:47" ht="15">
      <c r="A189" s="66" t="str">
        <f t="shared" si="5"/>
        <v>декабрь</v>
      </c>
      <c r="B189" s="230">
        <v>2023</v>
      </c>
      <c r="C189" s="299"/>
      <c r="D189" s="61"/>
      <c r="E189" s="210"/>
      <c r="F189" s="669"/>
      <c r="G189" s="47"/>
      <c r="H189" s="563"/>
      <c r="I189" s="563"/>
      <c r="J189" s="563"/>
      <c r="K189" s="563"/>
      <c r="L189" s="563"/>
      <c r="M189" s="563"/>
      <c r="N189" s="563"/>
      <c r="O189" s="563"/>
      <c r="P189" s="300"/>
      <c r="Q189" s="563"/>
      <c r="R189" s="563"/>
      <c r="S189" s="563"/>
      <c r="T189" s="563"/>
      <c r="U189" s="563"/>
      <c r="V189" s="563"/>
      <c r="W189" s="563"/>
      <c r="X189" s="563"/>
      <c r="Y189" s="563"/>
      <c r="Z189" s="563"/>
      <c r="AA189" s="563"/>
      <c r="AB189" s="563"/>
      <c r="AC189" s="563"/>
      <c r="AD189" s="48"/>
      <c r="AE189" s="48"/>
      <c r="AF189" s="257"/>
      <c r="AG189" s="257"/>
      <c r="AH189" s="257"/>
      <c r="AI189" s="257"/>
      <c r="AJ189" s="257"/>
      <c r="AK189" s="257"/>
      <c r="AL189" s="257"/>
      <c r="AM189" s="211">
        <f>IF(AQ189=1,SUM(H189:I189,L189:O189,R189:U189,X189:AA189,AD189:AG189,AI189:AK189),
IF(AQ189=2,SUM(H189:K189,N189:Q189,T189:W189,Z189:AC189,AF189:AI189),
IF(AQ189=3,SUM(J189:M189,P189:S189,V189:Y189,AB189:AE189,AH189:AK189),SUM(Таблица1[[#This Row],[1]:[31]])-Таблица1[[#This Row],[Столбец1]])))</f>
        <v>0</v>
      </c>
      <c r="AN189" s="290">
        <f t="array" ref="AN189">IF(AQ189=1,SUM(J189:K189,P189:Q189,V189:W189,AB189:AC189,AH189:AI189),
IF(AQ189=2,SUM(L189:M189,R189:S189,X189:Y189,AD189:AE189),
IF(AQ189=3,SUM(H189:I189,N189:O189,T189:U189,Z189:AA189,AF189:AG189),
SUM(IFERROR(WEEKDAY($H$2:$AL$2,2)&gt;5,)*H189:AL189))))</f>
        <v>0</v>
      </c>
      <c r="AO189" s="292" t="b">
        <f>IF(AR189&lt;=3,(IF((G189="5/24"),((база!$M$6*Таблица1[[#This Row],[сумма]]*Таблица1[[#This Row],[коэф]])),
IF((G189="4/24"),((база!$M$5*Таблица1[[#This Row],[сумма]]*Таблица1[[#This Row],[коэф]])),
IF((G189="3/24"),((база!$M$4*Таблица1[[#This Row],[сумма]]*Таблица1[[#This Row],[коэф]])),
IF((G189="5/16"),((база!$L$6*Таблица1[[#This Row],[сумма]]*Таблица1[[#This Row],[коэф]])),
IF((G189="4/16"),((база!$L$5*Таблица1[[#This Row],[сумма]]*Таблица1[[#This Row],[коэф]])),
IF((G189="3/16"),((база!$L$4*Таблица1[[#This Row],[сумма]]*Таблица1[[#This Row],[коэф]])),
IF((G189="4/4"),((база!$I$5*Таблица1[[#This Row],[сумма]]*Таблица1[[#This Row],[коэф]])),
IF(OR(G189="2/4",G189="3/4"),((база!$I$4*Таблица1[[#This Row],[сумма]]*Таблица1[[#This Row],[коэф]])),
IF((G189="5/8"),((база!$J$6*Таблица1[[#This Row],[сумма]]*Таблица1[[#This Row],[коэф]])),
IF((G189="4/8"),((база!$J$5*Таблица1[[#This Row],[сумма]]*Таблица1[[#This Row],[коэф]])),
IF(OR(G189="3/8",G189="2/8"),((база!$J$4*Таблица1[[#This Row],[сумма]]*Таблица1[[#This Row],[коэф]])))))))))))))),
(IF((G189="5/24"),((база!$M$6*Таблица1[[#This Row],[сумма]]*Таблица1[[#This Row],[коэф]])),
IF(OR(G189="4/24",G189="3/24"),((база!$M$5*Таблица1[[#This Row],[сумма]]*Таблица1[[#This Row],[коэф]])),
IF((G189="5/16"),((база!$L$6*Таблица1[[#This Row],[сумма]]*Таблица1[[#This Row],[коэф]])),
IF(OR(G189="4/16",G189="3/16"),((база!$L$5*Таблица1[[#This Row],[сумма]]*Таблица1[[#This Row],[коэф]])),
IF(OR(G189="2/4",G189="3/4",G189="4/4"),((база!$I$5*Таблица1[[#This Row],[сумма]]*Таблица1[[#This Row],[коэф]])),
IF((G189="5/8"),((база!$J$6*Таблица1[[#This Row],[сумма]]*Таблица1[[#This Row],[коэф]])),
IF(OR(G189="4/8",G189="3/8",G189="2/8"),((база!$J$5*Таблица1[[#This Row],[сумма]]*Таблица1[[#This Row],[коэф]])))))))))))</f>
        <v>0</v>
      </c>
      <c r="AP189" s="715" t="b">
        <f>IF(AR189&lt;=3,(IF((G189="5/24"),((база!$M$6*2*Таблица1[[#This Row],[Столбец1]]*Таблица1[[#This Row],[коэф]])),
IF((G189="4/24"),((база!$M$5*2*Таблица1[[#This Row],[Столбец1]]*Таблица1[[#This Row],[коэф]])),
IF((G189="3/24"),((база!$M$4*2*Таблица1[[#This Row],[Столбец1]]*Таблица1[[#This Row],[коэф]])),
IF((G189="5/16"),((база!$L$6*2*Таблица1[[#This Row],[Столбец1]]*Таблица1[[#This Row],[коэф]])),
IF((G189="4/16"),((база!$L$5*2*Таблица1[[#This Row],[Столбец1]]*Таблица1[[#This Row],[коэф]])),
IF((G189="3/16"),((база!$L$4*2*Таблица1[[#This Row],[Столбец1]]*Таблица1[[#This Row],[коэф]])),
IF((G189="4/4"),((база!$I$5*2*Таблица1[[#This Row],[Столбец1]]*Таблица1[[#This Row],[коэф]])),
IF(OR(G189="2/4",G189="3/4"),((база!$I$4*2*Таблица1[[#This Row],[Столбец1]]*Таблица1[[#This Row],[коэф]])),
IF((G189="5/8"),((база!$J$6*2*Таблица1[[#This Row],[Столбец1]]*Таблица1[[#This Row],[коэф]])),
IF((G189="4/8"),((база!$J$5*2*Таблица1[[#This Row],[Столбец1]]*Таблица1[[#This Row],[коэф]])),
IF(OR(G189="3/8",G189="2/8"),((база!$J$4*2*Таблица1[[#This Row],[Столбец1]]*Таблица1[[#This Row],[коэф]])))))))))))))),
(IF((G189="5/24"),((база!$M$6*2*Таблица1[[#This Row],[Столбец1]]*Таблица1[[#This Row],[коэф]])),
IF(OR(G189="4/24",G189="3/24"),((база!$M$5*2*Таблица1[[#This Row],[Столбец1]]*Таблица1[[#This Row],[коэф]])),
IF((G189="5/16"),((база!$L$6*2*Таблица1[[#This Row],[Столбец1]]*Таблица1[[#This Row],[коэф]])),
IF(OR(G189="4/16",G189="3/16"),((база!$L$5*2*Таблица1[[#This Row],[Столбец1]]*Таблица1[[#This Row],[коэф]])),
IF(OR(G189="2/4",G189="3/4",G189="4/4"),((база!$I$5*2*Таблица1[[#This Row],[Столбец1]]*Таблица1[[#This Row],[коэф]])),
IF((G189="5/8"),((база!$J$6*2*Таблица1[[#This Row],[Столбец1]]*Таблица1[[#This Row],[коэф]])),
IF(OR(G189="4/8",G189="3/8",G189="2/8"),((база!$J$5*2*Таблица1[[#This Row],[Столбец1]]*Таблица1[[#This Row],[коэф]])))))))))))</f>
        <v>0</v>
      </c>
      <c r="AQ189" s="697" t="str">
        <f>IFERROR(INDEX(база!T:T, MATCH(F189,база!Q:Q,0)),"")</f>
        <v/>
      </c>
      <c r="AR189" s="207">
        <f>IFERROR(INDEX(база!D:D, MATCH(F189,база!B:B,0)),"")</f>
        <v>0</v>
      </c>
      <c r="AS189" s="46"/>
      <c r="AT189" s="46"/>
      <c r="AU189" s="46"/>
    </row>
    <row r="190" spans="1:47" ht="15">
      <c r="A190" s="66" t="str">
        <f t="shared" si="5"/>
        <v>декабрь</v>
      </c>
      <c r="B190" s="230">
        <v>2023</v>
      </c>
      <c r="C190" s="60"/>
      <c r="D190" s="61"/>
      <c r="E190" s="210"/>
      <c r="F190" s="669"/>
      <c r="G190" s="47"/>
      <c r="H190" s="563"/>
      <c r="I190" s="563"/>
      <c r="J190" s="563"/>
      <c r="K190" s="563"/>
      <c r="L190" s="563"/>
      <c r="M190" s="563"/>
      <c r="N190" s="563"/>
      <c r="O190" s="563"/>
      <c r="P190" s="300"/>
      <c r="Q190" s="563"/>
      <c r="R190" s="563"/>
      <c r="S190" s="563"/>
      <c r="T190" s="563"/>
      <c r="U190" s="563"/>
      <c r="V190" s="563"/>
      <c r="W190" s="563"/>
      <c r="X190" s="563"/>
      <c r="Y190" s="563"/>
      <c r="Z190" s="563"/>
      <c r="AA190" s="563"/>
      <c r="AB190" s="563"/>
      <c r="AC190" s="563"/>
      <c r="AD190" s="48"/>
      <c r="AE190" s="48"/>
      <c r="AF190" s="257"/>
      <c r="AG190" s="257"/>
      <c r="AH190" s="257"/>
      <c r="AI190" s="257"/>
      <c r="AJ190" s="257"/>
      <c r="AK190" s="257"/>
      <c r="AL190" s="257"/>
      <c r="AM190" s="211">
        <f>IF(AQ190=1,SUM(H190:I190,L190:O190,R190:U190,X190:AA190,AD190:AG190,AI190:AK190),
IF(AQ190=2,SUM(H190:K190,N190:Q190,T190:W190,Z190:AC190,AF190:AI190),
IF(AQ190=3,SUM(J190:M190,P190:S190,V190:Y190,AB190:AE190,AH190:AK190),SUM(Таблица1[[#This Row],[1]:[31]])-Таблица1[[#This Row],[Столбец1]])))</f>
        <v>0</v>
      </c>
      <c r="AN190" s="290">
        <f t="array" ref="AN190">IF(AQ190=1,SUM(J190:K190,P190:Q190,V190:W190,AB190:AC190,AH190:AI190),
IF(AQ190=2,SUM(L190:M190,R190:S190,X190:Y190,AD190:AE190),
IF(AQ190=3,SUM(H190:I190,N190:O190,T190:U190,Z190:AA190,AF190:AG190),
SUM(IFERROR(WEEKDAY($H$2:$AL$2,2)&gt;5,)*H190:AL190))))</f>
        <v>0</v>
      </c>
      <c r="AO190" s="292" t="b">
        <f>IF(AR190&lt;=3,(IF((G190="5/24"),((база!$M$6*Таблица1[[#This Row],[сумма]]*Таблица1[[#This Row],[коэф]])),
IF((G190="4/24"),((база!$M$5*Таблица1[[#This Row],[сумма]]*Таблица1[[#This Row],[коэф]])),
IF((G190="3/24"),((база!$M$4*Таблица1[[#This Row],[сумма]]*Таблица1[[#This Row],[коэф]])),
IF((G190="5/16"),((база!$L$6*Таблица1[[#This Row],[сумма]]*Таблица1[[#This Row],[коэф]])),
IF((G190="4/16"),((база!$L$5*Таблица1[[#This Row],[сумма]]*Таблица1[[#This Row],[коэф]])),
IF((G190="3/16"),((база!$L$4*Таблица1[[#This Row],[сумма]]*Таблица1[[#This Row],[коэф]])),
IF((G190="4/4"),((база!$I$5*Таблица1[[#This Row],[сумма]]*Таблица1[[#This Row],[коэф]])),
IF(OR(G190="2/4",G190="3/4"),((база!$I$4*Таблица1[[#This Row],[сумма]]*Таблица1[[#This Row],[коэф]])),
IF((G190="5/8"),((база!$J$6*Таблица1[[#This Row],[сумма]]*Таблица1[[#This Row],[коэф]])),
IF((G190="4/8"),((база!$J$5*Таблица1[[#This Row],[сумма]]*Таблица1[[#This Row],[коэф]])),
IF(OR(G190="3/8",G190="2/8"),((база!$J$4*Таблица1[[#This Row],[сумма]]*Таблица1[[#This Row],[коэф]])))))))))))))),
(IF((G190="5/24"),((база!$M$6*Таблица1[[#This Row],[сумма]]*Таблица1[[#This Row],[коэф]])),
IF(OR(G190="4/24",G190="3/24"),((база!$M$5*Таблица1[[#This Row],[сумма]]*Таблица1[[#This Row],[коэф]])),
IF((G190="5/16"),((база!$L$6*Таблица1[[#This Row],[сумма]]*Таблица1[[#This Row],[коэф]])),
IF(OR(G190="4/16",G190="3/16"),((база!$L$5*Таблица1[[#This Row],[сумма]]*Таблица1[[#This Row],[коэф]])),
IF(OR(G190="2/4",G190="3/4",G190="4/4"),((база!$I$5*Таблица1[[#This Row],[сумма]]*Таблица1[[#This Row],[коэф]])),
IF((G190="5/8"),((база!$J$6*Таблица1[[#This Row],[сумма]]*Таблица1[[#This Row],[коэф]])),
IF(OR(G190="4/8",G190="3/8",G190="2/8"),((база!$J$5*Таблица1[[#This Row],[сумма]]*Таблица1[[#This Row],[коэф]])))))))))))</f>
        <v>0</v>
      </c>
      <c r="AP190" s="715" t="b">
        <f>IF(AR190&lt;=3,(IF((G190="5/24"),((база!$M$6*2*Таблица1[[#This Row],[Столбец1]]*Таблица1[[#This Row],[коэф]])),
IF((G190="4/24"),((база!$M$5*2*Таблица1[[#This Row],[Столбец1]]*Таблица1[[#This Row],[коэф]])),
IF((G190="3/24"),((база!$M$4*2*Таблица1[[#This Row],[Столбец1]]*Таблица1[[#This Row],[коэф]])),
IF((G190="5/16"),((база!$L$6*2*Таблица1[[#This Row],[Столбец1]]*Таблица1[[#This Row],[коэф]])),
IF((G190="4/16"),((база!$L$5*2*Таблица1[[#This Row],[Столбец1]]*Таблица1[[#This Row],[коэф]])),
IF((G190="3/16"),((база!$L$4*2*Таблица1[[#This Row],[Столбец1]]*Таблица1[[#This Row],[коэф]])),
IF((G190="4/4"),((база!$I$5*2*Таблица1[[#This Row],[Столбец1]]*Таблица1[[#This Row],[коэф]])),
IF(OR(G190="2/4",G190="3/4"),((база!$I$4*2*Таблица1[[#This Row],[Столбец1]]*Таблица1[[#This Row],[коэф]])),
IF((G190="5/8"),((база!$J$6*2*Таблица1[[#This Row],[Столбец1]]*Таблица1[[#This Row],[коэф]])),
IF((G190="4/8"),((база!$J$5*2*Таблица1[[#This Row],[Столбец1]]*Таблица1[[#This Row],[коэф]])),
IF(OR(G190="3/8",G190="2/8"),((база!$J$4*2*Таблица1[[#This Row],[Столбец1]]*Таблица1[[#This Row],[коэф]])))))))))))))),
(IF((G190="5/24"),((база!$M$6*2*Таблица1[[#This Row],[Столбец1]]*Таблица1[[#This Row],[коэф]])),
IF(OR(G190="4/24",G190="3/24"),((база!$M$5*2*Таблица1[[#This Row],[Столбец1]]*Таблица1[[#This Row],[коэф]])),
IF((G190="5/16"),((база!$L$6*2*Таблица1[[#This Row],[Столбец1]]*Таблица1[[#This Row],[коэф]])),
IF(OR(G190="4/16",G190="3/16"),((база!$L$5*2*Таблица1[[#This Row],[Столбец1]]*Таблица1[[#This Row],[коэф]])),
IF(OR(G190="2/4",G190="3/4",G190="4/4"),((база!$I$5*2*Таблица1[[#This Row],[Столбец1]]*Таблица1[[#This Row],[коэф]])),
IF((G190="5/8"),((база!$J$6*2*Таблица1[[#This Row],[Столбец1]]*Таблица1[[#This Row],[коэф]])),
IF(OR(G190="4/8",G190="3/8",G190="2/8"),((база!$J$5*2*Таблица1[[#This Row],[Столбец1]]*Таблица1[[#This Row],[коэф]])))))))))))</f>
        <v>0</v>
      </c>
      <c r="AQ190" s="697" t="str">
        <f>IFERROR(INDEX(база!T:T, MATCH(F190,база!Q:Q,0)),"")</f>
        <v/>
      </c>
      <c r="AR190" s="207">
        <f>IFERROR(INDEX(база!D:D, MATCH(F190,база!B:B,0)),"")</f>
        <v>0</v>
      </c>
      <c r="AS190" s="46"/>
      <c r="AT190" s="46"/>
      <c r="AU190" s="46"/>
    </row>
    <row r="191" spans="1:47" ht="15">
      <c r="A191" s="66" t="str">
        <f t="shared" si="5"/>
        <v>декабрь</v>
      </c>
      <c r="B191" s="230">
        <v>2023</v>
      </c>
      <c r="C191" s="299"/>
      <c r="D191" s="61"/>
      <c r="E191" s="210"/>
      <c r="F191" s="669"/>
      <c r="G191" s="47"/>
      <c r="H191" s="563"/>
      <c r="I191" s="563"/>
      <c r="J191" s="563"/>
      <c r="K191" s="563"/>
      <c r="L191" s="563"/>
      <c r="M191" s="563"/>
      <c r="N191" s="563"/>
      <c r="O191" s="563"/>
      <c r="P191" s="300"/>
      <c r="Q191" s="563"/>
      <c r="R191" s="563"/>
      <c r="S191" s="563"/>
      <c r="T191" s="563"/>
      <c r="U191" s="563"/>
      <c r="V191" s="563"/>
      <c r="W191" s="563"/>
      <c r="X191" s="563"/>
      <c r="Y191" s="563"/>
      <c r="Z191" s="563"/>
      <c r="AA191" s="563"/>
      <c r="AB191" s="563"/>
      <c r="AC191" s="563"/>
      <c r="AD191" s="48"/>
      <c r="AE191" s="48"/>
      <c r="AF191" s="257"/>
      <c r="AG191" s="257"/>
      <c r="AH191" s="257"/>
      <c r="AI191" s="257"/>
      <c r="AJ191" s="257"/>
      <c r="AK191" s="257"/>
      <c r="AL191" s="257"/>
      <c r="AM191" s="211">
        <f>IF(AQ191=1,SUM(H191:I191,L191:O191,R191:U191,X191:AA191,AD191:AG191,AI191:AK191),
IF(AQ191=2,SUM(H191:K191,N191:Q191,T191:W191,Z191:AC191,AF191:AI191),
IF(AQ191=3,SUM(J191:M191,P191:S191,V191:Y191,AB191:AE191,AH191:AK191),SUM(Таблица1[[#This Row],[1]:[31]])-Таблица1[[#This Row],[Столбец1]])))</f>
        <v>0</v>
      </c>
      <c r="AN191" s="290">
        <f t="array" ref="AN191">IF(AQ191=1,SUM(J191:K191,P191:Q191,V191:W191,AB191:AC191,AH191:AI191),
IF(AQ191=2,SUM(L191:M191,R191:S191,X191:Y191,AD191:AE191),
IF(AQ191=3,SUM(H191:I191,N191:O191,T191:U191,Z191:AA191,AF191:AG191),
SUM(IFERROR(WEEKDAY($H$2:$AL$2,2)&gt;5,)*H191:AL191))))</f>
        <v>0</v>
      </c>
      <c r="AO191" s="292" t="b">
        <f>IF(AR191&lt;=3,(IF((G191="5/24"),((база!$M$6*Таблица1[[#This Row],[сумма]]*Таблица1[[#This Row],[коэф]])),
IF((G191="4/24"),((база!$M$5*Таблица1[[#This Row],[сумма]]*Таблица1[[#This Row],[коэф]])),
IF((G191="3/24"),((база!$M$4*Таблица1[[#This Row],[сумма]]*Таблица1[[#This Row],[коэф]])),
IF((G191="5/16"),((база!$L$6*Таблица1[[#This Row],[сумма]]*Таблица1[[#This Row],[коэф]])),
IF((G191="4/16"),((база!$L$5*Таблица1[[#This Row],[сумма]]*Таблица1[[#This Row],[коэф]])),
IF((G191="3/16"),((база!$L$4*Таблица1[[#This Row],[сумма]]*Таблица1[[#This Row],[коэф]])),
IF((G191="4/4"),((база!$I$5*Таблица1[[#This Row],[сумма]]*Таблица1[[#This Row],[коэф]])),
IF(OR(G191="2/4",G191="3/4"),((база!$I$4*Таблица1[[#This Row],[сумма]]*Таблица1[[#This Row],[коэф]])),
IF((G191="5/8"),((база!$J$6*Таблица1[[#This Row],[сумма]]*Таблица1[[#This Row],[коэф]])),
IF((G191="4/8"),((база!$J$5*Таблица1[[#This Row],[сумма]]*Таблица1[[#This Row],[коэф]])),
IF(OR(G191="3/8",G191="2/8"),((база!$J$4*Таблица1[[#This Row],[сумма]]*Таблица1[[#This Row],[коэф]])))))))))))))),
(IF((G191="5/24"),((база!$M$6*Таблица1[[#This Row],[сумма]]*Таблица1[[#This Row],[коэф]])),
IF(OR(G191="4/24",G191="3/24"),((база!$M$5*Таблица1[[#This Row],[сумма]]*Таблица1[[#This Row],[коэф]])),
IF((G191="5/16"),((база!$L$6*Таблица1[[#This Row],[сумма]]*Таблица1[[#This Row],[коэф]])),
IF(OR(G191="4/16",G191="3/16"),((база!$L$5*Таблица1[[#This Row],[сумма]]*Таблица1[[#This Row],[коэф]])),
IF(OR(G191="2/4",G191="3/4",G191="4/4"),((база!$I$5*Таблица1[[#This Row],[сумма]]*Таблица1[[#This Row],[коэф]])),
IF((G191="5/8"),((база!$J$6*Таблица1[[#This Row],[сумма]]*Таблица1[[#This Row],[коэф]])),
IF(OR(G191="4/8",G191="3/8",G191="2/8"),((база!$J$5*Таблица1[[#This Row],[сумма]]*Таблица1[[#This Row],[коэф]])))))))))))</f>
        <v>0</v>
      </c>
      <c r="AP191" s="715" t="b">
        <f>IF(AR191&lt;=3,(IF((G191="5/24"),((база!$M$6*2*Таблица1[[#This Row],[Столбец1]]*Таблица1[[#This Row],[коэф]])),
IF((G191="4/24"),((база!$M$5*2*Таблица1[[#This Row],[Столбец1]]*Таблица1[[#This Row],[коэф]])),
IF((G191="3/24"),((база!$M$4*2*Таблица1[[#This Row],[Столбец1]]*Таблица1[[#This Row],[коэф]])),
IF((G191="5/16"),((база!$L$6*2*Таблица1[[#This Row],[Столбец1]]*Таблица1[[#This Row],[коэф]])),
IF((G191="4/16"),((база!$L$5*2*Таблица1[[#This Row],[Столбец1]]*Таблица1[[#This Row],[коэф]])),
IF((G191="3/16"),((база!$L$4*2*Таблица1[[#This Row],[Столбец1]]*Таблица1[[#This Row],[коэф]])),
IF((G191="4/4"),((база!$I$5*2*Таблица1[[#This Row],[Столбец1]]*Таблица1[[#This Row],[коэф]])),
IF(OR(G191="2/4",G191="3/4"),((база!$I$4*2*Таблица1[[#This Row],[Столбец1]]*Таблица1[[#This Row],[коэф]])),
IF((G191="5/8"),((база!$J$6*2*Таблица1[[#This Row],[Столбец1]]*Таблица1[[#This Row],[коэф]])),
IF((G191="4/8"),((база!$J$5*2*Таблица1[[#This Row],[Столбец1]]*Таблица1[[#This Row],[коэф]])),
IF(OR(G191="3/8",G191="2/8"),((база!$J$4*2*Таблица1[[#This Row],[Столбец1]]*Таблица1[[#This Row],[коэф]])))))))))))))),
(IF((G191="5/24"),((база!$M$6*2*Таблица1[[#This Row],[Столбец1]]*Таблица1[[#This Row],[коэф]])),
IF(OR(G191="4/24",G191="3/24"),((база!$M$5*2*Таблица1[[#This Row],[Столбец1]]*Таблица1[[#This Row],[коэф]])),
IF((G191="5/16"),((база!$L$6*2*Таблица1[[#This Row],[Столбец1]]*Таблица1[[#This Row],[коэф]])),
IF(OR(G191="4/16",G191="3/16"),((база!$L$5*2*Таблица1[[#This Row],[Столбец1]]*Таблица1[[#This Row],[коэф]])),
IF(OR(G191="2/4",G191="3/4",G191="4/4"),((база!$I$5*2*Таблица1[[#This Row],[Столбец1]]*Таблица1[[#This Row],[коэф]])),
IF((G191="5/8"),((база!$J$6*2*Таблица1[[#This Row],[Столбец1]]*Таблица1[[#This Row],[коэф]])),
IF(OR(G191="4/8",G191="3/8",G191="2/8"),((база!$J$5*2*Таблица1[[#This Row],[Столбец1]]*Таблица1[[#This Row],[коэф]])))))))))))</f>
        <v>0</v>
      </c>
      <c r="AQ191" s="697" t="str">
        <f>IFERROR(INDEX(база!T:T, MATCH(F191,база!Q:Q,0)),"")</f>
        <v/>
      </c>
      <c r="AR191" s="207">
        <f>IFERROR(INDEX(база!D:D, MATCH(F191,база!B:B,0)),"")</f>
        <v>0</v>
      </c>
      <c r="AS191" s="46"/>
      <c r="AT191" s="46"/>
      <c r="AU191" s="46"/>
    </row>
    <row r="192" spans="1:47" ht="15">
      <c r="A192" s="66" t="str">
        <f t="shared" si="5"/>
        <v>декабрь</v>
      </c>
      <c r="B192" s="230">
        <v>2023</v>
      </c>
      <c r="C192" s="60"/>
      <c r="D192" s="61"/>
      <c r="E192" s="210"/>
      <c r="F192" s="669"/>
      <c r="G192" s="47"/>
      <c r="H192" s="563"/>
      <c r="I192" s="563"/>
      <c r="J192" s="563"/>
      <c r="K192" s="563"/>
      <c r="L192" s="563"/>
      <c r="M192" s="563"/>
      <c r="N192" s="563"/>
      <c r="O192" s="563"/>
      <c r="P192" s="300"/>
      <c r="Q192" s="563"/>
      <c r="R192" s="563"/>
      <c r="S192" s="563"/>
      <c r="T192" s="563"/>
      <c r="U192" s="563"/>
      <c r="V192" s="563"/>
      <c r="W192" s="563"/>
      <c r="X192" s="563"/>
      <c r="Y192" s="563"/>
      <c r="Z192" s="563"/>
      <c r="AA192" s="563"/>
      <c r="AB192" s="563"/>
      <c r="AC192" s="563"/>
      <c r="AD192" s="48"/>
      <c r="AE192" s="48"/>
      <c r="AF192" s="257"/>
      <c r="AG192" s="257"/>
      <c r="AH192" s="257"/>
      <c r="AI192" s="257"/>
      <c r="AJ192" s="257"/>
      <c r="AK192" s="257"/>
      <c r="AL192" s="257"/>
      <c r="AM192" s="211">
        <f>IF(AQ192=1,SUM(H192:I192,L192:O192,R192:U192,X192:AA192,AD192:AG192,AI192:AK192),
IF(AQ192=2,SUM(H192:K192,N192:Q192,T192:W192,Z192:AC192,AF192:AI192),
IF(AQ192=3,SUM(J192:M192,P192:S192,V192:Y192,AB192:AE192,AH192:AK192),SUM(Таблица1[[#This Row],[1]:[31]])-Таблица1[[#This Row],[Столбец1]])))</f>
        <v>0</v>
      </c>
      <c r="AN192" s="290">
        <f t="array" ref="AN192">IF(AQ192=1,SUM(J192:K192,P192:Q192,V192:W192,AB192:AC192,AH192:AI192),
IF(AQ192=2,SUM(L192:M192,R192:S192,X192:Y192,AD192:AE192),
IF(AQ192=3,SUM(H192:I192,N192:O192,T192:U192,Z192:AA192,AF192:AG192),
SUM(IFERROR(WEEKDAY($H$2:$AL$2,2)&gt;5,)*H192:AL192))))</f>
        <v>0</v>
      </c>
      <c r="AO192" s="292" t="b">
        <f>IF(AR192&lt;=3,(IF((G192="5/24"),((база!$M$6*Таблица1[[#This Row],[сумма]]*Таблица1[[#This Row],[коэф]])),
IF((G192="4/24"),((база!$M$5*Таблица1[[#This Row],[сумма]]*Таблица1[[#This Row],[коэф]])),
IF((G192="3/24"),((база!$M$4*Таблица1[[#This Row],[сумма]]*Таблица1[[#This Row],[коэф]])),
IF((G192="5/16"),((база!$L$6*Таблица1[[#This Row],[сумма]]*Таблица1[[#This Row],[коэф]])),
IF((G192="4/16"),((база!$L$5*Таблица1[[#This Row],[сумма]]*Таблица1[[#This Row],[коэф]])),
IF((G192="3/16"),((база!$L$4*Таблица1[[#This Row],[сумма]]*Таблица1[[#This Row],[коэф]])),
IF((G192="4/4"),((база!$I$5*Таблица1[[#This Row],[сумма]]*Таблица1[[#This Row],[коэф]])),
IF(OR(G192="2/4",G192="3/4"),((база!$I$4*Таблица1[[#This Row],[сумма]]*Таблица1[[#This Row],[коэф]])),
IF((G192="5/8"),((база!$J$6*Таблица1[[#This Row],[сумма]]*Таблица1[[#This Row],[коэф]])),
IF((G192="4/8"),((база!$J$5*Таблица1[[#This Row],[сумма]]*Таблица1[[#This Row],[коэф]])),
IF(OR(G192="3/8",G192="2/8"),((база!$J$4*Таблица1[[#This Row],[сумма]]*Таблица1[[#This Row],[коэф]])))))))))))))),
(IF((G192="5/24"),((база!$M$6*Таблица1[[#This Row],[сумма]]*Таблица1[[#This Row],[коэф]])),
IF(OR(G192="4/24",G192="3/24"),((база!$M$5*Таблица1[[#This Row],[сумма]]*Таблица1[[#This Row],[коэф]])),
IF((G192="5/16"),((база!$L$6*Таблица1[[#This Row],[сумма]]*Таблица1[[#This Row],[коэф]])),
IF(OR(G192="4/16",G192="3/16"),((база!$L$5*Таблица1[[#This Row],[сумма]]*Таблица1[[#This Row],[коэф]])),
IF(OR(G192="2/4",G192="3/4",G192="4/4"),((база!$I$5*Таблица1[[#This Row],[сумма]]*Таблица1[[#This Row],[коэф]])),
IF((G192="5/8"),((база!$J$6*Таблица1[[#This Row],[сумма]]*Таблица1[[#This Row],[коэф]])),
IF(OR(G192="4/8",G192="3/8",G192="2/8"),((база!$J$5*Таблица1[[#This Row],[сумма]]*Таблица1[[#This Row],[коэф]])))))))))))</f>
        <v>0</v>
      </c>
      <c r="AP192" s="715" t="b">
        <f>IF(AR192&lt;=3,(IF((G192="5/24"),((база!$M$6*2*Таблица1[[#This Row],[Столбец1]]*Таблица1[[#This Row],[коэф]])),
IF((G192="4/24"),((база!$M$5*2*Таблица1[[#This Row],[Столбец1]]*Таблица1[[#This Row],[коэф]])),
IF((G192="3/24"),((база!$M$4*2*Таблица1[[#This Row],[Столбец1]]*Таблица1[[#This Row],[коэф]])),
IF((G192="5/16"),((база!$L$6*2*Таблица1[[#This Row],[Столбец1]]*Таблица1[[#This Row],[коэф]])),
IF((G192="4/16"),((база!$L$5*2*Таблица1[[#This Row],[Столбец1]]*Таблица1[[#This Row],[коэф]])),
IF((G192="3/16"),((база!$L$4*2*Таблица1[[#This Row],[Столбец1]]*Таблица1[[#This Row],[коэф]])),
IF((G192="4/4"),((база!$I$5*2*Таблица1[[#This Row],[Столбец1]]*Таблица1[[#This Row],[коэф]])),
IF(OR(G192="2/4",G192="3/4"),((база!$I$4*2*Таблица1[[#This Row],[Столбец1]]*Таблица1[[#This Row],[коэф]])),
IF((G192="5/8"),((база!$J$6*2*Таблица1[[#This Row],[Столбец1]]*Таблица1[[#This Row],[коэф]])),
IF((G192="4/8"),((база!$J$5*2*Таблица1[[#This Row],[Столбец1]]*Таблица1[[#This Row],[коэф]])),
IF(OR(G192="3/8",G192="2/8"),((база!$J$4*2*Таблица1[[#This Row],[Столбец1]]*Таблица1[[#This Row],[коэф]])))))))))))))),
(IF((G192="5/24"),((база!$M$6*2*Таблица1[[#This Row],[Столбец1]]*Таблица1[[#This Row],[коэф]])),
IF(OR(G192="4/24",G192="3/24"),((база!$M$5*2*Таблица1[[#This Row],[Столбец1]]*Таблица1[[#This Row],[коэф]])),
IF((G192="5/16"),((база!$L$6*2*Таблица1[[#This Row],[Столбец1]]*Таблица1[[#This Row],[коэф]])),
IF(OR(G192="4/16",G192="3/16"),((база!$L$5*2*Таблица1[[#This Row],[Столбец1]]*Таблица1[[#This Row],[коэф]])),
IF(OR(G192="2/4",G192="3/4",G192="4/4"),((база!$I$5*2*Таблица1[[#This Row],[Столбец1]]*Таблица1[[#This Row],[коэф]])),
IF((G192="5/8"),((база!$J$6*2*Таблица1[[#This Row],[Столбец1]]*Таблица1[[#This Row],[коэф]])),
IF(OR(G192="4/8",G192="3/8",G192="2/8"),((база!$J$5*2*Таблица1[[#This Row],[Столбец1]]*Таблица1[[#This Row],[коэф]])))))))))))</f>
        <v>0</v>
      </c>
      <c r="AQ192" s="697" t="str">
        <f>IFERROR(INDEX(база!T:T, MATCH(F192,база!Q:Q,0)),"")</f>
        <v/>
      </c>
      <c r="AR192" s="207">
        <f>IFERROR(INDEX(база!D:D, MATCH(F192,база!B:B,0)),"")</f>
        <v>0</v>
      </c>
      <c r="AS192" s="46"/>
      <c r="AT192" s="46"/>
      <c r="AU192" s="46"/>
    </row>
    <row r="193" spans="1:47" ht="15">
      <c r="A193" s="66" t="str">
        <f t="shared" si="5"/>
        <v>декабрь</v>
      </c>
      <c r="B193" s="230">
        <v>2023</v>
      </c>
      <c r="C193" s="299"/>
      <c r="D193" s="61"/>
      <c r="E193" s="210"/>
      <c r="F193" s="669"/>
      <c r="G193" s="47"/>
      <c r="H193" s="563"/>
      <c r="I193" s="563"/>
      <c r="J193" s="563"/>
      <c r="K193" s="563"/>
      <c r="L193" s="563"/>
      <c r="M193" s="563"/>
      <c r="N193" s="563"/>
      <c r="O193" s="563"/>
      <c r="P193" s="300"/>
      <c r="Q193" s="563"/>
      <c r="R193" s="563"/>
      <c r="S193" s="563"/>
      <c r="T193" s="563"/>
      <c r="U193" s="563"/>
      <c r="V193" s="563"/>
      <c r="W193" s="563"/>
      <c r="X193" s="563"/>
      <c r="Y193" s="563"/>
      <c r="Z193" s="563"/>
      <c r="AA193" s="563"/>
      <c r="AB193" s="563"/>
      <c r="AC193" s="563"/>
      <c r="AD193" s="48"/>
      <c r="AE193" s="48"/>
      <c r="AF193" s="257"/>
      <c r="AG193" s="257"/>
      <c r="AH193" s="257"/>
      <c r="AI193" s="257"/>
      <c r="AJ193" s="257"/>
      <c r="AK193" s="257"/>
      <c r="AL193" s="257"/>
      <c r="AM193" s="211">
        <f>IF(AQ193=1,SUM(H193:I193,L193:O193,R193:U193,X193:AA193,AD193:AG193,AI193:AK193),
IF(AQ193=2,SUM(H193:K193,N193:Q193,T193:W193,Z193:AC193,AF193:AI193),
IF(AQ193=3,SUM(J193:M193,P193:S193,V193:Y193,AB193:AE193,AH193:AK193),SUM(Таблица1[[#This Row],[1]:[31]])-Таблица1[[#This Row],[Столбец1]])))</f>
        <v>0</v>
      </c>
      <c r="AN193" s="290">
        <f t="array" ref="AN193">IF(AQ193=1,SUM(J193:K193,P193:Q193,V193:W193,AB193:AC193,AH193:AI193),
IF(AQ193=2,SUM(L193:M193,R193:S193,X193:Y193,AD193:AE193),
IF(AQ193=3,SUM(H193:I193,N193:O193,T193:U193,Z193:AA193,AF193:AG193),
SUM(IFERROR(WEEKDAY($H$2:$AL$2,2)&gt;5,)*H193:AL193))))</f>
        <v>0</v>
      </c>
      <c r="AO193" s="292" t="b">
        <f>IF(AR193&lt;=3,(IF((G193="5/24"),((база!$M$6*Таблица1[[#This Row],[сумма]]*Таблица1[[#This Row],[коэф]])),
IF((G193="4/24"),((база!$M$5*Таблица1[[#This Row],[сумма]]*Таблица1[[#This Row],[коэф]])),
IF((G193="3/24"),((база!$M$4*Таблица1[[#This Row],[сумма]]*Таблица1[[#This Row],[коэф]])),
IF((G193="5/16"),((база!$L$6*Таблица1[[#This Row],[сумма]]*Таблица1[[#This Row],[коэф]])),
IF((G193="4/16"),((база!$L$5*Таблица1[[#This Row],[сумма]]*Таблица1[[#This Row],[коэф]])),
IF((G193="3/16"),((база!$L$4*Таблица1[[#This Row],[сумма]]*Таблица1[[#This Row],[коэф]])),
IF((G193="4/4"),((база!$I$5*Таблица1[[#This Row],[сумма]]*Таблица1[[#This Row],[коэф]])),
IF(OR(G193="2/4",G193="3/4"),((база!$I$4*Таблица1[[#This Row],[сумма]]*Таблица1[[#This Row],[коэф]])),
IF((G193="5/8"),((база!$J$6*Таблица1[[#This Row],[сумма]]*Таблица1[[#This Row],[коэф]])),
IF((G193="4/8"),((база!$J$5*Таблица1[[#This Row],[сумма]]*Таблица1[[#This Row],[коэф]])),
IF(OR(G193="3/8",G193="2/8"),((база!$J$4*Таблица1[[#This Row],[сумма]]*Таблица1[[#This Row],[коэф]])))))))))))))),
(IF((G193="5/24"),((база!$M$6*Таблица1[[#This Row],[сумма]]*Таблица1[[#This Row],[коэф]])),
IF(OR(G193="4/24",G193="3/24"),((база!$M$5*Таблица1[[#This Row],[сумма]]*Таблица1[[#This Row],[коэф]])),
IF((G193="5/16"),((база!$L$6*Таблица1[[#This Row],[сумма]]*Таблица1[[#This Row],[коэф]])),
IF(OR(G193="4/16",G193="3/16"),((база!$L$5*Таблица1[[#This Row],[сумма]]*Таблица1[[#This Row],[коэф]])),
IF(OR(G193="2/4",G193="3/4",G193="4/4"),((база!$I$5*Таблица1[[#This Row],[сумма]]*Таблица1[[#This Row],[коэф]])),
IF((G193="5/8"),((база!$J$6*Таблица1[[#This Row],[сумма]]*Таблица1[[#This Row],[коэф]])),
IF(OR(G193="4/8",G193="3/8",G193="2/8"),((база!$J$5*Таблица1[[#This Row],[сумма]]*Таблица1[[#This Row],[коэф]])))))))))))</f>
        <v>0</v>
      </c>
      <c r="AP193" s="715" t="b">
        <f>IF(AR193&lt;=3,(IF((G193="5/24"),((база!$M$6*2*Таблица1[[#This Row],[Столбец1]]*Таблица1[[#This Row],[коэф]])),
IF((G193="4/24"),((база!$M$5*2*Таблица1[[#This Row],[Столбец1]]*Таблица1[[#This Row],[коэф]])),
IF((G193="3/24"),((база!$M$4*2*Таблица1[[#This Row],[Столбец1]]*Таблица1[[#This Row],[коэф]])),
IF((G193="5/16"),((база!$L$6*2*Таблица1[[#This Row],[Столбец1]]*Таблица1[[#This Row],[коэф]])),
IF((G193="4/16"),((база!$L$5*2*Таблица1[[#This Row],[Столбец1]]*Таблица1[[#This Row],[коэф]])),
IF((G193="3/16"),((база!$L$4*2*Таблица1[[#This Row],[Столбец1]]*Таблица1[[#This Row],[коэф]])),
IF((G193="4/4"),((база!$I$5*2*Таблица1[[#This Row],[Столбец1]]*Таблица1[[#This Row],[коэф]])),
IF(OR(G193="2/4",G193="3/4"),((база!$I$4*2*Таблица1[[#This Row],[Столбец1]]*Таблица1[[#This Row],[коэф]])),
IF((G193="5/8"),((база!$J$6*2*Таблица1[[#This Row],[Столбец1]]*Таблица1[[#This Row],[коэф]])),
IF((G193="4/8"),((база!$J$5*2*Таблица1[[#This Row],[Столбец1]]*Таблица1[[#This Row],[коэф]])),
IF(OR(G193="3/8",G193="2/8"),((база!$J$4*2*Таблица1[[#This Row],[Столбец1]]*Таблица1[[#This Row],[коэф]])))))))))))))),
(IF((G193="5/24"),((база!$M$6*2*Таблица1[[#This Row],[Столбец1]]*Таблица1[[#This Row],[коэф]])),
IF(OR(G193="4/24",G193="3/24"),((база!$M$5*2*Таблица1[[#This Row],[Столбец1]]*Таблица1[[#This Row],[коэф]])),
IF((G193="5/16"),((база!$L$6*2*Таблица1[[#This Row],[Столбец1]]*Таблица1[[#This Row],[коэф]])),
IF(OR(G193="4/16",G193="3/16"),((база!$L$5*2*Таблица1[[#This Row],[Столбец1]]*Таблица1[[#This Row],[коэф]])),
IF(OR(G193="2/4",G193="3/4",G193="4/4"),((база!$I$5*2*Таблица1[[#This Row],[Столбец1]]*Таблица1[[#This Row],[коэф]])),
IF((G193="5/8"),((база!$J$6*2*Таблица1[[#This Row],[Столбец1]]*Таблица1[[#This Row],[коэф]])),
IF(OR(G193="4/8",G193="3/8",G193="2/8"),((база!$J$5*2*Таблица1[[#This Row],[Столбец1]]*Таблица1[[#This Row],[коэф]])))))))))))</f>
        <v>0</v>
      </c>
      <c r="AQ193" s="697" t="str">
        <f>IFERROR(INDEX(база!T:T, MATCH(F193,база!Q:Q,0)),"")</f>
        <v/>
      </c>
      <c r="AR193" s="207">
        <f>IFERROR(INDEX(база!D:D, MATCH(F193,база!B:B,0)),"")</f>
        <v>0</v>
      </c>
      <c r="AS193" s="46"/>
      <c r="AT193" s="46"/>
      <c r="AU193" s="46"/>
    </row>
    <row r="194" spans="1:47" ht="15">
      <c r="A194" s="66" t="str">
        <f t="shared" si="5"/>
        <v>декабрь</v>
      </c>
      <c r="B194" s="230">
        <v>2023</v>
      </c>
      <c r="C194" s="60"/>
      <c r="D194" s="61"/>
      <c r="E194" s="210"/>
      <c r="F194" s="669"/>
      <c r="G194" s="47"/>
      <c r="H194" s="563"/>
      <c r="I194" s="563"/>
      <c r="J194" s="563"/>
      <c r="K194" s="563"/>
      <c r="L194" s="563"/>
      <c r="M194" s="563"/>
      <c r="N194" s="563"/>
      <c r="O194" s="563"/>
      <c r="P194" s="300"/>
      <c r="Q194" s="563"/>
      <c r="R194" s="563"/>
      <c r="S194" s="563"/>
      <c r="T194" s="563"/>
      <c r="U194" s="563"/>
      <c r="V194" s="563"/>
      <c r="W194" s="563"/>
      <c r="X194" s="563"/>
      <c r="Y194" s="563"/>
      <c r="Z194" s="563"/>
      <c r="AA194" s="563"/>
      <c r="AB194" s="563"/>
      <c r="AC194" s="563"/>
      <c r="AD194" s="48"/>
      <c r="AE194" s="48"/>
      <c r="AF194" s="257"/>
      <c r="AG194" s="257"/>
      <c r="AH194" s="257"/>
      <c r="AI194" s="257"/>
      <c r="AJ194" s="257"/>
      <c r="AK194" s="257"/>
      <c r="AL194" s="257"/>
      <c r="AM194" s="211">
        <f>IF(AQ194=1,SUM(H194:I194,L194:O194,R194:U194,X194:AA194,AD194:AG194,AI194:AK194),
IF(AQ194=2,SUM(H194:K194,N194:Q194,T194:W194,Z194:AC194,AF194:AI194),
IF(AQ194=3,SUM(J194:M194,P194:S194,V194:Y194,AB194:AE194,AH194:AK194),SUM(Таблица1[[#This Row],[1]:[31]])-Таблица1[[#This Row],[Столбец1]])))</f>
        <v>0</v>
      </c>
      <c r="AN194" s="290">
        <f t="array" ref="AN194">IF(AQ194=1,SUM(J194:K194,P194:Q194,V194:W194,AB194:AC194,AH194:AI194),
IF(AQ194=2,SUM(L194:M194,R194:S194,X194:Y194,AD194:AE194),
IF(AQ194=3,SUM(H194:I194,N194:O194,T194:U194,Z194:AA194,AF194:AG194),
SUM(IFERROR(WEEKDAY($H$2:$AL$2,2)&gt;5,)*H194:AL194))))</f>
        <v>0</v>
      </c>
      <c r="AO194" s="292" t="b">
        <f>IF(AR194&lt;=3,(IF((G194="5/24"),((база!$M$6*Таблица1[[#This Row],[сумма]]*Таблица1[[#This Row],[коэф]])),
IF((G194="4/24"),((база!$M$5*Таблица1[[#This Row],[сумма]]*Таблица1[[#This Row],[коэф]])),
IF((G194="3/24"),((база!$M$4*Таблица1[[#This Row],[сумма]]*Таблица1[[#This Row],[коэф]])),
IF((G194="5/16"),((база!$L$6*Таблица1[[#This Row],[сумма]]*Таблица1[[#This Row],[коэф]])),
IF((G194="4/16"),((база!$L$5*Таблица1[[#This Row],[сумма]]*Таблица1[[#This Row],[коэф]])),
IF((G194="3/16"),((база!$L$4*Таблица1[[#This Row],[сумма]]*Таблица1[[#This Row],[коэф]])),
IF((G194="4/4"),((база!$I$5*Таблица1[[#This Row],[сумма]]*Таблица1[[#This Row],[коэф]])),
IF(OR(G194="2/4",G194="3/4"),((база!$I$4*Таблица1[[#This Row],[сумма]]*Таблица1[[#This Row],[коэф]])),
IF((G194="5/8"),((база!$J$6*Таблица1[[#This Row],[сумма]]*Таблица1[[#This Row],[коэф]])),
IF((G194="4/8"),((база!$J$5*Таблица1[[#This Row],[сумма]]*Таблица1[[#This Row],[коэф]])),
IF(OR(G194="3/8",G194="2/8"),((база!$J$4*Таблица1[[#This Row],[сумма]]*Таблица1[[#This Row],[коэф]])))))))))))))),
(IF((G194="5/24"),((база!$M$6*Таблица1[[#This Row],[сумма]]*Таблица1[[#This Row],[коэф]])),
IF(OR(G194="4/24",G194="3/24"),((база!$M$5*Таблица1[[#This Row],[сумма]]*Таблица1[[#This Row],[коэф]])),
IF((G194="5/16"),((база!$L$6*Таблица1[[#This Row],[сумма]]*Таблица1[[#This Row],[коэф]])),
IF(OR(G194="4/16",G194="3/16"),((база!$L$5*Таблица1[[#This Row],[сумма]]*Таблица1[[#This Row],[коэф]])),
IF(OR(G194="2/4",G194="3/4",G194="4/4"),((база!$I$5*Таблица1[[#This Row],[сумма]]*Таблица1[[#This Row],[коэф]])),
IF((G194="5/8"),((база!$J$6*Таблица1[[#This Row],[сумма]]*Таблица1[[#This Row],[коэф]])),
IF(OR(G194="4/8",G194="3/8",G194="2/8"),((база!$J$5*Таблица1[[#This Row],[сумма]]*Таблица1[[#This Row],[коэф]])))))))))))</f>
        <v>0</v>
      </c>
      <c r="AP194" s="715" t="b">
        <f>IF(AR194&lt;=3,(IF((G194="5/24"),((база!$M$6*2*Таблица1[[#This Row],[Столбец1]]*Таблица1[[#This Row],[коэф]])),
IF((G194="4/24"),((база!$M$5*2*Таблица1[[#This Row],[Столбец1]]*Таблица1[[#This Row],[коэф]])),
IF((G194="3/24"),((база!$M$4*2*Таблица1[[#This Row],[Столбец1]]*Таблица1[[#This Row],[коэф]])),
IF((G194="5/16"),((база!$L$6*2*Таблица1[[#This Row],[Столбец1]]*Таблица1[[#This Row],[коэф]])),
IF((G194="4/16"),((база!$L$5*2*Таблица1[[#This Row],[Столбец1]]*Таблица1[[#This Row],[коэф]])),
IF((G194="3/16"),((база!$L$4*2*Таблица1[[#This Row],[Столбец1]]*Таблица1[[#This Row],[коэф]])),
IF((G194="4/4"),((база!$I$5*2*Таблица1[[#This Row],[Столбец1]]*Таблица1[[#This Row],[коэф]])),
IF(OR(G194="2/4",G194="3/4"),((база!$I$4*2*Таблица1[[#This Row],[Столбец1]]*Таблица1[[#This Row],[коэф]])),
IF((G194="5/8"),((база!$J$6*2*Таблица1[[#This Row],[Столбец1]]*Таблица1[[#This Row],[коэф]])),
IF((G194="4/8"),((база!$J$5*2*Таблица1[[#This Row],[Столбец1]]*Таблица1[[#This Row],[коэф]])),
IF(OR(G194="3/8",G194="2/8"),((база!$J$4*2*Таблица1[[#This Row],[Столбец1]]*Таблица1[[#This Row],[коэф]])))))))))))))),
(IF((G194="5/24"),((база!$M$6*2*Таблица1[[#This Row],[Столбец1]]*Таблица1[[#This Row],[коэф]])),
IF(OR(G194="4/24",G194="3/24"),((база!$M$5*2*Таблица1[[#This Row],[Столбец1]]*Таблица1[[#This Row],[коэф]])),
IF((G194="5/16"),((база!$L$6*2*Таблица1[[#This Row],[Столбец1]]*Таблица1[[#This Row],[коэф]])),
IF(OR(G194="4/16",G194="3/16"),((база!$L$5*2*Таблица1[[#This Row],[Столбец1]]*Таблица1[[#This Row],[коэф]])),
IF(OR(G194="2/4",G194="3/4",G194="4/4"),((база!$I$5*2*Таблица1[[#This Row],[Столбец1]]*Таблица1[[#This Row],[коэф]])),
IF((G194="5/8"),((база!$J$6*2*Таблица1[[#This Row],[Столбец1]]*Таблица1[[#This Row],[коэф]])),
IF(OR(G194="4/8",G194="3/8",G194="2/8"),((база!$J$5*2*Таблица1[[#This Row],[Столбец1]]*Таблица1[[#This Row],[коэф]])))))))))))</f>
        <v>0</v>
      </c>
      <c r="AQ194" s="697" t="str">
        <f>IFERROR(INDEX(база!T:T, MATCH(F194,база!Q:Q,0)),"")</f>
        <v/>
      </c>
      <c r="AR194" s="207">
        <f>IFERROR(INDEX(база!D:D, MATCH(F194,база!B:B,0)),"")</f>
        <v>0</v>
      </c>
      <c r="AS194" s="46"/>
      <c r="AT194" s="46"/>
      <c r="AU194" s="46"/>
    </row>
    <row r="195" spans="1:47" ht="15">
      <c r="A195" s="66" t="str">
        <f t="shared" si="5"/>
        <v>декабрь</v>
      </c>
      <c r="B195" s="230">
        <v>2023</v>
      </c>
      <c r="C195" s="299"/>
      <c r="D195" s="61"/>
      <c r="E195" s="210"/>
      <c r="F195" s="669"/>
      <c r="G195" s="47"/>
      <c r="H195" s="563"/>
      <c r="I195" s="563"/>
      <c r="J195" s="563"/>
      <c r="K195" s="563"/>
      <c r="L195" s="563"/>
      <c r="M195" s="563"/>
      <c r="N195" s="563"/>
      <c r="O195" s="563"/>
      <c r="P195" s="300"/>
      <c r="Q195" s="563"/>
      <c r="R195" s="563"/>
      <c r="S195" s="563"/>
      <c r="T195" s="563"/>
      <c r="U195" s="563"/>
      <c r="V195" s="563"/>
      <c r="W195" s="563"/>
      <c r="X195" s="563"/>
      <c r="Y195" s="563"/>
      <c r="Z195" s="563"/>
      <c r="AA195" s="563"/>
      <c r="AB195" s="563"/>
      <c r="AC195" s="563"/>
      <c r="AD195" s="48"/>
      <c r="AE195" s="48"/>
      <c r="AF195" s="257"/>
      <c r="AG195" s="257"/>
      <c r="AH195" s="257"/>
      <c r="AI195" s="257"/>
      <c r="AJ195" s="257"/>
      <c r="AK195" s="257"/>
      <c r="AL195" s="257"/>
      <c r="AM195" s="211">
        <f>IF(AQ195=1,SUM(H195:I195,L195:O195,R195:U195,X195:AA195,AD195:AG195,AI195:AK195),
IF(AQ195=2,SUM(H195:K195,N195:Q195,T195:W195,Z195:AC195,AF195:AI195),
IF(AQ195=3,SUM(J195:M195,P195:S195,V195:Y195,AB195:AE195,AH195:AK195),SUM(Таблица1[[#This Row],[1]:[31]])-Таблица1[[#This Row],[Столбец1]])))</f>
        <v>0</v>
      </c>
      <c r="AN195" s="290">
        <f t="array" ref="AN195">IF(AQ195=1,SUM(J195:K195,P195:Q195,V195:W195,AB195:AC195,AH195:AI195),
IF(AQ195=2,SUM(L195:M195,R195:S195,X195:Y195,AD195:AE195),
IF(AQ195=3,SUM(H195:I195,N195:O195,T195:U195,Z195:AA195,AF195:AG195),
SUM(IFERROR(WEEKDAY($H$2:$AL$2,2)&gt;5,)*H195:AL195))))</f>
        <v>0</v>
      </c>
      <c r="AO195" s="292" t="b">
        <f>IF(AR195&lt;=3,(IF((G195="5/24"),((база!$M$6*Таблица1[[#This Row],[сумма]]*Таблица1[[#This Row],[коэф]])),
IF((G195="4/24"),((база!$M$5*Таблица1[[#This Row],[сумма]]*Таблица1[[#This Row],[коэф]])),
IF((G195="3/24"),((база!$M$4*Таблица1[[#This Row],[сумма]]*Таблица1[[#This Row],[коэф]])),
IF((G195="5/16"),((база!$L$6*Таблица1[[#This Row],[сумма]]*Таблица1[[#This Row],[коэф]])),
IF((G195="4/16"),((база!$L$5*Таблица1[[#This Row],[сумма]]*Таблица1[[#This Row],[коэф]])),
IF((G195="3/16"),((база!$L$4*Таблица1[[#This Row],[сумма]]*Таблица1[[#This Row],[коэф]])),
IF((G195="4/4"),((база!$I$5*Таблица1[[#This Row],[сумма]]*Таблица1[[#This Row],[коэф]])),
IF(OR(G195="2/4",G195="3/4"),((база!$I$4*Таблица1[[#This Row],[сумма]]*Таблица1[[#This Row],[коэф]])),
IF((G195="5/8"),((база!$J$6*Таблица1[[#This Row],[сумма]]*Таблица1[[#This Row],[коэф]])),
IF((G195="4/8"),((база!$J$5*Таблица1[[#This Row],[сумма]]*Таблица1[[#This Row],[коэф]])),
IF(OR(G195="3/8",G195="2/8"),((база!$J$4*Таблица1[[#This Row],[сумма]]*Таблица1[[#This Row],[коэф]])))))))))))))),
(IF((G195="5/24"),((база!$M$6*Таблица1[[#This Row],[сумма]]*Таблица1[[#This Row],[коэф]])),
IF(OR(G195="4/24",G195="3/24"),((база!$M$5*Таблица1[[#This Row],[сумма]]*Таблица1[[#This Row],[коэф]])),
IF((G195="5/16"),((база!$L$6*Таблица1[[#This Row],[сумма]]*Таблица1[[#This Row],[коэф]])),
IF(OR(G195="4/16",G195="3/16"),((база!$L$5*Таблица1[[#This Row],[сумма]]*Таблица1[[#This Row],[коэф]])),
IF(OR(G195="2/4",G195="3/4",G195="4/4"),((база!$I$5*Таблица1[[#This Row],[сумма]]*Таблица1[[#This Row],[коэф]])),
IF((G195="5/8"),((база!$J$6*Таблица1[[#This Row],[сумма]]*Таблица1[[#This Row],[коэф]])),
IF(OR(G195="4/8",G195="3/8",G195="2/8"),((база!$J$5*Таблица1[[#This Row],[сумма]]*Таблица1[[#This Row],[коэф]])))))))))))</f>
        <v>0</v>
      </c>
      <c r="AP195" s="715" t="b">
        <f>IF(AR195&lt;=3,(IF((G195="5/24"),((база!$M$6*2*Таблица1[[#This Row],[Столбец1]]*Таблица1[[#This Row],[коэф]])),
IF((G195="4/24"),((база!$M$5*2*Таблица1[[#This Row],[Столбец1]]*Таблица1[[#This Row],[коэф]])),
IF((G195="3/24"),((база!$M$4*2*Таблица1[[#This Row],[Столбец1]]*Таблица1[[#This Row],[коэф]])),
IF((G195="5/16"),((база!$L$6*2*Таблица1[[#This Row],[Столбец1]]*Таблица1[[#This Row],[коэф]])),
IF((G195="4/16"),((база!$L$5*2*Таблица1[[#This Row],[Столбец1]]*Таблица1[[#This Row],[коэф]])),
IF((G195="3/16"),((база!$L$4*2*Таблица1[[#This Row],[Столбец1]]*Таблица1[[#This Row],[коэф]])),
IF((G195="4/4"),((база!$I$5*2*Таблица1[[#This Row],[Столбец1]]*Таблица1[[#This Row],[коэф]])),
IF(OR(G195="2/4",G195="3/4"),((база!$I$4*2*Таблица1[[#This Row],[Столбец1]]*Таблица1[[#This Row],[коэф]])),
IF((G195="5/8"),((база!$J$6*2*Таблица1[[#This Row],[Столбец1]]*Таблица1[[#This Row],[коэф]])),
IF((G195="4/8"),((база!$J$5*2*Таблица1[[#This Row],[Столбец1]]*Таблица1[[#This Row],[коэф]])),
IF(OR(G195="3/8",G195="2/8"),((база!$J$4*2*Таблица1[[#This Row],[Столбец1]]*Таблица1[[#This Row],[коэф]])))))))))))))),
(IF((G195="5/24"),((база!$M$6*2*Таблица1[[#This Row],[Столбец1]]*Таблица1[[#This Row],[коэф]])),
IF(OR(G195="4/24",G195="3/24"),((база!$M$5*2*Таблица1[[#This Row],[Столбец1]]*Таблица1[[#This Row],[коэф]])),
IF((G195="5/16"),((база!$L$6*2*Таблица1[[#This Row],[Столбец1]]*Таблица1[[#This Row],[коэф]])),
IF(OR(G195="4/16",G195="3/16"),((база!$L$5*2*Таблица1[[#This Row],[Столбец1]]*Таблица1[[#This Row],[коэф]])),
IF(OR(G195="2/4",G195="3/4",G195="4/4"),((база!$I$5*2*Таблица1[[#This Row],[Столбец1]]*Таблица1[[#This Row],[коэф]])),
IF((G195="5/8"),((база!$J$6*2*Таблица1[[#This Row],[Столбец1]]*Таблица1[[#This Row],[коэф]])),
IF(OR(G195="4/8",G195="3/8",G195="2/8"),((база!$J$5*2*Таблица1[[#This Row],[Столбец1]]*Таблица1[[#This Row],[коэф]])))))))))))</f>
        <v>0</v>
      </c>
      <c r="AQ195" s="697" t="str">
        <f>IFERROR(INDEX(база!T:T, MATCH(F195,база!Q:Q,0)),"")</f>
        <v/>
      </c>
      <c r="AR195" s="207">
        <f>IFERROR(INDEX(база!D:D, MATCH(F195,база!B:B,0)),"")</f>
        <v>0</v>
      </c>
      <c r="AS195" s="46"/>
      <c r="AT195" s="46"/>
      <c r="AU195" s="46"/>
    </row>
    <row r="196" spans="1:47" ht="15">
      <c r="A196" s="66" t="str">
        <f t="shared" si="5"/>
        <v>декабрь</v>
      </c>
      <c r="B196" s="230">
        <v>2023</v>
      </c>
      <c r="C196" s="60"/>
      <c r="D196" s="61"/>
      <c r="E196" s="210"/>
      <c r="F196" s="669"/>
      <c r="G196" s="47"/>
      <c r="H196" s="563"/>
      <c r="I196" s="563"/>
      <c r="J196" s="563"/>
      <c r="K196" s="563"/>
      <c r="L196" s="563"/>
      <c r="M196" s="563"/>
      <c r="N196" s="563"/>
      <c r="O196" s="563"/>
      <c r="P196" s="300"/>
      <c r="Q196" s="563"/>
      <c r="R196" s="563"/>
      <c r="S196" s="563"/>
      <c r="T196" s="563"/>
      <c r="U196" s="563"/>
      <c r="V196" s="563"/>
      <c r="W196" s="563"/>
      <c r="X196" s="563"/>
      <c r="Y196" s="563"/>
      <c r="Z196" s="563"/>
      <c r="AA196" s="563"/>
      <c r="AB196" s="563"/>
      <c r="AC196" s="563"/>
      <c r="AD196" s="48"/>
      <c r="AE196" s="48"/>
      <c r="AF196" s="257"/>
      <c r="AG196" s="257"/>
      <c r="AH196" s="257"/>
      <c r="AI196" s="257"/>
      <c r="AJ196" s="257"/>
      <c r="AK196" s="257"/>
      <c r="AL196" s="257"/>
      <c r="AM196" s="211">
        <f>IF(AQ196=1,SUM(H196:I196,L196:O196,R196:U196,X196:AA196,AD196:AG196,AI196:AK196),
IF(AQ196=2,SUM(H196:K196,N196:Q196,T196:W196,Z196:AC196,AF196:AI196),
IF(AQ196=3,SUM(J196:M196,P196:S196,V196:Y196,AB196:AE196,AH196:AK196),SUM(Таблица1[[#This Row],[1]:[31]])-Таблица1[[#This Row],[Столбец1]])))</f>
        <v>0</v>
      </c>
      <c r="AN196" s="290">
        <f t="array" ref="AN196">IF(AQ196=1,SUM(J196:K196,P196:Q196,V196:W196,AB196:AC196,AH196:AI196),
IF(AQ196=2,SUM(L196:M196,R196:S196,X196:Y196,AD196:AE196),
IF(AQ196=3,SUM(H196:I196,N196:O196,T196:U196,Z196:AA196,AF196:AG196),
SUM(IFERROR(WEEKDAY($H$2:$AL$2,2)&gt;5,)*H196:AL196))))</f>
        <v>0</v>
      </c>
      <c r="AO196" s="292" t="b">
        <f>IF(AR196&lt;=3,(IF((G196="5/24"),((база!$M$6*Таблица1[[#This Row],[сумма]]*Таблица1[[#This Row],[коэф]])),
IF((G196="4/24"),((база!$M$5*Таблица1[[#This Row],[сумма]]*Таблица1[[#This Row],[коэф]])),
IF((G196="3/24"),((база!$M$4*Таблица1[[#This Row],[сумма]]*Таблица1[[#This Row],[коэф]])),
IF((G196="5/16"),((база!$L$6*Таблица1[[#This Row],[сумма]]*Таблица1[[#This Row],[коэф]])),
IF((G196="4/16"),((база!$L$5*Таблица1[[#This Row],[сумма]]*Таблица1[[#This Row],[коэф]])),
IF((G196="3/16"),((база!$L$4*Таблица1[[#This Row],[сумма]]*Таблица1[[#This Row],[коэф]])),
IF((G196="4/4"),((база!$I$5*Таблица1[[#This Row],[сумма]]*Таблица1[[#This Row],[коэф]])),
IF(OR(G196="2/4",G196="3/4"),((база!$I$4*Таблица1[[#This Row],[сумма]]*Таблица1[[#This Row],[коэф]])),
IF((G196="5/8"),((база!$J$6*Таблица1[[#This Row],[сумма]]*Таблица1[[#This Row],[коэф]])),
IF((G196="4/8"),((база!$J$5*Таблица1[[#This Row],[сумма]]*Таблица1[[#This Row],[коэф]])),
IF(OR(G196="3/8",G196="2/8"),((база!$J$4*Таблица1[[#This Row],[сумма]]*Таблица1[[#This Row],[коэф]])))))))))))))),
(IF((G196="5/24"),((база!$M$6*Таблица1[[#This Row],[сумма]]*Таблица1[[#This Row],[коэф]])),
IF(OR(G196="4/24",G196="3/24"),((база!$M$5*Таблица1[[#This Row],[сумма]]*Таблица1[[#This Row],[коэф]])),
IF((G196="5/16"),((база!$L$6*Таблица1[[#This Row],[сумма]]*Таблица1[[#This Row],[коэф]])),
IF(OR(G196="4/16",G196="3/16"),((база!$L$5*Таблица1[[#This Row],[сумма]]*Таблица1[[#This Row],[коэф]])),
IF(OR(G196="2/4",G196="3/4",G196="4/4"),((база!$I$5*Таблица1[[#This Row],[сумма]]*Таблица1[[#This Row],[коэф]])),
IF((G196="5/8"),((база!$J$6*Таблица1[[#This Row],[сумма]]*Таблица1[[#This Row],[коэф]])),
IF(OR(G196="4/8",G196="3/8",G196="2/8"),((база!$J$5*Таблица1[[#This Row],[сумма]]*Таблица1[[#This Row],[коэф]])))))))))))</f>
        <v>0</v>
      </c>
      <c r="AP196" s="715" t="b">
        <f>IF(AR196&lt;=3,(IF((G196="5/24"),((база!$M$6*2*Таблица1[[#This Row],[Столбец1]]*Таблица1[[#This Row],[коэф]])),
IF((G196="4/24"),((база!$M$5*2*Таблица1[[#This Row],[Столбец1]]*Таблица1[[#This Row],[коэф]])),
IF((G196="3/24"),((база!$M$4*2*Таблица1[[#This Row],[Столбец1]]*Таблица1[[#This Row],[коэф]])),
IF((G196="5/16"),((база!$L$6*2*Таблица1[[#This Row],[Столбец1]]*Таблица1[[#This Row],[коэф]])),
IF((G196="4/16"),((база!$L$5*2*Таблица1[[#This Row],[Столбец1]]*Таблица1[[#This Row],[коэф]])),
IF((G196="3/16"),((база!$L$4*2*Таблица1[[#This Row],[Столбец1]]*Таблица1[[#This Row],[коэф]])),
IF((G196="4/4"),((база!$I$5*2*Таблица1[[#This Row],[Столбец1]]*Таблица1[[#This Row],[коэф]])),
IF(OR(G196="2/4",G196="3/4"),((база!$I$4*2*Таблица1[[#This Row],[Столбец1]]*Таблица1[[#This Row],[коэф]])),
IF((G196="5/8"),((база!$J$6*2*Таблица1[[#This Row],[Столбец1]]*Таблица1[[#This Row],[коэф]])),
IF((G196="4/8"),((база!$J$5*2*Таблица1[[#This Row],[Столбец1]]*Таблица1[[#This Row],[коэф]])),
IF(OR(G196="3/8",G196="2/8"),((база!$J$4*2*Таблица1[[#This Row],[Столбец1]]*Таблица1[[#This Row],[коэф]])))))))))))))),
(IF((G196="5/24"),((база!$M$6*2*Таблица1[[#This Row],[Столбец1]]*Таблица1[[#This Row],[коэф]])),
IF(OR(G196="4/24",G196="3/24"),((база!$M$5*2*Таблица1[[#This Row],[Столбец1]]*Таблица1[[#This Row],[коэф]])),
IF((G196="5/16"),((база!$L$6*2*Таблица1[[#This Row],[Столбец1]]*Таблица1[[#This Row],[коэф]])),
IF(OR(G196="4/16",G196="3/16"),((база!$L$5*2*Таблица1[[#This Row],[Столбец1]]*Таблица1[[#This Row],[коэф]])),
IF(OR(G196="2/4",G196="3/4",G196="4/4"),((база!$I$5*2*Таблица1[[#This Row],[Столбец1]]*Таблица1[[#This Row],[коэф]])),
IF((G196="5/8"),((база!$J$6*2*Таблица1[[#This Row],[Столбец1]]*Таблица1[[#This Row],[коэф]])),
IF(OR(G196="4/8",G196="3/8",G196="2/8"),((база!$J$5*2*Таблица1[[#This Row],[Столбец1]]*Таблица1[[#This Row],[коэф]])))))))))))</f>
        <v>0</v>
      </c>
      <c r="AQ196" s="697" t="str">
        <f>IFERROR(INDEX(база!T:T, MATCH(F196,база!Q:Q,0)),"")</f>
        <v/>
      </c>
      <c r="AR196" s="207">
        <f>IFERROR(INDEX(база!D:D, MATCH(F196,база!B:B,0)),"")</f>
        <v>0</v>
      </c>
      <c r="AS196" s="46"/>
      <c r="AT196" s="46"/>
      <c r="AU196" s="46"/>
    </row>
    <row r="197" spans="1:47" ht="15">
      <c r="A197" s="66" t="str">
        <f t="shared" si="5"/>
        <v>декабрь</v>
      </c>
      <c r="B197" s="230">
        <v>2023</v>
      </c>
      <c r="C197" s="299"/>
      <c r="D197" s="61"/>
      <c r="E197" s="210"/>
      <c r="F197" s="669"/>
      <c r="G197" s="47"/>
      <c r="H197" s="563"/>
      <c r="I197" s="563"/>
      <c r="J197" s="563"/>
      <c r="K197" s="563"/>
      <c r="L197" s="563"/>
      <c r="M197" s="563"/>
      <c r="N197" s="563"/>
      <c r="O197" s="563"/>
      <c r="P197" s="300"/>
      <c r="Q197" s="563"/>
      <c r="R197" s="563"/>
      <c r="S197" s="563"/>
      <c r="T197" s="563"/>
      <c r="U197" s="563"/>
      <c r="V197" s="563"/>
      <c r="W197" s="563"/>
      <c r="X197" s="563"/>
      <c r="Y197" s="563"/>
      <c r="Z197" s="563"/>
      <c r="AA197" s="563"/>
      <c r="AB197" s="563"/>
      <c r="AC197" s="563"/>
      <c r="AD197" s="48"/>
      <c r="AE197" s="48"/>
      <c r="AF197" s="257"/>
      <c r="AG197" s="257"/>
      <c r="AH197" s="257"/>
      <c r="AI197" s="257"/>
      <c r="AJ197" s="257"/>
      <c r="AK197" s="257"/>
      <c r="AL197" s="257"/>
      <c r="AM197" s="211">
        <f>IF(AQ197=1,SUM(H197:I197,L197:O197,R197:U197,X197:AA197,AD197:AG197,AI197:AK197),
IF(AQ197=2,SUM(H197:K197,N197:Q197,T197:W197,Z197:AC197,AF197:AI197),
IF(AQ197=3,SUM(J197:M197,P197:S197,V197:Y197,AB197:AE197,AH197:AK197),SUM(Таблица1[[#This Row],[1]:[31]])-Таблица1[[#This Row],[Столбец1]])))</f>
        <v>0</v>
      </c>
      <c r="AN197" s="290">
        <f t="array" ref="AN197">IF(AQ197=1,SUM(J197:K197,P197:Q197,V197:W197,AB197:AC197,AH197:AI197),
IF(AQ197=2,SUM(L197:M197,R197:S197,X197:Y197,AD197:AE197),
IF(AQ197=3,SUM(H197:I197,N197:O197,T197:U197,Z197:AA197,AF197:AG197),
SUM(IFERROR(WEEKDAY($H$2:$AL$2,2)&gt;5,)*H197:AL197))))</f>
        <v>0</v>
      </c>
      <c r="AO197" s="292" t="b">
        <f>IF(AR197&lt;=3,(IF((G197="5/24"),((база!$M$6*Таблица1[[#This Row],[сумма]]*Таблица1[[#This Row],[коэф]])),
IF((G197="4/24"),((база!$M$5*Таблица1[[#This Row],[сумма]]*Таблица1[[#This Row],[коэф]])),
IF((G197="3/24"),((база!$M$4*Таблица1[[#This Row],[сумма]]*Таблица1[[#This Row],[коэф]])),
IF((G197="5/16"),((база!$L$6*Таблица1[[#This Row],[сумма]]*Таблица1[[#This Row],[коэф]])),
IF((G197="4/16"),((база!$L$5*Таблица1[[#This Row],[сумма]]*Таблица1[[#This Row],[коэф]])),
IF((G197="3/16"),((база!$L$4*Таблица1[[#This Row],[сумма]]*Таблица1[[#This Row],[коэф]])),
IF((G197="4/4"),((база!$I$5*Таблица1[[#This Row],[сумма]]*Таблица1[[#This Row],[коэф]])),
IF(OR(G197="2/4",G197="3/4"),((база!$I$4*Таблица1[[#This Row],[сумма]]*Таблица1[[#This Row],[коэф]])),
IF((G197="5/8"),((база!$J$6*Таблица1[[#This Row],[сумма]]*Таблица1[[#This Row],[коэф]])),
IF((G197="4/8"),((база!$J$5*Таблица1[[#This Row],[сумма]]*Таблица1[[#This Row],[коэф]])),
IF(OR(G197="3/8",G197="2/8"),((база!$J$4*Таблица1[[#This Row],[сумма]]*Таблица1[[#This Row],[коэф]])))))))))))))),
(IF((G197="5/24"),((база!$M$6*Таблица1[[#This Row],[сумма]]*Таблица1[[#This Row],[коэф]])),
IF(OR(G197="4/24",G197="3/24"),((база!$M$5*Таблица1[[#This Row],[сумма]]*Таблица1[[#This Row],[коэф]])),
IF((G197="5/16"),((база!$L$6*Таблица1[[#This Row],[сумма]]*Таблица1[[#This Row],[коэф]])),
IF(OR(G197="4/16",G197="3/16"),((база!$L$5*Таблица1[[#This Row],[сумма]]*Таблица1[[#This Row],[коэф]])),
IF(OR(G197="2/4",G197="3/4",G197="4/4"),((база!$I$5*Таблица1[[#This Row],[сумма]]*Таблица1[[#This Row],[коэф]])),
IF((G197="5/8"),((база!$J$6*Таблица1[[#This Row],[сумма]]*Таблица1[[#This Row],[коэф]])),
IF(OR(G197="4/8",G197="3/8",G197="2/8"),((база!$J$5*Таблица1[[#This Row],[сумма]]*Таблица1[[#This Row],[коэф]])))))))))))</f>
        <v>0</v>
      </c>
      <c r="AP197" s="715" t="b">
        <f>IF(AR197&lt;=3,(IF((G197="5/24"),((база!$M$6*2*Таблица1[[#This Row],[Столбец1]]*Таблица1[[#This Row],[коэф]])),
IF((G197="4/24"),((база!$M$5*2*Таблица1[[#This Row],[Столбец1]]*Таблица1[[#This Row],[коэф]])),
IF((G197="3/24"),((база!$M$4*2*Таблица1[[#This Row],[Столбец1]]*Таблица1[[#This Row],[коэф]])),
IF((G197="5/16"),((база!$L$6*2*Таблица1[[#This Row],[Столбец1]]*Таблица1[[#This Row],[коэф]])),
IF((G197="4/16"),((база!$L$5*2*Таблица1[[#This Row],[Столбец1]]*Таблица1[[#This Row],[коэф]])),
IF((G197="3/16"),((база!$L$4*2*Таблица1[[#This Row],[Столбец1]]*Таблица1[[#This Row],[коэф]])),
IF((G197="4/4"),((база!$I$5*2*Таблица1[[#This Row],[Столбец1]]*Таблица1[[#This Row],[коэф]])),
IF(OR(G197="2/4",G197="3/4"),((база!$I$4*2*Таблица1[[#This Row],[Столбец1]]*Таблица1[[#This Row],[коэф]])),
IF((G197="5/8"),((база!$J$6*2*Таблица1[[#This Row],[Столбец1]]*Таблица1[[#This Row],[коэф]])),
IF((G197="4/8"),((база!$J$5*2*Таблица1[[#This Row],[Столбец1]]*Таблица1[[#This Row],[коэф]])),
IF(OR(G197="3/8",G197="2/8"),((база!$J$4*2*Таблица1[[#This Row],[Столбец1]]*Таблица1[[#This Row],[коэф]])))))))))))))),
(IF((G197="5/24"),((база!$M$6*2*Таблица1[[#This Row],[Столбец1]]*Таблица1[[#This Row],[коэф]])),
IF(OR(G197="4/24",G197="3/24"),((база!$M$5*2*Таблица1[[#This Row],[Столбец1]]*Таблица1[[#This Row],[коэф]])),
IF((G197="5/16"),((база!$L$6*2*Таблица1[[#This Row],[Столбец1]]*Таблица1[[#This Row],[коэф]])),
IF(OR(G197="4/16",G197="3/16"),((база!$L$5*2*Таблица1[[#This Row],[Столбец1]]*Таблица1[[#This Row],[коэф]])),
IF(OR(G197="2/4",G197="3/4",G197="4/4"),((база!$I$5*2*Таблица1[[#This Row],[Столбец1]]*Таблица1[[#This Row],[коэф]])),
IF((G197="5/8"),((база!$J$6*2*Таблица1[[#This Row],[Столбец1]]*Таблица1[[#This Row],[коэф]])),
IF(OR(G197="4/8",G197="3/8",G197="2/8"),((база!$J$5*2*Таблица1[[#This Row],[Столбец1]]*Таблица1[[#This Row],[коэф]])))))))))))</f>
        <v>0</v>
      </c>
      <c r="AQ197" s="697" t="str">
        <f>IFERROR(INDEX(база!T:T, MATCH(F197,база!Q:Q,0)),"")</f>
        <v/>
      </c>
      <c r="AR197" s="207">
        <f>IFERROR(INDEX(база!D:D, MATCH(F197,база!B:B,0)),"")</f>
        <v>0</v>
      </c>
      <c r="AS197" s="46"/>
      <c r="AT197" s="46"/>
      <c r="AU197" s="46"/>
    </row>
    <row r="198" spans="1:47" ht="15">
      <c r="A198" s="66" t="str">
        <f t="shared" si="5"/>
        <v>декабрь</v>
      </c>
      <c r="B198" s="230">
        <v>2023</v>
      </c>
      <c r="C198" s="60"/>
      <c r="D198" s="61"/>
      <c r="E198" s="210"/>
      <c r="F198" s="669"/>
      <c r="G198" s="47"/>
      <c r="H198" s="563"/>
      <c r="I198" s="563"/>
      <c r="J198" s="563"/>
      <c r="K198" s="563"/>
      <c r="L198" s="563"/>
      <c r="M198" s="563"/>
      <c r="N198" s="563"/>
      <c r="O198" s="563"/>
      <c r="P198" s="300"/>
      <c r="Q198" s="563"/>
      <c r="R198" s="563"/>
      <c r="S198" s="563"/>
      <c r="T198" s="563"/>
      <c r="U198" s="563"/>
      <c r="V198" s="563"/>
      <c r="W198" s="563"/>
      <c r="X198" s="563"/>
      <c r="Y198" s="563"/>
      <c r="Z198" s="563"/>
      <c r="AA198" s="563"/>
      <c r="AB198" s="563"/>
      <c r="AC198" s="563"/>
      <c r="AD198" s="48"/>
      <c r="AE198" s="48"/>
      <c r="AF198" s="257"/>
      <c r="AG198" s="257"/>
      <c r="AH198" s="257"/>
      <c r="AI198" s="257"/>
      <c r="AJ198" s="257"/>
      <c r="AK198" s="257"/>
      <c r="AL198" s="257"/>
      <c r="AM198" s="211">
        <f>IF(AQ198=1,SUM(H198:I198,L198:O198,R198:U198,X198:AA198,AD198:AG198,AI198:AK198),
IF(AQ198=2,SUM(H198:K198,N198:Q198,T198:W198,Z198:AC198,AF198:AI198),
IF(AQ198=3,SUM(J198:M198,P198:S198,V198:Y198,AB198:AE198,AH198:AK198),SUM(Таблица1[[#This Row],[1]:[31]])-Таблица1[[#This Row],[Столбец1]])))</f>
        <v>0</v>
      </c>
      <c r="AN198" s="290">
        <f t="array" ref="AN198">IF(AQ198=1,SUM(J198:K198,P198:Q198,V198:W198,AB198:AC198,AH198:AI198),
IF(AQ198=2,SUM(L198:M198,R198:S198,X198:Y198,AD198:AE198),
IF(AQ198=3,SUM(H198:I198,N198:O198,T198:U198,Z198:AA198,AF198:AG198),
SUM(IFERROR(WEEKDAY($H$2:$AL$2,2)&gt;5,)*H198:AL198))))</f>
        <v>0</v>
      </c>
      <c r="AO198" s="292" t="b">
        <f>IF(AR198&lt;=3,(IF((G198="5/24"),((база!$M$6*Таблица1[[#This Row],[сумма]]*Таблица1[[#This Row],[коэф]])),
IF((G198="4/24"),((база!$M$5*Таблица1[[#This Row],[сумма]]*Таблица1[[#This Row],[коэф]])),
IF((G198="3/24"),((база!$M$4*Таблица1[[#This Row],[сумма]]*Таблица1[[#This Row],[коэф]])),
IF((G198="5/16"),((база!$L$6*Таблица1[[#This Row],[сумма]]*Таблица1[[#This Row],[коэф]])),
IF((G198="4/16"),((база!$L$5*Таблица1[[#This Row],[сумма]]*Таблица1[[#This Row],[коэф]])),
IF((G198="3/16"),((база!$L$4*Таблица1[[#This Row],[сумма]]*Таблица1[[#This Row],[коэф]])),
IF((G198="4/4"),((база!$I$5*Таблица1[[#This Row],[сумма]]*Таблица1[[#This Row],[коэф]])),
IF(OR(G198="2/4",G198="3/4"),((база!$I$4*Таблица1[[#This Row],[сумма]]*Таблица1[[#This Row],[коэф]])),
IF((G198="5/8"),((база!$J$6*Таблица1[[#This Row],[сумма]]*Таблица1[[#This Row],[коэф]])),
IF((G198="4/8"),((база!$J$5*Таблица1[[#This Row],[сумма]]*Таблица1[[#This Row],[коэф]])),
IF(OR(G198="3/8",G198="2/8"),((база!$J$4*Таблица1[[#This Row],[сумма]]*Таблица1[[#This Row],[коэф]])))))))))))))),
(IF((G198="5/24"),((база!$M$6*Таблица1[[#This Row],[сумма]]*Таблица1[[#This Row],[коэф]])),
IF(OR(G198="4/24",G198="3/24"),((база!$M$5*Таблица1[[#This Row],[сумма]]*Таблица1[[#This Row],[коэф]])),
IF((G198="5/16"),((база!$L$6*Таблица1[[#This Row],[сумма]]*Таблица1[[#This Row],[коэф]])),
IF(OR(G198="4/16",G198="3/16"),((база!$L$5*Таблица1[[#This Row],[сумма]]*Таблица1[[#This Row],[коэф]])),
IF(OR(G198="2/4",G198="3/4",G198="4/4"),((база!$I$5*Таблица1[[#This Row],[сумма]]*Таблица1[[#This Row],[коэф]])),
IF((G198="5/8"),((база!$J$6*Таблица1[[#This Row],[сумма]]*Таблица1[[#This Row],[коэф]])),
IF(OR(G198="4/8",G198="3/8",G198="2/8"),((база!$J$5*Таблица1[[#This Row],[сумма]]*Таблица1[[#This Row],[коэф]])))))))))))</f>
        <v>0</v>
      </c>
      <c r="AP198" s="715" t="b">
        <f>IF(AR198&lt;=3,(IF((G198="5/24"),((база!$M$6*2*Таблица1[[#This Row],[Столбец1]]*Таблица1[[#This Row],[коэф]])),
IF((G198="4/24"),((база!$M$5*2*Таблица1[[#This Row],[Столбец1]]*Таблица1[[#This Row],[коэф]])),
IF((G198="3/24"),((база!$M$4*2*Таблица1[[#This Row],[Столбец1]]*Таблица1[[#This Row],[коэф]])),
IF((G198="5/16"),((база!$L$6*2*Таблица1[[#This Row],[Столбец1]]*Таблица1[[#This Row],[коэф]])),
IF((G198="4/16"),((база!$L$5*2*Таблица1[[#This Row],[Столбец1]]*Таблица1[[#This Row],[коэф]])),
IF((G198="3/16"),((база!$L$4*2*Таблица1[[#This Row],[Столбец1]]*Таблица1[[#This Row],[коэф]])),
IF((G198="4/4"),((база!$I$5*2*Таблица1[[#This Row],[Столбец1]]*Таблица1[[#This Row],[коэф]])),
IF(OR(G198="2/4",G198="3/4"),((база!$I$4*2*Таблица1[[#This Row],[Столбец1]]*Таблица1[[#This Row],[коэф]])),
IF((G198="5/8"),((база!$J$6*2*Таблица1[[#This Row],[Столбец1]]*Таблица1[[#This Row],[коэф]])),
IF((G198="4/8"),((база!$J$5*2*Таблица1[[#This Row],[Столбец1]]*Таблица1[[#This Row],[коэф]])),
IF(OR(G198="3/8",G198="2/8"),((база!$J$4*2*Таблица1[[#This Row],[Столбец1]]*Таблица1[[#This Row],[коэф]])))))))))))))),
(IF((G198="5/24"),((база!$M$6*2*Таблица1[[#This Row],[Столбец1]]*Таблица1[[#This Row],[коэф]])),
IF(OR(G198="4/24",G198="3/24"),((база!$M$5*2*Таблица1[[#This Row],[Столбец1]]*Таблица1[[#This Row],[коэф]])),
IF((G198="5/16"),((база!$L$6*2*Таблица1[[#This Row],[Столбец1]]*Таблица1[[#This Row],[коэф]])),
IF(OR(G198="4/16",G198="3/16"),((база!$L$5*2*Таблица1[[#This Row],[Столбец1]]*Таблица1[[#This Row],[коэф]])),
IF(OR(G198="2/4",G198="3/4",G198="4/4"),((база!$I$5*2*Таблица1[[#This Row],[Столбец1]]*Таблица1[[#This Row],[коэф]])),
IF((G198="5/8"),((база!$J$6*2*Таблица1[[#This Row],[Столбец1]]*Таблица1[[#This Row],[коэф]])),
IF(OR(G198="4/8",G198="3/8",G198="2/8"),((база!$J$5*2*Таблица1[[#This Row],[Столбец1]]*Таблица1[[#This Row],[коэф]])))))))))))</f>
        <v>0</v>
      </c>
      <c r="AQ198" s="697" t="str">
        <f>IFERROR(INDEX(база!T:T, MATCH(F198,база!Q:Q,0)),"")</f>
        <v/>
      </c>
      <c r="AR198" s="207">
        <f>IFERROR(INDEX(база!D:D, MATCH(F198,база!B:B,0)),"")</f>
        <v>0</v>
      </c>
      <c r="AS198" s="46"/>
      <c r="AT198" s="46"/>
      <c r="AU198" s="46"/>
    </row>
    <row r="199" spans="1:47" ht="15">
      <c r="A199" s="66" t="str">
        <f t="shared" si="5"/>
        <v>декабрь</v>
      </c>
      <c r="B199" s="230">
        <v>2023</v>
      </c>
      <c r="C199" s="299"/>
      <c r="D199" s="61"/>
      <c r="E199" s="210"/>
      <c r="F199" s="669"/>
      <c r="G199" s="47"/>
      <c r="H199" s="563"/>
      <c r="I199" s="563"/>
      <c r="J199" s="563"/>
      <c r="K199" s="563"/>
      <c r="L199" s="563"/>
      <c r="M199" s="563"/>
      <c r="N199" s="563"/>
      <c r="O199" s="563"/>
      <c r="P199" s="300"/>
      <c r="Q199" s="563"/>
      <c r="R199" s="563"/>
      <c r="S199" s="563"/>
      <c r="T199" s="563"/>
      <c r="U199" s="563"/>
      <c r="V199" s="563"/>
      <c r="W199" s="563"/>
      <c r="X199" s="563"/>
      <c r="Y199" s="563"/>
      <c r="Z199" s="563"/>
      <c r="AA199" s="563"/>
      <c r="AB199" s="563"/>
      <c r="AC199" s="563"/>
      <c r="AD199" s="48"/>
      <c r="AE199" s="48"/>
      <c r="AF199" s="257"/>
      <c r="AG199" s="257"/>
      <c r="AH199" s="257"/>
      <c r="AI199" s="257"/>
      <c r="AJ199" s="257"/>
      <c r="AK199" s="257"/>
      <c r="AL199" s="257"/>
      <c r="AM199" s="211">
        <f>IF(AQ199=1,SUM(H199:I199,L199:O199,R199:U199,X199:AA199,AD199:AG199,AI199:AK199),
IF(AQ199=2,SUM(H199:K199,N199:Q199,T199:W199,Z199:AC199,AF199:AI199),
IF(AQ199=3,SUM(J199:M199,P199:S199,V199:Y199,AB199:AE199,AH199:AK199),SUM(Таблица1[[#This Row],[1]:[31]])-Таблица1[[#This Row],[Столбец1]])))</f>
        <v>0</v>
      </c>
      <c r="AN199" s="290">
        <f t="array" ref="AN199">IF(AQ199=1,SUM(J199:K199,P199:Q199,V199:W199,AB199:AC199,AH199:AI199),
IF(AQ199=2,SUM(L199:M199,R199:S199,X199:Y199,AD199:AE199),
IF(AQ199=3,SUM(H199:I199,N199:O199,T199:U199,Z199:AA199,AF199:AG199),
SUM(IFERROR(WEEKDAY($H$2:$AL$2,2)&gt;5,)*H199:AL199))))</f>
        <v>0</v>
      </c>
      <c r="AO199" s="292" t="b">
        <f>IF(AR199&lt;=3,(IF((G199="5/24"),((база!$M$6*Таблица1[[#This Row],[сумма]]*Таблица1[[#This Row],[коэф]])),
IF((G199="4/24"),((база!$M$5*Таблица1[[#This Row],[сумма]]*Таблица1[[#This Row],[коэф]])),
IF((G199="3/24"),((база!$M$4*Таблица1[[#This Row],[сумма]]*Таблица1[[#This Row],[коэф]])),
IF((G199="5/16"),((база!$L$6*Таблица1[[#This Row],[сумма]]*Таблица1[[#This Row],[коэф]])),
IF((G199="4/16"),((база!$L$5*Таблица1[[#This Row],[сумма]]*Таблица1[[#This Row],[коэф]])),
IF((G199="3/16"),((база!$L$4*Таблица1[[#This Row],[сумма]]*Таблица1[[#This Row],[коэф]])),
IF((G199="4/4"),((база!$I$5*Таблица1[[#This Row],[сумма]]*Таблица1[[#This Row],[коэф]])),
IF(OR(G199="2/4",G199="3/4"),((база!$I$4*Таблица1[[#This Row],[сумма]]*Таблица1[[#This Row],[коэф]])),
IF((G199="5/8"),((база!$J$6*Таблица1[[#This Row],[сумма]]*Таблица1[[#This Row],[коэф]])),
IF((G199="4/8"),((база!$J$5*Таблица1[[#This Row],[сумма]]*Таблица1[[#This Row],[коэф]])),
IF(OR(G199="3/8",G199="2/8"),((база!$J$4*Таблица1[[#This Row],[сумма]]*Таблица1[[#This Row],[коэф]])))))))))))))),
(IF((G199="5/24"),((база!$M$6*Таблица1[[#This Row],[сумма]]*Таблица1[[#This Row],[коэф]])),
IF(OR(G199="4/24",G199="3/24"),((база!$M$5*Таблица1[[#This Row],[сумма]]*Таблица1[[#This Row],[коэф]])),
IF((G199="5/16"),((база!$L$6*Таблица1[[#This Row],[сумма]]*Таблица1[[#This Row],[коэф]])),
IF(OR(G199="4/16",G199="3/16"),((база!$L$5*Таблица1[[#This Row],[сумма]]*Таблица1[[#This Row],[коэф]])),
IF(OR(G199="2/4",G199="3/4",G199="4/4"),((база!$I$5*Таблица1[[#This Row],[сумма]]*Таблица1[[#This Row],[коэф]])),
IF((G199="5/8"),((база!$J$6*Таблица1[[#This Row],[сумма]]*Таблица1[[#This Row],[коэф]])),
IF(OR(G199="4/8",G199="3/8",G199="2/8"),((база!$J$5*Таблица1[[#This Row],[сумма]]*Таблица1[[#This Row],[коэф]])))))))))))</f>
        <v>0</v>
      </c>
      <c r="AP199" s="715" t="b">
        <f>IF(AR199&lt;=3,(IF((G199="5/24"),((база!$M$6*2*Таблица1[[#This Row],[Столбец1]]*Таблица1[[#This Row],[коэф]])),
IF((G199="4/24"),((база!$M$5*2*Таблица1[[#This Row],[Столбец1]]*Таблица1[[#This Row],[коэф]])),
IF((G199="3/24"),((база!$M$4*2*Таблица1[[#This Row],[Столбец1]]*Таблица1[[#This Row],[коэф]])),
IF((G199="5/16"),((база!$L$6*2*Таблица1[[#This Row],[Столбец1]]*Таблица1[[#This Row],[коэф]])),
IF((G199="4/16"),((база!$L$5*2*Таблица1[[#This Row],[Столбец1]]*Таблица1[[#This Row],[коэф]])),
IF((G199="3/16"),((база!$L$4*2*Таблица1[[#This Row],[Столбец1]]*Таблица1[[#This Row],[коэф]])),
IF((G199="4/4"),((база!$I$5*2*Таблица1[[#This Row],[Столбец1]]*Таблица1[[#This Row],[коэф]])),
IF(OR(G199="2/4",G199="3/4"),((база!$I$4*2*Таблица1[[#This Row],[Столбец1]]*Таблица1[[#This Row],[коэф]])),
IF((G199="5/8"),((база!$J$6*2*Таблица1[[#This Row],[Столбец1]]*Таблица1[[#This Row],[коэф]])),
IF((G199="4/8"),((база!$J$5*2*Таблица1[[#This Row],[Столбец1]]*Таблица1[[#This Row],[коэф]])),
IF(OR(G199="3/8",G199="2/8"),((база!$J$4*2*Таблица1[[#This Row],[Столбец1]]*Таблица1[[#This Row],[коэф]])))))))))))))),
(IF((G199="5/24"),((база!$M$6*2*Таблица1[[#This Row],[Столбец1]]*Таблица1[[#This Row],[коэф]])),
IF(OR(G199="4/24",G199="3/24"),((база!$M$5*2*Таблица1[[#This Row],[Столбец1]]*Таблица1[[#This Row],[коэф]])),
IF((G199="5/16"),((база!$L$6*2*Таблица1[[#This Row],[Столбец1]]*Таблица1[[#This Row],[коэф]])),
IF(OR(G199="4/16",G199="3/16"),((база!$L$5*2*Таблица1[[#This Row],[Столбец1]]*Таблица1[[#This Row],[коэф]])),
IF(OR(G199="2/4",G199="3/4",G199="4/4"),((база!$I$5*2*Таблица1[[#This Row],[Столбец1]]*Таблица1[[#This Row],[коэф]])),
IF((G199="5/8"),((база!$J$6*2*Таблица1[[#This Row],[Столбец1]]*Таблица1[[#This Row],[коэф]])),
IF(OR(G199="4/8",G199="3/8",G199="2/8"),((база!$J$5*2*Таблица1[[#This Row],[Столбец1]]*Таблица1[[#This Row],[коэф]])))))))))))</f>
        <v>0</v>
      </c>
      <c r="AQ199" s="697" t="str">
        <f>IFERROR(INDEX(база!T:T, MATCH(F199,база!Q:Q,0)),"")</f>
        <v/>
      </c>
      <c r="AR199" s="207">
        <f>IFERROR(INDEX(база!D:D, MATCH(F199,база!B:B,0)),"")</f>
        <v>0</v>
      </c>
      <c r="AS199" s="46"/>
      <c r="AT199" s="46"/>
      <c r="AU199" s="46"/>
    </row>
    <row r="200" spans="1:47" ht="15">
      <c r="A200" s="66" t="str">
        <f t="shared" si="5"/>
        <v>декабрь</v>
      </c>
      <c r="B200" s="230">
        <v>2023</v>
      </c>
      <c r="C200" s="60"/>
      <c r="D200" s="61"/>
      <c r="E200" s="210"/>
      <c r="F200" s="669"/>
      <c r="G200" s="47"/>
      <c r="H200" s="563"/>
      <c r="I200" s="563"/>
      <c r="J200" s="563"/>
      <c r="K200" s="563"/>
      <c r="L200" s="563"/>
      <c r="M200" s="563"/>
      <c r="N200" s="563"/>
      <c r="O200" s="563"/>
      <c r="P200" s="300"/>
      <c r="Q200" s="563"/>
      <c r="R200" s="563"/>
      <c r="S200" s="563"/>
      <c r="T200" s="563"/>
      <c r="U200" s="563"/>
      <c r="V200" s="563"/>
      <c r="W200" s="563"/>
      <c r="X200" s="563"/>
      <c r="Y200" s="563"/>
      <c r="Z200" s="563"/>
      <c r="AA200" s="563"/>
      <c r="AB200" s="563"/>
      <c r="AC200" s="563"/>
      <c r="AD200" s="48"/>
      <c r="AE200" s="48"/>
      <c r="AF200" s="257"/>
      <c r="AG200" s="257"/>
      <c r="AH200" s="257"/>
      <c r="AI200" s="257"/>
      <c r="AJ200" s="257"/>
      <c r="AK200" s="257"/>
      <c r="AL200" s="257"/>
      <c r="AM200" s="211">
        <f>IF(AQ200=1,SUM(H200:I200,L200:O200,R200:U200,X200:AA200,AD200:AG200,AI200:AK200),
IF(AQ200=2,SUM(H200:K200,N200:Q200,T200:W200,Z200:AC200,AF200:AI200),
IF(AQ200=3,SUM(J200:M200,P200:S200,V200:Y200,AB200:AE200,AH200:AK200),SUM(Таблица1[[#This Row],[1]:[31]])-Таблица1[[#This Row],[Столбец1]])))</f>
        <v>0</v>
      </c>
      <c r="AN200" s="290">
        <f t="array" ref="AN200">IF(AQ200=1,SUM(J200:K200,P200:Q200,V200:W200,AB200:AC200,AH200:AI200),
IF(AQ200=2,SUM(L200:M200,R200:S200,X200:Y200,AD200:AE200),
IF(AQ200=3,SUM(H200:I200,N200:O200,T200:U200,Z200:AA200,AF200:AG200),
SUM(IFERROR(WEEKDAY($H$2:$AL$2,2)&gt;5,)*H200:AL200))))</f>
        <v>0</v>
      </c>
      <c r="AO200" s="292" t="b">
        <f>IF(AR200&lt;=3,(IF((G200="5/24"),((база!$M$6*Таблица1[[#This Row],[сумма]]*Таблица1[[#This Row],[коэф]])),
IF((G200="4/24"),((база!$M$5*Таблица1[[#This Row],[сумма]]*Таблица1[[#This Row],[коэф]])),
IF((G200="3/24"),((база!$M$4*Таблица1[[#This Row],[сумма]]*Таблица1[[#This Row],[коэф]])),
IF((G200="5/16"),((база!$L$6*Таблица1[[#This Row],[сумма]]*Таблица1[[#This Row],[коэф]])),
IF((G200="4/16"),((база!$L$5*Таблица1[[#This Row],[сумма]]*Таблица1[[#This Row],[коэф]])),
IF((G200="3/16"),((база!$L$4*Таблица1[[#This Row],[сумма]]*Таблица1[[#This Row],[коэф]])),
IF((G200="4/4"),((база!$I$5*Таблица1[[#This Row],[сумма]]*Таблица1[[#This Row],[коэф]])),
IF(OR(G200="2/4",G200="3/4"),((база!$I$4*Таблица1[[#This Row],[сумма]]*Таблица1[[#This Row],[коэф]])),
IF((G200="5/8"),((база!$J$6*Таблица1[[#This Row],[сумма]]*Таблица1[[#This Row],[коэф]])),
IF((G200="4/8"),((база!$J$5*Таблица1[[#This Row],[сумма]]*Таблица1[[#This Row],[коэф]])),
IF(OR(G200="3/8",G200="2/8"),((база!$J$4*Таблица1[[#This Row],[сумма]]*Таблица1[[#This Row],[коэф]])))))))))))))),
(IF((G200="5/24"),((база!$M$6*Таблица1[[#This Row],[сумма]]*Таблица1[[#This Row],[коэф]])),
IF(OR(G200="4/24",G200="3/24"),((база!$M$5*Таблица1[[#This Row],[сумма]]*Таблица1[[#This Row],[коэф]])),
IF((G200="5/16"),((база!$L$6*Таблица1[[#This Row],[сумма]]*Таблица1[[#This Row],[коэф]])),
IF(OR(G200="4/16",G200="3/16"),((база!$L$5*Таблица1[[#This Row],[сумма]]*Таблица1[[#This Row],[коэф]])),
IF(OR(G200="2/4",G200="3/4",G200="4/4"),((база!$I$5*Таблица1[[#This Row],[сумма]]*Таблица1[[#This Row],[коэф]])),
IF((G200="5/8"),((база!$J$6*Таблица1[[#This Row],[сумма]]*Таблица1[[#This Row],[коэф]])),
IF(OR(G200="4/8",G200="3/8",G200="2/8"),((база!$J$5*Таблица1[[#This Row],[сумма]]*Таблица1[[#This Row],[коэф]])))))))))))</f>
        <v>0</v>
      </c>
      <c r="AP200" s="715" t="b">
        <f>IF(AR200&lt;=3,(IF((G200="5/24"),((база!$M$6*2*Таблица1[[#This Row],[Столбец1]]*Таблица1[[#This Row],[коэф]])),
IF((G200="4/24"),((база!$M$5*2*Таблица1[[#This Row],[Столбец1]]*Таблица1[[#This Row],[коэф]])),
IF((G200="3/24"),((база!$M$4*2*Таблица1[[#This Row],[Столбец1]]*Таблица1[[#This Row],[коэф]])),
IF((G200="5/16"),((база!$L$6*2*Таблица1[[#This Row],[Столбец1]]*Таблица1[[#This Row],[коэф]])),
IF((G200="4/16"),((база!$L$5*2*Таблица1[[#This Row],[Столбец1]]*Таблица1[[#This Row],[коэф]])),
IF((G200="3/16"),((база!$L$4*2*Таблица1[[#This Row],[Столбец1]]*Таблица1[[#This Row],[коэф]])),
IF((G200="4/4"),((база!$I$5*2*Таблица1[[#This Row],[Столбец1]]*Таблица1[[#This Row],[коэф]])),
IF(OR(G200="2/4",G200="3/4"),((база!$I$4*2*Таблица1[[#This Row],[Столбец1]]*Таблица1[[#This Row],[коэф]])),
IF((G200="5/8"),((база!$J$6*2*Таблица1[[#This Row],[Столбец1]]*Таблица1[[#This Row],[коэф]])),
IF((G200="4/8"),((база!$J$5*2*Таблица1[[#This Row],[Столбец1]]*Таблица1[[#This Row],[коэф]])),
IF(OR(G200="3/8",G200="2/8"),((база!$J$4*2*Таблица1[[#This Row],[Столбец1]]*Таблица1[[#This Row],[коэф]])))))))))))))),
(IF((G200="5/24"),((база!$M$6*2*Таблица1[[#This Row],[Столбец1]]*Таблица1[[#This Row],[коэф]])),
IF(OR(G200="4/24",G200="3/24"),((база!$M$5*2*Таблица1[[#This Row],[Столбец1]]*Таблица1[[#This Row],[коэф]])),
IF((G200="5/16"),((база!$L$6*2*Таблица1[[#This Row],[Столбец1]]*Таблица1[[#This Row],[коэф]])),
IF(OR(G200="4/16",G200="3/16"),((база!$L$5*2*Таблица1[[#This Row],[Столбец1]]*Таблица1[[#This Row],[коэф]])),
IF(OR(G200="2/4",G200="3/4",G200="4/4"),((база!$I$5*2*Таблица1[[#This Row],[Столбец1]]*Таблица1[[#This Row],[коэф]])),
IF((G200="5/8"),((база!$J$6*2*Таблица1[[#This Row],[Столбец1]]*Таблица1[[#This Row],[коэф]])),
IF(OR(G200="4/8",G200="3/8",G200="2/8"),((база!$J$5*2*Таблица1[[#This Row],[Столбец1]]*Таблица1[[#This Row],[коэф]])))))))))))</f>
        <v>0</v>
      </c>
      <c r="AQ200" s="697" t="str">
        <f>IFERROR(INDEX(база!T:T, MATCH(F200,база!Q:Q,0)),"")</f>
        <v/>
      </c>
      <c r="AR200" s="207">
        <f>IFERROR(INDEX(база!D:D, MATCH(F200,база!B:B,0)),"")</f>
        <v>0</v>
      </c>
      <c r="AS200" s="46"/>
      <c r="AT200" s="46"/>
      <c r="AU200" s="46"/>
    </row>
    <row r="201" spans="1:47" ht="15">
      <c r="A201" s="66" t="str">
        <f t="shared" si="5"/>
        <v>декабрь</v>
      </c>
      <c r="B201" s="230">
        <v>2023</v>
      </c>
      <c r="C201" s="299"/>
      <c r="D201" s="61"/>
      <c r="E201" s="210"/>
      <c r="F201" s="669"/>
      <c r="G201" s="47"/>
      <c r="H201" s="563"/>
      <c r="I201" s="563"/>
      <c r="J201" s="563"/>
      <c r="K201" s="563"/>
      <c r="L201" s="563"/>
      <c r="M201" s="563"/>
      <c r="N201" s="563"/>
      <c r="O201" s="563"/>
      <c r="P201" s="300"/>
      <c r="Q201" s="563"/>
      <c r="R201" s="563"/>
      <c r="S201" s="563"/>
      <c r="T201" s="563"/>
      <c r="U201" s="563"/>
      <c r="V201" s="563"/>
      <c r="W201" s="563"/>
      <c r="X201" s="563"/>
      <c r="Y201" s="563"/>
      <c r="Z201" s="563"/>
      <c r="AA201" s="563"/>
      <c r="AB201" s="563"/>
      <c r="AC201" s="563"/>
      <c r="AD201" s="48"/>
      <c r="AE201" s="48"/>
      <c r="AF201" s="257"/>
      <c r="AG201" s="257"/>
      <c r="AH201" s="257"/>
      <c r="AI201" s="257"/>
      <c r="AJ201" s="257"/>
      <c r="AK201" s="257"/>
      <c r="AL201" s="257"/>
      <c r="AM201" s="211">
        <f>IF(AQ201=1,SUM(H201:I201,L201:O201,R201:U201,X201:AA201,AD201:AG201,AI201:AK201),
IF(AQ201=2,SUM(H201:K201,N201:Q201,T201:W201,Z201:AC201,AF201:AI201),
IF(AQ201=3,SUM(J201:M201,P201:S201,V201:Y201,AB201:AE201,AH201:AK201),SUM(Таблица1[[#This Row],[1]:[31]])-Таблица1[[#This Row],[Столбец1]])))</f>
        <v>0</v>
      </c>
      <c r="AN201" s="290">
        <f t="array" ref="AN201">IF(AQ201=1,SUM(J201:K201,P201:Q201,V201:W201,AB201:AC201,AH201:AI201),
IF(AQ201=2,SUM(L201:M201,R201:S201,X201:Y201,AD201:AE201),
IF(AQ201=3,SUM(H201:I201,N201:O201,T201:U201,Z201:AA201,AF201:AG201),
SUM(IFERROR(WEEKDAY($H$2:$AL$2,2)&gt;5,)*H201:AL201))))</f>
        <v>0</v>
      </c>
      <c r="AO201" s="292" t="b">
        <f>IF(AR201&lt;=3,(IF((G201="5/24"),((база!$M$6*Таблица1[[#This Row],[сумма]]*Таблица1[[#This Row],[коэф]])),
IF((G201="4/24"),((база!$M$5*Таблица1[[#This Row],[сумма]]*Таблица1[[#This Row],[коэф]])),
IF((G201="3/24"),((база!$M$4*Таблица1[[#This Row],[сумма]]*Таблица1[[#This Row],[коэф]])),
IF((G201="5/16"),((база!$L$6*Таблица1[[#This Row],[сумма]]*Таблица1[[#This Row],[коэф]])),
IF((G201="4/16"),((база!$L$5*Таблица1[[#This Row],[сумма]]*Таблица1[[#This Row],[коэф]])),
IF((G201="3/16"),((база!$L$4*Таблица1[[#This Row],[сумма]]*Таблица1[[#This Row],[коэф]])),
IF((G201="4/4"),((база!$I$5*Таблица1[[#This Row],[сумма]]*Таблица1[[#This Row],[коэф]])),
IF(OR(G201="2/4",G201="3/4"),((база!$I$4*Таблица1[[#This Row],[сумма]]*Таблица1[[#This Row],[коэф]])),
IF((G201="5/8"),((база!$J$6*Таблица1[[#This Row],[сумма]]*Таблица1[[#This Row],[коэф]])),
IF((G201="4/8"),((база!$J$5*Таблица1[[#This Row],[сумма]]*Таблица1[[#This Row],[коэф]])),
IF(OR(G201="3/8",G201="2/8"),((база!$J$4*Таблица1[[#This Row],[сумма]]*Таблица1[[#This Row],[коэф]])))))))))))))),
(IF((G201="5/24"),((база!$M$6*Таблица1[[#This Row],[сумма]]*Таблица1[[#This Row],[коэф]])),
IF(OR(G201="4/24",G201="3/24"),((база!$M$5*Таблица1[[#This Row],[сумма]]*Таблица1[[#This Row],[коэф]])),
IF((G201="5/16"),((база!$L$6*Таблица1[[#This Row],[сумма]]*Таблица1[[#This Row],[коэф]])),
IF(OR(G201="4/16",G201="3/16"),((база!$L$5*Таблица1[[#This Row],[сумма]]*Таблица1[[#This Row],[коэф]])),
IF(OR(G201="2/4",G201="3/4",G201="4/4"),((база!$I$5*Таблица1[[#This Row],[сумма]]*Таблица1[[#This Row],[коэф]])),
IF((G201="5/8"),((база!$J$6*Таблица1[[#This Row],[сумма]]*Таблица1[[#This Row],[коэф]])),
IF(OR(G201="4/8",G201="3/8",G201="2/8"),((база!$J$5*Таблица1[[#This Row],[сумма]]*Таблица1[[#This Row],[коэф]])))))))))))</f>
        <v>0</v>
      </c>
      <c r="AP201" s="715" t="b">
        <f>IF(AR201&lt;=3,(IF((G201="5/24"),((база!$M$6*2*Таблица1[[#This Row],[Столбец1]]*Таблица1[[#This Row],[коэф]])),
IF((G201="4/24"),((база!$M$5*2*Таблица1[[#This Row],[Столбец1]]*Таблица1[[#This Row],[коэф]])),
IF((G201="3/24"),((база!$M$4*2*Таблица1[[#This Row],[Столбец1]]*Таблица1[[#This Row],[коэф]])),
IF((G201="5/16"),((база!$L$6*2*Таблица1[[#This Row],[Столбец1]]*Таблица1[[#This Row],[коэф]])),
IF((G201="4/16"),((база!$L$5*2*Таблица1[[#This Row],[Столбец1]]*Таблица1[[#This Row],[коэф]])),
IF((G201="3/16"),((база!$L$4*2*Таблица1[[#This Row],[Столбец1]]*Таблица1[[#This Row],[коэф]])),
IF((G201="4/4"),((база!$I$5*2*Таблица1[[#This Row],[Столбец1]]*Таблица1[[#This Row],[коэф]])),
IF(OR(G201="2/4",G201="3/4"),((база!$I$4*2*Таблица1[[#This Row],[Столбец1]]*Таблица1[[#This Row],[коэф]])),
IF((G201="5/8"),((база!$J$6*2*Таблица1[[#This Row],[Столбец1]]*Таблица1[[#This Row],[коэф]])),
IF((G201="4/8"),((база!$J$5*2*Таблица1[[#This Row],[Столбец1]]*Таблица1[[#This Row],[коэф]])),
IF(OR(G201="3/8",G201="2/8"),((база!$J$4*2*Таблица1[[#This Row],[Столбец1]]*Таблица1[[#This Row],[коэф]])))))))))))))),
(IF((G201="5/24"),((база!$M$6*2*Таблица1[[#This Row],[Столбец1]]*Таблица1[[#This Row],[коэф]])),
IF(OR(G201="4/24",G201="3/24"),((база!$M$5*2*Таблица1[[#This Row],[Столбец1]]*Таблица1[[#This Row],[коэф]])),
IF((G201="5/16"),((база!$L$6*2*Таблица1[[#This Row],[Столбец1]]*Таблица1[[#This Row],[коэф]])),
IF(OR(G201="4/16",G201="3/16"),((база!$L$5*2*Таблица1[[#This Row],[Столбец1]]*Таблица1[[#This Row],[коэф]])),
IF(OR(G201="2/4",G201="3/4",G201="4/4"),((база!$I$5*2*Таблица1[[#This Row],[Столбец1]]*Таблица1[[#This Row],[коэф]])),
IF((G201="5/8"),((база!$J$6*2*Таблица1[[#This Row],[Столбец1]]*Таблица1[[#This Row],[коэф]])),
IF(OR(G201="4/8",G201="3/8",G201="2/8"),((база!$J$5*2*Таблица1[[#This Row],[Столбец1]]*Таблица1[[#This Row],[коэф]])))))))))))</f>
        <v>0</v>
      </c>
      <c r="AQ201" s="697" t="str">
        <f>IFERROR(INDEX(база!T:T, MATCH(F201,база!Q:Q,0)),"")</f>
        <v/>
      </c>
      <c r="AR201" s="207">
        <f>IFERROR(INDEX(база!D:D, MATCH(F201,база!B:B,0)),"")</f>
        <v>0</v>
      </c>
      <c r="AS201" s="46"/>
      <c r="AT201" s="46"/>
      <c r="AU201" s="46"/>
    </row>
    <row r="202" spans="1:47" ht="15">
      <c r="A202" s="66" t="str">
        <f t="shared" si="5"/>
        <v>декабрь</v>
      </c>
      <c r="B202" s="230">
        <v>2023</v>
      </c>
      <c r="C202" s="60"/>
      <c r="D202" s="61"/>
      <c r="E202" s="210"/>
      <c r="F202" s="669"/>
      <c r="G202" s="47"/>
      <c r="H202" s="563"/>
      <c r="I202" s="563"/>
      <c r="J202" s="563"/>
      <c r="K202" s="563"/>
      <c r="L202" s="563"/>
      <c r="M202" s="563"/>
      <c r="N202" s="563"/>
      <c r="O202" s="563"/>
      <c r="P202" s="300"/>
      <c r="Q202" s="563"/>
      <c r="R202" s="563"/>
      <c r="S202" s="563"/>
      <c r="T202" s="563"/>
      <c r="U202" s="563"/>
      <c r="V202" s="563"/>
      <c r="W202" s="563"/>
      <c r="X202" s="563"/>
      <c r="Y202" s="563"/>
      <c r="Z202" s="563"/>
      <c r="AA202" s="563"/>
      <c r="AB202" s="563"/>
      <c r="AC202" s="563"/>
      <c r="AD202" s="48"/>
      <c r="AE202" s="48"/>
      <c r="AF202" s="257"/>
      <c r="AG202" s="257"/>
      <c r="AH202" s="257"/>
      <c r="AI202" s="257"/>
      <c r="AJ202" s="257"/>
      <c r="AK202" s="257"/>
      <c r="AL202" s="257"/>
      <c r="AM202" s="211">
        <f>IF(AQ202=1,SUM(H202:I202,L202:O202,R202:U202,X202:AA202,AD202:AG202,AI202:AK202),
IF(AQ202=2,SUM(H202:K202,N202:Q202,T202:W202,Z202:AC202,AF202:AI202),
IF(AQ202=3,SUM(J202:M202,P202:S202,V202:Y202,AB202:AE202,AH202:AK202),SUM(Таблица1[[#This Row],[1]:[31]])-Таблица1[[#This Row],[Столбец1]])))</f>
        <v>0</v>
      </c>
      <c r="AN202" s="290">
        <f t="array" ref="AN202">IF(AQ202=1,SUM(J202:K202,P202:Q202,V202:W202,AB202:AC202,AH202:AI202),
IF(AQ202=2,SUM(L202:M202,R202:S202,X202:Y202,AD202:AE202),
IF(AQ202=3,SUM(H202:I202,N202:O202,T202:U202,Z202:AA202,AF202:AG202),
SUM(IFERROR(WEEKDAY($H$2:$AL$2,2)&gt;5,)*H202:AL202))))</f>
        <v>0</v>
      </c>
      <c r="AO202" s="292" t="b">
        <f>IF(AR202&lt;=3,(IF((G202="5/24"),((база!$M$6*Таблица1[[#This Row],[сумма]]*Таблица1[[#This Row],[коэф]])),
IF((G202="4/24"),((база!$M$5*Таблица1[[#This Row],[сумма]]*Таблица1[[#This Row],[коэф]])),
IF((G202="3/24"),((база!$M$4*Таблица1[[#This Row],[сумма]]*Таблица1[[#This Row],[коэф]])),
IF((G202="5/16"),((база!$L$6*Таблица1[[#This Row],[сумма]]*Таблица1[[#This Row],[коэф]])),
IF((G202="4/16"),((база!$L$5*Таблица1[[#This Row],[сумма]]*Таблица1[[#This Row],[коэф]])),
IF((G202="3/16"),((база!$L$4*Таблица1[[#This Row],[сумма]]*Таблица1[[#This Row],[коэф]])),
IF((G202="4/4"),((база!$I$5*Таблица1[[#This Row],[сумма]]*Таблица1[[#This Row],[коэф]])),
IF(OR(G202="2/4",G202="3/4"),((база!$I$4*Таблица1[[#This Row],[сумма]]*Таблица1[[#This Row],[коэф]])),
IF((G202="5/8"),((база!$J$6*Таблица1[[#This Row],[сумма]]*Таблица1[[#This Row],[коэф]])),
IF((G202="4/8"),((база!$J$5*Таблица1[[#This Row],[сумма]]*Таблица1[[#This Row],[коэф]])),
IF(OR(G202="3/8",G202="2/8"),((база!$J$4*Таблица1[[#This Row],[сумма]]*Таблица1[[#This Row],[коэф]])))))))))))))),
(IF((G202="5/24"),((база!$M$6*Таблица1[[#This Row],[сумма]]*Таблица1[[#This Row],[коэф]])),
IF(OR(G202="4/24",G202="3/24"),((база!$M$5*Таблица1[[#This Row],[сумма]]*Таблица1[[#This Row],[коэф]])),
IF((G202="5/16"),((база!$L$6*Таблица1[[#This Row],[сумма]]*Таблица1[[#This Row],[коэф]])),
IF(OR(G202="4/16",G202="3/16"),((база!$L$5*Таблица1[[#This Row],[сумма]]*Таблица1[[#This Row],[коэф]])),
IF(OR(G202="2/4",G202="3/4",G202="4/4"),((база!$I$5*Таблица1[[#This Row],[сумма]]*Таблица1[[#This Row],[коэф]])),
IF((G202="5/8"),((база!$J$6*Таблица1[[#This Row],[сумма]]*Таблица1[[#This Row],[коэф]])),
IF(OR(G202="4/8",G202="3/8",G202="2/8"),((база!$J$5*Таблица1[[#This Row],[сумма]]*Таблица1[[#This Row],[коэф]])))))))))))</f>
        <v>0</v>
      </c>
      <c r="AP202" s="715" t="b">
        <f>IF(AR202&lt;=3,(IF((G202="5/24"),((база!$M$6*2*Таблица1[[#This Row],[Столбец1]]*Таблица1[[#This Row],[коэф]])),
IF((G202="4/24"),((база!$M$5*2*Таблица1[[#This Row],[Столбец1]]*Таблица1[[#This Row],[коэф]])),
IF((G202="3/24"),((база!$M$4*2*Таблица1[[#This Row],[Столбец1]]*Таблица1[[#This Row],[коэф]])),
IF((G202="5/16"),((база!$L$6*2*Таблица1[[#This Row],[Столбец1]]*Таблица1[[#This Row],[коэф]])),
IF((G202="4/16"),((база!$L$5*2*Таблица1[[#This Row],[Столбец1]]*Таблица1[[#This Row],[коэф]])),
IF((G202="3/16"),((база!$L$4*2*Таблица1[[#This Row],[Столбец1]]*Таблица1[[#This Row],[коэф]])),
IF((G202="4/4"),((база!$I$5*2*Таблица1[[#This Row],[Столбец1]]*Таблица1[[#This Row],[коэф]])),
IF(OR(G202="2/4",G202="3/4"),((база!$I$4*2*Таблица1[[#This Row],[Столбец1]]*Таблица1[[#This Row],[коэф]])),
IF((G202="5/8"),((база!$J$6*2*Таблица1[[#This Row],[Столбец1]]*Таблица1[[#This Row],[коэф]])),
IF((G202="4/8"),((база!$J$5*2*Таблица1[[#This Row],[Столбец1]]*Таблица1[[#This Row],[коэф]])),
IF(OR(G202="3/8",G202="2/8"),((база!$J$4*2*Таблица1[[#This Row],[Столбец1]]*Таблица1[[#This Row],[коэф]])))))))))))))),
(IF((G202="5/24"),((база!$M$6*2*Таблица1[[#This Row],[Столбец1]]*Таблица1[[#This Row],[коэф]])),
IF(OR(G202="4/24",G202="3/24"),((база!$M$5*2*Таблица1[[#This Row],[Столбец1]]*Таблица1[[#This Row],[коэф]])),
IF((G202="5/16"),((база!$L$6*2*Таблица1[[#This Row],[Столбец1]]*Таблица1[[#This Row],[коэф]])),
IF(OR(G202="4/16",G202="3/16"),((база!$L$5*2*Таблица1[[#This Row],[Столбец1]]*Таблица1[[#This Row],[коэф]])),
IF(OR(G202="2/4",G202="3/4",G202="4/4"),((база!$I$5*2*Таблица1[[#This Row],[Столбец1]]*Таблица1[[#This Row],[коэф]])),
IF((G202="5/8"),((база!$J$6*2*Таблица1[[#This Row],[Столбец1]]*Таблица1[[#This Row],[коэф]])),
IF(OR(G202="4/8",G202="3/8",G202="2/8"),((база!$J$5*2*Таблица1[[#This Row],[Столбец1]]*Таблица1[[#This Row],[коэф]])))))))))))</f>
        <v>0</v>
      </c>
      <c r="AQ202" s="697" t="str">
        <f>IFERROR(INDEX(база!T:T, MATCH(F202,база!Q:Q,0)),"")</f>
        <v/>
      </c>
      <c r="AR202" s="207">
        <f>IFERROR(INDEX(база!D:D, MATCH(F202,база!B:B,0)),"")</f>
        <v>0</v>
      </c>
      <c r="AS202" s="46"/>
      <c r="AT202" s="46"/>
      <c r="AU202" s="46"/>
    </row>
    <row r="203" spans="1:47" ht="15">
      <c r="A203" s="66" t="str">
        <f t="shared" si="5"/>
        <v>декабрь</v>
      </c>
      <c r="B203" s="230">
        <v>2023</v>
      </c>
      <c r="C203" s="299"/>
      <c r="D203" s="61"/>
      <c r="E203" s="210"/>
      <c r="F203" s="669"/>
      <c r="G203" s="47"/>
      <c r="H203" s="563"/>
      <c r="I203" s="563"/>
      <c r="J203" s="563"/>
      <c r="K203" s="563"/>
      <c r="L203" s="563"/>
      <c r="M203" s="563"/>
      <c r="N203" s="563"/>
      <c r="O203" s="563"/>
      <c r="P203" s="300"/>
      <c r="Q203" s="563"/>
      <c r="R203" s="563"/>
      <c r="S203" s="563"/>
      <c r="T203" s="563"/>
      <c r="U203" s="563"/>
      <c r="V203" s="563"/>
      <c r="W203" s="563"/>
      <c r="X203" s="563"/>
      <c r="Y203" s="563"/>
      <c r="Z203" s="563"/>
      <c r="AA203" s="563"/>
      <c r="AB203" s="563"/>
      <c r="AC203" s="563"/>
      <c r="AD203" s="48"/>
      <c r="AE203" s="48"/>
      <c r="AF203" s="257"/>
      <c r="AG203" s="257"/>
      <c r="AH203" s="257"/>
      <c r="AI203" s="257"/>
      <c r="AJ203" s="257"/>
      <c r="AK203" s="257"/>
      <c r="AL203" s="257"/>
      <c r="AM203" s="211">
        <f>IF(AQ203=1,SUM(H203:I203,L203:O203,R203:U203,X203:AA203,AD203:AG203,AI203:AK203),
IF(AQ203=2,SUM(H203:K203,N203:Q203,T203:W203,Z203:AC203,AF203:AI203),
IF(AQ203=3,SUM(J203:M203,P203:S203,V203:Y203,AB203:AE203,AH203:AK203),SUM(Таблица1[[#This Row],[1]:[31]])-Таблица1[[#This Row],[Столбец1]])))</f>
        <v>0</v>
      </c>
      <c r="AN203" s="290">
        <f t="array" ref="AN203">IF(AQ203=1,SUM(J203:K203,P203:Q203,V203:W203,AB203:AC203,AH203:AI203),
IF(AQ203=2,SUM(L203:M203,R203:S203,X203:Y203,AD203:AE203),
IF(AQ203=3,SUM(H203:I203,N203:O203,T203:U203,Z203:AA203,AF203:AG203),
SUM(IFERROR(WEEKDAY($H$2:$AL$2,2)&gt;5,)*H203:AL203))))</f>
        <v>0</v>
      </c>
      <c r="AO203" s="292" t="b">
        <f>IF(AR203&lt;=3,(IF((G203="5/24"),((база!$M$6*Таблица1[[#This Row],[сумма]]*Таблица1[[#This Row],[коэф]])),
IF((G203="4/24"),((база!$M$5*Таблица1[[#This Row],[сумма]]*Таблица1[[#This Row],[коэф]])),
IF((G203="3/24"),((база!$M$4*Таблица1[[#This Row],[сумма]]*Таблица1[[#This Row],[коэф]])),
IF((G203="5/16"),((база!$L$6*Таблица1[[#This Row],[сумма]]*Таблица1[[#This Row],[коэф]])),
IF((G203="4/16"),((база!$L$5*Таблица1[[#This Row],[сумма]]*Таблица1[[#This Row],[коэф]])),
IF((G203="3/16"),((база!$L$4*Таблица1[[#This Row],[сумма]]*Таблица1[[#This Row],[коэф]])),
IF((G203="4/4"),((база!$I$5*Таблица1[[#This Row],[сумма]]*Таблица1[[#This Row],[коэф]])),
IF(OR(G203="2/4",G203="3/4"),((база!$I$4*Таблица1[[#This Row],[сумма]]*Таблица1[[#This Row],[коэф]])),
IF((G203="5/8"),((база!$J$6*Таблица1[[#This Row],[сумма]]*Таблица1[[#This Row],[коэф]])),
IF((G203="4/8"),((база!$J$5*Таблица1[[#This Row],[сумма]]*Таблица1[[#This Row],[коэф]])),
IF(OR(G203="3/8",G203="2/8"),((база!$J$4*Таблица1[[#This Row],[сумма]]*Таблица1[[#This Row],[коэф]])))))))))))))),
(IF((G203="5/24"),((база!$M$6*Таблица1[[#This Row],[сумма]]*Таблица1[[#This Row],[коэф]])),
IF(OR(G203="4/24",G203="3/24"),((база!$M$5*Таблица1[[#This Row],[сумма]]*Таблица1[[#This Row],[коэф]])),
IF((G203="5/16"),((база!$L$6*Таблица1[[#This Row],[сумма]]*Таблица1[[#This Row],[коэф]])),
IF(OR(G203="4/16",G203="3/16"),((база!$L$5*Таблица1[[#This Row],[сумма]]*Таблица1[[#This Row],[коэф]])),
IF(OR(G203="2/4",G203="3/4",G203="4/4"),((база!$I$5*Таблица1[[#This Row],[сумма]]*Таблица1[[#This Row],[коэф]])),
IF((G203="5/8"),((база!$J$6*Таблица1[[#This Row],[сумма]]*Таблица1[[#This Row],[коэф]])),
IF(OR(G203="4/8",G203="3/8",G203="2/8"),((база!$J$5*Таблица1[[#This Row],[сумма]]*Таблица1[[#This Row],[коэф]])))))))))))</f>
        <v>0</v>
      </c>
      <c r="AP203" s="715" t="b">
        <f>IF(AR203&lt;=3,(IF((G203="5/24"),((база!$M$6*2*Таблица1[[#This Row],[Столбец1]]*Таблица1[[#This Row],[коэф]])),
IF((G203="4/24"),((база!$M$5*2*Таблица1[[#This Row],[Столбец1]]*Таблица1[[#This Row],[коэф]])),
IF((G203="3/24"),((база!$M$4*2*Таблица1[[#This Row],[Столбец1]]*Таблица1[[#This Row],[коэф]])),
IF((G203="5/16"),((база!$L$6*2*Таблица1[[#This Row],[Столбец1]]*Таблица1[[#This Row],[коэф]])),
IF((G203="4/16"),((база!$L$5*2*Таблица1[[#This Row],[Столбец1]]*Таблица1[[#This Row],[коэф]])),
IF((G203="3/16"),((база!$L$4*2*Таблица1[[#This Row],[Столбец1]]*Таблица1[[#This Row],[коэф]])),
IF((G203="4/4"),((база!$I$5*2*Таблица1[[#This Row],[Столбец1]]*Таблица1[[#This Row],[коэф]])),
IF(OR(G203="2/4",G203="3/4"),((база!$I$4*2*Таблица1[[#This Row],[Столбец1]]*Таблица1[[#This Row],[коэф]])),
IF((G203="5/8"),((база!$J$6*2*Таблица1[[#This Row],[Столбец1]]*Таблица1[[#This Row],[коэф]])),
IF((G203="4/8"),((база!$J$5*2*Таблица1[[#This Row],[Столбец1]]*Таблица1[[#This Row],[коэф]])),
IF(OR(G203="3/8",G203="2/8"),((база!$J$4*2*Таблица1[[#This Row],[Столбец1]]*Таблица1[[#This Row],[коэф]])))))))))))))),
(IF((G203="5/24"),((база!$M$6*2*Таблица1[[#This Row],[Столбец1]]*Таблица1[[#This Row],[коэф]])),
IF(OR(G203="4/24",G203="3/24"),((база!$M$5*2*Таблица1[[#This Row],[Столбец1]]*Таблица1[[#This Row],[коэф]])),
IF((G203="5/16"),((база!$L$6*2*Таблица1[[#This Row],[Столбец1]]*Таблица1[[#This Row],[коэф]])),
IF(OR(G203="4/16",G203="3/16"),((база!$L$5*2*Таблица1[[#This Row],[Столбец1]]*Таблица1[[#This Row],[коэф]])),
IF(OR(G203="2/4",G203="3/4",G203="4/4"),((база!$I$5*2*Таблица1[[#This Row],[Столбец1]]*Таблица1[[#This Row],[коэф]])),
IF((G203="5/8"),((база!$J$6*2*Таблица1[[#This Row],[Столбец1]]*Таблица1[[#This Row],[коэф]])),
IF(OR(G203="4/8",G203="3/8",G203="2/8"),((база!$J$5*2*Таблица1[[#This Row],[Столбец1]]*Таблица1[[#This Row],[коэф]])))))))))))</f>
        <v>0</v>
      </c>
      <c r="AQ203" s="697" t="str">
        <f>IFERROR(INDEX(база!T:T, MATCH(F203,база!Q:Q,0)),"")</f>
        <v/>
      </c>
      <c r="AR203" s="207">
        <f>IFERROR(INDEX(база!D:D, MATCH(F203,база!B:B,0)),"")</f>
        <v>0</v>
      </c>
      <c r="AS203" s="46"/>
      <c r="AT203" s="46"/>
      <c r="AU203" s="46"/>
    </row>
    <row r="204" spans="1:47" ht="15">
      <c r="A204" s="66" t="str">
        <f t="shared" si="5"/>
        <v>декабрь</v>
      </c>
      <c r="B204" s="230">
        <v>2023</v>
      </c>
      <c r="C204" s="60"/>
      <c r="D204" s="61"/>
      <c r="E204" s="210"/>
      <c r="F204" s="669"/>
      <c r="G204" s="47"/>
      <c r="H204" s="563"/>
      <c r="I204" s="563"/>
      <c r="J204" s="563"/>
      <c r="K204" s="563"/>
      <c r="L204" s="563"/>
      <c r="M204" s="563"/>
      <c r="N204" s="563"/>
      <c r="O204" s="563"/>
      <c r="P204" s="300"/>
      <c r="Q204" s="563"/>
      <c r="R204" s="563"/>
      <c r="S204" s="563"/>
      <c r="T204" s="563"/>
      <c r="U204" s="563"/>
      <c r="V204" s="563"/>
      <c r="W204" s="563"/>
      <c r="X204" s="563"/>
      <c r="Y204" s="563"/>
      <c r="Z204" s="563"/>
      <c r="AA204" s="563"/>
      <c r="AB204" s="563"/>
      <c r="AC204" s="563"/>
      <c r="AD204" s="48"/>
      <c r="AE204" s="48"/>
      <c r="AF204" s="257"/>
      <c r="AG204" s="257"/>
      <c r="AH204" s="257"/>
      <c r="AI204" s="257"/>
      <c r="AJ204" s="257"/>
      <c r="AK204" s="257"/>
      <c r="AL204" s="257"/>
      <c r="AM204" s="211">
        <f>IF(AQ204=1,SUM(H204:I204,L204:O204,R204:U204,X204:AA204,AD204:AG204,AI204:AK204),
IF(AQ204=2,SUM(H204:K204,N204:Q204,T204:W204,Z204:AC204,AF204:AI204),
IF(AQ204=3,SUM(J204:M204,P204:S204,V204:Y204,AB204:AE204,AH204:AK204),SUM(Таблица1[[#This Row],[1]:[31]])-Таблица1[[#This Row],[Столбец1]])))</f>
        <v>0</v>
      </c>
      <c r="AN204" s="290">
        <f t="array" ref="AN204">IF(AQ204=1,SUM(J204:K204,P204:Q204,V204:W204,AB204:AC204,AH204:AI204),
IF(AQ204=2,SUM(L204:M204,R204:S204,X204:Y204,AD204:AE204),
IF(AQ204=3,SUM(H204:I204,N204:O204,T204:U204,Z204:AA204,AF204:AG204),
SUM(IFERROR(WEEKDAY($H$2:$AL$2,2)&gt;5,)*H204:AL204))))</f>
        <v>0</v>
      </c>
      <c r="AO204" s="292" t="b">
        <f>IF(AR204&lt;=3,(IF((G204="5/24"),((база!$M$6*Таблица1[[#This Row],[сумма]]*Таблица1[[#This Row],[коэф]])),
IF((G204="4/24"),((база!$M$5*Таблица1[[#This Row],[сумма]]*Таблица1[[#This Row],[коэф]])),
IF((G204="3/24"),((база!$M$4*Таблица1[[#This Row],[сумма]]*Таблица1[[#This Row],[коэф]])),
IF((G204="5/16"),((база!$L$6*Таблица1[[#This Row],[сумма]]*Таблица1[[#This Row],[коэф]])),
IF((G204="4/16"),((база!$L$5*Таблица1[[#This Row],[сумма]]*Таблица1[[#This Row],[коэф]])),
IF((G204="3/16"),((база!$L$4*Таблица1[[#This Row],[сумма]]*Таблица1[[#This Row],[коэф]])),
IF((G204="4/4"),((база!$I$5*Таблица1[[#This Row],[сумма]]*Таблица1[[#This Row],[коэф]])),
IF(OR(G204="2/4",G204="3/4"),((база!$I$4*Таблица1[[#This Row],[сумма]]*Таблица1[[#This Row],[коэф]])),
IF((G204="5/8"),((база!$J$6*Таблица1[[#This Row],[сумма]]*Таблица1[[#This Row],[коэф]])),
IF((G204="4/8"),((база!$J$5*Таблица1[[#This Row],[сумма]]*Таблица1[[#This Row],[коэф]])),
IF(OR(G204="3/8",G204="2/8"),((база!$J$4*Таблица1[[#This Row],[сумма]]*Таблица1[[#This Row],[коэф]])))))))))))))),
(IF((G204="5/24"),((база!$M$6*Таблица1[[#This Row],[сумма]]*Таблица1[[#This Row],[коэф]])),
IF(OR(G204="4/24",G204="3/24"),((база!$M$5*Таблица1[[#This Row],[сумма]]*Таблица1[[#This Row],[коэф]])),
IF((G204="5/16"),((база!$L$6*Таблица1[[#This Row],[сумма]]*Таблица1[[#This Row],[коэф]])),
IF(OR(G204="4/16",G204="3/16"),((база!$L$5*Таблица1[[#This Row],[сумма]]*Таблица1[[#This Row],[коэф]])),
IF(OR(G204="2/4",G204="3/4",G204="4/4"),((база!$I$5*Таблица1[[#This Row],[сумма]]*Таблица1[[#This Row],[коэф]])),
IF((G204="5/8"),((база!$J$6*Таблица1[[#This Row],[сумма]]*Таблица1[[#This Row],[коэф]])),
IF(OR(G204="4/8",G204="3/8",G204="2/8"),((база!$J$5*Таблица1[[#This Row],[сумма]]*Таблица1[[#This Row],[коэф]])))))))))))</f>
        <v>0</v>
      </c>
      <c r="AP204" s="715" t="b">
        <f>IF(AR204&lt;=3,(IF((G204="5/24"),((база!$M$6*2*Таблица1[[#This Row],[Столбец1]]*Таблица1[[#This Row],[коэф]])),
IF((G204="4/24"),((база!$M$5*2*Таблица1[[#This Row],[Столбец1]]*Таблица1[[#This Row],[коэф]])),
IF((G204="3/24"),((база!$M$4*2*Таблица1[[#This Row],[Столбец1]]*Таблица1[[#This Row],[коэф]])),
IF((G204="5/16"),((база!$L$6*2*Таблица1[[#This Row],[Столбец1]]*Таблица1[[#This Row],[коэф]])),
IF((G204="4/16"),((база!$L$5*2*Таблица1[[#This Row],[Столбец1]]*Таблица1[[#This Row],[коэф]])),
IF((G204="3/16"),((база!$L$4*2*Таблица1[[#This Row],[Столбец1]]*Таблица1[[#This Row],[коэф]])),
IF((G204="4/4"),((база!$I$5*2*Таблица1[[#This Row],[Столбец1]]*Таблица1[[#This Row],[коэф]])),
IF(OR(G204="2/4",G204="3/4"),((база!$I$4*2*Таблица1[[#This Row],[Столбец1]]*Таблица1[[#This Row],[коэф]])),
IF((G204="5/8"),((база!$J$6*2*Таблица1[[#This Row],[Столбец1]]*Таблица1[[#This Row],[коэф]])),
IF((G204="4/8"),((база!$J$5*2*Таблица1[[#This Row],[Столбец1]]*Таблица1[[#This Row],[коэф]])),
IF(OR(G204="3/8",G204="2/8"),((база!$J$4*2*Таблица1[[#This Row],[Столбец1]]*Таблица1[[#This Row],[коэф]])))))))))))))),
(IF((G204="5/24"),((база!$M$6*2*Таблица1[[#This Row],[Столбец1]]*Таблица1[[#This Row],[коэф]])),
IF(OR(G204="4/24",G204="3/24"),((база!$M$5*2*Таблица1[[#This Row],[Столбец1]]*Таблица1[[#This Row],[коэф]])),
IF((G204="5/16"),((база!$L$6*2*Таблица1[[#This Row],[Столбец1]]*Таблица1[[#This Row],[коэф]])),
IF(OR(G204="4/16",G204="3/16"),((база!$L$5*2*Таблица1[[#This Row],[Столбец1]]*Таблица1[[#This Row],[коэф]])),
IF(OR(G204="2/4",G204="3/4",G204="4/4"),((база!$I$5*2*Таблица1[[#This Row],[Столбец1]]*Таблица1[[#This Row],[коэф]])),
IF((G204="5/8"),((база!$J$6*2*Таблица1[[#This Row],[Столбец1]]*Таблица1[[#This Row],[коэф]])),
IF(OR(G204="4/8",G204="3/8",G204="2/8"),((база!$J$5*2*Таблица1[[#This Row],[Столбец1]]*Таблица1[[#This Row],[коэф]])))))))))))</f>
        <v>0</v>
      </c>
      <c r="AQ204" s="697" t="str">
        <f>IFERROR(INDEX(база!T:T, MATCH(F204,база!Q:Q,0)),"")</f>
        <v/>
      </c>
      <c r="AR204" s="207">
        <f>IFERROR(INDEX(база!D:D, MATCH(F204,база!B:B,0)),"")</f>
        <v>0</v>
      </c>
      <c r="AS204" s="46"/>
      <c r="AT204" s="46"/>
      <c r="AU204" s="46"/>
    </row>
    <row r="205" spans="1:47" ht="15">
      <c r="A205" s="66" t="str">
        <f t="shared" si="5"/>
        <v>декабрь</v>
      </c>
      <c r="B205" s="230">
        <v>2023</v>
      </c>
      <c r="C205" s="299"/>
      <c r="D205" s="61"/>
      <c r="E205" s="210"/>
      <c r="F205" s="669"/>
      <c r="G205" s="47"/>
      <c r="H205" s="563"/>
      <c r="I205" s="563"/>
      <c r="J205" s="563"/>
      <c r="K205" s="563"/>
      <c r="L205" s="563"/>
      <c r="M205" s="563"/>
      <c r="N205" s="563"/>
      <c r="O205" s="563"/>
      <c r="P205" s="300"/>
      <c r="Q205" s="563"/>
      <c r="R205" s="563"/>
      <c r="S205" s="563"/>
      <c r="T205" s="563"/>
      <c r="U205" s="563"/>
      <c r="V205" s="563"/>
      <c r="W205" s="563"/>
      <c r="X205" s="563"/>
      <c r="Y205" s="563"/>
      <c r="Z205" s="563"/>
      <c r="AA205" s="563"/>
      <c r="AB205" s="563"/>
      <c r="AC205" s="563"/>
      <c r="AD205" s="48"/>
      <c r="AE205" s="48"/>
      <c r="AF205" s="257"/>
      <c r="AG205" s="257"/>
      <c r="AH205" s="257"/>
      <c r="AI205" s="257"/>
      <c r="AJ205" s="257"/>
      <c r="AK205" s="257"/>
      <c r="AL205" s="257"/>
      <c r="AM205" s="211">
        <f>IF(AQ205=1,SUM(H205:I205,L205:O205,R205:U205,X205:AA205,AD205:AG205,AI205:AK205),
IF(AQ205=2,SUM(H205:K205,N205:Q205,T205:W205,Z205:AC205,AF205:AI205),
IF(AQ205=3,SUM(J205:M205,P205:S205,V205:Y205,AB205:AE205,AH205:AK205),SUM(Таблица1[[#This Row],[1]:[31]])-Таблица1[[#This Row],[Столбец1]])))</f>
        <v>0</v>
      </c>
      <c r="AN205" s="290">
        <f t="array" ref="AN205">IF(AQ205=1,SUM(J205:K205,P205:Q205,V205:W205,AB205:AC205,AH205:AI205),
IF(AQ205=2,SUM(L205:M205,R205:S205,X205:Y205,AD205:AE205),
IF(AQ205=3,SUM(H205:I205,N205:O205,T205:U205,Z205:AA205,AF205:AG205),
SUM(IFERROR(WEEKDAY($H$2:$AL$2,2)&gt;5,)*H205:AL205))))</f>
        <v>0</v>
      </c>
      <c r="AO205" s="292" t="b">
        <f>IF(AR205&lt;=3,(IF((G205="5/24"),((база!$M$6*Таблица1[[#This Row],[сумма]]*Таблица1[[#This Row],[коэф]])),
IF((G205="4/24"),((база!$M$5*Таблица1[[#This Row],[сумма]]*Таблица1[[#This Row],[коэф]])),
IF((G205="3/24"),((база!$M$4*Таблица1[[#This Row],[сумма]]*Таблица1[[#This Row],[коэф]])),
IF((G205="5/16"),((база!$L$6*Таблица1[[#This Row],[сумма]]*Таблица1[[#This Row],[коэф]])),
IF((G205="4/16"),((база!$L$5*Таблица1[[#This Row],[сумма]]*Таблица1[[#This Row],[коэф]])),
IF((G205="3/16"),((база!$L$4*Таблица1[[#This Row],[сумма]]*Таблица1[[#This Row],[коэф]])),
IF((G205="4/4"),((база!$I$5*Таблица1[[#This Row],[сумма]]*Таблица1[[#This Row],[коэф]])),
IF(OR(G205="2/4",G205="3/4"),((база!$I$4*Таблица1[[#This Row],[сумма]]*Таблица1[[#This Row],[коэф]])),
IF((G205="5/8"),((база!$J$6*Таблица1[[#This Row],[сумма]]*Таблица1[[#This Row],[коэф]])),
IF((G205="4/8"),((база!$J$5*Таблица1[[#This Row],[сумма]]*Таблица1[[#This Row],[коэф]])),
IF(OR(G205="3/8",G205="2/8"),((база!$J$4*Таблица1[[#This Row],[сумма]]*Таблица1[[#This Row],[коэф]])))))))))))))),
(IF((G205="5/24"),((база!$M$6*Таблица1[[#This Row],[сумма]]*Таблица1[[#This Row],[коэф]])),
IF(OR(G205="4/24",G205="3/24"),((база!$M$5*Таблица1[[#This Row],[сумма]]*Таблица1[[#This Row],[коэф]])),
IF((G205="5/16"),((база!$L$6*Таблица1[[#This Row],[сумма]]*Таблица1[[#This Row],[коэф]])),
IF(OR(G205="4/16",G205="3/16"),((база!$L$5*Таблица1[[#This Row],[сумма]]*Таблица1[[#This Row],[коэф]])),
IF(OR(G205="2/4",G205="3/4",G205="4/4"),((база!$I$5*Таблица1[[#This Row],[сумма]]*Таблица1[[#This Row],[коэф]])),
IF((G205="5/8"),((база!$J$6*Таблица1[[#This Row],[сумма]]*Таблица1[[#This Row],[коэф]])),
IF(OR(G205="4/8",G205="3/8",G205="2/8"),((база!$J$5*Таблица1[[#This Row],[сумма]]*Таблица1[[#This Row],[коэф]])))))))))))</f>
        <v>0</v>
      </c>
      <c r="AP205" s="715" t="b">
        <f>IF(AR205&lt;=3,(IF((G205="5/24"),((база!$M$6*2*Таблица1[[#This Row],[Столбец1]]*Таблица1[[#This Row],[коэф]])),
IF((G205="4/24"),((база!$M$5*2*Таблица1[[#This Row],[Столбец1]]*Таблица1[[#This Row],[коэф]])),
IF((G205="3/24"),((база!$M$4*2*Таблица1[[#This Row],[Столбец1]]*Таблица1[[#This Row],[коэф]])),
IF((G205="5/16"),((база!$L$6*2*Таблица1[[#This Row],[Столбец1]]*Таблица1[[#This Row],[коэф]])),
IF((G205="4/16"),((база!$L$5*2*Таблица1[[#This Row],[Столбец1]]*Таблица1[[#This Row],[коэф]])),
IF((G205="3/16"),((база!$L$4*2*Таблица1[[#This Row],[Столбец1]]*Таблица1[[#This Row],[коэф]])),
IF((G205="4/4"),((база!$I$5*2*Таблица1[[#This Row],[Столбец1]]*Таблица1[[#This Row],[коэф]])),
IF(OR(G205="2/4",G205="3/4"),((база!$I$4*2*Таблица1[[#This Row],[Столбец1]]*Таблица1[[#This Row],[коэф]])),
IF((G205="5/8"),((база!$J$6*2*Таблица1[[#This Row],[Столбец1]]*Таблица1[[#This Row],[коэф]])),
IF((G205="4/8"),((база!$J$5*2*Таблица1[[#This Row],[Столбец1]]*Таблица1[[#This Row],[коэф]])),
IF(OR(G205="3/8",G205="2/8"),((база!$J$4*2*Таблица1[[#This Row],[Столбец1]]*Таблица1[[#This Row],[коэф]])))))))))))))),
(IF((G205="5/24"),((база!$M$6*2*Таблица1[[#This Row],[Столбец1]]*Таблица1[[#This Row],[коэф]])),
IF(OR(G205="4/24",G205="3/24"),((база!$M$5*2*Таблица1[[#This Row],[Столбец1]]*Таблица1[[#This Row],[коэф]])),
IF((G205="5/16"),((база!$L$6*2*Таблица1[[#This Row],[Столбец1]]*Таблица1[[#This Row],[коэф]])),
IF(OR(G205="4/16",G205="3/16"),((база!$L$5*2*Таблица1[[#This Row],[Столбец1]]*Таблица1[[#This Row],[коэф]])),
IF(OR(G205="2/4",G205="3/4",G205="4/4"),((база!$I$5*2*Таблица1[[#This Row],[Столбец1]]*Таблица1[[#This Row],[коэф]])),
IF((G205="5/8"),((база!$J$6*2*Таблица1[[#This Row],[Столбец1]]*Таблица1[[#This Row],[коэф]])),
IF(OR(G205="4/8",G205="3/8",G205="2/8"),((база!$J$5*2*Таблица1[[#This Row],[Столбец1]]*Таблица1[[#This Row],[коэф]])))))))))))</f>
        <v>0</v>
      </c>
      <c r="AQ205" s="697" t="str">
        <f>IFERROR(INDEX(база!T:T, MATCH(F205,база!Q:Q,0)),"")</f>
        <v/>
      </c>
      <c r="AR205" s="207">
        <f>IFERROR(INDEX(база!D:D, MATCH(F205,база!B:B,0)),"")</f>
        <v>0</v>
      </c>
      <c r="AS205" s="46"/>
      <c r="AT205" s="46"/>
      <c r="AU205" s="46"/>
    </row>
    <row r="206" spans="1:47" ht="15">
      <c r="A206" s="66" t="str">
        <f t="shared" si="5"/>
        <v>декабрь</v>
      </c>
      <c r="B206" s="230">
        <v>2023</v>
      </c>
      <c r="C206" s="60"/>
      <c r="D206" s="61"/>
      <c r="E206" s="210"/>
      <c r="F206" s="669"/>
      <c r="G206" s="47"/>
      <c r="H206" s="563"/>
      <c r="I206" s="563"/>
      <c r="J206" s="563"/>
      <c r="K206" s="563"/>
      <c r="L206" s="563"/>
      <c r="M206" s="563"/>
      <c r="N206" s="563"/>
      <c r="O206" s="563"/>
      <c r="P206" s="300"/>
      <c r="Q206" s="563"/>
      <c r="R206" s="563"/>
      <c r="S206" s="563"/>
      <c r="T206" s="563"/>
      <c r="U206" s="563"/>
      <c r="V206" s="563"/>
      <c r="W206" s="563"/>
      <c r="X206" s="563"/>
      <c r="Y206" s="563"/>
      <c r="Z206" s="563"/>
      <c r="AA206" s="563"/>
      <c r="AB206" s="563"/>
      <c r="AC206" s="563"/>
      <c r="AD206" s="48"/>
      <c r="AE206" s="48"/>
      <c r="AF206" s="257"/>
      <c r="AG206" s="257"/>
      <c r="AH206" s="257"/>
      <c r="AI206" s="257"/>
      <c r="AJ206" s="257"/>
      <c r="AK206" s="257"/>
      <c r="AL206" s="257"/>
      <c r="AM206" s="211">
        <f>IF(AQ206=1,SUM(H206:I206,L206:O206,R206:U206,X206:AA206,AD206:AG206,AI206:AK206),
IF(AQ206=2,SUM(H206:K206,N206:Q206,T206:W206,Z206:AC206,AF206:AI206),
IF(AQ206=3,SUM(J206:M206,P206:S206,V206:Y206,AB206:AE206,AH206:AK206),SUM(Таблица1[[#This Row],[1]:[31]])-Таблица1[[#This Row],[Столбец1]])))</f>
        <v>0</v>
      </c>
      <c r="AN206" s="290">
        <f t="array" ref="AN206">IF(AQ206=1,SUM(J206:K206,P206:Q206,V206:W206,AB206:AC206,AH206:AI206),
IF(AQ206=2,SUM(L206:M206,R206:S206,X206:Y206,AD206:AE206),
IF(AQ206=3,SUM(H206:I206,N206:O206,T206:U206,Z206:AA206,AF206:AG206),
SUM(IFERROR(WEEKDAY($H$2:$AL$2,2)&gt;5,)*H206:AL206))))</f>
        <v>0</v>
      </c>
      <c r="AO206" s="292" t="b">
        <f>IF(AR206&lt;=3,(IF((G206="5/24"),((база!$M$6*Таблица1[[#This Row],[сумма]]*Таблица1[[#This Row],[коэф]])),
IF((G206="4/24"),((база!$M$5*Таблица1[[#This Row],[сумма]]*Таблица1[[#This Row],[коэф]])),
IF((G206="3/24"),((база!$M$4*Таблица1[[#This Row],[сумма]]*Таблица1[[#This Row],[коэф]])),
IF((G206="5/16"),((база!$L$6*Таблица1[[#This Row],[сумма]]*Таблица1[[#This Row],[коэф]])),
IF((G206="4/16"),((база!$L$5*Таблица1[[#This Row],[сумма]]*Таблица1[[#This Row],[коэф]])),
IF((G206="3/16"),((база!$L$4*Таблица1[[#This Row],[сумма]]*Таблица1[[#This Row],[коэф]])),
IF((G206="4/4"),((база!$I$5*Таблица1[[#This Row],[сумма]]*Таблица1[[#This Row],[коэф]])),
IF(OR(G206="2/4",G206="3/4"),((база!$I$4*Таблица1[[#This Row],[сумма]]*Таблица1[[#This Row],[коэф]])),
IF((G206="5/8"),((база!$J$6*Таблица1[[#This Row],[сумма]]*Таблица1[[#This Row],[коэф]])),
IF((G206="4/8"),((база!$J$5*Таблица1[[#This Row],[сумма]]*Таблица1[[#This Row],[коэф]])),
IF(OR(G206="3/8",G206="2/8"),((база!$J$4*Таблица1[[#This Row],[сумма]]*Таблица1[[#This Row],[коэф]])))))))))))))),
(IF((G206="5/24"),((база!$M$6*Таблица1[[#This Row],[сумма]]*Таблица1[[#This Row],[коэф]])),
IF(OR(G206="4/24",G206="3/24"),((база!$M$5*Таблица1[[#This Row],[сумма]]*Таблица1[[#This Row],[коэф]])),
IF((G206="5/16"),((база!$L$6*Таблица1[[#This Row],[сумма]]*Таблица1[[#This Row],[коэф]])),
IF(OR(G206="4/16",G206="3/16"),((база!$L$5*Таблица1[[#This Row],[сумма]]*Таблица1[[#This Row],[коэф]])),
IF(OR(G206="2/4",G206="3/4",G206="4/4"),((база!$I$5*Таблица1[[#This Row],[сумма]]*Таблица1[[#This Row],[коэф]])),
IF((G206="5/8"),((база!$J$6*Таблица1[[#This Row],[сумма]]*Таблица1[[#This Row],[коэф]])),
IF(OR(G206="4/8",G206="3/8",G206="2/8"),((база!$J$5*Таблица1[[#This Row],[сумма]]*Таблица1[[#This Row],[коэф]])))))))))))</f>
        <v>0</v>
      </c>
      <c r="AP206" s="715" t="b">
        <f>IF(AR206&lt;=3,(IF((G206="5/24"),((база!$M$6*2*Таблица1[[#This Row],[Столбец1]]*Таблица1[[#This Row],[коэф]])),
IF((G206="4/24"),((база!$M$5*2*Таблица1[[#This Row],[Столбец1]]*Таблица1[[#This Row],[коэф]])),
IF((G206="3/24"),((база!$M$4*2*Таблица1[[#This Row],[Столбец1]]*Таблица1[[#This Row],[коэф]])),
IF((G206="5/16"),((база!$L$6*2*Таблица1[[#This Row],[Столбец1]]*Таблица1[[#This Row],[коэф]])),
IF((G206="4/16"),((база!$L$5*2*Таблица1[[#This Row],[Столбец1]]*Таблица1[[#This Row],[коэф]])),
IF((G206="3/16"),((база!$L$4*2*Таблица1[[#This Row],[Столбец1]]*Таблица1[[#This Row],[коэф]])),
IF((G206="4/4"),((база!$I$5*2*Таблица1[[#This Row],[Столбец1]]*Таблица1[[#This Row],[коэф]])),
IF(OR(G206="2/4",G206="3/4"),((база!$I$4*2*Таблица1[[#This Row],[Столбец1]]*Таблица1[[#This Row],[коэф]])),
IF((G206="5/8"),((база!$J$6*2*Таблица1[[#This Row],[Столбец1]]*Таблица1[[#This Row],[коэф]])),
IF((G206="4/8"),((база!$J$5*2*Таблица1[[#This Row],[Столбец1]]*Таблица1[[#This Row],[коэф]])),
IF(OR(G206="3/8",G206="2/8"),((база!$J$4*2*Таблица1[[#This Row],[Столбец1]]*Таблица1[[#This Row],[коэф]])))))))))))))),
(IF((G206="5/24"),((база!$M$6*2*Таблица1[[#This Row],[Столбец1]]*Таблица1[[#This Row],[коэф]])),
IF(OR(G206="4/24",G206="3/24"),((база!$M$5*2*Таблица1[[#This Row],[Столбец1]]*Таблица1[[#This Row],[коэф]])),
IF((G206="5/16"),((база!$L$6*2*Таблица1[[#This Row],[Столбец1]]*Таблица1[[#This Row],[коэф]])),
IF(OR(G206="4/16",G206="3/16"),((база!$L$5*2*Таблица1[[#This Row],[Столбец1]]*Таблица1[[#This Row],[коэф]])),
IF(OR(G206="2/4",G206="3/4",G206="4/4"),((база!$I$5*2*Таблица1[[#This Row],[Столбец1]]*Таблица1[[#This Row],[коэф]])),
IF((G206="5/8"),((база!$J$6*2*Таблица1[[#This Row],[Столбец1]]*Таблица1[[#This Row],[коэф]])),
IF(OR(G206="4/8",G206="3/8",G206="2/8"),((база!$J$5*2*Таблица1[[#This Row],[Столбец1]]*Таблица1[[#This Row],[коэф]])))))))))))</f>
        <v>0</v>
      </c>
      <c r="AQ206" s="697" t="str">
        <f>IFERROR(INDEX(база!T:T, MATCH(F206,база!Q:Q,0)),"")</f>
        <v/>
      </c>
      <c r="AR206" s="207">
        <f>IFERROR(INDEX(база!D:D, MATCH(F206,база!B:B,0)),"")</f>
        <v>0</v>
      </c>
      <c r="AS206" s="46"/>
      <c r="AT206" s="46"/>
      <c r="AU206" s="46"/>
    </row>
    <row r="207" spans="1:47" ht="15">
      <c r="A207" s="66" t="str">
        <f t="shared" si="5"/>
        <v>декабрь</v>
      </c>
      <c r="B207" s="230">
        <v>2023</v>
      </c>
      <c r="C207" s="299"/>
      <c r="D207" s="61"/>
      <c r="E207" s="210"/>
      <c r="F207" s="669"/>
      <c r="G207" s="47"/>
      <c r="H207" s="563"/>
      <c r="I207" s="563"/>
      <c r="J207" s="563"/>
      <c r="K207" s="563"/>
      <c r="L207" s="563"/>
      <c r="M207" s="563"/>
      <c r="N207" s="563"/>
      <c r="O207" s="563"/>
      <c r="P207" s="300"/>
      <c r="Q207" s="563"/>
      <c r="R207" s="563"/>
      <c r="S207" s="563"/>
      <c r="T207" s="563"/>
      <c r="U207" s="563"/>
      <c r="V207" s="563"/>
      <c r="W207" s="563"/>
      <c r="X207" s="563"/>
      <c r="Y207" s="563"/>
      <c r="Z207" s="563"/>
      <c r="AA207" s="563"/>
      <c r="AB207" s="563"/>
      <c r="AC207" s="563"/>
      <c r="AD207" s="48"/>
      <c r="AE207" s="48"/>
      <c r="AF207" s="257"/>
      <c r="AG207" s="257"/>
      <c r="AH207" s="257"/>
      <c r="AI207" s="257"/>
      <c r="AJ207" s="257"/>
      <c r="AK207" s="257"/>
      <c r="AL207" s="257"/>
      <c r="AM207" s="211">
        <f>IF(AQ207=1,SUM(H207:I207,L207:O207,R207:U207,X207:AA207,AD207:AG207,AI207:AK207),
IF(AQ207=2,SUM(H207:K207,N207:Q207,T207:W207,Z207:AC207,AF207:AI207),
IF(AQ207=3,SUM(J207:M207,P207:S207,V207:Y207,AB207:AE207,AH207:AK207),SUM(Таблица1[[#This Row],[1]:[31]])-Таблица1[[#This Row],[Столбец1]])))</f>
        <v>0</v>
      </c>
      <c r="AN207" s="290">
        <f t="array" ref="AN207">IF(AQ207=1,SUM(J207:K207,P207:Q207,V207:W207,AB207:AC207,AH207:AI207),
IF(AQ207=2,SUM(L207:M207,R207:S207,X207:Y207,AD207:AE207),
IF(AQ207=3,SUM(H207:I207,N207:O207,T207:U207,Z207:AA207,AF207:AG207),
SUM(IFERROR(WEEKDAY($H$2:$AL$2,2)&gt;5,)*H207:AL207))))</f>
        <v>0</v>
      </c>
      <c r="AO207" s="292" t="b">
        <f>IF(AR207&lt;=3,(IF((G207="5/24"),((база!$M$6*Таблица1[[#This Row],[сумма]]*Таблица1[[#This Row],[коэф]])),
IF((G207="4/24"),((база!$M$5*Таблица1[[#This Row],[сумма]]*Таблица1[[#This Row],[коэф]])),
IF((G207="3/24"),((база!$M$4*Таблица1[[#This Row],[сумма]]*Таблица1[[#This Row],[коэф]])),
IF((G207="5/16"),((база!$L$6*Таблица1[[#This Row],[сумма]]*Таблица1[[#This Row],[коэф]])),
IF((G207="4/16"),((база!$L$5*Таблица1[[#This Row],[сумма]]*Таблица1[[#This Row],[коэф]])),
IF((G207="3/16"),((база!$L$4*Таблица1[[#This Row],[сумма]]*Таблица1[[#This Row],[коэф]])),
IF((G207="4/4"),((база!$I$5*Таблица1[[#This Row],[сумма]]*Таблица1[[#This Row],[коэф]])),
IF(OR(G207="2/4",G207="3/4"),((база!$I$4*Таблица1[[#This Row],[сумма]]*Таблица1[[#This Row],[коэф]])),
IF((G207="5/8"),((база!$J$6*Таблица1[[#This Row],[сумма]]*Таблица1[[#This Row],[коэф]])),
IF((G207="4/8"),((база!$J$5*Таблица1[[#This Row],[сумма]]*Таблица1[[#This Row],[коэф]])),
IF(OR(G207="3/8",G207="2/8"),((база!$J$4*Таблица1[[#This Row],[сумма]]*Таблица1[[#This Row],[коэф]])))))))))))))),
(IF((G207="5/24"),((база!$M$6*Таблица1[[#This Row],[сумма]]*Таблица1[[#This Row],[коэф]])),
IF(OR(G207="4/24",G207="3/24"),((база!$M$5*Таблица1[[#This Row],[сумма]]*Таблица1[[#This Row],[коэф]])),
IF((G207="5/16"),((база!$L$6*Таблица1[[#This Row],[сумма]]*Таблица1[[#This Row],[коэф]])),
IF(OR(G207="4/16",G207="3/16"),((база!$L$5*Таблица1[[#This Row],[сумма]]*Таблица1[[#This Row],[коэф]])),
IF(OR(G207="2/4",G207="3/4",G207="4/4"),((база!$I$5*Таблица1[[#This Row],[сумма]]*Таблица1[[#This Row],[коэф]])),
IF((G207="5/8"),((база!$J$6*Таблица1[[#This Row],[сумма]]*Таблица1[[#This Row],[коэф]])),
IF(OR(G207="4/8",G207="3/8",G207="2/8"),((база!$J$5*Таблица1[[#This Row],[сумма]]*Таблица1[[#This Row],[коэф]])))))))))))</f>
        <v>0</v>
      </c>
      <c r="AP207" s="715" t="b">
        <f>IF(AR207&lt;=3,(IF((G207="5/24"),((база!$M$6*2*Таблица1[[#This Row],[Столбец1]]*Таблица1[[#This Row],[коэф]])),
IF((G207="4/24"),((база!$M$5*2*Таблица1[[#This Row],[Столбец1]]*Таблица1[[#This Row],[коэф]])),
IF((G207="3/24"),((база!$M$4*2*Таблица1[[#This Row],[Столбец1]]*Таблица1[[#This Row],[коэф]])),
IF((G207="5/16"),((база!$L$6*2*Таблица1[[#This Row],[Столбец1]]*Таблица1[[#This Row],[коэф]])),
IF((G207="4/16"),((база!$L$5*2*Таблица1[[#This Row],[Столбец1]]*Таблица1[[#This Row],[коэф]])),
IF((G207="3/16"),((база!$L$4*2*Таблица1[[#This Row],[Столбец1]]*Таблица1[[#This Row],[коэф]])),
IF((G207="4/4"),((база!$I$5*2*Таблица1[[#This Row],[Столбец1]]*Таблица1[[#This Row],[коэф]])),
IF(OR(G207="2/4",G207="3/4"),((база!$I$4*2*Таблица1[[#This Row],[Столбец1]]*Таблица1[[#This Row],[коэф]])),
IF((G207="5/8"),((база!$J$6*2*Таблица1[[#This Row],[Столбец1]]*Таблица1[[#This Row],[коэф]])),
IF((G207="4/8"),((база!$J$5*2*Таблица1[[#This Row],[Столбец1]]*Таблица1[[#This Row],[коэф]])),
IF(OR(G207="3/8",G207="2/8"),((база!$J$4*2*Таблица1[[#This Row],[Столбец1]]*Таблица1[[#This Row],[коэф]])))))))))))))),
(IF((G207="5/24"),((база!$M$6*2*Таблица1[[#This Row],[Столбец1]]*Таблица1[[#This Row],[коэф]])),
IF(OR(G207="4/24",G207="3/24"),((база!$M$5*2*Таблица1[[#This Row],[Столбец1]]*Таблица1[[#This Row],[коэф]])),
IF((G207="5/16"),((база!$L$6*2*Таблица1[[#This Row],[Столбец1]]*Таблица1[[#This Row],[коэф]])),
IF(OR(G207="4/16",G207="3/16"),((база!$L$5*2*Таблица1[[#This Row],[Столбец1]]*Таблица1[[#This Row],[коэф]])),
IF(OR(G207="2/4",G207="3/4",G207="4/4"),((база!$I$5*2*Таблица1[[#This Row],[Столбец1]]*Таблица1[[#This Row],[коэф]])),
IF((G207="5/8"),((база!$J$6*2*Таблица1[[#This Row],[Столбец1]]*Таблица1[[#This Row],[коэф]])),
IF(OR(G207="4/8",G207="3/8",G207="2/8"),((база!$J$5*2*Таблица1[[#This Row],[Столбец1]]*Таблица1[[#This Row],[коэф]])))))))))))</f>
        <v>0</v>
      </c>
      <c r="AQ207" s="697" t="str">
        <f>IFERROR(INDEX(база!T:T, MATCH(F207,база!Q:Q,0)),"")</f>
        <v/>
      </c>
      <c r="AR207" s="207">
        <f>IFERROR(INDEX(база!D:D, MATCH(F207,база!B:B,0)),"")</f>
        <v>0</v>
      </c>
      <c r="AS207" s="46"/>
      <c r="AT207" s="46"/>
      <c r="AU207" s="46"/>
    </row>
    <row r="208" spans="1:47" ht="15">
      <c r="A208" s="66" t="str">
        <f t="shared" si="5"/>
        <v>декабрь</v>
      </c>
      <c r="B208" s="230">
        <v>2023</v>
      </c>
      <c r="C208" s="60"/>
      <c r="D208" s="61"/>
      <c r="E208" s="210"/>
      <c r="F208" s="669"/>
      <c r="G208" s="47"/>
      <c r="H208" s="563"/>
      <c r="I208" s="563"/>
      <c r="J208" s="563"/>
      <c r="K208" s="563"/>
      <c r="L208" s="563"/>
      <c r="M208" s="563"/>
      <c r="N208" s="563"/>
      <c r="O208" s="563"/>
      <c r="P208" s="300"/>
      <c r="Q208" s="563"/>
      <c r="R208" s="563"/>
      <c r="S208" s="563"/>
      <c r="T208" s="563"/>
      <c r="U208" s="563"/>
      <c r="V208" s="563"/>
      <c r="W208" s="563"/>
      <c r="X208" s="563"/>
      <c r="Y208" s="563"/>
      <c r="Z208" s="563"/>
      <c r="AA208" s="563"/>
      <c r="AB208" s="563"/>
      <c r="AC208" s="563"/>
      <c r="AD208" s="48"/>
      <c r="AE208" s="48"/>
      <c r="AF208" s="257"/>
      <c r="AG208" s="257"/>
      <c r="AH208" s="257"/>
      <c r="AI208" s="257"/>
      <c r="AJ208" s="257"/>
      <c r="AK208" s="257"/>
      <c r="AL208" s="257"/>
      <c r="AM208" s="211">
        <f>IF(AQ208=1,SUM(H208:I208,L208:O208,R208:U208,X208:AA208,AD208:AG208,AI208:AK208),
IF(AQ208=2,SUM(H208:K208,N208:Q208,T208:W208,Z208:AC208,AF208:AI208),
IF(AQ208=3,SUM(J208:M208,P208:S208,V208:Y208,AB208:AE208,AH208:AK208),SUM(Таблица1[[#This Row],[1]:[31]])-Таблица1[[#This Row],[Столбец1]])))</f>
        <v>0</v>
      </c>
      <c r="AN208" s="290">
        <f t="array" ref="AN208">IF(AQ208=1,SUM(J208:K208,P208:Q208,V208:W208,AB208:AC208,AH208:AI208),
IF(AQ208=2,SUM(L208:M208,R208:S208,X208:Y208,AD208:AE208),
IF(AQ208=3,SUM(H208:I208,N208:O208,T208:U208,Z208:AA208,AF208:AG208),
SUM(IFERROR(WEEKDAY($H$2:$AL$2,2)&gt;5,)*H208:AL208))))</f>
        <v>0</v>
      </c>
      <c r="AO208" s="292" t="b">
        <f>IF(AR208&lt;=3,(IF((G208="5/24"),((база!$M$6*Таблица1[[#This Row],[сумма]]*Таблица1[[#This Row],[коэф]])),
IF((G208="4/24"),((база!$M$5*Таблица1[[#This Row],[сумма]]*Таблица1[[#This Row],[коэф]])),
IF((G208="3/24"),((база!$M$4*Таблица1[[#This Row],[сумма]]*Таблица1[[#This Row],[коэф]])),
IF((G208="5/16"),((база!$L$6*Таблица1[[#This Row],[сумма]]*Таблица1[[#This Row],[коэф]])),
IF((G208="4/16"),((база!$L$5*Таблица1[[#This Row],[сумма]]*Таблица1[[#This Row],[коэф]])),
IF((G208="3/16"),((база!$L$4*Таблица1[[#This Row],[сумма]]*Таблица1[[#This Row],[коэф]])),
IF((G208="4/4"),((база!$I$5*Таблица1[[#This Row],[сумма]]*Таблица1[[#This Row],[коэф]])),
IF(OR(G208="2/4",G208="3/4"),((база!$I$4*Таблица1[[#This Row],[сумма]]*Таблица1[[#This Row],[коэф]])),
IF((G208="5/8"),((база!$J$6*Таблица1[[#This Row],[сумма]]*Таблица1[[#This Row],[коэф]])),
IF((G208="4/8"),((база!$J$5*Таблица1[[#This Row],[сумма]]*Таблица1[[#This Row],[коэф]])),
IF(OR(G208="3/8",G208="2/8"),((база!$J$4*Таблица1[[#This Row],[сумма]]*Таблица1[[#This Row],[коэф]])))))))))))))),
(IF((G208="5/24"),((база!$M$6*Таблица1[[#This Row],[сумма]]*Таблица1[[#This Row],[коэф]])),
IF(OR(G208="4/24",G208="3/24"),((база!$M$5*Таблица1[[#This Row],[сумма]]*Таблица1[[#This Row],[коэф]])),
IF((G208="5/16"),((база!$L$6*Таблица1[[#This Row],[сумма]]*Таблица1[[#This Row],[коэф]])),
IF(OR(G208="4/16",G208="3/16"),((база!$L$5*Таблица1[[#This Row],[сумма]]*Таблица1[[#This Row],[коэф]])),
IF(OR(G208="2/4",G208="3/4",G208="4/4"),((база!$I$5*Таблица1[[#This Row],[сумма]]*Таблица1[[#This Row],[коэф]])),
IF((G208="5/8"),((база!$J$6*Таблица1[[#This Row],[сумма]]*Таблица1[[#This Row],[коэф]])),
IF(OR(G208="4/8",G208="3/8",G208="2/8"),((база!$J$5*Таблица1[[#This Row],[сумма]]*Таблица1[[#This Row],[коэф]])))))))))))</f>
        <v>0</v>
      </c>
      <c r="AP208" s="715" t="b">
        <f>IF(AR208&lt;=3,(IF((G208="5/24"),((база!$M$6*2*Таблица1[[#This Row],[Столбец1]]*Таблица1[[#This Row],[коэф]])),
IF((G208="4/24"),((база!$M$5*2*Таблица1[[#This Row],[Столбец1]]*Таблица1[[#This Row],[коэф]])),
IF((G208="3/24"),((база!$M$4*2*Таблица1[[#This Row],[Столбец1]]*Таблица1[[#This Row],[коэф]])),
IF((G208="5/16"),((база!$L$6*2*Таблица1[[#This Row],[Столбец1]]*Таблица1[[#This Row],[коэф]])),
IF((G208="4/16"),((база!$L$5*2*Таблица1[[#This Row],[Столбец1]]*Таблица1[[#This Row],[коэф]])),
IF((G208="3/16"),((база!$L$4*2*Таблица1[[#This Row],[Столбец1]]*Таблица1[[#This Row],[коэф]])),
IF((G208="4/4"),((база!$I$5*2*Таблица1[[#This Row],[Столбец1]]*Таблица1[[#This Row],[коэф]])),
IF(OR(G208="2/4",G208="3/4"),((база!$I$4*2*Таблица1[[#This Row],[Столбец1]]*Таблица1[[#This Row],[коэф]])),
IF((G208="5/8"),((база!$J$6*2*Таблица1[[#This Row],[Столбец1]]*Таблица1[[#This Row],[коэф]])),
IF((G208="4/8"),((база!$J$5*2*Таблица1[[#This Row],[Столбец1]]*Таблица1[[#This Row],[коэф]])),
IF(OR(G208="3/8",G208="2/8"),((база!$J$4*2*Таблица1[[#This Row],[Столбец1]]*Таблица1[[#This Row],[коэф]])))))))))))))),
(IF((G208="5/24"),((база!$M$6*2*Таблица1[[#This Row],[Столбец1]]*Таблица1[[#This Row],[коэф]])),
IF(OR(G208="4/24",G208="3/24"),((база!$M$5*2*Таблица1[[#This Row],[Столбец1]]*Таблица1[[#This Row],[коэф]])),
IF((G208="5/16"),((база!$L$6*2*Таблица1[[#This Row],[Столбец1]]*Таблица1[[#This Row],[коэф]])),
IF(OR(G208="4/16",G208="3/16"),((база!$L$5*2*Таблица1[[#This Row],[Столбец1]]*Таблица1[[#This Row],[коэф]])),
IF(OR(G208="2/4",G208="3/4",G208="4/4"),((база!$I$5*2*Таблица1[[#This Row],[Столбец1]]*Таблица1[[#This Row],[коэф]])),
IF((G208="5/8"),((база!$J$6*2*Таблица1[[#This Row],[Столбец1]]*Таблица1[[#This Row],[коэф]])),
IF(OR(G208="4/8",G208="3/8",G208="2/8"),((база!$J$5*2*Таблица1[[#This Row],[Столбец1]]*Таблица1[[#This Row],[коэф]])))))))))))</f>
        <v>0</v>
      </c>
      <c r="AQ208" s="697" t="str">
        <f>IFERROR(INDEX(база!T:T, MATCH(F208,база!Q:Q,0)),"")</f>
        <v/>
      </c>
      <c r="AR208" s="207">
        <f>IFERROR(INDEX(база!D:D, MATCH(F208,база!B:B,0)),"")</f>
        <v>0</v>
      </c>
      <c r="AS208" s="46"/>
      <c r="AT208" s="46"/>
      <c r="AU208" s="46"/>
    </row>
    <row r="209" spans="1:47" ht="15">
      <c r="A209" s="66" t="str">
        <f t="shared" si="5"/>
        <v>декабрь</v>
      </c>
      <c r="B209" s="230">
        <v>2023</v>
      </c>
      <c r="C209" s="299"/>
      <c r="D209" s="61"/>
      <c r="E209" s="210"/>
      <c r="F209" s="669"/>
      <c r="G209" s="47"/>
      <c r="H209" s="563"/>
      <c r="I209" s="563"/>
      <c r="J209" s="563"/>
      <c r="K209" s="563"/>
      <c r="L209" s="563"/>
      <c r="M209" s="563"/>
      <c r="N209" s="563"/>
      <c r="O209" s="563"/>
      <c r="P209" s="300"/>
      <c r="Q209" s="563"/>
      <c r="R209" s="563"/>
      <c r="S209" s="563"/>
      <c r="T209" s="563"/>
      <c r="U209" s="563"/>
      <c r="V209" s="563"/>
      <c r="W209" s="563"/>
      <c r="X209" s="563"/>
      <c r="Y209" s="563"/>
      <c r="Z209" s="563"/>
      <c r="AA209" s="563"/>
      <c r="AB209" s="563"/>
      <c r="AC209" s="563"/>
      <c r="AD209" s="48"/>
      <c r="AE209" s="48"/>
      <c r="AF209" s="257"/>
      <c r="AG209" s="257"/>
      <c r="AH209" s="257"/>
      <c r="AI209" s="257"/>
      <c r="AJ209" s="257"/>
      <c r="AK209" s="257"/>
      <c r="AL209" s="257"/>
      <c r="AM209" s="211">
        <f>IF(AQ209=1,SUM(H209:I209,L209:O209,R209:U209,X209:AA209,AD209:AG209,AI209:AK209),
IF(AQ209=2,SUM(H209:K209,N209:Q209,T209:W209,Z209:AC209,AF209:AI209),
IF(AQ209=3,SUM(J209:M209,P209:S209,V209:Y209,AB209:AE209,AH209:AK209),SUM(Таблица1[[#This Row],[1]:[31]])-Таблица1[[#This Row],[Столбец1]])))</f>
        <v>0</v>
      </c>
      <c r="AN209" s="290">
        <f t="array" ref="AN209">IF(AQ209=1,SUM(J209:K209,P209:Q209,V209:W209,AB209:AC209,AH209:AI209),
IF(AQ209=2,SUM(L209:M209,R209:S209,X209:Y209,AD209:AE209),
IF(AQ209=3,SUM(H209:I209,N209:O209,T209:U209,Z209:AA209,AF209:AG209),
SUM(IFERROR(WEEKDAY($H$2:$AL$2,2)&gt;5,)*H209:AL209))))</f>
        <v>0</v>
      </c>
      <c r="AO209" s="292" t="b">
        <f>IF(AR209&lt;=3,(IF((G209="5/24"),((база!$M$6*Таблица1[[#This Row],[сумма]]*Таблица1[[#This Row],[коэф]])),
IF((G209="4/24"),((база!$M$5*Таблица1[[#This Row],[сумма]]*Таблица1[[#This Row],[коэф]])),
IF((G209="3/24"),((база!$M$4*Таблица1[[#This Row],[сумма]]*Таблица1[[#This Row],[коэф]])),
IF((G209="5/16"),((база!$L$6*Таблица1[[#This Row],[сумма]]*Таблица1[[#This Row],[коэф]])),
IF((G209="4/16"),((база!$L$5*Таблица1[[#This Row],[сумма]]*Таблица1[[#This Row],[коэф]])),
IF((G209="3/16"),((база!$L$4*Таблица1[[#This Row],[сумма]]*Таблица1[[#This Row],[коэф]])),
IF((G209="4/4"),((база!$I$5*Таблица1[[#This Row],[сумма]]*Таблица1[[#This Row],[коэф]])),
IF(OR(G209="2/4",G209="3/4"),((база!$I$4*Таблица1[[#This Row],[сумма]]*Таблица1[[#This Row],[коэф]])),
IF((G209="5/8"),((база!$J$6*Таблица1[[#This Row],[сумма]]*Таблица1[[#This Row],[коэф]])),
IF((G209="4/8"),((база!$J$5*Таблица1[[#This Row],[сумма]]*Таблица1[[#This Row],[коэф]])),
IF(OR(G209="3/8",G209="2/8"),((база!$J$4*Таблица1[[#This Row],[сумма]]*Таблица1[[#This Row],[коэф]])))))))))))))),
(IF((G209="5/24"),((база!$M$6*Таблица1[[#This Row],[сумма]]*Таблица1[[#This Row],[коэф]])),
IF(OR(G209="4/24",G209="3/24"),((база!$M$5*Таблица1[[#This Row],[сумма]]*Таблица1[[#This Row],[коэф]])),
IF((G209="5/16"),((база!$L$6*Таблица1[[#This Row],[сумма]]*Таблица1[[#This Row],[коэф]])),
IF(OR(G209="4/16",G209="3/16"),((база!$L$5*Таблица1[[#This Row],[сумма]]*Таблица1[[#This Row],[коэф]])),
IF(OR(G209="2/4",G209="3/4",G209="4/4"),((база!$I$5*Таблица1[[#This Row],[сумма]]*Таблица1[[#This Row],[коэф]])),
IF((G209="5/8"),((база!$J$6*Таблица1[[#This Row],[сумма]]*Таблица1[[#This Row],[коэф]])),
IF(OR(G209="4/8",G209="3/8",G209="2/8"),((база!$J$5*Таблица1[[#This Row],[сумма]]*Таблица1[[#This Row],[коэф]])))))))))))</f>
        <v>0</v>
      </c>
      <c r="AP209" s="715" t="b">
        <f>IF(AR209&lt;=3,(IF((G209="5/24"),((база!$M$6*2*Таблица1[[#This Row],[Столбец1]]*Таблица1[[#This Row],[коэф]])),
IF((G209="4/24"),((база!$M$5*2*Таблица1[[#This Row],[Столбец1]]*Таблица1[[#This Row],[коэф]])),
IF((G209="3/24"),((база!$M$4*2*Таблица1[[#This Row],[Столбец1]]*Таблица1[[#This Row],[коэф]])),
IF((G209="5/16"),((база!$L$6*2*Таблица1[[#This Row],[Столбец1]]*Таблица1[[#This Row],[коэф]])),
IF((G209="4/16"),((база!$L$5*2*Таблица1[[#This Row],[Столбец1]]*Таблица1[[#This Row],[коэф]])),
IF((G209="3/16"),((база!$L$4*2*Таблица1[[#This Row],[Столбец1]]*Таблица1[[#This Row],[коэф]])),
IF((G209="4/4"),((база!$I$5*2*Таблица1[[#This Row],[Столбец1]]*Таблица1[[#This Row],[коэф]])),
IF(OR(G209="2/4",G209="3/4"),((база!$I$4*2*Таблица1[[#This Row],[Столбец1]]*Таблица1[[#This Row],[коэф]])),
IF((G209="5/8"),((база!$J$6*2*Таблица1[[#This Row],[Столбец1]]*Таблица1[[#This Row],[коэф]])),
IF((G209="4/8"),((база!$J$5*2*Таблица1[[#This Row],[Столбец1]]*Таблица1[[#This Row],[коэф]])),
IF(OR(G209="3/8",G209="2/8"),((база!$J$4*2*Таблица1[[#This Row],[Столбец1]]*Таблица1[[#This Row],[коэф]])))))))))))))),
(IF((G209="5/24"),((база!$M$6*2*Таблица1[[#This Row],[Столбец1]]*Таблица1[[#This Row],[коэф]])),
IF(OR(G209="4/24",G209="3/24"),((база!$M$5*2*Таблица1[[#This Row],[Столбец1]]*Таблица1[[#This Row],[коэф]])),
IF((G209="5/16"),((база!$L$6*2*Таблица1[[#This Row],[Столбец1]]*Таблица1[[#This Row],[коэф]])),
IF(OR(G209="4/16",G209="3/16"),((база!$L$5*2*Таблица1[[#This Row],[Столбец1]]*Таблица1[[#This Row],[коэф]])),
IF(OR(G209="2/4",G209="3/4",G209="4/4"),((база!$I$5*2*Таблица1[[#This Row],[Столбец1]]*Таблица1[[#This Row],[коэф]])),
IF((G209="5/8"),((база!$J$6*2*Таблица1[[#This Row],[Столбец1]]*Таблица1[[#This Row],[коэф]])),
IF(OR(G209="4/8",G209="3/8",G209="2/8"),((база!$J$5*2*Таблица1[[#This Row],[Столбец1]]*Таблица1[[#This Row],[коэф]])))))))))))</f>
        <v>0</v>
      </c>
      <c r="AQ209" s="697" t="str">
        <f>IFERROR(INDEX(база!T:T, MATCH(F209,база!Q:Q,0)),"")</f>
        <v/>
      </c>
      <c r="AR209" s="207">
        <f>IFERROR(INDEX(база!D:D, MATCH(F209,база!B:B,0)),"")</f>
        <v>0</v>
      </c>
      <c r="AS209" s="46"/>
      <c r="AT209" s="46"/>
      <c r="AU209" s="46"/>
    </row>
    <row r="210" spans="1:47" ht="15">
      <c r="A210" s="66" t="str">
        <f t="shared" si="5"/>
        <v>декабрь</v>
      </c>
      <c r="B210" s="230">
        <v>2023</v>
      </c>
      <c r="C210" s="60"/>
      <c r="D210" s="61"/>
      <c r="E210" s="210"/>
      <c r="F210" s="669"/>
      <c r="G210" s="47"/>
      <c r="H210" s="563"/>
      <c r="I210" s="563"/>
      <c r="J210" s="563"/>
      <c r="K210" s="563"/>
      <c r="L210" s="563"/>
      <c r="M210" s="563"/>
      <c r="N210" s="563"/>
      <c r="O210" s="563"/>
      <c r="P210" s="300"/>
      <c r="Q210" s="563"/>
      <c r="R210" s="563"/>
      <c r="S210" s="563"/>
      <c r="T210" s="563"/>
      <c r="U210" s="563"/>
      <c r="V210" s="563"/>
      <c r="W210" s="563"/>
      <c r="X210" s="563"/>
      <c r="Y210" s="563"/>
      <c r="Z210" s="563"/>
      <c r="AA210" s="563"/>
      <c r="AB210" s="563"/>
      <c r="AC210" s="563"/>
      <c r="AD210" s="48"/>
      <c r="AE210" s="48"/>
      <c r="AF210" s="257"/>
      <c r="AG210" s="257"/>
      <c r="AH210" s="257"/>
      <c r="AI210" s="257"/>
      <c r="AJ210" s="257"/>
      <c r="AK210" s="257"/>
      <c r="AL210" s="257"/>
      <c r="AM210" s="211">
        <f>IF(AQ210=1,SUM(H210:I210,L210:O210,R210:U210,X210:AA210,AD210:AG210,AI210:AK210),
IF(AQ210=2,SUM(H210:K210,N210:Q210,T210:W210,Z210:AC210,AF210:AI210),
IF(AQ210=3,SUM(J210:M210,P210:S210,V210:Y210,AB210:AE210,AH210:AK210),SUM(Таблица1[[#This Row],[1]:[31]])-Таблица1[[#This Row],[Столбец1]])))</f>
        <v>0</v>
      </c>
      <c r="AN210" s="290">
        <f t="array" ref="AN210">IF(AQ210=1,SUM(J210:K210,P210:Q210,V210:W210,AB210:AC210,AH210:AI210),
IF(AQ210=2,SUM(L210:M210,R210:S210,X210:Y210,AD210:AE210),
IF(AQ210=3,SUM(H210:I210,N210:O210,T210:U210,Z210:AA210,AF210:AG210),
SUM(IFERROR(WEEKDAY($H$2:$AL$2,2)&gt;5,)*H210:AL210))))</f>
        <v>0</v>
      </c>
      <c r="AO210" s="292" t="b">
        <f>IF(AR210&lt;=3,(IF((G210="5/24"),((база!$M$6*Таблица1[[#This Row],[сумма]]*Таблица1[[#This Row],[коэф]])),
IF((G210="4/24"),((база!$M$5*Таблица1[[#This Row],[сумма]]*Таблица1[[#This Row],[коэф]])),
IF((G210="3/24"),((база!$M$4*Таблица1[[#This Row],[сумма]]*Таблица1[[#This Row],[коэф]])),
IF((G210="5/16"),((база!$L$6*Таблица1[[#This Row],[сумма]]*Таблица1[[#This Row],[коэф]])),
IF((G210="4/16"),((база!$L$5*Таблица1[[#This Row],[сумма]]*Таблица1[[#This Row],[коэф]])),
IF((G210="3/16"),((база!$L$4*Таблица1[[#This Row],[сумма]]*Таблица1[[#This Row],[коэф]])),
IF((G210="4/4"),((база!$I$5*Таблица1[[#This Row],[сумма]]*Таблица1[[#This Row],[коэф]])),
IF(OR(G210="2/4",G210="3/4"),((база!$I$4*Таблица1[[#This Row],[сумма]]*Таблица1[[#This Row],[коэф]])),
IF((G210="5/8"),((база!$J$6*Таблица1[[#This Row],[сумма]]*Таблица1[[#This Row],[коэф]])),
IF((G210="4/8"),((база!$J$5*Таблица1[[#This Row],[сумма]]*Таблица1[[#This Row],[коэф]])),
IF(OR(G210="3/8",G210="2/8"),((база!$J$4*Таблица1[[#This Row],[сумма]]*Таблица1[[#This Row],[коэф]])))))))))))))),
(IF((G210="5/24"),((база!$M$6*Таблица1[[#This Row],[сумма]]*Таблица1[[#This Row],[коэф]])),
IF(OR(G210="4/24",G210="3/24"),((база!$M$5*Таблица1[[#This Row],[сумма]]*Таблица1[[#This Row],[коэф]])),
IF((G210="5/16"),((база!$L$6*Таблица1[[#This Row],[сумма]]*Таблица1[[#This Row],[коэф]])),
IF(OR(G210="4/16",G210="3/16"),((база!$L$5*Таблица1[[#This Row],[сумма]]*Таблица1[[#This Row],[коэф]])),
IF(OR(G210="2/4",G210="3/4",G210="4/4"),((база!$I$5*Таблица1[[#This Row],[сумма]]*Таблица1[[#This Row],[коэф]])),
IF((G210="5/8"),((база!$J$6*Таблица1[[#This Row],[сумма]]*Таблица1[[#This Row],[коэф]])),
IF(OR(G210="4/8",G210="3/8",G210="2/8"),((база!$J$5*Таблица1[[#This Row],[сумма]]*Таблица1[[#This Row],[коэф]])))))))))))</f>
        <v>0</v>
      </c>
      <c r="AP210" s="715" t="b">
        <f>IF(AR210&lt;=3,(IF((G210="5/24"),((база!$M$6*2*Таблица1[[#This Row],[Столбец1]]*Таблица1[[#This Row],[коэф]])),
IF((G210="4/24"),((база!$M$5*2*Таблица1[[#This Row],[Столбец1]]*Таблица1[[#This Row],[коэф]])),
IF((G210="3/24"),((база!$M$4*2*Таблица1[[#This Row],[Столбец1]]*Таблица1[[#This Row],[коэф]])),
IF((G210="5/16"),((база!$L$6*2*Таблица1[[#This Row],[Столбец1]]*Таблица1[[#This Row],[коэф]])),
IF((G210="4/16"),((база!$L$5*2*Таблица1[[#This Row],[Столбец1]]*Таблица1[[#This Row],[коэф]])),
IF((G210="3/16"),((база!$L$4*2*Таблица1[[#This Row],[Столбец1]]*Таблица1[[#This Row],[коэф]])),
IF((G210="4/4"),((база!$I$5*2*Таблица1[[#This Row],[Столбец1]]*Таблица1[[#This Row],[коэф]])),
IF(OR(G210="2/4",G210="3/4"),((база!$I$4*2*Таблица1[[#This Row],[Столбец1]]*Таблица1[[#This Row],[коэф]])),
IF((G210="5/8"),((база!$J$6*2*Таблица1[[#This Row],[Столбец1]]*Таблица1[[#This Row],[коэф]])),
IF((G210="4/8"),((база!$J$5*2*Таблица1[[#This Row],[Столбец1]]*Таблица1[[#This Row],[коэф]])),
IF(OR(G210="3/8",G210="2/8"),((база!$J$4*2*Таблица1[[#This Row],[Столбец1]]*Таблица1[[#This Row],[коэф]])))))))))))))),
(IF((G210="5/24"),((база!$M$6*2*Таблица1[[#This Row],[Столбец1]]*Таблица1[[#This Row],[коэф]])),
IF(OR(G210="4/24",G210="3/24"),((база!$M$5*2*Таблица1[[#This Row],[Столбец1]]*Таблица1[[#This Row],[коэф]])),
IF((G210="5/16"),((база!$L$6*2*Таблица1[[#This Row],[Столбец1]]*Таблица1[[#This Row],[коэф]])),
IF(OR(G210="4/16",G210="3/16"),((база!$L$5*2*Таблица1[[#This Row],[Столбец1]]*Таблица1[[#This Row],[коэф]])),
IF(OR(G210="2/4",G210="3/4",G210="4/4"),((база!$I$5*2*Таблица1[[#This Row],[Столбец1]]*Таблица1[[#This Row],[коэф]])),
IF((G210="5/8"),((база!$J$6*2*Таблица1[[#This Row],[Столбец1]]*Таблица1[[#This Row],[коэф]])),
IF(OR(G210="4/8",G210="3/8",G210="2/8"),((база!$J$5*2*Таблица1[[#This Row],[Столбец1]]*Таблица1[[#This Row],[коэф]])))))))))))</f>
        <v>0</v>
      </c>
      <c r="AQ210" s="697" t="str">
        <f>IFERROR(INDEX(база!T:T, MATCH(F210,база!Q:Q,0)),"")</f>
        <v/>
      </c>
      <c r="AR210" s="207">
        <f>IFERROR(INDEX(база!D:D, MATCH(F210,база!B:B,0)),"")</f>
        <v>0</v>
      </c>
      <c r="AS210" s="46"/>
      <c r="AT210" s="46"/>
      <c r="AU210" s="46"/>
    </row>
    <row r="211" spans="1:47" ht="15">
      <c r="A211" s="66" t="str">
        <f t="shared" si="5"/>
        <v>декабрь</v>
      </c>
      <c r="B211" s="230">
        <v>2023</v>
      </c>
      <c r="C211" s="299"/>
      <c r="D211" s="61"/>
      <c r="E211" s="210"/>
      <c r="F211" s="669"/>
      <c r="G211" s="47"/>
      <c r="H211" s="563"/>
      <c r="I211" s="563"/>
      <c r="J211" s="563"/>
      <c r="K211" s="563"/>
      <c r="L211" s="563"/>
      <c r="M211" s="563"/>
      <c r="N211" s="563"/>
      <c r="O211" s="563"/>
      <c r="P211" s="300"/>
      <c r="Q211" s="563"/>
      <c r="R211" s="563"/>
      <c r="S211" s="563"/>
      <c r="T211" s="563"/>
      <c r="U211" s="563"/>
      <c r="V211" s="563"/>
      <c r="W211" s="563"/>
      <c r="X211" s="563"/>
      <c r="Y211" s="563"/>
      <c r="Z211" s="563"/>
      <c r="AA211" s="563"/>
      <c r="AB211" s="563"/>
      <c r="AC211" s="563"/>
      <c r="AD211" s="48"/>
      <c r="AE211" s="48"/>
      <c r="AF211" s="257"/>
      <c r="AG211" s="257"/>
      <c r="AH211" s="257"/>
      <c r="AI211" s="257"/>
      <c r="AJ211" s="257"/>
      <c r="AK211" s="257"/>
      <c r="AL211" s="257"/>
      <c r="AM211" s="211">
        <f>IF(AQ211=1,SUM(H211:I211,L211:O211,R211:U211,X211:AA211,AD211:AG211,AI211:AK211),
IF(AQ211=2,SUM(H211:K211,N211:Q211,T211:W211,Z211:AC211,AF211:AI211),
IF(AQ211=3,SUM(J211:M211,P211:S211,V211:Y211,AB211:AE211,AH211:AK211),SUM(Таблица1[[#This Row],[1]:[31]])-Таблица1[[#This Row],[Столбец1]])))</f>
        <v>0</v>
      </c>
      <c r="AN211" s="290">
        <f t="array" ref="AN211">IF(AQ211=1,SUM(J211:K211,P211:Q211,V211:W211,AB211:AC211,AH211:AI211),
IF(AQ211=2,SUM(L211:M211,R211:S211,X211:Y211,AD211:AE211),
IF(AQ211=3,SUM(H211:I211,N211:O211,T211:U211,Z211:AA211,AF211:AG211),
SUM(IFERROR(WEEKDAY($H$2:$AL$2,2)&gt;5,)*H211:AL211))))</f>
        <v>0</v>
      </c>
      <c r="AO211" s="292" t="b">
        <f>IF(AR211&lt;=3,(IF((G211="5/24"),((база!$M$6*Таблица1[[#This Row],[сумма]]*Таблица1[[#This Row],[коэф]])),
IF((G211="4/24"),((база!$M$5*Таблица1[[#This Row],[сумма]]*Таблица1[[#This Row],[коэф]])),
IF((G211="3/24"),((база!$M$4*Таблица1[[#This Row],[сумма]]*Таблица1[[#This Row],[коэф]])),
IF((G211="5/16"),((база!$L$6*Таблица1[[#This Row],[сумма]]*Таблица1[[#This Row],[коэф]])),
IF((G211="4/16"),((база!$L$5*Таблица1[[#This Row],[сумма]]*Таблица1[[#This Row],[коэф]])),
IF((G211="3/16"),((база!$L$4*Таблица1[[#This Row],[сумма]]*Таблица1[[#This Row],[коэф]])),
IF((G211="4/4"),((база!$I$5*Таблица1[[#This Row],[сумма]]*Таблица1[[#This Row],[коэф]])),
IF(OR(G211="2/4",G211="3/4"),((база!$I$4*Таблица1[[#This Row],[сумма]]*Таблица1[[#This Row],[коэф]])),
IF((G211="5/8"),((база!$J$6*Таблица1[[#This Row],[сумма]]*Таблица1[[#This Row],[коэф]])),
IF((G211="4/8"),((база!$J$5*Таблица1[[#This Row],[сумма]]*Таблица1[[#This Row],[коэф]])),
IF(OR(G211="3/8",G211="2/8"),((база!$J$4*Таблица1[[#This Row],[сумма]]*Таблица1[[#This Row],[коэф]])))))))))))))),
(IF((G211="5/24"),((база!$M$6*Таблица1[[#This Row],[сумма]]*Таблица1[[#This Row],[коэф]])),
IF(OR(G211="4/24",G211="3/24"),((база!$M$5*Таблица1[[#This Row],[сумма]]*Таблица1[[#This Row],[коэф]])),
IF((G211="5/16"),((база!$L$6*Таблица1[[#This Row],[сумма]]*Таблица1[[#This Row],[коэф]])),
IF(OR(G211="4/16",G211="3/16"),((база!$L$5*Таблица1[[#This Row],[сумма]]*Таблица1[[#This Row],[коэф]])),
IF(OR(G211="2/4",G211="3/4",G211="4/4"),((база!$I$5*Таблица1[[#This Row],[сумма]]*Таблица1[[#This Row],[коэф]])),
IF((G211="5/8"),((база!$J$6*Таблица1[[#This Row],[сумма]]*Таблица1[[#This Row],[коэф]])),
IF(OR(G211="4/8",G211="3/8",G211="2/8"),((база!$J$5*Таблица1[[#This Row],[сумма]]*Таблица1[[#This Row],[коэф]])))))))))))</f>
        <v>0</v>
      </c>
      <c r="AP211" s="715" t="b">
        <f>IF(AR211&lt;=3,(IF((G211="5/24"),((база!$M$6*2*Таблица1[[#This Row],[Столбец1]]*Таблица1[[#This Row],[коэф]])),
IF((G211="4/24"),((база!$M$5*2*Таблица1[[#This Row],[Столбец1]]*Таблица1[[#This Row],[коэф]])),
IF((G211="3/24"),((база!$M$4*2*Таблица1[[#This Row],[Столбец1]]*Таблица1[[#This Row],[коэф]])),
IF((G211="5/16"),((база!$L$6*2*Таблица1[[#This Row],[Столбец1]]*Таблица1[[#This Row],[коэф]])),
IF((G211="4/16"),((база!$L$5*2*Таблица1[[#This Row],[Столбец1]]*Таблица1[[#This Row],[коэф]])),
IF((G211="3/16"),((база!$L$4*2*Таблица1[[#This Row],[Столбец1]]*Таблица1[[#This Row],[коэф]])),
IF((G211="4/4"),((база!$I$5*2*Таблица1[[#This Row],[Столбец1]]*Таблица1[[#This Row],[коэф]])),
IF(OR(G211="2/4",G211="3/4"),((база!$I$4*2*Таблица1[[#This Row],[Столбец1]]*Таблица1[[#This Row],[коэф]])),
IF((G211="5/8"),((база!$J$6*2*Таблица1[[#This Row],[Столбец1]]*Таблица1[[#This Row],[коэф]])),
IF((G211="4/8"),((база!$J$5*2*Таблица1[[#This Row],[Столбец1]]*Таблица1[[#This Row],[коэф]])),
IF(OR(G211="3/8",G211="2/8"),((база!$J$4*2*Таблица1[[#This Row],[Столбец1]]*Таблица1[[#This Row],[коэф]])))))))))))))),
(IF((G211="5/24"),((база!$M$6*2*Таблица1[[#This Row],[Столбец1]]*Таблица1[[#This Row],[коэф]])),
IF(OR(G211="4/24",G211="3/24"),((база!$M$5*2*Таблица1[[#This Row],[Столбец1]]*Таблица1[[#This Row],[коэф]])),
IF((G211="5/16"),((база!$L$6*2*Таблица1[[#This Row],[Столбец1]]*Таблица1[[#This Row],[коэф]])),
IF(OR(G211="4/16",G211="3/16"),((база!$L$5*2*Таблица1[[#This Row],[Столбец1]]*Таблица1[[#This Row],[коэф]])),
IF(OR(G211="2/4",G211="3/4",G211="4/4"),((база!$I$5*2*Таблица1[[#This Row],[Столбец1]]*Таблица1[[#This Row],[коэф]])),
IF((G211="5/8"),((база!$J$6*2*Таблица1[[#This Row],[Столбец1]]*Таблица1[[#This Row],[коэф]])),
IF(OR(G211="4/8",G211="3/8",G211="2/8"),((база!$J$5*2*Таблица1[[#This Row],[Столбец1]]*Таблица1[[#This Row],[коэф]])))))))))))</f>
        <v>0</v>
      </c>
      <c r="AQ211" s="697" t="str">
        <f>IFERROR(INDEX(база!T:T, MATCH(F211,база!Q:Q,0)),"")</f>
        <v/>
      </c>
      <c r="AR211" s="207">
        <f>IFERROR(INDEX(база!D:D, MATCH(F211,база!B:B,0)),"")</f>
        <v>0</v>
      </c>
      <c r="AS211" s="46"/>
      <c r="AT211" s="46"/>
      <c r="AU211" s="46"/>
    </row>
  </sheetData>
  <phoneticPr fontId="3" type="noConversion"/>
  <conditionalFormatting sqref="H106:M106 V127:X127 AK133:AL133 AK143:AL143 H30:AD30 H55:AC55 H163:AC164 AK130:AL130 AF137:AL137 AE42:AL42 AF43:AL54 AJ55:AL55 AJ63:AL63 AJ95:AL95 H2:AL2 AI28:AL28 AI16:AL16 AF29:AL30 H19:AD19 P106:Q106 H56:AE56 H57:AC72 H20:AC20 H7:AL7 H22:AC29 H21:AE21 AF17:AL27 H73:AD73 H74:Q74 W74:X74 AE15 X6:AC6 H85:AD85 AF64:AL94 AI96:AL96 H99:AD99 AF97:AL99 H86:AC98 AH31:AL31 AH100:AL100 H100:AC103 H104:Q105 R104:AC106 AF101:AL106 AH107:AL107 H75:AC84 AF108:AL109 H123:Y123 AJ123:AL123 AF123:AI124 Z123:AC124 J124:X126 Y125:AC125 AF125:AJ127 Y128:AC129 V129:X129 R128:X128 AF130:AJ131 R130:V130 Z132:AC132 T132:W133 AF132:AI134 Z134:AC134 AF135:AJ135 Y135:AC135 X139:AA142 R139:U141 L139:O140 AF143:AI144 T143:W143 N145:Q145 Z145:AC145 R146:U146 AF56:AL62 X147:AC147 AF146:AL148 H147:O147 AJ149:AK149 AA149:AC149 AH150:AK150 Y151:AC151 AF151:AJ151 AF111:AL122 AH110:AL110 H107:AC122 H152:AC161 H162:AE162 H165:AE165 AF152:AL155 AH156:AL156 H8:AC18 AF10:AL15 AH8:AL9 H31:AC53 AF32:AL41 H166:AC211 AF157:AL211">
    <cfRule type="expression" dxfId="280" priority="31">
      <formula>WEEKDAY(H$2,2)&gt;5</formula>
    </cfRule>
    <cfRule type="expression" dxfId="279" priority="32">
      <formula>WEEKDAY(#REF!,2)&gt;5</formula>
    </cfRule>
    <cfRule type="expression" dxfId="278" priority="33">
      <formula>WEEKDAY(#REF!,2)&gt;5</formula>
    </cfRule>
  </conditionalFormatting>
  <conditionalFormatting sqref="H127:U127 H124:I126 H145:M145 Y124 Y126:AC127 AF136:AL136 AJ143 AF128:AL129 AD32:AE41 AE30 AD57:AE72 AE73 AJ132:AL132 AF138:AL142 AD163:AE164 AD43:AE55 AD42 AF55:AI55 AF63:AI63 AF95:AI95 AJ133 AF145:AL145 AD29:AE29 AD28:AH28 AF16:AH16 AD20:AE20 AE19 AL3:AL6 H131:AC131 AD10:AE14 R4:AK5 AD22:AE27 AD16:AE18 H3:L3 N3:AK3 N5:Q5 R74:V74 Y74:AC74 AD74:AE84 AD15 R6:W6 AD6:AK6 AE85 AD86:AE95 AD97:AE98 AD96:AH96 AE99 AD31:AG31 AD100:AG100 AD101:AE106 AD107:AG107 AJ124:AL124 AK125:AL127 H129:U129 H128:Q128 AK131:AL131 H130:Q130 W130:AC130 H144:AC144 X132:Y132 H132:S133 X133:AC133 H134:Y134 AJ134:AL134 AK135:AL135 H135:X135 H136:J137 M136:Q137 W136:X138 H142:W142 AB139:AC142 H138:Q138 V139:W141 H141:Q141 H139:K140 P139:Q140 AJ144:AL144 H143:S143 X143:AC143 R145:Y145 H146:Q146 V146:AC146 H151:X151 P147:W147 AD108:AE109 H148:AE148 H149:Z149 AD149:AI149 H150:AG150 AL149:AL150 AK151:AL151 AD151:AE155 AD111:AE147 AD110:AG110 AD157:AE161 AD156:AG156 AD8:AG9 AD166:AE211">
    <cfRule type="expression" dxfId="277" priority="19">
      <formula>WEEKDAY(H$2,2)&gt;5</formula>
    </cfRule>
    <cfRule type="expression" dxfId="276" priority="20">
      <formula>WEEKDAY(#REF!,2)&gt;5</formula>
    </cfRule>
    <cfRule type="expression" dxfId="275" priority="21">
      <formula>WEEKDAY(#REF!,2)&gt;5</formula>
    </cfRule>
  </conditionalFormatting>
  <conditionalFormatting sqref="M3 H4:Q4 H6:Q6 H5:M5">
    <cfRule type="expression" dxfId="274" priority="16">
      <formula>WEEKDAY(H$2,2)&gt;5</formula>
    </cfRule>
    <cfRule type="expression" dxfId="273" priority="17">
      <formula>WEEKDAY(#REF!,2)&gt;5</formula>
    </cfRule>
    <cfRule type="expression" dxfId="272" priority="18">
      <formula>WEEKDAY(#REF!,2)&gt;5</formula>
    </cfRule>
  </conditionalFormatting>
  <conditionalFormatting sqref="H54:AC54 K136:L137 R136:V138 Y136:AC138">
    <cfRule type="expression" dxfId="271" priority="13">
      <formula>WEEKDAY(H$2,2)&gt;5</formula>
    </cfRule>
    <cfRule type="expression" dxfId="270" priority="14">
      <formula>WEEKDAY(#REF!,2)&gt;5</formula>
    </cfRule>
    <cfRule type="expression" dxfId="269" priority="15">
      <formula>WEEKDAY(#REF!,2)&gt;5</formula>
    </cfRule>
  </conditionalFormatting>
  <conditionalFormatting sqref="O106">
    <cfRule type="expression" dxfId="268" priority="104">
      <formula>WEEKDAY(N$2,2)&gt;5</formula>
    </cfRule>
    <cfRule type="expression" dxfId="267" priority="105">
      <formula>WEEKDAY(#REF!,2)&gt;5</formula>
    </cfRule>
    <cfRule type="expression" dxfId="266" priority="106">
      <formula>WEEKDAY(#REF!,2)&gt;5</formula>
    </cfRule>
  </conditionalFormatting>
  <conditionalFormatting sqref="N106">
    <cfRule type="expression" dxfId="265" priority="10">
      <formula>WEEKDAY(N$2,2)&gt;5</formula>
    </cfRule>
    <cfRule type="expression" dxfId="264" priority="11">
      <formula>WEEKDAY(#REF!,2)&gt;5</formula>
    </cfRule>
    <cfRule type="expression" dxfId="263" priority="12">
      <formula>WEEKDAY(#REF!,2)&gt;5</formula>
    </cfRule>
  </conditionalFormatting>
  <dataValidations count="1">
    <dataValidation type="list" allowBlank="1" showInputMessage="1" showErrorMessage="1" sqref="A3:A211">
      <formula1>"январь,февраль,март,апрель,май,июнь,июль,август,сентябрь,октябрь,ноябрь,декабрь"</formula1>
    </dataValidation>
  </dataValidations>
  <pageMargins left="0.7" right="0.7" top="0.75" bottom="0.75" header="0.3" footer="0.3"/>
  <pageSetup paperSize="9" orientation="portrait" r:id="rId1"/>
  <ignoredErrors>
    <ignoredError sqref="AS7:AS20 AS3 AO3 AS6 AS27:AS47 AS21:AS26" twoDigitTextYear="1"/>
  </ignoredErrors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Выбирите" prompt="ФИО мастера">
          <x14:formula1>
            <xm:f>база!$O$2:$O$6</xm:f>
          </x14:formula1>
          <xm:sqref>AU7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FF0000"/>
    <pageSetUpPr fitToPage="1"/>
  </sheetPr>
  <dimension ref="A1:AU93"/>
  <sheetViews>
    <sheetView showZeros="0" zoomScale="50" zoomScaleNormal="50" workbookViewId="0">
      <selection activeCell="AO4" sqref="AO4"/>
    </sheetView>
  </sheetViews>
  <sheetFormatPr defaultRowHeight="14.25"/>
  <cols>
    <col min="1" max="1" customWidth="true" style="5" width="11.7109375"/>
    <col min="2" max="2" customWidth="true" style="7" width="6.140625"/>
    <col min="3" max="3" customWidth="true" style="574" width="16.28515625"/>
    <col min="4" max="4" customWidth="true" style="31" width="7.28515625"/>
    <col min="5" max="5" customWidth="true" style="6" width="6.42578125"/>
    <col min="6" max="6" customWidth="true" style="228" width="45.140625"/>
    <col min="7" max="7" customWidth="true" style="1" width="7.0"/>
    <col min="8" max="12" customWidth="true" style="1" width="6.0"/>
    <col min="13" max="15" customWidth="true" style="46" width="6.0"/>
    <col min="16" max="16" customWidth="true" style="21" width="6.0"/>
    <col min="17" max="35" customWidth="true" style="46" width="6.0"/>
    <col min="36" max="38" customWidth="true" style="1" width="6.0"/>
    <col min="39" max="39" customWidth="true" style="1" width="10.42578125"/>
    <col min="40" max="40" customWidth="true" style="144" width="15.85546875"/>
    <col min="41" max="41" customWidth="true" style="46" width="11.85546875"/>
    <col min="42" max="42" style="1" width="9.140625"/>
    <col min="43" max="43" customWidth="true" style="1" width="14.85546875"/>
    <col min="44" max="44" customWidth="true" style="1" width="19.85546875"/>
    <col min="45" max="45" customWidth="true" style="1" width="14.140625"/>
    <col min="46" max="46" customWidth="true" style="1" width="13.140625"/>
    <col min="47" max="16384" style="1" width="9.140625"/>
  </cols>
  <sheetData>
    <row r="1" spans="1:47" s="57" customFormat="1" ht="73.5" customHeight="1">
      <c r="A1" s="208" t="s">
        <v>7</v>
      </c>
      <c r="B1" s="112" t="s">
        <v>8</v>
      </c>
      <c r="C1" s="112" t="s">
        <v>2</v>
      </c>
      <c r="D1" s="114" t="s">
        <v>10</v>
      </c>
      <c r="E1" s="115" t="s">
        <v>9</v>
      </c>
      <c r="F1" s="227" t="s">
        <v>0</v>
      </c>
      <c r="G1" s="116" t="s">
        <v>1</v>
      </c>
      <c r="H1" s="117" t="s">
        <v>46</v>
      </c>
      <c r="I1" s="117" t="s">
        <v>11</v>
      </c>
      <c r="J1" s="117" t="s">
        <v>12</v>
      </c>
      <c r="K1" s="117" t="s">
        <v>54</v>
      </c>
      <c r="L1" s="117" t="s">
        <v>55</v>
      </c>
      <c r="M1" s="117" t="s">
        <v>13</v>
      </c>
      <c r="N1" s="117" t="s">
        <v>44</v>
      </c>
      <c r="O1" s="117" t="s">
        <v>45</v>
      </c>
      <c r="P1" s="117" t="s">
        <v>14</v>
      </c>
      <c r="Q1" s="117" t="s">
        <v>15</v>
      </c>
      <c r="R1" s="117" t="s">
        <v>56</v>
      </c>
      <c r="S1" s="117" t="s">
        <v>57</v>
      </c>
      <c r="T1" s="117" t="s">
        <v>16</v>
      </c>
      <c r="U1" s="117" t="s">
        <v>47</v>
      </c>
      <c r="V1" s="117" t="s">
        <v>48</v>
      </c>
      <c r="W1" s="117" t="s">
        <v>17</v>
      </c>
      <c r="X1" s="117" t="s">
        <v>18</v>
      </c>
      <c r="Y1" s="117" t="s">
        <v>58</v>
      </c>
      <c r="Z1" s="117" t="s">
        <v>59</v>
      </c>
      <c r="AA1" s="117" t="s">
        <v>19</v>
      </c>
      <c r="AB1" s="117" t="s">
        <v>49</v>
      </c>
      <c r="AC1" s="117" t="s">
        <v>50</v>
      </c>
      <c r="AD1" s="117" t="s">
        <v>20</v>
      </c>
      <c r="AE1" s="117" t="s">
        <v>21</v>
      </c>
      <c r="AF1" s="117" t="s">
        <v>60</v>
      </c>
      <c r="AG1" s="117" t="s">
        <v>61</v>
      </c>
      <c r="AH1" s="117" t="s">
        <v>22</v>
      </c>
      <c r="AI1" s="117" t="s">
        <v>51</v>
      </c>
      <c r="AJ1" s="117" t="s">
        <v>52</v>
      </c>
      <c r="AK1" s="117" t="s">
        <v>53</v>
      </c>
      <c r="AL1" s="117" t="s">
        <v>62</v>
      </c>
      <c r="AM1" s="118" t="s">
        <v>41</v>
      </c>
      <c r="AN1" s="294" t="s">
        <v>93</v>
      </c>
      <c r="AO1" s="119" t="s">
        <v>74</v>
      </c>
      <c r="AQ1" s="57">
        <f>Таблица14[[#Totals],[Столбец2]]</f>
        <v>0</v>
      </c>
      <c r="AR1" s="748">
        <f>'наряд СУ'!Z820</f>
        <v>0</v>
      </c>
      <c r="AS1" s="57">
        <f>Таблица14[[#Totals],[часы]]</f>
        <v>0</v>
      </c>
      <c r="AT1" s="748">
        <f>'наряд СУ'!Y820</f>
        <v>0</v>
      </c>
    </row>
    <row r="2" spans="1:47" ht="13.5" customHeight="1">
      <c r="A2" s="895" t="str">
        <f>Data_Tech!A3</f>
        <v>декабрь</v>
      </c>
      <c r="B2" t="n" s="895">
        <v>2023.0</v>
      </c>
      <c r="C2" t="s" s="895">
        <v>396</v>
      </c>
      <c r="D2" t="s" s="895">
        <v>366</v>
      </c>
      <c r="E2" t="s" s="895">
        <v>46</v>
      </c>
      <c r="F2" t="s" s="895">
        <v>327</v>
      </c>
      <c r="G2" t="s" s="895">
        <v>4</v>
      </c>
      <c r="H2" s="895"/>
      <c r="I2" s="895"/>
      <c r="J2" s="895"/>
      <c r="K2" s="895"/>
      <c r="L2" s="895"/>
      <c r="M2" s="895"/>
      <c r="N2" s="895"/>
      <c r="O2" s="895"/>
      <c r="P2" s="895"/>
      <c r="Q2" s="895"/>
      <c r="R2" s="895"/>
      <c r="S2" s="895"/>
      <c r="T2" s="895"/>
      <c r="U2" s="895"/>
      <c r="V2" s="895"/>
      <c r="W2" s="895"/>
      <c r="X2" s="895"/>
      <c r="Y2" s="895"/>
      <c r="Z2" s="895"/>
      <c r="AA2" s="895"/>
      <c r="AB2" s="895"/>
      <c r="AC2" s="895"/>
      <c r="AD2" s="895"/>
      <c r="AE2" t="n" s="895">
        <v>4.0</v>
      </c>
      <c r="AF2" s="49"/>
      <c r="AG2" s="49"/>
      <c r="AH2" s="49"/>
      <c r="AI2" s="49"/>
      <c r="AJ2" s="49"/>
      <c r="AK2" s="49"/>
      <c r="AL2" s="49"/>
      <c r="AM2" s="120">
        <f>SUM(H2:AL2)</f>
        <v>0</v>
      </c>
      <c r="AN2" s="564">
        <f>IF(AO2&lt;=3,(IF(AND(G2="5/24",AM2&gt;0.5),(AM2*2*база!$M$6*Таблица14[[#This Row],[коэф]]),
IF(AND(G2="4/24",AM2&gt;0.5),(AM2*2*база!$M$5*Таблица14[[#This Row],[коэф]]),
IF(AND(G2="3/24",AM2&gt;0.5),(AM2*2*база!$M$4*Таблица14[[#This Row],[коэф]]),
IF(AND(G2="5/16",AM2&gt;0.5),(AM2*2*база!$L$6*Таблица14[[#This Row],[коэф]]),
IF(AND(G2="4/16",AM2&gt;0.5),(AM2*2*база!$L$5*Таблица14[[#This Row],[коэф]]),
IF(AND(G2="3/16",AM2&gt;0.5),(AM2*2*база!$L$4*Таблица14[[#This Row],[коэф]]),
IF(AND(G2="4/4",AM2&gt;0.5),(AM2*2*база!$I$5*Таблица14[[#This Row],[коэф]]),
IF(OR(AND(G2="3/4",AM2&gt;0.5),AND(G2="2/4",AM2&gt;0.5)),(AM2*2*база!$I$4*Таблица14[[#This Row],[коэф]]),
IF(AND(G2="5/8",AM2&gt;0.5),(AM2*2*база!$J$6*Таблица14[[#This Row],[коэф]]),
IF(AND(G2="4/8",AM2&gt;0.5),(AM2*2*база!$J$5*Таблица14[[#This Row],[коэф]]),
IF(OR(AND(G2="3/8",AM2&gt;0.5),AND(G2="2/8",AM2&gt;0.5)),(AM2*2*база!$J$4*Таблица14[[#This Row],[коэф]]),
(AM2*0.5*база!$L$4*Таблица14[[#This Row],[коэф]]))))))))))))),
(IF(AND(G2="5/24",AM2&gt;0.5),(AM2*2*база!$M$6*Таблица14[[#This Row],[коэф]]),
IF(OR(AND(G2="4/24",AM2&gt;0.5),AND(G2="3/24",AM2&gt;0.5)),(AM2*2*база!$M$5*Таблица14[[#This Row],[коэф]]),
IF(AND(G2="5/16",AM2&gt;0.5),(AM2*2*база!$L$6*Таблица14[[#This Row],[коэф]]),
IF(OR(AND(G2="4/16",AM2&gt;0.5),AND(G2="3/16",AM2&gt;0.5)),(AM2*2*база!$L$5*Таблица14[[#This Row],[коэф]]),
IF(OR(AND(G2="4/4",AM2&gt;0.5),AND(G2="3/4",AM2&gt;2)),(AM2*2*база!$I$5*Таблица14[[#This Row],[коэф]]),
IF(AND(G2="5/8",AM2&gt;0.5),(AM2*2*база!$J$6*Таблица14[[#This Row],[коэф]]),
IF(AND(G2="4/8",AM2&gt;0.5),(AM2*2*база!$J$5*Таблица14[[#This Row],[коэф]]),
IF(OR(AND(G2="3/8",AM2&gt;0.5),AND(G2="2/8",AM2&gt;0.5)),(AM2*2*база!$J$4*Таблица14[[#This Row],[коэф]]),
(AM2*2*база!$L$5*Таблица14[[#This Row],[коэф]])))))))))))</f>
        <v>0</v>
      </c>
      <c r="AO2" s="121">
        <f>IFERROR(INDEX(база!$D$2:$D$120, MATCH(Таблица14[[#This Row],[Ф. И. О.]],база!$B$2:$B$100,0)),"")</f>
        <v>0</v>
      </c>
      <c r="AP2" s="57"/>
      <c r="AQ2" s="57">
        <f>AQ1-AR1</f>
        <v>0</v>
      </c>
      <c r="AR2" s="57"/>
      <c r="AS2" s="748">
        <f>AS1-AT1</f>
        <v>0</v>
      </c>
      <c r="AT2" s="32"/>
    </row>
    <row r="3" spans="1:47" ht="13.5" customHeight="1">
      <c r="A3" s="897" t="str">
        <f>A2</f>
        <v>декабрь</v>
      </c>
      <c r="B3" t="n" s="897">
        <v>2023.0</v>
      </c>
      <c r="C3" t="s" s="897">
        <v>395</v>
      </c>
      <c r="D3" t="s" s="897">
        <v>376</v>
      </c>
      <c r="E3" t="s" s="897">
        <v>46</v>
      </c>
      <c r="F3" t="s" s="897">
        <v>286</v>
      </c>
      <c r="G3" t="s" s="897">
        <v>71</v>
      </c>
      <c r="H3" s="897"/>
      <c r="I3" s="897"/>
      <c r="J3" s="897"/>
      <c r="K3" s="897"/>
      <c r="L3" s="897"/>
      <c r="M3" s="897"/>
      <c r="N3" s="897"/>
      <c r="O3" s="897"/>
      <c r="P3" s="897"/>
      <c r="Q3" s="897"/>
      <c r="R3" s="897"/>
      <c r="S3" s="897"/>
      <c r="T3" s="897"/>
      <c r="U3" s="897"/>
      <c r="V3" s="897"/>
      <c r="W3" s="897"/>
      <c r="X3" s="897"/>
      <c r="Y3" s="897"/>
      <c r="Z3" s="897"/>
      <c r="AA3" s="897"/>
      <c r="AB3" s="897"/>
      <c r="AC3" s="897"/>
      <c r="AD3" s="897"/>
      <c r="AE3" s="897"/>
      <c r="AF3" t="n" s="897">
        <v>4.0</v>
      </c>
      <c r="AG3" s="49"/>
      <c r="AH3" s="49"/>
      <c r="AI3" s="49"/>
      <c r="AJ3" s="49"/>
      <c r="AK3" s="49"/>
      <c r="AL3" s="49"/>
      <c r="AM3" s="120">
        <f>SUM(H3:AL3)</f>
        <v>0</v>
      </c>
      <c r="AN3" s="564">
        <f>IF(AO3&lt;=3,(IF(AND(G3="5/24",AM3&gt;0.5),(AM3*2*база!$M$6*Таблица14[[#This Row],[коэф]]),
IF(AND(G3="4/24",AM3&gt;0.5),(AM3*2*база!$M$5*Таблица14[[#This Row],[коэф]]),
IF(AND(G3="3/24",AM3&gt;0.5),(AM3*2*база!$M$4*Таблица14[[#This Row],[коэф]]),
IF(AND(G3="5/16",AM3&gt;0.5),(AM3*2*база!$L$6*Таблица14[[#This Row],[коэф]]),
IF(AND(G3="4/16",AM3&gt;0.5),(AM3*2*база!$L$5*Таблица14[[#This Row],[коэф]]),
IF(AND(G3="3/16",AM3&gt;0.5),(AM3*2*база!$L$4*Таблица14[[#This Row],[коэф]]),
IF(AND(G3="4/4",AM3&gt;0.5),(AM3*2*база!$I$5*Таблица14[[#This Row],[коэф]]),
IF(OR(AND(G3="3/4",AM3&gt;0.5),AND(G3="2/4",AM3&gt;0.5)),(AM3*2*база!$I$4*Таблица14[[#This Row],[коэф]]),
IF(AND(G3="5/8",AM3&gt;0.5),(AM3*2*база!$J$6*Таблица14[[#This Row],[коэф]]),
IF(AND(G3="4/8",AM3&gt;0.5),(AM3*2*база!$J$5*Таблица14[[#This Row],[коэф]]),
IF(OR(AND(G3="3/8",AM3&gt;0.5),AND(G3="2/8",AM3&gt;0.5)),(AM3*2*база!$J$4*Таблица14[[#This Row],[коэф]]),
(AM3*0.5*база!$L$4*Таблица14[[#This Row],[коэф]]))))))))))))),
(IF(AND(G3="5/24",AM3&gt;0.5),(AM3*2*база!$M$6*Таблица14[[#This Row],[коэф]]),
IF(OR(AND(G3="4/24",AM3&gt;0.5),AND(G3="3/24",AM3&gt;0.5)),(AM3*2*база!$M$5*Таблица14[[#This Row],[коэф]]),
IF(AND(G3="5/16",AM3&gt;0.5),(AM3*2*база!$L$6*Таблица14[[#This Row],[коэф]]),
IF(OR(AND(G3="4/16",AM3&gt;0.5),AND(G3="3/16",AM3&gt;0.5)),(AM3*2*база!$L$5*Таблица14[[#This Row],[коэф]]),
IF(OR(AND(G3="4/4",AM3&gt;0.5),AND(G3="3/4",AM3&gt;2)),(AM3*2*база!$I$5*Таблица14[[#This Row],[коэф]]),
IF(AND(G3="5/8",AM3&gt;0.5),(AM3*2*база!$J$6*Таблица14[[#This Row],[коэф]]),
IF(AND(G3="4/8",AM3&gt;0.5),(AM3*2*база!$J$5*Таблица14[[#This Row],[коэф]]),
IF(OR(AND(G3="3/8",AM3&gt;0.5),AND(G3="2/8",AM3&gt;0.5)),(AM3*2*база!$J$4*Таблица14[[#This Row],[коэф]]),
(AM3*2*база!$L$5*Таблица14[[#This Row],[коэф]])))))))))))</f>
        <v>0</v>
      </c>
      <c r="AO3" s="121">
        <f>IFERROR(INDEX(база!$D$2:$D$120, MATCH(Таблица14[[#This Row],[Ф. И. О.]],база!$B$2:$B$100,0)),"")</f>
        <v>0</v>
      </c>
      <c r="AP3" s="57"/>
      <c r="AQ3" s="57"/>
      <c r="AR3" s="57"/>
      <c r="AS3" s="57"/>
      <c r="AT3" s="70"/>
    </row>
    <row r="4" spans="1:47" ht="13.5" customHeight="1">
      <c r="A4" s="206" t="str">
        <f t="shared" ref="A4:A85" si="0">A3</f>
        <v>декабрь</v>
      </c>
      <c r="B4" s="239">
        <v>2023</v>
      </c>
      <c r="C4" s="571"/>
      <c r="D4" s="204"/>
      <c r="E4" s="240"/>
      <c r="F4" s="698"/>
      <c r="G4" s="241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  <c r="AM4" s="120">
        <f t="shared" ref="AM4:AM83" si="1">SUM(H4:AL4)</f>
        <v>0</v>
      </c>
      <c r="AN4" s="564">
        <f>IF(AO4&lt;=3,(IF(AND(G4="5/24",AM4&gt;0.5),(AM4*2*база!$M$6*Таблица14[[#This Row],[коэф]]),
IF(AND(G4="4/24",AM4&gt;0.5),(AM4*2*база!$M$5*Таблица14[[#This Row],[коэф]]),
IF(AND(G4="3/24",AM4&gt;0.5),(AM4*2*база!$M$4*Таблица14[[#This Row],[коэф]]),
IF(AND(G4="5/16",AM4&gt;0.5),(AM4*2*база!$L$6*Таблица14[[#This Row],[коэф]]),
IF(AND(G4="4/16",AM4&gt;0.5),(AM4*2*база!$L$5*Таблица14[[#This Row],[коэф]]),
IF(AND(G4="3/16",AM4&gt;0.5),(AM4*2*база!$L$4*Таблица14[[#This Row],[коэф]]),
IF(AND(G4="4/4",AM4&gt;0.5),(AM4*2*база!$I$5*Таблица14[[#This Row],[коэф]]),
IF(OR(AND(G4="3/4",AM4&gt;0.5),AND(G4="2/4",AM4&gt;0.5)),(AM4*2*база!$I$4*Таблица14[[#This Row],[коэф]]),
IF(AND(G4="5/8",AM4&gt;0.5),(AM4*2*база!$J$6*Таблица14[[#This Row],[коэф]]),
IF(AND(G4="4/8",AM4&gt;0.5),(AM4*2*база!$J$5*Таблица14[[#This Row],[коэф]]),
IF(OR(AND(G4="3/8",AM4&gt;0.5),AND(G4="2/8",AM4&gt;0.5)),(AM4*2*база!$J$4*Таблица14[[#This Row],[коэф]]),
(AM4*0.5*база!$L$4*Таблица14[[#This Row],[коэф]]))))))))))))),
(IF(AND(G4="5/24",AM4&gt;0.5),(AM4*2*база!$M$6*Таблица14[[#This Row],[коэф]]),
IF(OR(AND(G4="4/24",AM4&gt;0.5),AND(G4="3/24",AM4&gt;0.5)),(AM4*2*база!$M$5*Таблица14[[#This Row],[коэф]]),
IF(AND(G4="5/16",AM4&gt;0.5),(AM4*2*база!$L$6*Таблица14[[#This Row],[коэф]]),
IF(OR(AND(G4="4/16",AM4&gt;0.5),AND(G4="3/16",AM4&gt;0.5)),(AM4*2*база!$L$5*Таблица14[[#This Row],[коэф]]),
IF(OR(AND(G4="4/4",AM4&gt;0.5),AND(G4="3/4",AM4&gt;2)),(AM4*2*база!$I$5*Таблица14[[#This Row],[коэф]]),
IF(AND(G4="5/8",AM4&gt;0.5),(AM4*2*база!$J$6*Таблица14[[#This Row],[коэф]]),
IF(AND(G4="4/8",AM4&gt;0.5),(AM4*2*база!$J$5*Таблица14[[#This Row],[коэф]]),
IF(OR(AND(G4="3/8",AM4&gt;0.5),AND(G4="2/8",AM4&gt;0.5)),(AM4*2*база!$J$4*Таблица14[[#This Row],[коэф]]),
(AM4*2*база!$L$5*Таблица14[[#This Row],[коэф]])))))))))))</f>
        <v>0</v>
      </c>
      <c r="AO4" s="121">
        <f>IFERROR(INDEX(база!$D$2:$D$120, MATCH(Таблица14[[#This Row],[Ф. И. О.]],база!$B$2:$B$100,0)),"")</f>
        <v>0</v>
      </c>
      <c r="AP4" s="57"/>
      <c r="AQ4" s="57"/>
      <c r="AR4" s="57"/>
      <c r="AS4" s="57"/>
      <c r="AT4" s="32"/>
      <c r="AU4" s="32"/>
    </row>
    <row r="5" spans="1:47" ht="13.5" customHeight="1">
      <c r="A5" s="206" t="str">
        <f t="shared" si="0"/>
        <v>декабрь</v>
      </c>
      <c r="B5" s="203">
        <v>2023</v>
      </c>
      <c r="C5" s="571"/>
      <c r="D5" s="213"/>
      <c r="E5" s="242"/>
      <c r="F5" s="698"/>
      <c r="G5" s="205"/>
      <c r="H5" s="214"/>
      <c r="I5" s="214"/>
      <c r="J5" s="214"/>
      <c r="K5" s="214"/>
      <c r="L5" s="214"/>
      <c r="M5" s="214"/>
      <c r="N5" s="214"/>
      <c r="O5" s="214"/>
      <c r="P5" s="214"/>
      <c r="Q5" s="214"/>
      <c r="R5" s="214"/>
      <c r="S5" s="214"/>
      <c r="T5" s="214"/>
      <c r="U5" s="214"/>
      <c r="V5" s="214"/>
      <c r="W5" s="214"/>
      <c r="X5" s="214"/>
      <c r="Y5" s="49"/>
      <c r="Z5" s="214"/>
      <c r="AA5" s="214"/>
      <c r="AB5" s="214"/>
      <c r="AC5" s="214"/>
      <c r="AD5" s="214"/>
      <c r="AE5" s="214"/>
      <c r="AF5" s="214"/>
      <c r="AG5" s="214"/>
      <c r="AH5" s="49"/>
      <c r="AI5" s="214"/>
      <c r="AJ5" s="214"/>
      <c r="AK5" s="214"/>
      <c r="AL5" s="214"/>
      <c r="AM5" s="120">
        <f t="shared" si="1"/>
        <v>0</v>
      </c>
      <c r="AN5" s="564">
        <f>IF(AO5&lt;=3,(IF(AND(G5="5/24",AM5&gt;0.5),(AM5*2*база!$M$6*Таблица14[[#This Row],[коэф]]),
IF(AND(G5="4/24",AM5&gt;0.5),(AM5*2*база!$M$5*Таблица14[[#This Row],[коэф]]),
IF(AND(G5="3/24",AM5&gt;0.5),(AM5*2*база!$M$4*Таблица14[[#This Row],[коэф]]),
IF(AND(G5="5/16",AM5&gt;0.5),(AM5*2*база!$L$6*Таблица14[[#This Row],[коэф]]),
IF(AND(G5="4/16",AM5&gt;0.5),(AM5*2*база!$L$5*Таблица14[[#This Row],[коэф]]),
IF(AND(G5="3/16",AM5&gt;0.5),(AM5*2*база!$L$4*Таблица14[[#This Row],[коэф]]),
IF(AND(G5="4/4",AM5&gt;0.5),(AM5*2*база!$I$5*Таблица14[[#This Row],[коэф]]),
IF(OR(AND(G5="3/4",AM5&gt;0.5),AND(G5="2/4",AM5&gt;0.5)),(AM5*2*база!$I$4*Таблица14[[#This Row],[коэф]]),
IF(AND(G5="5/8",AM5&gt;0.5),(AM5*2*база!$J$6*Таблица14[[#This Row],[коэф]]),
IF(AND(G5="4/8",AM5&gt;0.5),(AM5*2*база!$J$5*Таблица14[[#This Row],[коэф]]),
IF(OR(AND(G5="3/8",AM5&gt;0.5),AND(G5="2/8",AM5&gt;0.5)),(AM5*2*база!$J$4*Таблица14[[#This Row],[коэф]]),
(AM5*0.5*база!$L$4*Таблица14[[#This Row],[коэф]]))))))))))))),
(IF(AND(G5="5/24",AM5&gt;0.5),(AM5*2*база!$M$6*Таблица14[[#This Row],[коэф]]),
IF(OR(AND(G5="4/24",AM5&gt;0.5),AND(G5="3/24",AM5&gt;0.5)),(AM5*2*база!$M$5*Таблица14[[#This Row],[коэф]]),
IF(AND(G5="5/16",AM5&gt;0.5),(AM5*2*база!$L$6*Таблица14[[#This Row],[коэф]]),
IF(OR(AND(G5="4/16",AM5&gt;0.5),AND(G5="3/16",AM5&gt;0.5)),(AM5*2*база!$L$5*Таблица14[[#This Row],[коэф]]),
IF(OR(AND(G5="4/4",AM5&gt;0.5),AND(G5="3/4",AM5&gt;2)),(AM5*2*база!$I$5*Таблица14[[#This Row],[коэф]]),
IF(AND(G5="5/8",AM5&gt;0.5),(AM5*2*база!$J$6*Таблица14[[#This Row],[коэф]]),
IF(AND(G5="4/8",AM5&gt;0.5),(AM5*2*база!$J$5*Таблица14[[#This Row],[коэф]]),
IF(OR(AND(G5="3/8",AM5&gt;0.5),AND(G5="2/8",AM5&gt;0.5)),(AM5*2*база!$J$4*Таблица14[[#This Row],[коэф]]),
(AM5*2*база!$L$5*Таблица14[[#This Row],[коэф]])))))))))))</f>
        <v>0</v>
      </c>
      <c r="AO5" s="121">
        <f>IFERROR(INDEX(база!$D$2:$D$120, MATCH(Таблица14[[#This Row],[Ф. И. О.]],база!$B$2:$B$100,0)),"")</f>
        <v>0</v>
      </c>
      <c r="AP5" s="57"/>
      <c r="AQ5" s="57"/>
      <c r="AR5" s="57"/>
      <c r="AS5" s="57"/>
      <c r="AT5" s="70"/>
    </row>
    <row r="6" spans="1:47" ht="13.5" customHeight="1">
      <c r="A6" s="206" t="str">
        <f t="shared" si="0"/>
        <v>декабрь</v>
      </c>
      <c r="B6" s="239">
        <v>2023</v>
      </c>
      <c r="C6" s="571"/>
      <c r="D6" s="204"/>
      <c r="E6" s="240"/>
      <c r="F6" s="698"/>
      <c r="G6" s="241"/>
      <c r="H6" s="214"/>
      <c r="I6" s="214"/>
      <c r="J6" s="214"/>
      <c r="K6" s="214"/>
      <c r="L6" s="214"/>
      <c r="M6" s="214"/>
      <c r="N6" s="214"/>
      <c r="O6" s="214"/>
      <c r="P6" s="214"/>
      <c r="Q6" s="214"/>
      <c r="R6" s="214"/>
      <c r="S6" s="214"/>
      <c r="T6" s="214"/>
      <c r="U6" s="49"/>
      <c r="V6" s="214"/>
      <c r="W6" s="214"/>
      <c r="X6" s="214"/>
      <c r="Y6" s="214"/>
      <c r="Z6" s="49"/>
      <c r="AA6" s="214"/>
      <c r="AB6" s="214"/>
      <c r="AC6" s="214"/>
      <c r="AD6" s="214"/>
      <c r="AE6" s="214"/>
      <c r="AF6" s="214"/>
      <c r="AG6" s="214"/>
      <c r="AH6" s="214"/>
      <c r="AI6" s="214"/>
      <c r="AJ6" s="214"/>
      <c r="AK6" s="214"/>
      <c r="AL6" s="214"/>
      <c r="AM6" s="120">
        <f t="shared" si="1"/>
        <v>0</v>
      </c>
      <c r="AN6" s="564">
        <f>IF(AO6&lt;=3,(IF(AND(G6="5/24",AM6&gt;0.5),(AM6*2*база!$M$6*Таблица14[[#This Row],[коэф]]),
IF(AND(G6="4/24",AM6&gt;0.5),(AM6*2*база!$M$5*Таблица14[[#This Row],[коэф]]),
IF(AND(G6="3/24",AM6&gt;0.5),(AM6*2*база!$M$4*Таблица14[[#This Row],[коэф]]),
IF(AND(G6="5/16",AM6&gt;0.5),(AM6*2*база!$L$6*Таблица14[[#This Row],[коэф]]),
IF(AND(G6="4/16",AM6&gt;0.5),(AM6*2*база!$L$5*Таблица14[[#This Row],[коэф]]),
IF(AND(G6="3/16",AM6&gt;0.5),(AM6*2*база!$L$4*Таблица14[[#This Row],[коэф]]),
IF(AND(G6="4/4",AM6&gt;0.5),(AM6*2*база!$I$5*Таблица14[[#This Row],[коэф]]),
IF(OR(AND(G6="3/4",AM6&gt;0.5),AND(G6="2/4",AM6&gt;0.5)),(AM6*2*база!$I$4*Таблица14[[#This Row],[коэф]]),
IF(AND(G6="5/8",AM6&gt;0.5),(AM6*2*база!$J$6*Таблица14[[#This Row],[коэф]]),
IF(AND(G6="4/8",AM6&gt;0.5),(AM6*2*база!$J$5*Таблица14[[#This Row],[коэф]]),
IF(OR(AND(G6="3/8",AM6&gt;0.5),AND(G6="2/8",AM6&gt;0.5)),(AM6*2*база!$J$4*Таблица14[[#This Row],[коэф]]),
(AM6*0.5*база!$L$4*Таблица14[[#This Row],[коэф]]))))))))))))),
(IF(AND(G6="5/24",AM6&gt;0.5),(AM6*2*база!$M$6*Таблица14[[#This Row],[коэф]]),
IF(OR(AND(G6="4/24",AM6&gt;0.5),AND(G6="3/24",AM6&gt;0.5)),(AM6*2*база!$M$5*Таблица14[[#This Row],[коэф]]),
IF(AND(G6="5/16",AM6&gt;0.5),(AM6*2*база!$L$6*Таблица14[[#This Row],[коэф]]),
IF(OR(AND(G6="4/16",AM6&gt;0.5),AND(G6="3/16",AM6&gt;0.5)),(AM6*2*база!$L$5*Таблица14[[#This Row],[коэф]]),
IF(OR(AND(G6="4/4",AM6&gt;0.5),AND(G6="3/4",AM6&gt;2)),(AM6*2*база!$I$5*Таблица14[[#This Row],[коэф]]),
IF(AND(G6="5/8",AM6&gt;0.5),(AM6*2*база!$J$6*Таблица14[[#This Row],[коэф]]),
IF(AND(G6="4/8",AM6&gt;0.5),(AM6*2*база!$J$5*Таблица14[[#This Row],[коэф]]),
IF(OR(AND(G6="3/8",AM6&gt;0.5),AND(G6="2/8",AM6&gt;0.5)),(AM6*2*база!$J$4*Таблица14[[#This Row],[коэф]]),
(AM6*2*база!$L$5*Таблица14[[#This Row],[коэф]])))))))))))</f>
        <v>0</v>
      </c>
      <c r="AO6" s="121">
        <f>IFERROR(INDEX(база!$D$2:$D$120, MATCH(Таблица14[[#This Row],[Ф. И. О.]],база!$B$2:$B$100,0)),"")</f>
        <v>0</v>
      </c>
      <c r="AP6" s="57"/>
      <c r="AQ6" s="57"/>
      <c r="AR6" s="57"/>
      <c r="AS6" s="57"/>
      <c r="AT6" s="70"/>
      <c r="AU6" s="32"/>
    </row>
    <row r="7" spans="1:47" ht="13.5" customHeight="1">
      <c r="A7" s="206" t="str">
        <f t="shared" si="0"/>
        <v>декабрь</v>
      </c>
      <c r="B7" s="203">
        <v>2023</v>
      </c>
      <c r="C7" s="571"/>
      <c r="D7" s="213"/>
      <c r="E7" s="242"/>
      <c r="F7" s="698"/>
      <c r="G7" s="205"/>
      <c r="H7" s="214"/>
      <c r="I7" s="214"/>
      <c r="J7" s="214"/>
      <c r="K7" s="214"/>
      <c r="L7" s="214"/>
      <c r="M7" s="214"/>
      <c r="N7" s="214"/>
      <c r="O7" s="214"/>
      <c r="P7" s="214"/>
      <c r="Q7" s="214"/>
      <c r="R7" s="214"/>
      <c r="S7" s="214"/>
      <c r="T7" s="214"/>
      <c r="U7" s="49"/>
      <c r="V7" s="214"/>
      <c r="W7" s="214"/>
      <c r="X7" s="214"/>
      <c r="Y7" s="214"/>
      <c r="Z7" s="49"/>
      <c r="AA7" s="214"/>
      <c r="AB7" s="214"/>
      <c r="AC7" s="214"/>
      <c r="AD7" s="214"/>
      <c r="AE7" s="214"/>
      <c r="AF7" s="214"/>
      <c r="AG7" s="214"/>
      <c r="AH7" s="214"/>
      <c r="AI7" s="214"/>
      <c r="AJ7" s="214"/>
      <c r="AK7" s="214"/>
      <c r="AL7" s="214"/>
      <c r="AM7" s="120">
        <f t="shared" si="1"/>
        <v>0</v>
      </c>
      <c r="AN7" s="564">
        <f>IF(AO7&lt;=3,(IF(AND(G7="5/24",AM7&gt;0.5),(AM7*2*база!$M$6*Таблица14[[#This Row],[коэф]]),
IF(AND(G7="4/24",AM7&gt;0.5),(AM7*2*база!$M$5*Таблица14[[#This Row],[коэф]]),
IF(AND(G7="3/24",AM7&gt;0.5),(AM7*2*база!$M$4*Таблица14[[#This Row],[коэф]]),
IF(AND(G7="5/16",AM7&gt;0.5),(AM7*2*база!$L$6*Таблица14[[#This Row],[коэф]]),
IF(AND(G7="4/16",AM7&gt;0.5),(AM7*2*база!$L$5*Таблица14[[#This Row],[коэф]]),
IF(AND(G7="3/16",AM7&gt;0.5),(AM7*2*база!$L$4*Таблица14[[#This Row],[коэф]]),
IF(AND(G7="4/4",AM7&gt;0.5),(AM7*2*база!$I$5*Таблица14[[#This Row],[коэф]]),
IF(OR(AND(G7="3/4",AM7&gt;0.5),AND(G7="2/4",AM7&gt;0.5)),(AM7*2*база!$I$4*Таблица14[[#This Row],[коэф]]),
IF(AND(G7="5/8",AM7&gt;0.5),(AM7*2*база!$J$6*Таблица14[[#This Row],[коэф]]),
IF(AND(G7="4/8",AM7&gt;0.5),(AM7*2*база!$J$5*Таблица14[[#This Row],[коэф]]),
IF(OR(AND(G7="3/8",AM7&gt;0.5),AND(G7="2/8",AM7&gt;0.5)),(AM7*2*база!$J$4*Таблица14[[#This Row],[коэф]]),
(AM7*0.5*база!$L$4*Таблица14[[#This Row],[коэф]]))))))))))))),
(IF(AND(G7="5/24",AM7&gt;0.5),(AM7*2*база!$M$6*Таблица14[[#This Row],[коэф]]),
IF(OR(AND(G7="4/24",AM7&gt;0.5),AND(G7="3/24",AM7&gt;0.5)),(AM7*2*база!$M$5*Таблица14[[#This Row],[коэф]]),
IF(AND(G7="5/16",AM7&gt;0.5),(AM7*2*база!$L$6*Таблица14[[#This Row],[коэф]]),
IF(OR(AND(G7="4/16",AM7&gt;0.5),AND(G7="3/16",AM7&gt;0.5)),(AM7*2*база!$L$5*Таблица14[[#This Row],[коэф]]),
IF(OR(AND(G7="4/4",AM7&gt;0.5),AND(G7="3/4",AM7&gt;2)),(AM7*2*база!$I$5*Таблица14[[#This Row],[коэф]]),
IF(AND(G7="5/8",AM7&gt;0.5),(AM7*2*база!$J$6*Таблица14[[#This Row],[коэф]]),
IF(AND(G7="4/8",AM7&gt;0.5),(AM7*2*база!$J$5*Таблица14[[#This Row],[коэф]]),
IF(OR(AND(G7="3/8",AM7&gt;0.5),AND(G7="2/8",AM7&gt;0.5)),(AM7*2*база!$J$4*Таблица14[[#This Row],[коэф]]),
(AM7*2*база!$L$5*Таблица14[[#This Row],[коэф]])))))))))))</f>
        <v>0</v>
      </c>
      <c r="AO7" s="121">
        <f>IFERROR(INDEX(база!$D$2:$D$120, MATCH(Таблица14[[#This Row],[Ф. И. О.]],база!$B$2:$B$100,0)),"")</f>
        <v>0</v>
      </c>
      <c r="AP7" s="57"/>
      <c r="AQ7" s="57"/>
      <c r="AR7" s="57"/>
      <c r="AS7" s="57"/>
    </row>
    <row r="8" spans="1:47" ht="13.5" customHeight="1">
      <c r="A8" s="206" t="str">
        <f t="shared" si="0"/>
        <v>декабрь</v>
      </c>
      <c r="B8" s="239">
        <v>2023</v>
      </c>
      <c r="C8" s="571"/>
      <c r="D8" s="213"/>
      <c r="E8" s="240"/>
      <c r="F8" s="698"/>
      <c r="G8" s="241"/>
      <c r="H8" s="214"/>
      <c r="I8" s="214"/>
      <c r="J8" s="214"/>
      <c r="K8" s="214"/>
      <c r="L8" s="214"/>
      <c r="M8" s="214"/>
      <c r="N8" s="214"/>
      <c r="O8" s="214"/>
      <c r="P8" s="214"/>
      <c r="Q8" s="214"/>
      <c r="R8" s="214"/>
      <c r="S8" s="214"/>
      <c r="T8" s="214"/>
      <c r="U8" s="214"/>
      <c r="V8" s="214"/>
      <c r="W8" s="214"/>
      <c r="X8" s="214"/>
      <c r="Y8" s="214"/>
      <c r="Z8" s="214"/>
      <c r="AA8" s="214"/>
      <c r="AB8" s="214"/>
      <c r="AC8" s="214"/>
      <c r="AD8" s="214"/>
      <c r="AE8" s="214"/>
      <c r="AF8" s="214"/>
      <c r="AG8" s="214"/>
      <c r="AH8" s="214"/>
      <c r="AI8" s="214"/>
      <c r="AJ8" s="214"/>
      <c r="AK8" s="214"/>
      <c r="AL8" s="214"/>
      <c r="AM8" s="120">
        <f t="shared" si="1"/>
        <v>0</v>
      </c>
      <c r="AN8" s="564">
        <f>IF(AO8&lt;=3,(IF(AND(G8="5/24",AM8&gt;0.5),(AM8*2*база!$M$6*Таблица14[[#This Row],[коэф]]),
IF(AND(G8="4/24",AM8&gt;0.5),(AM8*2*база!$M$5*Таблица14[[#This Row],[коэф]]),
IF(AND(G8="3/24",AM8&gt;0.5),(AM8*2*база!$M$4*Таблица14[[#This Row],[коэф]]),
IF(AND(G8="5/16",AM8&gt;0.5),(AM8*2*база!$L$6*Таблица14[[#This Row],[коэф]]),
IF(AND(G8="4/16",AM8&gt;0.5),(AM8*2*база!$L$5*Таблица14[[#This Row],[коэф]]),
IF(AND(G8="3/16",AM8&gt;0.5),(AM8*2*база!$L$4*Таблица14[[#This Row],[коэф]]),
IF(AND(G8="4/4",AM8&gt;0.5),(AM8*2*база!$I$5*Таблица14[[#This Row],[коэф]]),
IF(OR(AND(G8="3/4",AM8&gt;0.5),AND(G8="2/4",AM8&gt;0.5)),(AM8*2*база!$I$4*Таблица14[[#This Row],[коэф]]),
IF(AND(G8="5/8",AM8&gt;0.5),(AM8*2*база!$J$6*Таблица14[[#This Row],[коэф]]),
IF(AND(G8="4/8",AM8&gt;0.5),(AM8*2*база!$J$5*Таблица14[[#This Row],[коэф]]),
IF(OR(AND(G8="3/8",AM8&gt;0.5),AND(G8="2/8",AM8&gt;0.5)),(AM8*2*база!$J$4*Таблица14[[#This Row],[коэф]]),
(AM8*0.5*база!$L$4*Таблица14[[#This Row],[коэф]]))))))))))))),
(IF(AND(G8="5/24",AM8&gt;0.5),(AM8*2*база!$M$6*Таблица14[[#This Row],[коэф]]),
IF(OR(AND(G8="4/24",AM8&gt;0.5),AND(G8="3/24",AM8&gt;0.5)),(AM8*2*база!$M$5*Таблица14[[#This Row],[коэф]]),
IF(AND(G8="5/16",AM8&gt;0.5),(AM8*2*база!$L$6*Таблица14[[#This Row],[коэф]]),
IF(OR(AND(G8="4/16",AM8&gt;0.5),AND(G8="3/16",AM8&gt;0.5)),(AM8*2*база!$L$5*Таблица14[[#This Row],[коэф]]),
IF(OR(AND(G8="4/4",AM8&gt;0.5),AND(G8="3/4",AM8&gt;2)),(AM8*2*база!$I$5*Таблица14[[#This Row],[коэф]]),
IF(AND(G8="5/8",AM8&gt;0.5),(AM8*2*база!$J$6*Таблица14[[#This Row],[коэф]]),
IF(AND(G8="4/8",AM8&gt;0.5),(AM8*2*база!$J$5*Таблица14[[#This Row],[коэф]]),
IF(OR(AND(G8="3/8",AM8&gt;0.5),AND(G8="2/8",AM8&gt;0.5)),(AM8*2*база!$J$4*Таблица14[[#This Row],[коэф]]),
(AM8*2*база!$L$5*Таблица14[[#This Row],[коэф]])))))))))))</f>
        <v>0</v>
      </c>
      <c r="AO8" s="121">
        <f>IFERROR(INDEX(база!$D$2:$D$120, MATCH(Таблица14[[#This Row],[Ф. И. О.]],база!$B$2:$B$100,0)),"")</f>
        <v>0</v>
      </c>
      <c r="AP8" s="57"/>
      <c r="AQ8" s="57"/>
      <c r="AR8" s="57"/>
      <c r="AS8" s="57"/>
    </row>
    <row r="9" spans="1:47" ht="13.5" customHeight="1">
      <c r="A9" s="206" t="str">
        <f t="shared" si="0"/>
        <v>декабрь</v>
      </c>
      <c r="B9" s="203">
        <v>2023</v>
      </c>
      <c r="C9" s="572"/>
      <c r="D9" s="213"/>
      <c r="E9" s="242"/>
      <c r="F9" s="698"/>
      <c r="G9" s="205"/>
      <c r="H9" s="214"/>
      <c r="I9" s="214"/>
      <c r="J9" s="214"/>
      <c r="K9" s="214"/>
      <c r="L9" s="214"/>
      <c r="M9" s="214"/>
      <c r="N9" s="214"/>
      <c r="O9" s="214"/>
      <c r="P9" s="214"/>
      <c r="Q9" s="214"/>
      <c r="R9" s="214"/>
      <c r="S9" s="214"/>
      <c r="T9" s="214"/>
      <c r="U9" s="214"/>
      <c r="V9" s="214"/>
      <c r="W9" s="214"/>
      <c r="X9" s="214"/>
      <c r="Y9" s="214"/>
      <c r="Z9" s="214"/>
      <c r="AA9" s="214"/>
      <c r="AB9" s="214"/>
      <c r="AC9" s="214"/>
      <c r="AD9" s="214"/>
      <c r="AE9" s="214"/>
      <c r="AF9" s="214"/>
      <c r="AG9" s="214"/>
      <c r="AH9" s="214"/>
      <c r="AI9" s="214"/>
      <c r="AJ9" s="214"/>
      <c r="AK9" s="214"/>
      <c r="AL9" s="214"/>
      <c r="AM9" s="120">
        <f t="shared" si="1"/>
        <v>0</v>
      </c>
      <c r="AN9" s="564">
        <f>IF(AO9&lt;=3,(IF(AND(G9="5/24",AM9&gt;0.5),(AM9*2*база!$M$6*Таблица14[[#This Row],[коэф]]),
IF(AND(G9="4/24",AM9&gt;0.5),(AM9*2*база!$M$5*Таблица14[[#This Row],[коэф]]),
IF(AND(G9="3/24",AM9&gt;0.5),(AM9*2*база!$M$4*Таблица14[[#This Row],[коэф]]),
IF(AND(G9="5/16",AM9&gt;0.5),(AM9*2*база!$L$6*Таблица14[[#This Row],[коэф]]),
IF(AND(G9="4/16",AM9&gt;0.5),(AM9*2*база!$L$5*Таблица14[[#This Row],[коэф]]),
IF(AND(G9="3/16",AM9&gt;0.5),(AM9*2*база!$L$4*Таблица14[[#This Row],[коэф]]),
IF(AND(G9="4/4",AM9&gt;0.5),(AM9*2*база!$I$5*Таблица14[[#This Row],[коэф]]),
IF(OR(AND(G9="3/4",AM9&gt;0.5),AND(G9="2/4",AM9&gt;0.5)),(AM9*2*база!$I$4*Таблица14[[#This Row],[коэф]]),
IF(AND(G9="5/8",AM9&gt;0.5),(AM9*2*база!$J$6*Таблица14[[#This Row],[коэф]]),
IF(AND(G9="4/8",AM9&gt;0.5),(AM9*2*база!$J$5*Таблица14[[#This Row],[коэф]]),
IF(OR(AND(G9="3/8",AM9&gt;0.5),AND(G9="2/8",AM9&gt;0.5)),(AM9*2*база!$J$4*Таблица14[[#This Row],[коэф]]),
(AM9*0.5*база!$L$4*Таблица14[[#This Row],[коэф]]))))))))))))),
(IF(AND(G9="5/24",AM9&gt;0.5),(AM9*2*база!$M$6*Таблица14[[#This Row],[коэф]]),
IF(OR(AND(G9="4/24",AM9&gt;0.5),AND(G9="3/24",AM9&gt;0.5)),(AM9*2*база!$M$5*Таблица14[[#This Row],[коэф]]),
IF(AND(G9="5/16",AM9&gt;0.5),(AM9*2*база!$L$6*Таблица14[[#This Row],[коэф]]),
IF(OR(AND(G9="4/16",AM9&gt;0.5),AND(G9="3/16",AM9&gt;0.5)),(AM9*2*база!$L$5*Таблица14[[#This Row],[коэф]]),
IF(OR(AND(G9="4/4",AM9&gt;0.5),AND(G9="3/4",AM9&gt;2)),(AM9*2*база!$I$5*Таблица14[[#This Row],[коэф]]),
IF(AND(G9="5/8",AM9&gt;0.5),(AM9*2*база!$J$6*Таблица14[[#This Row],[коэф]]),
IF(AND(G9="4/8",AM9&gt;0.5),(AM9*2*база!$J$5*Таблица14[[#This Row],[коэф]]),
IF(OR(AND(G9="3/8",AM9&gt;0.5),AND(G9="2/8",AM9&gt;0.5)),(AM9*2*база!$J$4*Таблица14[[#This Row],[коэф]]),
(AM9*2*база!$L$5*Таблица14[[#This Row],[коэф]])))))))))))</f>
        <v>0</v>
      </c>
      <c r="AO9" s="121">
        <f>IFERROR(INDEX(база!$D$2:$D$120, MATCH(Таблица14[[#This Row],[Ф. И. О.]],база!$B$2:$B$100,0)),"")</f>
        <v>0</v>
      </c>
      <c r="AP9" s="57"/>
      <c r="AQ9" s="57"/>
      <c r="AR9" s="57"/>
      <c r="AS9" s="57"/>
    </row>
    <row r="10" spans="1:47" ht="13.5" customHeight="1">
      <c r="A10" s="206" t="str">
        <f t="shared" si="0"/>
        <v>декабрь</v>
      </c>
      <c r="B10" s="239">
        <v>2023</v>
      </c>
      <c r="C10" s="571"/>
      <c r="D10" s="213"/>
      <c r="E10" s="240"/>
      <c r="F10" s="698"/>
      <c r="G10" s="241"/>
      <c r="H10" s="214"/>
      <c r="I10" s="214"/>
      <c r="J10" s="214"/>
      <c r="K10" s="214"/>
      <c r="L10" s="214"/>
      <c r="M10" s="214"/>
      <c r="N10" s="214"/>
      <c r="O10" s="214"/>
      <c r="P10" s="214"/>
      <c r="Q10" s="214"/>
      <c r="R10" s="214"/>
      <c r="S10" s="214"/>
      <c r="T10" s="214"/>
      <c r="U10" s="214"/>
      <c r="V10" s="214"/>
      <c r="W10" s="214"/>
      <c r="X10" s="214"/>
      <c r="Y10" s="214"/>
      <c r="Z10" s="214"/>
      <c r="AA10" s="214"/>
      <c r="AB10" s="214"/>
      <c r="AC10" s="214"/>
      <c r="AD10" s="214"/>
      <c r="AE10" s="214"/>
      <c r="AF10" s="214"/>
      <c r="AG10" s="214"/>
      <c r="AH10" s="214"/>
      <c r="AI10" s="214"/>
      <c r="AJ10" s="214"/>
      <c r="AK10" s="214"/>
      <c r="AL10" s="214"/>
      <c r="AM10" s="120">
        <f t="shared" si="1"/>
        <v>0</v>
      </c>
      <c r="AN10" s="564">
        <f>IF(AO10&lt;=3,(IF(AND(G10="5/24",AM10&gt;0.5),(AM10*2*база!$M$6*Таблица14[[#This Row],[коэф]]),
IF(AND(G10="4/24",AM10&gt;0.5),(AM10*2*база!$M$5*Таблица14[[#This Row],[коэф]]),
IF(AND(G10="3/24",AM10&gt;0.5),(AM10*2*база!$M$4*Таблица14[[#This Row],[коэф]]),
IF(AND(G10="5/16",AM10&gt;0.5),(AM10*2*база!$L$6*Таблица14[[#This Row],[коэф]]),
IF(AND(G10="4/16",AM10&gt;0.5),(AM10*2*база!$L$5*Таблица14[[#This Row],[коэф]]),
IF(AND(G10="3/16",AM10&gt;0.5),(AM10*2*база!$L$4*Таблица14[[#This Row],[коэф]]),
IF(AND(G10="4/4",AM10&gt;0.5),(AM10*2*база!$I$5*Таблица14[[#This Row],[коэф]]),
IF(OR(AND(G10="3/4",AM10&gt;0.5),AND(G10="2/4",AM10&gt;0.5)),(AM10*2*база!$I$4*Таблица14[[#This Row],[коэф]]),
IF(AND(G10="5/8",AM10&gt;0.5),(AM10*2*база!$J$6*Таблица14[[#This Row],[коэф]]),
IF(AND(G10="4/8",AM10&gt;0.5),(AM10*2*база!$J$5*Таблица14[[#This Row],[коэф]]),
IF(OR(AND(G10="3/8",AM10&gt;0.5),AND(G10="2/8",AM10&gt;0.5)),(AM10*2*база!$J$4*Таблица14[[#This Row],[коэф]]),
(AM10*0.5*база!$L$4*Таблица14[[#This Row],[коэф]]))))))))))))),
(IF(AND(G10="5/24",AM10&gt;0.5),(AM10*2*база!$M$6*Таблица14[[#This Row],[коэф]]),
IF(OR(AND(G10="4/24",AM10&gt;0.5),AND(G10="3/24",AM10&gt;0.5)),(AM10*2*база!$M$5*Таблица14[[#This Row],[коэф]]),
IF(AND(G10="5/16",AM10&gt;0.5),(AM10*2*база!$L$6*Таблица14[[#This Row],[коэф]]),
IF(OR(AND(G10="4/16",AM10&gt;0.5),AND(G10="3/16",AM10&gt;0.5)),(AM10*2*база!$L$5*Таблица14[[#This Row],[коэф]]),
IF(OR(AND(G10="4/4",AM10&gt;0.5),AND(G10="3/4",AM10&gt;2)),(AM10*2*база!$I$5*Таблица14[[#This Row],[коэф]]),
IF(AND(G10="5/8",AM10&gt;0.5),(AM10*2*база!$J$6*Таблица14[[#This Row],[коэф]]),
IF(AND(G10="4/8",AM10&gt;0.5),(AM10*2*база!$J$5*Таблица14[[#This Row],[коэф]]),
IF(OR(AND(G10="3/8",AM10&gt;0.5),AND(G10="2/8",AM10&gt;0.5)),(AM10*2*база!$J$4*Таблица14[[#This Row],[коэф]]),
(AM10*2*база!$L$5*Таблица14[[#This Row],[коэф]])))))))))))</f>
        <v>0</v>
      </c>
      <c r="AO10" s="121">
        <f>IFERROR(INDEX(база!$D$2:$D$120, MATCH(Таблица14[[#This Row],[Ф. И. О.]],база!$B$2:$B$100,0)),"")</f>
        <v>0</v>
      </c>
      <c r="AP10" s="57"/>
      <c r="AQ10" s="57"/>
      <c r="AR10" s="57"/>
      <c r="AS10" s="57"/>
    </row>
    <row r="11" spans="1:47" ht="13.5" customHeight="1">
      <c r="A11" s="206" t="str">
        <f t="shared" si="0"/>
        <v>декабрь</v>
      </c>
      <c r="B11" s="203">
        <v>2023</v>
      </c>
      <c r="C11" s="572"/>
      <c r="D11" s="213"/>
      <c r="E11" s="242"/>
      <c r="F11" s="698"/>
      <c r="G11" s="205"/>
      <c r="H11" s="214"/>
      <c r="I11" s="214"/>
      <c r="J11" s="214"/>
      <c r="K11" s="214"/>
      <c r="L11" s="214"/>
      <c r="M11" s="214"/>
      <c r="N11" s="214"/>
      <c r="O11" s="214"/>
      <c r="P11" s="214"/>
      <c r="Q11" s="214"/>
      <c r="R11" s="214"/>
      <c r="S11" s="214"/>
      <c r="T11" s="214"/>
      <c r="U11" s="214"/>
      <c r="V11" s="214"/>
      <c r="W11" s="214"/>
      <c r="X11" s="214"/>
      <c r="Y11" s="214"/>
      <c r="Z11" s="214"/>
      <c r="AA11" s="214"/>
      <c r="AB11" s="214"/>
      <c r="AC11" s="214"/>
      <c r="AD11" s="214"/>
      <c r="AE11" s="214"/>
      <c r="AF11" s="214"/>
      <c r="AG11" s="214"/>
      <c r="AH11" s="214"/>
      <c r="AI11" s="214"/>
      <c r="AJ11" s="214"/>
      <c r="AK11" s="214"/>
      <c r="AL11" s="214"/>
      <c r="AM11" s="120">
        <f t="shared" si="1"/>
        <v>0</v>
      </c>
      <c r="AN11" s="564">
        <f>IF(AO11&lt;=3,(IF(AND(G11="5/24",AM11&gt;0.5),(AM11*2*база!$M$6*Таблица14[[#This Row],[коэф]]),
IF(AND(G11="4/24",AM11&gt;0.5),(AM11*2*база!$M$5*Таблица14[[#This Row],[коэф]]),
IF(AND(G11="3/24",AM11&gt;0.5),(AM11*2*база!$M$4*Таблица14[[#This Row],[коэф]]),
IF(AND(G11="5/16",AM11&gt;0.5),(AM11*2*база!$L$6*Таблица14[[#This Row],[коэф]]),
IF(AND(G11="4/16",AM11&gt;0.5),(AM11*2*база!$L$5*Таблица14[[#This Row],[коэф]]),
IF(AND(G11="3/16",AM11&gt;0.5),(AM11*2*база!$L$4*Таблица14[[#This Row],[коэф]]),
IF(AND(G11="4/4",AM11&gt;0.5),(AM11*2*база!$I$5*Таблица14[[#This Row],[коэф]]),
IF(OR(AND(G11="3/4",AM11&gt;0.5),AND(G11="2/4",AM11&gt;0.5)),(AM11*2*база!$I$4*Таблица14[[#This Row],[коэф]]),
IF(AND(G11="5/8",AM11&gt;0.5),(AM11*2*база!$J$6*Таблица14[[#This Row],[коэф]]),
IF(AND(G11="4/8",AM11&gt;0.5),(AM11*2*база!$J$5*Таблица14[[#This Row],[коэф]]),
IF(OR(AND(G11="3/8",AM11&gt;0.5),AND(G11="2/8",AM11&gt;0.5)),(AM11*2*база!$J$4*Таблица14[[#This Row],[коэф]]),
(AM11*0.5*база!$L$4*Таблица14[[#This Row],[коэф]]))))))))))))),
(IF(AND(G11="5/24",AM11&gt;0.5),(AM11*2*база!$M$6*Таблица14[[#This Row],[коэф]]),
IF(OR(AND(G11="4/24",AM11&gt;0.5),AND(G11="3/24",AM11&gt;0.5)),(AM11*2*база!$M$5*Таблица14[[#This Row],[коэф]]),
IF(AND(G11="5/16",AM11&gt;0.5),(AM11*2*база!$L$6*Таблица14[[#This Row],[коэф]]),
IF(OR(AND(G11="4/16",AM11&gt;0.5),AND(G11="3/16",AM11&gt;0.5)),(AM11*2*база!$L$5*Таблица14[[#This Row],[коэф]]),
IF(OR(AND(G11="4/4",AM11&gt;0.5),AND(G11="3/4",AM11&gt;2)),(AM11*2*база!$I$5*Таблица14[[#This Row],[коэф]]),
IF(AND(G11="5/8",AM11&gt;0.5),(AM11*2*база!$J$6*Таблица14[[#This Row],[коэф]]),
IF(AND(G11="4/8",AM11&gt;0.5),(AM11*2*база!$J$5*Таблица14[[#This Row],[коэф]]),
IF(OR(AND(G11="3/8",AM11&gt;0.5),AND(G11="2/8",AM11&gt;0.5)),(AM11*2*база!$J$4*Таблица14[[#This Row],[коэф]]),
(AM11*2*база!$L$5*Таблица14[[#This Row],[коэф]])))))))))))</f>
        <v>0</v>
      </c>
      <c r="AO11" s="121">
        <f>IFERROR(INDEX(база!$D$2:$D$120, MATCH(Таблица14[[#This Row],[Ф. И. О.]],база!$B$2:$B$100,0)),"")</f>
        <v>0</v>
      </c>
      <c r="AP11" s="57"/>
      <c r="AQ11" s="57"/>
      <c r="AR11" s="57"/>
      <c r="AS11" s="57"/>
    </row>
    <row r="12" spans="1:47" ht="13.5" customHeight="1">
      <c r="A12" s="206" t="str">
        <f t="shared" si="0"/>
        <v>декабрь</v>
      </c>
      <c r="B12" s="239">
        <v>2023</v>
      </c>
      <c r="C12" s="571"/>
      <c r="D12" s="213"/>
      <c r="E12" s="240"/>
      <c r="F12" s="698"/>
      <c r="G12" s="241"/>
      <c r="H12" s="214"/>
      <c r="I12" s="214"/>
      <c r="J12" s="214"/>
      <c r="K12" s="214"/>
      <c r="L12" s="214"/>
      <c r="M12" s="214"/>
      <c r="N12" s="214"/>
      <c r="O12" s="214"/>
      <c r="P12" s="214"/>
      <c r="Q12" s="214"/>
      <c r="R12" s="214"/>
      <c r="S12" s="214"/>
      <c r="T12" s="214"/>
      <c r="U12" s="214"/>
      <c r="V12" s="214"/>
      <c r="W12" s="214"/>
      <c r="X12" s="214"/>
      <c r="Y12" s="214"/>
      <c r="Z12" s="214"/>
      <c r="AA12" s="214"/>
      <c r="AB12" s="214"/>
      <c r="AC12" s="214"/>
      <c r="AD12" s="214"/>
      <c r="AE12" s="214"/>
      <c r="AF12" s="214"/>
      <c r="AG12" s="214"/>
      <c r="AH12" s="214"/>
      <c r="AI12" s="214"/>
      <c r="AJ12" s="214"/>
      <c r="AK12" s="214"/>
      <c r="AL12" s="214"/>
      <c r="AM12" s="120">
        <f t="shared" si="1"/>
        <v>0</v>
      </c>
      <c r="AN12" s="564">
        <f>IF(AO12&lt;=3,(IF(AND(G12="5/24",AM12&gt;0.5),(AM12*2*база!$M$6*Таблица14[[#This Row],[коэф]]),
IF(AND(G12="4/24",AM12&gt;0.5),(AM12*2*база!$M$5*Таблица14[[#This Row],[коэф]]),
IF(AND(G12="3/24",AM12&gt;0.5),(AM12*2*база!$M$4*Таблица14[[#This Row],[коэф]]),
IF(AND(G12="5/16",AM12&gt;0.5),(AM12*2*база!$L$6*Таблица14[[#This Row],[коэф]]),
IF(AND(G12="4/16",AM12&gt;0.5),(AM12*2*база!$L$5*Таблица14[[#This Row],[коэф]]),
IF(AND(G12="3/16",AM12&gt;0.5),(AM12*2*база!$L$4*Таблица14[[#This Row],[коэф]]),
IF(AND(G12="4/4",AM12&gt;0.5),(AM12*2*база!$I$5*Таблица14[[#This Row],[коэф]]),
IF(OR(AND(G12="3/4",AM12&gt;0.5),AND(G12="2/4",AM12&gt;0.5)),(AM12*2*база!$I$4*Таблица14[[#This Row],[коэф]]),
IF(AND(G12="5/8",AM12&gt;0.5),(AM12*2*база!$J$6*Таблица14[[#This Row],[коэф]]),
IF(AND(G12="4/8",AM12&gt;0.5),(AM12*2*база!$J$5*Таблица14[[#This Row],[коэф]]),
IF(OR(AND(G12="3/8",AM12&gt;0.5),AND(G12="2/8",AM12&gt;0.5)),(AM12*2*база!$J$4*Таблица14[[#This Row],[коэф]]),
(AM12*0.5*база!$L$4*Таблица14[[#This Row],[коэф]]))))))))))))),
(IF(AND(G12="5/24",AM12&gt;0.5),(AM12*2*база!$M$6*Таблица14[[#This Row],[коэф]]),
IF(OR(AND(G12="4/24",AM12&gt;0.5),AND(G12="3/24",AM12&gt;0.5)),(AM12*2*база!$M$5*Таблица14[[#This Row],[коэф]]),
IF(AND(G12="5/16",AM12&gt;0.5),(AM12*2*база!$L$6*Таблица14[[#This Row],[коэф]]),
IF(OR(AND(G12="4/16",AM12&gt;0.5),AND(G12="3/16",AM12&gt;0.5)),(AM12*2*база!$L$5*Таблица14[[#This Row],[коэф]]),
IF(OR(AND(G12="4/4",AM12&gt;0.5),AND(G12="3/4",AM12&gt;2)),(AM12*2*база!$I$5*Таблица14[[#This Row],[коэф]]),
IF(AND(G12="5/8",AM12&gt;0.5),(AM12*2*база!$J$6*Таблица14[[#This Row],[коэф]]),
IF(AND(G12="4/8",AM12&gt;0.5),(AM12*2*база!$J$5*Таблица14[[#This Row],[коэф]]),
IF(OR(AND(G12="3/8",AM12&gt;0.5),AND(G12="2/8",AM12&gt;0.5)),(AM12*2*база!$J$4*Таблица14[[#This Row],[коэф]]),
(AM12*2*база!$L$5*Таблица14[[#This Row],[коэф]])))))))))))</f>
        <v>0</v>
      </c>
      <c r="AO12" s="121">
        <f>IFERROR(INDEX(база!$D$2:$D$120, MATCH(Таблица14[[#This Row],[Ф. И. О.]],база!$B$2:$B$100,0)),"")</f>
        <v>0</v>
      </c>
      <c r="AP12" s="57"/>
      <c r="AQ12" s="57"/>
      <c r="AR12" s="57"/>
      <c r="AS12" s="57"/>
    </row>
    <row r="13" spans="1:47" ht="13.5" customHeight="1">
      <c r="A13" s="206" t="str">
        <f t="shared" si="0"/>
        <v>декабрь</v>
      </c>
      <c r="B13" s="203">
        <v>2023</v>
      </c>
      <c r="C13" s="571"/>
      <c r="D13" s="213"/>
      <c r="E13" s="242"/>
      <c r="F13" s="698"/>
      <c r="G13" s="205"/>
      <c r="H13" s="214"/>
      <c r="I13" s="214"/>
      <c r="J13" s="214"/>
      <c r="K13" s="214"/>
      <c r="L13" s="214"/>
      <c r="M13" s="214"/>
      <c r="N13" s="214"/>
      <c r="O13" s="214"/>
      <c r="P13" s="214"/>
      <c r="Q13" s="214"/>
      <c r="R13" s="214"/>
      <c r="S13" s="214"/>
      <c r="T13" s="214"/>
      <c r="U13" s="214"/>
      <c r="V13" s="214"/>
      <c r="W13" s="214"/>
      <c r="X13" s="214"/>
      <c r="Y13" s="214"/>
      <c r="Z13" s="214"/>
      <c r="AA13" s="214"/>
      <c r="AB13" s="214"/>
      <c r="AC13" s="214"/>
      <c r="AD13" s="214"/>
      <c r="AE13" s="214"/>
      <c r="AF13" s="214"/>
      <c r="AG13" s="214"/>
      <c r="AH13" s="214"/>
      <c r="AI13" s="214"/>
      <c r="AJ13" s="214"/>
      <c r="AK13" s="214"/>
      <c r="AL13" s="214"/>
      <c r="AM13" s="120">
        <f t="shared" si="1"/>
        <v>0</v>
      </c>
      <c r="AN13" s="564">
        <f>IF(AO13&lt;=3,(IF(AND(G13="5/24",AM13&gt;0.5),(AM13*2*база!$M$6*Таблица14[[#This Row],[коэф]]),
IF(AND(G13="4/24",AM13&gt;0.5),(AM13*2*база!$M$5*Таблица14[[#This Row],[коэф]]),
IF(AND(G13="3/24",AM13&gt;0.5),(AM13*2*база!$M$4*Таблица14[[#This Row],[коэф]]),
IF(AND(G13="5/16",AM13&gt;0.5),(AM13*2*база!$L$6*Таблица14[[#This Row],[коэф]]),
IF(AND(G13="4/16",AM13&gt;0.5),(AM13*2*база!$L$5*Таблица14[[#This Row],[коэф]]),
IF(AND(G13="3/16",AM13&gt;0.5),(AM13*2*база!$L$4*Таблица14[[#This Row],[коэф]]),
IF(AND(G13="4/4",AM13&gt;0.5),(AM13*2*база!$I$5*Таблица14[[#This Row],[коэф]]),
IF(OR(AND(G13="3/4",AM13&gt;0.5),AND(G13="2/4",AM13&gt;0.5)),(AM13*2*база!$I$4*Таблица14[[#This Row],[коэф]]),
IF(AND(G13="5/8",AM13&gt;0.5),(AM13*2*база!$J$6*Таблица14[[#This Row],[коэф]]),
IF(AND(G13="4/8",AM13&gt;0.5),(AM13*2*база!$J$5*Таблица14[[#This Row],[коэф]]),
IF(OR(AND(G13="3/8",AM13&gt;0.5),AND(G13="2/8",AM13&gt;0.5)),(AM13*2*база!$J$4*Таблица14[[#This Row],[коэф]]),
(AM13*0.5*база!$L$4*Таблица14[[#This Row],[коэф]]))))))))))))),
(IF(AND(G13="5/24",AM13&gt;0.5),(AM13*2*база!$M$6*Таблица14[[#This Row],[коэф]]),
IF(OR(AND(G13="4/24",AM13&gt;0.5),AND(G13="3/24",AM13&gt;0.5)),(AM13*2*база!$M$5*Таблица14[[#This Row],[коэф]]),
IF(AND(G13="5/16",AM13&gt;0.5),(AM13*2*база!$L$6*Таблица14[[#This Row],[коэф]]),
IF(OR(AND(G13="4/16",AM13&gt;0.5),AND(G13="3/16",AM13&gt;0.5)),(AM13*2*база!$L$5*Таблица14[[#This Row],[коэф]]),
IF(OR(AND(G13="4/4",AM13&gt;0.5),AND(G13="3/4",AM13&gt;2)),(AM13*2*база!$I$5*Таблица14[[#This Row],[коэф]]),
IF(AND(G13="5/8",AM13&gt;0.5),(AM13*2*база!$J$6*Таблица14[[#This Row],[коэф]]),
IF(AND(G13="4/8",AM13&gt;0.5),(AM13*2*база!$J$5*Таблица14[[#This Row],[коэф]]),
IF(OR(AND(G13="3/8",AM13&gt;0.5),AND(G13="2/8",AM13&gt;0.5)),(AM13*2*база!$J$4*Таблица14[[#This Row],[коэф]]),
(AM13*2*база!$L$5*Таблица14[[#This Row],[коэф]])))))))))))</f>
        <v>0</v>
      </c>
      <c r="AO13" s="121">
        <f>IFERROR(INDEX(база!$D$2:$D$120, MATCH(Таблица14[[#This Row],[Ф. И. О.]],база!$B$2:$B$100,0)),"")</f>
        <v>0</v>
      </c>
      <c r="AP13" s="57"/>
      <c r="AQ13" s="57"/>
      <c r="AR13" s="57"/>
      <c r="AS13" s="57"/>
    </row>
    <row r="14" spans="1:47" ht="13.5" customHeight="1">
      <c r="A14" s="206" t="str">
        <f t="shared" si="0"/>
        <v>декабрь</v>
      </c>
      <c r="B14" s="239">
        <v>2023</v>
      </c>
      <c r="C14" s="571"/>
      <c r="D14" s="204"/>
      <c r="E14" s="240"/>
      <c r="F14" s="698"/>
      <c r="G14" s="241"/>
      <c r="H14" s="214"/>
      <c r="I14" s="214"/>
      <c r="J14" s="214"/>
      <c r="K14" s="214"/>
      <c r="L14" s="214"/>
      <c r="M14" s="214"/>
      <c r="N14" s="214"/>
      <c r="O14" s="214"/>
      <c r="P14" s="214"/>
      <c r="Q14" s="214"/>
      <c r="R14" s="214"/>
      <c r="S14" s="214"/>
      <c r="T14" s="214"/>
      <c r="U14" s="214"/>
      <c r="V14" s="214"/>
      <c r="W14" s="214"/>
      <c r="X14" s="214"/>
      <c r="Y14" s="214"/>
      <c r="Z14" s="214"/>
      <c r="AA14" s="214"/>
      <c r="AB14" s="214"/>
      <c r="AC14" s="214"/>
      <c r="AD14" s="214"/>
      <c r="AE14" s="214"/>
      <c r="AF14" s="214"/>
      <c r="AG14" s="214"/>
      <c r="AH14" s="214"/>
      <c r="AI14" s="214"/>
      <c r="AJ14" s="214"/>
      <c r="AK14" s="214"/>
      <c r="AL14" s="214"/>
      <c r="AM14" s="120">
        <f t="shared" si="1"/>
        <v>0</v>
      </c>
      <c r="AN14" s="564">
        <f>IF(AO14&lt;=3,(IF(AND(G14="5/24",AM14&gt;0.5),(AM14*2*база!$M$6*Таблица14[[#This Row],[коэф]]),
IF(AND(G14="4/24",AM14&gt;0.5),(AM14*2*база!$M$5*Таблица14[[#This Row],[коэф]]),
IF(AND(G14="3/24",AM14&gt;0.5),(AM14*2*база!$M$4*Таблица14[[#This Row],[коэф]]),
IF(AND(G14="5/16",AM14&gt;0.5),(AM14*2*база!$L$6*Таблица14[[#This Row],[коэф]]),
IF(AND(G14="4/16",AM14&gt;0.5),(AM14*2*база!$L$5*Таблица14[[#This Row],[коэф]]),
IF(AND(G14="3/16",AM14&gt;0.5),(AM14*2*база!$L$4*Таблица14[[#This Row],[коэф]]),
IF(AND(G14="4/4",AM14&gt;0.5),(AM14*2*база!$I$5*Таблица14[[#This Row],[коэф]]),
IF(OR(AND(G14="3/4",AM14&gt;0.5),AND(G14="2/4",AM14&gt;0.5)),(AM14*2*база!$I$4*Таблица14[[#This Row],[коэф]]),
IF(AND(G14="5/8",AM14&gt;0.5),(AM14*2*база!$J$6*Таблица14[[#This Row],[коэф]]),
IF(AND(G14="4/8",AM14&gt;0.5),(AM14*2*база!$J$5*Таблица14[[#This Row],[коэф]]),
IF(OR(AND(G14="3/8",AM14&gt;0.5),AND(G14="2/8",AM14&gt;0.5)),(AM14*2*база!$J$4*Таблица14[[#This Row],[коэф]]),
(AM14*0.5*база!$L$4*Таблица14[[#This Row],[коэф]]))))))))))))),
(IF(AND(G14="5/24",AM14&gt;0.5),(AM14*2*база!$M$6*Таблица14[[#This Row],[коэф]]),
IF(OR(AND(G14="4/24",AM14&gt;0.5),AND(G14="3/24",AM14&gt;0.5)),(AM14*2*база!$M$5*Таблица14[[#This Row],[коэф]]),
IF(AND(G14="5/16",AM14&gt;0.5),(AM14*2*база!$L$6*Таблица14[[#This Row],[коэф]]),
IF(OR(AND(G14="4/16",AM14&gt;0.5),AND(G14="3/16",AM14&gt;0.5)),(AM14*2*база!$L$5*Таблица14[[#This Row],[коэф]]),
IF(OR(AND(G14="4/4",AM14&gt;0.5),AND(G14="3/4",AM14&gt;2)),(AM14*2*база!$I$5*Таблица14[[#This Row],[коэф]]),
IF(AND(G14="5/8",AM14&gt;0.5),(AM14*2*база!$J$6*Таблица14[[#This Row],[коэф]]),
IF(AND(G14="4/8",AM14&gt;0.5),(AM14*2*база!$J$5*Таблица14[[#This Row],[коэф]]),
IF(OR(AND(G14="3/8",AM14&gt;0.5),AND(G14="2/8",AM14&gt;0.5)),(AM14*2*база!$J$4*Таблица14[[#This Row],[коэф]]),
(AM14*2*база!$L$5*Таблица14[[#This Row],[коэф]])))))))))))</f>
        <v>0</v>
      </c>
      <c r="AO14" s="121">
        <f>IFERROR(INDEX(база!$D$2:$D$120, MATCH(Таблица14[[#This Row],[Ф. И. О.]],база!$B$2:$B$100,0)),"")</f>
        <v>0</v>
      </c>
      <c r="AP14" s="57"/>
      <c r="AQ14" s="57"/>
      <c r="AR14" s="57"/>
      <c r="AS14" s="57"/>
    </row>
    <row r="15" spans="1:47" ht="13.5" customHeight="1">
      <c r="A15" s="206" t="str">
        <f t="shared" si="0"/>
        <v>декабрь</v>
      </c>
      <c r="B15" s="203">
        <v>2023</v>
      </c>
      <c r="C15" s="572"/>
      <c r="D15" s="213"/>
      <c r="E15" s="242"/>
      <c r="F15" s="698"/>
      <c r="G15" s="205"/>
      <c r="H15" s="214"/>
      <c r="I15" s="214"/>
      <c r="J15" s="214"/>
      <c r="K15" s="214"/>
      <c r="L15" s="214"/>
      <c r="M15" s="214"/>
      <c r="N15" s="214"/>
      <c r="O15" s="214"/>
      <c r="P15" s="214"/>
      <c r="Q15" s="214"/>
      <c r="R15" s="214"/>
      <c r="S15" s="214"/>
      <c r="T15" s="214"/>
      <c r="U15" s="214"/>
      <c r="V15" s="214"/>
      <c r="W15" s="214"/>
      <c r="X15" s="214"/>
      <c r="Y15" s="214"/>
      <c r="Z15" s="214"/>
      <c r="AA15" s="214"/>
      <c r="AB15" s="214"/>
      <c r="AC15" s="214"/>
      <c r="AD15" s="214"/>
      <c r="AE15" s="214"/>
      <c r="AF15" s="214"/>
      <c r="AG15" s="214"/>
      <c r="AH15" s="214"/>
      <c r="AI15" s="214"/>
      <c r="AJ15" s="214"/>
      <c r="AK15" s="214"/>
      <c r="AL15" s="214"/>
      <c r="AM15" s="120">
        <f t="shared" si="1"/>
        <v>0</v>
      </c>
      <c r="AN15" s="564">
        <f>IF(AO15&lt;=3,(IF(AND(G15="5/24",AM15&gt;0.5),(AM15*2*база!$M$6*Таблица14[[#This Row],[коэф]]),
IF(AND(G15="4/24",AM15&gt;0.5),(AM15*2*база!$M$5*Таблица14[[#This Row],[коэф]]),
IF(AND(G15="3/24",AM15&gt;0.5),(AM15*2*база!$M$4*Таблица14[[#This Row],[коэф]]),
IF(AND(G15="5/16",AM15&gt;0.5),(AM15*2*база!$L$6*Таблица14[[#This Row],[коэф]]),
IF(AND(G15="4/16",AM15&gt;0.5),(AM15*2*база!$L$5*Таблица14[[#This Row],[коэф]]),
IF(AND(G15="3/16",AM15&gt;0.5),(AM15*2*база!$L$4*Таблица14[[#This Row],[коэф]]),
IF(AND(G15="4/4",AM15&gt;0.5),(AM15*2*база!$I$5*Таблица14[[#This Row],[коэф]]),
IF(OR(AND(G15="3/4",AM15&gt;0.5),AND(G15="2/4",AM15&gt;0.5)),(AM15*2*база!$I$4*Таблица14[[#This Row],[коэф]]),
IF(AND(G15="5/8",AM15&gt;0.5),(AM15*2*база!$J$6*Таблица14[[#This Row],[коэф]]),
IF(AND(G15="4/8",AM15&gt;0.5),(AM15*2*база!$J$5*Таблица14[[#This Row],[коэф]]),
IF(OR(AND(G15="3/8",AM15&gt;0.5),AND(G15="2/8",AM15&gt;0.5)),(AM15*2*база!$J$4*Таблица14[[#This Row],[коэф]]),
(AM15*0.5*база!$L$4*Таблица14[[#This Row],[коэф]]))))))))))))),
(IF(AND(G15="5/24",AM15&gt;0.5),(AM15*2*база!$M$6*Таблица14[[#This Row],[коэф]]),
IF(OR(AND(G15="4/24",AM15&gt;0.5),AND(G15="3/24",AM15&gt;0.5)),(AM15*2*база!$M$5*Таблица14[[#This Row],[коэф]]),
IF(AND(G15="5/16",AM15&gt;0.5),(AM15*2*база!$L$6*Таблица14[[#This Row],[коэф]]),
IF(OR(AND(G15="4/16",AM15&gt;0.5),AND(G15="3/16",AM15&gt;0.5)),(AM15*2*база!$L$5*Таблица14[[#This Row],[коэф]]),
IF(OR(AND(G15="4/4",AM15&gt;0.5),AND(G15="3/4",AM15&gt;2)),(AM15*2*база!$I$5*Таблица14[[#This Row],[коэф]]),
IF(AND(G15="5/8",AM15&gt;0.5),(AM15*2*база!$J$6*Таблица14[[#This Row],[коэф]]),
IF(AND(G15="4/8",AM15&gt;0.5),(AM15*2*база!$J$5*Таблица14[[#This Row],[коэф]]),
IF(OR(AND(G15="3/8",AM15&gt;0.5),AND(G15="2/8",AM15&gt;0.5)),(AM15*2*база!$J$4*Таблица14[[#This Row],[коэф]]),
(AM15*2*база!$L$5*Таблица14[[#This Row],[коэф]])))))))))))</f>
        <v>0</v>
      </c>
      <c r="AO15" s="121">
        <f>IFERROR(INDEX(база!$D$2:$D$120, MATCH(Таблица14[[#This Row],[Ф. И. О.]],база!$B$2:$B$100,0)),"")</f>
        <v>0</v>
      </c>
      <c r="AP15" s="57"/>
      <c r="AQ15" s="57"/>
      <c r="AR15" s="57"/>
      <c r="AS15" s="57"/>
    </row>
    <row r="16" spans="1:47" ht="13.5" customHeight="1">
      <c r="A16" s="206" t="str">
        <f t="shared" si="0"/>
        <v>декабрь</v>
      </c>
      <c r="B16" s="239">
        <v>2023</v>
      </c>
      <c r="C16" s="572"/>
      <c r="D16" s="213"/>
      <c r="E16" s="240"/>
      <c r="F16" s="698"/>
      <c r="G16" s="241"/>
      <c r="H16" s="214"/>
      <c r="I16" s="214"/>
      <c r="J16" s="214"/>
      <c r="K16" s="214"/>
      <c r="L16" s="214"/>
      <c r="M16" s="214"/>
      <c r="N16" s="214"/>
      <c r="O16" s="214"/>
      <c r="P16" s="214"/>
      <c r="Q16" s="214"/>
      <c r="R16" s="214"/>
      <c r="S16" s="214"/>
      <c r="T16" s="214"/>
      <c r="U16" s="214"/>
      <c r="V16" s="214"/>
      <c r="W16" s="214"/>
      <c r="X16" s="214"/>
      <c r="Y16" s="214"/>
      <c r="Z16" s="214"/>
      <c r="AA16" s="214"/>
      <c r="AB16" s="214"/>
      <c r="AC16" s="214"/>
      <c r="AD16" s="214"/>
      <c r="AE16" s="214"/>
      <c r="AF16" s="214"/>
      <c r="AG16" s="214"/>
      <c r="AH16" s="214"/>
      <c r="AI16" s="214"/>
      <c r="AJ16" s="214"/>
      <c r="AK16" s="214"/>
      <c r="AL16" s="214"/>
      <c r="AM16" s="120">
        <f t="shared" si="1"/>
        <v>0</v>
      </c>
      <c r="AN16" s="564">
        <f>IF(AO16&lt;=3,(IF(AND(G16="5/24",AM16&gt;0.5),(AM16*2*база!$M$6*Таблица14[[#This Row],[коэф]]),
IF(AND(G16="4/24",AM16&gt;0.5),(AM16*2*база!$M$5*Таблица14[[#This Row],[коэф]]),
IF(AND(G16="3/24",AM16&gt;0.5),(AM16*2*база!$M$4*Таблица14[[#This Row],[коэф]]),
IF(AND(G16="5/16",AM16&gt;0.5),(AM16*2*база!$L$6*Таблица14[[#This Row],[коэф]]),
IF(AND(G16="4/16",AM16&gt;0.5),(AM16*2*база!$L$5*Таблица14[[#This Row],[коэф]]),
IF(AND(G16="3/16",AM16&gt;0.5),(AM16*2*база!$L$4*Таблица14[[#This Row],[коэф]]),
IF(AND(G16="4/4",AM16&gt;0.5),(AM16*2*база!$I$5*Таблица14[[#This Row],[коэф]]),
IF(OR(AND(G16="3/4",AM16&gt;0.5),AND(G16="2/4",AM16&gt;0.5)),(AM16*2*база!$I$4*Таблица14[[#This Row],[коэф]]),
IF(AND(G16="5/8",AM16&gt;0.5),(AM16*2*база!$J$6*Таблица14[[#This Row],[коэф]]),
IF(AND(G16="4/8",AM16&gt;0.5),(AM16*2*база!$J$5*Таблица14[[#This Row],[коэф]]),
IF(OR(AND(G16="3/8",AM16&gt;0.5),AND(G16="2/8",AM16&gt;0.5)),(AM16*2*база!$J$4*Таблица14[[#This Row],[коэф]]),
(AM16*0.5*база!$L$4*Таблица14[[#This Row],[коэф]]))))))))))))),
(IF(AND(G16="5/24",AM16&gt;0.5),(AM16*2*база!$M$6*Таблица14[[#This Row],[коэф]]),
IF(OR(AND(G16="4/24",AM16&gt;0.5),AND(G16="3/24",AM16&gt;0.5)),(AM16*2*база!$M$5*Таблица14[[#This Row],[коэф]]),
IF(AND(G16="5/16",AM16&gt;0.5),(AM16*2*база!$L$6*Таблица14[[#This Row],[коэф]]),
IF(OR(AND(G16="4/16",AM16&gt;0.5),AND(G16="3/16",AM16&gt;0.5)),(AM16*2*база!$L$5*Таблица14[[#This Row],[коэф]]),
IF(OR(AND(G16="4/4",AM16&gt;0.5),AND(G16="3/4",AM16&gt;2)),(AM16*2*база!$I$5*Таблица14[[#This Row],[коэф]]),
IF(AND(G16="5/8",AM16&gt;0.5),(AM16*2*база!$J$6*Таблица14[[#This Row],[коэф]]),
IF(AND(G16="4/8",AM16&gt;0.5),(AM16*2*база!$J$5*Таблица14[[#This Row],[коэф]]),
IF(OR(AND(G16="3/8",AM16&gt;0.5),AND(G16="2/8",AM16&gt;0.5)),(AM16*2*база!$J$4*Таблица14[[#This Row],[коэф]]),
(AM16*2*база!$L$5*Таблица14[[#This Row],[коэф]])))))))))))</f>
        <v>0</v>
      </c>
      <c r="AO16" s="121">
        <f>IFERROR(INDEX(база!$D$2:$D$120, MATCH(Таблица14[[#This Row],[Ф. И. О.]],база!$B$2:$B$100,0)),"")</f>
        <v>0</v>
      </c>
      <c r="AP16" s="57"/>
      <c r="AQ16" s="57"/>
      <c r="AR16" s="57"/>
      <c r="AS16" s="57"/>
    </row>
    <row r="17" spans="1:45" ht="13.5" customHeight="1">
      <c r="A17" s="206" t="str">
        <f t="shared" si="0"/>
        <v>декабрь</v>
      </c>
      <c r="B17" s="203">
        <v>2023</v>
      </c>
      <c r="C17" s="572"/>
      <c r="D17" s="213"/>
      <c r="E17" s="242"/>
      <c r="F17" s="698"/>
      <c r="G17" s="205"/>
      <c r="H17" s="214"/>
      <c r="I17" s="214"/>
      <c r="J17" s="214"/>
      <c r="K17" s="214"/>
      <c r="L17" s="214"/>
      <c r="M17" s="214"/>
      <c r="N17" s="214"/>
      <c r="O17" s="214"/>
      <c r="P17" s="214"/>
      <c r="Q17" s="214"/>
      <c r="R17" s="214"/>
      <c r="S17" s="214"/>
      <c r="T17" s="214"/>
      <c r="U17" s="214"/>
      <c r="V17" s="214"/>
      <c r="W17" s="214"/>
      <c r="X17" s="214"/>
      <c r="Y17" s="214"/>
      <c r="Z17" s="214"/>
      <c r="AA17" s="214"/>
      <c r="AB17" s="214"/>
      <c r="AC17" s="214"/>
      <c r="AD17" s="214"/>
      <c r="AE17" s="214"/>
      <c r="AF17" s="214"/>
      <c r="AG17" s="214"/>
      <c r="AH17" s="214"/>
      <c r="AI17" s="214"/>
      <c r="AJ17" s="214"/>
      <c r="AK17" s="214"/>
      <c r="AL17" s="214"/>
      <c r="AM17" s="120">
        <f t="shared" si="1"/>
        <v>0</v>
      </c>
      <c r="AN17" s="564">
        <f>IF(AO17&lt;=3,(IF(AND(G17="5/24",AM17&gt;0.5),(AM17*2*база!$M$6*Таблица14[[#This Row],[коэф]]),
IF(AND(G17="4/24",AM17&gt;0.5),(AM17*2*база!$M$5*Таблица14[[#This Row],[коэф]]),
IF(AND(G17="3/24",AM17&gt;0.5),(AM17*2*база!$M$4*Таблица14[[#This Row],[коэф]]),
IF(AND(G17="5/16",AM17&gt;0.5),(AM17*2*база!$L$6*Таблица14[[#This Row],[коэф]]),
IF(AND(G17="4/16",AM17&gt;0.5),(AM17*2*база!$L$5*Таблица14[[#This Row],[коэф]]),
IF(AND(G17="3/16",AM17&gt;0.5),(AM17*2*база!$L$4*Таблица14[[#This Row],[коэф]]),
IF(AND(G17="4/4",AM17&gt;0.5),(AM17*2*база!$I$5*Таблица14[[#This Row],[коэф]]),
IF(OR(AND(G17="3/4",AM17&gt;0.5),AND(G17="2/4",AM17&gt;0.5)),(AM17*2*база!$I$4*Таблица14[[#This Row],[коэф]]),
IF(AND(G17="5/8",AM17&gt;0.5),(AM17*2*база!$J$6*Таблица14[[#This Row],[коэф]]),
IF(AND(G17="4/8",AM17&gt;0.5),(AM17*2*база!$J$5*Таблица14[[#This Row],[коэф]]),
IF(OR(AND(G17="3/8",AM17&gt;0.5),AND(G17="2/8",AM17&gt;0.5)),(AM17*2*база!$J$4*Таблица14[[#This Row],[коэф]]),
(AM17*0.5*база!$L$4*Таблица14[[#This Row],[коэф]]))))))))))))),
(IF(AND(G17="5/24",AM17&gt;0.5),(AM17*2*база!$M$6*Таблица14[[#This Row],[коэф]]),
IF(OR(AND(G17="4/24",AM17&gt;0.5),AND(G17="3/24",AM17&gt;0.5)),(AM17*2*база!$M$5*Таблица14[[#This Row],[коэф]]),
IF(AND(G17="5/16",AM17&gt;0.5),(AM17*2*база!$L$6*Таблица14[[#This Row],[коэф]]),
IF(OR(AND(G17="4/16",AM17&gt;0.5),AND(G17="3/16",AM17&gt;0.5)),(AM17*2*база!$L$5*Таблица14[[#This Row],[коэф]]),
IF(OR(AND(G17="4/4",AM17&gt;0.5),AND(G17="3/4",AM17&gt;2)),(AM17*2*база!$I$5*Таблица14[[#This Row],[коэф]]),
IF(AND(G17="5/8",AM17&gt;0.5),(AM17*2*база!$J$6*Таблица14[[#This Row],[коэф]]),
IF(AND(G17="4/8",AM17&gt;0.5),(AM17*2*база!$J$5*Таблица14[[#This Row],[коэф]]),
IF(OR(AND(G17="3/8",AM17&gt;0.5),AND(G17="2/8",AM17&gt;0.5)),(AM17*2*база!$J$4*Таблица14[[#This Row],[коэф]]),
(AM17*2*база!$L$5*Таблица14[[#This Row],[коэф]])))))))))))</f>
        <v>0</v>
      </c>
      <c r="AO17" s="121">
        <f>IFERROR(INDEX(база!$D$2:$D$120, MATCH(Таблица14[[#This Row],[Ф. И. О.]],база!$B$2:$B$100,0)),"")</f>
        <v>0</v>
      </c>
      <c r="AP17" s="57"/>
      <c r="AQ17" s="57"/>
      <c r="AR17" s="57"/>
      <c r="AS17" s="57"/>
    </row>
    <row r="18" spans="1:45" ht="13.5" customHeight="1">
      <c r="A18" s="206" t="str">
        <f t="shared" si="0"/>
        <v>декабрь</v>
      </c>
      <c r="B18" s="239">
        <v>2023</v>
      </c>
      <c r="C18" s="572"/>
      <c r="D18" s="213"/>
      <c r="E18" s="240"/>
      <c r="F18" s="698"/>
      <c r="G18" s="241"/>
      <c r="H18" s="214"/>
      <c r="I18" s="214"/>
      <c r="J18" s="214"/>
      <c r="K18" s="214"/>
      <c r="L18" s="214"/>
      <c r="M18" s="214"/>
      <c r="N18" s="214"/>
      <c r="O18" s="214"/>
      <c r="P18" s="214"/>
      <c r="Q18" s="214"/>
      <c r="R18" s="214"/>
      <c r="S18" s="214"/>
      <c r="T18" s="214"/>
      <c r="U18" s="214"/>
      <c r="V18" s="214"/>
      <c r="W18" s="214"/>
      <c r="X18" s="214"/>
      <c r="Y18" s="214"/>
      <c r="Z18" s="214"/>
      <c r="AA18" s="214"/>
      <c r="AB18" s="214"/>
      <c r="AC18" s="214"/>
      <c r="AD18" s="214"/>
      <c r="AE18" s="214"/>
      <c r="AF18" s="214"/>
      <c r="AG18" s="214"/>
      <c r="AH18" s="214"/>
      <c r="AI18" s="214"/>
      <c r="AJ18" s="214"/>
      <c r="AK18" s="214"/>
      <c r="AL18" s="214"/>
      <c r="AM18" s="120">
        <f t="shared" si="1"/>
        <v>0</v>
      </c>
      <c r="AN18" s="564">
        <f>IF(AO18&lt;=3,(IF(AND(G18="5/24",AM18&gt;0.5),(AM18*2*база!$M$6*Таблица14[[#This Row],[коэф]]),
IF(AND(G18="4/24",AM18&gt;0.5),(AM18*2*база!$M$5*Таблица14[[#This Row],[коэф]]),
IF(AND(G18="3/24",AM18&gt;0.5),(AM18*2*база!$M$4*Таблица14[[#This Row],[коэф]]),
IF(AND(G18="5/16",AM18&gt;0.5),(AM18*2*база!$L$6*Таблица14[[#This Row],[коэф]]),
IF(AND(G18="4/16",AM18&gt;0.5),(AM18*2*база!$L$5*Таблица14[[#This Row],[коэф]]),
IF(AND(G18="3/16",AM18&gt;0.5),(AM18*2*база!$L$4*Таблица14[[#This Row],[коэф]]),
IF(AND(G18="4/4",AM18&gt;0.5),(AM18*2*база!$I$5*Таблица14[[#This Row],[коэф]]),
IF(OR(AND(G18="3/4",AM18&gt;0.5),AND(G18="2/4",AM18&gt;0.5)),(AM18*2*база!$I$4*Таблица14[[#This Row],[коэф]]),
IF(AND(G18="5/8",AM18&gt;0.5),(AM18*2*база!$J$6*Таблица14[[#This Row],[коэф]]),
IF(AND(G18="4/8",AM18&gt;0.5),(AM18*2*база!$J$5*Таблица14[[#This Row],[коэф]]),
IF(OR(AND(G18="3/8",AM18&gt;0.5),AND(G18="2/8",AM18&gt;0.5)),(AM18*2*база!$J$4*Таблица14[[#This Row],[коэф]]),
(AM18*0.5*база!$L$4*Таблица14[[#This Row],[коэф]]))))))))))))),
(IF(AND(G18="5/24",AM18&gt;0.5),(AM18*2*база!$M$6*Таблица14[[#This Row],[коэф]]),
IF(OR(AND(G18="4/24",AM18&gt;0.5),AND(G18="3/24",AM18&gt;0.5)),(AM18*2*база!$M$5*Таблица14[[#This Row],[коэф]]),
IF(AND(G18="5/16",AM18&gt;0.5),(AM18*2*база!$L$6*Таблица14[[#This Row],[коэф]]),
IF(OR(AND(G18="4/16",AM18&gt;0.5),AND(G18="3/16",AM18&gt;0.5)),(AM18*2*база!$L$5*Таблица14[[#This Row],[коэф]]),
IF(OR(AND(G18="4/4",AM18&gt;0.5),AND(G18="3/4",AM18&gt;2)),(AM18*2*база!$I$5*Таблица14[[#This Row],[коэф]]),
IF(AND(G18="5/8",AM18&gt;0.5),(AM18*2*база!$J$6*Таблица14[[#This Row],[коэф]]),
IF(AND(G18="4/8",AM18&gt;0.5),(AM18*2*база!$J$5*Таблица14[[#This Row],[коэф]]),
IF(OR(AND(G18="3/8",AM18&gt;0.5),AND(G18="2/8",AM18&gt;0.5)),(AM18*2*база!$J$4*Таблица14[[#This Row],[коэф]]),
(AM18*2*база!$L$5*Таблица14[[#This Row],[коэф]])))))))))))</f>
        <v>0</v>
      </c>
      <c r="AO18" s="121">
        <f>IFERROR(INDEX(база!$D$2:$D$120, MATCH(Таблица14[[#This Row],[Ф. И. О.]],база!$B$2:$B$100,0)),"")</f>
        <v>0</v>
      </c>
      <c r="AP18" s="57"/>
      <c r="AQ18" s="57"/>
      <c r="AR18" s="57"/>
      <c r="AS18" s="57"/>
    </row>
    <row r="19" spans="1:45" ht="13.5" customHeight="1">
      <c r="A19" s="206" t="str">
        <f t="shared" si="0"/>
        <v>декабрь</v>
      </c>
      <c r="B19" s="203">
        <v>2023</v>
      </c>
      <c r="C19" s="572"/>
      <c r="D19" s="204"/>
      <c r="E19" s="242"/>
      <c r="F19" s="698"/>
      <c r="G19" s="205"/>
      <c r="H19" s="214"/>
      <c r="I19" s="214"/>
      <c r="J19" s="214"/>
      <c r="K19" s="214"/>
      <c r="L19" s="214"/>
      <c r="M19" s="214"/>
      <c r="N19" s="214"/>
      <c r="O19" s="214"/>
      <c r="P19" s="214"/>
      <c r="Q19" s="214"/>
      <c r="R19" s="214"/>
      <c r="S19" s="214"/>
      <c r="T19" s="214"/>
      <c r="U19" s="214"/>
      <c r="V19" s="214"/>
      <c r="W19" s="214"/>
      <c r="X19" s="214"/>
      <c r="Y19" s="214"/>
      <c r="Z19" s="214"/>
      <c r="AA19" s="214"/>
      <c r="AB19" s="214"/>
      <c r="AC19" s="214"/>
      <c r="AD19" s="214"/>
      <c r="AE19" s="214"/>
      <c r="AF19" s="214"/>
      <c r="AG19" s="214"/>
      <c r="AH19" s="214"/>
      <c r="AI19" s="214"/>
      <c r="AJ19" s="214"/>
      <c r="AK19" s="214"/>
      <c r="AL19" s="214"/>
      <c r="AM19" s="120">
        <f t="shared" si="1"/>
        <v>0</v>
      </c>
      <c r="AN19" s="564">
        <f>IF(AO19&lt;=3,(IF(AND(G19="5/24",AM19&gt;0.5),(AM19*2*база!$M$6*Таблица14[[#This Row],[коэф]]),
IF(AND(G19="4/24",AM19&gt;0.5),(AM19*2*база!$M$5*Таблица14[[#This Row],[коэф]]),
IF(AND(G19="3/24",AM19&gt;0.5),(AM19*2*база!$M$4*Таблица14[[#This Row],[коэф]]),
IF(AND(G19="5/16",AM19&gt;0.5),(AM19*2*база!$L$6*Таблица14[[#This Row],[коэф]]),
IF(AND(G19="4/16",AM19&gt;0.5),(AM19*2*база!$L$5*Таблица14[[#This Row],[коэф]]),
IF(AND(G19="3/16",AM19&gt;0.5),(AM19*2*база!$L$4*Таблица14[[#This Row],[коэф]]),
IF(AND(G19="4/4",AM19&gt;0.5),(AM19*2*база!$I$5*Таблица14[[#This Row],[коэф]]),
IF(OR(AND(G19="3/4",AM19&gt;0.5),AND(G19="2/4",AM19&gt;0.5)),(AM19*2*база!$I$4*Таблица14[[#This Row],[коэф]]),
IF(AND(G19="5/8",AM19&gt;0.5),(AM19*2*база!$J$6*Таблица14[[#This Row],[коэф]]),
IF(AND(G19="4/8",AM19&gt;0.5),(AM19*2*база!$J$5*Таблица14[[#This Row],[коэф]]),
IF(OR(AND(G19="3/8",AM19&gt;0.5),AND(G19="2/8",AM19&gt;0.5)),(AM19*2*база!$J$4*Таблица14[[#This Row],[коэф]]),
(AM19*0.5*база!$L$4*Таблица14[[#This Row],[коэф]]))))))))))))),
(IF(AND(G19="5/24",AM19&gt;0.5),(AM19*2*база!$M$6*Таблица14[[#This Row],[коэф]]),
IF(OR(AND(G19="4/24",AM19&gt;0.5),AND(G19="3/24",AM19&gt;0.5)),(AM19*2*база!$M$5*Таблица14[[#This Row],[коэф]]),
IF(AND(G19="5/16",AM19&gt;0.5),(AM19*2*база!$L$6*Таблица14[[#This Row],[коэф]]),
IF(OR(AND(G19="4/16",AM19&gt;0.5),AND(G19="3/16",AM19&gt;0.5)),(AM19*2*база!$L$5*Таблица14[[#This Row],[коэф]]),
IF(OR(AND(G19="4/4",AM19&gt;0.5),AND(G19="3/4",AM19&gt;2)),(AM19*2*база!$I$5*Таблица14[[#This Row],[коэф]]),
IF(AND(G19="5/8",AM19&gt;0.5),(AM19*2*база!$J$6*Таблица14[[#This Row],[коэф]]),
IF(AND(G19="4/8",AM19&gt;0.5),(AM19*2*база!$J$5*Таблица14[[#This Row],[коэф]]),
IF(OR(AND(G19="3/8",AM19&gt;0.5),AND(G19="2/8",AM19&gt;0.5)),(AM19*2*база!$J$4*Таблица14[[#This Row],[коэф]]),
(AM19*2*база!$L$5*Таблица14[[#This Row],[коэф]])))))))))))</f>
        <v>0</v>
      </c>
      <c r="AO19" s="121">
        <f>IFERROR(INDEX(база!$D$2:$D$120, MATCH(Таблица14[[#This Row],[Ф. И. О.]],база!$B$2:$B$100,0)),"")</f>
        <v>0</v>
      </c>
      <c r="AP19" s="57"/>
      <c r="AQ19" s="57"/>
      <c r="AR19" s="57"/>
      <c r="AS19" s="57"/>
    </row>
    <row r="20" spans="1:45" ht="13.5" customHeight="1">
      <c r="A20" s="206" t="str">
        <f>A19</f>
        <v>декабрь</v>
      </c>
      <c r="B20" s="239">
        <v>2023</v>
      </c>
      <c r="C20" s="572"/>
      <c r="D20" s="213"/>
      <c r="E20" s="240"/>
      <c r="F20" s="698"/>
      <c r="G20" s="241"/>
      <c r="H20" s="214"/>
      <c r="I20" s="214"/>
      <c r="J20" s="214"/>
      <c r="K20" s="214"/>
      <c r="L20" s="214"/>
      <c r="M20" s="214"/>
      <c r="N20" s="214"/>
      <c r="O20" s="214"/>
      <c r="P20" s="214"/>
      <c r="Q20" s="214"/>
      <c r="R20" s="214"/>
      <c r="S20" s="214"/>
      <c r="T20" s="214"/>
      <c r="U20" s="214"/>
      <c r="V20" s="214"/>
      <c r="W20" s="214"/>
      <c r="X20" s="214"/>
      <c r="Y20" s="214"/>
      <c r="Z20" s="214"/>
      <c r="AA20" s="214"/>
      <c r="AB20" s="214"/>
      <c r="AC20" s="214"/>
      <c r="AD20" s="214"/>
      <c r="AE20" s="214"/>
      <c r="AF20" s="214"/>
      <c r="AG20" s="214"/>
      <c r="AH20" s="214"/>
      <c r="AI20" s="214"/>
      <c r="AJ20" s="214"/>
      <c r="AK20" s="214"/>
      <c r="AL20" s="214"/>
      <c r="AM20" s="120">
        <f t="shared" si="1"/>
        <v>0</v>
      </c>
      <c r="AN20" s="564">
        <f>IF(AO20&lt;=3,(IF(AND(G20="5/24",AM20&gt;0.5),(AM20*2*база!$M$6*Таблица14[[#This Row],[коэф]]),
IF(AND(G20="4/24",AM20&gt;0.5),(AM20*2*база!$M$5*Таблица14[[#This Row],[коэф]]),
IF(AND(G20="3/24",AM20&gt;0.5),(AM20*2*база!$M$4*Таблица14[[#This Row],[коэф]]),
IF(AND(G20="5/16",AM20&gt;0.5),(AM20*2*база!$L$6*Таблица14[[#This Row],[коэф]]),
IF(AND(G20="4/16",AM20&gt;0.5),(AM20*2*база!$L$5*Таблица14[[#This Row],[коэф]]),
IF(AND(G20="3/16",AM20&gt;0.5),(AM20*2*база!$L$4*Таблица14[[#This Row],[коэф]]),
IF(AND(G20="4/4",AM20&gt;0.5),(AM20*2*база!$I$5*Таблица14[[#This Row],[коэф]]),
IF(OR(AND(G20="3/4",AM20&gt;0.5),AND(G20="2/4",AM20&gt;0.5)),(AM20*2*база!$I$4*Таблица14[[#This Row],[коэф]]),
IF(AND(G20="5/8",AM20&gt;0.5),(AM20*2*база!$J$6*Таблица14[[#This Row],[коэф]]),
IF(AND(G20="4/8",AM20&gt;0.5),(AM20*2*база!$J$5*Таблица14[[#This Row],[коэф]]),
IF(OR(AND(G20="3/8",AM20&gt;0.5),AND(G20="2/8",AM20&gt;0.5)),(AM20*2*база!$J$4*Таблица14[[#This Row],[коэф]]),
(AM20*0.5*база!$L$4*Таблица14[[#This Row],[коэф]]))))))))))))),
(IF(AND(G20="5/24",AM20&gt;0.5),(AM20*2*база!$M$6*Таблица14[[#This Row],[коэф]]),
IF(OR(AND(G20="4/24",AM20&gt;0.5),AND(G20="3/24",AM20&gt;0.5)),(AM20*2*база!$M$5*Таблица14[[#This Row],[коэф]]),
IF(AND(G20="5/16",AM20&gt;0.5),(AM20*2*база!$L$6*Таблица14[[#This Row],[коэф]]),
IF(OR(AND(G20="4/16",AM20&gt;0.5),AND(G20="3/16",AM20&gt;0.5)),(AM20*2*база!$L$5*Таблица14[[#This Row],[коэф]]),
IF(OR(AND(G20="4/4",AM20&gt;0.5),AND(G20="3/4",AM20&gt;2)),(AM20*2*база!$I$5*Таблица14[[#This Row],[коэф]]),
IF(AND(G20="5/8",AM20&gt;0.5),(AM20*2*база!$J$6*Таблица14[[#This Row],[коэф]]),
IF(AND(G20="4/8",AM20&gt;0.5),(AM20*2*база!$J$5*Таблица14[[#This Row],[коэф]]),
IF(OR(AND(G20="3/8",AM20&gt;0.5),AND(G20="2/8",AM20&gt;0.5)),(AM20*2*база!$J$4*Таблица14[[#This Row],[коэф]]),
(AM20*2*база!$L$5*Таблица14[[#This Row],[коэф]])))))))))))</f>
        <v>0</v>
      </c>
      <c r="AO20" s="121">
        <f>IFERROR(INDEX(база!$D$2:$D$120, MATCH(Таблица14[[#This Row],[Ф. И. О.]],база!$B$2:$B$100,0)),"")</f>
        <v>0</v>
      </c>
      <c r="AP20" s="57"/>
      <c r="AQ20" s="57"/>
      <c r="AR20" s="57"/>
      <c r="AS20" s="57"/>
    </row>
    <row r="21" spans="1:45" ht="13.5" customHeight="1">
      <c r="A21" s="206" t="str">
        <f t="shared" si="0"/>
        <v>декабрь</v>
      </c>
      <c r="B21" s="203">
        <v>2023</v>
      </c>
      <c r="C21" s="572"/>
      <c r="D21" s="213"/>
      <c r="E21" s="242"/>
      <c r="F21" s="698"/>
      <c r="G21" s="205"/>
      <c r="H21" s="214"/>
      <c r="I21" s="214"/>
      <c r="J21" s="214"/>
      <c r="K21" s="214"/>
      <c r="L21" s="214"/>
      <c r="M21" s="214"/>
      <c r="N21" s="214"/>
      <c r="O21" s="214"/>
      <c r="P21" s="214"/>
      <c r="Q21" s="214"/>
      <c r="R21" s="214"/>
      <c r="S21" s="214"/>
      <c r="T21" s="214"/>
      <c r="U21" s="214"/>
      <c r="V21" s="214"/>
      <c r="W21" s="214"/>
      <c r="X21" s="214"/>
      <c r="Y21" s="214"/>
      <c r="Z21" s="214"/>
      <c r="AA21" s="214"/>
      <c r="AB21" s="214"/>
      <c r="AC21" s="214"/>
      <c r="AD21" s="214"/>
      <c r="AE21" s="214"/>
      <c r="AF21" s="214"/>
      <c r="AG21" s="214"/>
      <c r="AH21" s="214"/>
      <c r="AI21" s="214"/>
      <c r="AJ21" s="214"/>
      <c r="AK21" s="214"/>
      <c r="AL21" s="214"/>
      <c r="AM21" s="120">
        <f t="shared" si="1"/>
        <v>0</v>
      </c>
      <c r="AN21" s="564">
        <f>IF(AO21&lt;=3,(IF(AND(G21="5/24",AM21&gt;0.5),(AM21*2*база!$M$6*Таблица14[[#This Row],[коэф]]),
IF(AND(G21="4/24",AM21&gt;0.5),(AM21*2*база!$M$5*Таблица14[[#This Row],[коэф]]),
IF(AND(G21="3/24",AM21&gt;0.5),(AM21*2*база!$M$4*Таблица14[[#This Row],[коэф]]),
IF(AND(G21="5/16",AM21&gt;0.5),(AM21*2*база!$L$6*Таблица14[[#This Row],[коэф]]),
IF(AND(G21="4/16",AM21&gt;0.5),(AM21*2*база!$L$5*Таблица14[[#This Row],[коэф]]),
IF(AND(G21="3/16",AM21&gt;0.5),(AM21*2*база!$L$4*Таблица14[[#This Row],[коэф]]),
IF(AND(G21="4/4",AM21&gt;0.5),(AM21*2*база!$I$5*Таблица14[[#This Row],[коэф]]),
IF(OR(AND(G21="3/4",AM21&gt;0.5),AND(G21="2/4",AM21&gt;0.5)),(AM21*2*база!$I$4*Таблица14[[#This Row],[коэф]]),
IF(AND(G21="5/8",AM21&gt;0.5),(AM21*2*база!$J$6*Таблица14[[#This Row],[коэф]]),
IF(AND(G21="4/8",AM21&gt;0.5),(AM21*2*база!$J$5*Таблица14[[#This Row],[коэф]]),
IF(OR(AND(G21="3/8",AM21&gt;0.5),AND(G21="2/8",AM21&gt;0.5)),(AM21*2*база!$J$4*Таблица14[[#This Row],[коэф]]),
(AM21*0.5*база!$L$4*Таблица14[[#This Row],[коэф]]))))))))))))),
(IF(AND(G21="5/24",AM21&gt;0.5),(AM21*2*база!$M$6*Таблица14[[#This Row],[коэф]]),
IF(OR(AND(G21="4/24",AM21&gt;0.5),AND(G21="3/24",AM21&gt;0.5)),(AM21*2*база!$M$5*Таблица14[[#This Row],[коэф]]),
IF(AND(G21="5/16",AM21&gt;0.5),(AM21*2*база!$L$6*Таблица14[[#This Row],[коэф]]),
IF(OR(AND(G21="4/16",AM21&gt;0.5),AND(G21="3/16",AM21&gt;0.5)),(AM21*2*база!$L$5*Таблица14[[#This Row],[коэф]]),
IF(OR(AND(G21="4/4",AM21&gt;0.5),AND(G21="3/4",AM21&gt;2)),(AM21*2*база!$I$5*Таблица14[[#This Row],[коэф]]),
IF(AND(G21="5/8",AM21&gt;0.5),(AM21*2*база!$J$6*Таблица14[[#This Row],[коэф]]),
IF(AND(G21="4/8",AM21&gt;0.5),(AM21*2*база!$J$5*Таблица14[[#This Row],[коэф]]),
IF(OR(AND(G21="3/8",AM21&gt;0.5),AND(G21="2/8",AM21&gt;0.5)),(AM21*2*база!$J$4*Таблица14[[#This Row],[коэф]]),
(AM21*2*база!$L$5*Таблица14[[#This Row],[коэф]])))))))))))</f>
        <v>0</v>
      </c>
      <c r="AO21" s="121">
        <f>IFERROR(INDEX(база!$D$2:$D$120, MATCH(Таблица14[[#This Row],[Ф. И. О.]],база!$B$2:$B$100,0)),"")</f>
        <v>0</v>
      </c>
      <c r="AP21" s="57"/>
      <c r="AQ21" s="57"/>
      <c r="AR21" s="57"/>
      <c r="AS21" s="57"/>
    </row>
    <row r="22" spans="1:45" ht="13.5" customHeight="1">
      <c r="A22" s="206" t="str">
        <f t="shared" si="0"/>
        <v>декабрь</v>
      </c>
      <c r="B22" s="239">
        <v>2023</v>
      </c>
      <c r="C22" s="572"/>
      <c r="D22" s="204"/>
      <c r="E22" s="240"/>
      <c r="F22" s="698"/>
      <c r="G22" s="241"/>
      <c r="H22" s="214"/>
      <c r="I22" s="214"/>
      <c r="J22" s="214"/>
      <c r="K22" s="214"/>
      <c r="L22" s="214"/>
      <c r="M22" s="214"/>
      <c r="N22" s="214"/>
      <c r="O22" s="214"/>
      <c r="P22" s="214"/>
      <c r="Q22" s="214"/>
      <c r="R22" s="214"/>
      <c r="S22" s="214"/>
      <c r="T22" s="214"/>
      <c r="U22" s="214"/>
      <c r="V22" s="214"/>
      <c r="W22" s="214"/>
      <c r="X22" s="214"/>
      <c r="Y22" s="214"/>
      <c r="Z22" s="214"/>
      <c r="AA22" s="214"/>
      <c r="AB22" s="214"/>
      <c r="AC22" s="214"/>
      <c r="AD22" s="214"/>
      <c r="AE22" s="214"/>
      <c r="AF22" s="214"/>
      <c r="AG22" s="214"/>
      <c r="AH22" s="214"/>
      <c r="AI22" s="214"/>
      <c r="AJ22" s="214"/>
      <c r="AK22" s="214"/>
      <c r="AL22" s="214"/>
      <c r="AM22" s="120">
        <f t="shared" si="1"/>
        <v>0</v>
      </c>
      <c r="AN22" s="564">
        <f>IF(AO22&lt;=3,(IF(AND(G22="5/24",AM22&gt;0.5),(AM22*2*база!$M$6*Таблица14[[#This Row],[коэф]]),
IF(AND(G22="4/24",AM22&gt;0.5),(AM22*2*база!$M$5*Таблица14[[#This Row],[коэф]]),
IF(AND(G22="3/24",AM22&gt;0.5),(AM22*2*база!$M$4*Таблица14[[#This Row],[коэф]]),
IF(AND(G22="5/16",AM22&gt;0.5),(AM22*2*база!$L$6*Таблица14[[#This Row],[коэф]]),
IF(AND(G22="4/16",AM22&gt;0.5),(AM22*2*база!$L$5*Таблица14[[#This Row],[коэф]]),
IF(AND(G22="3/16",AM22&gt;0.5),(AM22*2*база!$L$4*Таблица14[[#This Row],[коэф]]),
IF(AND(G22="4/4",AM22&gt;0.5),(AM22*2*база!$I$5*Таблица14[[#This Row],[коэф]]),
IF(OR(AND(G22="3/4",AM22&gt;0.5),AND(G22="2/4",AM22&gt;0.5)),(AM22*2*база!$I$4*Таблица14[[#This Row],[коэф]]),
IF(AND(G22="5/8",AM22&gt;0.5),(AM22*2*база!$J$6*Таблица14[[#This Row],[коэф]]),
IF(AND(G22="4/8",AM22&gt;0.5),(AM22*2*база!$J$5*Таблица14[[#This Row],[коэф]]),
IF(OR(AND(G22="3/8",AM22&gt;0.5),AND(G22="2/8",AM22&gt;0.5)),(AM22*2*база!$J$4*Таблица14[[#This Row],[коэф]]),
(AM22*0.5*база!$L$4*Таблица14[[#This Row],[коэф]]))))))))))))),
(IF(AND(G22="5/24",AM22&gt;0.5),(AM22*2*база!$M$6*Таблица14[[#This Row],[коэф]]),
IF(OR(AND(G22="4/24",AM22&gt;0.5),AND(G22="3/24",AM22&gt;0.5)),(AM22*2*база!$M$5*Таблица14[[#This Row],[коэф]]),
IF(AND(G22="5/16",AM22&gt;0.5),(AM22*2*база!$L$6*Таблица14[[#This Row],[коэф]]),
IF(OR(AND(G22="4/16",AM22&gt;0.5),AND(G22="3/16",AM22&gt;0.5)),(AM22*2*база!$L$5*Таблица14[[#This Row],[коэф]]),
IF(OR(AND(G22="4/4",AM22&gt;0.5),AND(G22="3/4",AM22&gt;2)),(AM22*2*база!$I$5*Таблица14[[#This Row],[коэф]]),
IF(AND(G22="5/8",AM22&gt;0.5),(AM22*2*база!$J$6*Таблица14[[#This Row],[коэф]]),
IF(AND(G22="4/8",AM22&gt;0.5),(AM22*2*база!$J$5*Таблица14[[#This Row],[коэф]]),
IF(OR(AND(G22="3/8",AM22&gt;0.5),AND(G22="2/8",AM22&gt;0.5)),(AM22*2*база!$J$4*Таблица14[[#This Row],[коэф]]),
(AM22*2*база!$L$5*Таблица14[[#This Row],[коэф]])))))))))))</f>
        <v>0</v>
      </c>
      <c r="AO22" s="121">
        <f>IFERROR(INDEX(база!$D$2:$D$120, MATCH(Таблица14[[#This Row],[Ф. И. О.]],база!$B$2:$B$100,0)),"")</f>
        <v>0</v>
      </c>
      <c r="AP22" s="57"/>
      <c r="AQ22" s="57"/>
      <c r="AR22" s="57"/>
      <c r="AS22" s="57"/>
    </row>
    <row r="23" spans="1:45" ht="13.5" customHeight="1">
      <c r="A23" s="206" t="str">
        <f t="shared" si="0"/>
        <v>декабрь</v>
      </c>
      <c r="B23" s="203">
        <v>2023</v>
      </c>
      <c r="C23" s="572"/>
      <c r="D23" s="204"/>
      <c r="E23" s="242"/>
      <c r="F23" s="698"/>
      <c r="G23" s="205"/>
      <c r="H23" s="214"/>
      <c r="I23" s="214"/>
      <c r="J23" s="214"/>
      <c r="K23" s="214"/>
      <c r="L23" s="214"/>
      <c r="M23" s="214"/>
      <c r="N23" s="214"/>
      <c r="O23" s="214"/>
      <c r="P23" s="214"/>
      <c r="Q23" s="214"/>
      <c r="R23" s="214"/>
      <c r="S23" s="214"/>
      <c r="T23" s="214"/>
      <c r="U23" s="214"/>
      <c r="V23" s="214"/>
      <c r="W23" s="214"/>
      <c r="X23" s="214"/>
      <c r="Y23" s="214"/>
      <c r="Z23" s="214"/>
      <c r="AA23" s="214"/>
      <c r="AB23" s="214"/>
      <c r="AC23" s="214"/>
      <c r="AD23" s="214"/>
      <c r="AE23" s="214"/>
      <c r="AF23" s="214"/>
      <c r="AG23" s="214"/>
      <c r="AH23" s="214"/>
      <c r="AI23" s="214"/>
      <c r="AJ23" s="214"/>
      <c r="AK23" s="214"/>
      <c r="AL23" s="214"/>
      <c r="AM23" s="120">
        <f t="shared" si="1"/>
        <v>0</v>
      </c>
      <c r="AN23" s="564">
        <f>IF(AO23&lt;=3,(IF(AND(G23="5/24",AM23&gt;0.5),(AM23*2*база!$M$6*Таблица14[[#This Row],[коэф]]),
IF(AND(G23="4/24",AM23&gt;0.5),(AM23*2*база!$M$5*Таблица14[[#This Row],[коэф]]),
IF(AND(G23="3/24",AM23&gt;0.5),(AM23*2*база!$M$4*Таблица14[[#This Row],[коэф]]),
IF(AND(G23="5/16",AM23&gt;0.5),(AM23*2*база!$L$6*Таблица14[[#This Row],[коэф]]),
IF(AND(G23="4/16",AM23&gt;0.5),(AM23*2*база!$L$5*Таблица14[[#This Row],[коэф]]),
IF(AND(G23="3/16",AM23&gt;0.5),(AM23*2*база!$L$4*Таблица14[[#This Row],[коэф]]),
IF(AND(G23="4/4",AM23&gt;0.5),(AM23*2*база!$I$5*Таблица14[[#This Row],[коэф]]),
IF(OR(AND(G23="3/4",AM23&gt;0.5),AND(G23="2/4",AM23&gt;0.5)),(AM23*2*база!$I$4*Таблица14[[#This Row],[коэф]]),
IF(AND(G23="5/8",AM23&gt;0.5),(AM23*2*база!$J$6*Таблица14[[#This Row],[коэф]]),
IF(AND(G23="4/8",AM23&gt;0.5),(AM23*2*база!$J$5*Таблица14[[#This Row],[коэф]]),
IF(OR(AND(G23="3/8",AM23&gt;0.5),AND(G23="2/8",AM23&gt;0.5)),(AM23*2*база!$J$4*Таблица14[[#This Row],[коэф]]),
(AM23*0.5*база!$L$4*Таблица14[[#This Row],[коэф]]))))))))))))),
(IF(AND(G23="5/24",AM23&gt;0.5),(AM23*2*база!$M$6*Таблица14[[#This Row],[коэф]]),
IF(OR(AND(G23="4/24",AM23&gt;0.5),AND(G23="3/24",AM23&gt;0.5)),(AM23*2*база!$M$5*Таблица14[[#This Row],[коэф]]),
IF(AND(G23="5/16",AM23&gt;0.5),(AM23*2*база!$L$6*Таблица14[[#This Row],[коэф]]),
IF(OR(AND(G23="4/16",AM23&gt;0.5),AND(G23="3/16",AM23&gt;0.5)),(AM23*2*база!$L$5*Таблица14[[#This Row],[коэф]]),
IF(OR(AND(G23="4/4",AM23&gt;0.5),AND(G23="3/4",AM23&gt;2)),(AM23*2*база!$I$5*Таблица14[[#This Row],[коэф]]),
IF(AND(G23="5/8",AM23&gt;0.5),(AM23*2*база!$J$6*Таблица14[[#This Row],[коэф]]),
IF(AND(G23="4/8",AM23&gt;0.5),(AM23*2*база!$J$5*Таблица14[[#This Row],[коэф]]),
IF(OR(AND(G23="3/8",AM23&gt;0.5),AND(G23="2/8",AM23&gt;0.5)),(AM23*2*база!$J$4*Таблица14[[#This Row],[коэф]]),
(AM23*2*база!$L$5*Таблица14[[#This Row],[коэф]])))))))))))</f>
        <v>0</v>
      </c>
      <c r="AO23" s="121">
        <f>IFERROR(INDEX(база!$D$2:$D$120, MATCH(Таблица14[[#This Row],[Ф. И. О.]],база!$B$2:$B$100,0)),"")</f>
        <v>0</v>
      </c>
      <c r="AP23" s="57"/>
      <c r="AQ23" s="57"/>
      <c r="AR23" s="57"/>
      <c r="AS23" s="57"/>
    </row>
    <row r="24" spans="1:45" ht="13.5" customHeight="1">
      <c r="A24" s="206" t="str">
        <f t="shared" si="0"/>
        <v>декабрь</v>
      </c>
      <c r="B24" s="239">
        <v>2023</v>
      </c>
      <c r="C24" s="572"/>
      <c r="D24" s="213"/>
      <c r="E24" s="240"/>
      <c r="F24" s="698"/>
      <c r="G24" s="241"/>
      <c r="H24" s="214"/>
      <c r="I24" s="214"/>
      <c r="J24" s="214"/>
      <c r="K24" s="214"/>
      <c r="L24" s="214"/>
      <c r="M24" s="214"/>
      <c r="N24" s="214"/>
      <c r="O24" s="214"/>
      <c r="P24" s="214"/>
      <c r="Q24" s="214"/>
      <c r="R24" s="214"/>
      <c r="S24" s="214"/>
      <c r="T24" s="214"/>
      <c r="U24" s="214"/>
      <c r="V24" s="214"/>
      <c r="W24" s="214"/>
      <c r="X24" s="214"/>
      <c r="Y24" s="214"/>
      <c r="Z24" s="214"/>
      <c r="AA24" s="214"/>
      <c r="AB24" s="214"/>
      <c r="AC24" s="214"/>
      <c r="AD24" s="214"/>
      <c r="AE24" s="214"/>
      <c r="AF24" s="214"/>
      <c r="AG24" s="214"/>
      <c r="AH24" s="214"/>
      <c r="AI24" s="214"/>
      <c r="AJ24" s="214"/>
      <c r="AK24" s="214"/>
      <c r="AL24" s="214"/>
      <c r="AM24" s="120">
        <f t="shared" si="1"/>
        <v>0</v>
      </c>
      <c r="AN24" s="564">
        <f>IF(AO24&lt;=3,(IF(AND(G24="5/24",AM24&gt;0.5),(AM24*2*база!$M$6*Таблица14[[#This Row],[коэф]]),
IF(AND(G24="4/24",AM24&gt;0.5),(AM24*2*база!$M$5*Таблица14[[#This Row],[коэф]]),
IF(AND(G24="3/24",AM24&gt;0.5),(AM24*2*база!$M$4*Таблица14[[#This Row],[коэф]]),
IF(AND(G24="5/16",AM24&gt;0.5),(AM24*2*база!$L$6*Таблица14[[#This Row],[коэф]]),
IF(AND(G24="4/16",AM24&gt;0.5),(AM24*2*база!$L$5*Таблица14[[#This Row],[коэф]]),
IF(AND(G24="3/16",AM24&gt;0.5),(AM24*2*база!$L$4*Таблица14[[#This Row],[коэф]]),
IF(AND(G24="4/4",AM24&gt;0.5),(AM24*2*база!$I$5*Таблица14[[#This Row],[коэф]]),
IF(OR(AND(G24="3/4",AM24&gt;0.5),AND(G24="2/4",AM24&gt;0.5)),(AM24*2*база!$I$4*Таблица14[[#This Row],[коэф]]),
IF(AND(G24="5/8",AM24&gt;0.5),(AM24*2*база!$J$6*Таблица14[[#This Row],[коэф]]),
IF(AND(G24="4/8",AM24&gt;0.5),(AM24*2*база!$J$5*Таблица14[[#This Row],[коэф]]),
IF(OR(AND(G24="3/8",AM24&gt;0.5),AND(G24="2/8",AM24&gt;0.5)),(AM24*2*база!$J$4*Таблица14[[#This Row],[коэф]]),
(AM24*0.5*база!$L$4*Таблица14[[#This Row],[коэф]]))))))))))))),
(IF(AND(G24="5/24",AM24&gt;0.5),(AM24*2*база!$M$6*Таблица14[[#This Row],[коэф]]),
IF(OR(AND(G24="4/24",AM24&gt;0.5),AND(G24="3/24",AM24&gt;0.5)),(AM24*2*база!$M$5*Таблица14[[#This Row],[коэф]]),
IF(AND(G24="5/16",AM24&gt;0.5),(AM24*2*база!$L$6*Таблица14[[#This Row],[коэф]]),
IF(OR(AND(G24="4/16",AM24&gt;0.5),AND(G24="3/16",AM24&gt;0.5)),(AM24*2*база!$L$5*Таблица14[[#This Row],[коэф]]),
IF(OR(AND(G24="4/4",AM24&gt;0.5),AND(G24="3/4",AM24&gt;2)),(AM24*2*база!$I$5*Таблица14[[#This Row],[коэф]]),
IF(AND(G24="5/8",AM24&gt;0.5),(AM24*2*база!$J$6*Таблица14[[#This Row],[коэф]]),
IF(AND(G24="4/8",AM24&gt;0.5),(AM24*2*база!$J$5*Таблица14[[#This Row],[коэф]]),
IF(OR(AND(G24="3/8",AM24&gt;0.5),AND(G24="2/8",AM24&gt;0.5)),(AM24*2*база!$J$4*Таблица14[[#This Row],[коэф]]),
(AM24*2*база!$L$5*Таблица14[[#This Row],[коэф]])))))))))))</f>
        <v>0</v>
      </c>
      <c r="AO24" s="121">
        <f>IFERROR(INDEX(база!$D$2:$D$120, MATCH(Таблица14[[#This Row],[Ф. И. О.]],база!$B$2:$B$100,0)),"")</f>
        <v>0</v>
      </c>
      <c r="AP24" s="57"/>
      <c r="AQ24" s="57"/>
      <c r="AR24" s="57"/>
      <c r="AS24" s="57"/>
    </row>
    <row r="25" spans="1:45" ht="13.5" customHeight="1">
      <c r="A25" s="206" t="str">
        <f t="shared" si="0"/>
        <v>декабрь</v>
      </c>
      <c r="B25" s="203">
        <v>2023</v>
      </c>
      <c r="C25" s="572"/>
      <c r="D25" s="213"/>
      <c r="E25" s="242"/>
      <c r="F25" s="698"/>
      <c r="G25" s="205"/>
      <c r="H25" s="214"/>
      <c r="I25" s="214"/>
      <c r="J25" s="214"/>
      <c r="K25" s="214"/>
      <c r="L25" s="214"/>
      <c r="M25" s="214"/>
      <c r="N25" s="214"/>
      <c r="O25" s="214"/>
      <c r="P25" s="214"/>
      <c r="Q25" s="214"/>
      <c r="R25" s="214"/>
      <c r="S25" s="214"/>
      <c r="T25" s="214"/>
      <c r="U25" s="214"/>
      <c r="V25" s="214"/>
      <c r="W25" s="214"/>
      <c r="X25" s="214"/>
      <c r="Y25" s="214"/>
      <c r="Z25" s="214"/>
      <c r="AA25" s="214"/>
      <c r="AB25" s="214"/>
      <c r="AC25" s="214"/>
      <c r="AD25" s="214"/>
      <c r="AE25" s="214"/>
      <c r="AF25" s="214"/>
      <c r="AG25" s="214"/>
      <c r="AH25" s="214"/>
      <c r="AI25" s="214"/>
      <c r="AJ25" s="214"/>
      <c r="AK25" s="214"/>
      <c r="AL25" s="214"/>
      <c r="AM25" s="120">
        <f t="shared" si="1"/>
        <v>0</v>
      </c>
      <c r="AN25" s="564">
        <f>IF(AO25&lt;=3,(IF(AND(G25="5/24",AM25&gt;0.5),(AM25*2*база!$M$6*Таблица14[[#This Row],[коэф]]),
IF(AND(G25="4/24",AM25&gt;0.5),(AM25*2*база!$M$5*Таблица14[[#This Row],[коэф]]),
IF(AND(G25="3/24",AM25&gt;0.5),(AM25*2*база!$M$4*Таблица14[[#This Row],[коэф]]),
IF(AND(G25="5/16",AM25&gt;0.5),(AM25*2*база!$L$6*Таблица14[[#This Row],[коэф]]),
IF(AND(G25="4/16",AM25&gt;0.5),(AM25*2*база!$L$5*Таблица14[[#This Row],[коэф]]),
IF(AND(G25="3/16",AM25&gt;0.5),(AM25*2*база!$L$4*Таблица14[[#This Row],[коэф]]),
IF(AND(G25="4/4",AM25&gt;0.5),(AM25*2*база!$I$5*Таблица14[[#This Row],[коэф]]),
IF(OR(AND(G25="3/4",AM25&gt;0.5),AND(G25="2/4",AM25&gt;0.5)),(AM25*2*база!$I$4*Таблица14[[#This Row],[коэф]]),
IF(AND(G25="5/8",AM25&gt;0.5),(AM25*2*база!$J$6*Таблица14[[#This Row],[коэф]]),
IF(AND(G25="4/8",AM25&gt;0.5),(AM25*2*база!$J$5*Таблица14[[#This Row],[коэф]]),
IF(OR(AND(G25="3/8",AM25&gt;0.5),AND(G25="2/8",AM25&gt;0.5)),(AM25*2*база!$J$4*Таблица14[[#This Row],[коэф]]),
(AM25*0.5*база!$L$4*Таблица14[[#This Row],[коэф]]))))))))))))),
(IF(AND(G25="5/24",AM25&gt;0.5),(AM25*2*база!$M$6*Таблица14[[#This Row],[коэф]]),
IF(OR(AND(G25="4/24",AM25&gt;0.5),AND(G25="3/24",AM25&gt;0.5)),(AM25*2*база!$M$5*Таблица14[[#This Row],[коэф]]),
IF(AND(G25="5/16",AM25&gt;0.5),(AM25*2*база!$L$6*Таблица14[[#This Row],[коэф]]),
IF(OR(AND(G25="4/16",AM25&gt;0.5),AND(G25="3/16",AM25&gt;0.5)),(AM25*2*база!$L$5*Таблица14[[#This Row],[коэф]]),
IF(OR(AND(G25="4/4",AM25&gt;0.5),AND(G25="3/4",AM25&gt;2)),(AM25*2*база!$I$5*Таблица14[[#This Row],[коэф]]),
IF(AND(G25="5/8",AM25&gt;0.5),(AM25*2*база!$J$6*Таблица14[[#This Row],[коэф]]),
IF(AND(G25="4/8",AM25&gt;0.5),(AM25*2*база!$J$5*Таблица14[[#This Row],[коэф]]),
IF(OR(AND(G25="3/8",AM25&gt;0.5),AND(G25="2/8",AM25&gt;0.5)),(AM25*2*база!$J$4*Таблица14[[#This Row],[коэф]]),
(AM25*2*база!$L$5*Таблица14[[#This Row],[коэф]])))))))))))</f>
        <v>0</v>
      </c>
      <c r="AO25" s="121">
        <f>IFERROR(INDEX(база!$D$2:$D$120, MATCH(Таблица14[[#This Row],[Ф. И. О.]],база!$B$2:$B$100,0)),"")</f>
        <v>0</v>
      </c>
      <c r="AP25" s="57"/>
      <c r="AQ25" s="57"/>
      <c r="AR25" s="57"/>
      <c r="AS25" s="57"/>
    </row>
    <row r="26" spans="1:45" ht="13.5" customHeight="1">
      <c r="A26" s="206" t="str">
        <f t="shared" si="0"/>
        <v>декабрь</v>
      </c>
      <c r="B26" s="239">
        <v>2023</v>
      </c>
      <c r="C26" s="572"/>
      <c r="D26" s="213"/>
      <c r="E26" s="240"/>
      <c r="F26" s="698"/>
      <c r="G26" s="241"/>
      <c r="H26" s="214"/>
      <c r="I26" s="214"/>
      <c r="J26" s="214"/>
      <c r="K26" s="214"/>
      <c r="L26" s="214"/>
      <c r="M26" s="214"/>
      <c r="N26" s="214"/>
      <c r="O26" s="214"/>
      <c r="P26" s="214"/>
      <c r="Q26" s="214"/>
      <c r="R26" s="214"/>
      <c r="S26" s="214"/>
      <c r="T26" s="214"/>
      <c r="U26" s="214"/>
      <c r="V26" s="214"/>
      <c r="W26" s="214"/>
      <c r="X26" s="214"/>
      <c r="Y26" s="214"/>
      <c r="Z26" s="214"/>
      <c r="AA26" s="214"/>
      <c r="AB26" s="214"/>
      <c r="AC26" s="214"/>
      <c r="AD26" s="214"/>
      <c r="AE26" s="214"/>
      <c r="AF26" s="214"/>
      <c r="AG26" s="214"/>
      <c r="AH26" s="214"/>
      <c r="AI26" s="214"/>
      <c r="AJ26" s="214"/>
      <c r="AK26" s="214"/>
      <c r="AL26" s="214"/>
      <c r="AM26" s="120">
        <f t="shared" si="1"/>
        <v>0</v>
      </c>
      <c r="AN26" s="564">
        <f>IF(AO26&lt;=3,(IF(AND(G26="5/24",AM26&gt;0.5),(AM26*2*база!$M$6*Таблица14[[#This Row],[коэф]]),
IF(AND(G26="4/24",AM26&gt;0.5),(AM26*2*база!$M$5*Таблица14[[#This Row],[коэф]]),
IF(AND(G26="3/24",AM26&gt;0.5),(AM26*2*база!$M$4*Таблица14[[#This Row],[коэф]]),
IF(AND(G26="5/16",AM26&gt;0.5),(AM26*2*база!$L$6*Таблица14[[#This Row],[коэф]]),
IF(AND(G26="4/16",AM26&gt;0.5),(AM26*2*база!$L$5*Таблица14[[#This Row],[коэф]]),
IF(AND(G26="3/16",AM26&gt;0.5),(AM26*2*база!$L$4*Таблица14[[#This Row],[коэф]]),
IF(AND(G26="4/4",AM26&gt;0.5),(AM26*2*база!$I$5*Таблица14[[#This Row],[коэф]]),
IF(OR(AND(G26="3/4",AM26&gt;0.5),AND(G26="2/4",AM26&gt;0.5)),(AM26*2*база!$I$4*Таблица14[[#This Row],[коэф]]),
IF(AND(G26="5/8",AM26&gt;0.5),(AM26*2*база!$J$6*Таблица14[[#This Row],[коэф]]),
IF(AND(G26="4/8",AM26&gt;0.5),(AM26*2*база!$J$5*Таблица14[[#This Row],[коэф]]),
IF(OR(AND(G26="3/8",AM26&gt;0.5),AND(G26="2/8",AM26&gt;0.5)),(AM26*2*база!$J$4*Таблица14[[#This Row],[коэф]]),
(AM26*0.5*база!$L$4*Таблица14[[#This Row],[коэф]]))))))))))))),
(IF(AND(G26="5/24",AM26&gt;0.5),(AM26*2*база!$M$6*Таблица14[[#This Row],[коэф]]),
IF(OR(AND(G26="4/24",AM26&gt;0.5),AND(G26="3/24",AM26&gt;0.5)),(AM26*2*база!$M$5*Таблица14[[#This Row],[коэф]]),
IF(AND(G26="5/16",AM26&gt;0.5),(AM26*2*база!$L$6*Таблица14[[#This Row],[коэф]]),
IF(OR(AND(G26="4/16",AM26&gt;0.5),AND(G26="3/16",AM26&gt;0.5)),(AM26*2*база!$L$5*Таблица14[[#This Row],[коэф]]),
IF(OR(AND(G26="4/4",AM26&gt;0.5),AND(G26="3/4",AM26&gt;2)),(AM26*2*база!$I$5*Таблица14[[#This Row],[коэф]]),
IF(AND(G26="5/8",AM26&gt;0.5),(AM26*2*база!$J$6*Таблица14[[#This Row],[коэф]]),
IF(AND(G26="4/8",AM26&gt;0.5),(AM26*2*база!$J$5*Таблица14[[#This Row],[коэф]]),
IF(OR(AND(G26="3/8",AM26&gt;0.5),AND(G26="2/8",AM26&gt;0.5)),(AM26*2*база!$J$4*Таблица14[[#This Row],[коэф]]),
(AM26*2*база!$L$5*Таблица14[[#This Row],[коэф]])))))))))))</f>
        <v>0</v>
      </c>
      <c r="AO26" s="121">
        <f>IFERROR(INDEX(база!$D$2:$D$120, MATCH(Таблица14[[#This Row],[Ф. И. О.]],база!$B$2:$B$100,0)),"")</f>
        <v>0</v>
      </c>
      <c r="AP26" s="57"/>
      <c r="AQ26" s="57"/>
      <c r="AR26" s="57"/>
      <c r="AS26" s="57"/>
    </row>
    <row r="27" spans="1:45" ht="13.5" customHeight="1">
      <c r="A27" s="206" t="str">
        <f t="shared" si="0"/>
        <v>декабрь</v>
      </c>
      <c r="B27" s="203">
        <v>2023</v>
      </c>
      <c r="C27" s="572"/>
      <c r="D27" s="204"/>
      <c r="E27" s="242"/>
      <c r="F27" s="698"/>
      <c r="G27" s="205"/>
      <c r="H27" s="214"/>
      <c r="I27" s="214"/>
      <c r="J27" s="214"/>
      <c r="K27" s="214"/>
      <c r="L27" s="214"/>
      <c r="M27" s="214"/>
      <c r="N27" s="214"/>
      <c r="O27" s="214"/>
      <c r="P27" s="214"/>
      <c r="Q27" s="214"/>
      <c r="R27" s="214"/>
      <c r="S27" s="214"/>
      <c r="T27" s="214"/>
      <c r="U27" s="214"/>
      <c r="V27" s="214"/>
      <c r="W27" s="214"/>
      <c r="X27" s="214"/>
      <c r="Y27" s="214"/>
      <c r="Z27" s="214"/>
      <c r="AA27" s="214"/>
      <c r="AB27" s="214"/>
      <c r="AC27" s="214"/>
      <c r="AD27" s="214"/>
      <c r="AE27" s="214"/>
      <c r="AF27" s="214"/>
      <c r="AG27" s="214"/>
      <c r="AH27" s="214"/>
      <c r="AI27" s="214"/>
      <c r="AJ27" s="214"/>
      <c r="AK27" s="214"/>
      <c r="AL27" s="214"/>
      <c r="AM27" s="120">
        <f t="shared" si="1"/>
        <v>0</v>
      </c>
      <c r="AN27" s="564">
        <f>IF(AO27&lt;=3,(IF(AND(G27="5/24",AM27&gt;0.5),(AM27*2*база!$M$6*Таблица14[[#This Row],[коэф]]),
IF(AND(G27="4/24",AM27&gt;0.5),(AM27*2*база!$M$5*Таблица14[[#This Row],[коэф]]),
IF(AND(G27="3/24",AM27&gt;0.5),(AM27*2*база!$M$4*Таблица14[[#This Row],[коэф]]),
IF(AND(G27="5/16",AM27&gt;0.5),(AM27*2*база!$L$6*Таблица14[[#This Row],[коэф]]),
IF(AND(G27="4/16",AM27&gt;0.5),(AM27*2*база!$L$5*Таблица14[[#This Row],[коэф]]),
IF(AND(G27="3/16",AM27&gt;0.5),(AM27*2*база!$L$4*Таблица14[[#This Row],[коэф]]),
IF(AND(G27="4/4",AM27&gt;0.5),(AM27*2*база!$I$5*Таблица14[[#This Row],[коэф]]),
IF(OR(AND(G27="3/4",AM27&gt;0.5),AND(G27="2/4",AM27&gt;0.5)),(AM27*2*база!$I$4*Таблица14[[#This Row],[коэф]]),
IF(AND(G27="5/8",AM27&gt;0.5),(AM27*2*база!$J$6*Таблица14[[#This Row],[коэф]]),
IF(AND(G27="4/8",AM27&gt;0.5),(AM27*2*база!$J$5*Таблица14[[#This Row],[коэф]]),
IF(OR(AND(G27="3/8",AM27&gt;0.5),AND(G27="2/8",AM27&gt;0.5)),(AM27*2*база!$J$4*Таблица14[[#This Row],[коэф]]),
(AM27*0.5*база!$L$4*Таблица14[[#This Row],[коэф]]))))))))))))),
(IF(AND(G27="5/24",AM27&gt;0.5),(AM27*2*база!$M$6*Таблица14[[#This Row],[коэф]]),
IF(OR(AND(G27="4/24",AM27&gt;0.5),AND(G27="3/24",AM27&gt;0.5)),(AM27*2*база!$M$5*Таблица14[[#This Row],[коэф]]),
IF(AND(G27="5/16",AM27&gt;0.5),(AM27*2*база!$L$6*Таблица14[[#This Row],[коэф]]),
IF(OR(AND(G27="4/16",AM27&gt;0.5),AND(G27="3/16",AM27&gt;0.5)),(AM27*2*база!$L$5*Таблица14[[#This Row],[коэф]]),
IF(OR(AND(G27="4/4",AM27&gt;0.5),AND(G27="3/4",AM27&gt;2)),(AM27*2*база!$I$5*Таблица14[[#This Row],[коэф]]),
IF(AND(G27="5/8",AM27&gt;0.5),(AM27*2*база!$J$6*Таблица14[[#This Row],[коэф]]),
IF(AND(G27="4/8",AM27&gt;0.5),(AM27*2*база!$J$5*Таблица14[[#This Row],[коэф]]),
IF(OR(AND(G27="3/8",AM27&gt;0.5),AND(G27="2/8",AM27&gt;0.5)),(AM27*2*база!$J$4*Таблица14[[#This Row],[коэф]]),
(AM27*2*база!$L$5*Таблица14[[#This Row],[коэф]])))))))))))</f>
        <v>0</v>
      </c>
      <c r="AO27" s="121">
        <f>IFERROR(INDEX(база!$D$2:$D$120, MATCH(Таблица14[[#This Row],[Ф. И. О.]],база!$B$2:$B$100,0)),"")</f>
        <v>0</v>
      </c>
      <c r="AP27" s="57"/>
      <c r="AQ27" s="57"/>
      <c r="AR27" s="57"/>
      <c r="AS27" s="57"/>
    </row>
    <row r="28" spans="1:45" ht="13.5" customHeight="1">
      <c r="A28" s="206" t="str">
        <f t="shared" si="0"/>
        <v>декабрь</v>
      </c>
      <c r="B28" s="239">
        <v>2023</v>
      </c>
      <c r="C28" s="572"/>
      <c r="D28" s="204"/>
      <c r="E28" s="240"/>
      <c r="F28" s="698"/>
      <c r="G28" s="241"/>
      <c r="H28" s="214"/>
      <c r="I28" s="214"/>
      <c r="J28" s="214"/>
      <c r="K28" s="214"/>
      <c r="L28" s="214"/>
      <c r="M28" s="214"/>
      <c r="N28" s="214"/>
      <c r="O28" s="214"/>
      <c r="P28" s="214"/>
      <c r="Q28" s="214"/>
      <c r="R28" s="214"/>
      <c r="S28" s="214"/>
      <c r="T28" s="214"/>
      <c r="U28" s="214"/>
      <c r="V28" s="214"/>
      <c r="W28" s="214"/>
      <c r="X28" s="214"/>
      <c r="Y28" s="214"/>
      <c r="Z28" s="214"/>
      <c r="AA28" s="214"/>
      <c r="AB28" s="214"/>
      <c r="AC28" s="214"/>
      <c r="AD28" s="214"/>
      <c r="AE28" s="214"/>
      <c r="AF28" s="214"/>
      <c r="AG28" s="214"/>
      <c r="AH28" s="214"/>
      <c r="AI28" s="214"/>
      <c r="AJ28" s="214"/>
      <c r="AK28" s="214"/>
      <c r="AL28" s="214"/>
      <c r="AM28" s="120">
        <f t="shared" si="1"/>
        <v>0</v>
      </c>
      <c r="AN28" s="564">
        <f>IF(AO28&lt;=3,(IF(AND(G28="5/24",AM28&gt;0.5),(AM28*2*база!$M$6*Таблица14[[#This Row],[коэф]]),
IF(AND(G28="4/24",AM28&gt;0.5),(AM28*2*база!$M$5*Таблица14[[#This Row],[коэф]]),
IF(AND(G28="3/24",AM28&gt;0.5),(AM28*2*база!$M$4*Таблица14[[#This Row],[коэф]]),
IF(AND(G28="5/16",AM28&gt;0.5),(AM28*2*база!$L$6*Таблица14[[#This Row],[коэф]]),
IF(AND(G28="4/16",AM28&gt;0.5),(AM28*2*база!$L$5*Таблица14[[#This Row],[коэф]]),
IF(AND(G28="3/16",AM28&gt;0.5),(AM28*2*база!$L$4*Таблица14[[#This Row],[коэф]]),
IF(AND(G28="4/4",AM28&gt;0.5),(AM28*2*база!$I$5*Таблица14[[#This Row],[коэф]]),
IF(OR(AND(G28="3/4",AM28&gt;0.5),AND(G28="2/4",AM28&gt;0.5)),(AM28*2*база!$I$4*Таблица14[[#This Row],[коэф]]),
IF(AND(G28="5/8",AM28&gt;0.5),(AM28*2*база!$J$6*Таблица14[[#This Row],[коэф]]),
IF(AND(G28="4/8",AM28&gt;0.5),(AM28*2*база!$J$5*Таблица14[[#This Row],[коэф]]),
IF(OR(AND(G28="3/8",AM28&gt;0.5),AND(G28="2/8",AM28&gt;0.5)),(AM28*2*база!$J$4*Таблица14[[#This Row],[коэф]]),
(AM28*0.5*база!$L$4*Таблица14[[#This Row],[коэф]]))))))))))))),
(IF(AND(G28="5/24",AM28&gt;0.5),(AM28*2*база!$M$6*Таблица14[[#This Row],[коэф]]),
IF(OR(AND(G28="4/24",AM28&gt;0.5),AND(G28="3/24",AM28&gt;0.5)),(AM28*2*база!$M$5*Таблица14[[#This Row],[коэф]]),
IF(AND(G28="5/16",AM28&gt;0.5),(AM28*2*база!$L$6*Таблица14[[#This Row],[коэф]]),
IF(OR(AND(G28="4/16",AM28&gt;0.5),AND(G28="3/16",AM28&gt;0.5)),(AM28*2*база!$L$5*Таблица14[[#This Row],[коэф]]),
IF(OR(AND(G28="4/4",AM28&gt;0.5),AND(G28="3/4",AM28&gt;2)),(AM28*2*база!$I$5*Таблица14[[#This Row],[коэф]]),
IF(AND(G28="5/8",AM28&gt;0.5),(AM28*2*база!$J$6*Таблица14[[#This Row],[коэф]]),
IF(AND(G28="4/8",AM28&gt;0.5),(AM28*2*база!$J$5*Таблица14[[#This Row],[коэф]]),
IF(OR(AND(G28="3/8",AM28&gt;0.5),AND(G28="2/8",AM28&gt;0.5)),(AM28*2*база!$J$4*Таблица14[[#This Row],[коэф]]),
(AM28*2*база!$L$5*Таблица14[[#This Row],[коэф]])))))))))))</f>
        <v>0</v>
      </c>
      <c r="AO28" s="121">
        <f>IFERROR(INDEX(база!$D$2:$D$120, MATCH(Таблица14[[#This Row],[Ф. И. О.]],база!$B$2:$B$100,0)),"")</f>
        <v>0</v>
      </c>
      <c r="AP28" s="57"/>
      <c r="AQ28" s="57"/>
      <c r="AR28" s="57"/>
      <c r="AS28" s="57"/>
    </row>
    <row r="29" spans="1:45" ht="13.5" customHeight="1">
      <c r="A29" s="206" t="str">
        <f t="shared" si="0"/>
        <v>декабрь</v>
      </c>
      <c r="B29" s="203">
        <v>2023</v>
      </c>
      <c r="C29" s="572"/>
      <c r="D29" s="213"/>
      <c r="E29" s="242"/>
      <c r="F29" s="698"/>
      <c r="G29" s="205"/>
      <c r="H29" s="214"/>
      <c r="I29" s="214"/>
      <c r="J29" s="214"/>
      <c r="K29" s="214"/>
      <c r="L29" s="214"/>
      <c r="M29" s="214"/>
      <c r="N29" s="214"/>
      <c r="O29" s="214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14"/>
      <c r="AH29" s="214"/>
      <c r="AI29" s="214"/>
      <c r="AJ29" s="214"/>
      <c r="AK29" s="214"/>
      <c r="AL29" s="214"/>
      <c r="AM29" s="120">
        <f t="shared" si="1"/>
        <v>0</v>
      </c>
      <c r="AN29" s="564">
        <f>IF(AO29&lt;=3,(IF(AND(G29="5/24",AM29&gt;0.5),(AM29*2*база!$M$6*Таблица14[[#This Row],[коэф]]),
IF(AND(G29="4/24",AM29&gt;0.5),(AM29*2*база!$M$5*Таблица14[[#This Row],[коэф]]),
IF(AND(G29="3/24",AM29&gt;0.5),(AM29*2*база!$M$4*Таблица14[[#This Row],[коэф]]),
IF(AND(G29="5/16",AM29&gt;0.5),(AM29*2*база!$L$6*Таблица14[[#This Row],[коэф]]),
IF(AND(G29="4/16",AM29&gt;0.5),(AM29*2*база!$L$5*Таблица14[[#This Row],[коэф]]),
IF(AND(G29="3/16",AM29&gt;0.5),(AM29*2*база!$L$4*Таблица14[[#This Row],[коэф]]),
IF(AND(G29="4/4",AM29&gt;0.5),(AM29*2*база!$I$5*Таблица14[[#This Row],[коэф]]),
IF(OR(AND(G29="3/4",AM29&gt;0.5),AND(G29="2/4",AM29&gt;0.5)),(AM29*2*база!$I$4*Таблица14[[#This Row],[коэф]]),
IF(AND(G29="5/8",AM29&gt;0.5),(AM29*2*база!$J$6*Таблица14[[#This Row],[коэф]]),
IF(AND(G29="4/8",AM29&gt;0.5),(AM29*2*база!$J$5*Таблица14[[#This Row],[коэф]]),
IF(OR(AND(G29="3/8",AM29&gt;0.5),AND(G29="2/8",AM29&gt;0.5)),(AM29*2*база!$J$4*Таблица14[[#This Row],[коэф]]),
(AM29*0.5*база!$L$4*Таблица14[[#This Row],[коэф]]))))))))))))),
(IF(AND(G29="5/24",AM29&gt;0.5),(AM29*2*база!$M$6*Таблица14[[#This Row],[коэф]]),
IF(OR(AND(G29="4/24",AM29&gt;0.5),AND(G29="3/24",AM29&gt;0.5)),(AM29*2*база!$M$5*Таблица14[[#This Row],[коэф]]),
IF(AND(G29="5/16",AM29&gt;0.5),(AM29*2*база!$L$6*Таблица14[[#This Row],[коэф]]),
IF(OR(AND(G29="4/16",AM29&gt;0.5),AND(G29="3/16",AM29&gt;0.5)),(AM29*2*база!$L$5*Таблица14[[#This Row],[коэф]]),
IF(OR(AND(G29="4/4",AM29&gt;0.5),AND(G29="3/4",AM29&gt;2)),(AM29*2*база!$I$5*Таблица14[[#This Row],[коэф]]),
IF(AND(G29="5/8",AM29&gt;0.5),(AM29*2*база!$J$6*Таблица14[[#This Row],[коэф]]),
IF(AND(G29="4/8",AM29&gt;0.5),(AM29*2*база!$J$5*Таблица14[[#This Row],[коэф]]),
IF(OR(AND(G29="3/8",AM29&gt;0.5),AND(G29="2/8",AM29&gt;0.5)),(AM29*2*база!$J$4*Таблица14[[#This Row],[коэф]]),
(AM29*2*база!$L$5*Таблица14[[#This Row],[коэф]])))))))))))</f>
        <v>0</v>
      </c>
      <c r="AO29" s="121">
        <f>IFERROR(INDEX(база!$D$2:$D$120, MATCH(Таблица14[[#This Row],[Ф. И. О.]],база!$B$2:$B$100,0)),"")</f>
        <v>0</v>
      </c>
      <c r="AP29" s="57"/>
      <c r="AQ29" s="57"/>
      <c r="AR29" s="57"/>
      <c r="AS29" s="57"/>
    </row>
    <row r="30" spans="1:45" s="46" customFormat="1" ht="13.5" customHeight="1">
      <c r="A30" s="206" t="str">
        <f t="shared" si="0"/>
        <v>декабрь</v>
      </c>
      <c r="B30" s="239">
        <v>2023</v>
      </c>
      <c r="C30" s="572"/>
      <c r="D30" s="213"/>
      <c r="E30" s="240"/>
      <c r="F30" s="698"/>
      <c r="G30" s="241"/>
      <c r="H30" s="214"/>
      <c r="I30" s="214"/>
      <c r="J30" s="214"/>
      <c r="K30" s="214"/>
      <c r="L30" s="214"/>
      <c r="M30" s="214"/>
      <c r="N30" s="214"/>
      <c r="O30" s="214"/>
      <c r="P30" s="214"/>
      <c r="Q30" s="214"/>
      <c r="R30" s="214"/>
      <c r="S30" s="214"/>
      <c r="T30" s="214"/>
      <c r="U30" s="214"/>
      <c r="V30" s="214"/>
      <c r="W30" s="214"/>
      <c r="X30" s="214"/>
      <c r="Y30" s="214"/>
      <c r="Z30" s="214"/>
      <c r="AA30" s="214"/>
      <c r="AB30" s="214"/>
      <c r="AC30" s="214"/>
      <c r="AD30" s="214"/>
      <c r="AE30" s="214"/>
      <c r="AF30" s="214"/>
      <c r="AG30" s="214"/>
      <c r="AH30" s="214"/>
      <c r="AI30" s="214"/>
      <c r="AJ30" s="214"/>
      <c r="AK30" s="214"/>
      <c r="AL30" s="214"/>
      <c r="AM30" s="120">
        <f t="shared" si="1"/>
        <v>0</v>
      </c>
      <c r="AN30" s="564">
        <f>IF(AO30&lt;=3,(IF(AND(G30="5/24",AM30&gt;0.5),(AM30*2*база!$M$6*Таблица14[[#This Row],[коэф]]),
IF(AND(G30="4/24",AM30&gt;0.5),(AM30*2*база!$M$5*Таблица14[[#This Row],[коэф]]),
IF(AND(G30="3/24",AM30&gt;0.5),(AM30*2*база!$M$4*Таблица14[[#This Row],[коэф]]),
IF(AND(G30="5/16",AM30&gt;0.5),(AM30*2*база!$L$6*Таблица14[[#This Row],[коэф]]),
IF(AND(G30="4/16",AM30&gt;0.5),(AM30*2*база!$L$5*Таблица14[[#This Row],[коэф]]),
IF(AND(G30="3/16",AM30&gt;0.5),(AM30*2*база!$L$4*Таблица14[[#This Row],[коэф]]),
IF(AND(G30="4/4",AM30&gt;0.5),(AM30*2*база!$I$5*Таблица14[[#This Row],[коэф]]),
IF(OR(AND(G30="3/4",AM30&gt;0.5),AND(G30="2/4",AM30&gt;0.5)),(AM30*2*база!$I$4*Таблица14[[#This Row],[коэф]]),
IF(AND(G30="5/8",AM30&gt;0.5),(AM30*2*база!$J$6*Таблица14[[#This Row],[коэф]]),
IF(AND(G30="4/8",AM30&gt;0.5),(AM30*2*база!$J$5*Таблица14[[#This Row],[коэф]]),
IF(OR(AND(G30="3/8",AM30&gt;0.5),AND(G30="2/8",AM30&gt;0.5)),(AM30*2*база!$J$4*Таблица14[[#This Row],[коэф]]),
(AM30*0.5*база!$L$4*Таблица14[[#This Row],[коэф]]))))))))))))),
(IF(AND(G30="5/24",AM30&gt;0.5),(AM30*2*база!$M$6*Таблица14[[#This Row],[коэф]]),
IF(OR(AND(G30="4/24",AM30&gt;0.5),AND(G30="3/24",AM30&gt;0.5)),(AM30*2*база!$M$5*Таблица14[[#This Row],[коэф]]),
IF(AND(G30="5/16",AM30&gt;0.5),(AM30*2*база!$L$6*Таблица14[[#This Row],[коэф]]),
IF(OR(AND(G30="4/16",AM30&gt;0.5),AND(G30="3/16",AM30&gt;0.5)),(AM30*2*база!$L$5*Таблица14[[#This Row],[коэф]]),
IF(OR(AND(G30="4/4",AM30&gt;0.5),AND(G30="3/4",AM30&gt;2)),(AM30*2*база!$I$5*Таблица14[[#This Row],[коэф]]),
IF(AND(G30="5/8",AM30&gt;0.5),(AM30*2*база!$J$6*Таблица14[[#This Row],[коэф]]),
IF(AND(G30="4/8",AM30&gt;0.5),(AM30*2*база!$J$5*Таблица14[[#This Row],[коэф]]),
IF(OR(AND(G30="3/8",AM30&gt;0.5),AND(G30="2/8",AM30&gt;0.5)),(AM30*2*база!$J$4*Таблица14[[#This Row],[коэф]]),
(AM30*2*база!$L$5*Таблица14[[#This Row],[коэф]])))))))))))</f>
        <v>0</v>
      </c>
      <c r="AO30" s="121">
        <f>IFERROR(INDEX(база!$D$2:$D$120, MATCH(Таблица14[[#This Row],[Ф. И. О.]],база!$B$2:$B$100,0)),"")</f>
        <v>0</v>
      </c>
      <c r="AP30" s="57"/>
      <c r="AQ30" s="57"/>
      <c r="AR30" s="57"/>
      <c r="AS30" s="57"/>
    </row>
    <row r="31" spans="1:45" s="46" customFormat="1" ht="13.5" customHeight="1">
      <c r="A31" s="206" t="str">
        <f t="shared" si="0"/>
        <v>декабрь</v>
      </c>
      <c r="B31" s="203">
        <v>2023</v>
      </c>
      <c r="C31" s="572"/>
      <c r="D31" s="213"/>
      <c r="E31" s="242"/>
      <c r="F31" s="698"/>
      <c r="G31" s="205"/>
      <c r="H31" s="214"/>
      <c r="I31" s="214"/>
      <c r="J31" s="214"/>
      <c r="K31" s="214"/>
      <c r="L31" s="214"/>
      <c r="M31" s="214"/>
      <c r="N31" s="214"/>
      <c r="O31" s="214"/>
      <c r="P31" s="214"/>
      <c r="Q31" s="214"/>
      <c r="R31" s="214"/>
      <c r="S31" s="214"/>
      <c r="T31" s="214"/>
      <c r="U31" s="214"/>
      <c r="V31" s="214"/>
      <c r="W31" s="214"/>
      <c r="X31" s="214"/>
      <c r="Y31" s="214"/>
      <c r="Z31" s="214"/>
      <c r="AA31" s="214"/>
      <c r="AB31" s="214"/>
      <c r="AC31" s="214"/>
      <c r="AD31" s="214"/>
      <c r="AE31" s="214"/>
      <c r="AF31" s="214"/>
      <c r="AG31" s="214"/>
      <c r="AH31" s="214"/>
      <c r="AI31" s="214"/>
      <c r="AJ31" s="214"/>
      <c r="AK31" s="214"/>
      <c r="AL31" s="214"/>
      <c r="AM31" s="120">
        <f t="shared" si="1"/>
        <v>0</v>
      </c>
      <c r="AN31" s="564">
        <f>IF(AO31&lt;=3,(IF(AND(G31="5/24",AM31&gt;0.5),(AM31*2*база!$M$6*Таблица14[[#This Row],[коэф]]),
IF(AND(G31="4/24",AM31&gt;0.5),(AM31*2*база!$M$5*Таблица14[[#This Row],[коэф]]),
IF(AND(G31="3/24",AM31&gt;0.5),(AM31*2*база!$M$4*Таблица14[[#This Row],[коэф]]),
IF(AND(G31="5/16",AM31&gt;0.5),(AM31*2*база!$L$6*Таблица14[[#This Row],[коэф]]),
IF(AND(G31="4/16",AM31&gt;0.5),(AM31*2*база!$L$5*Таблица14[[#This Row],[коэф]]),
IF(AND(G31="3/16",AM31&gt;0.5),(AM31*2*база!$L$4*Таблица14[[#This Row],[коэф]]),
IF(AND(G31="4/4",AM31&gt;0.5),(AM31*2*база!$I$5*Таблица14[[#This Row],[коэф]]),
IF(OR(AND(G31="3/4",AM31&gt;0.5),AND(G31="2/4",AM31&gt;0.5)),(AM31*2*база!$I$4*Таблица14[[#This Row],[коэф]]),
IF(AND(G31="5/8",AM31&gt;0.5),(AM31*2*база!$J$6*Таблица14[[#This Row],[коэф]]),
IF(AND(G31="4/8",AM31&gt;0.5),(AM31*2*база!$J$5*Таблица14[[#This Row],[коэф]]),
IF(OR(AND(G31="3/8",AM31&gt;0.5),AND(G31="2/8",AM31&gt;0.5)),(AM31*2*база!$J$4*Таблица14[[#This Row],[коэф]]),
(AM31*0.5*база!$L$4*Таблица14[[#This Row],[коэф]]))))))))))))),
(IF(AND(G31="5/24",AM31&gt;0.5),(AM31*2*база!$M$6*Таблица14[[#This Row],[коэф]]),
IF(OR(AND(G31="4/24",AM31&gt;0.5),AND(G31="3/24",AM31&gt;0.5)),(AM31*2*база!$M$5*Таблица14[[#This Row],[коэф]]),
IF(AND(G31="5/16",AM31&gt;0.5),(AM31*2*база!$L$6*Таблица14[[#This Row],[коэф]]),
IF(OR(AND(G31="4/16",AM31&gt;0.5),AND(G31="3/16",AM31&gt;0.5)),(AM31*2*база!$L$5*Таблица14[[#This Row],[коэф]]),
IF(OR(AND(G31="4/4",AM31&gt;0.5),AND(G31="3/4",AM31&gt;2)),(AM31*2*база!$I$5*Таблица14[[#This Row],[коэф]]),
IF(AND(G31="5/8",AM31&gt;0.5),(AM31*2*база!$J$6*Таблица14[[#This Row],[коэф]]),
IF(AND(G31="4/8",AM31&gt;0.5),(AM31*2*база!$J$5*Таблица14[[#This Row],[коэф]]),
IF(OR(AND(G31="3/8",AM31&gt;0.5),AND(G31="2/8",AM31&gt;0.5)),(AM31*2*база!$J$4*Таблица14[[#This Row],[коэф]]),
(AM31*2*база!$L$5*Таблица14[[#This Row],[коэф]])))))))))))</f>
        <v>0</v>
      </c>
      <c r="AO31" s="121">
        <f>IFERROR(INDEX(база!$D$2:$D$120, MATCH(Таблица14[[#This Row],[Ф. И. О.]],база!$B$2:$B$100,0)),"")</f>
        <v>0</v>
      </c>
      <c r="AP31" s="57"/>
      <c r="AQ31" s="57"/>
      <c r="AR31" s="57"/>
      <c r="AS31" s="57"/>
    </row>
    <row r="32" spans="1:45" s="46" customFormat="1" ht="13.5" customHeight="1">
      <c r="A32" s="206" t="str">
        <f t="shared" si="0"/>
        <v>декабрь</v>
      </c>
      <c r="B32" s="239">
        <v>2023</v>
      </c>
      <c r="C32" s="572"/>
      <c r="D32" s="213"/>
      <c r="E32" s="240"/>
      <c r="F32" s="698"/>
      <c r="G32" s="241"/>
      <c r="H32" s="214"/>
      <c r="I32" s="214"/>
      <c r="J32" s="214"/>
      <c r="K32" s="214"/>
      <c r="L32" s="214"/>
      <c r="M32" s="214"/>
      <c r="N32" s="214"/>
      <c r="O32" s="214"/>
      <c r="P32" s="214"/>
      <c r="Q32" s="214"/>
      <c r="R32" s="214"/>
      <c r="S32" s="214"/>
      <c r="T32" s="214"/>
      <c r="U32" s="214"/>
      <c r="V32" s="214"/>
      <c r="W32" s="214"/>
      <c r="X32" s="214"/>
      <c r="Y32" s="214"/>
      <c r="Z32" s="214"/>
      <c r="AA32" s="214"/>
      <c r="AB32" s="214"/>
      <c r="AC32" s="214"/>
      <c r="AD32" s="214"/>
      <c r="AE32" s="214"/>
      <c r="AF32" s="214"/>
      <c r="AG32" s="214"/>
      <c r="AH32" s="214"/>
      <c r="AI32" s="214"/>
      <c r="AJ32" s="214"/>
      <c r="AK32" s="214"/>
      <c r="AL32" s="214"/>
      <c r="AM32" s="120">
        <f t="shared" si="1"/>
        <v>0</v>
      </c>
      <c r="AN32" s="564">
        <f>IF(AO32&lt;=3,(IF(AND(G32="5/24",AM32&gt;0.5),(AM32*2*база!$M$6*Таблица14[[#This Row],[коэф]]),
IF(AND(G32="4/24",AM32&gt;0.5),(AM32*2*база!$M$5*Таблица14[[#This Row],[коэф]]),
IF(AND(G32="3/24",AM32&gt;0.5),(AM32*2*база!$M$4*Таблица14[[#This Row],[коэф]]),
IF(AND(G32="5/16",AM32&gt;0.5),(AM32*2*база!$L$6*Таблица14[[#This Row],[коэф]]),
IF(AND(G32="4/16",AM32&gt;0.5),(AM32*2*база!$L$5*Таблица14[[#This Row],[коэф]]),
IF(AND(G32="3/16",AM32&gt;0.5),(AM32*2*база!$L$4*Таблица14[[#This Row],[коэф]]),
IF(AND(G32="4/4",AM32&gt;0.5),(AM32*2*база!$I$5*Таблица14[[#This Row],[коэф]]),
IF(OR(AND(G32="3/4",AM32&gt;0.5),AND(G32="2/4",AM32&gt;0.5)),(AM32*2*база!$I$4*Таблица14[[#This Row],[коэф]]),
IF(AND(G32="5/8",AM32&gt;0.5),(AM32*2*база!$J$6*Таблица14[[#This Row],[коэф]]),
IF(AND(G32="4/8",AM32&gt;0.5),(AM32*2*база!$J$5*Таблица14[[#This Row],[коэф]]),
IF(OR(AND(G32="3/8",AM32&gt;0.5),AND(G32="2/8",AM32&gt;0.5)),(AM32*2*база!$J$4*Таблица14[[#This Row],[коэф]]),
(AM32*0.5*база!$L$4*Таблица14[[#This Row],[коэф]]))))))))))))),
(IF(AND(G32="5/24",AM32&gt;0.5),(AM32*2*база!$M$6*Таблица14[[#This Row],[коэф]]),
IF(OR(AND(G32="4/24",AM32&gt;0.5),AND(G32="3/24",AM32&gt;0.5)),(AM32*2*база!$M$5*Таблица14[[#This Row],[коэф]]),
IF(AND(G32="5/16",AM32&gt;0.5),(AM32*2*база!$L$6*Таблица14[[#This Row],[коэф]]),
IF(OR(AND(G32="4/16",AM32&gt;0.5),AND(G32="3/16",AM32&gt;0.5)),(AM32*2*база!$L$5*Таблица14[[#This Row],[коэф]]),
IF(OR(AND(G32="4/4",AM32&gt;0.5),AND(G32="3/4",AM32&gt;2)),(AM32*2*база!$I$5*Таблица14[[#This Row],[коэф]]),
IF(AND(G32="5/8",AM32&gt;0.5),(AM32*2*база!$J$6*Таблица14[[#This Row],[коэф]]),
IF(AND(G32="4/8",AM32&gt;0.5),(AM32*2*база!$J$5*Таблица14[[#This Row],[коэф]]),
IF(OR(AND(G32="3/8",AM32&gt;0.5),AND(G32="2/8",AM32&gt;0.5)),(AM32*2*база!$J$4*Таблица14[[#This Row],[коэф]]),
(AM32*2*база!$L$5*Таблица14[[#This Row],[коэф]])))))))))))</f>
        <v>0</v>
      </c>
      <c r="AO32" s="121">
        <f>IFERROR(INDEX(база!$D$2:$D$120, MATCH(Таблица14[[#This Row],[Ф. И. О.]],база!$B$2:$B$100,0)),"")</f>
        <v>0</v>
      </c>
      <c r="AP32" s="57"/>
      <c r="AQ32" s="57"/>
      <c r="AR32" s="57"/>
      <c r="AS32" s="57"/>
    </row>
    <row r="33" spans="1:45" s="46" customFormat="1" ht="13.5" customHeight="1">
      <c r="A33" s="206" t="str">
        <f t="shared" si="0"/>
        <v>декабрь</v>
      </c>
      <c r="B33" s="203">
        <v>2023</v>
      </c>
      <c r="C33" s="572"/>
      <c r="D33" s="213"/>
      <c r="E33" s="242"/>
      <c r="F33" s="698"/>
      <c r="G33" s="205"/>
      <c r="H33" s="214"/>
      <c r="I33" s="214"/>
      <c r="J33" s="214"/>
      <c r="K33" s="214"/>
      <c r="L33" s="214"/>
      <c r="M33" s="214"/>
      <c r="N33" s="214"/>
      <c r="O33" s="214"/>
      <c r="P33" s="214"/>
      <c r="Q33" s="214"/>
      <c r="R33" s="214"/>
      <c r="S33" s="214"/>
      <c r="T33" s="214"/>
      <c r="U33" s="214"/>
      <c r="V33" s="214"/>
      <c r="W33" s="214"/>
      <c r="X33" s="214"/>
      <c r="Y33" s="214"/>
      <c r="Z33" s="214"/>
      <c r="AA33" s="214"/>
      <c r="AB33" s="214"/>
      <c r="AC33" s="214"/>
      <c r="AD33" s="214"/>
      <c r="AE33" s="214"/>
      <c r="AF33" s="214"/>
      <c r="AG33" s="214"/>
      <c r="AH33" s="214"/>
      <c r="AI33" s="214"/>
      <c r="AJ33" s="214"/>
      <c r="AK33" s="214"/>
      <c r="AL33" s="214"/>
      <c r="AM33" s="120">
        <f t="shared" si="1"/>
        <v>0</v>
      </c>
      <c r="AN33" s="564">
        <f>IF(AO33&lt;=3,(IF(AND(G33="5/24",AM33&gt;0.5),(AM33*2*база!$M$6*Таблица14[[#This Row],[коэф]]),
IF(AND(G33="4/24",AM33&gt;0.5),(AM33*2*база!$M$5*Таблица14[[#This Row],[коэф]]),
IF(AND(G33="3/24",AM33&gt;0.5),(AM33*2*база!$M$4*Таблица14[[#This Row],[коэф]]),
IF(AND(G33="5/16",AM33&gt;0.5),(AM33*2*база!$L$6*Таблица14[[#This Row],[коэф]]),
IF(AND(G33="4/16",AM33&gt;0.5),(AM33*2*база!$L$5*Таблица14[[#This Row],[коэф]]),
IF(AND(G33="3/16",AM33&gt;0.5),(AM33*2*база!$L$4*Таблица14[[#This Row],[коэф]]),
IF(AND(G33="4/4",AM33&gt;0.5),(AM33*2*база!$I$5*Таблица14[[#This Row],[коэф]]),
IF(OR(AND(G33="3/4",AM33&gt;0.5),AND(G33="2/4",AM33&gt;0.5)),(AM33*2*база!$I$4*Таблица14[[#This Row],[коэф]]),
IF(AND(G33="5/8",AM33&gt;0.5),(AM33*2*база!$J$6*Таблица14[[#This Row],[коэф]]),
IF(AND(G33="4/8",AM33&gt;0.5),(AM33*2*база!$J$5*Таблица14[[#This Row],[коэф]]),
IF(OR(AND(G33="3/8",AM33&gt;0.5),AND(G33="2/8",AM33&gt;0.5)),(AM33*2*база!$J$4*Таблица14[[#This Row],[коэф]]),
(AM33*0.5*база!$L$4*Таблица14[[#This Row],[коэф]]))))))))))))),
(IF(AND(G33="5/24",AM33&gt;0.5),(AM33*2*база!$M$6*Таблица14[[#This Row],[коэф]]),
IF(OR(AND(G33="4/24",AM33&gt;0.5),AND(G33="3/24",AM33&gt;0.5)),(AM33*2*база!$M$5*Таблица14[[#This Row],[коэф]]),
IF(AND(G33="5/16",AM33&gt;0.5),(AM33*2*база!$L$6*Таблица14[[#This Row],[коэф]]),
IF(OR(AND(G33="4/16",AM33&gt;0.5),AND(G33="3/16",AM33&gt;0.5)),(AM33*2*база!$L$5*Таблица14[[#This Row],[коэф]]),
IF(OR(AND(G33="4/4",AM33&gt;0.5),AND(G33="3/4",AM33&gt;2)),(AM33*2*база!$I$5*Таблица14[[#This Row],[коэф]]),
IF(AND(G33="5/8",AM33&gt;0.5),(AM33*2*база!$J$6*Таблица14[[#This Row],[коэф]]),
IF(AND(G33="4/8",AM33&gt;0.5),(AM33*2*база!$J$5*Таблица14[[#This Row],[коэф]]),
IF(OR(AND(G33="3/8",AM33&gt;0.5),AND(G33="2/8",AM33&gt;0.5)),(AM33*2*база!$J$4*Таблица14[[#This Row],[коэф]]),
(AM33*2*база!$L$5*Таблица14[[#This Row],[коэф]])))))))))))</f>
        <v>0</v>
      </c>
      <c r="AO33" s="121">
        <f>IFERROR(INDEX(база!$D$2:$D$120, MATCH(Таблица14[[#This Row],[Ф. И. О.]],база!$B$2:$B$100,0)),"")</f>
        <v>0</v>
      </c>
      <c r="AP33" s="57"/>
      <c r="AQ33" s="57"/>
      <c r="AR33" s="57"/>
      <c r="AS33" s="57"/>
    </row>
    <row r="34" spans="1:45" s="46" customFormat="1" ht="13.5" customHeight="1">
      <c r="A34" s="206" t="str">
        <f t="shared" si="0"/>
        <v>декабрь</v>
      </c>
      <c r="B34" s="239">
        <v>2023</v>
      </c>
      <c r="C34" s="572"/>
      <c r="D34" s="213"/>
      <c r="E34" s="240"/>
      <c r="F34" s="698"/>
      <c r="G34" s="241"/>
      <c r="H34" s="214"/>
      <c r="I34" s="214"/>
      <c r="J34" s="214"/>
      <c r="K34" s="214"/>
      <c r="L34" s="214"/>
      <c r="M34" s="214"/>
      <c r="N34" s="214"/>
      <c r="O34" s="214"/>
      <c r="P34" s="214"/>
      <c r="Q34" s="214"/>
      <c r="R34" s="214"/>
      <c r="S34" s="214"/>
      <c r="T34" s="214"/>
      <c r="U34" s="214"/>
      <c r="V34" s="214"/>
      <c r="W34" s="214"/>
      <c r="X34" s="214"/>
      <c r="Y34" s="214"/>
      <c r="Z34" s="214"/>
      <c r="AA34" s="214"/>
      <c r="AB34" s="214"/>
      <c r="AC34" s="214"/>
      <c r="AD34" s="214"/>
      <c r="AE34" s="214"/>
      <c r="AF34" s="214"/>
      <c r="AG34" s="214"/>
      <c r="AH34" s="214"/>
      <c r="AI34" s="214"/>
      <c r="AJ34" s="214"/>
      <c r="AK34" s="214"/>
      <c r="AL34" s="214"/>
      <c r="AM34" s="120">
        <f t="shared" si="1"/>
        <v>0</v>
      </c>
      <c r="AN34" s="564">
        <f>IF(AO34&lt;=3,(IF(AND(G34="5/24",AM34&gt;0.5),(AM34*2*база!$M$6*Таблица14[[#This Row],[коэф]]),
IF(AND(G34="4/24",AM34&gt;0.5),(AM34*2*база!$M$5*Таблица14[[#This Row],[коэф]]),
IF(AND(G34="3/24",AM34&gt;0.5),(AM34*2*база!$M$4*Таблица14[[#This Row],[коэф]]),
IF(AND(G34="5/16",AM34&gt;0.5),(AM34*2*база!$L$6*Таблица14[[#This Row],[коэф]]),
IF(AND(G34="4/16",AM34&gt;0.5),(AM34*2*база!$L$5*Таблица14[[#This Row],[коэф]]),
IF(AND(G34="3/16",AM34&gt;0.5),(AM34*2*база!$L$4*Таблица14[[#This Row],[коэф]]),
IF(AND(G34="4/4",AM34&gt;0.5),(AM34*2*база!$I$5*Таблица14[[#This Row],[коэф]]),
IF(OR(AND(G34="3/4",AM34&gt;0.5),AND(G34="2/4",AM34&gt;0.5)),(AM34*2*база!$I$4*Таблица14[[#This Row],[коэф]]),
IF(AND(G34="5/8",AM34&gt;0.5),(AM34*2*база!$J$6*Таблица14[[#This Row],[коэф]]),
IF(AND(G34="4/8",AM34&gt;0.5),(AM34*2*база!$J$5*Таблица14[[#This Row],[коэф]]),
IF(OR(AND(G34="3/8",AM34&gt;0.5),AND(G34="2/8",AM34&gt;0.5)),(AM34*2*база!$J$4*Таблица14[[#This Row],[коэф]]),
(AM34*0.5*база!$L$4*Таблица14[[#This Row],[коэф]]))))))))))))),
(IF(AND(G34="5/24",AM34&gt;0.5),(AM34*2*база!$M$6*Таблица14[[#This Row],[коэф]]),
IF(OR(AND(G34="4/24",AM34&gt;0.5),AND(G34="3/24",AM34&gt;0.5)),(AM34*2*база!$M$5*Таблица14[[#This Row],[коэф]]),
IF(AND(G34="5/16",AM34&gt;0.5),(AM34*2*база!$L$6*Таблица14[[#This Row],[коэф]]),
IF(OR(AND(G34="4/16",AM34&gt;0.5),AND(G34="3/16",AM34&gt;0.5)),(AM34*2*база!$L$5*Таблица14[[#This Row],[коэф]]),
IF(OR(AND(G34="4/4",AM34&gt;0.5),AND(G34="3/4",AM34&gt;2)),(AM34*2*база!$I$5*Таблица14[[#This Row],[коэф]]),
IF(AND(G34="5/8",AM34&gt;0.5),(AM34*2*база!$J$6*Таблица14[[#This Row],[коэф]]),
IF(AND(G34="4/8",AM34&gt;0.5),(AM34*2*база!$J$5*Таблица14[[#This Row],[коэф]]),
IF(OR(AND(G34="3/8",AM34&gt;0.5),AND(G34="2/8",AM34&gt;0.5)),(AM34*2*база!$J$4*Таблица14[[#This Row],[коэф]]),
(AM34*2*база!$L$5*Таблица14[[#This Row],[коэф]])))))))))))</f>
        <v>0</v>
      </c>
      <c r="AO34" s="121">
        <f>IFERROR(INDEX(база!$D$2:$D$120, MATCH(Таблица14[[#This Row],[Ф. И. О.]],база!$B$2:$B$100,0)),"")</f>
        <v>0</v>
      </c>
      <c r="AP34" s="57"/>
      <c r="AQ34" s="57"/>
      <c r="AR34" s="57"/>
      <c r="AS34" s="57"/>
    </row>
    <row r="35" spans="1:45" s="46" customFormat="1" ht="13.5" customHeight="1">
      <c r="A35" s="206" t="str">
        <f t="shared" si="0"/>
        <v>декабрь</v>
      </c>
      <c r="B35" s="203">
        <v>2023</v>
      </c>
      <c r="C35" s="572"/>
      <c r="D35" s="213"/>
      <c r="E35" s="242"/>
      <c r="F35" s="698"/>
      <c r="G35" s="205"/>
      <c r="H35" s="214"/>
      <c r="I35" s="214"/>
      <c r="J35" s="214"/>
      <c r="K35" s="214"/>
      <c r="L35" s="214"/>
      <c r="M35" s="214"/>
      <c r="N35" s="214"/>
      <c r="O35" s="214"/>
      <c r="P35" s="214"/>
      <c r="Q35" s="214"/>
      <c r="R35" s="214"/>
      <c r="S35" s="214"/>
      <c r="T35" s="214"/>
      <c r="U35" s="214"/>
      <c r="V35" s="214"/>
      <c r="W35" s="214"/>
      <c r="X35" s="214"/>
      <c r="Y35" s="214"/>
      <c r="Z35" s="214"/>
      <c r="AA35" s="214"/>
      <c r="AB35" s="214"/>
      <c r="AC35" s="214"/>
      <c r="AD35" s="214"/>
      <c r="AE35" s="214"/>
      <c r="AF35" s="214"/>
      <c r="AG35" s="214"/>
      <c r="AH35" s="214"/>
      <c r="AI35" s="214"/>
      <c r="AJ35" s="214"/>
      <c r="AK35" s="214"/>
      <c r="AL35" s="214"/>
      <c r="AM35" s="120">
        <f t="shared" si="1"/>
        <v>0</v>
      </c>
      <c r="AN35" s="564">
        <f>IF(AO35&lt;=3,(IF(AND(G35="5/24",AM35&gt;0.5),(AM35*2*база!$M$6*Таблица14[[#This Row],[коэф]]),
IF(AND(G35="4/24",AM35&gt;0.5),(AM35*2*база!$M$5*Таблица14[[#This Row],[коэф]]),
IF(AND(G35="3/24",AM35&gt;0.5),(AM35*2*база!$M$4*Таблица14[[#This Row],[коэф]]),
IF(AND(G35="5/16",AM35&gt;0.5),(AM35*2*база!$L$6*Таблица14[[#This Row],[коэф]]),
IF(AND(G35="4/16",AM35&gt;0.5),(AM35*2*база!$L$5*Таблица14[[#This Row],[коэф]]),
IF(AND(G35="3/16",AM35&gt;0.5),(AM35*2*база!$L$4*Таблица14[[#This Row],[коэф]]),
IF(AND(G35="4/4",AM35&gt;0.5),(AM35*2*база!$I$5*Таблица14[[#This Row],[коэф]]),
IF(OR(AND(G35="3/4",AM35&gt;0.5),AND(G35="2/4",AM35&gt;0.5)),(AM35*2*база!$I$4*Таблица14[[#This Row],[коэф]]),
IF(AND(G35="5/8",AM35&gt;0.5),(AM35*2*база!$J$6*Таблица14[[#This Row],[коэф]]),
IF(AND(G35="4/8",AM35&gt;0.5),(AM35*2*база!$J$5*Таблица14[[#This Row],[коэф]]),
IF(OR(AND(G35="3/8",AM35&gt;0.5),AND(G35="2/8",AM35&gt;0.5)),(AM35*2*база!$J$4*Таблица14[[#This Row],[коэф]]),
(AM35*0.5*база!$L$4*Таблица14[[#This Row],[коэф]]))))))))))))),
(IF(AND(G35="5/24",AM35&gt;0.5),(AM35*2*база!$M$6*Таблица14[[#This Row],[коэф]]),
IF(OR(AND(G35="4/24",AM35&gt;0.5),AND(G35="3/24",AM35&gt;0.5)),(AM35*2*база!$M$5*Таблица14[[#This Row],[коэф]]),
IF(AND(G35="5/16",AM35&gt;0.5),(AM35*2*база!$L$6*Таблица14[[#This Row],[коэф]]),
IF(OR(AND(G35="4/16",AM35&gt;0.5),AND(G35="3/16",AM35&gt;0.5)),(AM35*2*база!$L$5*Таблица14[[#This Row],[коэф]]),
IF(OR(AND(G35="4/4",AM35&gt;0.5),AND(G35="3/4",AM35&gt;2)),(AM35*2*база!$I$5*Таблица14[[#This Row],[коэф]]),
IF(AND(G35="5/8",AM35&gt;0.5),(AM35*2*база!$J$6*Таблица14[[#This Row],[коэф]]),
IF(AND(G35="4/8",AM35&gt;0.5),(AM35*2*база!$J$5*Таблица14[[#This Row],[коэф]]),
IF(OR(AND(G35="3/8",AM35&gt;0.5),AND(G35="2/8",AM35&gt;0.5)),(AM35*2*база!$J$4*Таблица14[[#This Row],[коэф]]),
(AM35*2*база!$L$5*Таблица14[[#This Row],[коэф]])))))))))))</f>
        <v>0</v>
      </c>
      <c r="AO35" s="121">
        <f>IFERROR(INDEX(база!$D$2:$D$120, MATCH(Таблица14[[#This Row],[Ф. И. О.]],база!$B$2:$B$100,0)),"")</f>
        <v>0</v>
      </c>
      <c r="AP35" s="57"/>
      <c r="AQ35" s="57"/>
      <c r="AR35" s="57"/>
      <c r="AS35" s="57"/>
    </row>
    <row r="36" spans="1:45" s="46" customFormat="1" ht="13.5" customHeight="1">
      <c r="A36" s="206" t="str">
        <f t="shared" si="0"/>
        <v>декабрь</v>
      </c>
      <c r="B36" s="239">
        <v>2023</v>
      </c>
      <c r="C36" s="572"/>
      <c r="D36" s="213"/>
      <c r="E36" s="240"/>
      <c r="F36" s="698"/>
      <c r="G36" s="241"/>
      <c r="H36" s="214"/>
      <c r="I36" s="214"/>
      <c r="J36" s="214"/>
      <c r="K36" s="214"/>
      <c r="L36" s="214"/>
      <c r="M36" s="214"/>
      <c r="N36" s="214"/>
      <c r="O36" s="214"/>
      <c r="P36" s="214"/>
      <c r="Q36" s="214"/>
      <c r="R36" s="214"/>
      <c r="S36" s="214"/>
      <c r="T36" s="214"/>
      <c r="U36" s="214"/>
      <c r="V36" s="214"/>
      <c r="W36" s="214"/>
      <c r="X36" s="214"/>
      <c r="Y36" s="214"/>
      <c r="Z36" s="214"/>
      <c r="AA36" s="214"/>
      <c r="AB36" s="214"/>
      <c r="AC36" s="214"/>
      <c r="AD36" s="214"/>
      <c r="AE36" s="214"/>
      <c r="AF36" s="214"/>
      <c r="AG36" s="214"/>
      <c r="AH36" s="214"/>
      <c r="AI36" s="214"/>
      <c r="AJ36" s="214"/>
      <c r="AK36" s="214"/>
      <c r="AL36" s="214"/>
      <c r="AM36" s="120">
        <f t="shared" si="1"/>
        <v>0</v>
      </c>
      <c r="AN36" s="564">
        <f>IF(AO36&lt;=3,(IF(AND(G36="5/24",AM36&gt;0.5),(AM36*2*база!$M$6*Таблица14[[#This Row],[коэф]]),
IF(AND(G36="4/24",AM36&gt;0.5),(AM36*2*база!$M$5*Таблица14[[#This Row],[коэф]]),
IF(AND(G36="3/24",AM36&gt;0.5),(AM36*2*база!$M$4*Таблица14[[#This Row],[коэф]]),
IF(AND(G36="5/16",AM36&gt;0.5),(AM36*2*база!$L$6*Таблица14[[#This Row],[коэф]]),
IF(AND(G36="4/16",AM36&gt;0.5),(AM36*2*база!$L$5*Таблица14[[#This Row],[коэф]]),
IF(AND(G36="3/16",AM36&gt;0.5),(AM36*2*база!$L$4*Таблица14[[#This Row],[коэф]]),
IF(AND(G36="4/4",AM36&gt;0.5),(AM36*2*база!$I$5*Таблица14[[#This Row],[коэф]]),
IF(OR(AND(G36="3/4",AM36&gt;0.5),AND(G36="2/4",AM36&gt;0.5)),(AM36*2*база!$I$4*Таблица14[[#This Row],[коэф]]),
IF(AND(G36="5/8",AM36&gt;0.5),(AM36*2*база!$J$6*Таблица14[[#This Row],[коэф]]),
IF(AND(G36="4/8",AM36&gt;0.5),(AM36*2*база!$J$5*Таблица14[[#This Row],[коэф]]),
IF(OR(AND(G36="3/8",AM36&gt;0.5),AND(G36="2/8",AM36&gt;0.5)),(AM36*2*база!$J$4*Таблица14[[#This Row],[коэф]]),
(AM36*0.5*база!$L$4*Таблица14[[#This Row],[коэф]]))))))))))))),
(IF(AND(G36="5/24",AM36&gt;0.5),(AM36*2*база!$M$6*Таблица14[[#This Row],[коэф]]),
IF(OR(AND(G36="4/24",AM36&gt;0.5),AND(G36="3/24",AM36&gt;0.5)),(AM36*2*база!$M$5*Таблица14[[#This Row],[коэф]]),
IF(AND(G36="5/16",AM36&gt;0.5),(AM36*2*база!$L$6*Таблица14[[#This Row],[коэф]]),
IF(OR(AND(G36="4/16",AM36&gt;0.5),AND(G36="3/16",AM36&gt;0.5)),(AM36*2*база!$L$5*Таблица14[[#This Row],[коэф]]),
IF(OR(AND(G36="4/4",AM36&gt;0.5),AND(G36="3/4",AM36&gt;2)),(AM36*2*база!$I$5*Таблица14[[#This Row],[коэф]]),
IF(AND(G36="5/8",AM36&gt;0.5),(AM36*2*база!$J$6*Таблица14[[#This Row],[коэф]]),
IF(AND(G36="4/8",AM36&gt;0.5),(AM36*2*база!$J$5*Таблица14[[#This Row],[коэф]]),
IF(OR(AND(G36="3/8",AM36&gt;0.5),AND(G36="2/8",AM36&gt;0.5)),(AM36*2*база!$J$4*Таблица14[[#This Row],[коэф]]),
(AM36*2*база!$L$5*Таблица14[[#This Row],[коэф]])))))))))))</f>
        <v>0</v>
      </c>
      <c r="AO36" s="121">
        <f>IFERROR(INDEX(база!$D$2:$D$120, MATCH(Таблица14[[#This Row],[Ф. И. О.]],база!$B$2:$B$100,0)),"")</f>
        <v>0</v>
      </c>
    </row>
    <row r="37" spans="1:45" s="46" customFormat="1" ht="13.5" customHeight="1">
      <c r="A37" s="206" t="str">
        <f t="shared" si="0"/>
        <v>декабрь</v>
      </c>
      <c r="B37" s="203">
        <v>2023</v>
      </c>
      <c r="C37" s="572"/>
      <c r="D37" s="213"/>
      <c r="E37" s="242"/>
      <c r="F37" s="698"/>
      <c r="G37" s="205"/>
      <c r="H37" s="214"/>
      <c r="I37" s="214"/>
      <c r="J37" s="214"/>
      <c r="K37" s="214"/>
      <c r="L37" s="214"/>
      <c r="M37" s="214"/>
      <c r="N37" s="214"/>
      <c r="O37" s="214"/>
      <c r="P37" s="214"/>
      <c r="Q37" s="214"/>
      <c r="R37" s="214"/>
      <c r="S37" s="214"/>
      <c r="T37" s="214"/>
      <c r="U37" s="214"/>
      <c r="V37" s="214"/>
      <c r="W37" s="214"/>
      <c r="X37" s="214"/>
      <c r="Y37" s="214"/>
      <c r="Z37" s="214"/>
      <c r="AA37" s="214"/>
      <c r="AB37" s="214"/>
      <c r="AC37" s="214"/>
      <c r="AD37" s="214"/>
      <c r="AE37" s="214"/>
      <c r="AF37" s="214"/>
      <c r="AG37" s="214"/>
      <c r="AH37" s="214"/>
      <c r="AI37" s="214"/>
      <c r="AJ37" s="214"/>
      <c r="AK37" s="214"/>
      <c r="AL37" s="214"/>
      <c r="AM37" s="120">
        <f t="shared" si="1"/>
        <v>0</v>
      </c>
      <c r="AN37" s="564">
        <f>IF(AO37&lt;=3,(IF(AND(G37="5/24",AM37&gt;0.5),(AM37*2*база!$M$6*Таблица14[[#This Row],[коэф]]),
IF(AND(G37="4/24",AM37&gt;0.5),(AM37*2*база!$M$5*Таблица14[[#This Row],[коэф]]),
IF(AND(G37="3/24",AM37&gt;0.5),(AM37*2*база!$M$4*Таблица14[[#This Row],[коэф]]),
IF(AND(G37="5/16",AM37&gt;0.5),(AM37*2*база!$L$6*Таблица14[[#This Row],[коэф]]),
IF(AND(G37="4/16",AM37&gt;0.5),(AM37*2*база!$L$5*Таблица14[[#This Row],[коэф]]),
IF(AND(G37="3/16",AM37&gt;0.5),(AM37*2*база!$L$4*Таблица14[[#This Row],[коэф]]),
IF(AND(G37="4/4",AM37&gt;0.5),(AM37*2*база!$I$5*Таблица14[[#This Row],[коэф]]),
IF(OR(AND(G37="3/4",AM37&gt;0.5),AND(G37="2/4",AM37&gt;0.5)),(AM37*2*база!$I$4*Таблица14[[#This Row],[коэф]]),
IF(AND(G37="5/8",AM37&gt;0.5),(AM37*2*база!$J$6*Таблица14[[#This Row],[коэф]]),
IF(AND(G37="4/8",AM37&gt;0.5),(AM37*2*база!$J$5*Таблица14[[#This Row],[коэф]]),
IF(OR(AND(G37="3/8",AM37&gt;0.5),AND(G37="2/8",AM37&gt;0.5)),(AM37*2*база!$J$4*Таблица14[[#This Row],[коэф]]),
(AM37*0.5*база!$L$4*Таблица14[[#This Row],[коэф]]))))))))))))),
(IF(AND(G37="5/24",AM37&gt;0.5),(AM37*2*база!$M$6*Таблица14[[#This Row],[коэф]]),
IF(OR(AND(G37="4/24",AM37&gt;0.5),AND(G37="3/24",AM37&gt;0.5)),(AM37*2*база!$M$5*Таблица14[[#This Row],[коэф]]),
IF(AND(G37="5/16",AM37&gt;0.5),(AM37*2*база!$L$6*Таблица14[[#This Row],[коэф]]),
IF(OR(AND(G37="4/16",AM37&gt;0.5),AND(G37="3/16",AM37&gt;0.5)),(AM37*2*база!$L$5*Таблица14[[#This Row],[коэф]]),
IF(OR(AND(G37="4/4",AM37&gt;0.5),AND(G37="3/4",AM37&gt;2)),(AM37*2*база!$I$5*Таблица14[[#This Row],[коэф]]),
IF(AND(G37="5/8",AM37&gt;0.5),(AM37*2*база!$J$6*Таблица14[[#This Row],[коэф]]),
IF(AND(G37="4/8",AM37&gt;0.5),(AM37*2*база!$J$5*Таблица14[[#This Row],[коэф]]),
IF(OR(AND(G37="3/8",AM37&gt;0.5),AND(G37="2/8",AM37&gt;0.5)),(AM37*2*база!$J$4*Таблица14[[#This Row],[коэф]]),
(AM37*2*база!$L$5*Таблица14[[#This Row],[коэф]])))))))))))</f>
        <v>0</v>
      </c>
      <c r="AO37" s="121">
        <f>IFERROR(INDEX(база!$D$2:$D$120, MATCH(Таблица14[[#This Row],[Ф. И. О.]],база!$B$2:$B$100,0)),"")</f>
        <v>0</v>
      </c>
    </row>
    <row r="38" spans="1:45" s="46" customFormat="1" ht="13.5" customHeight="1">
      <c r="A38" s="206" t="str">
        <f t="shared" si="0"/>
        <v>декабрь</v>
      </c>
      <c r="B38" s="239">
        <v>2023</v>
      </c>
      <c r="C38" s="572"/>
      <c r="D38" s="213"/>
      <c r="E38" s="240"/>
      <c r="F38" s="698"/>
      <c r="G38" s="241"/>
      <c r="H38" s="214"/>
      <c r="I38" s="214"/>
      <c r="J38" s="214"/>
      <c r="K38" s="214"/>
      <c r="L38" s="214"/>
      <c r="M38" s="214"/>
      <c r="N38" s="214"/>
      <c r="O38" s="214"/>
      <c r="P38" s="214"/>
      <c r="Q38" s="214"/>
      <c r="R38" s="214"/>
      <c r="S38" s="214"/>
      <c r="T38" s="214"/>
      <c r="U38" s="214"/>
      <c r="V38" s="214"/>
      <c r="W38" s="214"/>
      <c r="X38" s="214"/>
      <c r="Y38" s="214"/>
      <c r="Z38" s="214"/>
      <c r="AA38" s="214"/>
      <c r="AB38" s="214"/>
      <c r="AC38" s="214"/>
      <c r="AD38" s="214"/>
      <c r="AE38" s="214"/>
      <c r="AF38" s="214"/>
      <c r="AG38" s="214"/>
      <c r="AH38" s="214"/>
      <c r="AI38" s="214"/>
      <c r="AJ38" s="214"/>
      <c r="AK38" s="214"/>
      <c r="AL38" s="214"/>
      <c r="AM38" s="120">
        <f t="shared" si="1"/>
        <v>0</v>
      </c>
      <c r="AN38" s="564">
        <f>IF(AO38&lt;=3,(IF(AND(G38="5/24",AM38&gt;0.5),(AM38*2*база!$M$6*Таблица14[[#This Row],[коэф]]),
IF(AND(G38="4/24",AM38&gt;0.5),(AM38*2*база!$M$5*Таблица14[[#This Row],[коэф]]),
IF(AND(G38="3/24",AM38&gt;0.5),(AM38*2*база!$M$4*Таблица14[[#This Row],[коэф]]),
IF(AND(G38="5/16",AM38&gt;0.5),(AM38*2*база!$L$6*Таблица14[[#This Row],[коэф]]),
IF(AND(G38="4/16",AM38&gt;0.5),(AM38*2*база!$L$5*Таблица14[[#This Row],[коэф]]),
IF(AND(G38="3/16",AM38&gt;0.5),(AM38*2*база!$L$4*Таблица14[[#This Row],[коэф]]),
IF(AND(G38="4/4",AM38&gt;0.5),(AM38*2*база!$I$5*Таблица14[[#This Row],[коэф]]),
IF(OR(AND(G38="3/4",AM38&gt;0.5),AND(G38="2/4",AM38&gt;0.5)),(AM38*2*база!$I$4*Таблица14[[#This Row],[коэф]]),
IF(AND(G38="5/8",AM38&gt;0.5),(AM38*2*база!$J$6*Таблица14[[#This Row],[коэф]]),
IF(AND(G38="4/8",AM38&gt;0.5),(AM38*2*база!$J$5*Таблица14[[#This Row],[коэф]]),
IF(OR(AND(G38="3/8",AM38&gt;0.5),AND(G38="2/8",AM38&gt;0.5)),(AM38*2*база!$J$4*Таблица14[[#This Row],[коэф]]),
(AM38*0.5*база!$L$4*Таблица14[[#This Row],[коэф]]))))))))))))),
(IF(AND(G38="5/24",AM38&gt;0.5),(AM38*2*база!$M$6*Таблица14[[#This Row],[коэф]]),
IF(OR(AND(G38="4/24",AM38&gt;0.5),AND(G38="3/24",AM38&gt;0.5)),(AM38*2*база!$M$5*Таблица14[[#This Row],[коэф]]),
IF(AND(G38="5/16",AM38&gt;0.5),(AM38*2*база!$L$6*Таблица14[[#This Row],[коэф]]),
IF(OR(AND(G38="4/16",AM38&gt;0.5),AND(G38="3/16",AM38&gt;0.5)),(AM38*2*база!$L$5*Таблица14[[#This Row],[коэф]]),
IF(OR(AND(G38="4/4",AM38&gt;0.5),AND(G38="3/4",AM38&gt;2)),(AM38*2*база!$I$5*Таблица14[[#This Row],[коэф]]),
IF(AND(G38="5/8",AM38&gt;0.5),(AM38*2*база!$J$6*Таблица14[[#This Row],[коэф]]),
IF(AND(G38="4/8",AM38&gt;0.5),(AM38*2*база!$J$5*Таблица14[[#This Row],[коэф]]),
IF(OR(AND(G38="3/8",AM38&gt;0.5),AND(G38="2/8",AM38&gt;0.5)),(AM38*2*база!$J$4*Таблица14[[#This Row],[коэф]]),
(AM38*2*база!$L$5*Таблица14[[#This Row],[коэф]])))))))))))</f>
        <v>0</v>
      </c>
      <c r="AO38" s="121">
        <f>IFERROR(INDEX(база!$D$2:$D$120, MATCH(Таблица14[[#This Row],[Ф. И. О.]],база!$B$2:$B$100,0)),"")</f>
        <v>0</v>
      </c>
    </row>
    <row r="39" spans="1:45" s="46" customFormat="1" ht="13.5" customHeight="1">
      <c r="A39" s="206" t="str">
        <f t="shared" si="0"/>
        <v>декабрь</v>
      </c>
      <c r="B39" s="203">
        <v>2023</v>
      </c>
      <c r="C39" s="572"/>
      <c r="D39" s="204"/>
      <c r="E39" s="242"/>
      <c r="F39" s="698"/>
      <c r="G39" s="205"/>
      <c r="H39" s="214"/>
      <c r="I39" s="214"/>
      <c r="J39" s="214"/>
      <c r="K39" s="214"/>
      <c r="L39" s="214"/>
      <c r="M39" s="214"/>
      <c r="N39" s="214"/>
      <c r="O39" s="214"/>
      <c r="P39" s="214"/>
      <c r="Q39" s="214"/>
      <c r="R39" s="214"/>
      <c r="S39" s="214"/>
      <c r="T39" s="214"/>
      <c r="U39" s="214"/>
      <c r="V39" s="214"/>
      <c r="W39" s="214"/>
      <c r="X39" s="214"/>
      <c r="Y39" s="214"/>
      <c r="Z39" s="214"/>
      <c r="AA39" s="214"/>
      <c r="AB39" s="214"/>
      <c r="AC39" s="214"/>
      <c r="AD39" s="214"/>
      <c r="AE39" s="214"/>
      <c r="AF39" s="214"/>
      <c r="AG39" s="214"/>
      <c r="AH39" s="214"/>
      <c r="AI39" s="214"/>
      <c r="AJ39" s="214"/>
      <c r="AK39" s="214"/>
      <c r="AL39" s="214"/>
      <c r="AM39" s="120">
        <f t="shared" si="1"/>
        <v>0</v>
      </c>
      <c r="AN39" s="564">
        <f>IF(AO39&lt;=3,(IF(AND(G39="5/24",AM39&gt;0.5),(AM39*2*база!$M$6*Таблица14[[#This Row],[коэф]]),
IF(AND(G39="4/24",AM39&gt;0.5),(AM39*2*база!$M$5*Таблица14[[#This Row],[коэф]]),
IF(AND(G39="3/24",AM39&gt;0.5),(AM39*2*база!$M$4*Таблица14[[#This Row],[коэф]]),
IF(AND(G39="5/16",AM39&gt;0.5),(AM39*2*база!$L$6*Таблица14[[#This Row],[коэф]]),
IF(AND(G39="4/16",AM39&gt;0.5),(AM39*2*база!$L$5*Таблица14[[#This Row],[коэф]]),
IF(AND(G39="3/16",AM39&gt;0.5),(AM39*2*база!$L$4*Таблица14[[#This Row],[коэф]]),
IF(AND(G39="4/4",AM39&gt;0.5),(AM39*2*база!$I$5*Таблица14[[#This Row],[коэф]]),
IF(OR(AND(G39="3/4",AM39&gt;0.5),AND(G39="2/4",AM39&gt;0.5)),(AM39*2*база!$I$4*Таблица14[[#This Row],[коэф]]),
IF(AND(G39="5/8",AM39&gt;0.5),(AM39*2*база!$J$6*Таблица14[[#This Row],[коэф]]),
IF(AND(G39="4/8",AM39&gt;0.5),(AM39*2*база!$J$5*Таблица14[[#This Row],[коэф]]),
IF(OR(AND(G39="3/8",AM39&gt;0.5),AND(G39="2/8",AM39&gt;0.5)),(AM39*2*база!$J$4*Таблица14[[#This Row],[коэф]]),
(AM39*0.5*база!$L$4*Таблица14[[#This Row],[коэф]]))))))))))))),
(IF(AND(G39="5/24",AM39&gt;0.5),(AM39*2*база!$M$6*Таблица14[[#This Row],[коэф]]),
IF(OR(AND(G39="4/24",AM39&gt;0.5),AND(G39="3/24",AM39&gt;0.5)),(AM39*2*база!$M$5*Таблица14[[#This Row],[коэф]]),
IF(AND(G39="5/16",AM39&gt;0.5),(AM39*2*база!$L$6*Таблица14[[#This Row],[коэф]]),
IF(OR(AND(G39="4/16",AM39&gt;0.5),AND(G39="3/16",AM39&gt;0.5)),(AM39*2*база!$L$5*Таблица14[[#This Row],[коэф]]),
IF(OR(AND(G39="4/4",AM39&gt;0.5),AND(G39="3/4",AM39&gt;2)),(AM39*2*база!$I$5*Таблица14[[#This Row],[коэф]]),
IF(AND(G39="5/8",AM39&gt;0.5),(AM39*2*база!$J$6*Таблица14[[#This Row],[коэф]]),
IF(AND(G39="4/8",AM39&gt;0.5),(AM39*2*база!$J$5*Таблица14[[#This Row],[коэф]]),
IF(OR(AND(G39="3/8",AM39&gt;0.5),AND(G39="2/8",AM39&gt;0.5)),(AM39*2*база!$J$4*Таблица14[[#This Row],[коэф]]),
(AM39*2*база!$L$5*Таблица14[[#This Row],[коэф]])))))))))))</f>
        <v>0</v>
      </c>
      <c r="AO39" s="121">
        <f>IFERROR(INDEX(база!$D$2:$D$120, MATCH(Таблица14[[#This Row],[Ф. И. О.]],база!$B$2:$B$100,0)),"")</f>
        <v>0</v>
      </c>
    </row>
    <row r="40" spans="1:45" s="46" customFormat="1" ht="13.5" customHeight="1">
      <c r="A40" s="206" t="str">
        <f t="shared" si="0"/>
        <v>декабрь</v>
      </c>
      <c r="B40" s="239">
        <v>2023</v>
      </c>
      <c r="C40" s="572"/>
      <c r="D40" s="213"/>
      <c r="E40" s="240"/>
      <c r="F40" s="698"/>
      <c r="G40" s="241"/>
      <c r="H40" s="214"/>
      <c r="I40" s="214"/>
      <c r="J40" s="214"/>
      <c r="K40" s="214"/>
      <c r="L40" s="214"/>
      <c r="M40" s="214"/>
      <c r="N40" s="214"/>
      <c r="O40" s="214"/>
      <c r="P40" s="214"/>
      <c r="Q40" s="214"/>
      <c r="R40" s="214"/>
      <c r="S40" s="214"/>
      <c r="T40" s="214"/>
      <c r="U40" s="214"/>
      <c r="V40" s="214"/>
      <c r="W40" s="214"/>
      <c r="X40" s="214"/>
      <c r="Y40" s="214"/>
      <c r="Z40" s="214"/>
      <c r="AA40" s="214"/>
      <c r="AB40" s="214"/>
      <c r="AC40" s="214"/>
      <c r="AD40" s="214"/>
      <c r="AE40" s="214"/>
      <c r="AF40" s="214"/>
      <c r="AG40" s="214"/>
      <c r="AH40" s="214"/>
      <c r="AI40" s="214"/>
      <c r="AJ40" s="214"/>
      <c r="AK40" s="214"/>
      <c r="AL40" s="214"/>
      <c r="AM40" s="120">
        <f t="shared" si="1"/>
        <v>0</v>
      </c>
      <c r="AN40" s="564">
        <f>IF(AO40&lt;=3,(IF(AND(G40="5/24",AM40&gt;0.5),(AM40*2*база!$M$6*Таблица14[[#This Row],[коэф]]),
IF(AND(G40="4/24",AM40&gt;0.5),(AM40*2*база!$M$5*Таблица14[[#This Row],[коэф]]),
IF(AND(G40="3/24",AM40&gt;0.5),(AM40*2*база!$M$4*Таблица14[[#This Row],[коэф]]),
IF(AND(G40="5/16",AM40&gt;0.5),(AM40*2*база!$L$6*Таблица14[[#This Row],[коэф]]),
IF(AND(G40="4/16",AM40&gt;0.5),(AM40*2*база!$L$5*Таблица14[[#This Row],[коэф]]),
IF(AND(G40="3/16",AM40&gt;0.5),(AM40*2*база!$L$4*Таблица14[[#This Row],[коэф]]),
IF(AND(G40="4/4",AM40&gt;0.5),(AM40*2*база!$I$5*Таблица14[[#This Row],[коэф]]),
IF(OR(AND(G40="3/4",AM40&gt;0.5),AND(G40="2/4",AM40&gt;0.5)),(AM40*2*база!$I$4*Таблица14[[#This Row],[коэф]]),
IF(AND(G40="5/8",AM40&gt;0.5),(AM40*2*база!$J$6*Таблица14[[#This Row],[коэф]]),
IF(AND(G40="4/8",AM40&gt;0.5),(AM40*2*база!$J$5*Таблица14[[#This Row],[коэф]]),
IF(OR(AND(G40="3/8",AM40&gt;0.5),AND(G40="2/8",AM40&gt;0.5)),(AM40*2*база!$J$4*Таблица14[[#This Row],[коэф]]),
(AM40*0.5*база!$L$4*Таблица14[[#This Row],[коэф]]))))))))))))),
(IF(AND(G40="5/24",AM40&gt;0.5),(AM40*2*база!$M$6*Таблица14[[#This Row],[коэф]]),
IF(OR(AND(G40="4/24",AM40&gt;0.5),AND(G40="3/24",AM40&gt;0.5)),(AM40*2*база!$M$5*Таблица14[[#This Row],[коэф]]),
IF(AND(G40="5/16",AM40&gt;0.5),(AM40*2*база!$L$6*Таблица14[[#This Row],[коэф]]),
IF(OR(AND(G40="4/16",AM40&gt;0.5),AND(G40="3/16",AM40&gt;0.5)),(AM40*2*база!$L$5*Таблица14[[#This Row],[коэф]]),
IF(OR(AND(G40="4/4",AM40&gt;0.5),AND(G40="3/4",AM40&gt;2)),(AM40*2*база!$I$5*Таблица14[[#This Row],[коэф]]),
IF(AND(G40="5/8",AM40&gt;0.5),(AM40*2*база!$J$6*Таблица14[[#This Row],[коэф]]),
IF(AND(G40="4/8",AM40&gt;0.5),(AM40*2*база!$J$5*Таблица14[[#This Row],[коэф]]),
IF(OR(AND(G40="3/8",AM40&gt;0.5),AND(G40="2/8",AM40&gt;0.5)),(AM40*2*база!$J$4*Таблица14[[#This Row],[коэф]]),
(AM40*2*база!$L$5*Таблица14[[#This Row],[коэф]])))))))))))</f>
        <v>0</v>
      </c>
      <c r="AO40" s="121">
        <f>IFERROR(INDEX(база!$D$2:$D$120, MATCH(Таблица14[[#This Row],[Ф. И. О.]],база!$B$2:$B$100,0)),"")</f>
        <v>0</v>
      </c>
    </row>
    <row r="41" spans="1:45" s="46" customFormat="1" ht="13.5" customHeight="1">
      <c r="A41" s="206" t="str">
        <f t="shared" si="0"/>
        <v>декабрь</v>
      </c>
      <c r="B41" s="203">
        <v>2023</v>
      </c>
      <c r="C41" s="572"/>
      <c r="D41" s="213"/>
      <c r="E41" s="242"/>
      <c r="F41" s="698"/>
      <c r="G41" s="205"/>
      <c r="H41" s="214"/>
      <c r="I41" s="214"/>
      <c r="J41" s="214"/>
      <c r="K41" s="214"/>
      <c r="L41" s="214"/>
      <c r="M41" s="214"/>
      <c r="N41" s="214"/>
      <c r="O41" s="214"/>
      <c r="P41" s="214"/>
      <c r="Q41" s="214"/>
      <c r="R41" s="214"/>
      <c r="S41" s="214"/>
      <c r="T41" s="214"/>
      <c r="U41" s="214"/>
      <c r="V41" s="214"/>
      <c r="W41" s="214"/>
      <c r="X41" s="214"/>
      <c r="Y41" s="214"/>
      <c r="Z41" s="214"/>
      <c r="AA41" s="214"/>
      <c r="AB41" s="214"/>
      <c r="AC41" s="214"/>
      <c r="AD41" s="214"/>
      <c r="AE41" s="214"/>
      <c r="AF41" s="214"/>
      <c r="AG41" s="214"/>
      <c r="AH41" s="214"/>
      <c r="AI41" s="214"/>
      <c r="AJ41" s="214"/>
      <c r="AK41" s="214"/>
      <c r="AL41" s="214"/>
      <c r="AM41" s="120">
        <f t="shared" si="1"/>
        <v>0</v>
      </c>
      <c r="AN41" s="564">
        <f>IF(AO41&lt;=3,(IF(AND(G41="5/24",AM41&gt;0.5),(AM41*2*база!$M$6*Таблица14[[#This Row],[коэф]]),
IF(AND(G41="4/24",AM41&gt;0.5),(AM41*2*база!$M$5*Таблица14[[#This Row],[коэф]]),
IF(AND(G41="3/24",AM41&gt;0.5),(AM41*2*база!$M$4*Таблица14[[#This Row],[коэф]]),
IF(AND(G41="5/16",AM41&gt;0.5),(AM41*2*база!$L$6*Таблица14[[#This Row],[коэф]]),
IF(AND(G41="4/16",AM41&gt;0.5),(AM41*2*база!$L$5*Таблица14[[#This Row],[коэф]]),
IF(AND(G41="3/16",AM41&gt;0.5),(AM41*2*база!$L$4*Таблица14[[#This Row],[коэф]]),
IF(AND(G41="4/4",AM41&gt;0.5),(AM41*2*база!$I$5*Таблица14[[#This Row],[коэф]]),
IF(OR(AND(G41="3/4",AM41&gt;0.5),AND(G41="2/4",AM41&gt;0.5)),(AM41*2*база!$I$4*Таблица14[[#This Row],[коэф]]),
IF(AND(G41="5/8",AM41&gt;0.5),(AM41*2*база!$J$6*Таблица14[[#This Row],[коэф]]),
IF(AND(G41="4/8",AM41&gt;0.5),(AM41*2*база!$J$5*Таблица14[[#This Row],[коэф]]),
IF(OR(AND(G41="3/8",AM41&gt;0.5),AND(G41="2/8",AM41&gt;0.5)),(AM41*2*база!$J$4*Таблица14[[#This Row],[коэф]]),
(AM41*0.5*база!$L$4*Таблица14[[#This Row],[коэф]]))))))))))))),
(IF(AND(G41="5/24",AM41&gt;0.5),(AM41*2*база!$M$6*Таблица14[[#This Row],[коэф]]),
IF(OR(AND(G41="4/24",AM41&gt;0.5),AND(G41="3/24",AM41&gt;0.5)),(AM41*2*база!$M$5*Таблица14[[#This Row],[коэф]]),
IF(AND(G41="5/16",AM41&gt;0.5),(AM41*2*база!$L$6*Таблица14[[#This Row],[коэф]]),
IF(OR(AND(G41="4/16",AM41&gt;0.5),AND(G41="3/16",AM41&gt;0.5)),(AM41*2*база!$L$5*Таблица14[[#This Row],[коэф]]),
IF(OR(AND(G41="4/4",AM41&gt;0.5),AND(G41="3/4",AM41&gt;2)),(AM41*2*база!$I$5*Таблица14[[#This Row],[коэф]]),
IF(AND(G41="5/8",AM41&gt;0.5),(AM41*2*база!$J$6*Таблица14[[#This Row],[коэф]]),
IF(AND(G41="4/8",AM41&gt;0.5),(AM41*2*база!$J$5*Таблица14[[#This Row],[коэф]]),
IF(OR(AND(G41="3/8",AM41&gt;0.5),AND(G41="2/8",AM41&gt;0.5)),(AM41*2*база!$J$4*Таблица14[[#This Row],[коэф]]),
(AM41*2*база!$L$5*Таблица14[[#This Row],[коэф]])))))))))))</f>
        <v>0</v>
      </c>
      <c r="AO41" s="121">
        <f>IFERROR(INDEX(база!$D$2:$D$120, MATCH(Таблица14[[#This Row],[Ф. И. О.]],база!$B$2:$B$100,0)),"")</f>
        <v>0</v>
      </c>
    </row>
    <row r="42" spans="1:45" s="46" customFormat="1" ht="13.5" customHeight="1">
      <c r="A42" s="206" t="str">
        <f t="shared" si="0"/>
        <v>декабрь</v>
      </c>
      <c r="B42" s="239">
        <v>2023</v>
      </c>
      <c r="C42" s="572"/>
      <c r="D42" s="213"/>
      <c r="E42" s="240"/>
      <c r="F42" s="698"/>
      <c r="G42" s="241"/>
      <c r="H42" s="214"/>
      <c r="I42" s="214"/>
      <c r="J42" s="214"/>
      <c r="K42" s="214"/>
      <c r="L42" s="214"/>
      <c r="M42" s="214"/>
      <c r="N42" s="214"/>
      <c r="O42" s="214"/>
      <c r="P42" s="214"/>
      <c r="Q42" s="214"/>
      <c r="R42" s="214"/>
      <c r="S42" s="214"/>
      <c r="T42" s="214"/>
      <c r="U42" s="214"/>
      <c r="V42" s="214"/>
      <c r="W42" s="214"/>
      <c r="X42" s="214"/>
      <c r="Y42" s="214"/>
      <c r="Z42" s="214"/>
      <c r="AA42" s="214"/>
      <c r="AB42" s="214"/>
      <c r="AC42" s="214"/>
      <c r="AD42" s="214"/>
      <c r="AE42" s="214"/>
      <c r="AF42" s="214"/>
      <c r="AG42" s="214"/>
      <c r="AH42" s="214"/>
      <c r="AI42" s="214"/>
      <c r="AJ42" s="214"/>
      <c r="AK42" s="214"/>
      <c r="AL42" s="214"/>
      <c r="AM42" s="120">
        <f t="shared" si="1"/>
        <v>0</v>
      </c>
      <c r="AN42" s="564">
        <f>IF(AO42&lt;=3,(IF(AND(G42="5/24",AM42&gt;0.5),(AM42*2*база!$M$6*Таблица14[[#This Row],[коэф]]),
IF(AND(G42="4/24",AM42&gt;0.5),(AM42*2*база!$M$5*Таблица14[[#This Row],[коэф]]),
IF(AND(G42="3/24",AM42&gt;0.5),(AM42*2*база!$M$4*Таблица14[[#This Row],[коэф]]),
IF(AND(G42="5/16",AM42&gt;0.5),(AM42*2*база!$L$6*Таблица14[[#This Row],[коэф]]),
IF(AND(G42="4/16",AM42&gt;0.5),(AM42*2*база!$L$5*Таблица14[[#This Row],[коэф]]),
IF(AND(G42="3/16",AM42&gt;0.5),(AM42*2*база!$L$4*Таблица14[[#This Row],[коэф]]),
IF(AND(G42="4/4",AM42&gt;0.5),(AM42*2*база!$I$5*Таблица14[[#This Row],[коэф]]),
IF(OR(AND(G42="3/4",AM42&gt;0.5),AND(G42="2/4",AM42&gt;0.5)),(AM42*2*база!$I$4*Таблица14[[#This Row],[коэф]]),
IF(AND(G42="5/8",AM42&gt;0.5),(AM42*2*база!$J$6*Таблица14[[#This Row],[коэф]]),
IF(AND(G42="4/8",AM42&gt;0.5),(AM42*2*база!$J$5*Таблица14[[#This Row],[коэф]]),
IF(OR(AND(G42="3/8",AM42&gt;0.5),AND(G42="2/8",AM42&gt;0.5)),(AM42*2*база!$J$4*Таблица14[[#This Row],[коэф]]),
(AM42*0.5*база!$L$4*Таблица14[[#This Row],[коэф]]))))))))))))),
(IF(AND(G42="5/24",AM42&gt;0.5),(AM42*2*база!$M$6*Таблица14[[#This Row],[коэф]]),
IF(OR(AND(G42="4/24",AM42&gt;0.5),AND(G42="3/24",AM42&gt;0.5)),(AM42*2*база!$M$5*Таблица14[[#This Row],[коэф]]),
IF(AND(G42="5/16",AM42&gt;0.5),(AM42*2*база!$L$6*Таблица14[[#This Row],[коэф]]),
IF(OR(AND(G42="4/16",AM42&gt;0.5),AND(G42="3/16",AM42&gt;0.5)),(AM42*2*база!$L$5*Таблица14[[#This Row],[коэф]]),
IF(OR(AND(G42="4/4",AM42&gt;0.5),AND(G42="3/4",AM42&gt;2)),(AM42*2*база!$I$5*Таблица14[[#This Row],[коэф]]),
IF(AND(G42="5/8",AM42&gt;0.5),(AM42*2*база!$J$6*Таблица14[[#This Row],[коэф]]),
IF(AND(G42="4/8",AM42&gt;0.5),(AM42*2*база!$J$5*Таблица14[[#This Row],[коэф]]),
IF(OR(AND(G42="3/8",AM42&gt;0.5),AND(G42="2/8",AM42&gt;0.5)),(AM42*2*база!$J$4*Таблица14[[#This Row],[коэф]]),
(AM42*2*база!$L$5*Таблица14[[#This Row],[коэф]])))))))))))</f>
        <v>0</v>
      </c>
      <c r="AO42" s="121">
        <f>IFERROR(INDEX(база!$D$2:$D$120, MATCH(Таблица14[[#This Row],[Ф. И. О.]],база!$B$2:$B$100,0)),"")</f>
        <v>0</v>
      </c>
    </row>
    <row r="43" spans="1:45" s="46" customFormat="1" ht="13.5" customHeight="1">
      <c r="A43" s="206" t="str">
        <f t="shared" si="0"/>
        <v>декабрь</v>
      </c>
      <c r="B43" s="203">
        <v>2023</v>
      </c>
      <c r="C43" s="572"/>
      <c r="D43" s="213"/>
      <c r="E43" s="242"/>
      <c r="F43" s="698"/>
      <c r="G43" s="205"/>
      <c r="H43" s="214"/>
      <c r="I43" s="214"/>
      <c r="J43" s="214"/>
      <c r="K43" s="214"/>
      <c r="L43" s="214"/>
      <c r="M43" s="214"/>
      <c r="N43" s="214"/>
      <c r="O43" s="214"/>
      <c r="P43" s="214"/>
      <c r="Q43" s="214"/>
      <c r="R43" s="214"/>
      <c r="S43" s="214"/>
      <c r="T43" s="214"/>
      <c r="U43" s="214"/>
      <c r="V43" s="214"/>
      <c r="W43" s="214"/>
      <c r="X43" s="214"/>
      <c r="Y43" s="214"/>
      <c r="Z43" s="214"/>
      <c r="AA43" s="214"/>
      <c r="AB43" s="214"/>
      <c r="AC43" s="214"/>
      <c r="AD43" s="214"/>
      <c r="AE43" s="214"/>
      <c r="AF43" s="214"/>
      <c r="AG43" s="214"/>
      <c r="AH43" s="214"/>
      <c r="AI43" s="214"/>
      <c r="AJ43" s="214"/>
      <c r="AK43" s="214"/>
      <c r="AL43" s="214"/>
      <c r="AM43" s="120">
        <f t="shared" si="1"/>
        <v>0</v>
      </c>
      <c r="AN43" s="564">
        <f>IF(AO43&lt;=3,(IF(AND(G43="5/24",AM43&gt;0.5),(AM43*2*база!$M$6*Таблица14[[#This Row],[коэф]]),
IF(AND(G43="4/24",AM43&gt;0.5),(AM43*2*база!$M$5*Таблица14[[#This Row],[коэф]]),
IF(AND(G43="3/24",AM43&gt;0.5),(AM43*2*база!$M$4*Таблица14[[#This Row],[коэф]]),
IF(AND(G43="5/16",AM43&gt;0.5),(AM43*2*база!$L$6*Таблица14[[#This Row],[коэф]]),
IF(AND(G43="4/16",AM43&gt;0.5),(AM43*2*база!$L$5*Таблица14[[#This Row],[коэф]]),
IF(AND(G43="3/16",AM43&gt;0.5),(AM43*2*база!$L$4*Таблица14[[#This Row],[коэф]]),
IF(AND(G43="4/4",AM43&gt;0.5),(AM43*2*база!$I$5*Таблица14[[#This Row],[коэф]]),
IF(OR(AND(G43="3/4",AM43&gt;0.5),AND(G43="2/4",AM43&gt;0.5)),(AM43*2*база!$I$4*Таблица14[[#This Row],[коэф]]),
IF(AND(G43="5/8",AM43&gt;0.5),(AM43*2*база!$J$6*Таблица14[[#This Row],[коэф]]),
IF(AND(G43="4/8",AM43&gt;0.5),(AM43*2*база!$J$5*Таблица14[[#This Row],[коэф]]),
IF(OR(AND(G43="3/8",AM43&gt;0.5),AND(G43="2/8",AM43&gt;0.5)),(AM43*2*база!$J$4*Таблица14[[#This Row],[коэф]]),
(AM43*0.5*база!$L$4*Таблица14[[#This Row],[коэф]]))))))))))))),
(IF(AND(G43="5/24",AM43&gt;0.5),(AM43*2*база!$M$6*Таблица14[[#This Row],[коэф]]),
IF(OR(AND(G43="4/24",AM43&gt;0.5),AND(G43="3/24",AM43&gt;0.5)),(AM43*2*база!$M$5*Таблица14[[#This Row],[коэф]]),
IF(AND(G43="5/16",AM43&gt;0.5),(AM43*2*база!$L$6*Таблица14[[#This Row],[коэф]]),
IF(OR(AND(G43="4/16",AM43&gt;0.5),AND(G43="3/16",AM43&gt;0.5)),(AM43*2*база!$L$5*Таблица14[[#This Row],[коэф]]),
IF(OR(AND(G43="4/4",AM43&gt;0.5),AND(G43="3/4",AM43&gt;2)),(AM43*2*база!$I$5*Таблица14[[#This Row],[коэф]]),
IF(AND(G43="5/8",AM43&gt;0.5),(AM43*2*база!$J$6*Таблица14[[#This Row],[коэф]]),
IF(AND(G43="4/8",AM43&gt;0.5),(AM43*2*база!$J$5*Таблица14[[#This Row],[коэф]]),
IF(OR(AND(G43="3/8",AM43&gt;0.5),AND(G43="2/8",AM43&gt;0.5)),(AM43*2*база!$J$4*Таблица14[[#This Row],[коэф]]),
(AM43*2*база!$L$5*Таблица14[[#This Row],[коэф]])))))))))))</f>
        <v>0</v>
      </c>
      <c r="AO43" s="121">
        <f>IFERROR(INDEX(база!$D$2:$D$120, MATCH(Таблица14[[#This Row],[Ф. И. О.]],база!$B$2:$B$100,0)),"")</f>
        <v>0</v>
      </c>
    </row>
    <row r="44" spans="1:45" s="46" customFormat="1" ht="13.5" customHeight="1">
      <c r="A44" s="206" t="str">
        <f t="shared" si="0"/>
        <v>декабрь</v>
      </c>
      <c r="B44" s="239">
        <v>2023</v>
      </c>
      <c r="C44" s="572"/>
      <c r="D44" s="213"/>
      <c r="E44" s="240"/>
      <c r="F44" s="698"/>
      <c r="G44" s="241"/>
      <c r="H44" s="214"/>
      <c r="I44" s="214"/>
      <c r="J44" s="214"/>
      <c r="K44" s="214"/>
      <c r="L44" s="214"/>
      <c r="M44" s="214"/>
      <c r="N44" s="214"/>
      <c r="O44" s="214"/>
      <c r="P44" s="214"/>
      <c r="Q44" s="214"/>
      <c r="R44" s="214"/>
      <c r="S44" s="214"/>
      <c r="T44" s="214"/>
      <c r="U44" s="214"/>
      <c r="V44" s="214"/>
      <c r="W44" s="214"/>
      <c r="X44" s="214"/>
      <c r="Y44" s="214"/>
      <c r="Z44" s="214"/>
      <c r="AA44" s="214"/>
      <c r="AB44" s="214"/>
      <c r="AC44" s="214"/>
      <c r="AD44" s="214"/>
      <c r="AE44" s="214"/>
      <c r="AF44" s="214"/>
      <c r="AG44" s="214"/>
      <c r="AH44" s="214"/>
      <c r="AI44" s="214"/>
      <c r="AJ44" s="214"/>
      <c r="AK44" s="214"/>
      <c r="AL44" s="214"/>
      <c r="AM44" s="120">
        <f t="shared" si="1"/>
        <v>0</v>
      </c>
      <c r="AN44" s="564">
        <f>IF(AO44&lt;=3,(IF(AND(G44="5/24",AM44&gt;0.5),(AM44*2*база!$M$6*Таблица14[[#This Row],[коэф]]),
IF(AND(G44="4/24",AM44&gt;0.5),(AM44*2*база!$M$5*Таблица14[[#This Row],[коэф]]),
IF(AND(G44="3/24",AM44&gt;0.5),(AM44*2*база!$M$4*Таблица14[[#This Row],[коэф]]),
IF(AND(G44="5/16",AM44&gt;0.5),(AM44*2*база!$L$6*Таблица14[[#This Row],[коэф]]),
IF(AND(G44="4/16",AM44&gt;0.5),(AM44*2*база!$L$5*Таблица14[[#This Row],[коэф]]),
IF(AND(G44="3/16",AM44&gt;0.5),(AM44*2*база!$L$4*Таблица14[[#This Row],[коэф]]),
IF(AND(G44="4/4",AM44&gt;0.5),(AM44*2*база!$I$5*Таблица14[[#This Row],[коэф]]),
IF(OR(AND(G44="3/4",AM44&gt;0.5),AND(G44="2/4",AM44&gt;0.5)),(AM44*2*база!$I$4*Таблица14[[#This Row],[коэф]]),
IF(AND(G44="5/8",AM44&gt;0.5),(AM44*2*база!$J$6*Таблица14[[#This Row],[коэф]]),
IF(AND(G44="4/8",AM44&gt;0.5),(AM44*2*база!$J$5*Таблица14[[#This Row],[коэф]]),
IF(OR(AND(G44="3/8",AM44&gt;0.5),AND(G44="2/8",AM44&gt;0.5)),(AM44*2*база!$J$4*Таблица14[[#This Row],[коэф]]),
(AM44*0.5*база!$L$4*Таблица14[[#This Row],[коэф]]))))))))))))),
(IF(AND(G44="5/24",AM44&gt;0.5),(AM44*2*база!$M$6*Таблица14[[#This Row],[коэф]]),
IF(OR(AND(G44="4/24",AM44&gt;0.5),AND(G44="3/24",AM44&gt;0.5)),(AM44*2*база!$M$5*Таблица14[[#This Row],[коэф]]),
IF(AND(G44="5/16",AM44&gt;0.5),(AM44*2*база!$L$6*Таблица14[[#This Row],[коэф]]),
IF(OR(AND(G44="4/16",AM44&gt;0.5),AND(G44="3/16",AM44&gt;0.5)),(AM44*2*база!$L$5*Таблица14[[#This Row],[коэф]]),
IF(OR(AND(G44="4/4",AM44&gt;0.5),AND(G44="3/4",AM44&gt;2)),(AM44*2*база!$I$5*Таблица14[[#This Row],[коэф]]),
IF(AND(G44="5/8",AM44&gt;0.5),(AM44*2*база!$J$6*Таблица14[[#This Row],[коэф]]),
IF(AND(G44="4/8",AM44&gt;0.5),(AM44*2*база!$J$5*Таблица14[[#This Row],[коэф]]),
IF(OR(AND(G44="3/8",AM44&gt;0.5),AND(G44="2/8",AM44&gt;0.5)),(AM44*2*база!$J$4*Таблица14[[#This Row],[коэф]]),
(AM44*2*база!$L$5*Таблица14[[#This Row],[коэф]])))))))))))</f>
        <v>0</v>
      </c>
      <c r="AO44" s="121">
        <f>IFERROR(INDEX(база!$D$2:$D$120, MATCH(Таблица14[[#This Row],[Ф. И. О.]],база!$B$2:$B$100,0)),"")</f>
        <v>0</v>
      </c>
    </row>
    <row r="45" spans="1:45" s="46" customFormat="1" ht="13.5" customHeight="1">
      <c r="A45" s="206" t="str">
        <f t="shared" si="0"/>
        <v>декабрь</v>
      </c>
      <c r="B45" s="203">
        <v>2023</v>
      </c>
      <c r="C45" s="572"/>
      <c r="D45" s="213"/>
      <c r="E45" s="242"/>
      <c r="F45" s="698"/>
      <c r="G45" s="205"/>
      <c r="H45" s="214"/>
      <c r="I45" s="214"/>
      <c r="J45" s="214"/>
      <c r="K45" s="214"/>
      <c r="L45" s="214"/>
      <c r="M45" s="214"/>
      <c r="N45" s="214"/>
      <c r="O45" s="214"/>
      <c r="P45" s="214"/>
      <c r="Q45" s="214"/>
      <c r="R45" s="214"/>
      <c r="S45" s="214"/>
      <c r="T45" s="214"/>
      <c r="U45" s="214"/>
      <c r="V45" s="214"/>
      <c r="W45" s="214"/>
      <c r="X45" s="214"/>
      <c r="Y45" s="214"/>
      <c r="Z45" s="214"/>
      <c r="AA45" s="214"/>
      <c r="AB45" s="214"/>
      <c r="AC45" s="214"/>
      <c r="AD45" s="214"/>
      <c r="AE45" s="214"/>
      <c r="AF45" s="214"/>
      <c r="AG45" s="214"/>
      <c r="AH45" s="214"/>
      <c r="AI45" s="214"/>
      <c r="AJ45" s="214"/>
      <c r="AK45" s="214"/>
      <c r="AL45" s="214"/>
      <c r="AM45" s="120">
        <f t="shared" si="1"/>
        <v>0</v>
      </c>
      <c r="AN45" s="564">
        <f>IF(AO45&lt;=3,(IF(AND(G45="5/24",AM45&gt;0.5),(AM45*2*база!$M$6*Таблица14[[#This Row],[коэф]]),
IF(AND(G45="4/24",AM45&gt;0.5),(AM45*2*база!$M$5*Таблица14[[#This Row],[коэф]]),
IF(AND(G45="3/24",AM45&gt;0.5),(AM45*2*база!$M$4*Таблица14[[#This Row],[коэф]]),
IF(AND(G45="5/16",AM45&gt;0.5),(AM45*2*база!$L$6*Таблица14[[#This Row],[коэф]]),
IF(AND(G45="4/16",AM45&gt;0.5),(AM45*2*база!$L$5*Таблица14[[#This Row],[коэф]]),
IF(AND(G45="3/16",AM45&gt;0.5),(AM45*2*база!$L$4*Таблица14[[#This Row],[коэф]]),
IF(AND(G45="4/4",AM45&gt;0.5),(AM45*2*база!$I$5*Таблица14[[#This Row],[коэф]]),
IF(OR(AND(G45="3/4",AM45&gt;0.5),AND(G45="2/4",AM45&gt;0.5)),(AM45*2*база!$I$4*Таблица14[[#This Row],[коэф]]),
IF(AND(G45="5/8",AM45&gt;0.5),(AM45*2*база!$J$6*Таблица14[[#This Row],[коэф]]),
IF(AND(G45="4/8",AM45&gt;0.5),(AM45*2*база!$J$5*Таблица14[[#This Row],[коэф]]),
IF(OR(AND(G45="3/8",AM45&gt;0.5),AND(G45="2/8",AM45&gt;0.5)),(AM45*2*база!$J$4*Таблица14[[#This Row],[коэф]]),
(AM45*0.5*база!$L$4*Таблица14[[#This Row],[коэф]]))))))))))))),
(IF(AND(G45="5/24",AM45&gt;0.5),(AM45*2*база!$M$6*Таблица14[[#This Row],[коэф]]),
IF(OR(AND(G45="4/24",AM45&gt;0.5),AND(G45="3/24",AM45&gt;0.5)),(AM45*2*база!$M$5*Таблица14[[#This Row],[коэф]]),
IF(AND(G45="5/16",AM45&gt;0.5),(AM45*2*база!$L$6*Таблица14[[#This Row],[коэф]]),
IF(OR(AND(G45="4/16",AM45&gt;0.5),AND(G45="3/16",AM45&gt;0.5)),(AM45*2*база!$L$5*Таблица14[[#This Row],[коэф]]),
IF(OR(AND(G45="4/4",AM45&gt;0.5),AND(G45="3/4",AM45&gt;2)),(AM45*2*база!$I$5*Таблица14[[#This Row],[коэф]]),
IF(AND(G45="5/8",AM45&gt;0.5),(AM45*2*база!$J$6*Таблица14[[#This Row],[коэф]]),
IF(AND(G45="4/8",AM45&gt;0.5),(AM45*2*база!$J$5*Таблица14[[#This Row],[коэф]]),
IF(OR(AND(G45="3/8",AM45&gt;0.5),AND(G45="2/8",AM45&gt;0.5)),(AM45*2*база!$J$4*Таблица14[[#This Row],[коэф]]),
(AM45*2*база!$L$5*Таблица14[[#This Row],[коэф]])))))))))))</f>
        <v>0</v>
      </c>
      <c r="AO45" s="121">
        <f>IFERROR(INDEX(база!$D$2:$D$120, MATCH(Таблица14[[#This Row],[Ф. И. О.]],база!$B$2:$B$100,0)),"")</f>
        <v>0</v>
      </c>
    </row>
    <row r="46" spans="1:45" s="46" customFormat="1" ht="13.5" customHeight="1">
      <c r="A46" s="206" t="str">
        <f t="shared" si="0"/>
        <v>декабрь</v>
      </c>
      <c r="B46" s="239">
        <v>2023</v>
      </c>
      <c r="C46" s="572"/>
      <c r="D46" s="213"/>
      <c r="E46" s="240"/>
      <c r="F46" s="698"/>
      <c r="G46" s="241"/>
      <c r="H46" s="214"/>
      <c r="I46" s="214"/>
      <c r="J46" s="214"/>
      <c r="K46" s="214"/>
      <c r="L46" s="214"/>
      <c r="M46" s="214"/>
      <c r="N46" s="214"/>
      <c r="O46" s="214"/>
      <c r="P46" s="214"/>
      <c r="Q46" s="214"/>
      <c r="R46" s="214"/>
      <c r="S46" s="214"/>
      <c r="T46" s="214"/>
      <c r="U46" s="214"/>
      <c r="V46" s="214"/>
      <c r="W46" s="214"/>
      <c r="X46" s="214"/>
      <c r="Y46" s="214"/>
      <c r="Z46" s="214"/>
      <c r="AA46" s="214"/>
      <c r="AB46" s="214"/>
      <c r="AC46" s="214"/>
      <c r="AD46" s="214"/>
      <c r="AE46" s="214"/>
      <c r="AF46" s="214"/>
      <c r="AG46" s="214"/>
      <c r="AH46" s="214"/>
      <c r="AI46" s="214"/>
      <c r="AJ46" s="214"/>
      <c r="AK46" s="214"/>
      <c r="AL46" s="214"/>
      <c r="AM46" s="120">
        <f t="shared" si="1"/>
        <v>0</v>
      </c>
      <c r="AN46" s="564">
        <f>IF(AO46&lt;=3,(IF(AND(G46="5/24",AM46&gt;0.5),(AM46*2*база!$M$6*Таблица14[[#This Row],[коэф]]),
IF(AND(G46="4/24",AM46&gt;0.5),(AM46*2*база!$M$5*Таблица14[[#This Row],[коэф]]),
IF(AND(G46="3/24",AM46&gt;0.5),(AM46*2*база!$M$4*Таблица14[[#This Row],[коэф]]),
IF(AND(G46="5/16",AM46&gt;0.5),(AM46*2*база!$L$6*Таблица14[[#This Row],[коэф]]),
IF(AND(G46="4/16",AM46&gt;0.5),(AM46*2*база!$L$5*Таблица14[[#This Row],[коэф]]),
IF(AND(G46="3/16",AM46&gt;0.5),(AM46*2*база!$L$4*Таблица14[[#This Row],[коэф]]),
IF(AND(G46="4/4",AM46&gt;0.5),(AM46*2*база!$I$5*Таблица14[[#This Row],[коэф]]),
IF(OR(AND(G46="3/4",AM46&gt;0.5),AND(G46="2/4",AM46&gt;0.5)),(AM46*2*база!$I$4*Таблица14[[#This Row],[коэф]]),
IF(AND(G46="5/8",AM46&gt;0.5),(AM46*2*база!$J$6*Таблица14[[#This Row],[коэф]]),
IF(AND(G46="4/8",AM46&gt;0.5),(AM46*2*база!$J$5*Таблица14[[#This Row],[коэф]]),
IF(OR(AND(G46="3/8",AM46&gt;0.5),AND(G46="2/8",AM46&gt;0.5)),(AM46*2*база!$J$4*Таблица14[[#This Row],[коэф]]),
(AM46*0.5*база!$L$4*Таблица14[[#This Row],[коэф]]))))))))))))),
(IF(AND(G46="5/24",AM46&gt;0.5),(AM46*2*база!$M$6*Таблица14[[#This Row],[коэф]]),
IF(OR(AND(G46="4/24",AM46&gt;0.5),AND(G46="3/24",AM46&gt;0.5)),(AM46*2*база!$M$5*Таблица14[[#This Row],[коэф]]),
IF(AND(G46="5/16",AM46&gt;0.5),(AM46*2*база!$L$6*Таблица14[[#This Row],[коэф]]),
IF(OR(AND(G46="4/16",AM46&gt;0.5),AND(G46="3/16",AM46&gt;0.5)),(AM46*2*база!$L$5*Таблица14[[#This Row],[коэф]]),
IF(OR(AND(G46="4/4",AM46&gt;0.5),AND(G46="3/4",AM46&gt;2)),(AM46*2*база!$I$5*Таблица14[[#This Row],[коэф]]),
IF(AND(G46="5/8",AM46&gt;0.5),(AM46*2*база!$J$6*Таблица14[[#This Row],[коэф]]),
IF(AND(G46="4/8",AM46&gt;0.5),(AM46*2*база!$J$5*Таблица14[[#This Row],[коэф]]),
IF(OR(AND(G46="3/8",AM46&gt;0.5),AND(G46="2/8",AM46&gt;0.5)),(AM46*2*база!$J$4*Таблица14[[#This Row],[коэф]]),
(AM46*2*база!$L$5*Таблица14[[#This Row],[коэф]])))))))))))</f>
        <v>0</v>
      </c>
      <c r="AO46" s="121">
        <f>IFERROR(INDEX(база!$D$2:$D$120, MATCH(Таблица14[[#This Row],[Ф. И. О.]],база!$B$2:$B$100,0)),"")</f>
        <v>0</v>
      </c>
    </row>
    <row r="47" spans="1:45" s="46" customFormat="1" ht="13.5" customHeight="1">
      <c r="A47" s="206" t="str">
        <f t="shared" si="0"/>
        <v>декабрь</v>
      </c>
      <c r="B47" s="203">
        <v>2023</v>
      </c>
      <c r="C47" s="572"/>
      <c r="D47" s="213"/>
      <c r="E47" s="242"/>
      <c r="F47" s="698"/>
      <c r="G47" s="205"/>
      <c r="H47" s="214"/>
      <c r="I47" s="214"/>
      <c r="J47" s="214"/>
      <c r="K47" s="214"/>
      <c r="L47" s="214"/>
      <c r="M47" s="214"/>
      <c r="N47" s="214"/>
      <c r="O47" s="214"/>
      <c r="P47" s="214"/>
      <c r="Q47" s="214"/>
      <c r="R47" s="214"/>
      <c r="S47" s="214"/>
      <c r="T47" s="214"/>
      <c r="U47" s="214"/>
      <c r="V47" s="214"/>
      <c r="W47" s="214"/>
      <c r="X47" s="214"/>
      <c r="Y47" s="214"/>
      <c r="Z47" s="214"/>
      <c r="AA47" s="214"/>
      <c r="AB47" s="214"/>
      <c r="AC47" s="214"/>
      <c r="AD47" s="214"/>
      <c r="AE47" s="214"/>
      <c r="AF47" s="214"/>
      <c r="AG47" s="214"/>
      <c r="AH47" s="214"/>
      <c r="AI47" s="214"/>
      <c r="AJ47" s="214"/>
      <c r="AK47" s="214"/>
      <c r="AL47" s="214"/>
      <c r="AM47" s="120">
        <f t="shared" si="1"/>
        <v>0</v>
      </c>
      <c r="AN47" s="564">
        <f>IF(AO47&lt;=3,(IF(AND(G47="5/24",AM47&gt;0.5),(AM47*2*база!$M$6*Таблица14[[#This Row],[коэф]]),
IF(AND(G47="4/24",AM47&gt;0.5),(AM47*2*база!$M$5*Таблица14[[#This Row],[коэф]]),
IF(AND(G47="3/24",AM47&gt;0.5),(AM47*2*база!$M$4*Таблица14[[#This Row],[коэф]]),
IF(AND(G47="5/16",AM47&gt;0.5),(AM47*2*база!$L$6*Таблица14[[#This Row],[коэф]]),
IF(AND(G47="4/16",AM47&gt;0.5),(AM47*2*база!$L$5*Таблица14[[#This Row],[коэф]]),
IF(AND(G47="3/16",AM47&gt;0.5),(AM47*2*база!$L$4*Таблица14[[#This Row],[коэф]]),
IF(AND(G47="4/4",AM47&gt;0.5),(AM47*2*база!$I$5*Таблица14[[#This Row],[коэф]]),
IF(OR(AND(G47="3/4",AM47&gt;0.5),AND(G47="2/4",AM47&gt;0.5)),(AM47*2*база!$I$4*Таблица14[[#This Row],[коэф]]),
IF(AND(G47="5/8",AM47&gt;0.5),(AM47*2*база!$J$6*Таблица14[[#This Row],[коэф]]),
IF(AND(G47="4/8",AM47&gt;0.5),(AM47*2*база!$J$5*Таблица14[[#This Row],[коэф]]),
IF(OR(AND(G47="3/8",AM47&gt;0.5),AND(G47="2/8",AM47&gt;0.5)),(AM47*2*база!$J$4*Таблица14[[#This Row],[коэф]]),
(AM47*0.5*база!$L$4*Таблица14[[#This Row],[коэф]]))))))))))))),
(IF(AND(G47="5/24",AM47&gt;0.5),(AM47*2*база!$M$6*Таблица14[[#This Row],[коэф]]),
IF(OR(AND(G47="4/24",AM47&gt;0.5),AND(G47="3/24",AM47&gt;0.5)),(AM47*2*база!$M$5*Таблица14[[#This Row],[коэф]]),
IF(AND(G47="5/16",AM47&gt;0.5),(AM47*2*база!$L$6*Таблица14[[#This Row],[коэф]]),
IF(OR(AND(G47="4/16",AM47&gt;0.5),AND(G47="3/16",AM47&gt;0.5)),(AM47*2*база!$L$5*Таблица14[[#This Row],[коэф]]),
IF(OR(AND(G47="4/4",AM47&gt;0.5),AND(G47="3/4",AM47&gt;2)),(AM47*2*база!$I$5*Таблица14[[#This Row],[коэф]]),
IF(AND(G47="5/8",AM47&gt;0.5),(AM47*2*база!$J$6*Таблица14[[#This Row],[коэф]]),
IF(AND(G47="4/8",AM47&gt;0.5),(AM47*2*база!$J$5*Таблица14[[#This Row],[коэф]]),
IF(OR(AND(G47="3/8",AM47&gt;0.5),AND(G47="2/8",AM47&gt;0.5)),(AM47*2*база!$J$4*Таблица14[[#This Row],[коэф]]),
(AM47*2*база!$L$5*Таблица14[[#This Row],[коэф]])))))))))))</f>
        <v>0</v>
      </c>
      <c r="AO47" s="121">
        <f>IFERROR(INDEX(база!$D$2:$D$120, MATCH(Таблица14[[#This Row],[Ф. И. О.]],база!$B$2:$B$100,0)),"")</f>
        <v>0</v>
      </c>
    </row>
    <row r="48" spans="1:45" s="46" customFormat="1" ht="13.5" customHeight="1">
      <c r="A48" s="206" t="str">
        <f t="shared" si="0"/>
        <v>декабрь</v>
      </c>
      <c r="B48" s="239">
        <v>2023</v>
      </c>
      <c r="C48" s="572"/>
      <c r="D48" s="213"/>
      <c r="E48" s="240"/>
      <c r="F48" s="698"/>
      <c r="G48" s="241"/>
      <c r="H48" s="214"/>
      <c r="I48" s="214"/>
      <c r="J48" s="214"/>
      <c r="K48" s="214"/>
      <c r="L48" s="214"/>
      <c r="M48" s="214"/>
      <c r="N48" s="214"/>
      <c r="O48" s="214"/>
      <c r="P48" s="214"/>
      <c r="Q48" s="214"/>
      <c r="R48" s="214"/>
      <c r="S48" s="214"/>
      <c r="T48" s="214"/>
      <c r="U48" s="214"/>
      <c r="V48" s="214"/>
      <c r="W48" s="214"/>
      <c r="X48" s="214"/>
      <c r="Y48" s="214"/>
      <c r="Z48" s="214"/>
      <c r="AA48" s="214"/>
      <c r="AB48" s="214"/>
      <c r="AC48" s="214"/>
      <c r="AD48" s="214"/>
      <c r="AE48" s="214"/>
      <c r="AF48" s="214"/>
      <c r="AG48" s="214"/>
      <c r="AH48" s="214"/>
      <c r="AI48" s="214"/>
      <c r="AJ48" s="214"/>
      <c r="AK48" s="214"/>
      <c r="AL48" s="214"/>
      <c r="AM48" s="120">
        <f t="shared" si="1"/>
        <v>0</v>
      </c>
      <c r="AN48" s="564">
        <f>IF(AO48&lt;=3,(IF(AND(G48="5/24",AM48&gt;0.5),(AM48*2*база!$M$6*Таблица14[[#This Row],[коэф]]),
IF(AND(G48="4/24",AM48&gt;0.5),(AM48*2*база!$M$5*Таблица14[[#This Row],[коэф]]),
IF(AND(G48="3/24",AM48&gt;0.5),(AM48*2*база!$M$4*Таблица14[[#This Row],[коэф]]),
IF(AND(G48="5/16",AM48&gt;0.5),(AM48*2*база!$L$6*Таблица14[[#This Row],[коэф]]),
IF(AND(G48="4/16",AM48&gt;0.5),(AM48*2*база!$L$5*Таблица14[[#This Row],[коэф]]),
IF(AND(G48="3/16",AM48&gt;0.5),(AM48*2*база!$L$4*Таблица14[[#This Row],[коэф]]),
IF(AND(G48="4/4",AM48&gt;0.5),(AM48*2*база!$I$5*Таблица14[[#This Row],[коэф]]),
IF(OR(AND(G48="3/4",AM48&gt;0.5),AND(G48="2/4",AM48&gt;0.5)),(AM48*2*база!$I$4*Таблица14[[#This Row],[коэф]]),
IF(AND(G48="5/8",AM48&gt;0.5),(AM48*2*база!$J$6*Таблица14[[#This Row],[коэф]]),
IF(AND(G48="4/8",AM48&gt;0.5),(AM48*2*база!$J$5*Таблица14[[#This Row],[коэф]]),
IF(OR(AND(G48="3/8",AM48&gt;0.5),AND(G48="2/8",AM48&gt;0.5)),(AM48*2*база!$J$4*Таблица14[[#This Row],[коэф]]),
(AM48*0.5*база!$L$4*Таблица14[[#This Row],[коэф]]))))))))))))),
(IF(AND(G48="5/24",AM48&gt;0.5),(AM48*2*база!$M$6*Таблица14[[#This Row],[коэф]]),
IF(OR(AND(G48="4/24",AM48&gt;0.5),AND(G48="3/24",AM48&gt;0.5)),(AM48*2*база!$M$5*Таблица14[[#This Row],[коэф]]),
IF(AND(G48="5/16",AM48&gt;0.5),(AM48*2*база!$L$6*Таблица14[[#This Row],[коэф]]),
IF(OR(AND(G48="4/16",AM48&gt;0.5),AND(G48="3/16",AM48&gt;0.5)),(AM48*2*база!$L$5*Таблица14[[#This Row],[коэф]]),
IF(OR(AND(G48="4/4",AM48&gt;0.5),AND(G48="3/4",AM48&gt;2)),(AM48*2*база!$I$5*Таблица14[[#This Row],[коэф]]),
IF(AND(G48="5/8",AM48&gt;0.5),(AM48*2*база!$J$6*Таблица14[[#This Row],[коэф]]),
IF(AND(G48="4/8",AM48&gt;0.5),(AM48*2*база!$J$5*Таблица14[[#This Row],[коэф]]),
IF(OR(AND(G48="3/8",AM48&gt;0.5),AND(G48="2/8",AM48&gt;0.5)),(AM48*2*база!$J$4*Таблица14[[#This Row],[коэф]]),
(AM48*2*база!$L$5*Таблица14[[#This Row],[коэф]])))))))))))</f>
        <v>0</v>
      </c>
      <c r="AO48" s="121">
        <f>IFERROR(INDEX(база!$D$2:$D$120, MATCH(Таблица14[[#This Row],[Ф. И. О.]],база!$B$2:$B$100,0)),"")</f>
        <v>0</v>
      </c>
    </row>
    <row r="49" spans="1:41" s="46" customFormat="1" ht="13.5" customHeight="1">
      <c r="A49" s="206" t="str">
        <f t="shared" si="0"/>
        <v>декабрь</v>
      </c>
      <c r="B49" s="203">
        <v>2023</v>
      </c>
      <c r="C49" s="572"/>
      <c r="D49" s="213"/>
      <c r="E49" s="242"/>
      <c r="F49" s="698"/>
      <c r="G49" s="205"/>
      <c r="H49" s="214"/>
      <c r="I49" s="214"/>
      <c r="J49" s="214"/>
      <c r="K49" s="214"/>
      <c r="L49" s="214"/>
      <c r="M49" s="214"/>
      <c r="N49" s="214"/>
      <c r="O49" s="214"/>
      <c r="P49" s="214"/>
      <c r="Q49" s="214"/>
      <c r="R49" s="214"/>
      <c r="S49" s="214"/>
      <c r="T49" s="214"/>
      <c r="U49" s="214"/>
      <c r="V49" s="214"/>
      <c r="W49" s="214"/>
      <c r="X49" s="214"/>
      <c r="Y49" s="214"/>
      <c r="Z49" s="214"/>
      <c r="AA49" s="214"/>
      <c r="AB49" s="214"/>
      <c r="AC49" s="214"/>
      <c r="AD49" s="214"/>
      <c r="AE49" s="214"/>
      <c r="AF49" s="214"/>
      <c r="AG49" s="214"/>
      <c r="AH49" s="214"/>
      <c r="AI49" s="214"/>
      <c r="AJ49" s="214"/>
      <c r="AK49" s="214"/>
      <c r="AL49" s="214"/>
      <c r="AM49" s="120">
        <f t="shared" si="1"/>
        <v>0</v>
      </c>
      <c r="AN49" s="564">
        <f>IF(AO49&lt;=3,(IF(AND(G49="5/24",AM49&gt;0.5),(AM49*2*база!$M$6*Таблица14[[#This Row],[коэф]]),
IF(AND(G49="4/24",AM49&gt;0.5),(AM49*2*база!$M$5*Таблица14[[#This Row],[коэф]]),
IF(AND(G49="3/24",AM49&gt;0.5),(AM49*2*база!$M$4*Таблица14[[#This Row],[коэф]]),
IF(AND(G49="5/16",AM49&gt;0.5),(AM49*2*база!$L$6*Таблица14[[#This Row],[коэф]]),
IF(AND(G49="4/16",AM49&gt;0.5),(AM49*2*база!$L$5*Таблица14[[#This Row],[коэф]]),
IF(AND(G49="3/16",AM49&gt;0.5),(AM49*2*база!$L$4*Таблица14[[#This Row],[коэф]]),
IF(AND(G49="4/4",AM49&gt;0.5),(AM49*2*база!$I$5*Таблица14[[#This Row],[коэф]]),
IF(OR(AND(G49="3/4",AM49&gt;0.5),AND(G49="2/4",AM49&gt;0.5)),(AM49*2*база!$I$4*Таблица14[[#This Row],[коэф]]),
IF(AND(G49="5/8",AM49&gt;0.5),(AM49*2*база!$J$6*Таблица14[[#This Row],[коэф]]),
IF(AND(G49="4/8",AM49&gt;0.5),(AM49*2*база!$J$5*Таблица14[[#This Row],[коэф]]),
IF(OR(AND(G49="3/8",AM49&gt;0.5),AND(G49="2/8",AM49&gt;0.5)),(AM49*2*база!$J$4*Таблица14[[#This Row],[коэф]]),
(AM49*0.5*база!$L$4*Таблица14[[#This Row],[коэф]]))))))))))))),
(IF(AND(G49="5/24",AM49&gt;0.5),(AM49*2*база!$M$6*Таблица14[[#This Row],[коэф]]),
IF(OR(AND(G49="4/24",AM49&gt;0.5),AND(G49="3/24",AM49&gt;0.5)),(AM49*2*база!$M$5*Таблица14[[#This Row],[коэф]]),
IF(AND(G49="5/16",AM49&gt;0.5),(AM49*2*база!$L$6*Таблица14[[#This Row],[коэф]]),
IF(OR(AND(G49="4/16",AM49&gt;0.5),AND(G49="3/16",AM49&gt;0.5)),(AM49*2*база!$L$5*Таблица14[[#This Row],[коэф]]),
IF(OR(AND(G49="4/4",AM49&gt;0.5),AND(G49="3/4",AM49&gt;2)),(AM49*2*база!$I$5*Таблица14[[#This Row],[коэф]]),
IF(AND(G49="5/8",AM49&gt;0.5),(AM49*2*база!$J$6*Таблица14[[#This Row],[коэф]]),
IF(AND(G49="4/8",AM49&gt;0.5),(AM49*2*база!$J$5*Таблица14[[#This Row],[коэф]]),
IF(OR(AND(G49="3/8",AM49&gt;0.5),AND(G49="2/8",AM49&gt;0.5)),(AM49*2*база!$J$4*Таблица14[[#This Row],[коэф]]),
(AM49*2*база!$L$5*Таблица14[[#This Row],[коэф]])))))))))))</f>
        <v>0</v>
      </c>
      <c r="AO49" s="121">
        <f>IFERROR(INDEX(база!$D$2:$D$120, MATCH(Таблица14[[#This Row],[Ф. И. О.]],база!$B$2:$B$100,0)),"")</f>
        <v>0</v>
      </c>
    </row>
    <row r="50" spans="1:41" s="46" customFormat="1" ht="13.5" customHeight="1">
      <c r="A50" s="206" t="str">
        <f t="shared" si="0"/>
        <v>декабрь</v>
      </c>
      <c r="B50" s="239">
        <v>2023</v>
      </c>
      <c r="C50" s="572"/>
      <c r="D50" s="213"/>
      <c r="E50" s="240"/>
      <c r="F50" s="698"/>
      <c r="G50" s="241"/>
      <c r="H50" s="214"/>
      <c r="I50" s="214"/>
      <c r="J50" s="214"/>
      <c r="K50" s="214"/>
      <c r="L50" s="214"/>
      <c r="M50" s="214"/>
      <c r="N50" s="214"/>
      <c r="O50" s="214"/>
      <c r="P50" s="214"/>
      <c r="Q50" s="214"/>
      <c r="R50" s="214"/>
      <c r="S50" s="214"/>
      <c r="T50" s="214"/>
      <c r="U50" s="214"/>
      <c r="V50" s="214"/>
      <c r="W50" s="214"/>
      <c r="X50" s="214"/>
      <c r="Y50" s="214"/>
      <c r="Z50" s="214"/>
      <c r="AA50" s="214"/>
      <c r="AB50" s="214"/>
      <c r="AC50" s="214"/>
      <c r="AD50" s="214"/>
      <c r="AE50" s="214"/>
      <c r="AF50" s="214"/>
      <c r="AG50" s="214"/>
      <c r="AH50" s="214"/>
      <c r="AI50" s="214"/>
      <c r="AJ50" s="214"/>
      <c r="AK50" s="214"/>
      <c r="AL50" s="214"/>
      <c r="AM50" s="120">
        <f t="shared" si="1"/>
        <v>0</v>
      </c>
      <c r="AN50" s="564">
        <f>IF(AO50&lt;=3,(IF(AND(G50="5/24",AM50&gt;0.5),(AM50*2*база!$M$6*Таблица14[[#This Row],[коэф]]),
IF(AND(G50="4/24",AM50&gt;0.5),(AM50*2*база!$M$5*Таблица14[[#This Row],[коэф]]),
IF(AND(G50="3/24",AM50&gt;0.5),(AM50*2*база!$M$4*Таблица14[[#This Row],[коэф]]),
IF(AND(G50="5/16",AM50&gt;0.5),(AM50*2*база!$L$6*Таблица14[[#This Row],[коэф]]),
IF(AND(G50="4/16",AM50&gt;0.5),(AM50*2*база!$L$5*Таблица14[[#This Row],[коэф]]),
IF(AND(G50="3/16",AM50&gt;0.5),(AM50*2*база!$L$4*Таблица14[[#This Row],[коэф]]),
IF(AND(G50="4/4",AM50&gt;0.5),(AM50*2*база!$I$5*Таблица14[[#This Row],[коэф]]),
IF(OR(AND(G50="3/4",AM50&gt;0.5),AND(G50="2/4",AM50&gt;0.5)),(AM50*2*база!$I$4*Таблица14[[#This Row],[коэф]]),
IF(AND(G50="5/8",AM50&gt;0.5),(AM50*2*база!$J$6*Таблица14[[#This Row],[коэф]]),
IF(AND(G50="4/8",AM50&gt;0.5),(AM50*2*база!$J$5*Таблица14[[#This Row],[коэф]]),
IF(OR(AND(G50="3/8",AM50&gt;0.5),AND(G50="2/8",AM50&gt;0.5)),(AM50*2*база!$J$4*Таблица14[[#This Row],[коэф]]),
(AM50*0.5*база!$L$4*Таблица14[[#This Row],[коэф]]))))))))))))),
(IF(AND(G50="5/24",AM50&gt;0.5),(AM50*2*база!$M$6*Таблица14[[#This Row],[коэф]]),
IF(OR(AND(G50="4/24",AM50&gt;0.5),AND(G50="3/24",AM50&gt;0.5)),(AM50*2*база!$M$5*Таблица14[[#This Row],[коэф]]),
IF(AND(G50="5/16",AM50&gt;0.5),(AM50*2*база!$L$6*Таблица14[[#This Row],[коэф]]),
IF(OR(AND(G50="4/16",AM50&gt;0.5),AND(G50="3/16",AM50&gt;0.5)),(AM50*2*база!$L$5*Таблица14[[#This Row],[коэф]]),
IF(OR(AND(G50="4/4",AM50&gt;0.5),AND(G50="3/4",AM50&gt;2)),(AM50*2*база!$I$5*Таблица14[[#This Row],[коэф]]),
IF(AND(G50="5/8",AM50&gt;0.5),(AM50*2*база!$J$6*Таблица14[[#This Row],[коэф]]),
IF(AND(G50="4/8",AM50&gt;0.5),(AM50*2*база!$J$5*Таблица14[[#This Row],[коэф]]),
IF(OR(AND(G50="3/8",AM50&gt;0.5),AND(G50="2/8",AM50&gt;0.5)),(AM50*2*база!$J$4*Таблица14[[#This Row],[коэф]]),
(AM50*2*база!$L$5*Таблица14[[#This Row],[коэф]])))))))))))</f>
        <v>0</v>
      </c>
      <c r="AO50" s="121">
        <f>IFERROR(INDEX(база!$D$2:$D$120, MATCH(Таблица14[[#This Row],[Ф. И. О.]],база!$B$2:$B$100,0)),"")</f>
        <v>0</v>
      </c>
    </row>
    <row r="51" spans="1:41" s="46" customFormat="1" ht="13.5" customHeight="1">
      <c r="A51" s="206" t="str">
        <f t="shared" si="0"/>
        <v>декабрь</v>
      </c>
      <c r="B51" s="203">
        <v>2023</v>
      </c>
      <c r="C51" s="572"/>
      <c r="D51" s="213"/>
      <c r="E51" s="242"/>
      <c r="F51" s="698"/>
      <c r="G51" s="205"/>
      <c r="H51" s="214"/>
      <c r="I51" s="214"/>
      <c r="J51" s="214"/>
      <c r="K51" s="214"/>
      <c r="L51" s="214"/>
      <c r="M51" s="214"/>
      <c r="N51" s="214"/>
      <c r="O51" s="214"/>
      <c r="P51" s="214"/>
      <c r="Q51" s="214"/>
      <c r="R51" s="214"/>
      <c r="S51" s="214"/>
      <c r="T51" s="214"/>
      <c r="U51" s="214"/>
      <c r="V51" s="214"/>
      <c r="W51" s="214"/>
      <c r="X51" s="214"/>
      <c r="Y51" s="214"/>
      <c r="Z51" s="214"/>
      <c r="AA51" s="214"/>
      <c r="AB51" s="214"/>
      <c r="AC51" s="214"/>
      <c r="AD51" s="214"/>
      <c r="AE51" s="214"/>
      <c r="AF51" s="214"/>
      <c r="AG51" s="214"/>
      <c r="AH51" s="214"/>
      <c r="AI51" s="214"/>
      <c r="AJ51" s="214"/>
      <c r="AK51" s="214"/>
      <c r="AL51" s="214"/>
      <c r="AM51" s="120">
        <f t="shared" si="1"/>
        <v>0</v>
      </c>
      <c r="AN51" s="564">
        <f>IF(AO51&lt;=3,(IF(AND(G51="5/24",AM51&gt;0.5),(AM51*2*база!$M$6*Таблица14[[#This Row],[коэф]]),
IF(AND(G51="4/24",AM51&gt;0.5),(AM51*2*база!$M$5*Таблица14[[#This Row],[коэф]]),
IF(AND(G51="3/24",AM51&gt;0.5),(AM51*2*база!$M$4*Таблица14[[#This Row],[коэф]]),
IF(AND(G51="5/16",AM51&gt;0.5),(AM51*2*база!$L$6*Таблица14[[#This Row],[коэф]]),
IF(AND(G51="4/16",AM51&gt;0.5),(AM51*2*база!$L$5*Таблица14[[#This Row],[коэф]]),
IF(AND(G51="3/16",AM51&gt;0.5),(AM51*2*база!$L$4*Таблица14[[#This Row],[коэф]]),
IF(AND(G51="4/4",AM51&gt;0.5),(AM51*2*база!$I$5*Таблица14[[#This Row],[коэф]]),
IF(OR(AND(G51="3/4",AM51&gt;0.5),AND(G51="2/4",AM51&gt;0.5)),(AM51*2*база!$I$4*Таблица14[[#This Row],[коэф]]),
IF(AND(G51="5/8",AM51&gt;0.5),(AM51*2*база!$J$6*Таблица14[[#This Row],[коэф]]),
IF(AND(G51="4/8",AM51&gt;0.5),(AM51*2*база!$J$5*Таблица14[[#This Row],[коэф]]),
IF(OR(AND(G51="3/8",AM51&gt;0.5),AND(G51="2/8",AM51&gt;0.5)),(AM51*2*база!$J$4*Таблица14[[#This Row],[коэф]]),
(AM51*0.5*база!$L$4*Таблица14[[#This Row],[коэф]]))))))))))))),
(IF(AND(G51="5/24",AM51&gt;0.5),(AM51*2*база!$M$6*Таблица14[[#This Row],[коэф]]),
IF(OR(AND(G51="4/24",AM51&gt;0.5),AND(G51="3/24",AM51&gt;0.5)),(AM51*2*база!$M$5*Таблица14[[#This Row],[коэф]]),
IF(AND(G51="5/16",AM51&gt;0.5),(AM51*2*база!$L$6*Таблица14[[#This Row],[коэф]]),
IF(OR(AND(G51="4/16",AM51&gt;0.5),AND(G51="3/16",AM51&gt;0.5)),(AM51*2*база!$L$5*Таблица14[[#This Row],[коэф]]),
IF(OR(AND(G51="4/4",AM51&gt;0.5),AND(G51="3/4",AM51&gt;2)),(AM51*2*база!$I$5*Таблица14[[#This Row],[коэф]]),
IF(AND(G51="5/8",AM51&gt;0.5),(AM51*2*база!$J$6*Таблица14[[#This Row],[коэф]]),
IF(AND(G51="4/8",AM51&gt;0.5),(AM51*2*база!$J$5*Таблица14[[#This Row],[коэф]]),
IF(OR(AND(G51="3/8",AM51&gt;0.5),AND(G51="2/8",AM51&gt;0.5)),(AM51*2*база!$J$4*Таблица14[[#This Row],[коэф]]),
(AM51*2*база!$L$5*Таблица14[[#This Row],[коэф]])))))))))))</f>
        <v>0</v>
      </c>
      <c r="AO51" s="121">
        <f>IFERROR(INDEX(база!$D$2:$D$120, MATCH(Таблица14[[#This Row],[Ф. И. О.]],база!$B$2:$B$100,0)),"")</f>
        <v>0</v>
      </c>
    </row>
    <row r="52" spans="1:41" s="46" customFormat="1" ht="13.5" customHeight="1">
      <c r="A52" s="206" t="str">
        <f t="shared" si="0"/>
        <v>декабрь</v>
      </c>
      <c r="B52" s="239">
        <v>2023</v>
      </c>
      <c r="C52" s="572"/>
      <c r="D52" s="213"/>
      <c r="E52" s="240"/>
      <c r="F52" s="698"/>
      <c r="G52" s="241"/>
      <c r="H52" s="214"/>
      <c r="I52" s="214"/>
      <c r="J52" s="214"/>
      <c r="K52" s="214"/>
      <c r="L52" s="214"/>
      <c r="M52" s="214"/>
      <c r="N52" s="214"/>
      <c r="O52" s="214"/>
      <c r="P52" s="214"/>
      <c r="Q52" s="214"/>
      <c r="R52" s="214"/>
      <c r="S52" s="214"/>
      <c r="T52" s="214"/>
      <c r="U52" s="214"/>
      <c r="V52" s="214"/>
      <c r="W52" s="214"/>
      <c r="X52" s="214"/>
      <c r="Y52" s="214"/>
      <c r="Z52" s="214"/>
      <c r="AA52" s="214"/>
      <c r="AB52" s="214"/>
      <c r="AC52" s="214"/>
      <c r="AD52" s="214"/>
      <c r="AE52" s="214"/>
      <c r="AF52" s="214"/>
      <c r="AG52" s="214"/>
      <c r="AH52" s="214"/>
      <c r="AI52" s="214"/>
      <c r="AJ52" s="214"/>
      <c r="AK52" s="214"/>
      <c r="AL52" s="214"/>
      <c r="AM52" s="120">
        <f t="shared" si="1"/>
        <v>0</v>
      </c>
      <c r="AN52" s="564">
        <f>IF(AO52&lt;=3,(IF(AND(G52="5/24",AM52&gt;0.5),(AM52*2*база!$M$6*Таблица14[[#This Row],[коэф]]),
IF(AND(G52="4/24",AM52&gt;0.5),(AM52*2*база!$M$5*Таблица14[[#This Row],[коэф]]),
IF(AND(G52="3/24",AM52&gt;0.5),(AM52*2*база!$M$4*Таблица14[[#This Row],[коэф]]),
IF(AND(G52="5/16",AM52&gt;0.5),(AM52*2*база!$L$6*Таблица14[[#This Row],[коэф]]),
IF(AND(G52="4/16",AM52&gt;0.5),(AM52*2*база!$L$5*Таблица14[[#This Row],[коэф]]),
IF(AND(G52="3/16",AM52&gt;0.5),(AM52*2*база!$L$4*Таблица14[[#This Row],[коэф]]),
IF(AND(G52="4/4",AM52&gt;0.5),(AM52*2*база!$I$5*Таблица14[[#This Row],[коэф]]),
IF(OR(AND(G52="3/4",AM52&gt;0.5),AND(G52="2/4",AM52&gt;0.5)),(AM52*2*база!$I$4*Таблица14[[#This Row],[коэф]]),
IF(AND(G52="5/8",AM52&gt;0.5),(AM52*2*база!$J$6*Таблица14[[#This Row],[коэф]]),
IF(AND(G52="4/8",AM52&gt;0.5),(AM52*2*база!$J$5*Таблица14[[#This Row],[коэф]]),
IF(OR(AND(G52="3/8",AM52&gt;0.5),AND(G52="2/8",AM52&gt;0.5)),(AM52*2*база!$J$4*Таблица14[[#This Row],[коэф]]),
(AM52*0.5*база!$L$4*Таблица14[[#This Row],[коэф]]))))))))))))),
(IF(AND(G52="5/24",AM52&gt;0.5),(AM52*2*база!$M$6*Таблица14[[#This Row],[коэф]]),
IF(OR(AND(G52="4/24",AM52&gt;0.5),AND(G52="3/24",AM52&gt;0.5)),(AM52*2*база!$M$5*Таблица14[[#This Row],[коэф]]),
IF(AND(G52="5/16",AM52&gt;0.5),(AM52*2*база!$L$6*Таблица14[[#This Row],[коэф]]),
IF(OR(AND(G52="4/16",AM52&gt;0.5),AND(G52="3/16",AM52&gt;0.5)),(AM52*2*база!$L$5*Таблица14[[#This Row],[коэф]]),
IF(OR(AND(G52="4/4",AM52&gt;0.5),AND(G52="3/4",AM52&gt;2)),(AM52*2*база!$I$5*Таблица14[[#This Row],[коэф]]),
IF(AND(G52="5/8",AM52&gt;0.5),(AM52*2*база!$J$6*Таблица14[[#This Row],[коэф]]),
IF(AND(G52="4/8",AM52&gt;0.5),(AM52*2*база!$J$5*Таблица14[[#This Row],[коэф]]),
IF(OR(AND(G52="3/8",AM52&gt;0.5),AND(G52="2/8",AM52&gt;0.5)),(AM52*2*база!$J$4*Таблица14[[#This Row],[коэф]]),
(AM52*2*база!$L$5*Таблица14[[#This Row],[коэф]])))))))))))</f>
        <v>0</v>
      </c>
      <c r="AO52" s="121">
        <f>IFERROR(INDEX(база!$D$2:$D$120, MATCH(Таблица14[[#This Row],[Ф. И. О.]],база!$B$2:$B$100,0)),"")</f>
        <v>0</v>
      </c>
    </row>
    <row r="53" spans="1:41" s="46" customFormat="1" ht="13.5" customHeight="1">
      <c r="A53" s="206" t="str">
        <f t="shared" si="0"/>
        <v>декабрь</v>
      </c>
      <c r="B53" s="203">
        <v>2023</v>
      </c>
      <c r="C53" s="572"/>
      <c r="D53" s="213"/>
      <c r="E53" s="242"/>
      <c r="F53" s="698"/>
      <c r="G53" s="205"/>
      <c r="H53" s="214"/>
      <c r="I53" s="214"/>
      <c r="J53" s="214"/>
      <c r="K53" s="214"/>
      <c r="L53" s="214"/>
      <c r="M53" s="214"/>
      <c r="N53" s="214"/>
      <c r="O53" s="214"/>
      <c r="P53" s="214"/>
      <c r="Q53" s="214"/>
      <c r="R53" s="214"/>
      <c r="S53" s="214"/>
      <c r="T53" s="214"/>
      <c r="U53" s="214"/>
      <c r="V53" s="214"/>
      <c r="W53" s="214"/>
      <c r="X53" s="214"/>
      <c r="Y53" s="214"/>
      <c r="Z53" s="214"/>
      <c r="AA53" s="214"/>
      <c r="AB53" s="214"/>
      <c r="AC53" s="214"/>
      <c r="AD53" s="214"/>
      <c r="AE53" s="214"/>
      <c r="AF53" s="214"/>
      <c r="AG53" s="214"/>
      <c r="AH53" s="214"/>
      <c r="AI53" s="214"/>
      <c r="AJ53" s="214"/>
      <c r="AK53" s="214"/>
      <c r="AL53" s="214"/>
      <c r="AM53" s="120">
        <f t="shared" si="1"/>
        <v>0</v>
      </c>
      <c r="AN53" s="564">
        <f>IF(AO53&lt;=3,(IF(AND(G53="5/24",AM53&gt;0.5),(AM53*2*база!$M$6*Таблица14[[#This Row],[коэф]]),
IF(AND(G53="4/24",AM53&gt;0.5),(AM53*2*база!$M$5*Таблица14[[#This Row],[коэф]]),
IF(AND(G53="3/24",AM53&gt;0.5),(AM53*2*база!$M$4*Таблица14[[#This Row],[коэф]]),
IF(AND(G53="5/16",AM53&gt;0.5),(AM53*2*база!$L$6*Таблица14[[#This Row],[коэф]]),
IF(AND(G53="4/16",AM53&gt;0.5),(AM53*2*база!$L$5*Таблица14[[#This Row],[коэф]]),
IF(AND(G53="3/16",AM53&gt;0.5),(AM53*2*база!$L$4*Таблица14[[#This Row],[коэф]]),
IF(AND(G53="4/4",AM53&gt;0.5),(AM53*2*база!$I$5*Таблица14[[#This Row],[коэф]]),
IF(OR(AND(G53="3/4",AM53&gt;0.5),AND(G53="2/4",AM53&gt;0.5)),(AM53*2*база!$I$4*Таблица14[[#This Row],[коэф]]),
IF(AND(G53="5/8",AM53&gt;0.5),(AM53*2*база!$J$6*Таблица14[[#This Row],[коэф]]),
IF(AND(G53="4/8",AM53&gt;0.5),(AM53*2*база!$J$5*Таблица14[[#This Row],[коэф]]),
IF(OR(AND(G53="3/8",AM53&gt;0.5),AND(G53="2/8",AM53&gt;0.5)),(AM53*2*база!$J$4*Таблица14[[#This Row],[коэф]]),
(AM53*0.5*база!$L$4*Таблица14[[#This Row],[коэф]]))))))))))))),
(IF(AND(G53="5/24",AM53&gt;0.5),(AM53*2*база!$M$6*Таблица14[[#This Row],[коэф]]),
IF(OR(AND(G53="4/24",AM53&gt;0.5),AND(G53="3/24",AM53&gt;0.5)),(AM53*2*база!$M$5*Таблица14[[#This Row],[коэф]]),
IF(AND(G53="5/16",AM53&gt;0.5),(AM53*2*база!$L$6*Таблица14[[#This Row],[коэф]]),
IF(OR(AND(G53="4/16",AM53&gt;0.5),AND(G53="3/16",AM53&gt;0.5)),(AM53*2*база!$L$5*Таблица14[[#This Row],[коэф]]),
IF(OR(AND(G53="4/4",AM53&gt;0.5),AND(G53="3/4",AM53&gt;2)),(AM53*2*база!$I$5*Таблица14[[#This Row],[коэф]]),
IF(AND(G53="5/8",AM53&gt;0.5),(AM53*2*база!$J$6*Таблица14[[#This Row],[коэф]]),
IF(AND(G53="4/8",AM53&gt;0.5),(AM53*2*база!$J$5*Таблица14[[#This Row],[коэф]]),
IF(OR(AND(G53="3/8",AM53&gt;0.5),AND(G53="2/8",AM53&gt;0.5)),(AM53*2*база!$J$4*Таблица14[[#This Row],[коэф]]),
(AM53*2*база!$L$5*Таблица14[[#This Row],[коэф]])))))))))))</f>
        <v>0</v>
      </c>
      <c r="AO53" s="121">
        <f>IFERROR(INDEX(база!$D$2:$D$120, MATCH(Таблица14[[#This Row],[Ф. И. О.]],база!$B$2:$B$100,0)),"")</f>
        <v>0</v>
      </c>
    </row>
    <row r="54" spans="1:41" s="46" customFormat="1" ht="13.5" customHeight="1">
      <c r="A54" s="206" t="str">
        <f t="shared" si="0"/>
        <v>декабрь</v>
      </c>
      <c r="B54" s="239">
        <v>2023</v>
      </c>
      <c r="C54" s="572"/>
      <c r="D54" s="213"/>
      <c r="E54" s="240"/>
      <c r="F54" s="698"/>
      <c r="G54" s="241"/>
      <c r="H54" s="214"/>
      <c r="I54" s="214"/>
      <c r="J54" s="214"/>
      <c r="K54" s="214"/>
      <c r="L54" s="214"/>
      <c r="M54" s="214"/>
      <c r="N54" s="214"/>
      <c r="O54" s="214"/>
      <c r="P54" s="214"/>
      <c r="Q54" s="214"/>
      <c r="R54" s="214"/>
      <c r="S54" s="214"/>
      <c r="T54" s="214"/>
      <c r="U54" s="214"/>
      <c r="V54" s="214"/>
      <c r="W54" s="214"/>
      <c r="X54" s="214"/>
      <c r="Y54" s="214"/>
      <c r="Z54" s="214"/>
      <c r="AA54" s="214"/>
      <c r="AB54" s="214"/>
      <c r="AC54" s="214"/>
      <c r="AD54" s="214"/>
      <c r="AE54" s="214"/>
      <c r="AF54" s="214"/>
      <c r="AG54" s="214"/>
      <c r="AH54" s="214"/>
      <c r="AI54" s="214"/>
      <c r="AJ54" s="214"/>
      <c r="AK54" s="214"/>
      <c r="AL54" s="214"/>
      <c r="AM54" s="120">
        <f t="shared" si="1"/>
        <v>0</v>
      </c>
      <c r="AN54" s="564">
        <f>IF(AO54&lt;=3,(IF(AND(G54="5/24",AM54&gt;0.5),(AM54*2*база!$M$6*Таблица14[[#This Row],[коэф]]),
IF(AND(G54="4/24",AM54&gt;0.5),(AM54*2*база!$M$5*Таблица14[[#This Row],[коэф]]),
IF(AND(G54="3/24",AM54&gt;0.5),(AM54*2*база!$M$4*Таблица14[[#This Row],[коэф]]),
IF(AND(G54="5/16",AM54&gt;0.5),(AM54*2*база!$L$6*Таблица14[[#This Row],[коэф]]),
IF(AND(G54="4/16",AM54&gt;0.5),(AM54*2*база!$L$5*Таблица14[[#This Row],[коэф]]),
IF(AND(G54="3/16",AM54&gt;0.5),(AM54*2*база!$L$4*Таблица14[[#This Row],[коэф]]),
IF(AND(G54="4/4",AM54&gt;0.5),(AM54*2*база!$I$5*Таблица14[[#This Row],[коэф]]),
IF(OR(AND(G54="3/4",AM54&gt;0.5),AND(G54="2/4",AM54&gt;0.5)),(AM54*2*база!$I$4*Таблица14[[#This Row],[коэф]]),
IF(AND(G54="5/8",AM54&gt;0.5),(AM54*2*база!$J$6*Таблица14[[#This Row],[коэф]]),
IF(AND(G54="4/8",AM54&gt;0.5),(AM54*2*база!$J$5*Таблица14[[#This Row],[коэф]]),
IF(OR(AND(G54="3/8",AM54&gt;0.5),AND(G54="2/8",AM54&gt;0.5)),(AM54*2*база!$J$4*Таблица14[[#This Row],[коэф]]),
(AM54*0.5*база!$L$4*Таблица14[[#This Row],[коэф]]))))))))))))),
(IF(AND(G54="5/24",AM54&gt;0.5),(AM54*2*база!$M$6*Таблица14[[#This Row],[коэф]]),
IF(OR(AND(G54="4/24",AM54&gt;0.5),AND(G54="3/24",AM54&gt;0.5)),(AM54*2*база!$M$5*Таблица14[[#This Row],[коэф]]),
IF(AND(G54="5/16",AM54&gt;0.5),(AM54*2*база!$L$6*Таблица14[[#This Row],[коэф]]),
IF(OR(AND(G54="4/16",AM54&gt;0.5),AND(G54="3/16",AM54&gt;0.5)),(AM54*2*база!$L$5*Таблица14[[#This Row],[коэф]]),
IF(OR(AND(G54="4/4",AM54&gt;0.5),AND(G54="3/4",AM54&gt;2)),(AM54*2*база!$I$5*Таблица14[[#This Row],[коэф]]),
IF(AND(G54="5/8",AM54&gt;0.5),(AM54*2*база!$J$6*Таблица14[[#This Row],[коэф]]),
IF(AND(G54="4/8",AM54&gt;0.5),(AM54*2*база!$J$5*Таблица14[[#This Row],[коэф]]),
IF(OR(AND(G54="3/8",AM54&gt;0.5),AND(G54="2/8",AM54&gt;0.5)),(AM54*2*база!$J$4*Таблица14[[#This Row],[коэф]]),
(AM54*2*база!$L$5*Таблица14[[#This Row],[коэф]])))))))))))</f>
        <v>0</v>
      </c>
      <c r="AO54" s="121">
        <f>IFERROR(INDEX(база!$D$2:$D$120, MATCH(Таблица14[[#This Row],[Ф. И. О.]],база!$B$2:$B$100,0)),"")</f>
        <v>0</v>
      </c>
    </row>
    <row r="55" spans="1:41" s="46" customFormat="1" ht="13.5" customHeight="1">
      <c r="A55" s="206" t="str">
        <f t="shared" si="0"/>
        <v>декабрь</v>
      </c>
      <c r="B55" s="203">
        <v>2023</v>
      </c>
      <c r="C55" s="572"/>
      <c r="D55" s="213"/>
      <c r="E55" s="242"/>
      <c r="F55" s="698"/>
      <c r="G55" s="205"/>
      <c r="H55" s="214"/>
      <c r="I55" s="214"/>
      <c r="J55" s="214"/>
      <c r="K55" s="214"/>
      <c r="L55" s="214"/>
      <c r="M55" s="214"/>
      <c r="N55" s="214"/>
      <c r="O55" s="214"/>
      <c r="P55" s="214"/>
      <c r="Q55" s="214"/>
      <c r="R55" s="214"/>
      <c r="S55" s="214"/>
      <c r="T55" s="214"/>
      <c r="U55" s="214"/>
      <c r="V55" s="214"/>
      <c r="W55" s="214"/>
      <c r="X55" s="214"/>
      <c r="Y55" s="214"/>
      <c r="Z55" s="214"/>
      <c r="AA55" s="214"/>
      <c r="AB55" s="214"/>
      <c r="AC55" s="214"/>
      <c r="AD55" s="214"/>
      <c r="AE55" s="214"/>
      <c r="AF55" s="214"/>
      <c r="AG55" s="214"/>
      <c r="AH55" s="214"/>
      <c r="AI55" s="214"/>
      <c r="AJ55" s="214"/>
      <c r="AK55" s="214"/>
      <c r="AL55" s="214"/>
      <c r="AM55" s="120">
        <f t="shared" si="1"/>
        <v>0</v>
      </c>
      <c r="AN55" s="564">
        <f>IF(AO55&lt;=3,(IF(AND(G55="5/24",AM55&gt;0.5),(AM55*2*база!$M$6*Таблица14[[#This Row],[коэф]]),
IF(AND(G55="4/24",AM55&gt;0.5),(AM55*2*база!$M$5*Таблица14[[#This Row],[коэф]]),
IF(AND(G55="3/24",AM55&gt;0.5),(AM55*2*база!$M$4*Таблица14[[#This Row],[коэф]]),
IF(AND(G55="5/16",AM55&gt;0.5),(AM55*2*база!$L$6*Таблица14[[#This Row],[коэф]]),
IF(AND(G55="4/16",AM55&gt;0.5),(AM55*2*база!$L$5*Таблица14[[#This Row],[коэф]]),
IF(AND(G55="3/16",AM55&gt;0.5),(AM55*2*база!$L$4*Таблица14[[#This Row],[коэф]]),
IF(AND(G55="4/4",AM55&gt;0.5),(AM55*2*база!$I$5*Таблица14[[#This Row],[коэф]]),
IF(OR(AND(G55="3/4",AM55&gt;0.5),AND(G55="2/4",AM55&gt;0.5)),(AM55*2*база!$I$4*Таблица14[[#This Row],[коэф]]),
IF(AND(G55="5/8",AM55&gt;0.5),(AM55*2*база!$J$6*Таблица14[[#This Row],[коэф]]),
IF(AND(G55="4/8",AM55&gt;0.5),(AM55*2*база!$J$5*Таблица14[[#This Row],[коэф]]),
IF(OR(AND(G55="3/8",AM55&gt;0.5),AND(G55="2/8",AM55&gt;0.5)),(AM55*2*база!$J$4*Таблица14[[#This Row],[коэф]]),
(AM55*0.5*база!$L$4*Таблица14[[#This Row],[коэф]]))))))))))))),
(IF(AND(G55="5/24",AM55&gt;0.5),(AM55*2*база!$M$6*Таблица14[[#This Row],[коэф]]),
IF(OR(AND(G55="4/24",AM55&gt;0.5),AND(G55="3/24",AM55&gt;0.5)),(AM55*2*база!$M$5*Таблица14[[#This Row],[коэф]]),
IF(AND(G55="5/16",AM55&gt;0.5),(AM55*2*база!$L$6*Таблица14[[#This Row],[коэф]]),
IF(OR(AND(G55="4/16",AM55&gt;0.5),AND(G55="3/16",AM55&gt;0.5)),(AM55*2*база!$L$5*Таблица14[[#This Row],[коэф]]),
IF(OR(AND(G55="4/4",AM55&gt;0.5),AND(G55="3/4",AM55&gt;2)),(AM55*2*база!$I$5*Таблица14[[#This Row],[коэф]]),
IF(AND(G55="5/8",AM55&gt;0.5),(AM55*2*база!$J$6*Таблица14[[#This Row],[коэф]]),
IF(AND(G55="4/8",AM55&gt;0.5),(AM55*2*база!$J$5*Таблица14[[#This Row],[коэф]]),
IF(OR(AND(G55="3/8",AM55&gt;0.5),AND(G55="2/8",AM55&gt;0.5)),(AM55*2*база!$J$4*Таблица14[[#This Row],[коэф]]),
(AM55*2*база!$L$5*Таблица14[[#This Row],[коэф]])))))))))))</f>
        <v>0</v>
      </c>
      <c r="AO55" s="121">
        <f>IFERROR(INDEX(база!$D$2:$D$120, MATCH(Таблица14[[#This Row],[Ф. И. О.]],база!$B$2:$B$100,0)),"")</f>
        <v>0</v>
      </c>
    </row>
    <row r="56" spans="1:41" s="46" customFormat="1" ht="13.5" customHeight="1">
      <c r="A56" s="206" t="str">
        <f t="shared" si="0"/>
        <v>декабрь</v>
      </c>
      <c r="B56" s="239">
        <v>2023</v>
      </c>
      <c r="C56" s="572"/>
      <c r="D56" s="213"/>
      <c r="E56" s="240"/>
      <c r="F56" s="698"/>
      <c r="G56" s="241"/>
      <c r="H56" s="214"/>
      <c r="I56" s="214"/>
      <c r="J56" s="214"/>
      <c r="K56" s="214"/>
      <c r="L56" s="214"/>
      <c r="M56" s="214"/>
      <c r="N56" s="214"/>
      <c r="O56" s="214"/>
      <c r="P56" s="214"/>
      <c r="Q56" s="214"/>
      <c r="R56" s="214"/>
      <c r="S56" s="214"/>
      <c r="T56" s="214"/>
      <c r="U56" s="214"/>
      <c r="V56" s="214"/>
      <c r="W56" s="214"/>
      <c r="X56" s="214"/>
      <c r="Y56" s="214"/>
      <c r="Z56" s="214"/>
      <c r="AA56" s="214"/>
      <c r="AB56" s="214"/>
      <c r="AC56" s="214"/>
      <c r="AD56" s="214"/>
      <c r="AE56" s="214"/>
      <c r="AF56" s="214"/>
      <c r="AG56" s="214"/>
      <c r="AH56" s="214"/>
      <c r="AI56" s="214"/>
      <c r="AJ56" s="214"/>
      <c r="AK56" s="214"/>
      <c r="AL56" s="214"/>
      <c r="AM56" s="120">
        <f t="shared" si="1"/>
        <v>0</v>
      </c>
      <c r="AN56" s="564">
        <f>IF(AO56&lt;=3,(IF(AND(G56="5/24",AM56&gt;0.5),(AM56*2*база!$M$6*Таблица14[[#This Row],[коэф]]),
IF(AND(G56="4/24",AM56&gt;0.5),(AM56*2*база!$M$5*Таблица14[[#This Row],[коэф]]),
IF(AND(G56="3/24",AM56&gt;0.5),(AM56*2*база!$M$4*Таблица14[[#This Row],[коэф]]),
IF(AND(G56="5/16",AM56&gt;0.5),(AM56*2*база!$L$6*Таблица14[[#This Row],[коэф]]),
IF(AND(G56="4/16",AM56&gt;0.5),(AM56*2*база!$L$5*Таблица14[[#This Row],[коэф]]),
IF(AND(G56="3/16",AM56&gt;0.5),(AM56*2*база!$L$4*Таблица14[[#This Row],[коэф]]),
IF(AND(G56="4/4",AM56&gt;0.5),(AM56*2*база!$I$5*Таблица14[[#This Row],[коэф]]),
IF(OR(AND(G56="3/4",AM56&gt;0.5),AND(G56="2/4",AM56&gt;0.5)),(AM56*2*база!$I$4*Таблица14[[#This Row],[коэф]]),
IF(AND(G56="5/8",AM56&gt;0.5),(AM56*2*база!$J$6*Таблица14[[#This Row],[коэф]]),
IF(AND(G56="4/8",AM56&gt;0.5),(AM56*2*база!$J$5*Таблица14[[#This Row],[коэф]]),
IF(OR(AND(G56="3/8",AM56&gt;0.5),AND(G56="2/8",AM56&gt;0.5)),(AM56*2*база!$J$4*Таблица14[[#This Row],[коэф]]),
(AM56*0.5*база!$L$4*Таблица14[[#This Row],[коэф]]))))))))))))),
(IF(AND(G56="5/24",AM56&gt;0.5),(AM56*2*база!$M$6*Таблица14[[#This Row],[коэф]]),
IF(OR(AND(G56="4/24",AM56&gt;0.5),AND(G56="3/24",AM56&gt;0.5)),(AM56*2*база!$M$5*Таблица14[[#This Row],[коэф]]),
IF(AND(G56="5/16",AM56&gt;0.5),(AM56*2*база!$L$6*Таблица14[[#This Row],[коэф]]),
IF(OR(AND(G56="4/16",AM56&gt;0.5),AND(G56="3/16",AM56&gt;0.5)),(AM56*2*база!$L$5*Таблица14[[#This Row],[коэф]]),
IF(OR(AND(G56="4/4",AM56&gt;0.5),AND(G56="3/4",AM56&gt;2)),(AM56*2*база!$I$5*Таблица14[[#This Row],[коэф]]),
IF(AND(G56="5/8",AM56&gt;0.5),(AM56*2*база!$J$6*Таблица14[[#This Row],[коэф]]),
IF(AND(G56="4/8",AM56&gt;0.5),(AM56*2*база!$J$5*Таблица14[[#This Row],[коэф]]),
IF(OR(AND(G56="3/8",AM56&gt;0.5),AND(G56="2/8",AM56&gt;0.5)),(AM56*2*база!$J$4*Таблица14[[#This Row],[коэф]]),
(AM56*2*база!$L$5*Таблица14[[#This Row],[коэф]])))))))))))</f>
        <v>0</v>
      </c>
      <c r="AO56" s="121">
        <f>IFERROR(INDEX(база!$D$2:$D$120, MATCH(Таблица14[[#This Row],[Ф. И. О.]],база!$B$2:$B$100,0)),"")</f>
        <v>0</v>
      </c>
    </row>
    <row r="57" spans="1:41" s="46" customFormat="1" ht="13.5" customHeight="1">
      <c r="A57" s="206" t="str">
        <f t="shared" si="0"/>
        <v>декабрь</v>
      </c>
      <c r="B57" s="203">
        <v>2023</v>
      </c>
      <c r="C57" s="572"/>
      <c r="D57" s="213"/>
      <c r="E57" s="242"/>
      <c r="F57" s="698"/>
      <c r="G57" s="205"/>
      <c r="H57" s="214"/>
      <c r="I57" s="214"/>
      <c r="J57" s="214"/>
      <c r="K57" s="214"/>
      <c r="L57" s="214"/>
      <c r="M57" s="214"/>
      <c r="N57" s="214"/>
      <c r="O57" s="214"/>
      <c r="P57" s="214"/>
      <c r="Q57" s="214"/>
      <c r="R57" s="214"/>
      <c r="S57" s="214"/>
      <c r="T57" s="214"/>
      <c r="U57" s="214"/>
      <c r="V57" s="214"/>
      <c r="W57" s="214"/>
      <c r="X57" s="214"/>
      <c r="Y57" s="214"/>
      <c r="Z57" s="214"/>
      <c r="AA57" s="214"/>
      <c r="AB57" s="214"/>
      <c r="AC57" s="214"/>
      <c r="AD57" s="214"/>
      <c r="AE57" s="214"/>
      <c r="AF57" s="214"/>
      <c r="AG57" s="214"/>
      <c r="AH57" s="214"/>
      <c r="AI57" s="214"/>
      <c r="AJ57" s="214"/>
      <c r="AK57" s="214"/>
      <c r="AL57" s="214"/>
      <c r="AM57" s="120">
        <f t="shared" si="1"/>
        <v>0</v>
      </c>
      <c r="AN57" s="564">
        <f>IF(AO57&lt;=3,(IF(AND(G57="5/24",AM57&gt;0.5),(AM57*2*база!$M$6*Таблица14[[#This Row],[коэф]]),
IF(AND(G57="4/24",AM57&gt;0.5),(AM57*2*база!$M$5*Таблица14[[#This Row],[коэф]]),
IF(AND(G57="3/24",AM57&gt;0.5),(AM57*2*база!$M$4*Таблица14[[#This Row],[коэф]]),
IF(AND(G57="5/16",AM57&gt;0.5),(AM57*2*база!$L$6*Таблица14[[#This Row],[коэф]]),
IF(AND(G57="4/16",AM57&gt;0.5),(AM57*2*база!$L$5*Таблица14[[#This Row],[коэф]]),
IF(AND(G57="3/16",AM57&gt;0.5),(AM57*2*база!$L$4*Таблица14[[#This Row],[коэф]]),
IF(AND(G57="4/4",AM57&gt;0.5),(AM57*2*база!$I$5*Таблица14[[#This Row],[коэф]]),
IF(OR(AND(G57="3/4",AM57&gt;0.5),AND(G57="2/4",AM57&gt;0.5)),(AM57*2*база!$I$4*Таблица14[[#This Row],[коэф]]),
IF(AND(G57="5/8",AM57&gt;0.5),(AM57*2*база!$J$6*Таблица14[[#This Row],[коэф]]),
IF(AND(G57="4/8",AM57&gt;0.5),(AM57*2*база!$J$5*Таблица14[[#This Row],[коэф]]),
IF(OR(AND(G57="3/8",AM57&gt;0.5),AND(G57="2/8",AM57&gt;0.5)),(AM57*2*база!$J$4*Таблица14[[#This Row],[коэф]]),
(AM57*0.5*база!$L$4*Таблица14[[#This Row],[коэф]]))))))))))))),
(IF(AND(G57="5/24",AM57&gt;0.5),(AM57*2*база!$M$6*Таблица14[[#This Row],[коэф]]),
IF(OR(AND(G57="4/24",AM57&gt;0.5),AND(G57="3/24",AM57&gt;0.5)),(AM57*2*база!$M$5*Таблица14[[#This Row],[коэф]]),
IF(AND(G57="5/16",AM57&gt;0.5),(AM57*2*база!$L$6*Таблица14[[#This Row],[коэф]]),
IF(OR(AND(G57="4/16",AM57&gt;0.5),AND(G57="3/16",AM57&gt;0.5)),(AM57*2*база!$L$5*Таблица14[[#This Row],[коэф]]),
IF(OR(AND(G57="4/4",AM57&gt;0.5),AND(G57="3/4",AM57&gt;2)),(AM57*2*база!$I$5*Таблица14[[#This Row],[коэф]]),
IF(AND(G57="5/8",AM57&gt;0.5),(AM57*2*база!$J$6*Таблица14[[#This Row],[коэф]]),
IF(AND(G57="4/8",AM57&gt;0.5),(AM57*2*база!$J$5*Таблица14[[#This Row],[коэф]]),
IF(OR(AND(G57="3/8",AM57&gt;0.5),AND(G57="2/8",AM57&gt;0.5)),(AM57*2*база!$J$4*Таблица14[[#This Row],[коэф]]),
(AM57*2*база!$L$5*Таблица14[[#This Row],[коэф]])))))))))))</f>
        <v>0</v>
      </c>
      <c r="AO57" s="121">
        <f>IFERROR(INDEX(база!$D$2:$D$120, MATCH(Таблица14[[#This Row],[Ф. И. О.]],база!$B$2:$B$100,0)),"")</f>
        <v>0</v>
      </c>
    </row>
    <row r="58" spans="1:41" s="46" customFormat="1" ht="13.5" customHeight="1">
      <c r="A58" s="206" t="str">
        <f t="shared" si="0"/>
        <v>декабрь</v>
      </c>
      <c r="B58" s="239">
        <v>2023</v>
      </c>
      <c r="C58" s="572"/>
      <c r="D58" s="213"/>
      <c r="E58" s="240"/>
      <c r="F58" s="698"/>
      <c r="G58" s="241"/>
      <c r="H58" s="214"/>
      <c r="I58" s="214"/>
      <c r="J58" s="214"/>
      <c r="K58" s="214"/>
      <c r="L58" s="214"/>
      <c r="M58" s="214"/>
      <c r="N58" s="214"/>
      <c r="O58" s="214"/>
      <c r="P58" s="214"/>
      <c r="Q58" s="214"/>
      <c r="R58" s="214"/>
      <c r="S58" s="214"/>
      <c r="T58" s="214"/>
      <c r="U58" s="214"/>
      <c r="V58" s="214"/>
      <c r="W58" s="214"/>
      <c r="X58" s="214"/>
      <c r="Y58" s="214"/>
      <c r="Z58" s="214"/>
      <c r="AA58" s="214"/>
      <c r="AB58" s="214"/>
      <c r="AC58" s="214"/>
      <c r="AD58" s="214"/>
      <c r="AE58" s="214"/>
      <c r="AF58" s="214"/>
      <c r="AG58" s="214"/>
      <c r="AH58" s="214"/>
      <c r="AI58" s="214"/>
      <c r="AJ58" s="214"/>
      <c r="AK58" s="214"/>
      <c r="AL58" s="214"/>
      <c r="AM58" s="120">
        <f t="shared" si="1"/>
        <v>0</v>
      </c>
      <c r="AN58" s="564">
        <f>IF(AO58&lt;=3,(IF(AND(G58="5/24",AM58&gt;0.5),(AM58*2*база!$M$6*Таблица14[[#This Row],[коэф]]),
IF(AND(G58="4/24",AM58&gt;0.5),(AM58*2*база!$M$5*Таблица14[[#This Row],[коэф]]),
IF(AND(G58="3/24",AM58&gt;0.5),(AM58*2*база!$M$4*Таблица14[[#This Row],[коэф]]),
IF(AND(G58="5/16",AM58&gt;0.5),(AM58*2*база!$L$6*Таблица14[[#This Row],[коэф]]),
IF(AND(G58="4/16",AM58&gt;0.5),(AM58*2*база!$L$5*Таблица14[[#This Row],[коэф]]),
IF(AND(G58="3/16",AM58&gt;0.5),(AM58*2*база!$L$4*Таблица14[[#This Row],[коэф]]),
IF(AND(G58="4/4",AM58&gt;0.5),(AM58*2*база!$I$5*Таблица14[[#This Row],[коэф]]),
IF(OR(AND(G58="3/4",AM58&gt;0.5),AND(G58="2/4",AM58&gt;0.5)),(AM58*2*база!$I$4*Таблица14[[#This Row],[коэф]]),
IF(AND(G58="5/8",AM58&gt;0.5),(AM58*2*база!$J$6*Таблица14[[#This Row],[коэф]]),
IF(AND(G58="4/8",AM58&gt;0.5),(AM58*2*база!$J$5*Таблица14[[#This Row],[коэф]]),
IF(OR(AND(G58="3/8",AM58&gt;0.5),AND(G58="2/8",AM58&gt;0.5)),(AM58*2*база!$J$4*Таблица14[[#This Row],[коэф]]),
(AM58*0.5*база!$L$4*Таблица14[[#This Row],[коэф]]))))))))))))),
(IF(AND(G58="5/24",AM58&gt;0.5),(AM58*2*база!$M$6*Таблица14[[#This Row],[коэф]]),
IF(OR(AND(G58="4/24",AM58&gt;0.5),AND(G58="3/24",AM58&gt;0.5)),(AM58*2*база!$M$5*Таблица14[[#This Row],[коэф]]),
IF(AND(G58="5/16",AM58&gt;0.5),(AM58*2*база!$L$6*Таблица14[[#This Row],[коэф]]),
IF(OR(AND(G58="4/16",AM58&gt;0.5),AND(G58="3/16",AM58&gt;0.5)),(AM58*2*база!$L$5*Таблица14[[#This Row],[коэф]]),
IF(OR(AND(G58="4/4",AM58&gt;0.5),AND(G58="3/4",AM58&gt;2)),(AM58*2*база!$I$5*Таблица14[[#This Row],[коэф]]),
IF(AND(G58="5/8",AM58&gt;0.5),(AM58*2*база!$J$6*Таблица14[[#This Row],[коэф]]),
IF(AND(G58="4/8",AM58&gt;0.5),(AM58*2*база!$J$5*Таблица14[[#This Row],[коэф]]),
IF(OR(AND(G58="3/8",AM58&gt;0.5),AND(G58="2/8",AM58&gt;0.5)),(AM58*2*база!$J$4*Таблица14[[#This Row],[коэф]]),
(AM58*2*база!$L$5*Таблица14[[#This Row],[коэф]])))))))))))</f>
        <v>0</v>
      </c>
      <c r="AO58" s="121">
        <f>IFERROR(INDEX(база!$D$2:$D$120, MATCH(Таблица14[[#This Row],[Ф. И. О.]],база!$B$2:$B$100,0)),"")</f>
        <v>0</v>
      </c>
    </row>
    <row r="59" spans="1:41" s="46" customFormat="1" ht="13.5" customHeight="1">
      <c r="A59" s="206" t="str">
        <f t="shared" si="0"/>
        <v>декабрь</v>
      </c>
      <c r="B59" s="203">
        <v>2023</v>
      </c>
      <c r="C59" s="572"/>
      <c r="D59" s="213"/>
      <c r="E59" s="242"/>
      <c r="F59" s="698"/>
      <c r="G59" s="205"/>
      <c r="H59" s="214"/>
      <c r="I59" s="214"/>
      <c r="J59" s="214"/>
      <c r="K59" s="214"/>
      <c r="L59" s="214"/>
      <c r="M59" s="214"/>
      <c r="N59" s="214"/>
      <c r="O59" s="214"/>
      <c r="P59" s="214"/>
      <c r="Q59" s="214"/>
      <c r="R59" s="214"/>
      <c r="S59" s="214"/>
      <c r="T59" s="214"/>
      <c r="U59" s="214"/>
      <c r="V59" s="214"/>
      <c r="W59" s="214"/>
      <c r="X59" s="214"/>
      <c r="Y59" s="214"/>
      <c r="Z59" s="214"/>
      <c r="AA59" s="214"/>
      <c r="AB59" s="214"/>
      <c r="AC59" s="214"/>
      <c r="AD59" s="214"/>
      <c r="AE59" s="214"/>
      <c r="AF59" s="214"/>
      <c r="AG59" s="214"/>
      <c r="AH59" s="214"/>
      <c r="AI59" s="214"/>
      <c r="AJ59" s="214"/>
      <c r="AK59" s="214"/>
      <c r="AL59" s="214"/>
      <c r="AM59" s="120">
        <f t="shared" si="1"/>
        <v>0</v>
      </c>
      <c r="AN59" s="564">
        <f>IF(AO59&lt;=3,(IF(AND(G59="5/24",AM59&gt;0.5),(AM59*2*база!$M$6*Таблица14[[#This Row],[коэф]]),
IF(AND(G59="4/24",AM59&gt;0.5),(AM59*2*база!$M$5*Таблица14[[#This Row],[коэф]]),
IF(AND(G59="3/24",AM59&gt;0.5),(AM59*2*база!$M$4*Таблица14[[#This Row],[коэф]]),
IF(AND(G59="5/16",AM59&gt;0.5),(AM59*2*база!$L$6*Таблица14[[#This Row],[коэф]]),
IF(AND(G59="4/16",AM59&gt;0.5),(AM59*2*база!$L$5*Таблица14[[#This Row],[коэф]]),
IF(AND(G59="3/16",AM59&gt;0.5),(AM59*2*база!$L$4*Таблица14[[#This Row],[коэф]]),
IF(AND(G59="4/4",AM59&gt;0.5),(AM59*2*база!$I$5*Таблица14[[#This Row],[коэф]]),
IF(OR(AND(G59="3/4",AM59&gt;0.5),AND(G59="2/4",AM59&gt;0.5)),(AM59*2*база!$I$4*Таблица14[[#This Row],[коэф]]),
IF(AND(G59="5/8",AM59&gt;0.5),(AM59*2*база!$J$6*Таблица14[[#This Row],[коэф]]),
IF(AND(G59="4/8",AM59&gt;0.5),(AM59*2*база!$J$5*Таблица14[[#This Row],[коэф]]),
IF(OR(AND(G59="3/8",AM59&gt;0.5),AND(G59="2/8",AM59&gt;0.5)),(AM59*2*база!$J$4*Таблица14[[#This Row],[коэф]]),
(AM59*0.5*база!$L$4*Таблица14[[#This Row],[коэф]]))))))))))))),
(IF(AND(G59="5/24",AM59&gt;0.5),(AM59*2*база!$M$6*Таблица14[[#This Row],[коэф]]),
IF(OR(AND(G59="4/24",AM59&gt;0.5),AND(G59="3/24",AM59&gt;0.5)),(AM59*2*база!$M$5*Таблица14[[#This Row],[коэф]]),
IF(AND(G59="5/16",AM59&gt;0.5),(AM59*2*база!$L$6*Таблица14[[#This Row],[коэф]]),
IF(OR(AND(G59="4/16",AM59&gt;0.5),AND(G59="3/16",AM59&gt;0.5)),(AM59*2*база!$L$5*Таблица14[[#This Row],[коэф]]),
IF(OR(AND(G59="4/4",AM59&gt;0.5),AND(G59="3/4",AM59&gt;2)),(AM59*2*база!$I$5*Таблица14[[#This Row],[коэф]]),
IF(AND(G59="5/8",AM59&gt;0.5),(AM59*2*база!$J$6*Таблица14[[#This Row],[коэф]]),
IF(AND(G59="4/8",AM59&gt;0.5),(AM59*2*база!$J$5*Таблица14[[#This Row],[коэф]]),
IF(OR(AND(G59="3/8",AM59&gt;0.5),AND(G59="2/8",AM59&gt;0.5)),(AM59*2*база!$J$4*Таблица14[[#This Row],[коэф]]),
(AM59*2*база!$L$5*Таблица14[[#This Row],[коэф]])))))))))))</f>
        <v>0</v>
      </c>
      <c r="AO59" s="121">
        <f>IFERROR(INDEX(база!$D$2:$D$120, MATCH(Таблица14[[#This Row],[Ф. И. О.]],база!$B$2:$B$100,0)),"")</f>
        <v>0</v>
      </c>
    </row>
    <row r="60" spans="1:41" s="46" customFormat="1" ht="13.5" customHeight="1">
      <c r="A60" s="206" t="str">
        <f t="shared" si="0"/>
        <v>декабрь</v>
      </c>
      <c r="B60" s="239">
        <v>2023</v>
      </c>
      <c r="C60" s="572"/>
      <c r="D60" s="213"/>
      <c r="E60" s="240"/>
      <c r="F60" s="698"/>
      <c r="G60" s="241"/>
      <c r="H60" s="214"/>
      <c r="I60" s="214"/>
      <c r="J60" s="214"/>
      <c r="K60" s="214"/>
      <c r="L60" s="214"/>
      <c r="M60" s="214"/>
      <c r="N60" s="214"/>
      <c r="O60" s="214"/>
      <c r="P60" s="214"/>
      <c r="Q60" s="214"/>
      <c r="R60" s="214"/>
      <c r="S60" s="214"/>
      <c r="T60" s="214"/>
      <c r="U60" s="214"/>
      <c r="V60" s="214"/>
      <c r="W60" s="214"/>
      <c r="X60" s="214"/>
      <c r="Y60" s="214"/>
      <c r="Z60" s="214"/>
      <c r="AA60" s="214"/>
      <c r="AB60" s="214"/>
      <c r="AC60" s="214"/>
      <c r="AD60" s="214"/>
      <c r="AE60" s="214"/>
      <c r="AF60" s="214"/>
      <c r="AG60" s="214"/>
      <c r="AH60" s="214"/>
      <c r="AI60" s="214"/>
      <c r="AJ60" s="214"/>
      <c r="AK60" s="214"/>
      <c r="AL60" s="214"/>
      <c r="AM60" s="120">
        <f t="shared" si="1"/>
        <v>0</v>
      </c>
      <c r="AN60" s="564">
        <f>IF(AO60&lt;=3,(IF(AND(G60="5/24",AM60&gt;0.5),(AM60*2*база!$M$6*Таблица14[[#This Row],[коэф]]),
IF(AND(G60="4/24",AM60&gt;0.5),(AM60*2*база!$M$5*Таблица14[[#This Row],[коэф]]),
IF(AND(G60="3/24",AM60&gt;0.5),(AM60*2*база!$M$4*Таблица14[[#This Row],[коэф]]),
IF(AND(G60="5/16",AM60&gt;0.5),(AM60*2*база!$L$6*Таблица14[[#This Row],[коэф]]),
IF(AND(G60="4/16",AM60&gt;0.5),(AM60*2*база!$L$5*Таблица14[[#This Row],[коэф]]),
IF(AND(G60="3/16",AM60&gt;0.5),(AM60*2*база!$L$4*Таблица14[[#This Row],[коэф]]),
IF(AND(G60="4/4",AM60&gt;0.5),(AM60*2*база!$I$5*Таблица14[[#This Row],[коэф]]),
IF(OR(AND(G60="3/4",AM60&gt;0.5),AND(G60="2/4",AM60&gt;0.5)),(AM60*2*база!$I$4*Таблица14[[#This Row],[коэф]]),
IF(AND(G60="5/8",AM60&gt;0.5),(AM60*2*база!$J$6*Таблица14[[#This Row],[коэф]]),
IF(AND(G60="4/8",AM60&gt;0.5),(AM60*2*база!$J$5*Таблица14[[#This Row],[коэф]]),
IF(OR(AND(G60="3/8",AM60&gt;0.5),AND(G60="2/8",AM60&gt;0.5)),(AM60*2*база!$J$4*Таблица14[[#This Row],[коэф]]),
(AM60*0.5*база!$L$4*Таблица14[[#This Row],[коэф]]))))))))))))),
(IF(AND(G60="5/24",AM60&gt;0.5),(AM60*2*база!$M$6*Таблица14[[#This Row],[коэф]]),
IF(OR(AND(G60="4/24",AM60&gt;0.5),AND(G60="3/24",AM60&gt;0.5)),(AM60*2*база!$M$5*Таблица14[[#This Row],[коэф]]),
IF(AND(G60="5/16",AM60&gt;0.5),(AM60*2*база!$L$6*Таблица14[[#This Row],[коэф]]),
IF(OR(AND(G60="4/16",AM60&gt;0.5),AND(G60="3/16",AM60&gt;0.5)),(AM60*2*база!$L$5*Таблица14[[#This Row],[коэф]]),
IF(OR(AND(G60="4/4",AM60&gt;0.5),AND(G60="3/4",AM60&gt;2)),(AM60*2*база!$I$5*Таблица14[[#This Row],[коэф]]),
IF(AND(G60="5/8",AM60&gt;0.5),(AM60*2*база!$J$6*Таблица14[[#This Row],[коэф]]),
IF(AND(G60="4/8",AM60&gt;0.5),(AM60*2*база!$J$5*Таблица14[[#This Row],[коэф]]),
IF(OR(AND(G60="3/8",AM60&gt;0.5),AND(G60="2/8",AM60&gt;0.5)),(AM60*2*база!$J$4*Таблица14[[#This Row],[коэф]]),
(AM60*2*база!$L$5*Таблица14[[#This Row],[коэф]])))))))))))</f>
        <v>0</v>
      </c>
      <c r="AO60" s="121">
        <f>IFERROR(INDEX(база!$D$2:$D$120, MATCH(Таблица14[[#This Row],[Ф. И. О.]],база!$B$2:$B$100,0)),"")</f>
        <v>0</v>
      </c>
    </row>
    <row r="61" spans="1:41" s="46" customFormat="1" ht="13.5" customHeight="1">
      <c r="A61" s="206" t="str">
        <f t="shared" si="0"/>
        <v>декабрь</v>
      </c>
      <c r="B61" s="203">
        <v>2023</v>
      </c>
      <c r="C61" s="572"/>
      <c r="D61" s="213"/>
      <c r="E61" s="242"/>
      <c r="F61" s="698"/>
      <c r="G61" s="205"/>
      <c r="H61" s="214"/>
      <c r="I61" s="214"/>
      <c r="J61" s="214"/>
      <c r="K61" s="214"/>
      <c r="L61" s="214"/>
      <c r="M61" s="214"/>
      <c r="N61" s="214"/>
      <c r="O61" s="214"/>
      <c r="P61" s="214"/>
      <c r="Q61" s="214"/>
      <c r="R61" s="214"/>
      <c r="S61" s="214"/>
      <c r="T61" s="214"/>
      <c r="U61" s="214"/>
      <c r="V61" s="214"/>
      <c r="W61" s="214"/>
      <c r="X61" s="214"/>
      <c r="Y61" s="214"/>
      <c r="Z61" s="214"/>
      <c r="AA61" s="214"/>
      <c r="AB61" s="214"/>
      <c r="AC61" s="214"/>
      <c r="AD61" s="214"/>
      <c r="AE61" s="214"/>
      <c r="AF61" s="214"/>
      <c r="AG61" s="214"/>
      <c r="AH61" s="214"/>
      <c r="AI61" s="214"/>
      <c r="AJ61" s="214"/>
      <c r="AK61" s="214"/>
      <c r="AL61" s="214"/>
      <c r="AM61" s="120">
        <f t="shared" si="1"/>
        <v>0</v>
      </c>
      <c r="AN61" s="564">
        <f>IF(AO61&lt;=3,(IF(AND(G61="5/24",AM61&gt;0.5),(AM61*2*база!$M$6*Таблица14[[#This Row],[коэф]]),
IF(AND(G61="4/24",AM61&gt;0.5),(AM61*2*база!$M$5*Таблица14[[#This Row],[коэф]]),
IF(AND(G61="3/24",AM61&gt;0.5),(AM61*2*база!$M$4*Таблица14[[#This Row],[коэф]]),
IF(AND(G61="5/16",AM61&gt;0.5),(AM61*2*база!$L$6*Таблица14[[#This Row],[коэф]]),
IF(AND(G61="4/16",AM61&gt;0.5),(AM61*2*база!$L$5*Таблица14[[#This Row],[коэф]]),
IF(AND(G61="3/16",AM61&gt;0.5),(AM61*2*база!$L$4*Таблица14[[#This Row],[коэф]]),
IF(AND(G61="4/4",AM61&gt;0.5),(AM61*2*база!$I$5*Таблица14[[#This Row],[коэф]]),
IF(OR(AND(G61="3/4",AM61&gt;0.5),AND(G61="2/4",AM61&gt;0.5)),(AM61*2*база!$I$4*Таблица14[[#This Row],[коэф]]),
IF(AND(G61="5/8",AM61&gt;0.5),(AM61*2*база!$J$6*Таблица14[[#This Row],[коэф]]),
IF(AND(G61="4/8",AM61&gt;0.5),(AM61*2*база!$J$5*Таблица14[[#This Row],[коэф]]),
IF(OR(AND(G61="3/8",AM61&gt;0.5),AND(G61="2/8",AM61&gt;0.5)),(AM61*2*база!$J$4*Таблица14[[#This Row],[коэф]]),
(AM61*0.5*база!$L$4*Таблица14[[#This Row],[коэф]]))))))))))))),
(IF(AND(G61="5/24",AM61&gt;0.5),(AM61*2*база!$M$6*Таблица14[[#This Row],[коэф]]),
IF(OR(AND(G61="4/24",AM61&gt;0.5),AND(G61="3/24",AM61&gt;0.5)),(AM61*2*база!$M$5*Таблица14[[#This Row],[коэф]]),
IF(AND(G61="5/16",AM61&gt;0.5),(AM61*2*база!$L$6*Таблица14[[#This Row],[коэф]]),
IF(OR(AND(G61="4/16",AM61&gt;0.5),AND(G61="3/16",AM61&gt;0.5)),(AM61*2*база!$L$5*Таблица14[[#This Row],[коэф]]),
IF(OR(AND(G61="4/4",AM61&gt;0.5),AND(G61="3/4",AM61&gt;2)),(AM61*2*база!$I$5*Таблица14[[#This Row],[коэф]]),
IF(AND(G61="5/8",AM61&gt;0.5),(AM61*2*база!$J$6*Таблица14[[#This Row],[коэф]]),
IF(AND(G61="4/8",AM61&gt;0.5),(AM61*2*база!$J$5*Таблица14[[#This Row],[коэф]]),
IF(OR(AND(G61="3/8",AM61&gt;0.5),AND(G61="2/8",AM61&gt;0.5)),(AM61*2*база!$J$4*Таблица14[[#This Row],[коэф]]),
(AM61*2*база!$L$5*Таблица14[[#This Row],[коэф]])))))))))))</f>
        <v>0</v>
      </c>
      <c r="AO61" s="121">
        <f>IFERROR(INDEX(база!$D$2:$D$120, MATCH(Таблица14[[#This Row],[Ф. И. О.]],база!$B$2:$B$100,0)),"")</f>
        <v>0</v>
      </c>
    </row>
    <row r="62" spans="1:41" s="46" customFormat="1" ht="13.5" customHeight="1">
      <c r="A62" s="206" t="str">
        <f t="shared" si="0"/>
        <v>декабрь</v>
      </c>
      <c r="B62" s="239">
        <v>2023</v>
      </c>
      <c r="C62" s="572"/>
      <c r="D62" s="213"/>
      <c r="E62" s="240"/>
      <c r="F62" s="698"/>
      <c r="G62" s="241"/>
      <c r="H62" s="214"/>
      <c r="I62" s="214"/>
      <c r="J62" s="214"/>
      <c r="K62" s="214"/>
      <c r="L62" s="214"/>
      <c r="M62" s="214"/>
      <c r="N62" s="214"/>
      <c r="O62" s="214"/>
      <c r="P62" s="214"/>
      <c r="Q62" s="214"/>
      <c r="R62" s="214"/>
      <c r="S62" s="214"/>
      <c r="T62" s="214"/>
      <c r="U62" s="214"/>
      <c r="V62" s="214"/>
      <c r="W62" s="214"/>
      <c r="X62" s="214"/>
      <c r="Y62" s="214"/>
      <c r="Z62" s="214"/>
      <c r="AA62" s="214"/>
      <c r="AB62" s="214"/>
      <c r="AC62" s="214"/>
      <c r="AD62" s="214"/>
      <c r="AE62" s="214"/>
      <c r="AF62" s="214"/>
      <c r="AG62" s="214"/>
      <c r="AH62" s="214"/>
      <c r="AI62" s="214"/>
      <c r="AJ62" s="214"/>
      <c r="AK62" s="214"/>
      <c r="AL62" s="214"/>
      <c r="AM62" s="120">
        <f t="shared" ref="AM62:AM77" si="2">SUM(H62:AL62)</f>
        <v>0</v>
      </c>
      <c r="AN62" s="564">
        <f>IF(AO62&lt;=3,(IF(AND(G62="5/24",AM62&gt;0.5),(AM62*2*база!$M$6*Таблица14[[#This Row],[коэф]]),
IF(AND(G62="4/24",AM62&gt;0.5),(AM62*2*база!$M$5*Таблица14[[#This Row],[коэф]]),
IF(AND(G62="3/24",AM62&gt;0.5),(AM62*2*база!$M$4*Таблица14[[#This Row],[коэф]]),
IF(AND(G62="5/16",AM62&gt;0.5),(AM62*2*база!$L$6*Таблица14[[#This Row],[коэф]]),
IF(AND(G62="4/16",AM62&gt;0.5),(AM62*2*база!$L$5*Таблица14[[#This Row],[коэф]]),
IF(AND(G62="3/16",AM62&gt;0.5),(AM62*2*база!$L$4*Таблица14[[#This Row],[коэф]]),
IF(AND(G62="4/4",AM62&gt;0.5),(AM62*2*база!$I$5*Таблица14[[#This Row],[коэф]]),
IF(OR(AND(G62="3/4",AM62&gt;0.5),AND(G62="2/4",AM62&gt;0.5)),(AM62*2*база!$I$4*Таблица14[[#This Row],[коэф]]),
IF(AND(G62="5/8",AM62&gt;0.5),(AM62*2*база!$J$6*Таблица14[[#This Row],[коэф]]),
IF(AND(G62="4/8",AM62&gt;0.5),(AM62*2*база!$J$5*Таблица14[[#This Row],[коэф]]),
IF(OR(AND(G62="3/8",AM62&gt;0.5),AND(G62="2/8",AM62&gt;0.5)),(AM62*2*база!$J$4*Таблица14[[#This Row],[коэф]]),
(AM62*0.5*база!$L$4*Таблица14[[#This Row],[коэф]]))))))))))))),
(IF(AND(G62="5/24",AM62&gt;0.5),(AM62*2*база!$M$6*Таблица14[[#This Row],[коэф]]),
IF(OR(AND(G62="4/24",AM62&gt;0.5),AND(G62="3/24",AM62&gt;0.5)),(AM62*2*база!$M$5*Таблица14[[#This Row],[коэф]]),
IF(AND(G62="5/16",AM62&gt;0.5),(AM62*2*база!$L$6*Таблица14[[#This Row],[коэф]]),
IF(OR(AND(G62="4/16",AM62&gt;0.5),AND(G62="3/16",AM62&gt;0.5)),(AM62*2*база!$L$5*Таблица14[[#This Row],[коэф]]),
IF(OR(AND(G62="4/4",AM62&gt;0.5),AND(G62="3/4",AM62&gt;2)),(AM62*2*база!$I$5*Таблица14[[#This Row],[коэф]]),
IF(AND(G62="5/8",AM62&gt;0.5),(AM62*2*база!$J$6*Таблица14[[#This Row],[коэф]]),
IF(AND(G62="4/8",AM62&gt;0.5),(AM62*2*база!$J$5*Таблица14[[#This Row],[коэф]]),
IF(OR(AND(G62="3/8",AM62&gt;0.5),AND(G62="2/8",AM62&gt;0.5)),(AM62*2*база!$J$4*Таблица14[[#This Row],[коэф]]),
(AM62*2*база!$L$5*Таблица14[[#This Row],[коэф]])))))))))))</f>
        <v>0</v>
      </c>
      <c r="AO62" s="121">
        <f>IFERROR(INDEX(база!$D$2:$D$120, MATCH(Таблица14[[#This Row],[Ф. И. О.]],база!$B$2:$B$100,0)),"")</f>
        <v>0</v>
      </c>
    </row>
    <row r="63" spans="1:41" s="46" customFormat="1" ht="13.5" customHeight="1">
      <c r="A63" s="206" t="str">
        <f t="shared" si="0"/>
        <v>декабрь</v>
      </c>
      <c r="B63" s="203">
        <v>2023</v>
      </c>
      <c r="C63" s="572"/>
      <c r="D63" s="213"/>
      <c r="E63" s="242"/>
      <c r="F63" s="698"/>
      <c r="G63" s="205"/>
      <c r="H63" s="214"/>
      <c r="I63" s="214"/>
      <c r="J63" s="214"/>
      <c r="K63" s="214"/>
      <c r="L63" s="214"/>
      <c r="M63" s="214"/>
      <c r="N63" s="214"/>
      <c r="O63" s="214"/>
      <c r="P63" s="214"/>
      <c r="Q63" s="214"/>
      <c r="R63" s="214"/>
      <c r="S63" s="214"/>
      <c r="T63" s="214"/>
      <c r="U63" s="214"/>
      <c r="V63" s="214"/>
      <c r="W63" s="214"/>
      <c r="X63" s="214"/>
      <c r="Y63" s="214"/>
      <c r="Z63" s="214"/>
      <c r="AA63" s="214"/>
      <c r="AB63" s="214"/>
      <c r="AC63" s="214"/>
      <c r="AD63" s="214"/>
      <c r="AE63" s="214"/>
      <c r="AF63" s="214"/>
      <c r="AG63" s="214"/>
      <c r="AH63" s="214"/>
      <c r="AI63" s="214"/>
      <c r="AJ63" s="214"/>
      <c r="AK63" s="214"/>
      <c r="AL63" s="214"/>
      <c r="AM63" s="120">
        <f t="shared" si="2"/>
        <v>0</v>
      </c>
      <c r="AN63" s="564">
        <f>IF(AO63&lt;=3,(IF(AND(G63="5/24",AM63&gt;0.5),(AM63*2*база!$M$6*Таблица14[[#This Row],[коэф]]),
IF(AND(G63="4/24",AM63&gt;0.5),(AM63*2*база!$M$5*Таблица14[[#This Row],[коэф]]),
IF(AND(G63="3/24",AM63&gt;0.5),(AM63*2*база!$M$4*Таблица14[[#This Row],[коэф]]),
IF(AND(G63="5/16",AM63&gt;0.5),(AM63*2*база!$L$6*Таблица14[[#This Row],[коэф]]),
IF(AND(G63="4/16",AM63&gt;0.5),(AM63*2*база!$L$5*Таблица14[[#This Row],[коэф]]),
IF(AND(G63="3/16",AM63&gt;0.5),(AM63*2*база!$L$4*Таблица14[[#This Row],[коэф]]),
IF(AND(G63="4/4",AM63&gt;0.5),(AM63*2*база!$I$5*Таблица14[[#This Row],[коэф]]),
IF(OR(AND(G63="3/4",AM63&gt;0.5),AND(G63="2/4",AM63&gt;0.5)),(AM63*2*база!$I$4*Таблица14[[#This Row],[коэф]]),
IF(AND(G63="5/8",AM63&gt;0.5),(AM63*2*база!$J$6*Таблица14[[#This Row],[коэф]]),
IF(AND(G63="4/8",AM63&gt;0.5),(AM63*2*база!$J$5*Таблица14[[#This Row],[коэф]]),
IF(OR(AND(G63="3/8",AM63&gt;0.5),AND(G63="2/8",AM63&gt;0.5)),(AM63*2*база!$J$4*Таблица14[[#This Row],[коэф]]),
(AM63*0.5*база!$L$4*Таблица14[[#This Row],[коэф]]))))))))))))),
(IF(AND(G63="5/24",AM63&gt;0.5),(AM63*2*база!$M$6*Таблица14[[#This Row],[коэф]]),
IF(OR(AND(G63="4/24",AM63&gt;0.5),AND(G63="3/24",AM63&gt;0.5)),(AM63*2*база!$M$5*Таблица14[[#This Row],[коэф]]),
IF(AND(G63="5/16",AM63&gt;0.5),(AM63*2*база!$L$6*Таблица14[[#This Row],[коэф]]),
IF(OR(AND(G63="4/16",AM63&gt;0.5),AND(G63="3/16",AM63&gt;0.5)),(AM63*2*база!$L$5*Таблица14[[#This Row],[коэф]]),
IF(OR(AND(G63="4/4",AM63&gt;0.5),AND(G63="3/4",AM63&gt;2)),(AM63*2*база!$I$5*Таблица14[[#This Row],[коэф]]),
IF(AND(G63="5/8",AM63&gt;0.5),(AM63*2*база!$J$6*Таблица14[[#This Row],[коэф]]),
IF(AND(G63="4/8",AM63&gt;0.5),(AM63*2*база!$J$5*Таблица14[[#This Row],[коэф]]),
IF(OR(AND(G63="3/8",AM63&gt;0.5),AND(G63="2/8",AM63&gt;0.5)),(AM63*2*база!$J$4*Таблица14[[#This Row],[коэф]]),
(AM63*2*база!$L$5*Таблица14[[#This Row],[коэф]])))))))))))</f>
        <v>0</v>
      </c>
      <c r="AO63" s="121">
        <f>IFERROR(INDEX(база!$D$2:$D$120, MATCH(Таблица14[[#This Row],[Ф. И. О.]],база!$B$2:$B$100,0)),"")</f>
        <v>0</v>
      </c>
    </row>
    <row r="64" spans="1:41" s="46" customFormat="1" ht="13.5" customHeight="1">
      <c r="A64" s="206" t="str">
        <f t="shared" si="0"/>
        <v>декабрь</v>
      </c>
      <c r="B64" s="239">
        <v>2023</v>
      </c>
      <c r="C64" s="572"/>
      <c r="D64" s="213"/>
      <c r="E64" s="240"/>
      <c r="F64" s="698"/>
      <c r="G64" s="241"/>
      <c r="H64" s="214"/>
      <c r="I64" s="214"/>
      <c r="J64" s="214"/>
      <c r="K64" s="214"/>
      <c r="L64" s="214"/>
      <c r="M64" s="214"/>
      <c r="N64" s="214"/>
      <c r="O64" s="214"/>
      <c r="P64" s="214"/>
      <c r="Q64" s="214"/>
      <c r="R64" s="214"/>
      <c r="S64" s="214"/>
      <c r="T64" s="214"/>
      <c r="U64" s="214"/>
      <c r="V64" s="214"/>
      <c r="W64" s="214"/>
      <c r="X64" s="214"/>
      <c r="Y64" s="214"/>
      <c r="Z64" s="214"/>
      <c r="AA64" s="214"/>
      <c r="AB64" s="214"/>
      <c r="AC64" s="214"/>
      <c r="AD64" s="214"/>
      <c r="AE64" s="214"/>
      <c r="AF64" s="214"/>
      <c r="AG64" s="214"/>
      <c r="AH64" s="214"/>
      <c r="AI64" s="214"/>
      <c r="AJ64" s="214"/>
      <c r="AK64" s="214"/>
      <c r="AL64" s="214"/>
      <c r="AM64" s="120">
        <f t="shared" si="2"/>
        <v>0</v>
      </c>
      <c r="AN64" s="564">
        <f>IF(AO64&lt;=3,(IF(AND(G64="5/24",AM64&gt;0.5),(AM64*2*база!$M$6*Таблица14[[#This Row],[коэф]]),
IF(AND(G64="4/24",AM64&gt;0.5),(AM64*2*база!$M$5*Таблица14[[#This Row],[коэф]]),
IF(AND(G64="3/24",AM64&gt;0.5),(AM64*2*база!$M$4*Таблица14[[#This Row],[коэф]]),
IF(AND(G64="5/16",AM64&gt;0.5),(AM64*2*база!$L$6*Таблица14[[#This Row],[коэф]]),
IF(AND(G64="4/16",AM64&gt;0.5),(AM64*2*база!$L$5*Таблица14[[#This Row],[коэф]]),
IF(AND(G64="3/16",AM64&gt;0.5),(AM64*2*база!$L$4*Таблица14[[#This Row],[коэф]]),
IF(AND(G64="4/4",AM64&gt;0.5),(AM64*2*база!$I$5*Таблица14[[#This Row],[коэф]]),
IF(OR(AND(G64="3/4",AM64&gt;0.5),AND(G64="2/4",AM64&gt;0.5)),(AM64*2*база!$I$4*Таблица14[[#This Row],[коэф]]),
IF(AND(G64="5/8",AM64&gt;0.5),(AM64*2*база!$J$6*Таблица14[[#This Row],[коэф]]),
IF(AND(G64="4/8",AM64&gt;0.5),(AM64*2*база!$J$5*Таблица14[[#This Row],[коэф]]),
IF(OR(AND(G64="3/8",AM64&gt;0.5),AND(G64="2/8",AM64&gt;0.5)),(AM64*2*база!$J$4*Таблица14[[#This Row],[коэф]]),
(AM64*0.5*база!$L$4*Таблица14[[#This Row],[коэф]]))))))))))))),
(IF(AND(G64="5/24",AM64&gt;0.5),(AM64*2*база!$M$6*Таблица14[[#This Row],[коэф]]),
IF(OR(AND(G64="4/24",AM64&gt;0.5),AND(G64="3/24",AM64&gt;0.5)),(AM64*2*база!$M$5*Таблица14[[#This Row],[коэф]]),
IF(AND(G64="5/16",AM64&gt;0.5),(AM64*2*база!$L$6*Таблица14[[#This Row],[коэф]]),
IF(OR(AND(G64="4/16",AM64&gt;0.5),AND(G64="3/16",AM64&gt;0.5)),(AM64*2*база!$L$5*Таблица14[[#This Row],[коэф]]),
IF(OR(AND(G64="4/4",AM64&gt;0.5),AND(G64="3/4",AM64&gt;2)),(AM64*2*база!$I$5*Таблица14[[#This Row],[коэф]]),
IF(AND(G64="5/8",AM64&gt;0.5),(AM64*2*база!$J$6*Таблица14[[#This Row],[коэф]]),
IF(AND(G64="4/8",AM64&gt;0.5),(AM64*2*база!$J$5*Таблица14[[#This Row],[коэф]]),
IF(OR(AND(G64="3/8",AM64&gt;0.5),AND(G64="2/8",AM64&gt;0.5)),(AM64*2*база!$J$4*Таблица14[[#This Row],[коэф]]),
(AM64*2*база!$L$5*Таблица14[[#This Row],[коэф]])))))))))))</f>
        <v>0</v>
      </c>
      <c r="AO64" s="121">
        <f>IFERROR(INDEX(база!$D$2:$D$120, MATCH(Таблица14[[#This Row],[Ф. И. О.]],база!$B$2:$B$100,0)),"")</f>
        <v>0</v>
      </c>
    </row>
    <row r="65" spans="1:41" s="46" customFormat="1" ht="13.5" customHeight="1">
      <c r="A65" s="206" t="str">
        <f t="shared" si="0"/>
        <v>декабрь</v>
      </c>
      <c r="B65" s="203">
        <v>2023</v>
      </c>
      <c r="C65" s="572"/>
      <c r="D65" s="213"/>
      <c r="E65" s="242"/>
      <c r="F65" s="698"/>
      <c r="G65" s="205"/>
      <c r="H65" s="214"/>
      <c r="I65" s="214"/>
      <c r="J65" s="214"/>
      <c r="K65" s="214"/>
      <c r="L65" s="214"/>
      <c r="M65" s="214"/>
      <c r="N65" s="214"/>
      <c r="O65" s="214"/>
      <c r="P65" s="214"/>
      <c r="Q65" s="214"/>
      <c r="R65" s="214"/>
      <c r="S65" s="214"/>
      <c r="T65" s="214"/>
      <c r="U65" s="214"/>
      <c r="V65" s="214"/>
      <c r="W65" s="214"/>
      <c r="X65" s="214"/>
      <c r="Y65" s="214"/>
      <c r="Z65" s="214"/>
      <c r="AA65" s="214"/>
      <c r="AB65" s="214"/>
      <c r="AC65" s="214"/>
      <c r="AD65" s="214"/>
      <c r="AE65" s="214"/>
      <c r="AF65" s="214"/>
      <c r="AG65" s="214"/>
      <c r="AH65" s="214"/>
      <c r="AI65" s="214"/>
      <c r="AJ65" s="214"/>
      <c r="AK65" s="214"/>
      <c r="AL65" s="214"/>
      <c r="AM65" s="120">
        <f t="shared" si="2"/>
        <v>0</v>
      </c>
      <c r="AN65" s="564">
        <f>IF(AO65&lt;=3,(IF(AND(G65="5/24",AM65&gt;0.5),(AM65*2*база!$M$6*Таблица14[[#This Row],[коэф]]),
IF(AND(G65="4/24",AM65&gt;0.5),(AM65*2*база!$M$5*Таблица14[[#This Row],[коэф]]),
IF(AND(G65="3/24",AM65&gt;0.5),(AM65*2*база!$M$4*Таблица14[[#This Row],[коэф]]),
IF(AND(G65="5/16",AM65&gt;0.5),(AM65*2*база!$L$6*Таблица14[[#This Row],[коэф]]),
IF(AND(G65="4/16",AM65&gt;0.5),(AM65*2*база!$L$5*Таблица14[[#This Row],[коэф]]),
IF(AND(G65="3/16",AM65&gt;0.5),(AM65*2*база!$L$4*Таблица14[[#This Row],[коэф]]),
IF(AND(G65="4/4",AM65&gt;0.5),(AM65*2*база!$I$5*Таблица14[[#This Row],[коэф]]),
IF(OR(AND(G65="3/4",AM65&gt;0.5),AND(G65="2/4",AM65&gt;0.5)),(AM65*2*база!$I$4*Таблица14[[#This Row],[коэф]]),
IF(AND(G65="5/8",AM65&gt;0.5),(AM65*2*база!$J$6*Таблица14[[#This Row],[коэф]]),
IF(AND(G65="4/8",AM65&gt;0.5),(AM65*2*база!$J$5*Таблица14[[#This Row],[коэф]]),
IF(OR(AND(G65="3/8",AM65&gt;0.5),AND(G65="2/8",AM65&gt;0.5)),(AM65*2*база!$J$4*Таблица14[[#This Row],[коэф]]),
(AM65*0.5*база!$L$4*Таблица14[[#This Row],[коэф]]))))))))))))),
(IF(AND(G65="5/24",AM65&gt;0.5),(AM65*2*база!$M$6*Таблица14[[#This Row],[коэф]]),
IF(OR(AND(G65="4/24",AM65&gt;0.5),AND(G65="3/24",AM65&gt;0.5)),(AM65*2*база!$M$5*Таблица14[[#This Row],[коэф]]),
IF(AND(G65="5/16",AM65&gt;0.5),(AM65*2*база!$L$6*Таблица14[[#This Row],[коэф]]),
IF(OR(AND(G65="4/16",AM65&gt;0.5),AND(G65="3/16",AM65&gt;0.5)),(AM65*2*база!$L$5*Таблица14[[#This Row],[коэф]]),
IF(OR(AND(G65="4/4",AM65&gt;0.5),AND(G65="3/4",AM65&gt;2)),(AM65*2*база!$I$5*Таблица14[[#This Row],[коэф]]),
IF(AND(G65="5/8",AM65&gt;0.5),(AM65*2*база!$J$6*Таблица14[[#This Row],[коэф]]),
IF(AND(G65="4/8",AM65&gt;0.5),(AM65*2*база!$J$5*Таблица14[[#This Row],[коэф]]),
IF(OR(AND(G65="3/8",AM65&gt;0.5),AND(G65="2/8",AM65&gt;0.5)),(AM65*2*база!$J$4*Таблица14[[#This Row],[коэф]]),
(AM65*2*база!$L$5*Таблица14[[#This Row],[коэф]])))))))))))</f>
        <v>0</v>
      </c>
      <c r="AO65" s="121">
        <f>IFERROR(INDEX(база!$D$2:$D$120, MATCH(Таблица14[[#This Row],[Ф. И. О.]],база!$B$2:$B$100,0)),"")</f>
        <v>0</v>
      </c>
    </row>
    <row r="66" spans="1:41" s="46" customFormat="1" ht="13.5" customHeight="1">
      <c r="A66" s="206" t="str">
        <f t="shared" si="0"/>
        <v>декабрь</v>
      </c>
      <c r="B66" s="239">
        <v>2023</v>
      </c>
      <c r="C66" s="572"/>
      <c r="D66" s="213"/>
      <c r="E66" s="240"/>
      <c r="F66" s="698"/>
      <c r="G66" s="241"/>
      <c r="H66" s="214"/>
      <c r="I66" s="214"/>
      <c r="J66" s="214"/>
      <c r="K66" s="214"/>
      <c r="L66" s="214"/>
      <c r="M66" s="214"/>
      <c r="N66" s="214"/>
      <c r="O66" s="214"/>
      <c r="P66" s="214"/>
      <c r="Q66" s="214"/>
      <c r="R66" s="214"/>
      <c r="S66" s="214"/>
      <c r="T66" s="214"/>
      <c r="U66" s="214"/>
      <c r="V66" s="214"/>
      <c r="W66" s="214"/>
      <c r="X66" s="214"/>
      <c r="Y66" s="214"/>
      <c r="Z66" s="214"/>
      <c r="AA66" s="214"/>
      <c r="AB66" s="214"/>
      <c r="AC66" s="214"/>
      <c r="AD66" s="214"/>
      <c r="AE66" s="214"/>
      <c r="AF66" s="214"/>
      <c r="AG66" s="214"/>
      <c r="AH66" s="214"/>
      <c r="AI66" s="214"/>
      <c r="AJ66" s="214"/>
      <c r="AK66" s="214"/>
      <c r="AL66" s="214"/>
      <c r="AM66" s="120">
        <f t="shared" si="2"/>
        <v>0</v>
      </c>
      <c r="AN66" s="564">
        <f>IF(AO66&lt;=3,(IF(AND(G66="5/24",AM66&gt;0.5),(AM66*2*база!$M$6*Таблица14[[#This Row],[коэф]]),
IF(AND(G66="4/24",AM66&gt;0.5),(AM66*2*база!$M$5*Таблица14[[#This Row],[коэф]]),
IF(AND(G66="3/24",AM66&gt;0.5),(AM66*2*база!$M$4*Таблица14[[#This Row],[коэф]]),
IF(AND(G66="5/16",AM66&gt;0.5),(AM66*2*база!$L$6*Таблица14[[#This Row],[коэф]]),
IF(AND(G66="4/16",AM66&gt;0.5),(AM66*2*база!$L$5*Таблица14[[#This Row],[коэф]]),
IF(AND(G66="3/16",AM66&gt;0.5),(AM66*2*база!$L$4*Таблица14[[#This Row],[коэф]]),
IF(AND(G66="4/4",AM66&gt;0.5),(AM66*2*база!$I$5*Таблица14[[#This Row],[коэф]]),
IF(OR(AND(G66="3/4",AM66&gt;0.5),AND(G66="2/4",AM66&gt;0.5)),(AM66*2*база!$I$4*Таблица14[[#This Row],[коэф]]),
IF(AND(G66="5/8",AM66&gt;0.5),(AM66*2*база!$J$6*Таблица14[[#This Row],[коэф]]),
IF(AND(G66="4/8",AM66&gt;0.5),(AM66*2*база!$J$5*Таблица14[[#This Row],[коэф]]),
IF(OR(AND(G66="3/8",AM66&gt;0.5),AND(G66="2/8",AM66&gt;0.5)),(AM66*2*база!$J$4*Таблица14[[#This Row],[коэф]]),
(AM66*0.5*база!$L$4*Таблица14[[#This Row],[коэф]]))))))))))))),
(IF(AND(G66="5/24",AM66&gt;0.5),(AM66*2*база!$M$6*Таблица14[[#This Row],[коэф]]),
IF(OR(AND(G66="4/24",AM66&gt;0.5),AND(G66="3/24",AM66&gt;0.5)),(AM66*2*база!$M$5*Таблица14[[#This Row],[коэф]]),
IF(AND(G66="5/16",AM66&gt;0.5),(AM66*2*база!$L$6*Таблица14[[#This Row],[коэф]]),
IF(OR(AND(G66="4/16",AM66&gt;0.5),AND(G66="3/16",AM66&gt;0.5)),(AM66*2*база!$L$5*Таблица14[[#This Row],[коэф]]),
IF(OR(AND(G66="4/4",AM66&gt;0.5),AND(G66="3/4",AM66&gt;2)),(AM66*2*база!$I$5*Таблица14[[#This Row],[коэф]]),
IF(AND(G66="5/8",AM66&gt;0.5),(AM66*2*база!$J$6*Таблица14[[#This Row],[коэф]]),
IF(AND(G66="4/8",AM66&gt;0.5),(AM66*2*база!$J$5*Таблица14[[#This Row],[коэф]]),
IF(OR(AND(G66="3/8",AM66&gt;0.5),AND(G66="2/8",AM66&gt;0.5)),(AM66*2*база!$J$4*Таблица14[[#This Row],[коэф]]),
(AM66*2*база!$L$5*Таблица14[[#This Row],[коэф]])))))))))))</f>
        <v>0</v>
      </c>
      <c r="AO66" s="121">
        <f>IFERROR(INDEX(база!$D$2:$D$120, MATCH(Таблица14[[#This Row],[Ф. И. О.]],база!$B$2:$B$100,0)),"")</f>
        <v>0</v>
      </c>
    </row>
    <row r="67" spans="1:41" s="46" customFormat="1" ht="13.5" customHeight="1">
      <c r="A67" s="206" t="str">
        <f t="shared" si="0"/>
        <v>декабрь</v>
      </c>
      <c r="B67" s="203">
        <v>2023</v>
      </c>
      <c r="C67" s="572"/>
      <c r="D67" s="213"/>
      <c r="E67" s="242"/>
      <c r="F67" s="698"/>
      <c r="G67" s="205"/>
      <c r="H67" s="214"/>
      <c r="I67" s="214"/>
      <c r="J67" s="214"/>
      <c r="K67" s="214"/>
      <c r="L67" s="214"/>
      <c r="M67" s="214"/>
      <c r="N67" s="214"/>
      <c r="O67" s="214"/>
      <c r="P67" s="214"/>
      <c r="Q67" s="214"/>
      <c r="R67" s="214"/>
      <c r="S67" s="214"/>
      <c r="T67" s="214"/>
      <c r="U67" s="214"/>
      <c r="V67" s="214"/>
      <c r="W67" s="214"/>
      <c r="X67" s="214"/>
      <c r="Y67" s="214"/>
      <c r="Z67" s="214"/>
      <c r="AA67" s="214"/>
      <c r="AB67" s="214"/>
      <c r="AC67" s="214"/>
      <c r="AD67" s="214"/>
      <c r="AE67" s="214"/>
      <c r="AF67" s="214"/>
      <c r="AG67" s="214"/>
      <c r="AH67" s="214"/>
      <c r="AI67" s="214"/>
      <c r="AJ67" s="214"/>
      <c r="AK67" s="214"/>
      <c r="AL67" s="214"/>
      <c r="AM67" s="120">
        <f t="shared" si="2"/>
        <v>0</v>
      </c>
      <c r="AN67" s="564">
        <f>IF(AO67&lt;=3,(IF(AND(G67="5/24",AM67&gt;0.5),(AM67*2*база!$M$6*Таблица14[[#This Row],[коэф]]),
IF(AND(G67="4/24",AM67&gt;0.5),(AM67*2*база!$M$5*Таблица14[[#This Row],[коэф]]),
IF(AND(G67="3/24",AM67&gt;0.5),(AM67*2*база!$M$4*Таблица14[[#This Row],[коэф]]),
IF(AND(G67="5/16",AM67&gt;0.5),(AM67*2*база!$L$6*Таблица14[[#This Row],[коэф]]),
IF(AND(G67="4/16",AM67&gt;0.5),(AM67*2*база!$L$5*Таблица14[[#This Row],[коэф]]),
IF(AND(G67="3/16",AM67&gt;0.5),(AM67*2*база!$L$4*Таблица14[[#This Row],[коэф]]),
IF(AND(G67="4/4",AM67&gt;0.5),(AM67*2*база!$I$5*Таблица14[[#This Row],[коэф]]),
IF(OR(AND(G67="3/4",AM67&gt;0.5),AND(G67="2/4",AM67&gt;0.5)),(AM67*2*база!$I$4*Таблица14[[#This Row],[коэф]]),
IF(AND(G67="5/8",AM67&gt;0.5),(AM67*2*база!$J$6*Таблица14[[#This Row],[коэф]]),
IF(AND(G67="4/8",AM67&gt;0.5),(AM67*2*база!$J$5*Таблица14[[#This Row],[коэф]]),
IF(OR(AND(G67="3/8",AM67&gt;0.5),AND(G67="2/8",AM67&gt;0.5)),(AM67*2*база!$J$4*Таблица14[[#This Row],[коэф]]),
(AM67*0.5*база!$L$4*Таблица14[[#This Row],[коэф]]))))))))))))),
(IF(AND(G67="5/24",AM67&gt;0.5),(AM67*2*база!$M$6*Таблица14[[#This Row],[коэф]]),
IF(OR(AND(G67="4/24",AM67&gt;0.5),AND(G67="3/24",AM67&gt;0.5)),(AM67*2*база!$M$5*Таблица14[[#This Row],[коэф]]),
IF(AND(G67="5/16",AM67&gt;0.5),(AM67*2*база!$L$6*Таблица14[[#This Row],[коэф]]),
IF(OR(AND(G67="4/16",AM67&gt;0.5),AND(G67="3/16",AM67&gt;0.5)),(AM67*2*база!$L$5*Таблица14[[#This Row],[коэф]]),
IF(OR(AND(G67="4/4",AM67&gt;0.5),AND(G67="3/4",AM67&gt;2)),(AM67*2*база!$I$5*Таблица14[[#This Row],[коэф]]),
IF(AND(G67="5/8",AM67&gt;0.5),(AM67*2*база!$J$6*Таблица14[[#This Row],[коэф]]),
IF(AND(G67="4/8",AM67&gt;0.5),(AM67*2*база!$J$5*Таблица14[[#This Row],[коэф]]),
IF(OR(AND(G67="3/8",AM67&gt;0.5),AND(G67="2/8",AM67&gt;0.5)),(AM67*2*база!$J$4*Таблица14[[#This Row],[коэф]]),
(AM67*2*база!$L$5*Таблица14[[#This Row],[коэф]])))))))))))</f>
        <v>0</v>
      </c>
      <c r="AO67" s="121">
        <f>IFERROR(INDEX(база!$D$2:$D$120, MATCH(Таблица14[[#This Row],[Ф. И. О.]],база!$B$2:$B$100,0)),"")</f>
        <v>0</v>
      </c>
    </row>
    <row r="68" spans="1:41" s="46" customFormat="1" ht="13.5" customHeight="1">
      <c r="A68" s="206" t="str">
        <f t="shared" si="0"/>
        <v>декабрь</v>
      </c>
      <c r="B68" s="239">
        <v>2023</v>
      </c>
      <c r="C68" s="572"/>
      <c r="D68" s="213"/>
      <c r="E68" s="240"/>
      <c r="F68" s="698"/>
      <c r="G68" s="241"/>
      <c r="H68" s="214"/>
      <c r="I68" s="214"/>
      <c r="J68" s="214"/>
      <c r="K68" s="214"/>
      <c r="L68" s="214"/>
      <c r="M68" s="214"/>
      <c r="N68" s="214"/>
      <c r="O68" s="214"/>
      <c r="P68" s="214"/>
      <c r="Q68" s="214"/>
      <c r="R68" s="214"/>
      <c r="S68" s="214"/>
      <c r="T68" s="214"/>
      <c r="U68" s="214"/>
      <c r="V68" s="214"/>
      <c r="W68" s="214"/>
      <c r="X68" s="214"/>
      <c r="Y68" s="214"/>
      <c r="Z68" s="214"/>
      <c r="AA68" s="214"/>
      <c r="AB68" s="214"/>
      <c r="AC68" s="214"/>
      <c r="AD68" s="214"/>
      <c r="AE68" s="214"/>
      <c r="AF68" s="214"/>
      <c r="AG68" s="214"/>
      <c r="AH68" s="214"/>
      <c r="AI68" s="214"/>
      <c r="AJ68" s="214"/>
      <c r="AK68" s="214"/>
      <c r="AL68" s="214"/>
      <c r="AM68" s="120">
        <f t="shared" si="2"/>
        <v>0</v>
      </c>
      <c r="AN68" s="564">
        <f>IF(AO68&lt;=3,(IF(AND(G68="5/24",AM68&gt;0.5),(AM68*2*база!$M$6*Таблица14[[#This Row],[коэф]]),
IF(AND(G68="4/24",AM68&gt;0.5),(AM68*2*база!$M$5*Таблица14[[#This Row],[коэф]]),
IF(AND(G68="3/24",AM68&gt;0.5),(AM68*2*база!$M$4*Таблица14[[#This Row],[коэф]]),
IF(AND(G68="5/16",AM68&gt;0.5),(AM68*2*база!$L$6*Таблица14[[#This Row],[коэф]]),
IF(AND(G68="4/16",AM68&gt;0.5),(AM68*2*база!$L$5*Таблица14[[#This Row],[коэф]]),
IF(AND(G68="3/16",AM68&gt;0.5),(AM68*2*база!$L$4*Таблица14[[#This Row],[коэф]]),
IF(AND(G68="4/4",AM68&gt;0.5),(AM68*2*база!$I$5*Таблица14[[#This Row],[коэф]]),
IF(OR(AND(G68="3/4",AM68&gt;0.5),AND(G68="2/4",AM68&gt;0.5)),(AM68*2*база!$I$4*Таблица14[[#This Row],[коэф]]),
IF(AND(G68="5/8",AM68&gt;0.5),(AM68*2*база!$J$6*Таблица14[[#This Row],[коэф]]),
IF(AND(G68="4/8",AM68&gt;0.5),(AM68*2*база!$J$5*Таблица14[[#This Row],[коэф]]),
IF(OR(AND(G68="3/8",AM68&gt;0.5),AND(G68="2/8",AM68&gt;0.5)),(AM68*2*база!$J$4*Таблица14[[#This Row],[коэф]]),
(AM68*0.5*база!$L$4*Таблица14[[#This Row],[коэф]]))))))))))))),
(IF(AND(G68="5/24",AM68&gt;0.5),(AM68*2*база!$M$6*Таблица14[[#This Row],[коэф]]),
IF(OR(AND(G68="4/24",AM68&gt;0.5),AND(G68="3/24",AM68&gt;0.5)),(AM68*2*база!$M$5*Таблица14[[#This Row],[коэф]]),
IF(AND(G68="5/16",AM68&gt;0.5),(AM68*2*база!$L$6*Таблица14[[#This Row],[коэф]]),
IF(OR(AND(G68="4/16",AM68&gt;0.5),AND(G68="3/16",AM68&gt;0.5)),(AM68*2*база!$L$5*Таблица14[[#This Row],[коэф]]),
IF(OR(AND(G68="4/4",AM68&gt;0.5),AND(G68="3/4",AM68&gt;2)),(AM68*2*база!$I$5*Таблица14[[#This Row],[коэф]]),
IF(AND(G68="5/8",AM68&gt;0.5),(AM68*2*база!$J$6*Таблица14[[#This Row],[коэф]]),
IF(AND(G68="4/8",AM68&gt;0.5),(AM68*2*база!$J$5*Таблица14[[#This Row],[коэф]]),
IF(OR(AND(G68="3/8",AM68&gt;0.5),AND(G68="2/8",AM68&gt;0.5)),(AM68*2*база!$J$4*Таблица14[[#This Row],[коэф]]),
(AM68*2*база!$L$5*Таблица14[[#This Row],[коэф]])))))))))))</f>
        <v>0</v>
      </c>
      <c r="AO68" s="121">
        <f>IFERROR(INDEX(база!$D$2:$D$120, MATCH(Таблица14[[#This Row],[Ф. И. О.]],база!$B$2:$B$100,0)),"")</f>
        <v>0</v>
      </c>
    </row>
    <row r="69" spans="1:41" s="46" customFormat="1" ht="13.5" customHeight="1">
      <c r="A69" s="206" t="str">
        <f t="shared" si="0"/>
        <v>декабрь</v>
      </c>
      <c r="B69" s="203">
        <v>2023</v>
      </c>
      <c r="C69" s="572"/>
      <c r="D69" s="213"/>
      <c r="E69" s="242"/>
      <c r="F69" s="698"/>
      <c r="G69" s="205"/>
      <c r="H69" s="214"/>
      <c r="I69" s="214"/>
      <c r="J69" s="214"/>
      <c r="K69" s="214"/>
      <c r="L69" s="214"/>
      <c r="M69" s="214"/>
      <c r="N69" s="214"/>
      <c r="O69" s="214"/>
      <c r="P69" s="214"/>
      <c r="Q69" s="214"/>
      <c r="R69" s="214"/>
      <c r="S69" s="214"/>
      <c r="T69" s="214"/>
      <c r="U69" s="214"/>
      <c r="V69" s="214"/>
      <c r="W69" s="214"/>
      <c r="X69" s="214"/>
      <c r="Y69" s="214"/>
      <c r="Z69" s="214"/>
      <c r="AA69" s="214"/>
      <c r="AB69" s="214"/>
      <c r="AC69" s="214"/>
      <c r="AD69" s="214"/>
      <c r="AE69" s="214"/>
      <c r="AF69" s="214"/>
      <c r="AG69" s="214"/>
      <c r="AH69" s="214"/>
      <c r="AI69" s="214"/>
      <c r="AJ69" s="214"/>
      <c r="AK69" s="214"/>
      <c r="AL69" s="214"/>
      <c r="AM69" s="120">
        <f t="shared" si="2"/>
        <v>0</v>
      </c>
      <c r="AN69" s="564">
        <f>IF(AO69&lt;=3,(IF(AND(G69="5/24",AM69&gt;0.5),(AM69*2*база!$M$6*Таблица14[[#This Row],[коэф]]),
IF(AND(G69="4/24",AM69&gt;0.5),(AM69*2*база!$M$5*Таблица14[[#This Row],[коэф]]),
IF(AND(G69="3/24",AM69&gt;0.5),(AM69*2*база!$M$4*Таблица14[[#This Row],[коэф]]),
IF(AND(G69="5/16",AM69&gt;0.5),(AM69*2*база!$L$6*Таблица14[[#This Row],[коэф]]),
IF(AND(G69="4/16",AM69&gt;0.5),(AM69*2*база!$L$5*Таблица14[[#This Row],[коэф]]),
IF(AND(G69="3/16",AM69&gt;0.5),(AM69*2*база!$L$4*Таблица14[[#This Row],[коэф]]),
IF(AND(G69="4/4",AM69&gt;0.5),(AM69*2*база!$I$5*Таблица14[[#This Row],[коэф]]),
IF(OR(AND(G69="3/4",AM69&gt;0.5),AND(G69="2/4",AM69&gt;0.5)),(AM69*2*база!$I$4*Таблица14[[#This Row],[коэф]]),
IF(AND(G69="5/8",AM69&gt;0.5),(AM69*2*база!$J$6*Таблица14[[#This Row],[коэф]]),
IF(AND(G69="4/8",AM69&gt;0.5),(AM69*2*база!$J$5*Таблица14[[#This Row],[коэф]]),
IF(OR(AND(G69="3/8",AM69&gt;0.5),AND(G69="2/8",AM69&gt;0.5)),(AM69*2*база!$J$4*Таблица14[[#This Row],[коэф]]),
(AM69*0.5*база!$L$4*Таблица14[[#This Row],[коэф]]))))))))))))),
(IF(AND(G69="5/24",AM69&gt;0.5),(AM69*2*база!$M$6*Таблица14[[#This Row],[коэф]]),
IF(OR(AND(G69="4/24",AM69&gt;0.5),AND(G69="3/24",AM69&gt;0.5)),(AM69*2*база!$M$5*Таблица14[[#This Row],[коэф]]),
IF(AND(G69="5/16",AM69&gt;0.5),(AM69*2*база!$L$6*Таблица14[[#This Row],[коэф]]),
IF(OR(AND(G69="4/16",AM69&gt;0.5),AND(G69="3/16",AM69&gt;0.5)),(AM69*2*база!$L$5*Таблица14[[#This Row],[коэф]]),
IF(OR(AND(G69="4/4",AM69&gt;0.5),AND(G69="3/4",AM69&gt;2)),(AM69*2*база!$I$5*Таблица14[[#This Row],[коэф]]),
IF(AND(G69="5/8",AM69&gt;0.5),(AM69*2*база!$J$6*Таблица14[[#This Row],[коэф]]),
IF(AND(G69="4/8",AM69&gt;0.5),(AM69*2*база!$J$5*Таблица14[[#This Row],[коэф]]),
IF(OR(AND(G69="3/8",AM69&gt;0.5),AND(G69="2/8",AM69&gt;0.5)),(AM69*2*база!$J$4*Таблица14[[#This Row],[коэф]]),
(AM69*2*база!$L$5*Таблица14[[#This Row],[коэф]])))))))))))</f>
        <v>0</v>
      </c>
      <c r="AO69" s="121">
        <f>IFERROR(INDEX(база!$D$2:$D$120, MATCH(Таблица14[[#This Row],[Ф. И. О.]],база!$B$2:$B$100,0)),"")</f>
        <v>0</v>
      </c>
    </row>
    <row r="70" spans="1:41" s="46" customFormat="1" ht="13.5" customHeight="1">
      <c r="A70" s="206" t="str">
        <f t="shared" si="0"/>
        <v>декабрь</v>
      </c>
      <c r="B70" s="239">
        <v>2023</v>
      </c>
      <c r="C70" s="572"/>
      <c r="D70" s="213"/>
      <c r="E70" s="240"/>
      <c r="F70" s="698"/>
      <c r="G70" s="241"/>
      <c r="H70" s="214"/>
      <c r="I70" s="214"/>
      <c r="J70" s="214"/>
      <c r="K70" s="214"/>
      <c r="L70" s="214"/>
      <c r="M70" s="214"/>
      <c r="N70" s="214"/>
      <c r="O70" s="214"/>
      <c r="P70" s="214"/>
      <c r="Q70" s="214"/>
      <c r="R70" s="214"/>
      <c r="S70" s="214"/>
      <c r="T70" s="214"/>
      <c r="U70" s="214"/>
      <c r="V70" s="214"/>
      <c r="W70" s="214"/>
      <c r="X70" s="214"/>
      <c r="Y70" s="214"/>
      <c r="Z70" s="214"/>
      <c r="AA70" s="214"/>
      <c r="AB70" s="214"/>
      <c r="AC70" s="214"/>
      <c r="AD70" s="214"/>
      <c r="AE70" s="214"/>
      <c r="AF70" s="214"/>
      <c r="AG70" s="214"/>
      <c r="AH70" s="214"/>
      <c r="AI70" s="214"/>
      <c r="AJ70" s="214"/>
      <c r="AK70" s="214"/>
      <c r="AL70" s="214"/>
      <c r="AM70" s="120">
        <f t="shared" si="2"/>
        <v>0</v>
      </c>
      <c r="AN70" s="564">
        <f>IF(AO70&lt;=3,(IF(AND(G70="5/24",AM70&gt;0.5),(AM70*2*база!$M$6*Таблица14[[#This Row],[коэф]]),
IF(AND(G70="4/24",AM70&gt;0.5),(AM70*2*база!$M$5*Таблица14[[#This Row],[коэф]]),
IF(AND(G70="3/24",AM70&gt;0.5),(AM70*2*база!$M$4*Таблица14[[#This Row],[коэф]]),
IF(AND(G70="5/16",AM70&gt;0.5),(AM70*2*база!$L$6*Таблица14[[#This Row],[коэф]]),
IF(AND(G70="4/16",AM70&gt;0.5),(AM70*2*база!$L$5*Таблица14[[#This Row],[коэф]]),
IF(AND(G70="3/16",AM70&gt;0.5),(AM70*2*база!$L$4*Таблица14[[#This Row],[коэф]]),
IF(AND(G70="4/4",AM70&gt;0.5),(AM70*2*база!$I$5*Таблица14[[#This Row],[коэф]]),
IF(OR(AND(G70="3/4",AM70&gt;0.5),AND(G70="2/4",AM70&gt;0.5)),(AM70*2*база!$I$4*Таблица14[[#This Row],[коэф]]),
IF(AND(G70="5/8",AM70&gt;0.5),(AM70*2*база!$J$6*Таблица14[[#This Row],[коэф]]),
IF(AND(G70="4/8",AM70&gt;0.5),(AM70*2*база!$J$5*Таблица14[[#This Row],[коэф]]),
IF(OR(AND(G70="3/8",AM70&gt;0.5),AND(G70="2/8",AM70&gt;0.5)),(AM70*2*база!$J$4*Таблица14[[#This Row],[коэф]]),
(AM70*0.5*база!$L$4*Таблица14[[#This Row],[коэф]]))))))))))))),
(IF(AND(G70="5/24",AM70&gt;0.5),(AM70*2*база!$M$6*Таблица14[[#This Row],[коэф]]),
IF(OR(AND(G70="4/24",AM70&gt;0.5),AND(G70="3/24",AM70&gt;0.5)),(AM70*2*база!$M$5*Таблица14[[#This Row],[коэф]]),
IF(AND(G70="5/16",AM70&gt;0.5),(AM70*2*база!$L$6*Таблица14[[#This Row],[коэф]]),
IF(OR(AND(G70="4/16",AM70&gt;0.5),AND(G70="3/16",AM70&gt;0.5)),(AM70*2*база!$L$5*Таблица14[[#This Row],[коэф]]),
IF(OR(AND(G70="4/4",AM70&gt;0.5),AND(G70="3/4",AM70&gt;2)),(AM70*2*база!$I$5*Таблица14[[#This Row],[коэф]]),
IF(AND(G70="5/8",AM70&gt;0.5),(AM70*2*база!$J$6*Таблица14[[#This Row],[коэф]]),
IF(AND(G70="4/8",AM70&gt;0.5),(AM70*2*база!$J$5*Таблица14[[#This Row],[коэф]]),
IF(OR(AND(G70="3/8",AM70&gt;0.5),AND(G70="2/8",AM70&gt;0.5)),(AM70*2*база!$J$4*Таблица14[[#This Row],[коэф]]),
(AM70*2*база!$L$5*Таблица14[[#This Row],[коэф]])))))))))))</f>
        <v>0</v>
      </c>
      <c r="AO70" s="121">
        <f>IFERROR(INDEX(база!$D$2:$D$120, MATCH(Таблица14[[#This Row],[Ф. И. О.]],база!$B$2:$B$100,0)),"")</f>
        <v>0</v>
      </c>
    </row>
    <row r="71" spans="1:41" s="46" customFormat="1" ht="13.5" customHeight="1">
      <c r="A71" s="206" t="str">
        <f t="shared" si="0"/>
        <v>декабрь</v>
      </c>
      <c r="B71" s="203">
        <v>2023</v>
      </c>
      <c r="C71" s="572"/>
      <c r="D71" s="213"/>
      <c r="E71" s="242"/>
      <c r="F71" s="698"/>
      <c r="G71" s="205"/>
      <c r="H71" s="214"/>
      <c r="I71" s="214"/>
      <c r="J71" s="214"/>
      <c r="K71" s="214"/>
      <c r="L71" s="214"/>
      <c r="M71" s="214"/>
      <c r="N71" s="214"/>
      <c r="O71" s="214"/>
      <c r="P71" s="214"/>
      <c r="Q71" s="214"/>
      <c r="R71" s="214"/>
      <c r="S71" s="214"/>
      <c r="T71" s="214"/>
      <c r="U71" s="214"/>
      <c r="V71" s="214"/>
      <c r="W71" s="214"/>
      <c r="X71" s="214"/>
      <c r="Y71" s="214"/>
      <c r="Z71" s="214"/>
      <c r="AA71" s="214"/>
      <c r="AB71" s="214"/>
      <c r="AC71" s="214"/>
      <c r="AD71" s="214"/>
      <c r="AE71" s="214"/>
      <c r="AF71" s="214"/>
      <c r="AG71" s="214"/>
      <c r="AH71" s="214"/>
      <c r="AI71" s="214"/>
      <c r="AJ71" s="214"/>
      <c r="AK71" s="214"/>
      <c r="AL71" s="214"/>
      <c r="AM71" s="120">
        <f t="shared" si="2"/>
        <v>0</v>
      </c>
      <c r="AN71" s="564">
        <f>IF(AO71&lt;=3,(IF(AND(G71="5/24",AM71&gt;0.5),(AM71*2*база!$M$6*Таблица14[[#This Row],[коэф]]),
IF(AND(G71="4/24",AM71&gt;0.5),(AM71*2*база!$M$5*Таблица14[[#This Row],[коэф]]),
IF(AND(G71="3/24",AM71&gt;0.5),(AM71*2*база!$M$4*Таблица14[[#This Row],[коэф]]),
IF(AND(G71="5/16",AM71&gt;0.5),(AM71*2*база!$L$6*Таблица14[[#This Row],[коэф]]),
IF(AND(G71="4/16",AM71&gt;0.5),(AM71*2*база!$L$5*Таблица14[[#This Row],[коэф]]),
IF(AND(G71="3/16",AM71&gt;0.5),(AM71*2*база!$L$4*Таблица14[[#This Row],[коэф]]),
IF(AND(G71="4/4",AM71&gt;0.5),(AM71*2*база!$I$5*Таблица14[[#This Row],[коэф]]),
IF(OR(AND(G71="3/4",AM71&gt;0.5),AND(G71="2/4",AM71&gt;0.5)),(AM71*2*база!$I$4*Таблица14[[#This Row],[коэф]]),
IF(AND(G71="5/8",AM71&gt;0.5),(AM71*2*база!$J$6*Таблица14[[#This Row],[коэф]]),
IF(AND(G71="4/8",AM71&gt;0.5),(AM71*2*база!$J$5*Таблица14[[#This Row],[коэф]]),
IF(OR(AND(G71="3/8",AM71&gt;0.5),AND(G71="2/8",AM71&gt;0.5)),(AM71*2*база!$J$4*Таблица14[[#This Row],[коэф]]),
(AM71*0.5*база!$L$4*Таблица14[[#This Row],[коэф]]))))))))))))),
(IF(AND(G71="5/24",AM71&gt;0.5),(AM71*2*база!$M$6*Таблица14[[#This Row],[коэф]]),
IF(OR(AND(G71="4/24",AM71&gt;0.5),AND(G71="3/24",AM71&gt;0.5)),(AM71*2*база!$M$5*Таблица14[[#This Row],[коэф]]),
IF(AND(G71="5/16",AM71&gt;0.5),(AM71*2*база!$L$6*Таблица14[[#This Row],[коэф]]),
IF(OR(AND(G71="4/16",AM71&gt;0.5),AND(G71="3/16",AM71&gt;0.5)),(AM71*2*база!$L$5*Таблица14[[#This Row],[коэф]]),
IF(OR(AND(G71="4/4",AM71&gt;0.5),AND(G71="3/4",AM71&gt;2)),(AM71*2*база!$I$5*Таблица14[[#This Row],[коэф]]),
IF(AND(G71="5/8",AM71&gt;0.5),(AM71*2*база!$J$6*Таблица14[[#This Row],[коэф]]),
IF(AND(G71="4/8",AM71&gt;0.5),(AM71*2*база!$J$5*Таблица14[[#This Row],[коэф]]),
IF(OR(AND(G71="3/8",AM71&gt;0.5),AND(G71="2/8",AM71&gt;0.5)),(AM71*2*база!$J$4*Таблица14[[#This Row],[коэф]]),
(AM71*2*база!$L$5*Таблица14[[#This Row],[коэф]])))))))))))</f>
        <v>0</v>
      </c>
      <c r="AO71" s="121">
        <f>IFERROR(INDEX(база!$D$2:$D$120, MATCH(Таблица14[[#This Row],[Ф. И. О.]],база!$B$2:$B$100,0)),"")</f>
        <v>0</v>
      </c>
    </row>
    <row r="72" spans="1:41" s="46" customFormat="1" ht="13.5" customHeight="1">
      <c r="A72" s="206" t="str">
        <f t="shared" si="0"/>
        <v>декабрь</v>
      </c>
      <c r="B72" s="239">
        <v>2023</v>
      </c>
      <c r="C72" s="572"/>
      <c r="D72" s="213"/>
      <c r="E72" s="240"/>
      <c r="F72" s="698"/>
      <c r="G72" s="241"/>
      <c r="H72" s="214"/>
      <c r="I72" s="214"/>
      <c r="J72" s="214"/>
      <c r="K72" s="214"/>
      <c r="L72" s="214"/>
      <c r="M72" s="214"/>
      <c r="N72" s="214"/>
      <c r="O72" s="214"/>
      <c r="P72" s="214"/>
      <c r="Q72" s="214"/>
      <c r="R72" s="214"/>
      <c r="S72" s="214"/>
      <c r="T72" s="214"/>
      <c r="U72" s="214"/>
      <c r="V72" s="214"/>
      <c r="W72" s="214"/>
      <c r="X72" s="214"/>
      <c r="Y72" s="214"/>
      <c r="Z72" s="214"/>
      <c r="AA72" s="214"/>
      <c r="AB72" s="214"/>
      <c r="AC72" s="214"/>
      <c r="AD72" s="214"/>
      <c r="AE72" s="214"/>
      <c r="AF72" s="214"/>
      <c r="AG72" s="214"/>
      <c r="AH72" s="214"/>
      <c r="AI72" s="214"/>
      <c r="AJ72" s="214"/>
      <c r="AK72" s="214"/>
      <c r="AL72" s="214"/>
      <c r="AM72" s="120">
        <f t="shared" si="2"/>
        <v>0</v>
      </c>
      <c r="AN72" s="564">
        <f>IF(AO72&lt;=3,(IF(AND(G72="5/24",AM72&gt;0.5),(AM72*2*база!$M$6*Таблица14[[#This Row],[коэф]]),
IF(AND(G72="4/24",AM72&gt;0.5),(AM72*2*база!$M$5*Таблица14[[#This Row],[коэф]]),
IF(AND(G72="3/24",AM72&gt;0.5),(AM72*2*база!$M$4*Таблица14[[#This Row],[коэф]]),
IF(AND(G72="5/16",AM72&gt;0.5),(AM72*2*база!$L$6*Таблица14[[#This Row],[коэф]]),
IF(AND(G72="4/16",AM72&gt;0.5),(AM72*2*база!$L$5*Таблица14[[#This Row],[коэф]]),
IF(AND(G72="3/16",AM72&gt;0.5),(AM72*2*база!$L$4*Таблица14[[#This Row],[коэф]]),
IF(AND(G72="4/4",AM72&gt;0.5),(AM72*2*база!$I$5*Таблица14[[#This Row],[коэф]]),
IF(OR(AND(G72="3/4",AM72&gt;0.5),AND(G72="2/4",AM72&gt;0.5)),(AM72*2*база!$I$4*Таблица14[[#This Row],[коэф]]),
IF(AND(G72="5/8",AM72&gt;0.5),(AM72*2*база!$J$6*Таблица14[[#This Row],[коэф]]),
IF(AND(G72="4/8",AM72&gt;0.5),(AM72*2*база!$J$5*Таблица14[[#This Row],[коэф]]),
IF(OR(AND(G72="3/8",AM72&gt;0.5),AND(G72="2/8",AM72&gt;0.5)),(AM72*2*база!$J$4*Таблица14[[#This Row],[коэф]]),
(AM72*0.5*база!$L$4*Таблица14[[#This Row],[коэф]]))))))))))))),
(IF(AND(G72="5/24",AM72&gt;0.5),(AM72*2*база!$M$6*Таблица14[[#This Row],[коэф]]),
IF(OR(AND(G72="4/24",AM72&gt;0.5),AND(G72="3/24",AM72&gt;0.5)),(AM72*2*база!$M$5*Таблица14[[#This Row],[коэф]]),
IF(AND(G72="5/16",AM72&gt;0.5),(AM72*2*база!$L$6*Таблица14[[#This Row],[коэф]]),
IF(OR(AND(G72="4/16",AM72&gt;0.5),AND(G72="3/16",AM72&gt;0.5)),(AM72*2*база!$L$5*Таблица14[[#This Row],[коэф]]),
IF(OR(AND(G72="4/4",AM72&gt;0.5),AND(G72="3/4",AM72&gt;2)),(AM72*2*база!$I$5*Таблица14[[#This Row],[коэф]]),
IF(AND(G72="5/8",AM72&gt;0.5),(AM72*2*база!$J$6*Таблица14[[#This Row],[коэф]]),
IF(AND(G72="4/8",AM72&gt;0.5),(AM72*2*база!$J$5*Таблица14[[#This Row],[коэф]]),
IF(OR(AND(G72="3/8",AM72&gt;0.5),AND(G72="2/8",AM72&gt;0.5)),(AM72*2*база!$J$4*Таблица14[[#This Row],[коэф]]),
(AM72*2*база!$L$5*Таблица14[[#This Row],[коэф]])))))))))))</f>
        <v>0</v>
      </c>
      <c r="AO72" s="121">
        <f>IFERROR(INDEX(база!$D$2:$D$120, MATCH(Таблица14[[#This Row],[Ф. И. О.]],база!$B$2:$B$100,0)),"")</f>
        <v>0</v>
      </c>
    </row>
    <row r="73" spans="1:41" s="46" customFormat="1" ht="13.5" customHeight="1">
      <c r="A73" s="206" t="str">
        <f t="shared" si="0"/>
        <v>декабрь</v>
      </c>
      <c r="B73" s="203">
        <v>2023</v>
      </c>
      <c r="C73" s="572"/>
      <c r="D73" s="213"/>
      <c r="E73" s="242"/>
      <c r="F73" s="698"/>
      <c r="G73" s="205"/>
      <c r="H73" s="214"/>
      <c r="I73" s="214"/>
      <c r="J73" s="214"/>
      <c r="K73" s="214"/>
      <c r="L73" s="214"/>
      <c r="M73" s="214"/>
      <c r="N73" s="214"/>
      <c r="O73" s="214"/>
      <c r="P73" s="214"/>
      <c r="Q73" s="214"/>
      <c r="R73" s="214"/>
      <c r="S73" s="214"/>
      <c r="T73" s="214"/>
      <c r="U73" s="214"/>
      <c r="V73" s="214"/>
      <c r="W73" s="214"/>
      <c r="X73" s="214"/>
      <c r="Y73" s="214"/>
      <c r="Z73" s="214"/>
      <c r="AA73" s="214"/>
      <c r="AB73" s="214"/>
      <c r="AC73" s="214"/>
      <c r="AD73" s="214"/>
      <c r="AE73" s="214"/>
      <c r="AF73" s="214"/>
      <c r="AG73" s="214"/>
      <c r="AH73" s="214"/>
      <c r="AI73" s="214"/>
      <c r="AJ73" s="214"/>
      <c r="AK73" s="214"/>
      <c r="AL73" s="214"/>
      <c r="AM73" s="120">
        <f t="shared" si="2"/>
        <v>0</v>
      </c>
      <c r="AN73" s="564">
        <f>IF(AO73&lt;=3,(IF(AND(G73="5/24",AM73&gt;0.5),(AM73*2*база!$M$6*Таблица14[[#This Row],[коэф]]),
IF(AND(G73="4/24",AM73&gt;0.5),(AM73*2*база!$M$5*Таблица14[[#This Row],[коэф]]),
IF(AND(G73="3/24",AM73&gt;0.5),(AM73*2*база!$M$4*Таблица14[[#This Row],[коэф]]),
IF(AND(G73="5/16",AM73&gt;0.5),(AM73*2*база!$L$6*Таблица14[[#This Row],[коэф]]),
IF(AND(G73="4/16",AM73&gt;0.5),(AM73*2*база!$L$5*Таблица14[[#This Row],[коэф]]),
IF(AND(G73="3/16",AM73&gt;0.5),(AM73*2*база!$L$4*Таблица14[[#This Row],[коэф]]),
IF(AND(G73="4/4",AM73&gt;0.5),(AM73*2*база!$I$5*Таблица14[[#This Row],[коэф]]),
IF(OR(AND(G73="3/4",AM73&gt;0.5),AND(G73="2/4",AM73&gt;0.5)),(AM73*2*база!$I$4*Таблица14[[#This Row],[коэф]]),
IF(AND(G73="5/8",AM73&gt;0.5),(AM73*2*база!$J$6*Таблица14[[#This Row],[коэф]]),
IF(AND(G73="4/8",AM73&gt;0.5),(AM73*2*база!$J$5*Таблица14[[#This Row],[коэф]]),
IF(OR(AND(G73="3/8",AM73&gt;0.5),AND(G73="2/8",AM73&gt;0.5)),(AM73*2*база!$J$4*Таблица14[[#This Row],[коэф]]),
(AM73*0.5*база!$L$4*Таблица14[[#This Row],[коэф]]))))))))))))),
(IF(AND(G73="5/24",AM73&gt;0.5),(AM73*2*база!$M$6*Таблица14[[#This Row],[коэф]]),
IF(OR(AND(G73="4/24",AM73&gt;0.5),AND(G73="3/24",AM73&gt;0.5)),(AM73*2*база!$M$5*Таблица14[[#This Row],[коэф]]),
IF(AND(G73="5/16",AM73&gt;0.5),(AM73*2*база!$L$6*Таблица14[[#This Row],[коэф]]),
IF(OR(AND(G73="4/16",AM73&gt;0.5),AND(G73="3/16",AM73&gt;0.5)),(AM73*2*база!$L$5*Таблица14[[#This Row],[коэф]]),
IF(OR(AND(G73="4/4",AM73&gt;0.5),AND(G73="3/4",AM73&gt;2)),(AM73*2*база!$I$5*Таблица14[[#This Row],[коэф]]),
IF(AND(G73="5/8",AM73&gt;0.5),(AM73*2*база!$J$6*Таблица14[[#This Row],[коэф]]),
IF(AND(G73="4/8",AM73&gt;0.5),(AM73*2*база!$J$5*Таблица14[[#This Row],[коэф]]),
IF(OR(AND(G73="3/8",AM73&gt;0.5),AND(G73="2/8",AM73&gt;0.5)),(AM73*2*база!$J$4*Таблица14[[#This Row],[коэф]]),
(AM73*2*база!$L$5*Таблица14[[#This Row],[коэф]])))))))))))</f>
        <v>0</v>
      </c>
      <c r="AO73" s="121">
        <f>IFERROR(INDEX(база!$D$2:$D$120, MATCH(Таблица14[[#This Row],[Ф. И. О.]],база!$B$2:$B$100,0)),"")</f>
        <v>0</v>
      </c>
    </row>
    <row r="74" spans="1:41" s="46" customFormat="1" ht="13.5" customHeight="1">
      <c r="A74" s="206" t="str">
        <f t="shared" si="0"/>
        <v>декабрь</v>
      </c>
      <c r="B74" s="239">
        <v>2023</v>
      </c>
      <c r="C74" s="572"/>
      <c r="D74" s="213"/>
      <c r="E74" s="240"/>
      <c r="F74" s="698"/>
      <c r="G74" s="241"/>
      <c r="H74" s="214"/>
      <c r="I74" s="214"/>
      <c r="J74" s="214"/>
      <c r="K74" s="214"/>
      <c r="L74" s="214"/>
      <c r="M74" s="214"/>
      <c r="N74" s="214"/>
      <c r="O74" s="214"/>
      <c r="P74" s="214"/>
      <c r="Q74" s="214"/>
      <c r="R74" s="214"/>
      <c r="S74" s="214"/>
      <c r="T74" s="214"/>
      <c r="U74" s="214"/>
      <c r="V74" s="214"/>
      <c r="W74" s="214"/>
      <c r="X74" s="214"/>
      <c r="Y74" s="214"/>
      <c r="Z74" s="214"/>
      <c r="AA74" s="214"/>
      <c r="AB74" s="214"/>
      <c r="AC74" s="214"/>
      <c r="AD74" s="214"/>
      <c r="AE74" s="214"/>
      <c r="AF74" s="214"/>
      <c r="AG74" s="214"/>
      <c r="AH74" s="214"/>
      <c r="AI74" s="214"/>
      <c r="AJ74" s="214"/>
      <c r="AK74" s="214"/>
      <c r="AL74" s="214"/>
      <c r="AM74" s="120">
        <f t="shared" si="2"/>
        <v>0</v>
      </c>
      <c r="AN74" s="564">
        <f>IF(AO74&lt;=3,(IF(AND(G74="5/24",AM74&gt;0.5),(AM74*2*база!$M$6*Таблица14[[#This Row],[коэф]]),
IF(AND(G74="4/24",AM74&gt;0.5),(AM74*2*база!$M$5*Таблица14[[#This Row],[коэф]]),
IF(AND(G74="3/24",AM74&gt;0.5),(AM74*2*база!$M$4*Таблица14[[#This Row],[коэф]]),
IF(AND(G74="5/16",AM74&gt;0.5),(AM74*2*база!$L$6*Таблица14[[#This Row],[коэф]]),
IF(AND(G74="4/16",AM74&gt;0.5),(AM74*2*база!$L$5*Таблица14[[#This Row],[коэф]]),
IF(AND(G74="3/16",AM74&gt;0.5),(AM74*2*база!$L$4*Таблица14[[#This Row],[коэф]]),
IF(AND(G74="4/4",AM74&gt;0.5),(AM74*2*база!$I$5*Таблица14[[#This Row],[коэф]]),
IF(OR(AND(G74="3/4",AM74&gt;0.5),AND(G74="2/4",AM74&gt;0.5)),(AM74*2*база!$I$4*Таблица14[[#This Row],[коэф]]),
IF(AND(G74="5/8",AM74&gt;0.5),(AM74*2*база!$J$6*Таблица14[[#This Row],[коэф]]),
IF(AND(G74="4/8",AM74&gt;0.5),(AM74*2*база!$J$5*Таблица14[[#This Row],[коэф]]),
IF(OR(AND(G74="3/8",AM74&gt;0.5),AND(G74="2/8",AM74&gt;0.5)),(AM74*2*база!$J$4*Таблица14[[#This Row],[коэф]]),
(AM74*0.5*база!$L$4*Таблица14[[#This Row],[коэф]]))))))))))))),
(IF(AND(G74="5/24",AM74&gt;0.5),(AM74*2*база!$M$6*Таблица14[[#This Row],[коэф]]),
IF(OR(AND(G74="4/24",AM74&gt;0.5),AND(G74="3/24",AM74&gt;0.5)),(AM74*2*база!$M$5*Таблица14[[#This Row],[коэф]]),
IF(AND(G74="5/16",AM74&gt;0.5),(AM74*2*база!$L$6*Таблица14[[#This Row],[коэф]]),
IF(OR(AND(G74="4/16",AM74&gt;0.5),AND(G74="3/16",AM74&gt;0.5)),(AM74*2*база!$L$5*Таблица14[[#This Row],[коэф]]),
IF(OR(AND(G74="4/4",AM74&gt;0.5),AND(G74="3/4",AM74&gt;2)),(AM74*2*база!$I$5*Таблица14[[#This Row],[коэф]]),
IF(AND(G74="5/8",AM74&gt;0.5),(AM74*2*база!$J$6*Таблица14[[#This Row],[коэф]]),
IF(AND(G74="4/8",AM74&gt;0.5),(AM74*2*база!$J$5*Таблица14[[#This Row],[коэф]]),
IF(OR(AND(G74="3/8",AM74&gt;0.5),AND(G74="2/8",AM74&gt;0.5)),(AM74*2*база!$J$4*Таблица14[[#This Row],[коэф]]),
(AM74*2*база!$L$5*Таблица14[[#This Row],[коэф]])))))))))))</f>
        <v>0</v>
      </c>
      <c r="AO74" s="121">
        <f>IFERROR(INDEX(база!$D$2:$D$120, MATCH(Таблица14[[#This Row],[Ф. И. О.]],база!$B$2:$B$100,0)),"")</f>
        <v>0</v>
      </c>
    </row>
    <row r="75" spans="1:41" s="46" customFormat="1" ht="13.5" customHeight="1">
      <c r="A75" s="206" t="str">
        <f t="shared" si="0"/>
        <v>декабрь</v>
      </c>
      <c r="B75" s="203">
        <v>2023</v>
      </c>
      <c r="C75" s="572"/>
      <c r="D75" s="213"/>
      <c r="E75" s="242"/>
      <c r="F75" s="698"/>
      <c r="G75" s="205"/>
      <c r="H75" s="214"/>
      <c r="I75" s="214"/>
      <c r="J75" s="214"/>
      <c r="K75" s="214"/>
      <c r="L75" s="214"/>
      <c r="M75" s="214"/>
      <c r="N75" s="214"/>
      <c r="O75" s="214"/>
      <c r="P75" s="214"/>
      <c r="Q75" s="214"/>
      <c r="R75" s="214"/>
      <c r="S75" s="214"/>
      <c r="T75" s="214"/>
      <c r="U75" s="214"/>
      <c r="V75" s="214"/>
      <c r="W75" s="214"/>
      <c r="X75" s="214"/>
      <c r="Y75" s="214"/>
      <c r="Z75" s="214"/>
      <c r="AA75" s="214"/>
      <c r="AB75" s="214"/>
      <c r="AC75" s="214"/>
      <c r="AD75" s="214"/>
      <c r="AE75" s="214"/>
      <c r="AF75" s="214"/>
      <c r="AG75" s="214"/>
      <c r="AH75" s="214"/>
      <c r="AI75" s="214"/>
      <c r="AJ75" s="214"/>
      <c r="AK75" s="214"/>
      <c r="AL75" s="214"/>
      <c r="AM75" s="120">
        <f t="shared" si="2"/>
        <v>0</v>
      </c>
      <c r="AN75" s="564">
        <f>IF(AO75&lt;=3,(IF(AND(G75="5/24",AM75&gt;0.5),(AM75*2*база!$M$6*Таблица14[[#This Row],[коэф]]),
IF(AND(G75="4/24",AM75&gt;0.5),(AM75*2*база!$M$5*Таблица14[[#This Row],[коэф]]),
IF(AND(G75="3/24",AM75&gt;0.5),(AM75*2*база!$M$4*Таблица14[[#This Row],[коэф]]),
IF(AND(G75="5/16",AM75&gt;0.5),(AM75*2*база!$L$6*Таблица14[[#This Row],[коэф]]),
IF(AND(G75="4/16",AM75&gt;0.5),(AM75*2*база!$L$5*Таблица14[[#This Row],[коэф]]),
IF(AND(G75="3/16",AM75&gt;0.5),(AM75*2*база!$L$4*Таблица14[[#This Row],[коэф]]),
IF(AND(G75="4/4",AM75&gt;0.5),(AM75*2*база!$I$5*Таблица14[[#This Row],[коэф]]),
IF(OR(AND(G75="3/4",AM75&gt;0.5),AND(G75="2/4",AM75&gt;0.5)),(AM75*2*база!$I$4*Таблица14[[#This Row],[коэф]]),
IF(AND(G75="5/8",AM75&gt;0.5),(AM75*2*база!$J$6*Таблица14[[#This Row],[коэф]]),
IF(AND(G75="4/8",AM75&gt;0.5),(AM75*2*база!$J$5*Таблица14[[#This Row],[коэф]]),
IF(OR(AND(G75="3/8",AM75&gt;0.5),AND(G75="2/8",AM75&gt;0.5)),(AM75*2*база!$J$4*Таблица14[[#This Row],[коэф]]),
(AM75*0.5*база!$L$4*Таблица14[[#This Row],[коэф]]))))))))))))),
(IF(AND(G75="5/24",AM75&gt;0.5),(AM75*2*база!$M$6*Таблица14[[#This Row],[коэф]]),
IF(OR(AND(G75="4/24",AM75&gt;0.5),AND(G75="3/24",AM75&gt;0.5)),(AM75*2*база!$M$5*Таблица14[[#This Row],[коэф]]),
IF(AND(G75="5/16",AM75&gt;0.5),(AM75*2*база!$L$6*Таблица14[[#This Row],[коэф]]),
IF(OR(AND(G75="4/16",AM75&gt;0.5),AND(G75="3/16",AM75&gt;0.5)),(AM75*2*база!$L$5*Таблица14[[#This Row],[коэф]]),
IF(OR(AND(G75="4/4",AM75&gt;0.5),AND(G75="3/4",AM75&gt;2)),(AM75*2*база!$I$5*Таблица14[[#This Row],[коэф]]),
IF(AND(G75="5/8",AM75&gt;0.5),(AM75*2*база!$J$6*Таблица14[[#This Row],[коэф]]),
IF(AND(G75="4/8",AM75&gt;0.5),(AM75*2*база!$J$5*Таблица14[[#This Row],[коэф]]),
IF(OR(AND(G75="3/8",AM75&gt;0.5),AND(G75="2/8",AM75&gt;0.5)),(AM75*2*база!$J$4*Таблица14[[#This Row],[коэф]]),
(AM75*2*база!$L$5*Таблица14[[#This Row],[коэф]])))))))))))</f>
        <v>0</v>
      </c>
      <c r="AO75" s="121">
        <f>IFERROR(INDEX(база!$D$2:$D$120, MATCH(Таблица14[[#This Row],[Ф. И. О.]],база!$B$2:$B$100,0)),"")</f>
        <v>0</v>
      </c>
    </row>
    <row r="76" spans="1:41" s="46" customFormat="1" ht="13.5" customHeight="1">
      <c r="A76" s="206" t="str">
        <f t="shared" si="0"/>
        <v>декабрь</v>
      </c>
      <c r="B76" s="239">
        <v>2023</v>
      </c>
      <c r="C76" s="572"/>
      <c r="D76" s="213"/>
      <c r="E76" s="240"/>
      <c r="F76" s="698"/>
      <c r="G76" s="241"/>
      <c r="H76" s="214"/>
      <c r="I76" s="214"/>
      <c r="J76" s="214"/>
      <c r="K76" s="214"/>
      <c r="L76" s="214"/>
      <c r="M76" s="214"/>
      <c r="N76" s="214"/>
      <c r="O76" s="214"/>
      <c r="P76" s="214"/>
      <c r="Q76" s="214"/>
      <c r="R76" s="214"/>
      <c r="S76" s="214"/>
      <c r="T76" s="214"/>
      <c r="U76" s="214"/>
      <c r="V76" s="214"/>
      <c r="W76" s="214"/>
      <c r="X76" s="214"/>
      <c r="Y76" s="214"/>
      <c r="Z76" s="214"/>
      <c r="AA76" s="214"/>
      <c r="AB76" s="214"/>
      <c r="AC76" s="214"/>
      <c r="AD76" s="214"/>
      <c r="AE76" s="214"/>
      <c r="AF76" s="214"/>
      <c r="AG76" s="214"/>
      <c r="AH76" s="214"/>
      <c r="AI76" s="214"/>
      <c r="AJ76" s="214"/>
      <c r="AK76" s="214"/>
      <c r="AL76" s="214"/>
      <c r="AM76" s="120">
        <f t="shared" si="2"/>
        <v>0</v>
      </c>
      <c r="AN76" s="564">
        <f>IF(AO76&lt;=3,(IF(AND(G76="5/24",AM76&gt;0.5),(AM76*2*база!$M$6*Таблица14[[#This Row],[коэф]]),
IF(AND(G76="4/24",AM76&gt;0.5),(AM76*2*база!$M$5*Таблица14[[#This Row],[коэф]]),
IF(AND(G76="3/24",AM76&gt;0.5),(AM76*2*база!$M$4*Таблица14[[#This Row],[коэф]]),
IF(AND(G76="5/16",AM76&gt;0.5),(AM76*2*база!$L$6*Таблица14[[#This Row],[коэф]]),
IF(AND(G76="4/16",AM76&gt;0.5),(AM76*2*база!$L$5*Таблица14[[#This Row],[коэф]]),
IF(AND(G76="3/16",AM76&gt;0.5),(AM76*2*база!$L$4*Таблица14[[#This Row],[коэф]]),
IF(AND(G76="4/4",AM76&gt;0.5),(AM76*2*база!$I$5*Таблица14[[#This Row],[коэф]]),
IF(OR(AND(G76="3/4",AM76&gt;0.5),AND(G76="2/4",AM76&gt;0.5)),(AM76*2*база!$I$4*Таблица14[[#This Row],[коэф]]),
IF(AND(G76="5/8",AM76&gt;0.5),(AM76*2*база!$J$6*Таблица14[[#This Row],[коэф]]),
IF(AND(G76="4/8",AM76&gt;0.5),(AM76*2*база!$J$5*Таблица14[[#This Row],[коэф]]),
IF(OR(AND(G76="3/8",AM76&gt;0.5),AND(G76="2/8",AM76&gt;0.5)),(AM76*2*база!$J$4*Таблица14[[#This Row],[коэф]]),
(AM76*0.5*база!$L$4*Таблица14[[#This Row],[коэф]]))))))))))))),
(IF(AND(G76="5/24",AM76&gt;0.5),(AM76*2*база!$M$6*Таблица14[[#This Row],[коэф]]),
IF(OR(AND(G76="4/24",AM76&gt;0.5),AND(G76="3/24",AM76&gt;0.5)),(AM76*2*база!$M$5*Таблица14[[#This Row],[коэф]]),
IF(AND(G76="5/16",AM76&gt;0.5),(AM76*2*база!$L$6*Таблица14[[#This Row],[коэф]]),
IF(OR(AND(G76="4/16",AM76&gt;0.5),AND(G76="3/16",AM76&gt;0.5)),(AM76*2*база!$L$5*Таблица14[[#This Row],[коэф]]),
IF(OR(AND(G76="4/4",AM76&gt;0.5),AND(G76="3/4",AM76&gt;2)),(AM76*2*база!$I$5*Таблица14[[#This Row],[коэф]]),
IF(AND(G76="5/8",AM76&gt;0.5),(AM76*2*база!$J$6*Таблица14[[#This Row],[коэф]]),
IF(AND(G76="4/8",AM76&gt;0.5),(AM76*2*база!$J$5*Таблица14[[#This Row],[коэф]]),
IF(OR(AND(G76="3/8",AM76&gt;0.5),AND(G76="2/8",AM76&gt;0.5)),(AM76*2*база!$J$4*Таблица14[[#This Row],[коэф]]),
(AM76*2*база!$L$5*Таблица14[[#This Row],[коэф]])))))))))))</f>
        <v>0</v>
      </c>
      <c r="AO76" s="121">
        <f>IFERROR(INDEX(база!$D$2:$D$120, MATCH(Таблица14[[#This Row],[Ф. И. О.]],база!$B$2:$B$100,0)),"")</f>
        <v>0</v>
      </c>
    </row>
    <row r="77" spans="1:41" s="46" customFormat="1" ht="13.5" customHeight="1">
      <c r="A77" s="206" t="str">
        <f t="shared" si="0"/>
        <v>декабрь</v>
      </c>
      <c r="B77" s="203">
        <v>2023</v>
      </c>
      <c r="C77" s="572"/>
      <c r="D77" s="213"/>
      <c r="E77" s="242"/>
      <c r="F77" s="698"/>
      <c r="G77" s="205"/>
      <c r="H77" s="214"/>
      <c r="I77" s="214"/>
      <c r="J77" s="214"/>
      <c r="K77" s="214"/>
      <c r="L77" s="214"/>
      <c r="M77" s="214"/>
      <c r="N77" s="214"/>
      <c r="O77" s="214"/>
      <c r="P77" s="214"/>
      <c r="Q77" s="214"/>
      <c r="R77" s="214"/>
      <c r="S77" s="214"/>
      <c r="T77" s="214"/>
      <c r="U77" s="214"/>
      <c r="V77" s="214"/>
      <c r="W77" s="214"/>
      <c r="X77" s="214"/>
      <c r="Y77" s="214"/>
      <c r="Z77" s="214"/>
      <c r="AA77" s="214"/>
      <c r="AB77" s="214"/>
      <c r="AC77" s="214"/>
      <c r="AD77" s="214"/>
      <c r="AE77" s="214"/>
      <c r="AF77" s="214"/>
      <c r="AG77" s="214"/>
      <c r="AH77" s="214"/>
      <c r="AI77" s="214"/>
      <c r="AJ77" s="214"/>
      <c r="AK77" s="214"/>
      <c r="AL77" s="214"/>
      <c r="AM77" s="120">
        <f t="shared" si="2"/>
        <v>0</v>
      </c>
      <c r="AN77" s="564">
        <f>IF(AO77&lt;=3,(IF(AND(G77="5/24",AM77&gt;0.5),(AM77*2*база!$M$6*Таблица14[[#This Row],[коэф]]),
IF(AND(G77="4/24",AM77&gt;0.5),(AM77*2*база!$M$5*Таблица14[[#This Row],[коэф]]),
IF(AND(G77="3/24",AM77&gt;0.5),(AM77*2*база!$M$4*Таблица14[[#This Row],[коэф]]),
IF(AND(G77="5/16",AM77&gt;0.5),(AM77*2*база!$L$6*Таблица14[[#This Row],[коэф]]),
IF(AND(G77="4/16",AM77&gt;0.5),(AM77*2*база!$L$5*Таблица14[[#This Row],[коэф]]),
IF(AND(G77="3/16",AM77&gt;0.5),(AM77*2*база!$L$4*Таблица14[[#This Row],[коэф]]),
IF(AND(G77="4/4",AM77&gt;0.5),(AM77*2*база!$I$5*Таблица14[[#This Row],[коэф]]),
IF(OR(AND(G77="3/4",AM77&gt;0.5),AND(G77="2/4",AM77&gt;0.5)),(AM77*2*база!$I$4*Таблица14[[#This Row],[коэф]]),
IF(AND(G77="5/8",AM77&gt;0.5),(AM77*2*база!$J$6*Таблица14[[#This Row],[коэф]]),
IF(AND(G77="4/8",AM77&gt;0.5),(AM77*2*база!$J$5*Таблица14[[#This Row],[коэф]]),
IF(OR(AND(G77="3/8",AM77&gt;0.5),AND(G77="2/8",AM77&gt;0.5)),(AM77*2*база!$J$4*Таблица14[[#This Row],[коэф]]),
(AM77*0.5*база!$L$4*Таблица14[[#This Row],[коэф]]))))))))))))),
(IF(AND(G77="5/24",AM77&gt;0.5),(AM77*2*база!$M$6*Таблица14[[#This Row],[коэф]]),
IF(OR(AND(G77="4/24",AM77&gt;0.5),AND(G77="3/24",AM77&gt;0.5)),(AM77*2*база!$M$5*Таблица14[[#This Row],[коэф]]),
IF(AND(G77="5/16",AM77&gt;0.5),(AM77*2*база!$L$6*Таблица14[[#This Row],[коэф]]),
IF(OR(AND(G77="4/16",AM77&gt;0.5),AND(G77="3/16",AM77&gt;0.5)),(AM77*2*база!$L$5*Таблица14[[#This Row],[коэф]]),
IF(OR(AND(G77="4/4",AM77&gt;0.5),AND(G77="3/4",AM77&gt;2)),(AM77*2*база!$I$5*Таблица14[[#This Row],[коэф]]),
IF(AND(G77="5/8",AM77&gt;0.5),(AM77*2*база!$J$6*Таблица14[[#This Row],[коэф]]),
IF(AND(G77="4/8",AM77&gt;0.5),(AM77*2*база!$J$5*Таблица14[[#This Row],[коэф]]),
IF(OR(AND(G77="3/8",AM77&gt;0.5),AND(G77="2/8",AM77&gt;0.5)),(AM77*2*база!$J$4*Таблица14[[#This Row],[коэф]]),
(AM77*2*база!$L$5*Таблица14[[#This Row],[коэф]])))))))))))</f>
        <v>0</v>
      </c>
      <c r="AO77" s="121">
        <f>IFERROR(INDEX(база!$D$2:$D$120, MATCH(Таблица14[[#This Row],[Ф. И. О.]],база!$B$2:$B$100,0)),"")</f>
        <v>0</v>
      </c>
    </row>
    <row r="78" spans="1:41" s="46" customFormat="1" ht="13.5" customHeight="1">
      <c r="A78" s="206" t="str">
        <f>A61</f>
        <v>декабрь</v>
      </c>
      <c r="B78" s="239">
        <v>2023</v>
      </c>
      <c r="C78" s="572"/>
      <c r="D78" s="213"/>
      <c r="E78" s="240"/>
      <c r="F78" s="698"/>
      <c r="G78" s="241"/>
      <c r="H78" s="214"/>
      <c r="I78" s="214"/>
      <c r="J78" s="214"/>
      <c r="K78" s="214"/>
      <c r="L78" s="214"/>
      <c r="M78" s="214"/>
      <c r="N78" s="214"/>
      <c r="O78" s="214"/>
      <c r="P78" s="214"/>
      <c r="Q78" s="214"/>
      <c r="R78" s="214"/>
      <c r="S78" s="214"/>
      <c r="T78" s="214"/>
      <c r="U78" s="214"/>
      <c r="V78" s="214"/>
      <c r="W78" s="214"/>
      <c r="X78" s="214"/>
      <c r="Y78" s="214"/>
      <c r="Z78" s="214"/>
      <c r="AA78" s="214"/>
      <c r="AB78" s="214"/>
      <c r="AC78" s="214"/>
      <c r="AD78" s="214"/>
      <c r="AE78" s="214"/>
      <c r="AF78" s="214"/>
      <c r="AG78" s="214"/>
      <c r="AH78" s="214"/>
      <c r="AI78" s="214"/>
      <c r="AJ78" s="214"/>
      <c r="AK78" s="214"/>
      <c r="AL78" s="214"/>
      <c r="AM78" s="120">
        <f t="shared" si="1"/>
        <v>0</v>
      </c>
      <c r="AN78" s="564">
        <f>IF(AO78&lt;=3,(IF(AND(G78="5/24",AM78&gt;0.5),(AM78*2*база!$M$6*Таблица14[[#This Row],[коэф]]),
IF(AND(G78="4/24",AM78&gt;0.5),(AM78*2*база!$M$5*Таблица14[[#This Row],[коэф]]),
IF(AND(G78="3/24",AM78&gt;0.5),(AM78*2*база!$M$4*Таблица14[[#This Row],[коэф]]),
IF(AND(G78="5/16",AM78&gt;0.5),(AM78*2*база!$L$6*Таблица14[[#This Row],[коэф]]),
IF(AND(G78="4/16",AM78&gt;0.5),(AM78*2*база!$L$5*Таблица14[[#This Row],[коэф]]),
IF(AND(G78="3/16",AM78&gt;0.5),(AM78*2*база!$L$4*Таблица14[[#This Row],[коэф]]),
IF(AND(G78="4/4",AM78&gt;0.5),(AM78*2*база!$I$5*Таблица14[[#This Row],[коэф]]),
IF(OR(AND(G78="3/4",AM78&gt;0.5),AND(G78="2/4",AM78&gt;0.5)),(AM78*2*база!$I$4*Таблица14[[#This Row],[коэф]]),
IF(AND(G78="5/8",AM78&gt;0.5),(AM78*2*база!$J$6*Таблица14[[#This Row],[коэф]]),
IF(AND(G78="4/8",AM78&gt;0.5),(AM78*2*база!$J$5*Таблица14[[#This Row],[коэф]]),
IF(OR(AND(G78="3/8",AM78&gt;0.5),AND(G78="2/8",AM78&gt;0.5)),(AM78*2*база!$J$4*Таблица14[[#This Row],[коэф]]),
(AM78*0.5*база!$L$4*Таблица14[[#This Row],[коэф]]))))))))))))),
(IF(AND(G78="5/24",AM78&gt;0.5),(AM78*2*база!$M$6*Таблица14[[#This Row],[коэф]]),
IF(OR(AND(G78="4/24",AM78&gt;0.5),AND(G78="3/24",AM78&gt;0.5)),(AM78*2*база!$M$5*Таблица14[[#This Row],[коэф]]),
IF(AND(G78="5/16",AM78&gt;0.5),(AM78*2*база!$L$6*Таблица14[[#This Row],[коэф]]),
IF(OR(AND(G78="4/16",AM78&gt;0.5),AND(G78="3/16",AM78&gt;0.5)),(AM78*2*база!$L$5*Таблица14[[#This Row],[коэф]]),
IF(OR(AND(G78="4/4",AM78&gt;0.5),AND(G78="3/4",AM78&gt;2)),(AM78*2*база!$I$5*Таблица14[[#This Row],[коэф]]),
IF(AND(G78="5/8",AM78&gt;0.5),(AM78*2*база!$J$6*Таблица14[[#This Row],[коэф]]),
IF(AND(G78="4/8",AM78&gt;0.5),(AM78*2*база!$J$5*Таблица14[[#This Row],[коэф]]),
IF(OR(AND(G78="3/8",AM78&gt;0.5),AND(G78="2/8",AM78&gt;0.5)),(AM78*2*база!$J$4*Таблица14[[#This Row],[коэф]]),
(AM78*2*база!$L$5*Таблица14[[#This Row],[коэф]])))))))))))</f>
        <v>0</v>
      </c>
      <c r="AO78" s="121">
        <f>IFERROR(INDEX(база!$D$2:$D$120, MATCH(Таблица14[[#This Row],[Ф. И. О.]],база!$B$2:$B$100,0)),"")</f>
        <v>0</v>
      </c>
    </row>
    <row r="79" spans="1:41" s="46" customFormat="1" ht="13.5" customHeight="1">
      <c r="A79" s="206" t="str">
        <f t="shared" si="0"/>
        <v>декабрь</v>
      </c>
      <c r="B79" s="203">
        <v>2023</v>
      </c>
      <c r="C79" s="572"/>
      <c r="D79" s="213"/>
      <c r="E79" s="242"/>
      <c r="F79" s="698"/>
      <c r="G79" s="205"/>
      <c r="H79" s="214"/>
      <c r="I79" s="214"/>
      <c r="J79" s="214"/>
      <c r="K79" s="214"/>
      <c r="L79" s="214"/>
      <c r="M79" s="214"/>
      <c r="N79" s="214"/>
      <c r="O79" s="214"/>
      <c r="P79" s="214"/>
      <c r="Q79" s="214"/>
      <c r="R79" s="214"/>
      <c r="S79" s="214"/>
      <c r="T79" s="214"/>
      <c r="U79" s="214"/>
      <c r="V79" s="214"/>
      <c r="W79" s="214"/>
      <c r="X79" s="214"/>
      <c r="Y79" s="214"/>
      <c r="Z79" s="214"/>
      <c r="AA79" s="214"/>
      <c r="AB79" s="214"/>
      <c r="AC79" s="214"/>
      <c r="AD79" s="214"/>
      <c r="AE79" s="214"/>
      <c r="AF79" s="214"/>
      <c r="AG79" s="214"/>
      <c r="AH79" s="214"/>
      <c r="AI79" s="214"/>
      <c r="AJ79" s="214"/>
      <c r="AK79" s="214"/>
      <c r="AL79" s="214"/>
      <c r="AM79" s="120">
        <f t="shared" si="1"/>
        <v>0</v>
      </c>
      <c r="AN79" s="564">
        <f>IF(AO79&lt;=3,(IF(AND(G79="5/24",AM79&gt;0.5),(AM79*2*база!$M$6*Таблица14[[#This Row],[коэф]]),
IF(AND(G79="4/24",AM79&gt;0.5),(AM79*2*база!$M$5*Таблица14[[#This Row],[коэф]]),
IF(AND(G79="3/24",AM79&gt;0.5),(AM79*2*база!$M$4*Таблица14[[#This Row],[коэф]]),
IF(AND(G79="5/16",AM79&gt;0.5),(AM79*2*база!$L$6*Таблица14[[#This Row],[коэф]]),
IF(AND(G79="4/16",AM79&gt;0.5),(AM79*2*база!$L$5*Таблица14[[#This Row],[коэф]]),
IF(AND(G79="3/16",AM79&gt;0.5),(AM79*2*база!$L$4*Таблица14[[#This Row],[коэф]]),
IF(AND(G79="4/4",AM79&gt;0.5),(AM79*2*база!$I$5*Таблица14[[#This Row],[коэф]]),
IF(OR(AND(G79="3/4",AM79&gt;0.5),AND(G79="2/4",AM79&gt;0.5)),(AM79*2*база!$I$4*Таблица14[[#This Row],[коэф]]),
IF(AND(G79="5/8",AM79&gt;0.5),(AM79*2*база!$J$6*Таблица14[[#This Row],[коэф]]),
IF(AND(G79="4/8",AM79&gt;0.5),(AM79*2*база!$J$5*Таблица14[[#This Row],[коэф]]),
IF(OR(AND(G79="3/8",AM79&gt;0.5),AND(G79="2/8",AM79&gt;0.5)),(AM79*2*база!$J$4*Таблица14[[#This Row],[коэф]]),
(AM79*0.5*база!$L$4*Таблица14[[#This Row],[коэф]]))))))))))))),
(IF(AND(G79="5/24",AM79&gt;0.5),(AM79*2*база!$M$6*Таблица14[[#This Row],[коэф]]),
IF(OR(AND(G79="4/24",AM79&gt;0.5),AND(G79="3/24",AM79&gt;0.5)),(AM79*2*база!$M$5*Таблица14[[#This Row],[коэф]]),
IF(AND(G79="5/16",AM79&gt;0.5),(AM79*2*база!$L$6*Таблица14[[#This Row],[коэф]]),
IF(OR(AND(G79="4/16",AM79&gt;0.5),AND(G79="3/16",AM79&gt;0.5)),(AM79*2*база!$L$5*Таблица14[[#This Row],[коэф]]),
IF(OR(AND(G79="4/4",AM79&gt;0.5),AND(G79="3/4",AM79&gt;2)),(AM79*2*база!$I$5*Таблица14[[#This Row],[коэф]]),
IF(AND(G79="5/8",AM79&gt;0.5),(AM79*2*база!$J$6*Таблица14[[#This Row],[коэф]]),
IF(AND(G79="4/8",AM79&gt;0.5),(AM79*2*база!$J$5*Таблица14[[#This Row],[коэф]]),
IF(OR(AND(G79="3/8",AM79&gt;0.5),AND(G79="2/8",AM79&gt;0.5)),(AM79*2*база!$J$4*Таблица14[[#This Row],[коэф]]),
(AM79*2*база!$L$5*Таблица14[[#This Row],[коэф]])))))))))))</f>
        <v>0</v>
      </c>
      <c r="AO79" s="121">
        <f>IFERROR(INDEX(база!$D$2:$D$120, MATCH(Таблица14[[#This Row],[Ф. И. О.]],база!$B$2:$B$100,0)),"")</f>
        <v>0</v>
      </c>
    </row>
    <row r="80" spans="1:41" s="46" customFormat="1" ht="13.5" customHeight="1">
      <c r="A80" s="206" t="str">
        <f t="shared" si="0"/>
        <v>декабрь</v>
      </c>
      <c r="B80" s="239">
        <v>2023</v>
      </c>
      <c r="C80" s="572"/>
      <c r="D80" s="213"/>
      <c r="E80" s="240"/>
      <c r="F80" s="698"/>
      <c r="G80" s="241"/>
      <c r="H80" s="214"/>
      <c r="I80" s="214"/>
      <c r="J80" s="214"/>
      <c r="K80" s="214"/>
      <c r="L80" s="214"/>
      <c r="M80" s="214"/>
      <c r="N80" s="214"/>
      <c r="O80" s="214"/>
      <c r="P80" s="214"/>
      <c r="Q80" s="214"/>
      <c r="R80" s="214"/>
      <c r="S80" s="214"/>
      <c r="T80" s="214"/>
      <c r="U80" s="214"/>
      <c r="V80" s="214"/>
      <c r="W80" s="214"/>
      <c r="X80" s="214"/>
      <c r="Y80" s="214"/>
      <c r="Z80" s="214"/>
      <c r="AA80" s="214"/>
      <c r="AB80" s="214"/>
      <c r="AC80" s="214"/>
      <c r="AD80" s="214"/>
      <c r="AE80" s="214"/>
      <c r="AF80" s="214"/>
      <c r="AG80" s="214"/>
      <c r="AH80" s="214"/>
      <c r="AI80" s="214"/>
      <c r="AJ80" s="214"/>
      <c r="AK80" s="214"/>
      <c r="AL80" s="214"/>
      <c r="AM80" s="120">
        <f t="shared" si="1"/>
        <v>0</v>
      </c>
      <c r="AN80" s="564">
        <f>IF(AO80&lt;=3,(IF(AND(G80="5/24",AM80&gt;0.5),(AM80*2*база!$M$6*Таблица14[[#This Row],[коэф]]),
IF(AND(G80="4/24",AM80&gt;0.5),(AM80*2*база!$M$5*Таблица14[[#This Row],[коэф]]),
IF(AND(G80="3/24",AM80&gt;0.5),(AM80*2*база!$M$4*Таблица14[[#This Row],[коэф]]),
IF(AND(G80="5/16",AM80&gt;0.5),(AM80*2*база!$L$6*Таблица14[[#This Row],[коэф]]),
IF(AND(G80="4/16",AM80&gt;0.5),(AM80*2*база!$L$5*Таблица14[[#This Row],[коэф]]),
IF(AND(G80="3/16",AM80&gt;0.5),(AM80*2*база!$L$4*Таблица14[[#This Row],[коэф]]),
IF(AND(G80="4/4",AM80&gt;0.5),(AM80*2*база!$I$5*Таблица14[[#This Row],[коэф]]),
IF(OR(AND(G80="3/4",AM80&gt;0.5),AND(G80="2/4",AM80&gt;0.5)),(AM80*2*база!$I$4*Таблица14[[#This Row],[коэф]]),
IF(AND(G80="5/8",AM80&gt;0.5),(AM80*2*база!$J$6*Таблица14[[#This Row],[коэф]]),
IF(AND(G80="4/8",AM80&gt;0.5),(AM80*2*база!$J$5*Таблица14[[#This Row],[коэф]]),
IF(OR(AND(G80="3/8",AM80&gt;0.5),AND(G80="2/8",AM80&gt;0.5)),(AM80*2*база!$J$4*Таблица14[[#This Row],[коэф]]),
(AM80*0.5*база!$L$4*Таблица14[[#This Row],[коэф]]))))))))))))),
(IF(AND(G80="5/24",AM80&gt;0.5),(AM80*2*база!$M$6*Таблица14[[#This Row],[коэф]]),
IF(OR(AND(G80="4/24",AM80&gt;0.5),AND(G80="3/24",AM80&gt;0.5)),(AM80*2*база!$M$5*Таблица14[[#This Row],[коэф]]),
IF(AND(G80="5/16",AM80&gt;0.5),(AM80*2*база!$L$6*Таблица14[[#This Row],[коэф]]),
IF(OR(AND(G80="4/16",AM80&gt;0.5),AND(G80="3/16",AM80&gt;0.5)),(AM80*2*база!$L$5*Таблица14[[#This Row],[коэф]]),
IF(OR(AND(G80="4/4",AM80&gt;0.5),AND(G80="3/4",AM80&gt;2)),(AM80*2*база!$I$5*Таблица14[[#This Row],[коэф]]),
IF(AND(G80="5/8",AM80&gt;0.5),(AM80*2*база!$J$6*Таблица14[[#This Row],[коэф]]),
IF(AND(G80="4/8",AM80&gt;0.5),(AM80*2*база!$J$5*Таблица14[[#This Row],[коэф]]),
IF(OR(AND(G80="3/8",AM80&gt;0.5),AND(G80="2/8",AM80&gt;0.5)),(AM80*2*база!$J$4*Таблица14[[#This Row],[коэф]]),
(AM80*2*база!$L$5*Таблица14[[#This Row],[коэф]])))))))))))</f>
        <v>0</v>
      </c>
      <c r="AO80" s="121">
        <f>IFERROR(INDEX(база!$D$2:$D$120, MATCH(Таблица14[[#This Row],[Ф. И. О.]],база!$B$2:$B$100,0)),"")</f>
        <v>0</v>
      </c>
    </row>
    <row r="81" spans="1:41" s="46" customFormat="1" ht="13.5" customHeight="1">
      <c r="A81" s="206" t="str">
        <f t="shared" si="0"/>
        <v>декабрь</v>
      </c>
      <c r="B81" s="203">
        <v>2023</v>
      </c>
      <c r="C81" s="60"/>
      <c r="D81" s="61"/>
      <c r="E81" s="242"/>
      <c r="F81" s="698"/>
      <c r="G81" s="205"/>
      <c r="H81" s="214"/>
      <c r="I81" s="214"/>
      <c r="J81" s="214"/>
      <c r="K81" s="214"/>
      <c r="L81" s="214"/>
      <c r="M81" s="214"/>
      <c r="N81" s="214"/>
      <c r="O81" s="214"/>
      <c r="P81" s="214"/>
      <c r="Q81" s="214"/>
      <c r="R81" s="214"/>
      <c r="S81" s="214"/>
      <c r="T81" s="214"/>
      <c r="U81" s="214"/>
      <c r="V81" s="214"/>
      <c r="W81" s="214"/>
      <c r="X81" s="214"/>
      <c r="Y81" s="214"/>
      <c r="Z81" s="214"/>
      <c r="AA81" s="214"/>
      <c r="AB81" s="214"/>
      <c r="AC81" s="214"/>
      <c r="AD81" s="214"/>
      <c r="AE81" s="214"/>
      <c r="AF81" s="214"/>
      <c r="AG81" s="214"/>
      <c r="AH81" s="214"/>
      <c r="AI81" s="214"/>
      <c r="AJ81" s="214"/>
      <c r="AK81" s="214"/>
      <c r="AL81" s="214"/>
      <c r="AM81" s="120">
        <f t="shared" si="1"/>
        <v>0</v>
      </c>
      <c r="AN81" s="564">
        <f>IF(AO81&lt;=3,(IF(AND(G81="5/24",AM81&gt;0.5),(AM81*2*база!$M$6*Таблица14[[#This Row],[коэф]]),
IF(AND(G81="4/24",AM81&gt;0.5),(AM81*2*база!$M$5*Таблица14[[#This Row],[коэф]]),
IF(AND(G81="3/24",AM81&gt;0.5),(AM81*2*база!$M$4*Таблица14[[#This Row],[коэф]]),
IF(AND(G81="5/16",AM81&gt;0.5),(AM81*2*база!$L$6*Таблица14[[#This Row],[коэф]]),
IF(AND(G81="4/16",AM81&gt;0.5),(AM81*2*база!$L$5*Таблица14[[#This Row],[коэф]]),
IF(AND(G81="3/16",AM81&gt;0.5),(AM81*2*база!$L$4*Таблица14[[#This Row],[коэф]]),
IF(AND(G81="4/4",AM81&gt;0.5),(AM81*2*база!$I$5*Таблица14[[#This Row],[коэф]]),
IF(OR(AND(G81="3/4",AM81&gt;0.5),AND(G81="2/4",AM81&gt;0.5)),(AM81*2*база!$I$4*Таблица14[[#This Row],[коэф]]),
IF(AND(G81="5/8",AM81&gt;0.5),(AM81*2*база!$J$6*Таблица14[[#This Row],[коэф]]),
IF(AND(G81="4/8",AM81&gt;0.5),(AM81*2*база!$J$5*Таблица14[[#This Row],[коэф]]),
IF(OR(AND(G81="3/8",AM81&gt;0.5),AND(G81="2/8",AM81&gt;0.5)),(AM81*2*база!$J$4*Таблица14[[#This Row],[коэф]]),
(AM81*0.5*база!$L$4*Таблица14[[#This Row],[коэф]]))))))))))))),
(IF(AND(G81="5/24",AM81&gt;0.5),(AM81*2*база!$M$6*Таблица14[[#This Row],[коэф]]),
IF(OR(AND(G81="4/24",AM81&gt;0.5),AND(G81="3/24",AM81&gt;0.5)),(AM81*2*база!$M$5*Таблица14[[#This Row],[коэф]]),
IF(AND(G81="5/16",AM81&gt;0.5),(AM81*2*база!$L$6*Таблица14[[#This Row],[коэф]]),
IF(OR(AND(G81="4/16",AM81&gt;0.5),AND(G81="3/16",AM81&gt;0.5)),(AM81*2*база!$L$5*Таблица14[[#This Row],[коэф]]),
IF(OR(AND(G81="4/4",AM81&gt;0.5),AND(G81="3/4",AM81&gt;2)),(AM81*2*база!$I$5*Таблица14[[#This Row],[коэф]]),
IF(AND(G81="5/8",AM81&gt;0.5),(AM81*2*база!$J$6*Таблица14[[#This Row],[коэф]]),
IF(AND(G81="4/8",AM81&gt;0.5),(AM81*2*база!$J$5*Таблица14[[#This Row],[коэф]]),
IF(OR(AND(G81="3/8",AM81&gt;0.5),AND(G81="2/8",AM81&gt;0.5)),(AM81*2*база!$J$4*Таблица14[[#This Row],[коэф]]),
(AM81*2*база!$L$5*Таблица14[[#This Row],[коэф]])))))))))))</f>
        <v>0</v>
      </c>
      <c r="AO81" s="121">
        <f>IFERROR(INDEX(база!$D$2:$D$120, MATCH(Таблица14[[#This Row],[Ф. И. О.]],база!$B$2:$B$100,0)),"")</f>
        <v>0</v>
      </c>
    </row>
    <row r="82" spans="1:41" s="46" customFormat="1" ht="13.5" customHeight="1">
      <c r="A82" s="206" t="str">
        <f t="shared" si="0"/>
        <v>декабрь</v>
      </c>
      <c r="B82" s="239">
        <v>2023</v>
      </c>
      <c r="C82" s="60"/>
      <c r="D82" s="61"/>
      <c r="E82" s="240"/>
      <c r="F82" s="698"/>
      <c r="G82" s="241"/>
      <c r="H82" s="214"/>
      <c r="I82" s="214"/>
      <c r="J82" s="214"/>
      <c r="K82" s="214"/>
      <c r="L82" s="214"/>
      <c r="M82" s="214"/>
      <c r="N82" s="214"/>
      <c r="O82" s="214"/>
      <c r="P82" s="214"/>
      <c r="Q82" s="214"/>
      <c r="R82" s="214"/>
      <c r="S82" s="214"/>
      <c r="T82" s="214"/>
      <c r="U82" s="214"/>
      <c r="V82" s="214"/>
      <c r="W82" s="214"/>
      <c r="X82" s="214"/>
      <c r="Y82" s="214"/>
      <c r="Z82" s="214"/>
      <c r="AA82" s="214"/>
      <c r="AB82" s="214"/>
      <c r="AC82" s="214"/>
      <c r="AD82" s="214"/>
      <c r="AE82" s="214"/>
      <c r="AF82" s="214"/>
      <c r="AG82" s="214"/>
      <c r="AH82" s="214"/>
      <c r="AI82" s="214"/>
      <c r="AJ82" s="214"/>
      <c r="AK82" s="214"/>
      <c r="AL82" s="214"/>
      <c r="AM82" s="120">
        <f t="shared" si="1"/>
        <v>0</v>
      </c>
      <c r="AN82" s="564">
        <f>IF(AO82&lt;=3,(IF(AND(G82="5/24",AM82&gt;0.5),(AM82*2*база!$M$6*Таблица14[[#This Row],[коэф]]),
IF(AND(G82="4/24",AM82&gt;0.5),(AM82*2*база!$M$5*Таблица14[[#This Row],[коэф]]),
IF(AND(G82="3/24",AM82&gt;0.5),(AM82*2*база!$M$4*Таблица14[[#This Row],[коэф]]),
IF(AND(G82="5/16",AM82&gt;0.5),(AM82*2*база!$L$6*Таблица14[[#This Row],[коэф]]),
IF(AND(G82="4/16",AM82&gt;0.5),(AM82*2*база!$L$5*Таблица14[[#This Row],[коэф]]),
IF(AND(G82="3/16",AM82&gt;0.5),(AM82*2*база!$L$4*Таблица14[[#This Row],[коэф]]),
IF(AND(G82="4/4",AM82&gt;0.5),(AM82*2*база!$I$5*Таблица14[[#This Row],[коэф]]),
IF(OR(AND(G82="3/4",AM82&gt;0.5),AND(G82="2/4",AM82&gt;0.5)),(AM82*2*база!$I$4*Таблица14[[#This Row],[коэф]]),
IF(AND(G82="5/8",AM82&gt;0.5),(AM82*2*база!$J$6*Таблица14[[#This Row],[коэф]]),
IF(AND(G82="4/8",AM82&gt;0.5),(AM82*2*база!$J$5*Таблица14[[#This Row],[коэф]]),
IF(OR(AND(G82="3/8",AM82&gt;0.5),AND(G82="2/8",AM82&gt;0.5)),(AM82*2*база!$J$4*Таблица14[[#This Row],[коэф]]),
(AM82*0.5*база!$L$4*Таблица14[[#This Row],[коэф]]))))))))))))),
(IF(AND(G82="5/24",AM82&gt;0.5),(AM82*2*база!$M$6*Таблица14[[#This Row],[коэф]]),
IF(OR(AND(G82="4/24",AM82&gt;0.5),AND(G82="3/24",AM82&gt;0.5)),(AM82*2*база!$M$5*Таблица14[[#This Row],[коэф]]),
IF(AND(G82="5/16",AM82&gt;0.5),(AM82*2*база!$L$6*Таблица14[[#This Row],[коэф]]),
IF(OR(AND(G82="4/16",AM82&gt;0.5),AND(G82="3/16",AM82&gt;0.5)),(AM82*2*база!$L$5*Таблица14[[#This Row],[коэф]]),
IF(OR(AND(G82="4/4",AM82&gt;0.5),AND(G82="3/4",AM82&gt;2)),(AM82*2*база!$I$5*Таблица14[[#This Row],[коэф]]),
IF(AND(G82="5/8",AM82&gt;0.5),(AM82*2*база!$J$6*Таблица14[[#This Row],[коэф]]),
IF(AND(G82="4/8",AM82&gt;0.5),(AM82*2*база!$J$5*Таблица14[[#This Row],[коэф]]),
IF(OR(AND(G82="3/8",AM82&gt;0.5),AND(G82="2/8",AM82&gt;0.5)),(AM82*2*база!$J$4*Таблица14[[#This Row],[коэф]]),
(AM82*2*база!$L$5*Таблица14[[#This Row],[коэф]])))))))))))</f>
        <v>0</v>
      </c>
      <c r="AO82" s="121">
        <f>IFERROR(INDEX(база!$D$2:$D$120, MATCH(Таблица14[[#This Row],[Ф. И. О.]],база!$B$2:$B$100,0)),"")</f>
        <v>0</v>
      </c>
    </row>
    <row r="83" spans="1:41" s="46" customFormat="1" ht="13.5" customHeight="1">
      <c r="A83" s="206" t="str">
        <f t="shared" si="0"/>
        <v>декабрь</v>
      </c>
      <c r="B83" s="203">
        <v>2023</v>
      </c>
      <c r="C83" s="60"/>
      <c r="D83" s="61"/>
      <c r="E83" s="242"/>
      <c r="F83" s="698"/>
      <c r="G83" s="205"/>
      <c r="H83" s="214"/>
      <c r="I83" s="214"/>
      <c r="J83" s="214"/>
      <c r="K83" s="214"/>
      <c r="L83" s="214"/>
      <c r="M83" s="214"/>
      <c r="N83" s="214"/>
      <c r="O83" s="214"/>
      <c r="P83" s="214"/>
      <c r="Q83" s="214"/>
      <c r="R83" s="214"/>
      <c r="S83" s="214"/>
      <c r="T83" s="214"/>
      <c r="U83" s="214"/>
      <c r="V83" s="214"/>
      <c r="W83" s="214"/>
      <c r="X83" s="214"/>
      <c r="Y83" s="214"/>
      <c r="Z83" s="214"/>
      <c r="AA83" s="214"/>
      <c r="AB83" s="214"/>
      <c r="AC83" s="214"/>
      <c r="AD83" s="214"/>
      <c r="AE83" s="214"/>
      <c r="AF83" s="214"/>
      <c r="AG83" s="214"/>
      <c r="AH83" s="214"/>
      <c r="AI83" s="214"/>
      <c r="AJ83" s="214"/>
      <c r="AK83" s="214"/>
      <c r="AL83" s="214"/>
      <c r="AM83" s="120">
        <f t="shared" si="1"/>
        <v>0</v>
      </c>
      <c r="AN83" s="564">
        <f>IF(AO83&lt;=3,(IF(AND(G83="5/24",AM83&gt;0.5),(AM83*2*база!$M$6*Таблица14[[#This Row],[коэф]]),
IF(AND(G83="4/24",AM83&gt;0.5),(AM83*2*база!$M$5*Таблица14[[#This Row],[коэф]]),
IF(AND(G83="3/24",AM83&gt;0.5),(AM83*2*база!$M$4*Таблица14[[#This Row],[коэф]]),
IF(AND(G83="5/16",AM83&gt;0.5),(AM83*2*база!$L$6*Таблица14[[#This Row],[коэф]]),
IF(AND(G83="4/16",AM83&gt;0.5),(AM83*2*база!$L$5*Таблица14[[#This Row],[коэф]]),
IF(AND(G83="3/16",AM83&gt;0.5),(AM83*2*база!$L$4*Таблица14[[#This Row],[коэф]]),
IF(AND(G83="4/4",AM83&gt;0.5),(AM83*2*база!$I$5*Таблица14[[#This Row],[коэф]]),
IF(OR(AND(G83="3/4",AM83&gt;0.5),AND(G83="2/4",AM83&gt;0.5)),(AM83*2*база!$I$4*Таблица14[[#This Row],[коэф]]),
IF(AND(G83="5/8",AM83&gt;0.5),(AM83*2*база!$J$6*Таблица14[[#This Row],[коэф]]),
IF(AND(G83="4/8",AM83&gt;0.5),(AM83*2*база!$J$5*Таблица14[[#This Row],[коэф]]),
IF(OR(AND(G83="3/8",AM83&gt;0.5),AND(G83="2/8",AM83&gt;0.5)),(AM83*2*база!$J$4*Таблица14[[#This Row],[коэф]]),
(AM83*0.5*база!$L$4*Таблица14[[#This Row],[коэф]]))))))))))))),
(IF(AND(G83="5/24",AM83&gt;0.5),(AM83*2*база!$M$6*Таблица14[[#This Row],[коэф]]),
IF(OR(AND(G83="4/24",AM83&gt;0.5),AND(G83="3/24",AM83&gt;0.5)),(AM83*2*база!$M$5*Таблица14[[#This Row],[коэф]]),
IF(AND(G83="5/16",AM83&gt;0.5),(AM83*2*база!$L$6*Таблица14[[#This Row],[коэф]]),
IF(OR(AND(G83="4/16",AM83&gt;0.5),AND(G83="3/16",AM83&gt;0.5)),(AM83*2*база!$L$5*Таблица14[[#This Row],[коэф]]),
IF(OR(AND(G83="4/4",AM83&gt;0.5),AND(G83="3/4",AM83&gt;2)),(AM83*2*база!$I$5*Таблица14[[#This Row],[коэф]]),
IF(AND(G83="5/8",AM83&gt;0.5),(AM83*2*база!$J$6*Таблица14[[#This Row],[коэф]]),
IF(AND(G83="4/8",AM83&gt;0.5),(AM83*2*база!$J$5*Таблица14[[#This Row],[коэф]]),
IF(OR(AND(G83="3/8",AM83&gt;0.5),AND(G83="2/8",AM83&gt;0.5)),(AM83*2*база!$J$4*Таблица14[[#This Row],[коэф]]),
(AM83*2*база!$L$5*Таблица14[[#This Row],[коэф]])))))))))))</f>
        <v>0</v>
      </c>
      <c r="AO83" s="121">
        <f>IFERROR(INDEX(база!$D$2:$D$120, MATCH(Таблица14[[#This Row],[Ф. И. О.]],база!$B$2:$B$100,0)),"")</f>
        <v>0</v>
      </c>
    </row>
    <row r="84" spans="1:41" s="46" customFormat="1" ht="13.5" customHeight="1">
      <c r="A84" s="206" t="str">
        <f t="shared" si="0"/>
        <v>декабрь</v>
      </c>
      <c r="B84" s="239">
        <v>2023</v>
      </c>
      <c r="C84" s="60"/>
      <c r="D84" s="61"/>
      <c r="E84" s="240"/>
      <c r="F84" s="698"/>
      <c r="G84" s="241"/>
      <c r="H84" s="214"/>
      <c r="I84" s="214"/>
      <c r="J84" s="214"/>
      <c r="K84" s="214"/>
      <c r="L84" s="214"/>
      <c r="M84" s="214"/>
      <c r="N84" s="214"/>
      <c r="O84" s="214"/>
      <c r="P84" s="214"/>
      <c r="Q84" s="214"/>
      <c r="R84" s="214"/>
      <c r="S84" s="214"/>
      <c r="T84" s="214"/>
      <c r="U84" s="214"/>
      <c r="V84" s="214"/>
      <c r="W84" s="214"/>
      <c r="X84" s="214"/>
      <c r="Y84" s="214"/>
      <c r="Z84" s="214"/>
      <c r="AA84" s="214"/>
      <c r="AB84" s="214"/>
      <c r="AC84" s="214"/>
      <c r="AD84" s="214"/>
      <c r="AE84" s="214"/>
      <c r="AF84" s="214"/>
      <c r="AG84" s="214"/>
      <c r="AH84" s="214"/>
      <c r="AI84" s="214"/>
      <c r="AJ84" s="214"/>
      <c r="AK84" s="214"/>
      <c r="AL84" s="214"/>
      <c r="AM84" s="120">
        <f t="shared" ref="AM84:AM85" si="3">SUM(H84:AL84)</f>
        <v>0</v>
      </c>
      <c r="AN84" s="564">
        <f>IF(AO84&lt;=3,(IF(AND(G84="5/24",AM84&gt;0.5),(AM84*2*база!$M$6*Таблица14[[#This Row],[коэф]]),
IF(AND(G84="4/24",AM84&gt;0.5),(AM84*2*база!$M$5*Таблица14[[#This Row],[коэф]]),
IF(AND(G84="3/24",AM84&gt;0.5),(AM84*2*база!$M$4*Таблица14[[#This Row],[коэф]]),
IF(AND(G84="5/16",AM84&gt;0.5),(AM84*2*база!$L$6*Таблица14[[#This Row],[коэф]]),
IF(AND(G84="4/16",AM84&gt;0.5),(AM84*2*база!$L$5*Таблица14[[#This Row],[коэф]]),
IF(AND(G84="3/16",AM84&gt;0.5),(AM84*2*база!$L$4*Таблица14[[#This Row],[коэф]]),
IF(AND(G84="4/4",AM84&gt;0.5),(AM84*2*база!$I$5*Таблица14[[#This Row],[коэф]]),
IF(OR(AND(G84="3/4",AM84&gt;0.5),AND(G84="2/4",AM84&gt;0.5)),(AM84*2*база!$I$4*Таблица14[[#This Row],[коэф]]),
IF(AND(G84="5/8",AM84&gt;0.5),(AM84*2*база!$J$6*Таблица14[[#This Row],[коэф]]),
IF(AND(G84="4/8",AM84&gt;0.5),(AM84*2*база!$J$5*Таблица14[[#This Row],[коэф]]),
IF(OR(AND(G84="3/8",AM84&gt;0.5),AND(G84="2/8",AM84&gt;0.5)),(AM84*2*база!$J$4*Таблица14[[#This Row],[коэф]]),
(AM84*0.5*база!$L$4*Таблица14[[#This Row],[коэф]]))))))))))))),
(IF(AND(G84="5/24",AM84&gt;0.5),(AM84*2*база!$M$6*Таблица14[[#This Row],[коэф]]),
IF(OR(AND(G84="4/24",AM84&gt;0.5),AND(G84="3/24",AM84&gt;0.5)),(AM84*2*база!$M$5*Таблица14[[#This Row],[коэф]]),
IF(AND(G84="5/16",AM84&gt;0.5),(AM84*2*база!$L$6*Таблица14[[#This Row],[коэф]]),
IF(OR(AND(G84="4/16",AM84&gt;0.5),AND(G84="3/16",AM84&gt;0.5)),(AM84*2*база!$L$5*Таблица14[[#This Row],[коэф]]),
IF(OR(AND(G84="4/4",AM84&gt;0.5),AND(G84="3/4",AM84&gt;2)),(AM84*2*база!$I$5*Таблица14[[#This Row],[коэф]]),
IF(AND(G84="5/8",AM84&gt;0.5),(AM84*2*база!$J$6*Таблица14[[#This Row],[коэф]]),
IF(AND(G84="4/8",AM84&gt;0.5),(AM84*2*база!$J$5*Таблица14[[#This Row],[коэф]]),
IF(OR(AND(G84="3/8",AM84&gt;0.5),AND(G84="2/8",AM84&gt;0.5)),(AM84*2*база!$J$4*Таблица14[[#This Row],[коэф]]),
(AM84*2*база!$L$5*Таблица14[[#This Row],[коэф]])))))))))))</f>
        <v>0</v>
      </c>
      <c r="AO84" s="121">
        <f>IFERROR(INDEX(база!$D$2:$D$120, MATCH(Таблица14[[#This Row],[Ф. И. О.]],база!$B$2:$B$100,0)),"")</f>
        <v>0</v>
      </c>
    </row>
    <row r="85" spans="1:41" s="46" customFormat="1" ht="13.5" customHeight="1">
      <c r="A85" s="206" t="str">
        <f t="shared" si="0"/>
        <v>декабрь</v>
      </c>
      <c r="B85" s="203">
        <v>2023</v>
      </c>
      <c r="C85" s="60"/>
      <c r="D85" s="61"/>
      <c r="E85" s="242"/>
      <c r="F85" s="698"/>
      <c r="G85" s="205"/>
      <c r="H85" s="214"/>
      <c r="I85" s="214"/>
      <c r="J85" s="214"/>
      <c r="K85" s="214"/>
      <c r="L85" s="214"/>
      <c r="M85" s="214"/>
      <c r="N85" s="214"/>
      <c r="O85" s="214"/>
      <c r="P85" s="214"/>
      <c r="Q85" s="214"/>
      <c r="R85" s="214"/>
      <c r="S85" s="214"/>
      <c r="T85" s="214"/>
      <c r="U85" s="214"/>
      <c r="V85" s="214"/>
      <c r="W85" s="214"/>
      <c r="X85" s="214"/>
      <c r="Y85" s="214"/>
      <c r="Z85" s="214"/>
      <c r="AA85" s="214"/>
      <c r="AB85" s="214"/>
      <c r="AC85" s="214"/>
      <c r="AD85" s="214"/>
      <c r="AE85" s="214"/>
      <c r="AF85" s="214"/>
      <c r="AG85" s="214"/>
      <c r="AH85" s="214"/>
      <c r="AI85" s="214"/>
      <c r="AJ85" s="214"/>
      <c r="AK85" s="214"/>
      <c r="AL85" s="214"/>
      <c r="AM85" s="120">
        <f t="shared" si="3"/>
        <v>0</v>
      </c>
      <c r="AN85" s="564">
        <f>IF(AO85&lt;=3,(IF(AND(G85="5/24",AM85&gt;0.5),(AM85*2*база!$M$6*Таблица14[[#This Row],[коэф]]),
IF(AND(G85="4/24",AM85&gt;0.5),(AM85*2*база!$M$5*Таблица14[[#This Row],[коэф]]),
IF(AND(G85="3/24",AM85&gt;0.5),(AM85*2*база!$M$4*Таблица14[[#This Row],[коэф]]),
IF(AND(G85="5/16",AM85&gt;0.5),(AM85*2*база!$L$6*Таблица14[[#This Row],[коэф]]),
IF(AND(G85="4/16",AM85&gt;0.5),(AM85*2*база!$L$5*Таблица14[[#This Row],[коэф]]),
IF(AND(G85="3/16",AM85&gt;0.5),(AM85*2*база!$L$4*Таблица14[[#This Row],[коэф]]),
IF(AND(G85="4/4",AM85&gt;0.5),(AM85*2*база!$I$5*Таблица14[[#This Row],[коэф]]),
IF(OR(AND(G85="3/4",AM85&gt;0.5),AND(G85="2/4",AM85&gt;0.5)),(AM85*2*база!$I$4*Таблица14[[#This Row],[коэф]]),
IF(AND(G85="5/8",AM85&gt;0.5),(AM85*2*база!$J$6*Таблица14[[#This Row],[коэф]]),
IF(AND(G85="4/8",AM85&gt;0.5),(AM85*2*база!$J$5*Таблица14[[#This Row],[коэф]]),
IF(OR(AND(G85="3/8",AM85&gt;0.5),AND(G85="2/8",AM85&gt;0.5)),(AM85*2*база!$J$4*Таблица14[[#This Row],[коэф]]),
(AM85*0.5*база!$L$4*Таблица14[[#This Row],[коэф]]))))))))))))),
(IF(AND(G85="5/24",AM85&gt;0.5),(AM85*2*база!$M$6*Таблица14[[#This Row],[коэф]]),
IF(OR(AND(G85="4/24",AM85&gt;0.5),AND(G85="3/24",AM85&gt;0.5)),(AM85*2*база!$M$5*Таблица14[[#This Row],[коэф]]),
IF(AND(G85="5/16",AM85&gt;0.5),(AM85*2*база!$L$6*Таблица14[[#This Row],[коэф]]),
IF(OR(AND(G85="4/16",AM85&gt;0.5),AND(G85="3/16",AM85&gt;0.5)),(AM85*2*база!$L$5*Таблица14[[#This Row],[коэф]]),
IF(OR(AND(G85="4/4",AM85&gt;0.5),AND(G85="3/4",AM85&gt;2)),(AM85*2*база!$I$5*Таблица14[[#This Row],[коэф]]),
IF(AND(G85="5/8",AM85&gt;0.5),(AM85*2*база!$J$6*Таблица14[[#This Row],[коэф]]),
IF(AND(G85="4/8",AM85&gt;0.5),(AM85*2*база!$J$5*Таблица14[[#This Row],[коэф]]),
IF(OR(AND(G85="3/8",AM85&gt;0.5),AND(G85="2/8",AM85&gt;0.5)),(AM85*2*база!$J$4*Таблица14[[#This Row],[коэф]]),
(AM85*2*база!$L$5*Таблица14[[#This Row],[коэф]])))))))))))</f>
        <v>0</v>
      </c>
      <c r="AO85" s="121">
        <f>IFERROR(INDEX(база!$D$2:$D$120, MATCH(Таблица14[[#This Row],[Ф. И. О.]],база!$B$2:$B$100,0)),"")</f>
        <v>0</v>
      </c>
    </row>
    <row r="86" spans="1:41" ht="15">
      <c r="A86" s="738" t="s">
        <v>247</v>
      </c>
      <c r="B86" s="739"/>
      <c r="C86" s="740"/>
      <c r="D86" s="741"/>
      <c r="E86" s="742"/>
      <c r="F86" s="743"/>
      <c r="G86" s="744">
        <f>SUBTOTAL(109,Таблица14[р/р])</f>
        <v>0</v>
      </c>
      <c r="H86" s="744">
        <f>SUBTOTAL(109,Таблица14[1])</f>
        <v>0</v>
      </c>
      <c r="I86" s="744">
        <f>SUBTOTAL(109,Таблица14[2])</f>
        <v>0</v>
      </c>
      <c r="J86" s="744">
        <f>SUBTOTAL(109,Таблица14[3])</f>
        <v>0</v>
      </c>
      <c r="K86" s="744">
        <f>SUBTOTAL(109,Таблица14[4])</f>
        <v>0</v>
      </c>
      <c r="L86" s="744">
        <f>SUBTOTAL(109,Таблица14[5])</f>
        <v>0</v>
      </c>
      <c r="M86" s="744">
        <f>SUBTOTAL(109,Таблица14[6])</f>
        <v>0</v>
      </c>
      <c r="N86" s="744">
        <f>SUBTOTAL(109,Таблица14[7])</f>
        <v>0</v>
      </c>
      <c r="O86" s="744">
        <f>SUBTOTAL(109,Таблица14[8])</f>
        <v>0</v>
      </c>
      <c r="P86" s="744">
        <f>SUBTOTAL(109,Таблица14[9])</f>
        <v>0</v>
      </c>
      <c r="Q86" s="744">
        <f>SUBTOTAL(109,Таблица14[10])</f>
        <v>0</v>
      </c>
      <c r="R86" s="744">
        <f>SUBTOTAL(109,Таблица14[11])</f>
        <v>0</v>
      </c>
      <c r="S86" s="744">
        <f>SUBTOTAL(109,Таблица14[12])</f>
        <v>0</v>
      </c>
      <c r="T86" s="744">
        <f>SUBTOTAL(109,Таблица14[13])</f>
        <v>0</v>
      </c>
      <c r="U86" s="744">
        <f>SUBTOTAL(109,Таблица14[14])</f>
        <v>0</v>
      </c>
      <c r="V86" s="744">
        <f>SUBTOTAL(109,Таблица14[15])</f>
        <v>0</v>
      </c>
      <c r="W86" s="744">
        <f>SUBTOTAL(109,Таблица14[16])</f>
        <v>0</v>
      </c>
      <c r="X86" s="744">
        <f>SUBTOTAL(109,Таблица14[17])</f>
        <v>0</v>
      </c>
      <c r="Y86" s="744">
        <f>SUBTOTAL(109,Таблица14[18])</f>
        <v>0</v>
      </c>
      <c r="Z86" s="744">
        <f>SUBTOTAL(109,Таблица14[19])</f>
        <v>0</v>
      </c>
      <c r="AA86" s="744">
        <f>SUBTOTAL(109,Таблица14[20])</f>
        <v>0</v>
      </c>
      <c r="AB86" s="744">
        <f>SUBTOTAL(109,Таблица14[21])</f>
        <v>0</v>
      </c>
      <c r="AC86" s="744">
        <f>SUBTOTAL(109,Таблица14[22])</f>
        <v>0</v>
      </c>
      <c r="AD86" s="744">
        <f>SUBTOTAL(109,Таблица14[23])</f>
        <v>0</v>
      </c>
      <c r="AE86" s="744">
        <f>SUBTOTAL(109,Таблица14[24])</f>
        <v>0</v>
      </c>
      <c r="AF86" s="744">
        <f>SUBTOTAL(109,Таблица14[25])</f>
        <v>0</v>
      </c>
      <c r="AG86" s="744">
        <f>SUBTOTAL(109,Таблица14[26])</f>
        <v>0</v>
      </c>
      <c r="AH86" s="744">
        <f>SUBTOTAL(109,Таблица14[27])</f>
        <v>0</v>
      </c>
      <c r="AI86" s="744">
        <f>SUBTOTAL(109,Таблица14[28])</f>
        <v>0</v>
      </c>
      <c r="AJ86" s="744">
        <f>SUBTOTAL(109,Таблица14[29])</f>
        <v>0</v>
      </c>
      <c r="AK86" s="744"/>
      <c r="AL86" s="744">
        <f>SUBTOTAL(109,Таблица14[31])</f>
        <v>0</v>
      </c>
      <c r="AM86" s="745">
        <f>SUM(сверхур!$AM$2:$AM$85)</f>
        <v>0</v>
      </c>
      <c r="AN86" s="746">
        <f>SUM(Таблица14[Столбец2])</f>
        <v>0</v>
      </c>
      <c r="AO86" s="747"/>
    </row>
    <row r="93" spans="1:41">
      <c r="AA93" s="46" t="s">
        <v>350</v>
      </c>
    </row>
  </sheetData>
  <sheetProtection formatCells="0" formatColumns="0" formatRows="0" insertColumns="0" insertRows="0" insertHyperlinks="0" deleteColumns="0" deleteRows="0" sort="0" autoFilter="0" pivotTables="0"/>
  <phoneticPr fontId="3" type="noConversion"/>
  <pageMargins left="0.23622047244094491" right="0.23622047244094491" top="0.35433070866141736" bottom="0.35433070866141736" header="0" footer="0"/>
  <pageSetup paperSize="9" scale="45" fitToHeight="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E48"/>
  <sheetViews>
    <sheetView workbookViewId="0">
      <selection activeCell="E12" sqref="E12"/>
    </sheetView>
  </sheetViews>
  <sheetFormatPr defaultRowHeight="15"/>
  <cols>
    <col min="1" max="1" style="45" width="9.140625"/>
    <col min="2" max="2" customWidth="true" width="30.42578125"/>
  </cols>
  <sheetData>
    <row r="3" spans="1:5">
      <c r="A3" s="45">
        <v>1</v>
      </c>
      <c r="B3" t="str" s="0">
        <f>расчет!B6</f>
        <v>Авдокушина Елена Николаевна</v>
      </c>
      <c r="C3" s="0">
        <f>расчет!C6</f>
        <v>15118</v>
      </c>
      <c r="D3" s="0">
        <f>расчет!Y6</f>
        <v>0</v>
      </c>
      <c r="E3" s="586">
        <f>расчет!Z6</f>
        <v>0</v>
      </c>
    </row>
    <row r="4" spans="1:5">
      <c r="A4" s="45">
        <v>2</v>
      </c>
      <c r="B4" s="45" t="str">
        <f>расчет!B17</f>
        <v>Аксенов Александр Юрьевич</v>
      </c>
      <c r="C4" s="45">
        <f>расчет!C17</f>
        <v>15799</v>
      </c>
      <c r="D4" s="45">
        <f>расчет!Y17</f>
        <v>0</v>
      </c>
      <c r="E4" s="586">
        <f>расчет!Z17</f>
        <v>0</v>
      </c>
    </row>
    <row r="5" spans="1:5">
      <c r="A5" s="45">
        <v>3</v>
      </c>
      <c r="B5" s="45" t="str">
        <f>расчет!B33</f>
        <v>Аксенова Диана Владимировна</v>
      </c>
      <c r="C5" s="45">
        <f>расчет!C28</f>
        <v>15791</v>
      </c>
      <c r="D5" s="45">
        <f>расчет!Y28</f>
        <v>0</v>
      </c>
      <c r="E5" s="586">
        <f>расчет!Z28</f>
        <v>0</v>
      </c>
    </row>
    <row r="6" spans="1:5">
      <c r="A6" s="45">
        <v>4</v>
      </c>
      <c r="B6" s="45" t="str">
        <f>расчет!B44</f>
        <v>Александрович Екатерина Сергеевна</v>
      </c>
      <c r="C6" s="45">
        <f>расчет!C39</f>
        <v>15816</v>
      </c>
      <c r="D6" s="45">
        <f>расчет!Y39</f>
        <v>0</v>
      </c>
      <c r="E6" s="586">
        <f>расчет!Z39</f>
        <v>0</v>
      </c>
    </row>
    <row r="7" spans="1:5">
      <c r="A7" s="45">
        <v>5</v>
      </c>
      <c r="B7" s="45" t="str">
        <f>расчет!B55</f>
        <v>Алиева Диана Арифовна</v>
      </c>
      <c r="C7" s="45">
        <f>расчет!C50</f>
        <v>16475</v>
      </c>
      <c r="D7" s="45">
        <f>расчет!Y40</f>
        <v>0</v>
      </c>
      <c r="E7" s="586">
        <f>расчет!Z40</f>
        <v>0</v>
      </c>
    </row>
    <row r="8" spans="1:5">
      <c r="A8" s="45">
        <v>6</v>
      </c>
      <c r="B8" s="45" t="str">
        <f>расчет!B66</f>
        <v>Аполосова Ольга Николаевна</v>
      </c>
      <c r="C8" s="45">
        <f>расчет!C61</f>
        <v>17290</v>
      </c>
      <c r="D8" s="45">
        <f>расчет!Y61</f>
        <v>0</v>
      </c>
      <c r="E8" s="586">
        <f>расчет!Z61</f>
        <v>0</v>
      </c>
    </row>
    <row r="9" spans="1:5">
      <c r="A9" s="45">
        <v>7</v>
      </c>
      <c r="B9" s="45"/>
      <c r="C9" s="45"/>
      <c r="D9" s="45"/>
      <c r="E9" s="586"/>
    </row>
    <row r="10" spans="1:5">
      <c r="A10" s="45">
        <v>8</v>
      </c>
      <c r="B10" s="45"/>
      <c r="C10" s="45"/>
      <c r="D10" s="45"/>
      <c r="E10" s="586"/>
    </row>
    <row r="11" spans="1:5">
      <c r="A11" s="45">
        <v>9</v>
      </c>
      <c r="B11" s="45"/>
      <c r="C11" s="45"/>
      <c r="D11" s="45"/>
      <c r="E11" s="586"/>
    </row>
    <row r="12" spans="1:5">
      <c r="A12" s="45">
        <v>10</v>
      </c>
    </row>
    <row r="13" spans="1:5">
      <c r="A13" s="45">
        <v>11</v>
      </c>
    </row>
    <row r="14" spans="1:5">
      <c r="A14" s="45">
        <v>12</v>
      </c>
    </row>
    <row r="15" spans="1:5">
      <c r="A15" s="45">
        <v>13</v>
      </c>
    </row>
    <row r="16" spans="1:5">
      <c r="A16" s="45">
        <v>14</v>
      </c>
    </row>
    <row r="17" spans="1:1">
      <c r="A17" s="45">
        <v>15</v>
      </c>
    </row>
    <row r="18" spans="1:1">
      <c r="A18" s="45">
        <v>16</v>
      </c>
    </row>
    <row r="19" spans="1:1">
      <c r="A19" s="45">
        <v>17</v>
      </c>
    </row>
    <row r="20" spans="1:1">
      <c r="A20" s="45">
        <v>18</v>
      </c>
    </row>
    <row r="21" spans="1:1">
      <c r="A21" s="45">
        <v>19</v>
      </c>
    </row>
    <row r="22" spans="1:1">
      <c r="A22" s="45">
        <v>20</v>
      </c>
    </row>
    <row r="23" spans="1:1">
      <c r="A23" s="45">
        <v>21</v>
      </c>
    </row>
    <row r="24" spans="1:1">
      <c r="A24" s="45">
        <v>22</v>
      </c>
    </row>
    <row r="25" spans="1:1">
      <c r="A25" s="45">
        <v>23</v>
      </c>
    </row>
    <row r="26" spans="1:1">
      <c r="A26" s="45">
        <v>24</v>
      </c>
    </row>
    <row r="27" spans="1:1">
      <c r="A27" s="45">
        <v>25</v>
      </c>
    </row>
    <row r="28" spans="1:1">
      <c r="A28" s="45">
        <v>26</v>
      </c>
    </row>
    <row r="29" spans="1:1">
      <c r="A29" s="45">
        <v>27</v>
      </c>
    </row>
    <row r="30" spans="1:1">
      <c r="A30" s="45">
        <v>28</v>
      </c>
    </row>
    <row r="31" spans="1:1">
      <c r="A31" s="45">
        <v>29</v>
      </c>
    </row>
    <row r="32" spans="1:1">
      <c r="A32" s="45">
        <v>30</v>
      </c>
    </row>
    <row r="33" spans="1:1">
      <c r="A33" s="45">
        <v>31</v>
      </c>
    </row>
    <row r="34" spans="1:1">
      <c r="A34" s="45">
        <v>32</v>
      </c>
    </row>
    <row r="35" spans="1:1">
      <c r="A35" s="45">
        <v>33</v>
      </c>
    </row>
    <row r="36" spans="1:1">
      <c r="A36" s="45">
        <v>34</v>
      </c>
    </row>
    <row r="37" spans="1:1">
      <c r="A37" s="45">
        <v>35</v>
      </c>
    </row>
    <row r="38" spans="1:1">
      <c r="A38" s="45">
        <v>36</v>
      </c>
    </row>
    <row r="39" spans="1:1">
      <c r="A39" s="45">
        <v>37</v>
      </c>
    </row>
    <row r="40" spans="1:1">
      <c r="A40" s="45">
        <v>38</v>
      </c>
    </row>
    <row r="41" spans="1:1">
      <c r="A41" s="45">
        <v>39</v>
      </c>
    </row>
    <row r="42" spans="1:1">
      <c r="A42" s="45">
        <v>40</v>
      </c>
    </row>
    <row r="43" spans="1:1">
      <c r="A43" s="45">
        <v>41</v>
      </c>
    </row>
    <row r="44" spans="1:1">
      <c r="A44" s="45">
        <v>42</v>
      </c>
    </row>
    <row r="45" spans="1:1">
      <c r="A45" s="45">
        <v>43</v>
      </c>
    </row>
    <row r="46" spans="1:1">
      <c r="A46" s="45">
        <v>44</v>
      </c>
    </row>
    <row r="47" spans="1:1">
      <c r="A47" s="45">
        <v>45</v>
      </c>
    </row>
    <row r="48" spans="1:1">
      <c r="A48" s="45">
        <v>46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C844"/>
  <sheetViews>
    <sheetView showZeros="0" view="pageBreakPreview" topLeftCell="A310" zoomScale="70" zoomScaleNormal="60" zoomScaleSheetLayoutView="70" workbookViewId="0">
      <selection activeCell="W787" sqref="W787"/>
    </sheetView>
  </sheetViews>
  <sheetFormatPr defaultColWidth="10.28515625" defaultRowHeight="15.75"/>
  <cols>
    <col min="1" max="1" customWidth="true" style="179" width="4.0"/>
    <col min="2" max="2" customWidth="true" style="179" width="46.42578125"/>
    <col min="3" max="3" customWidth="true" style="180" width="7.7109375"/>
    <col min="4" max="4" customWidth="true" style="181" width="6.7109375"/>
    <col min="5" max="5" customWidth="true" style="182" width="8.140625"/>
    <col min="6" max="6" customWidth="true" style="183" width="7.0"/>
    <col min="7" max="7" customWidth="true" style="183" width="9.140625"/>
    <col min="8" max="8" customWidth="true" style="182" width="13.140625"/>
    <col min="9" max="9" customWidth="true" style="182" width="8.0"/>
    <col min="10" max="10" customWidth="true" style="179" width="7.0"/>
    <col min="11" max="11" customWidth="true" style="183" width="7.0"/>
    <col min="12" max="12" customWidth="true" style="182" width="11.140625"/>
    <col min="13" max="13" customWidth="true" hidden="true" style="182" width="7.0"/>
    <col min="14" max="14" customWidth="true" hidden="true" style="183" width="7.0"/>
    <col min="15" max="15" customWidth="true" hidden="true" style="183" width="7.42578125"/>
    <col min="16" max="16" customWidth="true" hidden="true" style="182" width="8.85546875"/>
    <col min="17" max="17" customWidth="true" style="182" width="8.5703125"/>
    <col min="18" max="18" customWidth="true" style="183" width="7.0"/>
    <col min="19" max="19" bestFit="true" customWidth="true" style="183" width="9.42578125"/>
    <col min="20" max="20" bestFit="true" customWidth="true" style="182" width="13.0"/>
    <col min="21" max="21" bestFit="true" customWidth="true" style="182" width="8.140625"/>
    <col min="22" max="22" customWidth="true" style="183" width="7.0"/>
    <col min="23" max="23" bestFit="true" customWidth="true" style="183" width="9.42578125"/>
    <col min="24" max="24" bestFit="true" customWidth="true" style="184" width="13.0"/>
    <col min="25" max="25" customWidth="true" style="179" width="13.0"/>
    <col min="26" max="26" customWidth="true" style="182" width="15.28515625"/>
    <col min="27" max="27" customWidth="true" style="185" width="24.7109375"/>
    <col min="28" max="28" style="179" width="10.28515625"/>
    <col min="29" max="29" bestFit="true" customWidth="true" style="712" width="14.42578125"/>
    <col min="30" max="168" style="179" width="10.28515625"/>
    <col min="169" max="169" bestFit="true" customWidth="true" style="179" width="3.42578125"/>
    <col min="170" max="170" customWidth="true" style="179" width="23.28515625"/>
    <col min="171" max="171" bestFit="true" customWidth="true" style="179" width="7.0"/>
    <col min="172" max="172" customWidth="true" style="179" width="5.7109375"/>
    <col min="173" max="192" customWidth="true" style="179" width="7.0"/>
    <col min="193" max="193" bestFit="true" customWidth="true" style="179" width="7.42578125"/>
    <col min="194" max="194" bestFit="true" customWidth="true" style="179" width="14.28515625"/>
    <col min="195" max="195" customWidth="true" style="179" width="20.42578125"/>
    <col min="196" max="16384" style="179" width="10.28515625"/>
  </cols>
  <sheetData>
    <row r="1" spans="1:29" s="170" customFormat="1" ht="27" customHeight="1">
      <c r="A1" s="298"/>
      <c r="B1" s="298"/>
      <c r="C1" s="298"/>
      <c r="D1" s="298"/>
      <c r="E1" s="298"/>
      <c r="F1" s="298"/>
      <c r="G1" s="298"/>
      <c r="H1" s="772" t="str">
        <f>INDEX(база!AO:AO, MATCH(Data_Tech!AU7,база!AN:AN,0))</f>
        <v>Производственный цех №3, мастерская 39</v>
      </c>
      <c r="I1" s="772"/>
      <c r="J1" s="772"/>
      <c r="K1" s="772"/>
      <c r="L1" s="772"/>
      <c r="M1" s="772"/>
      <c r="N1" s="772"/>
      <c r="O1" s="772"/>
      <c r="P1" s="772"/>
      <c r="Q1" s="772"/>
      <c r="R1" s="772"/>
      <c r="S1" s="772"/>
      <c r="T1" s="772"/>
      <c r="U1" s="772"/>
      <c r="V1" s="298"/>
      <c r="W1" s="298"/>
      <c r="X1" s="298"/>
      <c r="Y1" s="298"/>
      <c r="Z1" s="298"/>
      <c r="AA1" s="298"/>
      <c r="AC1" s="709"/>
    </row>
    <row r="2" spans="1:29" s="170" customFormat="1">
      <c r="A2" s="167"/>
      <c r="B2" s="167"/>
      <c r="C2" s="167"/>
      <c r="D2" s="167"/>
      <c r="E2" s="168"/>
      <c r="F2" s="169"/>
      <c r="G2" s="169"/>
      <c r="H2" s="168"/>
      <c r="I2" s="168"/>
      <c r="L2" s="170" t="s">
        <v>43</v>
      </c>
      <c r="N2" s="169" t="s">
        <v>43</v>
      </c>
      <c r="Q2" s="171" t="str">
        <f>Data_Tech!$A$3</f>
        <v>декабрь</v>
      </c>
      <c r="R2" s="169"/>
      <c r="S2" s="169"/>
      <c r="T2" s="172">
        <v>2023</v>
      </c>
      <c r="U2" s="168"/>
      <c r="V2" s="169"/>
      <c r="W2" s="169"/>
      <c r="X2" s="173"/>
      <c r="Y2" s="167"/>
      <c r="Z2" s="168"/>
      <c r="AA2" s="174"/>
      <c r="AC2" s="709"/>
    </row>
    <row r="3" spans="1:29" s="178" customFormat="1" ht="16.5" thickBot="1">
      <c r="A3" s="175"/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7"/>
      <c r="Q3" s="175"/>
      <c r="R3" s="176"/>
      <c r="S3" s="176"/>
      <c r="T3" s="176"/>
      <c r="U3" s="176"/>
      <c r="V3" s="176"/>
      <c r="W3" s="176"/>
      <c r="X3" s="176"/>
      <c r="Y3" s="176"/>
      <c r="Z3" s="176"/>
      <c r="AA3" s="176"/>
      <c r="AC3" s="710"/>
    </row>
    <row r="4" spans="1:29" s="371" customFormat="1" ht="16.5" thickBot="1">
      <c r="A4" s="773"/>
      <c r="B4" s="775" t="s">
        <v>33</v>
      </c>
      <c r="C4" s="777" t="s">
        <v>34</v>
      </c>
      <c r="D4" s="779" t="s">
        <v>35</v>
      </c>
      <c r="E4" s="781">
        <v>0.04</v>
      </c>
      <c r="F4" s="782"/>
      <c r="G4" s="782"/>
      <c r="H4" s="783"/>
      <c r="I4" s="781">
        <v>0.08</v>
      </c>
      <c r="J4" s="782"/>
      <c r="K4" s="782"/>
      <c r="L4" s="783"/>
      <c r="M4" s="781">
        <v>0.12</v>
      </c>
      <c r="N4" s="782"/>
      <c r="O4" s="782"/>
      <c r="P4" s="783"/>
      <c r="Q4" s="784">
        <v>0.16</v>
      </c>
      <c r="R4" s="785"/>
      <c r="S4" s="785"/>
      <c r="T4" s="786"/>
      <c r="U4" s="784">
        <v>0.24</v>
      </c>
      <c r="V4" s="785"/>
      <c r="W4" s="785"/>
      <c r="X4" s="786"/>
      <c r="Y4" s="787" t="s">
        <v>36</v>
      </c>
      <c r="Z4" s="789" t="s">
        <v>269</v>
      </c>
      <c r="AA4" s="791" t="s">
        <v>38</v>
      </c>
      <c r="AC4" s="711"/>
    </row>
    <row r="5" spans="1:29" ht="42.75" thickBot="1">
      <c r="A5" s="774"/>
      <c r="B5" s="776"/>
      <c r="C5" s="778"/>
      <c r="D5" s="780"/>
      <c r="E5" s="372" t="s">
        <v>39</v>
      </c>
      <c r="F5" s="373" t="s">
        <v>40</v>
      </c>
      <c r="G5" s="373" t="s">
        <v>41</v>
      </c>
      <c r="H5" s="374" t="s">
        <v>70</v>
      </c>
      <c r="I5" s="375" t="s">
        <v>39</v>
      </c>
      <c r="J5" s="373" t="s">
        <v>40</v>
      </c>
      <c r="K5" s="373" t="s">
        <v>41</v>
      </c>
      <c r="L5" s="374" t="s">
        <v>70</v>
      </c>
      <c r="M5" s="375" t="s">
        <v>39</v>
      </c>
      <c r="N5" s="373" t="s">
        <v>40</v>
      </c>
      <c r="O5" s="373" t="s">
        <v>41</v>
      </c>
      <c r="P5" s="374" t="s">
        <v>70</v>
      </c>
      <c r="Q5" s="375" t="s">
        <v>39</v>
      </c>
      <c r="R5" s="373" t="s">
        <v>40</v>
      </c>
      <c r="S5" s="373" t="s">
        <v>41</v>
      </c>
      <c r="T5" s="374" t="s">
        <v>70</v>
      </c>
      <c r="U5" s="375" t="s">
        <v>39</v>
      </c>
      <c r="V5" s="373" t="s">
        <v>40</v>
      </c>
      <c r="W5" s="373" t="s">
        <v>41</v>
      </c>
      <c r="X5" s="376" t="s">
        <v>70</v>
      </c>
      <c r="Y5" s="788"/>
      <c r="Z5" s="790"/>
      <c r="AA5" s="792"/>
    </row>
    <row r="6" spans="1:29" ht="18.75">
      <c r="A6" s="755">
        <v>1</v>
      </c>
      <c r="B6" s="237"/>
      <c r="C6" s="758">
        <f>INDEX(база!$E$2:$E$81, MATCH(B11,база!$B$2:$B$50,0))</f>
        <v>15118</v>
      </c>
      <c r="D6" s="761">
        <f>INDEX(база!$D$2:$D$89, MATCH(B11,база!$B$2:$B$50,0))</f>
        <v>4</v>
      </c>
      <c r="E6" s="377">
        <f>IF(D6&lt;=3,база!$I$4,
IF(D6=4,база!$I$5,
IF(D6=5,база!$I$6)))</f>
        <v>207.5112</v>
      </c>
      <c r="F6" s="378">
        <v>1</v>
      </c>
      <c r="G6" s="379">
        <f>SUMIFS(Таблица1[Столбец1],Таблица1[коэф],"1",Таблица1[р/р],"2/4",Таблица1[Ф. И. О.],B11)</f>
        <v>0</v>
      </c>
      <c r="H6" s="380">
        <f>ROUND(E6*F6*G6*2,2)</f>
        <v>0</v>
      </c>
      <c r="I6" s="381">
        <f>IF(D6&lt;=3,база!$J$4,
IF(D6=4,база!$J$5,
IF(D6=5,база!$J$6)))</f>
        <v>215.4924</v>
      </c>
      <c r="J6" s="378">
        <v>1</v>
      </c>
      <c r="K6" s="382">
        <f>SUMIFS(Таблица1[Столбец1],Таблица1[коэф],"1",Таблица1[р/р],"2/8",Таблица1[Ф. И. О.],B11)</f>
        <v>0</v>
      </c>
      <c r="L6" s="516">
        <f>ROUND(I6*J6*K6*2,2)</f>
        <v>0</v>
      </c>
      <c r="M6" s="384"/>
      <c r="N6" s="382">
        <v>1</v>
      </c>
      <c r="O6" s="382">
        <f>SUMIFS(Data_Tech!$AM$3:$AM$67,Data_Tech!$E$3:$E$67,"1",Data_Tech!$G$3:$G$67,"3/12",Data_Tech!$F$3:$F$67,B11)</f>
        <v>0</v>
      </c>
      <c r="P6" s="385">
        <f>ROUND(M6*N6*O6,2)</f>
        <v>0</v>
      </c>
      <c r="Q6" s="386">
        <f>IF(D6&lt;=3,база!$L$4,
IF(D6=4,база!$L$5,
IF(D6=5,база!$L$6)))</f>
        <v>231.45480000000001</v>
      </c>
      <c r="R6" s="378">
        <v>1</v>
      </c>
      <c r="S6" s="489">
        <f>SUMIFS(Таблица1[Столбец1],Таблица1[коэф],"1",Таблица1[р/р],"3/16",Таблица1[Ф. И. О.],B11)</f>
        <v>0</v>
      </c>
      <c r="T6" s="490">
        <f>ROUND(Q6*R6*S6*2,2)</f>
        <v>0</v>
      </c>
      <c r="U6" s="388">
        <f>IF(D6&lt;=3,база!$M$4,
IF(D6=4,база!$M$5,
IF(D6=5,база!$M$6)))</f>
        <v>247.41720000000001</v>
      </c>
      <c r="V6" s="378">
        <v>1</v>
      </c>
      <c r="W6" s="489">
        <f>SUMIFS(Таблица1[Столбец1],Таблица1[коэф],"1",Таблица1[р/р],"3/24",Таблица1[Ф. И. О.],B11)</f>
        <v>0</v>
      </c>
      <c r="X6" s="490">
        <f>ROUND(U6*V6*W6*2,2)</f>
        <v>0</v>
      </c>
      <c r="Y6" s="793">
        <f>SUM(G6:G16,K6:K16,O6:O16,S6:S16,W6:W16)</f>
        <v>0</v>
      </c>
      <c r="Z6" s="768">
        <f>IFERROR(SUM(H6:H16,L6:L16,T6:T16,X6:X16),"")</f>
        <v>0</v>
      </c>
      <c r="AA6" s="755"/>
    </row>
    <row r="7" spans="1:29" ht="18.75">
      <c r="A7" s="756"/>
      <c r="C7" s="759"/>
      <c r="D7" s="762"/>
      <c r="E7" s="389">
        <f>IF(D6&lt;=3,база!$I$4,
IF(D6=4,база!$I$5,
IF(D6=5,база!$I$6)))</f>
        <v>207.5112</v>
      </c>
      <c r="F7" s="390">
        <v>1</v>
      </c>
      <c r="G7" s="391">
        <f>SUMIFS(Таблица1[Столбец1],Таблица1[коэф],"1",Таблица1[р/р],"3/4",Таблица1[Ф. И. О.],B11)</f>
        <v>0</v>
      </c>
      <c r="H7" s="392">
        <f t="shared" ref="H7:H70" si="0">ROUND(E7*F7*G7*2,2)</f>
        <v>0</v>
      </c>
      <c r="I7" s="393">
        <f>IF(D6&lt;=3,база!$J$4,
IF(D6=4,база!$J$5,
IF(D6=5,база!$J$6)))</f>
        <v>215.4924</v>
      </c>
      <c r="J7" s="390">
        <v>1</v>
      </c>
      <c r="K7" s="394">
        <f>SUMIFS(Таблица1[Столбец1],Таблица1[коэф],"1",Таблица1[р/р],"3/8",Таблица1[Ф. И. О.],B11)</f>
        <v>0</v>
      </c>
      <c r="L7" s="395">
        <f t="shared" ref="L7:L70" si="1">ROUND(I7*J7*K7*2,2)</f>
        <v>0</v>
      </c>
      <c r="M7" s="405"/>
      <c r="N7" s="394">
        <v>1</v>
      </c>
      <c r="O7" s="394">
        <f>SUMIFS(Data_Tech!$AM$3:$AM$67,Data_Tech!$E$3:$E$67,"1",Data_Tech!$G$3:$G$67,"4/12",Data_Tech!$F$3:$F$67,B11)</f>
        <v>0</v>
      </c>
      <c r="P7" s="406">
        <f>ROUND(M7*O7,2)</f>
        <v>0</v>
      </c>
      <c r="Q7" s="399">
        <f>база!$L$5</f>
        <v>231.45480000000001</v>
      </c>
      <c r="R7" s="390">
        <v>1</v>
      </c>
      <c r="S7" s="491">
        <f>SUMIFS(Таблица1[Столбец1],Таблица1[коэф],"1",Таблица1[р/р],"4/16",Таблица1[Ф. И. О.],B11)</f>
        <v>0</v>
      </c>
      <c r="T7" s="493">
        <f t="shared" ref="T7:T70" si="2">ROUND(Q7*R7*S7*2,2)</f>
        <v>0</v>
      </c>
      <c r="U7" s="401">
        <f>база!$M$5</f>
        <v>247.41720000000001</v>
      </c>
      <c r="V7" s="390">
        <v>1</v>
      </c>
      <c r="W7" s="491">
        <f>SUMIFS(Таблица1[Столбец1],Таблица1[коэф],"1",Таблица1[р/р],"4/24",Таблица1[Ф. И. О.],B11)</f>
        <v>0</v>
      </c>
      <c r="X7" s="493">
        <f t="shared" ref="X7:X70" si="3">ROUND(U7*V7*W7*2,2)</f>
        <v>0</v>
      </c>
      <c r="Y7" s="764"/>
      <c r="Z7" s="766"/>
      <c r="AA7" s="756"/>
    </row>
    <row r="8" spans="1:29" ht="18.75">
      <c r="A8" s="756"/>
      <c r="C8" s="759"/>
      <c r="D8" s="762"/>
      <c r="E8" s="389"/>
      <c r="F8" s="390"/>
      <c r="G8" s="391"/>
      <c r="H8" s="440">
        <f t="shared" si="0"/>
        <v>0</v>
      </c>
      <c r="I8" s="393"/>
      <c r="J8" s="390"/>
      <c r="K8" s="394"/>
      <c r="L8" s="395">
        <f t="shared" si="1"/>
        <v>0</v>
      </c>
      <c r="M8" s="405"/>
      <c r="N8" s="394"/>
      <c r="O8" s="394"/>
      <c r="P8" s="406"/>
      <c r="Q8" s="399">
        <f>база!$L$6</f>
        <v>261.04640000000001</v>
      </c>
      <c r="R8" s="390">
        <v>1</v>
      </c>
      <c r="S8" s="491">
        <f>SUMIFS(Таблица1[Столбец1],Таблица1[коэф],"1",Таблица1[р/р],"5/16",Таблица1[Ф. И. О.],B11)</f>
        <v>0</v>
      </c>
      <c r="T8" s="493"/>
      <c r="U8" s="401">
        <f>база!$M$6</f>
        <v>279.0496</v>
      </c>
      <c r="V8" s="390">
        <v>1</v>
      </c>
      <c r="W8" s="491">
        <f>SUMIFS(Таблица1[Столбец1],Таблица1[коэф],"1",Таблица1[р/р],"5/24",Таблица1[Ф. И. О.],B11)</f>
        <v>0</v>
      </c>
      <c r="X8" s="493">
        <f t="shared" si="3"/>
        <v>0</v>
      </c>
      <c r="Y8" s="764"/>
      <c r="Z8" s="766"/>
      <c r="AA8" s="756"/>
    </row>
    <row r="9" spans="1:29" ht="18.75">
      <c r="A9" s="756"/>
      <c r="B9" s="215"/>
      <c r="C9" s="759"/>
      <c r="D9" s="762"/>
      <c r="E9" s="389"/>
      <c r="F9" s="390"/>
      <c r="G9" s="391"/>
      <c r="H9" s="409">
        <f t="shared" si="0"/>
        <v>0</v>
      </c>
      <c r="I9" s="393">
        <f>база!$J$5</f>
        <v>215.4924</v>
      </c>
      <c r="J9" s="390">
        <v>1.5</v>
      </c>
      <c r="K9" s="394">
        <f>SUMIFS(Таблица1[Столбец1],Таблица1[коэф],"1,5",Таблица1[р/р],"4/8",Таблица1[Ф. И. О.],B11)</f>
        <v>0</v>
      </c>
      <c r="L9" s="395">
        <f t="shared" si="1"/>
        <v>0</v>
      </c>
      <c r="M9" s="405"/>
      <c r="N9" s="394"/>
      <c r="O9" s="394"/>
      <c r="P9" s="406"/>
      <c r="Q9" s="399">
        <f>IF(D6&lt;=3,база!$L$4,
IF(D6=4,база!$L$5,
IF(D6=5,база!$L$6)))</f>
        <v>231.45480000000001</v>
      </c>
      <c r="R9" s="390">
        <v>1.2</v>
      </c>
      <c r="S9" s="491">
        <f>SUMIFS(Таблица1[Столбец1],Таблица1[коэф],"1,2",Таблица1[р/р],"3/16",Таблица1[Ф. И. О.],B11)</f>
        <v>0</v>
      </c>
      <c r="T9" s="493">
        <f t="shared" si="2"/>
        <v>0</v>
      </c>
      <c r="U9" s="401">
        <f>IF(D6&lt;=3,база!$M$4,
IF(D6=4,база!$M$5,
IF(D6=5,база!$M$6)))</f>
        <v>247.41720000000001</v>
      </c>
      <c r="V9" s="390">
        <v>1.2</v>
      </c>
      <c r="W9" s="491">
        <f>SUMIFS(Таблица1[Столбец1],Таблица1[коэф],"1,2",Таблица1[р/р],"3/24",Таблица1[Ф. И. О.],B11)</f>
        <v>0</v>
      </c>
      <c r="X9" s="493">
        <f t="shared" si="3"/>
        <v>0</v>
      </c>
      <c r="Y9" s="764"/>
      <c r="Z9" s="766"/>
      <c r="AA9" s="756"/>
    </row>
    <row r="10" spans="1:29" ht="18.75">
      <c r="A10" s="756"/>
      <c r="B10" s="215"/>
      <c r="C10" s="759"/>
      <c r="D10" s="762"/>
      <c r="E10" s="389"/>
      <c r="F10" s="390"/>
      <c r="G10" s="391"/>
      <c r="H10" s="409">
        <f t="shared" si="0"/>
        <v>0</v>
      </c>
      <c r="I10" s="393">
        <f>база!$J$6</f>
        <v>243.04319999999998</v>
      </c>
      <c r="J10" s="390">
        <v>1.5</v>
      </c>
      <c r="K10" s="394">
        <f>SUMIFS(Таблица1[Столбец1],Таблица1[коэф],"1,5",Таблица1[р/р],"5/8",Таблица1[Ф. И. О.],B11)</f>
        <v>0</v>
      </c>
      <c r="L10" s="424">
        <f t="shared" si="1"/>
        <v>0</v>
      </c>
      <c r="M10" s="405"/>
      <c r="N10" s="394"/>
      <c r="O10" s="394"/>
      <c r="P10" s="406"/>
      <c r="Q10" s="399">
        <f>база!$L$5</f>
        <v>231.45480000000001</v>
      </c>
      <c r="R10" s="403">
        <v>1.2</v>
      </c>
      <c r="S10" s="491">
        <f>SUMIFS(Таблица1[Столбец1],Таблица1[коэф],"1,2",Таблица1[р/р],"4/16",Таблица1[Ф. И. О.],B11)</f>
        <v>0</v>
      </c>
      <c r="T10" s="508"/>
      <c r="U10" s="401">
        <f>база!$M$5</f>
        <v>247.41720000000001</v>
      </c>
      <c r="V10" s="403">
        <v>1.2</v>
      </c>
      <c r="W10" s="491">
        <f>SUMIFS(Таблица1[Столбец1],Таблица1[коэф],"1,2",Таблица1[р/р],"4/24",Таблица1[Ф. И. О.],B11)</f>
        <v>0</v>
      </c>
      <c r="X10" s="508">
        <f t="shared" si="3"/>
        <v>0</v>
      </c>
      <c r="Y10" s="764"/>
      <c r="Z10" s="766"/>
      <c r="AA10" s="756"/>
    </row>
    <row r="11" spans="1:29" ht="18.75">
      <c r="A11" s="756"/>
      <c r="B11" s="215" t="str">
        <f>база!B2</f>
        <v>Авдокушина Елена Николаевна</v>
      </c>
      <c r="C11" s="759"/>
      <c r="D11" s="762"/>
      <c r="E11" s="389"/>
      <c r="F11" s="390"/>
      <c r="G11" s="391"/>
      <c r="H11" s="392">
        <f t="shared" si="0"/>
        <v>0</v>
      </c>
      <c r="I11" s="393"/>
      <c r="J11" s="390"/>
      <c r="K11" s="394"/>
      <c r="L11" s="395">
        <f t="shared" si="1"/>
        <v>0</v>
      </c>
      <c r="M11" s="396"/>
      <c r="N11" s="397"/>
      <c r="O11" s="397"/>
      <c r="P11" s="398"/>
      <c r="Q11" s="399">
        <f>база!$L$6</f>
        <v>261.04640000000001</v>
      </c>
      <c r="R11" s="390">
        <v>1.2</v>
      </c>
      <c r="S11" s="491">
        <f>SUMIFS(Таблица1[Столбец1],Таблица1[коэф],"1,2",Таблица1[р/р],"5/16",Таблица1[Ф. И. О.],B11)</f>
        <v>0</v>
      </c>
      <c r="T11" s="493">
        <f t="shared" si="2"/>
        <v>0</v>
      </c>
      <c r="U11" s="404">
        <f>база!$M$6</f>
        <v>279.0496</v>
      </c>
      <c r="V11" s="390">
        <v>1.2</v>
      </c>
      <c r="W11" s="491">
        <f>SUMIFS(Таблица1[Столбец1],Таблица1[коэф],"1,2",Таблица1[р/р],"5/24",Таблица1[Ф. И. О.],B11)</f>
        <v>0</v>
      </c>
      <c r="X11" s="493">
        <f t="shared" si="3"/>
        <v>0</v>
      </c>
      <c r="Y11" s="764"/>
      <c r="Z11" s="766"/>
      <c r="AA11" s="756"/>
      <c r="AC11" s="712" t="str">
        <f>IF(SUMIFS(Таблица1[Столбец3],Таблица1[Ф. И. О.],B11)-Z6=0,"",SUMIFS(Таблица1[Столбец3],Таблица1[Ф. И. О.],B11)-Z6)</f>
        <v/>
      </c>
    </row>
    <row r="12" spans="1:29" ht="18.75">
      <c r="A12" s="756"/>
      <c r="C12" s="759"/>
      <c r="D12" s="762"/>
      <c r="E12" s="389"/>
      <c r="F12" s="390"/>
      <c r="G12" s="391"/>
      <c r="H12" s="392">
        <f t="shared" si="0"/>
        <v>0</v>
      </c>
      <c r="I12" s="451"/>
      <c r="J12" s="417"/>
      <c r="K12" s="397"/>
      <c r="L12" s="395">
        <f t="shared" si="1"/>
        <v>0</v>
      </c>
      <c r="M12" s="396"/>
      <c r="N12" s="397"/>
      <c r="O12" s="397"/>
      <c r="P12" s="398"/>
      <c r="Q12" s="443">
        <f>IF(D6&lt;=3,база!$L$4,
IF(D6=4,база!$L$5,
IF(D6=5,база!$L$6)))</f>
        <v>231.45480000000001</v>
      </c>
      <c r="R12" s="438">
        <v>1.3</v>
      </c>
      <c r="S12" s="509">
        <f>SUMIFS(Таблица1[Столбец1],Таблица1[коэф],"1,3",Таблица1[р/р],"3/16",Таблица1[Ф. И. О.],B11)</f>
        <v>0</v>
      </c>
      <c r="T12" s="493"/>
      <c r="U12" s="454">
        <f>IF(D6&lt;=3,база!$M$4,
IF(D6=4,база!$M$5,
IF(D6=5,база!$M$6)))</f>
        <v>247.41720000000001</v>
      </c>
      <c r="V12" s="517">
        <v>1.3</v>
      </c>
      <c r="W12" s="500">
        <f>SUMIFS(Таблица1[Столбец1],Таблица1[коэф],"1,3",Таблица1[р/р],"3/24",Таблица1[Ф. И. О.],B11)</f>
        <v>0</v>
      </c>
      <c r="X12" s="493">
        <f t="shared" si="3"/>
        <v>0</v>
      </c>
      <c r="Y12" s="770"/>
      <c r="Z12" s="766"/>
      <c r="AA12" s="756"/>
      <c r="AC12" s="712" t="str">
        <f>IF(SUMIFS(Таблица1[Столбец1],Таблица1[Ф. И. О.],B11)=Y6,"",B11&amp;"  часы не верны")</f>
        <v/>
      </c>
    </row>
    <row r="13" spans="1:29" ht="18.75">
      <c r="A13" s="756"/>
      <c r="B13" s="215"/>
      <c r="C13" s="759"/>
      <c r="D13" s="762"/>
      <c r="E13" s="389"/>
      <c r="F13" s="390"/>
      <c r="G13" s="391"/>
      <c r="H13" s="392">
        <f t="shared" si="0"/>
        <v>0</v>
      </c>
      <c r="I13" s="393"/>
      <c r="J13" s="390"/>
      <c r="K13" s="394"/>
      <c r="L13" s="395">
        <f t="shared" si="1"/>
        <v>0</v>
      </c>
      <c r="M13" s="413"/>
      <c r="N13" s="414"/>
      <c r="O13" s="414"/>
      <c r="P13" s="415"/>
      <c r="Q13" s="399">
        <f>база!$L$5</f>
        <v>231.45480000000001</v>
      </c>
      <c r="R13" s="390">
        <v>1.3</v>
      </c>
      <c r="S13" s="491">
        <f>SUMIFS(Таблица1[Столбец1],Таблица1[коэф],"1,3",Таблица1[р/р],"4/16",Таблица1[Ф. И. О.],B11)</f>
        <v>0</v>
      </c>
      <c r="T13" s="493"/>
      <c r="U13" s="410">
        <f>база!$M$5</f>
        <v>247.41720000000001</v>
      </c>
      <c r="V13" s="411">
        <v>1.3</v>
      </c>
      <c r="W13" s="494">
        <f>SUMIFS(Таблица1[Столбец1],Таблица1[коэф],"1,3",Таблица1[р/р],"4/24",Таблица1[Ф. И. О.],B11)</f>
        <v>0</v>
      </c>
      <c r="X13" s="493">
        <f t="shared" si="3"/>
        <v>0</v>
      </c>
      <c r="Y13" s="770"/>
      <c r="Z13" s="766"/>
      <c r="AA13" s="756"/>
    </row>
    <row r="14" spans="1:29" ht="18.75">
      <c r="A14" s="756"/>
      <c r="B14" s="215"/>
      <c r="C14" s="759"/>
      <c r="D14" s="762"/>
      <c r="E14" s="389"/>
      <c r="F14" s="390"/>
      <c r="G14" s="391"/>
      <c r="H14" s="392">
        <f t="shared" si="0"/>
        <v>0</v>
      </c>
      <c r="I14" s="393"/>
      <c r="J14" s="390"/>
      <c r="K14" s="394"/>
      <c r="L14" s="395">
        <f t="shared" si="1"/>
        <v>0</v>
      </c>
      <c r="M14" s="413"/>
      <c r="N14" s="414"/>
      <c r="O14" s="414"/>
      <c r="P14" s="415"/>
      <c r="Q14" s="416">
        <f>IF(D6&lt;=3,база!$L$4,
IF(D6=4,база!$L$5,
IF(D6=5,база!$L$6)))</f>
        <v>231.45480000000001</v>
      </c>
      <c r="R14" s="417">
        <v>1.4</v>
      </c>
      <c r="S14" s="495">
        <f>SUMIFS(Таблица1[Столбец1],Таблица1[коэф],"1,4",Таблица1[р/р],"3/16",Таблица1[Ф. И. О.],B11)</f>
        <v>0</v>
      </c>
      <c r="T14" s="493">
        <f t="shared" si="2"/>
        <v>0</v>
      </c>
      <c r="U14" s="419">
        <f>IF(D6&lt;=3,база!$M$4,
IF(D6=4,база!$M$5,
IF(D6=5,база!$M$6)))</f>
        <v>247.41720000000001</v>
      </c>
      <c r="V14" s="417">
        <v>1.4</v>
      </c>
      <c r="W14" s="495">
        <f>SUMIFS(Таблица1[Столбец1],Таблица1[коэф],"1,4",Таблица1[р/р],"3/24",Таблица1[Ф. И. О.],B11)</f>
        <v>0</v>
      </c>
      <c r="X14" s="493">
        <f t="shared" si="3"/>
        <v>0</v>
      </c>
      <c r="Y14" s="770"/>
      <c r="Z14" s="766"/>
      <c r="AA14" s="756"/>
    </row>
    <row r="15" spans="1:29" ht="18.75">
      <c r="A15" s="756"/>
      <c r="B15" s="215"/>
      <c r="C15" s="759"/>
      <c r="D15" s="762"/>
      <c r="E15" s="420"/>
      <c r="F15" s="403"/>
      <c r="G15" s="421"/>
      <c r="H15" s="392">
        <f t="shared" si="0"/>
        <v>0</v>
      </c>
      <c r="I15" s="422"/>
      <c r="J15" s="403"/>
      <c r="K15" s="423"/>
      <c r="L15" s="395">
        <f t="shared" si="1"/>
        <v>0</v>
      </c>
      <c r="M15" s="413"/>
      <c r="N15" s="414"/>
      <c r="O15" s="414"/>
      <c r="P15" s="415"/>
      <c r="Q15" s="399">
        <f>база!$L$5</f>
        <v>231.45480000000001</v>
      </c>
      <c r="R15" s="390">
        <v>1.4</v>
      </c>
      <c r="S15" s="491">
        <f>SUMIFS(Таблица1[Столбец1],Таблица1[коэф],"1,4",Таблица1[р/р],"4/16",Таблица1[Ф. И. О.],B11)</f>
        <v>0</v>
      </c>
      <c r="T15" s="493">
        <f t="shared" si="2"/>
        <v>0</v>
      </c>
      <c r="U15" s="401">
        <f>база!$M$5</f>
        <v>247.41720000000001</v>
      </c>
      <c r="V15" s="390">
        <v>1.4</v>
      </c>
      <c r="W15" s="491">
        <f>SUMIFS(Таблица1[Столбец1],Таблица1[коэф],"1,4",Таблица1[р/р],"4/24",Таблица1[Ф. И. О.],B11)</f>
        <v>0</v>
      </c>
      <c r="X15" s="493">
        <f t="shared" si="3"/>
        <v>0</v>
      </c>
      <c r="Y15" s="770"/>
      <c r="Z15" s="766"/>
      <c r="AA15" s="756"/>
    </row>
    <row r="16" spans="1:29" ht="19.5" thickBot="1">
      <c r="A16" s="757"/>
      <c r="B16" s="202"/>
      <c r="C16" s="760"/>
      <c r="D16" s="763"/>
      <c r="E16" s="420"/>
      <c r="F16" s="403"/>
      <c r="G16" s="421"/>
      <c r="H16" s="402">
        <f t="shared" si="0"/>
        <v>0</v>
      </c>
      <c r="I16" s="514"/>
      <c r="J16" s="403"/>
      <c r="K16" s="423"/>
      <c r="L16" s="484">
        <f t="shared" si="1"/>
        <v>0</v>
      </c>
      <c r="M16" s="413"/>
      <c r="N16" s="414"/>
      <c r="O16" s="414"/>
      <c r="P16" s="415"/>
      <c r="Q16" s="407">
        <f>база!$L$6</f>
        <v>261.04640000000001</v>
      </c>
      <c r="R16" s="403">
        <v>1.4</v>
      </c>
      <c r="S16" s="507">
        <f>SUMIFS(Таблица1[Столбец1],Таблица1[коэф],"1,4",Таблица1[р/р],"5/16",Таблица1[Ф. И. О.],B11)</f>
        <v>0</v>
      </c>
      <c r="T16" s="492">
        <f t="shared" si="2"/>
        <v>0</v>
      </c>
      <c r="U16" s="425">
        <f>база!$M$6</f>
        <v>279.0496</v>
      </c>
      <c r="V16" s="403">
        <v>1.4</v>
      </c>
      <c r="W16" s="496">
        <f>SUMIFS(Таблица1[Столбец1],Таблица1[коэф],"1,4",Таблица1[р/р],"5/24",Таблица1[Ф. И. О.],B11)</f>
        <v>0</v>
      </c>
      <c r="X16" s="492">
        <f t="shared" si="3"/>
        <v>0</v>
      </c>
      <c r="Y16" s="771"/>
      <c r="Z16" s="767"/>
      <c r="AA16" s="757"/>
    </row>
    <row r="17" spans="1:29" ht="20.25" customHeight="1">
      <c r="A17" s="755">
        <v>2</v>
      </c>
      <c r="B17" s="215"/>
      <c r="C17" s="758">
        <f>INDEX(база!$E$2:$E$81, MATCH(B22,база!$B$2:$B$50,0))</f>
        <v>15799</v>
      </c>
      <c r="D17" s="761">
        <f>INDEX(база!$D$2:$D$89, MATCH(B22,база!$B$2:$B$50,0))</f>
        <v>3</v>
      </c>
      <c r="E17" s="377">
        <f>IF(D17&lt;=3,база!$I$4,
IF(D17=4,база!$I$5,
IF(D17=5,база!$I$6)))</f>
        <v>188.7912</v>
      </c>
      <c r="F17" s="378">
        <v>1</v>
      </c>
      <c r="G17" s="387">
        <f>SUMIFS(Таблица1[Столбец1],Таблица1[коэф],"1",Таблица1[р/р],"2/4",Таблица1[Ф. И. О.],B22)</f>
        <v>0</v>
      </c>
      <c r="H17" s="518">
        <f t="shared" si="0"/>
        <v>0</v>
      </c>
      <c r="I17" s="381">
        <f>IF(D17&lt;=3,база!$J$4,
IF(D17=4,база!$J$5,
IF(D17=5,база!$J$6)))</f>
        <v>196.05240000000001</v>
      </c>
      <c r="J17" s="378">
        <v>1</v>
      </c>
      <c r="K17" s="428">
        <f>SUMIFS(Таблица1[Столбец1],Таблица1[коэф],"1",Таблица1[р/р],"2/8",Таблица1[Ф. И. О.],B22)</f>
        <v>0</v>
      </c>
      <c r="L17" s="383">
        <f t="shared" si="1"/>
        <v>0</v>
      </c>
      <c r="M17" s="426"/>
      <c r="N17" s="428">
        <v>1</v>
      </c>
      <c r="O17" s="428">
        <f>SUMIFS(Data_Tech!$AM$3:$AM$67,Data_Tech!$E$3:$E$67,"1",Data_Tech!$G$3:$G$67,"3/12",Data_Tech!$F$3:$F$67,B22)</f>
        <v>0</v>
      </c>
      <c r="P17" s="385">
        <f>ROUND(M17*N17*O17,2)</f>
        <v>0</v>
      </c>
      <c r="Q17" s="429">
        <f>IF(D17&lt;=3,база!$L$4,
IF(D17=4,база!$L$5,
IF(D17=5,база!$L$6)))</f>
        <v>210.57480000000001</v>
      </c>
      <c r="R17" s="429">
        <v>1</v>
      </c>
      <c r="S17" s="497">
        <f>SUMIFS(Таблица1[Столбец1],Таблица1[коэф],"1",Таблица1[р/р],"3/16",Таблица1[Ф. И. О.],B22)</f>
        <v>0</v>
      </c>
      <c r="T17" s="490">
        <f t="shared" si="2"/>
        <v>0</v>
      </c>
      <c r="U17" s="431">
        <f>IF(D17&lt;=3,база!$M$4,
IF(D17=4,база!$M$5,
IF(D17=5,база!$M$6)))</f>
        <v>225.09719999999999</v>
      </c>
      <c r="V17" s="378">
        <v>1</v>
      </c>
      <c r="W17" s="497">
        <f>SUMIFS(Таблица1[Столбец1],Таблица1[коэф],"1",Таблица1[р/р],"3/24",Таблица1[Ф. И. О.],B22)</f>
        <v>0</v>
      </c>
      <c r="X17" s="490">
        <f t="shared" si="3"/>
        <v>0</v>
      </c>
      <c r="Y17" s="764">
        <f>SUM(G17:G27,K17:K27,O17:O27,S17:S27,W17:W27)</f>
        <v>0</v>
      </c>
      <c r="Z17" s="766">
        <f>IFERROR(SUM(H17:H27,L17:L27,T17:T27,X17:X27),"")</f>
        <v>0</v>
      </c>
      <c r="AA17" s="756"/>
    </row>
    <row r="18" spans="1:29" ht="20.25" customHeight="1">
      <c r="A18" s="756"/>
      <c r="B18" s="215"/>
      <c r="C18" s="759"/>
      <c r="D18" s="762"/>
      <c r="E18" s="389">
        <f>IF(D17&lt;=3,база!$I$4,
IF(D17=4,база!$I$5,
IF(D17=5,база!$I$6)))</f>
        <v>188.7912</v>
      </c>
      <c r="F18" s="390">
        <v>1</v>
      </c>
      <c r="G18" s="400">
        <f>SUMIFS(Таблица1[Столбец1],Таблица1[коэф],"1",Таблица1[р/р],"3/4",Таблица1[Ф. И. О.],B22)</f>
        <v>0</v>
      </c>
      <c r="H18" s="392">
        <f t="shared" si="0"/>
        <v>0</v>
      </c>
      <c r="I18" s="393">
        <f>IF(D17&lt;=3,база!$J$4,
IF(D17=4,база!$J$5,
IF(D17=5,база!$J$6)))</f>
        <v>196.05240000000001</v>
      </c>
      <c r="J18" s="390">
        <v>1</v>
      </c>
      <c r="K18" s="434">
        <f>SUMIFS(Таблица1[Столбец1],Таблица1[коэф],"1",Таблица1[р/р],"3/8",Таблица1[Ф. И. О.],B22)</f>
        <v>0</v>
      </c>
      <c r="L18" s="395">
        <f t="shared" si="1"/>
        <v>0</v>
      </c>
      <c r="M18" s="432"/>
      <c r="N18" s="434">
        <v>1</v>
      </c>
      <c r="O18" s="434">
        <f>SUMIFS(Data_Tech!$AM$3:$AM$67,Data_Tech!$E$3:$E$67,"1",Data_Tech!$G$3:$G$67,"4/12",Data_Tech!$F$3:$F$67,B22)</f>
        <v>0</v>
      </c>
      <c r="P18" s="406">
        <f>ROUND(M18*O18,2)</f>
        <v>0</v>
      </c>
      <c r="Q18" s="435">
        <f>база!$L$5</f>
        <v>231.45480000000001</v>
      </c>
      <c r="R18" s="435">
        <v>1</v>
      </c>
      <c r="S18" s="494">
        <f>SUMIFS(Таблица1[Столбец1],Таблица1[коэф],"1",Таблица1[р/р],"4/16",Таблица1[Ф. И. О.],B22)</f>
        <v>0</v>
      </c>
      <c r="T18" s="493">
        <f t="shared" si="2"/>
        <v>0</v>
      </c>
      <c r="U18" s="436">
        <f>база!$M$5</f>
        <v>247.41720000000001</v>
      </c>
      <c r="V18" s="390">
        <v>1</v>
      </c>
      <c r="W18" s="494">
        <f>SUMIFS(Таблица1[Столбец1],Таблица1[коэф],"1",Таблица1[р/р],"4/24",Таблица1[Ф. И. О.],B22)</f>
        <v>0</v>
      </c>
      <c r="X18" s="493">
        <f t="shared" si="3"/>
        <v>0</v>
      </c>
      <c r="Y18" s="764"/>
      <c r="Z18" s="766"/>
      <c r="AA18" s="756"/>
    </row>
    <row r="19" spans="1:29" ht="20.25" customHeight="1">
      <c r="A19" s="756"/>
      <c r="B19" s="215"/>
      <c r="C19" s="759"/>
      <c r="D19" s="762"/>
      <c r="E19" s="389"/>
      <c r="F19" s="390"/>
      <c r="G19" s="400"/>
      <c r="H19" s="392">
        <f t="shared" si="0"/>
        <v>0</v>
      </c>
      <c r="I19" s="393"/>
      <c r="J19" s="390"/>
      <c r="K19" s="434"/>
      <c r="L19" s="395">
        <f t="shared" si="1"/>
        <v>0</v>
      </c>
      <c r="M19" s="432"/>
      <c r="N19" s="434"/>
      <c r="O19" s="434"/>
      <c r="P19" s="406"/>
      <c r="Q19" s="399">
        <f>база!$L$6</f>
        <v>261.04640000000001</v>
      </c>
      <c r="R19" s="390">
        <v>1</v>
      </c>
      <c r="S19" s="491">
        <f>SUMIFS(Таблица1[Столбец1],Таблица1[коэф],"1",Таблица1[р/р],"5/16",Таблица1[Ф. И. О.],B22)</f>
        <v>0</v>
      </c>
      <c r="T19" s="492">
        <f t="shared" si="2"/>
        <v>0</v>
      </c>
      <c r="U19" s="436">
        <f>база!$M$6</f>
        <v>279.0496</v>
      </c>
      <c r="V19" s="390">
        <v>1</v>
      </c>
      <c r="W19" s="494">
        <f>SUMIFS(Таблица1[Столбец1],Таблица1[коэф],"1",Таблица1[р/р],"5/24",Таблица1[Ф. И. О.],B22)</f>
        <v>0</v>
      </c>
      <c r="X19" s="493">
        <f t="shared" si="3"/>
        <v>0</v>
      </c>
      <c r="Y19" s="764"/>
      <c r="Z19" s="766"/>
      <c r="AA19" s="756"/>
    </row>
    <row r="20" spans="1:29" ht="20.25" customHeight="1">
      <c r="A20" s="756"/>
      <c r="B20" s="215"/>
      <c r="C20" s="759"/>
      <c r="D20" s="762"/>
      <c r="E20" s="437"/>
      <c r="F20" s="438"/>
      <c r="G20" s="439"/>
      <c r="H20" s="392">
        <f t="shared" si="0"/>
        <v>0</v>
      </c>
      <c r="I20" s="515">
        <f>база!$J$5</f>
        <v>215.4924</v>
      </c>
      <c r="J20" s="438">
        <v>1.5</v>
      </c>
      <c r="K20" s="442">
        <f>SUMIFS(Таблица1[Столбец1],Таблица1[коэф],"1,5",Таблица1[р/р],"4/8",Таблица1[Ф. И. О.],B22)</f>
        <v>0</v>
      </c>
      <c r="L20" s="395">
        <f t="shared" si="1"/>
        <v>0</v>
      </c>
      <c r="M20" s="441"/>
      <c r="N20" s="442"/>
      <c r="O20" s="442"/>
      <c r="P20" s="415"/>
      <c r="Q20" s="443">
        <f>IF(D17&lt;=3,база!$L$4,
IF(D17=4,база!$L$5,
IF(D17=5,база!$L$6)))</f>
        <v>210.57480000000001</v>
      </c>
      <c r="R20" s="438">
        <v>1.2</v>
      </c>
      <c r="S20" s="509">
        <f>SUMIFS(Таблица1[Столбец1],Таблица1[коэф],"1,2",Таблица1[р/р],"3/16",Таблица1[Ф. И. О.],B22)</f>
        <v>0</v>
      </c>
      <c r="T20" s="493">
        <f t="shared" si="2"/>
        <v>0</v>
      </c>
      <c r="U20" s="444">
        <f>IF(D17&lt;=3,база!$M$4,
IF(D17=4,база!$M$5,
IF(D17=5,база!$M$6)))</f>
        <v>225.09719999999999</v>
      </c>
      <c r="V20" s="438">
        <v>1.2</v>
      </c>
      <c r="W20" s="498">
        <f>SUMIFS(Таблица1[Столбец1],Таблица1[коэф],"1,2",Таблица1[р/р],"3/24",Таблица1[Ф. И. О.],B22)</f>
        <v>0</v>
      </c>
      <c r="X20" s="493">
        <f t="shared" si="3"/>
        <v>0</v>
      </c>
      <c r="Y20" s="764"/>
      <c r="Z20" s="766"/>
      <c r="AA20" s="756"/>
    </row>
    <row r="21" spans="1:29" ht="20.25" customHeight="1">
      <c r="A21" s="756"/>
      <c r="B21" s="215"/>
      <c r="C21" s="759"/>
      <c r="D21" s="762"/>
      <c r="E21" s="389"/>
      <c r="F21" s="390"/>
      <c r="G21" s="400"/>
      <c r="H21" s="392">
        <f t="shared" si="0"/>
        <v>0</v>
      </c>
      <c r="I21" s="393">
        <f>база!$J$6</f>
        <v>243.04319999999998</v>
      </c>
      <c r="J21" s="390">
        <v>1.5</v>
      </c>
      <c r="K21" s="434">
        <f>SUMIFS(Таблица1[Столбец1],Таблица1[коэф],"1,5",Таблица1[р/р],"5/8",Таблица1[Ф. И. О.],B22)</f>
        <v>0</v>
      </c>
      <c r="L21" s="395">
        <f t="shared" si="1"/>
        <v>0</v>
      </c>
      <c r="M21" s="432"/>
      <c r="N21" s="434"/>
      <c r="O21" s="434"/>
      <c r="P21" s="406"/>
      <c r="Q21" s="399">
        <f>база!$L$5</f>
        <v>231.45480000000001</v>
      </c>
      <c r="R21" s="390">
        <v>1.2</v>
      </c>
      <c r="S21" s="491">
        <f>SUMIFS(Таблица1[Столбец1],Таблица1[коэф],"1,2",Таблица1[р/р],"4/16",Таблица1[Ф. И. О.],B22)</f>
        <v>0</v>
      </c>
      <c r="T21" s="493">
        <f t="shared" si="2"/>
        <v>0</v>
      </c>
      <c r="U21" s="436">
        <f>база!$M$5</f>
        <v>247.41720000000001</v>
      </c>
      <c r="V21" s="390">
        <v>1.2</v>
      </c>
      <c r="W21" s="494">
        <f>SUMIFS(Таблица1[Столбец1],Таблица1[коэф],"1,2",Таблица1[р/р],"4/24",Таблица1[Ф. И. О.],B22)</f>
        <v>0</v>
      </c>
      <c r="X21" s="493">
        <f t="shared" si="3"/>
        <v>0</v>
      </c>
      <c r="Y21" s="764"/>
      <c r="Z21" s="766"/>
      <c r="AA21" s="756"/>
    </row>
    <row r="22" spans="1:29" ht="20.25" customHeight="1">
      <c r="A22" s="756"/>
      <c r="B22" s="215" t="str">
        <f>база!B3</f>
        <v>Аксенов Александр Юрьевич</v>
      </c>
      <c r="C22" s="759"/>
      <c r="D22" s="762"/>
      <c r="E22" s="437"/>
      <c r="F22" s="438"/>
      <c r="G22" s="439"/>
      <c r="H22" s="392">
        <f t="shared" si="0"/>
        <v>0</v>
      </c>
      <c r="I22" s="515"/>
      <c r="J22" s="438"/>
      <c r="K22" s="442"/>
      <c r="L22" s="395">
        <f t="shared" si="1"/>
        <v>0</v>
      </c>
      <c r="M22" s="441"/>
      <c r="N22" s="442"/>
      <c r="O22" s="442"/>
      <c r="P22" s="415"/>
      <c r="Q22" s="443">
        <f>база!$L$6</f>
        <v>261.04640000000001</v>
      </c>
      <c r="R22" s="438">
        <v>1.2</v>
      </c>
      <c r="S22" s="509">
        <f>SUMIFS(Таблица1[Столбец1],Таблица1[коэф],"1,2",Таблица1[р/р],"5/16",Таблица1[Ф. И. О.],B22)</f>
        <v>0</v>
      </c>
      <c r="T22" s="493">
        <f t="shared" si="2"/>
        <v>0</v>
      </c>
      <c r="U22" s="444">
        <f>база!$M$6</f>
        <v>279.0496</v>
      </c>
      <c r="V22" s="438">
        <v>1.2</v>
      </c>
      <c r="W22" s="498">
        <f>SUMIFS(Таблица1[Столбец1],Таблица1[коэф],"1,2",Таблица1[р/р],"5/24",Таблица1[Ф. И. О.],B22)</f>
        <v>0</v>
      </c>
      <c r="X22" s="493">
        <f t="shared" si="3"/>
        <v>0</v>
      </c>
      <c r="Y22" s="764"/>
      <c r="Z22" s="766"/>
      <c r="AA22" s="756"/>
      <c r="AC22" s="712" t="str">
        <f>IF(SUMIFS(Таблица1[Столбец3],Таблица1[Ф. И. О.],B22)-Z17=0,"",SUMIFS(Таблица1[Столбец3],Таблица1[Ф. И. О.],B22)-Z17)</f>
        <v/>
      </c>
    </row>
    <row r="23" spans="1:29" ht="20.25" customHeight="1">
      <c r="A23" s="756"/>
      <c r="B23" s="215"/>
      <c r="C23" s="759"/>
      <c r="D23" s="762"/>
      <c r="E23" s="389"/>
      <c r="F23" s="390"/>
      <c r="G23" s="400"/>
      <c r="H23" s="392">
        <f t="shared" si="0"/>
        <v>0</v>
      </c>
      <c r="I23" s="393"/>
      <c r="J23" s="390"/>
      <c r="K23" s="434"/>
      <c r="L23" s="395">
        <f t="shared" si="1"/>
        <v>0</v>
      </c>
      <c r="M23" s="432"/>
      <c r="N23" s="434"/>
      <c r="O23" s="434"/>
      <c r="P23" s="406"/>
      <c r="Q23" s="399">
        <f>IF(D17&lt;=3,база!$L$4,
IF(D17=4,база!$L$5,
IF(D17=5,база!$L$6)))</f>
        <v>210.57480000000001</v>
      </c>
      <c r="R23" s="390">
        <v>1.3</v>
      </c>
      <c r="S23" s="491">
        <f>SUMIFS(Таблица1[Столбец1],Таблица1[коэф],"1,3",Таблица1[р/р],"3/16",Таблица1[Ф. И. О.],B22)</f>
        <v>0</v>
      </c>
      <c r="T23" s="492">
        <f t="shared" si="2"/>
        <v>0</v>
      </c>
      <c r="U23" s="436">
        <f>IF(D17&lt;=3,база!$M$4,
IF(D17=4,база!$M$5,
IF(D17=5,база!$M$6)))</f>
        <v>225.09719999999999</v>
      </c>
      <c r="V23" s="390">
        <v>1.3</v>
      </c>
      <c r="W23" s="494">
        <f>SUMIFS(Таблица1[Столбец1],Таблица1[коэф],"1,3",Таблица1[р/р],"3/24",Таблица1[Ф. И. О.],B22)</f>
        <v>0</v>
      </c>
      <c r="X23" s="493">
        <f t="shared" si="3"/>
        <v>0</v>
      </c>
      <c r="Y23" s="764"/>
      <c r="Z23" s="766"/>
      <c r="AA23" s="756"/>
      <c r="AC23" s="712" t="str">
        <f>IF(SUMIFS(Таблица1[Столбец1],Таблица1[Ф. И. О.],B22)=Y17,"",B22&amp;"  часы не верны")</f>
        <v/>
      </c>
    </row>
    <row r="24" spans="1:29" ht="20.25" customHeight="1">
      <c r="A24" s="756"/>
      <c r="B24" s="215"/>
      <c r="C24" s="759"/>
      <c r="D24" s="762"/>
      <c r="E24" s="389"/>
      <c r="F24" s="390"/>
      <c r="G24" s="400"/>
      <c r="H24" s="392">
        <f t="shared" si="0"/>
        <v>0</v>
      </c>
      <c r="I24" s="393"/>
      <c r="J24" s="390"/>
      <c r="K24" s="434"/>
      <c r="L24" s="395">
        <f t="shared" si="1"/>
        <v>0</v>
      </c>
      <c r="M24" s="432"/>
      <c r="N24" s="434"/>
      <c r="O24" s="434"/>
      <c r="P24" s="406"/>
      <c r="Q24" s="399">
        <f>база!$L$5</f>
        <v>231.45480000000001</v>
      </c>
      <c r="R24" s="390">
        <v>1.3</v>
      </c>
      <c r="S24" s="491">
        <f>SUMIFS(Таблица1[Столбец1],Таблица1[коэф],"1,3",Таблица1[р/р],"4/16",Таблица1[Ф. И. О.],B22)</f>
        <v>0</v>
      </c>
      <c r="T24" s="493">
        <f t="shared" si="2"/>
        <v>0</v>
      </c>
      <c r="U24" s="436">
        <f>база!$M$5</f>
        <v>247.41720000000001</v>
      </c>
      <c r="V24" s="390">
        <v>1.3</v>
      </c>
      <c r="W24" s="494">
        <f>SUMIFS(Таблица1[Столбец1],Таблица1[коэф],"1,3",Таблица1[р/р],"4/24",Таблица1[Ф. И. О.],B22)</f>
        <v>0</v>
      </c>
      <c r="X24" s="493">
        <f t="shared" si="3"/>
        <v>0</v>
      </c>
      <c r="Y24" s="764"/>
      <c r="Z24" s="766"/>
      <c r="AA24" s="756"/>
    </row>
    <row r="25" spans="1:29" ht="20.25" customHeight="1">
      <c r="A25" s="756"/>
      <c r="B25" s="215"/>
      <c r="C25" s="759"/>
      <c r="D25" s="762"/>
      <c r="E25" s="437"/>
      <c r="F25" s="438"/>
      <c r="G25" s="439"/>
      <c r="H25" s="392">
        <f t="shared" si="0"/>
        <v>0</v>
      </c>
      <c r="I25" s="515"/>
      <c r="J25" s="438"/>
      <c r="K25" s="442"/>
      <c r="L25" s="395">
        <f t="shared" si="1"/>
        <v>0</v>
      </c>
      <c r="M25" s="441"/>
      <c r="N25" s="442"/>
      <c r="O25" s="442"/>
      <c r="P25" s="415"/>
      <c r="Q25" s="443">
        <f>IF(D17&lt;=3,база!$L$4,
IF(D17=4,база!$L$5,
IF(D17=5,база!$L$6)))</f>
        <v>210.57480000000001</v>
      </c>
      <c r="R25" s="438">
        <v>1.4</v>
      </c>
      <c r="S25" s="509">
        <f>SUMIFS(Таблица1[Столбец1],Таблица1[коэф],"1,4",Таблица1[р/р],"3/16",Таблица1[Ф. И. О.],B22)</f>
        <v>0</v>
      </c>
      <c r="T25" s="493">
        <f t="shared" si="2"/>
        <v>0</v>
      </c>
      <c r="U25" s="444">
        <f>IF(D17&lt;=3,база!$M$4,
IF(D17=4,база!$M$5,
IF(D17=5,база!$M$6)))</f>
        <v>225.09719999999999</v>
      </c>
      <c r="V25" s="438">
        <v>1.4</v>
      </c>
      <c r="W25" s="498">
        <f>SUMIFS(Таблица1[Столбец1],Таблица1[коэф],"1,4",Таблица1[р/р],"3/24",Таблица1[Ф. И. О.],B22)</f>
        <v>0</v>
      </c>
      <c r="X25" s="493">
        <f t="shared" si="3"/>
        <v>0</v>
      </c>
      <c r="Y25" s="764"/>
      <c r="Z25" s="766"/>
      <c r="AA25" s="756"/>
    </row>
    <row r="26" spans="1:29" ht="20.25" customHeight="1">
      <c r="A26" s="756"/>
      <c r="B26" s="215"/>
      <c r="C26" s="759"/>
      <c r="D26" s="762"/>
      <c r="E26" s="389"/>
      <c r="F26" s="390"/>
      <c r="G26" s="400"/>
      <c r="H26" s="402">
        <f t="shared" si="0"/>
        <v>0</v>
      </c>
      <c r="I26" s="393"/>
      <c r="J26" s="390"/>
      <c r="K26" s="434"/>
      <c r="L26" s="395">
        <f t="shared" si="1"/>
        <v>0</v>
      </c>
      <c r="M26" s="432"/>
      <c r="N26" s="434"/>
      <c r="O26" s="434"/>
      <c r="P26" s="406"/>
      <c r="Q26" s="399">
        <f>база!$L$5</f>
        <v>231.45480000000001</v>
      </c>
      <c r="R26" s="390">
        <v>1.4</v>
      </c>
      <c r="S26" s="491">
        <f>SUMIFS(Таблица1[Столбец1],Таблица1[коэф],"1,4",Таблица1[р/р],"4/16",Таблица1[Ф. И. О.],B22)</f>
        <v>0</v>
      </c>
      <c r="T26" s="493">
        <f t="shared" si="2"/>
        <v>0</v>
      </c>
      <c r="U26" s="436">
        <f>база!$M$5</f>
        <v>247.41720000000001</v>
      </c>
      <c r="V26" s="390">
        <v>1.4</v>
      </c>
      <c r="W26" s="494">
        <f>SUMIFS(Таблица1[Столбец1],Таблица1[коэф],"1,4",Таблица1[р/р],"4/24",Таблица1[Ф. И. О.],B22)</f>
        <v>0</v>
      </c>
      <c r="X26" s="493">
        <f t="shared" si="3"/>
        <v>0</v>
      </c>
      <c r="Y26" s="764"/>
      <c r="Z26" s="766"/>
      <c r="AA26" s="756"/>
    </row>
    <row r="27" spans="1:29" ht="20.25" customHeight="1" thickBot="1">
      <c r="A27" s="757"/>
      <c r="B27" s="202"/>
      <c r="C27" s="760"/>
      <c r="D27" s="763"/>
      <c r="E27" s="445"/>
      <c r="F27" s="446"/>
      <c r="G27" s="447"/>
      <c r="H27" s="468">
        <f t="shared" si="0"/>
        <v>0</v>
      </c>
      <c r="I27" s="463"/>
      <c r="J27" s="464"/>
      <c r="K27" s="457"/>
      <c r="L27" s="458">
        <f t="shared" si="1"/>
        <v>0</v>
      </c>
      <c r="M27" s="466"/>
      <c r="N27" s="457"/>
      <c r="O27" s="457"/>
      <c r="P27" s="476"/>
      <c r="Q27" s="467">
        <f>база!$L$6</f>
        <v>261.04640000000001</v>
      </c>
      <c r="R27" s="464">
        <v>1.4</v>
      </c>
      <c r="S27" s="512">
        <f>SUMIFS(Таблица1[Столбец1],Таблица1[коэф],"1,4",Таблица1[р/р],"5/16",Таблица1[Ф. И. О.],B22)</f>
        <v>0</v>
      </c>
      <c r="T27" s="513">
        <f t="shared" si="2"/>
        <v>0</v>
      </c>
      <c r="U27" s="521">
        <f>база!$M$6</f>
        <v>279.0496</v>
      </c>
      <c r="V27" s="464">
        <v>1.4</v>
      </c>
      <c r="W27" s="501">
        <f>SUMIFS(Таблица1[Столбец1],Таблица1[коэф],"1,4",Таблица1[р/р],"5/24",Таблица1[Ф. И. О.],B22)</f>
        <v>0</v>
      </c>
      <c r="X27" s="513">
        <f t="shared" si="3"/>
        <v>0</v>
      </c>
      <c r="Y27" s="765"/>
      <c r="Z27" s="767"/>
      <c r="AA27" s="757"/>
    </row>
    <row r="28" spans="1:29" ht="18.75">
      <c r="A28" s="755">
        <v>3</v>
      </c>
      <c r="B28" s="215"/>
      <c r="C28" s="758">
        <f>INDEX(база!$E$2:$E$81, MATCH(B33,база!$B$2:$B$50,0))</f>
        <v>15791</v>
      </c>
      <c r="D28" s="761">
        <f>INDEX(база!$D$2:$D$89, MATCH(B33,база!$B$2:$B$50,0))</f>
        <v>4</v>
      </c>
      <c r="E28" s="451">
        <f>IF(D28&lt;=3,база!$I$4,
IF(D28=4,база!$I$5,
IF(D28=5,база!$I$6)))</f>
        <v>207.5112</v>
      </c>
      <c r="F28" s="417">
        <v>1</v>
      </c>
      <c r="G28" s="418">
        <f>SUMIFS(Таблица1[Столбец1],Таблица1[коэф],"1",Таблица1[р/р],"2/4",Таблица1[Ф. И. О.],B33)</f>
        <v>0</v>
      </c>
      <c r="H28" s="402">
        <f t="shared" si="0"/>
        <v>0</v>
      </c>
      <c r="I28" s="481">
        <f>IF(D28&lt;=3,база!$J$4,
IF(D28=4,база!$J$5,
IF(D28=5,база!$J$6)))</f>
        <v>215.4924</v>
      </c>
      <c r="J28" s="417">
        <v>1</v>
      </c>
      <c r="K28" s="453">
        <f>SUMIFS(Таблица1[Столбец1],Таблица1[коэф],"1",Таблица1[р/р],"2/8",Таблица1[Ф. И. О.],B33)</f>
        <v>0</v>
      </c>
      <c r="L28" s="484">
        <f t="shared" si="1"/>
        <v>0</v>
      </c>
      <c r="M28" s="452"/>
      <c r="N28" s="453">
        <v>1</v>
      </c>
      <c r="O28" s="453">
        <f>SUMIFS(Data_Tech!$AM$3:$AM$67,Data_Tech!$E$3:$E$67,"1",Data_Tech!$G$3:$G$67,"3/12",Data_Tech!$F$3:$F$67,B33)</f>
        <v>0</v>
      </c>
      <c r="P28" s="453">
        <f>ROUND(M28*N28*O28,2)</f>
        <v>0</v>
      </c>
      <c r="Q28" s="416">
        <f>IF(D28&lt;=3,база!$L$4,
IF(D28=4,база!$L$5,
IF(D28=5,база!$L$6)))</f>
        <v>231.45480000000001</v>
      </c>
      <c r="R28" s="417">
        <v>1</v>
      </c>
      <c r="S28" s="495">
        <f>SUMIFS(Таблица1[Столбец1],Таблица1[коэф],"1",Таблица1[р/р],"3/16",Таблица1[Ф. И. О.],B33)</f>
        <v>0</v>
      </c>
      <c r="T28" s="492">
        <f t="shared" si="2"/>
        <v>0</v>
      </c>
      <c r="U28" s="454">
        <f>IF(D28&lt;=3,база!$M$4,
IF(D28=4,база!$M$5,
IF(D28=5,база!$M$6)))</f>
        <v>247.41720000000001</v>
      </c>
      <c r="V28" s="417">
        <v>1</v>
      </c>
      <c r="W28" s="500">
        <f>SUMIFS(Таблица1[Столбец1],Таблица1[коэф],"1",Таблица1[р/р],"3/24",Таблица1[Ф. И. О.],B33)</f>
        <v>0</v>
      </c>
      <c r="X28" s="492">
        <f t="shared" si="3"/>
        <v>0</v>
      </c>
      <c r="Y28" s="764">
        <f>SUM(G28:G38,K28:K38,O28:O38,S28:S38,W28:W38)</f>
        <v>0</v>
      </c>
      <c r="Z28" s="766">
        <f>IFERROR(SUM(H28:H38,L28:L38,T28:T38,X28:X38),"")</f>
        <v>0</v>
      </c>
      <c r="AA28" s="755"/>
    </row>
    <row r="29" spans="1:29" ht="18.75">
      <c r="A29" s="756"/>
      <c r="B29" s="215"/>
      <c r="C29" s="759"/>
      <c r="D29" s="762"/>
      <c r="E29" s="393">
        <f>IF(D28&lt;=3,база!$I$4,
IF(D28=4,база!$I$5,
IF(D28=5,база!$I$6)))</f>
        <v>207.5112</v>
      </c>
      <c r="F29" s="390">
        <v>1</v>
      </c>
      <c r="G29" s="400">
        <f>SUMIFS(Таблица1[Столбец1],Таблица1[коэф],"1",Таблица1[р/р],"3/4",Таблица1[Ф. И. О.],B33)</f>
        <v>0</v>
      </c>
      <c r="H29" s="392">
        <f t="shared" si="0"/>
        <v>0</v>
      </c>
      <c r="I29" s="389">
        <f>IF(D28&lt;=3,база!$J$4,
IF(D28=4,база!$J$5,
IF(D28=5,база!$J$6)))</f>
        <v>215.4924</v>
      </c>
      <c r="J29" s="390">
        <v>1</v>
      </c>
      <c r="K29" s="434">
        <f>SUMIFS(Таблица1[Столбец1],Таблица1[коэф],"1",Таблица1[р/р],"3/8",Таблица1[Ф. И. О.],B33)</f>
        <v>0</v>
      </c>
      <c r="L29" s="395">
        <f t="shared" si="1"/>
        <v>0</v>
      </c>
      <c r="M29" s="432"/>
      <c r="N29" s="434">
        <v>1</v>
      </c>
      <c r="O29" s="434">
        <f>SUMIFS(Data_Tech!$AM$3:$AM$67,Data_Tech!$E$3:$E$67,"1",Data_Tech!$G$3:$G$67,"4/12",Data_Tech!$F$3:$F$67,B33)</f>
        <v>0</v>
      </c>
      <c r="P29" s="434">
        <f>ROUND(M29*O29,2)</f>
        <v>0</v>
      </c>
      <c r="Q29" s="399">
        <f>база!$L$5</f>
        <v>231.45480000000001</v>
      </c>
      <c r="R29" s="390">
        <v>1</v>
      </c>
      <c r="S29" s="491">
        <f>SUMIFS(Таблица1[Столбец1],Таблица1[коэф],"1",Таблица1[р/р],"4/16",Таблица1[Ф. И. О.],B33)</f>
        <v>0</v>
      </c>
      <c r="T29" s="493">
        <f t="shared" si="2"/>
        <v>0</v>
      </c>
      <c r="U29" s="410">
        <f>база!$M$5</f>
        <v>247.41720000000001</v>
      </c>
      <c r="V29" s="390">
        <v>1</v>
      </c>
      <c r="W29" s="494">
        <f>SUMIFS(Таблица1[Столбец1],Таблица1[коэф],"1",Таблица1[р/р],"4/24",Таблица1[Ф. И. О.],B33)</f>
        <v>0</v>
      </c>
      <c r="X29" s="493">
        <f t="shared" si="3"/>
        <v>0</v>
      </c>
      <c r="Y29" s="764"/>
      <c r="Z29" s="766"/>
      <c r="AA29" s="756"/>
    </row>
    <row r="30" spans="1:29" ht="18.75">
      <c r="A30" s="756"/>
      <c r="B30" s="215"/>
      <c r="C30" s="759"/>
      <c r="D30" s="762"/>
      <c r="E30" s="393"/>
      <c r="F30" s="390"/>
      <c r="G30" s="400"/>
      <c r="H30" s="392">
        <f t="shared" si="0"/>
        <v>0</v>
      </c>
      <c r="I30" s="389"/>
      <c r="J30" s="390"/>
      <c r="K30" s="434"/>
      <c r="L30" s="395">
        <f t="shared" si="1"/>
        <v>0</v>
      </c>
      <c r="M30" s="432"/>
      <c r="N30" s="434"/>
      <c r="O30" s="434"/>
      <c r="P30" s="434"/>
      <c r="Q30" s="399">
        <f>база!$L$6</f>
        <v>261.04640000000001</v>
      </c>
      <c r="R30" s="390">
        <v>1</v>
      </c>
      <c r="S30" s="491">
        <f>SUMIFS(Таблица1[Столбец1],Таблица1[коэф],"1",Таблица1[р/р],"5/16",Таблица1[Ф. И. О.],B33)</f>
        <v>0</v>
      </c>
      <c r="T30" s="493">
        <f t="shared" si="2"/>
        <v>0</v>
      </c>
      <c r="U30" s="410">
        <f>база!$M$6</f>
        <v>279.0496</v>
      </c>
      <c r="V30" s="390">
        <v>1</v>
      </c>
      <c r="W30" s="494">
        <f>SUMIFS(Таблица1[Столбец1],Таблица1[коэф],"1",Таблица1[р/р],"5/24",Таблица1[Ф. И. О.],B33)</f>
        <v>0</v>
      </c>
      <c r="X30" s="493">
        <f t="shared" si="3"/>
        <v>0</v>
      </c>
      <c r="Y30" s="764"/>
      <c r="Z30" s="766"/>
      <c r="AA30" s="756"/>
    </row>
    <row r="31" spans="1:29" ht="18.75">
      <c r="A31" s="756"/>
      <c r="B31" s="215"/>
      <c r="C31" s="759"/>
      <c r="D31" s="762"/>
      <c r="E31" s="393"/>
      <c r="F31" s="390"/>
      <c r="G31" s="400"/>
      <c r="H31" s="392">
        <f t="shared" si="0"/>
        <v>0</v>
      </c>
      <c r="I31" s="389">
        <f>база!$J$5</f>
        <v>215.4924</v>
      </c>
      <c r="J31" s="390">
        <v>1.5</v>
      </c>
      <c r="K31" s="434">
        <f>SUMIFS(Таблица1[Столбец1],Таблица1[коэф],"1,5",Таблица1[р/р],"4/8",Таблица1[Ф. И. О.],B33)</f>
        <v>0</v>
      </c>
      <c r="L31" s="395">
        <f t="shared" si="1"/>
        <v>0</v>
      </c>
      <c r="M31" s="432"/>
      <c r="N31" s="434"/>
      <c r="O31" s="434"/>
      <c r="P31" s="434"/>
      <c r="Q31" s="399">
        <f>IF(D28&lt;=3,база!$L$4,
IF(D28=4,база!$L$5,
IF(D28=5,база!$L$6)))</f>
        <v>231.45480000000001</v>
      </c>
      <c r="R31" s="390">
        <v>1.2</v>
      </c>
      <c r="S31" s="491">
        <f>SUMIFS(Таблица1[Столбец1],Таблица1[коэф],"1,2",Таблица1[р/р],"3/16",Таблица1[Ф. И. О.],B33)</f>
        <v>0</v>
      </c>
      <c r="T31" s="493">
        <f t="shared" si="2"/>
        <v>0</v>
      </c>
      <c r="U31" s="410">
        <f>IF(D28&lt;=3,база!$M$4,
IF(D28=4,база!$M$5,
IF(D28=5,база!$M$6)))</f>
        <v>247.41720000000001</v>
      </c>
      <c r="V31" s="390">
        <v>1.2</v>
      </c>
      <c r="W31" s="494">
        <f>SUMIFS(Таблица1[Столбец1],Таблица1[коэф],"1,2",Таблица1[р/р],"3/24",Таблица1[Ф. И. О.],B33)</f>
        <v>0</v>
      </c>
      <c r="X31" s="493">
        <f t="shared" si="3"/>
        <v>0</v>
      </c>
      <c r="Y31" s="764"/>
      <c r="Z31" s="766"/>
      <c r="AA31" s="756"/>
    </row>
    <row r="32" spans="1:29" ht="18.75">
      <c r="A32" s="756"/>
      <c r="B32" s="215"/>
      <c r="C32" s="759"/>
      <c r="D32" s="762"/>
      <c r="E32" s="393"/>
      <c r="F32" s="390"/>
      <c r="G32" s="400"/>
      <c r="H32" s="402">
        <f t="shared" si="0"/>
        <v>0</v>
      </c>
      <c r="I32" s="481">
        <f>база!$J$6</f>
        <v>243.04319999999998</v>
      </c>
      <c r="J32" s="417">
        <v>1.5</v>
      </c>
      <c r="K32" s="453">
        <f>SUMIFS(Таблица1[Столбец1],Таблица1[коэф],"1,5",Таблица1[р/р],"5/8",Таблица1[Ф. И. О.],B33)</f>
        <v>0</v>
      </c>
      <c r="L32" s="484">
        <f t="shared" si="1"/>
        <v>0</v>
      </c>
      <c r="M32" s="452"/>
      <c r="N32" s="453"/>
      <c r="O32" s="453"/>
      <c r="P32" s="453"/>
      <c r="Q32" s="416">
        <f>база!$L$5</f>
        <v>231.45480000000001</v>
      </c>
      <c r="R32" s="417">
        <v>1.2</v>
      </c>
      <c r="S32" s="495">
        <f>SUMIFS(Таблица1[Столбец1],Таблица1[коэф],"1,2",Таблица1[р/р],"4/16",Таблица1[Ф. И. О.],B33)</f>
        <v>0</v>
      </c>
      <c r="T32" s="492">
        <f t="shared" si="2"/>
        <v>0</v>
      </c>
      <c r="U32" s="454">
        <f>база!$M$5</f>
        <v>247.41720000000001</v>
      </c>
      <c r="V32" s="417">
        <v>1.2</v>
      </c>
      <c r="W32" s="500">
        <f>SUMIFS(Таблица1[Столбец1],Таблица1[коэф],"1,2",Таблица1[р/р],"4/24",Таблица1[Ф. И. О.],B33)</f>
        <v>0</v>
      </c>
      <c r="X32" s="492">
        <f t="shared" si="3"/>
        <v>0</v>
      </c>
      <c r="Y32" s="764"/>
      <c r="Z32" s="766"/>
      <c r="AA32" s="756"/>
    </row>
    <row r="33" spans="1:29" ht="20.25" customHeight="1">
      <c r="A33" s="756"/>
      <c r="B33" s="215" t="str">
        <f>база!B4</f>
        <v>Аксенова Диана Владимировна</v>
      </c>
      <c r="C33" s="759"/>
      <c r="D33" s="762"/>
      <c r="E33" s="393"/>
      <c r="F33" s="390"/>
      <c r="G33" s="400"/>
      <c r="H33" s="392">
        <f t="shared" si="0"/>
        <v>0</v>
      </c>
      <c r="I33" s="389"/>
      <c r="J33" s="390"/>
      <c r="K33" s="434"/>
      <c r="L33" s="395">
        <f t="shared" si="1"/>
        <v>0</v>
      </c>
      <c r="M33" s="432"/>
      <c r="N33" s="434"/>
      <c r="O33" s="434"/>
      <c r="P33" s="434"/>
      <c r="Q33" s="399">
        <f>база!$L$6</f>
        <v>261.04640000000001</v>
      </c>
      <c r="R33" s="390">
        <v>1.2</v>
      </c>
      <c r="S33" s="491">
        <f>SUMIFS(Таблица1[Столбец1],Таблица1[коэф],"1,2",Таблица1[р/р],"5/16",Таблица1[Ф. И. О.],B33)</f>
        <v>0</v>
      </c>
      <c r="T33" s="493">
        <f t="shared" si="2"/>
        <v>0</v>
      </c>
      <c r="U33" s="410">
        <f>база!$M$6</f>
        <v>279.0496</v>
      </c>
      <c r="V33" s="390">
        <v>1.2</v>
      </c>
      <c r="W33" s="494">
        <f>SUMIFS(Таблица1[Столбец1],Таблица1[коэф],"1,2",Таблица1[р/р],"5/24",Таблица1[Ф. И. О.],B33)</f>
        <v>0</v>
      </c>
      <c r="X33" s="493">
        <f t="shared" si="3"/>
        <v>0</v>
      </c>
      <c r="Y33" s="764"/>
      <c r="Z33" s="766"/>
      <c r="AA33" s="756"/>
      <c r="AC33" s="712" t="str">
        <f>IF(SUMIFS(Таблица1[Столбец3],Таблица1[Ф. И. О.],B33)-Z28=0,"",SUMIFS(Таблица1[Столбец3],Таблица1[Ф. И. О.],B33)-Z28)</f>
        <v/>
      </c>
    </row>
    <row r="34" spans="1:29" ht="18.75">
      <c r="A34" s="756"/>
      <c r="B34" s="215"/>
      <c r="C34" s="759"/>
      <c r="D34" s="762"/>
      <c r="E34" s="393"/>
      <c r="F34" s="390"/>
      <c r="G34" s="400"/>
      <c r="H34" s="392">
        <f t="shared" si="0"/>
        <v>0</v>
      </c>
      <c r="I34" s="389"/>
      <c r="J34" s="390"/>
      <c r="K34" s="434"/>
      <c r="L34" s="395">
        <f t="shared" si="1"/>
        <v>0</v>
      </c>
      <c r="M34" s="432"/>
      <c r="N34" s="434"/>
      <c r="O34" s="434"/>
      <c r="P34" s="434"/>
      <c r="Q34" s="399">
        <f>IF(D28&lt;=3,база!$L$4,
IF(D28=4,база!$L$5,
IF(D28=5,база!$L$6)))</f>
        <v>231.45480000000001</v>
      </c>
      <c r="R34" s="390">
        <v>1.3</v>
      </c>
      <c r="S34" s="491">
        <f>SUMIFS(Таблица1[Столбец1],Таблица1[коэф],"1,3",Таблица1[р/р],"3/16",Таблица1[Ф. И. О.],B33)</f>
        <v>0</v>
      </c>
      <c r="T34" s="493">
        <f t="shared" si="2"/>
        <v>0</v>
      </c>
      <c r="U34" s="410">
        <f>IF(D28&lt;=3,база!$M$4,
IF(D28=4,база!$M$5,
IF(D28=5,база!$M$6)))</f>
        <v>247.41720000000001</v>
      </c>
      <c r="V34" s="390">
        <v>1.3</v>
      </c>
      <c r="W34" s="494">
        <f>SUMIFS(Таблица1[Столбец1],Таблица1[коэф],"1,3",Таблица1[р/р],"3/24",Таблица1[Ф. И. О.],B33)</f>
        <v>0</v>
      </c>
      <c r="X34" s="493">
        <f t="shared" si="3"/>
        <v>0</v>
      </c>
      <c r="Y34" s="764"/>
      <c r="Z34" s="766"/>
      <c r="AA34" s="756"/>
      <c r="AC34" s="712" t="str">
        <f>IF(SUMIFS(Таблица1[Столбец1],Таблица1[Ф. И. О.],B33)=Y28,"",B33&amp;"  часы не верны")</f>
        <v/>
      </c>
    </row>
    <row r="35" spans="1:29" ht="18.75">
      <c r="A35" s="756"/>
      <c r="B35" s="215"/>
      <c r="C35" s="759"/>
      <c r="D35" s="762"/>
      <c r="E35" s="393"/>
      <c r="F35" s="390"/>
      <c r="G35" s="400"/>
      <c r="H35" s="392">
        <f t="shared" si="0"/>
        <v>0</v>
      </c>
      <c r="I35" s="389"/>
      <c r="J35" s="390"/>
      <c r="K35" s="434"/>
      <c r="L35" s="395">
        <f t="shared" si="1"/>
        <v>0</v>
      </c>
      <c r="M35" s="432"/>
      <c r="N35" s="434"/>
      <c r="O35" s="434"/>
      <c r="P35" s="434"/>
      <c r="Q35" s="399">
        <f>база!$L$5</f>
        <v>231.45480000000001</v>
      </c>
      <c r="R35" s="390">
        <v>1.3</v>
      </c>
      <c r="S35" s="491">
        <f>SUMIFS(Таблица1[Столбец1],Таблица1[коэф],"1,3",Таблица1[р/р],"4/16",Таблица1[Ф. И. О.],B33)</f>
        <v>0</v>
      </c>
      <c r="T35" s="493">
        <f t="shared" si="2"/>
        <v>0</v>
      </c>
      <c r="U35" s="410">
        <f>база!$M$5</f>
        <v>247.41720000000001</v>
      </c>
      <c r="V35" s="390">
        <v>1.3</v>
      </c>
      <c r="W35" s="494">
        <f>SUMIFS(Таблица1[Столбец1],Таблица1[коэф],"1,3",Таблица1[р/р],"4/24",Таблица1[Ф. И. О.],B33)</f>
        <v>0</v>
      </c>
      <c r="X35" s="493">
        <f t="shared" si="3"/>
        <v>0</v>
      </c>
      <c r="Y35" s="764"/>
      <c r="Z35" s="766"/>
      <c r="AA35" s="756"/>
    </row>
    <row r="36" spans="1:29" ht="18.75">
      <c r="A36" s="756"/>
      <c r="B36" s="215"/>
      <c r="C36" s="759"/>
      <c r="D36" s="762"/>
      <c r="E36" s="393"/>
      <c r="F36" s="390"/>
      <c r="G36" s="400"/>
      <c r="H36" s="392">
        <f t="shared" si="0"/>
        <v>0</v>
      </c>
      <c r="I36" s="389"/>
      <c r="J36" s="390"/>
      <c r="K36" s="434"/>
      <c r="L36" s="395">
        <f t="shared" si="1"/>
        <v>0</v>
      </c>
      <c r="M36" s="432"/>
      <c r="N36" s="434"/>
      <c r="O36" s="434"/>
      <c r="P36" s="434"/>
      <c r="Q36" s="399">
        <f>IF(D28&lt;=3,база!$L$4,
IF(D28=4,база!$L$5,
IF(D28=5,база!$L$6)))</f>
        <v>231.45480000000001</v>
      </c>
      <c r="R36" s="390">
        <v>1.4</v>
      </c>
      <c r="S36" s="491">
        <f>SUMIFS(Таблица1[Столбец1],Таблица1[коэф],"1,4",Таблица1[р/р],"3/16",Таблица1[Ф. И. О.],B33)</f>
        <v>0</v>
      </c>
      <c r="T36" s="493">
        <f t="shared" si="2"/>
        <v>0</v>
      </c>
      <c r="U36" s="410">
        <f>IF(D28&lt;=3,база!$M$4,
IF(D28=4,база!$M$5,
IF(D28=5,база!$M$6)))</f>
        <v>247.41720000000001</v>
      </c>
      <c r="V36" s="390">
        <v>1.4</v>
      </c>
      <c r="W36" s="494">
        <f>SUMIFS(Таблица1[Столбец1],Таблица1[коэф],"1,4",Таблица1[р/р],"3/24",Таблица1[Ф. И. О.],B33)</f>
        <v>0</v>
      </c>
      <c r="X36" s="493">
        <f t="shared" si="3"/>
        <v>0</v>
      </c>
      <c r="Y36" s="764"/>
      <c r="Z36" s="766"/>
      <c r="AA36" s="756"/>
    </row>
    <row r="37" spans="1:29" ht="18.75">
      <c r="A37" s="756"/>
      <c r="B37" s="215"/>
      <c r="C37" s="759"/>
      <c r="D37" s="762"/>
      <c r="E37" s="393"/>
      <c r="F37" s="390"/>
      <c r="G37" s="400"/>
      <c r="H37" s="392">
        <f t="shared" si="0"/>
        <v>0</v>
      </c>
      <c r="I37" s="389"/>
      <c r="J37" s="390"/>
      <c r="K37" s="434"/>
      <c r="L37" s="395">
        <f t="shared" si="1"/>
        <v>0</v>
      </c>
      <c r="M37" s="432"/>
      <c r="N37" s="434"/>
      <c r="O37" s="434"/>
      <c r="P37" s="434"/>
      <c r="Q37" s="399">
        <f>база!$L$5</f>
        <v>231.45480000000001</v>
      </c>
      <c r="R37" s="390">
        <v>1.4</v>
      </c>
      <c r="S37" s="491">
        <f>SUMIFS(Таблица1[Столбец1],Таблица1[коэф],"1,4",Таблица1[р/р],"4/16",Таблица1[Ф. И. О.],B33)</f>
        <v>0</v>
      </c>
      <c r="T37" s="493">
        <f t="shared" si="2"/>
        <v>0</v>
      </c>
      <c r="U37" s="410">
        <f>база!$M$5</f>
        <v>247.41720000000001</v>
      </c>
      <c r="V37" s="390">
        <v>1.4</v>
      </c>
      <c r="W37" s="494">
        <f>SUMIFS(Таблица1[Столбец1],Таблица1[коэф],"1,4",Таблица1[р/р],"4/24",Таблица1[Ф. И. О.],B33)</f>
        <v>0</v>
      </c>
      <c r="X37" s="493">
        <f t="shared" si="3"/>
        <v>0</v>
      </c>
      <c r="Y37" s="764"/>
      <c r="Z37" s="766"/>
      <c r="AA37" s="756"/>
    </row>
    <row r="38" spans="1:29" ht="19.5" thickBot="1">
      <c r="A38" s="757"/>
      <c r="B38" s="215"/>
      <c r="C38" s="760"/>
      <c r="D38" s="763"/>
      <c r="E38" s="422"/>
      <c r="F38" s="403"/>
      <c r="G38" s="408"/>
      <c r="H38" s="402">
        <f t="shared" si="0"/>
        <v>0</v>
      </c>
      <c r="I38" s="445"/>
      <c r="J38" s="446"/>
      <c r="K38" s="449"/>
      <c r="L38" s="484">
        <f t="shared" si="1"/>
        <v>0</v>
      </c>
      <c r="M38" s="441"/>
      <c r="N38" s="442"/>
      <c r="O38" s="442"/>
      <c r="P38" s="442"/>
      <c r="Q38" s="443">
        <f>база!$L$6</f>
        <v>261.04640000000001</v>
      </c>
      <c r="R38" s="438">
        <v>1.4</v>
      </c>
      <c r="S38" s="509">
        <f>SUMIFS(Таблица1[Столбец1],Таблица1[коэф],"1,4",Таблица1[р/р],"5/16",Таблица1[Ф. И. О.],B33)</f>
        <v>0</v>
      </c>
      <c r="T38" s="492">
        <f t="shared" si="2"/>
        <v>0</v>
      </c>
      <c r="U38" s="519">
        <f>база!$M$6</f>
        <v>279.0496</v>
      </c>
      <c r="V38" s="438">
        <v>1.4</v>
      </c>
      <c r="W38" s="498">
        <f>SUMIFS(Таблица1[Столбец1],Таблица1[коэф],"1,4",Таблица1[р/р],"5/24",Таблица1[Ф. И. О.],B33)</f>
        <v>0</v>
      </c>
      <c r="X38" s="492">
        <f t="shared" si="3"/>
        <v>0</v>
      </c>
      <c r="Y38" s="765"/>
      <c r="Z38" s="767"/>
      <c r="AA38" s="757"/>
    </row>
    <row r="39" spans="1:29" ht="18.75">
      <c r="A39" s="755">
        <v>4</v>
      </c>
      <c r="B39" s="235"/>
      <c r="C39" s="758">
        <f>INDEX(база!$E$2:$E$81, MATCH(B44,база!$B$2:$B$50,0))</f>
        <v>15816</v>
      </c>
      <c r="D39" s="761">
        <f>INDEX(база!$D$2:$D$89, MATCH(B44,база!$B$2:$B$50,0))</f>
        <v>3</v>
      </c>
      <c r="E39" s="381">
        <f>IF(D39&lt;=3,база!$I$4,
IF(D39=4,база!$I$5,
IF(D39=5,база!$I$6)))</f>
        <v>188.7912</v>
      </c>
      <c r="F39" s="378">
        <v>1</v>
      </c>
      <c r="G39" s="387">
        <f>SUMIFS(Таблица1[Столбец1],Таблица1[коэф],"1",Таблица1[р/р],"2/4",Таблица1[Ф. И. О.],B44)</f>
        <v>0</v>
      </c>
      <c r="H39" s="380">
        <f t="shared" si="0"/>
        <v>0</v>
      </c>
      <c r="I39" s="377">
        <f>IF(D39&lt;=3,база!$J$4,
IF(D39=4,база!$J$5,
IF(D39=5,база!$J$6)))</f>
        <v>196.05240000000001</v>
      </c>
      <c r="J39" s="378">
        <v>1</v>
      </c>
      <c r="K39" s="428">
        <f>SUMIFS(Таблица1[Столбец1],Таблица1[коэф],"1",Таблица1[р/р],"2/8",Таблица1[Ф. И. О.],B44)</f>
        <v>0</v>
      </c>
      <c r="L39" s="383">
        <f t="shared" si="1"/>
        <v>0</v>
      </c>
      <c r="M39" s="426"/>
      <c r="N39" s="428">
        <v>1</v>
      </c>
      <c r="O39" s="428">
        <f>SUMIFS(Data_Tech!$AM$3:$AM$67,Data_Tech!$E$3:$E$67,"1",Data_Tech!$G$3:$G$67,"3/12",Data_Tech!$F$3:$F$67,B44)</f>
        <v>0</v>
      </c>
      <c r="P39" s="428">
        <f>ROUND(M39*N39*O39,2)</f>
        <v>0</v>
      </c>
      <c r="Q39" s="386">
        <f>IF(D39&lt;=3,база!$L$4,
IF(D39=4,база!$L$5,
IF(D39=5,база!$L$6)))</f>
        <v>210.57480000000001</v>
      </c>
      <c r="R39" s="378">
        <v>1</v>
      </c>
      <c r="S39" s="489">
        <f>SUMIFS(Таблица1[Столбец1],Таблица1[коэф],"1",Таблица1[р/р],"3/16",Таблица1[Ф. И. О.],B44)</f>
        <v>0</v>
      </c>
      <c r="T39" s="490">
        <f t="shared" si="2"/>
        <v>0</v>
      </c>
      <c r="U39" s="462">
        <f>IF(D39&lt;=3,база!$M$4,
IF(D39=4,база!$M$5,
IF(D39=5,база!$M$6)))</f>
        <v>225.09719999999999</v>
      </c>
      <c r="V39" s="378">
        <v>1</v>
      </c>
      <c r="W39" s="497">
        <f>SUMIFS(Таблица1[Столбец1],Таблица1[коэф],"1",Таблица1[р/р],"3/24",Таблица1[Ф. И. О.],B44)</f>
        <v>0</v>
      </c>
      <c r="X39" s="490">
        <f t="shared" si="3"/>
        <v>0</v>
      </c>
      <c r="Y39" s="764">
        <f>SUM(G39:G49,K39:K49,O39:O49,S39:S49,W39:W49)</f>
        <v>0</v>
      </c>
      <c r="Z39" s="766">
        <f>IFERROR(SUM(H39:H49,L39:L49,T39:T49,X39:X49),"")</f>
        <v>0</v>
      </c>
      <c r="AA39" s="756"/>
    </row>
    <row r="40" spans="1:29" ht="18.75">
      <c r="A40" s="756"/>
      <c r="B40" s="215"/>
      <c r="C40" s="759"/>
      <c r="D40" s="762"/>
      <c r="E40" s="393">
        <f>IF(D39&lt;=3,база!$I$4,
IF(D39=4,база!$I$5,
IF(D39=5,база!$I$6)))</f>
        <v>188.7912</v>
      </c>
      <c r="F40" s="390">
        <v>1</v>
      </c>
      <c r="G40" s="400">
        <f>SUMIFS(Таблица1[Столбец1],Таблица1[коэф],"1",Таблица1[р/р],"3/4",Таблица1[Ф. И. О.],B44)</f>
        <v>0</v>
      </c>
      <c r="H40" s="392">
        <f t="shared" si="0"/>
        <v>0</v>
      </c>
      <c r="I40" s="389">
        <f>IF(D39&lt;=3,база!$J$4,
IF(D39=4,база!$J$5,
IF(D39=5,база!$J$6)))</f>
        <v>196.05240000000001</v>
      </c>
      <c r="J40" s="390">
        <v>1</v>
      </c>
      <c r="K40" s="434">
        <f>SUMIFS(Таблица1[Столбец1],Таблица1[коэф],"1",Таблица1[р/р],"3/8",Таблица1[Ф. И. О.],B44)</f>
        <v>0</v>
      </c>
      <c r="L40" s="395">
        <f t="shared" si="1"/>
        <v>0</v>
      </c>
      <c r="M40" s="432"/>
      <c r="N40" s="434">
        <v>1</v>
      </c>
      <c r="O40" s="434">
        <f>SUMIFS(Data_Tech!$AM$3:$AM$67,Data_Tech!$E$3:$E$67,"1",Data_Tech!$G$3:$G$67,"4/12",Data_Tech!$F$3:$F$67,B44)</f>
        <v>0</v>
      </c>
      <c r="P40" s="434">
        <f>ROUND(M40*O40,2)</f>
        <v>0</v>
      </c>
      <c r="Q40" s="399">
        <f>база!$L$5</f>
        <v>231.45480000000001</v>
      </c>
      <c r="R40" s="390">
        <v>1</v>
      </c>
      <c r="S40" s="491">
        <f>SUMIFS(Таблица1[Столбец1],Таблица1[коэф],"1",Таблица1[р/р],"4/16",Таблица1[Ф. И. О.],B44)</f>
        <v>0</v>
      </c>
      <c r="T40" s="493">
        <f t="shared" si="2"/>
        <v>0</v>
      </c>
      <c r="U40" s="410">
        <f>база!$M$5</f>
        <v>247.41720000000001</v>
      </c>
      <c r="V40" s="390">
        <v>1</v>
      </c>
      <c r="W40" s="494">
        <f>SUMIFS(Таблица1[Столбец1],Таблица1[коэф],"1",Таблица1[р/р],"4/24",Таблица1[Ф. И. О.],B44)</f>
        <v>0</v>
      </c>
      <c r="X40" s="493">
        <f t="shared" si="3"/>
        <v>0</v>
      </c>
      <c r="Y40" s="764"/>
      <c r="Z40" s="766"/>
      <c r="AA40" s="756"/>
    </row>
    <row r="41" spans="1:29" ht="18.75">
      <c r="A41" s="756"/>
      <c r="B41" s="215"/>
      <c r="C41" s="759"/>
      <c r="D41" s="762"/>
      <c r="E41" s="393"/>
      <c r="F41" s="390"/>
      <c r="G41" s="400"/>
      <c r="H41" s="392">
        <f t="shared" si="0"/>
        <v>0</v>
      </c>
      <c r="I41" s="389"/>
      <c r="J41" s="390"/>
      <c r="K41" s="434"/>
      <c r="L41" s="395">
        <f t="shared" si="1"/>
        <v>0</v>
      </c>
      <c r="M41" s="432"/>
      <c r="N41" s="434"/>
      <c r="O41" s="434"/>
      <c r="P41" s="434"/>
      <c r="Q41" s="399">
        <f>база!$L$6</f>
        <v>261.04640000000001</v>
      </c>
      <c r="R41" s="390">
        <v>1</v>
      </c>
      <c r="S41" s="491">
        <f>SUMIFS(Таблица1[Столбец1],Таблица1[коэф],"1",Таблица1[р/р],"5/16",Таблица1[Ф. И. О.],B44)</f>
        <v>0</v>
      </c>
      <c r="T41" s="493">
        <f t="shared" si="2"/>
        <v>0</v>
      </c>
      <c r="U41" s="410">
        <f>база!$M$6</f>
        <v>279.0496</v>
      </c>
      <c r="V41" s="390">
        <v>1</v>
      </c>
      <c r="W41" s="494">
        <f>SUMIFS(Таблица1[Столбец1],Таблица1[коэф],"1",Таблица1[р/р],"5/24",Таблица1[Ф. И. О.],B44)</f>
        <v>0</v>
      </c>
      <c r="X41" s="493">
        <f t="shared" si="3"/>
        <v>0</v>
      </c>
      <c r="Y41" s="764"/>
      <c r="Z41" s="766"/>
      <c r="AA41" s="756"/>
    </row>
    <row r="42" spans="1:29" ht="18.75">
      <c r="A42" s="756"/>
      <c r="B42" s="215"/>
      <c r="C42" s="759"/>
      <c r="D42" s="762"/>
      <c r="E42" s="393"/>
      <c r="F42" s="390"/>
      <c r="G42" s="400"/>
      <c r="H42" s="392">
        <f t="shared" si="0"/>
        <v>0</v>
      </c>
      <c r="I42" s="389">
        <f>база!$J$5</f>
        <v>215.4924</v>
      </c>
      <c r="J42" s="390">
        <v>1.5</v>
      </c>
      <c r="K42" s="434">
        <f>SUMIFS(Таблица1[Столбец1],Таблица1[коэф],"1,5",Таблица1[р/р],"4/8",Таблица1[Ф. И. О.],B44)</f>
        <v>0</v>
      </c>
      <c r="L42" s="395">
        <f t="shared" si="1"/>
        <v>0</v>
      </c>
      <c r="M42" s="432"/>
      <c r="N42" s="434"/>
      <c r="O42" s="434"/>
      <c r="P42" s="434"/>
      <c r="Q42" s="399">
        <f>IF(D39&lt;=3,база!$L$4,
IF(D39=4,база!$L$5,
IF(D39=5,база!$L$6)))</f>
        <v>210.57480000000001</v>
      </c>
      <c r="R42" s="390">
        <v>1.2</v>
      </c>
      <c r="S42" s="491">
        <f>SUMIFS(Таблица1[Столбец1],Таблица1[коэф],"1,2",Таблица1[р/р],"3/16",Таблица1[Ф. И. О.],B44)</f>
        <v>0</v>
      </c>
      <c r="T42" s="493">
        <f t="shared" si="2"/>
        <v>0</v>
      </c>
      <c r="U42" s="410">
        <f>IF(D39&lt;=3,база!$M$4,
IF(D39=4,база!$M$5,
IF(D39=5,база!$M$6)))</f>
        <v>225.09719999999999</v>
      </c>
      <c r="V42" s="390">
        <v>1.2</v>
      </c>
      <c r="W42" s="494">
        <f>SUMIFS(Таблица1[Столбец1],Таблица1[коэф],"1,2",Таблица1[р/р],"3/24",Таблица1[Ф. И. О.],B44)</f>
        <v>0</v>
      </c>
      <c r="X42" s="493">
        <f t="shared" si="3"/>
        <v>0</v>
      </c>
      <c r="Y42" s="764"/>
      <c r="Z42" s="766"/>
      <c r="AA42" s="756"/>
    </row>
    <row r="43" spans="1:29" ht="18.75">
      <c r="A43" s="756"/>
      <c r="B43" s="215"/>
      <c r="C43" s="759"/>
      <c r="D43" s="762"/>
      <c r="E43" s="393"/>
      <c r="F43" s="390"/>
      <c r="G43" s="400"/>
      <c r="H43" s="392">
        <f t="shared" si="0"/>
        <v>0</v>
      </c>
      <c r="I43" s="389">
        <f>база!$J$6</f>
        <v>243.04319999999998</v>
      </c>
      <c r="J43" s="390">
        <v>1.5</v>
      </c>
      <c r="K43" s="434">
        <f>SUMIFS(Таблица1[Столбец1],Таблица1[коэф],"1,5",Таблица1[р/р],"5/8",Таблица1[Ф. И. О.],B44)</f>
        <v>0</v>
      </c>
      <c r="L43" s="395">
        <f t="shared" si="1"/>
        <v>0</v>
      </c>
      <c r="M43" s="432"/>
      <c r="N43" s="434"/>
      <c r="O43" s="434"/>
      <c r="P43" s="434"/>
      <c r="Q43" s="399">
        <f>база!$L$5</f>
        <v>231.45480000000001</v>
      </c>
      <c r="R43" s="390">
        <v>1.2</v>
      </c>
      <c r="S43" s="491">
        <f>SUMIFS(Таблица1[Столбец1],Таблица1[коэф],"1,2",Таблица1[р/р],"4/16",Таблица1[Ф. И. О.],B44)</f>
        <v>0</v>
      </c>
      <c r="T43" s="493">
        <f t="shared" si="2"/>
        <v>0</v>
      </c>
      <c r="U43" s="410">
        <f>база!$M$5</f>
        <v>247.41720000000001</v>
      </c>
      <c r="V43" s="390">
        <v>1.2</v>
      </c>
      <c r="W43" s="494">
        <f>SUMIFS(Таблица1[Столбец1],Таблица1[коэф],"1,2",Таблица1[р/р],"4/24",Таблица1[Ф. И. О.],B44)</f>
        <v>0</v>
      </c>
      <c r="X43" s="493">
        <f t="shared" si="3"/>
        <v>0</v>
      </c>
      <c r="Y43" s="764"/>
      <c r="Z43" s="766"/>
      <c r="AA43" s="756"/>
    </row>
    <row r="44" spans="1:29" ht="18.75">
      <c r="A44" s="756"/>
      <c r="B44" s="215" t="str">
        <f>база!B5</f>
        <v>Александрович Екатерина Сергеевна</v>
      </c>
      <c r="C44" s="759"/>
      <c r="D44" s="762"/>
      <c r="E44" s="393"/>
      <c r="F44" s="390"/>
      <c r="G44" s="400"/>
      <c r="H44" s="392">
        <f t="shared" si="0"/>
        <v>0</v>
      </c>
      <c r="I44" s="389"/>
      <c r="J44" s="390"/>
      <c r="K44" s="434"/>
      <c r="L44" s="395">
        <f t="shared" si="1"/>
        <v>0</v>
      </c>
      <c r="M44" s="432"/>
      <c r="N44" s="434"/>
      <c r="O44" s="434"/>
      <c r="P44" s="434"/>
      <c r="Q44" s="399">
        <f>база!$L$6</f>
        <v>261.04640000000001</v>
      </c>
      <c r="R44" s="390">
        <v>1.2</v>
      </c>
      <c r="S44" s="491">
        <f>SUMIFS(Таблица1[Столбец1],Таблица1[коэф],"1,2",Таблица1[р/р],"5/16",Таблица1[Ф. И. О.],B44)</f>
        <v>0</v>
      </c>
      <c r="T44" s="493">
        <f t="shared" si="2"/>
        <v>0</v>
      </c>
      <c r="U44" s="410">
        <f>база!$M$6</f>
        <v>279.0496</v>
      </c>
      <c r="V44" s="390">
        <v>1.2</v>
      </c>
      <c r="W44" s="494">
        <f>SUMIFS(Таблица1[Столбец1],Таблица1[коэф],"1,2",Таблица1[р/р],"5/24",Таблица1[Ф. И. О.],B44)</f>
        <v>0</v>
      </c>
      <c r="X44" s="493">
        <f t="shared" si="3"/>
        <v>0</v>
      </c>
      <c r="Y44" s="764"/>
      <c r="Z44" s="766"/>
      <c r="AA44" s="756"/>
      <c r="AC44" s="712" t="str">
        <f>IF(SUMIFS(Таблица1[Столбец3],Таблица1[Ф. И. О.],B44)-Z39=0,"",SUMIFS(Таблица1[Столбец3],Таблица1[Ф. И. О.],B44)-Z39)</f>
        <v/>
      </c>
    </row>
    <row r="45" spans="1:29" ht="18.75">
      <c r="A45" s="756"/>
      <c r="B45" s="215"/>
      <c r="C45" s="759"/>
      <c r="D45" s="762"/>
      <c r="E45" s="393"/>
      <c r="F45" s="390"/>
      <c r="G45" s="400"/>
      <c r="H45" s="392">
        <f t="shared" si="0"/>
        <v>0</v>
      </c>
      <c r="I45" s="389"/>
      <c r="J45" s="390"/>
      <c r="K45" s="434"/>
      <c r="L45" s="395">
        <f t="shared" si="1"/>
        <v>0</v>
      </c>
      <c r="M45" s="432"/>
      <c r="N45" s="434"/>
      <c r="O45" s="434"/>
      <c r="P45" s="434"/>
      <c r="Q45" s="399">
        <f>IF(D39&lt;=3,база!$L$4,
IF(D39=4,база!$L$5,
IF(D39=5,база!$L$6)))</f>
        <v>210.57480000000001</v>
      </c>
      <c r="R45" s="390">
        <v>1.3</v>
      </c>
      <c r="S45" s="491">
        <f>SUMIFS(Таблица1[Столбец1],Таблица1[коэф],"1,3",Таблица1[р/р],"3/16",Таблица1[Ф. И. О.],B44)</f>
        <v>0</v>
      </c>
      <c r="T45" s="493">
        <f t="shared" si="2"/>
        <v>0</v>
      </c>
      <c r="U45" s="410">
        <f>IF(D39&lt;=3,база!$M$4,
IF(D39=4,база!$M$5,
IF(D39=5,база!$M$6)))</f>
        <v>225.09719999999999</v>
      </c>
      <c r="V45" s="390">
        <v>1.3</v>
      </c>
      <c r="W45" s="494">
        <f>SUMIFS(Таблица1[Столбец1],Таблица1[коэф],"1,3",Таблица1[р/р],"3/24",Таблица1[Ф. И. О.],B44)</f>
        <v>0</v>
      </c>
      <c r="X45" s="493">
        <f t="shared" si="3"/>
        <v>0</v>
      </c>
      <c r="Y45" s="764"/>
      <c r="Z45" s="766"/>
      <c r="AA45" s="756"/>
      <c r="AC45" s="712" t="str">
        <f>IF(SUMIFS(Таблица1[Столбец1],Таблица1[Ф. И. О.],B44)=Y39,"",B44&amp;"  часы не верны")</f>
        <v/>
      </c>
    </row>
    <row r="46" spans="1:29" ht="18.75">
      <c r="A46" s="756"/>
      <c r="B46" s="215"/>
      <c r="C46" s="759"/>
      <c r="D46" s="762"/>
      <c r="E46" s="393"/>
      <c r="F46" s="390"/>
      <c r="G46" s="400"/>
      <c r="H46" s="392">
        <f t="shared" si="0"/>
        <v>0</v>
      </c>
      <c r="I46" s="389"/>
      <c r="J46" s="390"/>
      <c r="K46" s="434"/>
      <c r="L46" s="395">
        <f t="shared" si="1"/>
        <v>0</v>
      </c>
      <c r="M46" s="432"/>
      <c r="N46" s="434"/>
      <c r="O46" s="434"/>
      <c r="P46" s="434"/>
      <c r="Q46" s="399">
        <f>база!$L$5</f>
        <v>231.45480000000001</v>
      </c>
      <c r="R46" s="390">
        <v>1.3</v>
      </c>
      <c r="S46" s="491">
        <f>SUMIFS(Таблица1[Столбец1],Таблица1[коэф],"1,3",Таблица1[р/р],"4/16",Таблица1[Ф. И. О.],B44)</f>
        <v>0</v>
      </c>
      <c r="T46" s="493">
        <f t="shared" si="2"/>
        <v>0</v>
      </c>
      <c r="U46" s="410">
        <f>база!$M$5</f>
        <v>247.41720000000001</v>
      </c>
      <c r="V46" s="390">
        <v>1.3</v>
      </c>
      <c r="W46" s="494">
        <f>SUMIFS(Таблица1[Столбец1],Таблица1[коэф],"1,3",Таблица1[р/р],"4/24",Таблица1[Ф. И. О.],B44)</f>
        <v>0</v>
      </c>
      <c r="X46" s="493">
        <f t="shared" si="3"/>
        <v>0</v>
      </c>
      <c r="Y46" s="764"/>
      <c r="Z46" s="766"/>
      <c r="AA46" s="756"/>
    </row>
    <row r="47" spans="1:29" ht="18.75">
      <c r="A47" s="756"/>
      <c r="B47" s="215"/>
      <c r="C47" s="759"/>
      <c r="D47" s="762"/>
      <c r="E47" s="393"/>
      <c r="F47" s="390"/>
      <c r="G47" s="400"/>
      <c r="H47" s="392">
        <f t="shared" si="0"/>
        <v>0</v>
      </c>
      <c r="I47" s="389"/>
      <c r="J47" s="390"/>
      <c r="K47" s="434"/>
      <c r="L47" s="395">
        <f t="shared" si="1"/>
        <v>0</v>
      </c>
      <c r="M47" s="432"/>
      <c r="N47" s="434"/>
      <c r="O47" s="434"/>
      <c r="P47" s="434"/>
      <c r="Q47" s="399">
        <f>IF(D39&lt;=3,база!$L$4,
IF(D39=4,база!$L$5,
IF(D39=5,база!$L$6)))</f>
        <v>210.57480000000001</v>
      </c>
      <c r="R47" s="390">
        <v>1.4</v>
      </c>
      <c r="S47" s="491">
        <f>SUMIFS(Таблица1[Столбец1],Таблица1[коэф],"1,4",Таблица1[р/р],"3/16",Таблица1[Ф. И. О.],B44)</f>
        <v>0</v>
      </c>
      <c r="T47" s="493">
        <f t="shared" si="2"/>
        <v>0</v>
      </c>
      <c r="U47" s="410">
        <f>IF(D39&lt;=3,база!$M$4,
IF(D39=4,база!$M$5,
IF(D39=5,база!$M$6)))</f>
        <v>225.09719999999999</v>
      </c>
      <c r="V47" s="390">
        <v>1.4</v>
      </c>
      <c r="W47" s="494">
        <f>SUMIFS(Таблица1[Столбец1],Таблица1[коэф],"1,4",Таблица1[р/р],"3/24",Таблица1[Ф. И. О.],B44)</f>
        <v>0</v>
      </c>
      <c r="X47" s="493">
        <f t="shared" si="3"/>
        <v>0</v>
      </c>
      <c r="Y47" s="764"/>
      <c r="Z47" s="766"/>
      <c r="AA47" s="756"/>
    </row>
    <row r="48" spans="1:29" ht="18.75">
      <c r="A48" s="756"/>
      <c r="B48" s="215"/>
      <c r="C48" s="759"/>
      <c r="D48" s="762"/>
      <c r="E48" s="393"/>
      <c r="F48" s="390"/>
      <c r="G48" s="400"/>
      <c r="H48" s="392">
        <f t="shared" si="0"/>
        <v>0</v>
      </c>
      <c r="I48" s="389"/>
      <c r="J48" s="390"/>
      <c r="K48" s="434"/>
      <c r="L48" s="395">
        <f t="shared" si="1"/>
        <v>0</v>
      </c>
      <c r="M48" s="432"/>
      <c r="N48" s="434"/>
      <c r="O48" s="434"/>
      <c r="P48" s="434"/>
      <c r="Q48" s="399">
        <f>база!$L$5</f>
        <v>231.45480000000001</v>
      </c>
      <c r="R48" s="390">
        <v>1.4</v>
      </c>
      <c r="S48" s="491">
        <f>SUMIFS(Таблица1[Столбец1],Таблица1[коэф],"1,4",Таблица1[р/р],"4/16",Таблица1[Ф. И. О.],B44)</f>
        <v>0</v>
      </c>
      <c r="T48" s="493">
        <f t="shared" si="2"/>
        <v>0</v>
      </c>
      <c r="U48" s="410">
        <f>база!$M$5</f>
        <v>247.41720000000001</v>
      </c>
      <c r="V48" s="390">
        <v>1.4</v>
      </c>
      <c r="W48" s="494">
        <f>SUMIFS(Таблица1[Столбец1],Таблица1[коэф],"1,4",Таблица1[р/р],"4/24",Таблица1[Ф. И. О.],B44)</f>
        <v>0</v>
      </c>
      <c r="X48" s="493">
        <f t="shared" si="3"/>
        <v>0</v>
      </c>
      <c r="Y48" s="764"/>
      <c r="Z48" s="766"/>
      <c r="AA48" s="756"/>
    </row>
    <row r="49" spans="1:29" ht="19.5" thickBot="1">
      <c r="A49" s="757"/>
      <c r="B49" s="202"/>
      <c r="C49" s="760"/>
      <c r="D49" s="763"/>
      <c r="E49" s="463"/>
      <c r="F49" s="464"/>
      <c r="G49" s="465"/>
      <c r="H49" s="402">
        <f t="shared" si="0"/>
        <v>0</v>
      </c>
      <c r="I49" s="445"/>
      <c r="J49" s="446"/>
      <c r="K49" s="449"/>
      <c r="L49" s="484">
        <f t="shared" si="1"/>
        <v>0</v>
      </c>
      <c r="M49" s="448"/>
      <c r="N49" s="449"/>
      <c r="O49" s="449"/>
      <c r="P49" s="449"/>
      <c r="Q49" s="450">
        <f>база!$L$6</f>
        <v>261.04640000000001</v>
      </c>
      <c r="R49" s="446">
        <v>1.4</v>
      </c>
      <c r="S49" s="511">
        <f>SUMIFS(Таблица1[Столбец1],Таблица1[коэф],"1,4",Таблица1[р/р],"5/16",Таблица1[Ф. И. О.],B44)</f>
        <v>0</v>
      </c>
      <c r="T49" s="492">
        <f t="shared" si="2"/>
        <v>0</v>
      </c>
      <c r="U49" s="520">
        <f>база!$M$6</f>
        <v>279.0496</v>
      </c>
      <c r="V49" s="446">
        <v>1.4</v>
      </c>
      <c r="W49" s="499">
        <f>SUMIFS(Таблица1[Столбец1],Таблица1[коэф],"1,4",Таблица1[р/р],"5/24",Таблица1[Ф. И. О.],B44)</f>
        <v>0</v>
      </c>
      <c r="X49" s="492">
        <f t="shared" si="3"/>
        <v>0</v>
      </c>
      <c r="Y49" s="765"/>
      <c r="Z49" s="767"/>
      <c r="AA49" s="757"/>
    </row>
    <row r="50" spans="1:29" ht="18.75">
      <c r="A50" s="755">
        <v>5</v>
      </c>
      <c r="B50" s="215"/>
      <c r="C50" s="794">
        <f>INDEX(база!$E$2:$E$81, MATCH(B55,база!$B$2:$B$50,0))</f>
        <v>16475</v>
      </c>
      <c r="D50" s="794">
        <f>INDEX(база!$D$2:$D$89, MATCH(B55,база!$B$2:$B$50,0))</f>
        <v>3</v>
      </c>
      <c r="E50" s="377">
        <f>IF(D50&lt;=3,база!$I$4,
IF(D50=4,база!$I$5,
IF(D50=5,база!$I$6)))</f>
        <v>188.7912</v>
      </c>
      <c r="F50" s="378">
        <v>1</v>
      </c>
      <c r="G50" s="387">
        <f>SUMIFS(Таблица1[Столбец1],Таблица1[коэф],"1",Таблица1[р/р],"2/4",Таблица1[Ф. И. О.],B55)</f>
        <v>0</v>
      </c>
      <c r="H50" s="380">
        <f t="shared" si="0"/>
        <v>0</v>
      </c>
      <c r="I50" s="381">
        <f>IF(D50&lt;=3,база!$J$4,
IF(D50=4,база!$J$5,
IF(D50=5,база!$J$6)))</f>
        <v>196.05240000000001</v>
      </c>
      <c r="J50" s="378">
        <v>1</v>
      </c>
      <c r="K50" s="428">
        <f>SUMIFS(Таблица1[Столбец1],Таблица1[коэф],"1",Таблица1[р/р],"2/8",Таблица1[Ф. И. О.],B55)</f>
        <v>0</v>
      </c>
      <c r="L50" s="383">
        <f t="shared" si="1"/>
        <v>0</v>
      </c>
      <c r="M50" s="426"/>
      <c r="N50" s="428">
        <v>1</v>
      </c>
      <c r="O50" s="428">
        <f>SUMIFS(Data_Tech!$AM$3:$AM$67,Data_Tech!$E$3:$E$67,"1",Data_Tech!$G$3:$G$67,"3/12",Data_Tech!$F$3:$F$67,B55)</f>
        <v>0</v>
      </c>
      <c r="P50" s="428">
        <f>ROUND(M50*N50*O50,2)</f>
        <v>0</v>
      </c>
      <c r="Q50" s="386">
        <f>IF(D50&lt;=3,база!$L$4,
IF(D50=4,база!$L$5,
IF(D50=5,база!$L$6)))</f>
        <v>210.57480000000001</v>
      </c>
      <c r="R50" s="378">
        <v>1</v>
      </c>
      <c r="S50" s="489">
        <f>SUMIFS(Таблица1[Столбец1],Таблица1[коэф],"1",Таблица1[р/р],"3/16",Таблица1[Ф. И. О.],B55)</f>
        <v>0</v>
      </c>
      <c r="T50" s="490">
        <f t="shared" si="2"/>
        <v>0</v>
      </c>
      <c r="U50" s="471">
        <f>IF(D50&lt;=3,база!$M$4,
IF(D50=4,база!$M$5,
IF(D50=5,база!$M$6)))</f>
        <v>225.09719999999999</v>
      </c>
      <c r="V50" s="378">
        <v>1</v>
      </c>
      <c r="W50" s="497">
        <f>SUMIFS(Таблица1[Столбец1],Таблица1[коэф],"1",Таблица1[р/р],"3/24",Таблица1[Ф. И. О.],B55)</f>
        <v>0</v>
      </c>
      <c r="X50" s="490">
        <f t="shared" si="3"/>
        <v>0</v>
      </c>
      <c r="Y50" s="764">
        <f>SUM(G50:G60,K50:K60,O50:O60,S50:S60,W50:W60)</f>
        <v>0</v>
      </c>
      <c r="Z50" s="766">
        <f>IFERROR(SUM(H50:H60,L50:L60,T50:T60,X50:X60),"")</f>
        <v>0</v>
      </c>
      <c r="AA50" s="755"/>
    </row>
    <row r="51" spans="1:29" ht="18.75">
      <c r="A51" s="756"/>
      <c r="B51" s="215"/>
      <c r="C51" s="795"/>
      <c r="D51" s="795"/>
      <c r="E51" s="389">
        <f>IF(D50&lt;=3,база!$I$4,
IF(D50=4,база!$I$5,
IF(D50=5,база!$I$6)))</f>
        <v>188.7912</v>
      </c>
      <c r="F51" s="390">
        <v>1</v>
      </c>
      <c r="G51" s="400">
        <f>SUMIFS(Таблица1[Столбец1],Таблица1[коэф],"1",Таблица1[р/р],"3/4",Таблица1[Ф. И. О.],B55)</f>
        <v>0</v>
      </c>
      <c r="H51" s="392">
        <f t="shared" si="0"/>
        <v>0</v>
      </c>
      <c r="I51" s="451">
        <f>IF(D50&lt;=3,база!$J$4,
IF(D50=4,база!$J$5,
IF(D50=5,база!$J$6)))</f>
        <v>196.05240000000001</v>
      </c>
      <c r="J51" s="417">
        <v>1</v>
      </c>
      <c r="K51" s="453">
        <f>SUMIFS(Таблица1[Столбец1],Таблица1[коэф],"1",Таблица1[р/р],"3/8",Таблица1[Ф. И. О.],B55)</f>
        <v>0</v>
      </c>
      <c r="L51" s="395">
        <f t="shared" si="1"/>
        <v>0</v>
      </c>
      <c r="M51" s="452"/>
      <c r="N51" s="453">
        <v>1</v>
      </c>
      <c r="O51" s="453">
        <f>SUMIFS(Data_Tech!$AM$3:$AM$67,Data_Tech!$E$3:$E$67,"1",Data_Tech!$G$3:$G$67,"4/12",Data_Tech!$F$3:$F$67,B55)</f>
        <v>0</v>
      </c>
      <c r="P51" s="453">
        <f>ROUND(M51*O51,2)</f>
        <v>0</v>
      </c>
      <c r="Q51" s="416">
        <f>база!$L$5</f>
        <v>231.45480000000001</v>
      </c>
      <c r="R51" s="417">
        <v>1</v>
      </c>
      <c r="S51" s="495">
        <f>SUMIFS(Таблица1[Столбец1],Таблица1[коэф],"1",Таблица1[р/р],"4/16",Таблица1[Ф. И. О.],B55)</f>
        <v>0</v>
      </c>
      <c r="T51" s="493">
        <f t="shared" si="2"/>
        <v>0</v>
      </c>
      <c r="U51" s="485">
        <f>база!$M$5</f>
        <v>247.41720000000001</v>
      </c>
      <c r="V51" s="417">
        <v>1</v>
      </c>
      <c r="W51" s="500">
        <f>SUMIFS(Таблица1[Столбец1],Таблица1[коэф],"1",Таблица1[р/р],"4/24",Таблица1[Ф. И. О.],B55)</f>
        <v>0</v>
      </c>
      <c r="X51" s="493">
        <f t="shared" si="3"/>
        <v>0</v>
      </c>
      <c r="Y51" s="764"/>
      <c r="Z51" s="766"/>
      <c r="AA51" s="756"/>
    </row>
    <row r="52" spans="1:29" ht="18.75">
      <c r="A52" s="756"/>
      <c r="B52" s="215"/>
      <c r="C52" s="795"/>
      <c r="D52" s="795"/>
      <c r="E52" s="389"/>
      <c r="F52" s="390"/>
      <c r="G52" s="400"/>
      <c r="H52" s="392">
        <f t="shared" si="0"/>
        <v>0</v>
      </c>
      <c r="I52" s="393"/>
      <c r="J52" s="390"/>
      <c r="K52" s="434"/>
      <c r="L52" s="395">
        <f t="shared" si="1"/>
        <v>0</v>
      </c>
      <c r="M52" s="432"/>
      <c r="N52" s="434"/>
      <c r="O52" s="434"/>
      <c r="P52" s="434"/>
      <c r="Q52" s="399">
        <f>база!$L$6</f>
        <v>261.04640000000001</v>
      </c>
      <c r="R52" s="390">
        <v>1</v>
      </c>
      <c r="S52" s="491">
        <f>SUMIFS(Таблица1[Столбец1],Таблица1[коэф],"1",Таблица1[р/р],"5/16",Таблица1[Ф. И. О.],B55)</f>
        <v>0</v>
      </c>
      <c r="T52" s="493">
        <f t="shared" si="2"/>
        <v>0</v>
      </c>
      <c r="U52" s="472">
        <f>база!$M$6</f>
        <v>279.0496</v>
      </c>
      <c r="V52" s="390">
        <v>1</v>
      </c>
      <c r="W52" s="494">
        <f>SUMIFS(Таблица1[Столбец1],Таблица1[коэф],"1",Таблица1[р/р],"5/24",Таблица1[Ф. И. О.],B55)</f>
        <v>0</v>
      </c>
      <c r="X52" s="493">
        <f t="shared" si="3"/>
        <v>0</v>
      </c>
      <c r="Y52" s="764"/>
      <c r="Z52" s="766"/>
      <c r="AA52" s="756"/>
    </row>
    <row r="53" spans="1:29" ht="18.75">
      <c r="A53" s="756"/>
      <c r="B53" s="215"/>
      <c r="C53" s="795"/>
      <c r="D53" s="795"/>
      <c r="E53" s="389"/>
      <c r="F53" s="390"/>
      <c r="G53" s="400"/>
      <c r="H53" s="392">
        <f t="shared" si="0"/>
        <v>0</v>
      </c>
      <c r="I53" s="393">
        <f>база!$J$5</f>
        <v>215.4924</v>
      </c>
      <c r="J53" s="390">
        <v>1.5</v>
      </c>
      <c r="K53" s="434">
        <f>SUMIFS(Таблица1[Столбец1],Таблица1[коэф],"1,5",Таблица1[р/р],"4/8",Таблица1[Ф. И. О.],B55)</f>
        <v>0</v>
      </c>
      <c r="L53" s="484">
        <f t="shared" si="1"/>
        <v>0</v>
      </c>
      <c r="M53" s="432"/>
      <c r="N53" s="434"/>
      <c r="O53" s="434"/>
      <c r="P53" s="434"/>
      <c r="Q53" s="399">
        <f>IF(D50&lt;=3,база!$L$4,
IF(D50=4,база!$L$5,
IF(D50=5,база!$L$6)))</f>
        <v>210.57480000000001</v>
      </c>
      <c r="R53" s="390">
        <v>1.2</v>
      </c>
      <c r="S53" s="491">
        <f>SUMIFS(Таблица1[Столбец1],Таблица1[коэф],"1,2",Таблица1[р/р],"3/16",Таблица1[Ф. И. О.],B55)</f>
        <v>0</v>
      </c>
      <c r="T53" s="493">
        <f t="shared" si="2"/>
        <v>0</v>
      </c>
      <c r="U53" s="472">
        <f>IF(D50&lt;=3,база!$M$4,
IF(D50=4,база!$M$5,
IF(D50=5,база!$M$6)))</f>
        <v>225.09719999999999</v>
      </c>
      <c r="V53" s="390">
        <v>1.2</v>
      </c>
      <c r="W53" s="494">
        <f>SUMIFS(Таблица1[Столбец1],Таблица1[коэф],"1,2",Таблица1[р/р],"3/24",Таблица1[Ф. И. О.],B55)</f>
        <v>0</v>
      </c>
      <c r="X53" s="493">
        <f t="shared" si="3"/>
        <v>0</v>
      </c>
      <c r="Y53" s="764"/>
      <c r="Z53" s="766"/>
      <c r="AA53" s="756"/>
    </row>
    <row r="54" spans="1:29" ht="18.75">
      <c r="A54" s="756"/>
      <c r="B54" s="215"/>
      <c r="C54" s="795"/>
      <c r="D54" s="795"/>
      <c r="E54" s="389"/>
      <c r="F54" s="390"/>
      <c r="G54" s="400"/>
      <c r="H54" s="392">
        <f t="shared" si="0"/>
        <v>0</v>
      </c>
      <c r="I54" s="393">
        <f>база!$J$6</f>
        <v>243.04319999999998</v>
      </c>
      <c r="J54" s="390">
        <v>1.5</v>
      </c>
      <c r="K54" s="434">
        <f>SUMIFS(Таблица1[Столбец1],Таблица1[коэф],"1,5",Таблица1[р/р],"5/8",Таблица1[Ф. И. О.],B55)</f>
        <v>0</v>
      </c>
      <c r="L54" s="395">
        <f t="shared" si="1"/>
        <v>0</v>
      </c>
      <c r="M54" s="432"/>
      <c r="N54" s="434"/>
      <c r="O54" s="434"/>
      <c r="P54" s="434"/>
      <c r="Q54" s="399">
        <f>база!$L$5</f>
        <v>231.45480000000001</v>
      </c>
      <c r="R54" s="390">
        <v>1.2</v>
      </c>
      <c r="S54" s="491">
        <f>SUMIFS(Таблица1[Столбец1],Таблица1[коэф],"1,2",Таблица1[р/р],"4/16",Таблица1[Ф. И. О.],B55)</f>
        <v>0</v>
      </c>
      <c r="T54" s="493">
        <f t="shared" si="2"/>
        <v>0</v>
      </c>
      <c r="U54" s="472">
        <f>база!$M$5</f>
        <v>247.41720000000001</v>
      </c>
      <c r="V54" s="390">
        <v>1.2</v>
      </c>
      <c r="W54" s="494">
        <f>SUMIFS(Таблица1[Столбец1],Таблица1[коэф],"1,2",Таблица1[р/р],"4/24",Таблица1[Ф. И. О.],B55)</f>
        <v>0</v>
      </c>
      <c r="X54" s="493">
        <f t="shared" si="3"/>
        <v>0</v>
      </c>
      <c r="Y54" s="764"/>
      <c r="Z54" s="766"/>
      <c r="AA54" s="756"/>
    </row>
    <row r="55" spans="1:29" ht="18.75">
      <c r="A55" s="756"/>
      <c r="B55" s="215" t="str">
        <f>база!B6</f>
        <v>Алиева Диана Арифовна</v>
      </c>
      <c r="C55" s="795"/>
      <c r="D55" s="795"/>
      <c r="E55" s="389"/>
      <c r="F55" s="390"/>
      <c r="G55" s="400"/>
      <c r="H55" s="392">
        <f t="shared" si="0"/>
        <v>0</v>
      </c>
      <c r="I55" s="393"/>
      <c r="J55" s="390"/>
      <c r="K55" s="434"/>
      <c r="L55" s="395">
        <f t="shared" si="1"/>
        <v>0</v>
      </c>
      <c r="M55" s="432"/>
      <c r="N55" s="434"/>
      <c r="O55" s="434"/>
      <c r="P55" s="434"/>
      <c r="Q55" s="399">
        <f>база!$L$6</f>
        <v>261.04640000000001</v>
      </c>
      <c r="R55" s="390">
        <v>1.2</v>
      </c>
      <c r="S55" s="491">
        <f>SUMIFS(Таблица1[Столбец1],Таблица1[коэф],"1,2",Таблица1[р/р],"5/16",Таблица1[Ф. И. О.],B55)</f>
        <v>0</v>
      </c>
      <c r="T55" s="493">
        <f t="shared" si="2"/>
        <v>0</v>
      </c>
      <c r="U55" s="472">
        <f>база!$M$6</f>
        <v>279.0496</v>
      </c>
      <c r="V55" s="390">
        <v>1.2</v>
      </c>
      <c r="W55" s="494">
        <f>SUMIFS(Таблица1[Столбец1],Таблица1[коэф],"1,2",Таблица1[р/р],"5/24",Таблица1[Ф. И. О.],B55)</f>
        <v>0</v>
      </c>
      <c r="X55" s="493">
        <f t="shared" si="3"/>
        <v>0</v>
      </c>
      <c r="Y55" s="764"/>
      <c r="Z55" s="766"/>
      <c r="AA55" s="756"/>
      <c r="AC55" s="712" t="str">
        <f>IF(SUMIFS(Таблица1[Столбец3],Таблица1[Ф. И. О.],B55)-Z50=0,"",SUMIFS(Таблица1[Столбец3],Таблица1[Ф. И. О.],B55)-Z50)</f>
        <v/>
      </c>
    </row>
    <row r="56" spans="1:29" ht="18.75">
      <c r="A56" s="756"/>
      <c r="B56" s="215"/>
      <c r="C56" s="795"/>
      <c r="D56" s="795"/>
      <c r="E56" s="389"/>
      <c r="F56" s="390"/>
      <c r="G56" s="400"/>
      <c r="H56" s="392">
        <f t="shared" si="0"/>
        <v>0</v>
      </c>
      <c r="I56" s="393"/>
      <c r="J56" s="390"/>
      <c r="K56" s="434"/>
      <c r="L56" s="395">
        <f t="shared" si="1"/>
        <v>0</v>
      </c>
      <c r="M56" s="432"/>
      <c r="N56" s="434"/>
      <c r="O56" s="434"/>
      <c r="P56" s="434"/>
      <c r="Q56" s="399">
        <f>IF(D50&lt;=3,база!$L$4,
IF(D50=4,база!$L$5,
IF(D50=5,база!$L$6)))</f>
        <v>210.57480000000001</v>
      </c>
      <c r="R56" s="390">
        <v>1.3</v>
      </c>
      <c r="S56" s="491">
        <f>SUMIFS(Таблица1[Столбец1],Таблица1[коэф],"1,3",Таблица1[р/р],"3/16",Таблица1[Ф. И. О.],B55)</f>
        <v>0</v>
      </c>
      <c r="T56" s="493">
        <f t="shared" si="2"/>
        <v>0</v>
      </c>
      <c r="U56" s="472">
        <f>IF(D50&lt;=3,база!$M$4,
IF(D50=4,база!$M$5,
IF(D50=5,база!$M$6)))</f>
        <v>225.09719999999999</v>
      </c>
      <c r="V56" s="390">
        <v>1.3</v>
      </c>
      <c r="W56" s="494">
        <f>SUMIFS(Таблица1[Столбец1],Таблица1[коэф],"1,3",Таблица1[р/р],"3/24",Таблица1[Ф. И. О.],B55)</f>
        <v>0</v>
      </c>
      <c r="X56" s="493">
        <f t="shared" si="3"/>
        <v>0</v>
      </c>
      <c r="Y56" s="764"/>
      <c r="Z56" s="766"/>
      <c r="AA56" s="756"/>
      <c r="AC56" s="712" t="str">
        <f>IF(SUMIFS(Таблица1[Столбец1],Таблица1[Ф. И. О.],B55)=Y50,"",B55&amp;"  часы не верны")</f>
        <v/>
      </c>
    </row>
    <row r="57" spans="1:29" ht="18.75">
      <c r="A57" s="756"/>
      <c r="B57" s="215"/>
      <c r="C57" s="795"/>
      <c r="D57" s="795"/>
      <c r="E57" s="389"/>
      <c r="F57" s="390"/>
      <c r="G57" s="400"/>
      <c r="H57" s="392">
        <f t="shared" si="0"/>
        <v>0</v>
      </c>
      <c r="I57" s="393"/>
      <c r="J57" s="390"/>
      <c r="K57" s="434"/>
      <c r="L57" s="395">
        <f t="shared" si="1"/>
        <v>0</v>
      </c>
      <c r="M57" s="432"/>
      <c r="N57" s="434"/>
      <c r="O57" s="434"/>
      <c r="P57" s="434"/>
      <c r="Q57" s="399">
        <f>база!$L$5</f>
        <v>231.45480000000001</v>
      </c>
      <c r="R57" s="390">
        <v>1.3</v>
      </c>
      <c r="S57" s="491">
        <f>SUMIFS(Таблица1[Столбец1],Таблица1[коэф],"1,3",Таблица1[р/р],"4/16",Таблица1[Ф. И. О.],B55)</f>
        <v>0</v>
      </c>
      <c r="T57" s="493">
        <f t="shared" si="2"/>
        <v>0</v>
      </c>
      <c r="U57" s="472">
        <f>база!$M$5</f>
        <v>247.41720000000001</v>
      </c>
      <c r="V57" s="390">
        <v>1.3</v>
      </c>
      <c r="W57" s="494">
        <f>SUMIFS(Таблица1[Столбец1],Таблица1[коэф],"1,3",Таблица1[р/р],"4/24",Таблица1[Ф. И. О.],B55)</f>
        <v>0</v>
      </c>
      <c r="X57" s="493">
        <f t="shared" si="3"/>
        <v>0</v>
      </c>
      <c r="Y57" s="764"/>
      <c r="Z57" s="766"/>
      <c r="AA57" s="756"/>
    </row>
    <row r="58" spans="1:29" ht="18.75">
      <c r="A58" s="756"/>
      <c r="B58" s="215"/>
      <c r="C58" s="795"/>
      <c r="D58" s="795"/>
      <c r="E58" s="389"/>
      <c r="F58" s="390"/>
      <c r="G58" s="400"/>
      <c r="H58" s="392">
        <f t="shared" si="0"/>
        <v>0</v>
      </c>
      <c r="I58" s="393"/>
      <c r="J58" s="390"/>
      <c r="K58" s="434"/>
      <c r="L58" s="395">
        <f t="shared" si="1"/>
        <v>0</v>
      </c>
      <c r="M58" s="432"/>
      <c r="N58" s="434"/>
      <c r="O58" s="434"/>
      <c r="P58" s="434"/>
      <c r="Q58" s="399">
        <f>IF(D50&lt;=3,база!$L$4,
IF(D50=4,база!$L$5,
IF(D50=5,база!$L$6)))</f>
        <v>210.57480000000001</v>
      </c>
      <c r="R58" s="390">
        <v>1.4</v>
      </c>
      <c r="S58" s="491">
        <f>SUMIFS(Таблица1[Столбец1],Таблица1[коэф],"1,4",Таблица1[р/р],"3/16",Таблица1[Ф. И. О.],B55)</f>
        <v>0</v>
      </c>
      <c r="T58" s="493">
        <f t="shared" si="2"/>
        <v>0</v>
      </c>
      <c r="U58" s="472">
        <f>IF(D50&lt;=3,база!$M$4,
IF(D50=4,база!$M$5,
IF(D50=5,база!$M$6)))</f>
        <v>225.09719999999999</v>
      </c>
      <c r="V58" s="390">
        <v>1.4</v>
      </c>
      <c r="W58" s="494">
        <f>SUMIFS(Таблица1[Столбец1],Таблица1[коэф],"1,4",Таблица1[р/р],"3/24",Таблица1[Ф. И. О.],B55)</f>
        <v>0</v>
      </c>
      <c r="X58" s="492">
        <f t="shared" si="3"/>
        <v>0</v>
      </c>
      <c r="Y58" s="764"/>
      <c r="Z58" s="766"/>
      <c r="AA58" s="756"/>
    </row>
    <row r="59" spans="1:29" ht="18.75">
      <c r="A59" s="756"/>
      <c r="B59" s="215"/>
      <c r="C59" s="795"/>
      <c r="D59" s="795"/>
      <c r="E59" s="389"/>
      <c r="F59" s="390"/>
      <c r="G59" s="400"/>
      <c r="H59" s="392">
        <f t="shared" si="0"/>
        <v>0</v>
      </c>
      <c r="I59" s="393"/>
      <c r="J59" s="390"/>
      <c r="K59" s="434"/>
      <c r="L59" s="395">
        <f t="shared" si="1"/>
        <v>0</v>
      </c>
      <c r="M59" s="432"/>
      <c r="N59" s="434"/>
      <c r="O59" s="434"/>
      <c r="P59" s="434"/>
      <c r="Q59" s="399">
        <f>база!$L$5</f>
        <v>231.45480000000001</v>
      </c>
      <c r="R59" s="390">
        <v>1.4</v>
      </c>
      <c r="S59" s="491">
        <f>SUMIFS(Таблица1[Столбец1],Таблица1[коэф],"1,4",Таблица1[р/р],"4/16",Таблица1[Ф. И. О.],B55)</f>
        <v>0</v>
      </c>
      <c r="T59" s="492">
        <f t="shared" si="2"/>
        <v>0</v>
      </c>
      <c r="U59" s="472">
        <f>база!$M$5</f>
        <v>247.41720000000001</v>
      </c>
      <c r="V59" s="390">
        <v>1.4</v>
      </c>
      <c r="W59" s="494">
        <f>SUMIFS(Таблица1[Столбец1],Таблица1[коэф],"1,4",Таблица1[р/р],"4/24",Таблица1[Ф. И. О.],B55)</f>
        <v>0</v>
      </c>
      <c r="X59" s="493">
        <f t="shared" si="3"/>
        <v>0</v>
      </c>
      <c r="Y59" s="764"/>
      <c r="Z59" s="766"/>
      <c r="AA59" s="756"/>
    </row>
    <row r="60" spans="1:29" ht="19.5" thickBot="1">
      <c r="A60" s="757"/>
      <c r="B60" s="202"/>
      <c r="C60" s="796"/>
      <c r="D60" s="796"/>
      <c r="E60" s="473"/>
      <c r="F60" s="464"/>
      <c r="G60" s="465"/>
      <c r="H60" s="402">
        <f t="shared" si="0"/>
        <v>0</v>
      </c>
      <c r="I60" s="463"/>
      <c r="J60" s="464"/>
      <c r="K60" s="457"/>
      <c r="L60" s="484">
        <f t="shared" si="1"/>
        <v>0</v>
      </c>
      <c r="M60" s="432"/>
      <c r="N60" s="434"/>
      <c r="O60" s="434"/>
      <c r="P60" s="434"/>
      <c r="Q60" s="467">
        <f>база!$L$6</f>
        <v>261.04640000000001</v>
      </c>
      <c r="R60" s="464">
        <v>1.4</v>
      </c>
      <c r="S60" s="512">
        <f>SUMIFS(Таблица1[Столбец1],Таблица1[коэф],"1,4",Таблица1[р/р],"5/16",Таблица1[Ф. И. О.],B55)</f>
        <v>0</v>
      </c>
      <c r="T60" s="492">
        <f t="shared" si="2"/>
        <v>0</v>
      </c>
      <c r="U60" s="474">
        <f>база!$M$6</f>
        <v>279.0496</v>
      </c>
      <c r="V60" s="464">
        <v>1.4</v>
      </c>
      <c r="W60" s="501">
        <f>SUMIFS(Таблица1[Столбец1],Таблица1[коэф],"1,4",Таблица1[р/р],"5/24",Таблица1[Ф. И. О.],B55)</f>
        <v>0</v>
      </c>
      <c r="X60" s="508">
        <f t="shared" si="3"/>
        <v>0</v>
      </c>
      <c r="Y60" s="765"/>
      <c r="Z60" s="767"/>
      <c r="AA60" s="757"/>
    </row>
    <row r="61" spans="1:29" ht="18.75">
      <c r="A61" s="755">
        <v>6</v>
      </c>
      <c r="B61" s="215"/>
      <c r="C61" s="794">
        <f>INDEX(база!$E$2:$E$81, MATCH(B66,база!$B$2:$B$50,0))</f>
        <v>17290</v>
      </c>
      <c r="D61" s="794">
        <f>INDEX(база!$D$2:$D$89, MATCH(B66,база!$B$2:$B$50,0))</f>
        <v>3</v>
      </c>
      <c r="E61" s="377">
        <f>IF(D61&lt;=3,база!$I$4,
IF(D61=4,база!$I$5,
IF(D61=5,база!$I$6)))</f>
        <v>188.7912</v>
      </c>
      <c r="F61" s="378">
        <v>1</v>
      </c>
      <c r="G61" s="387">
        <f>SUMIFS(Таблица1[Столбец1],Таблица1[коэф],"1",Таблица1[р/р],"2/4",Таблица1[Ф. И. О.],B66)</f>
        <v>0</v>
      </c>
      <c r="H61" s="380">
        <f t="shared" si="0"/>
        <v>0</v>
      </c>
      <c r="I61" s="451">
        <f>IF(D61&lt;=3,база!$J$4,
IF(D61=4,база!$J$5,
IF(D61=5,база!$J$6)))</f>
        <v>196.05240000000001</v>
      </c>
      <c r="J61" s="417">
        <v>1</v>
      </c>
      <c r="K61" s="453">
        <f>SUMIFS(Таблица1[Столбец1],Таблица1[коэф],"1",Таблица1[р/р],"2/8",Таблица1[Ф. И. О.],B66)</f>
        <v>0</v>
      </c>
      <c r="L61" s="383">
        <f t="shared" si="1"/>
        <v>0</v>
      </c>
      <c r="M61" s="434"/>
      <c r="N61" s="434">
        <v>1</v>
      </c>
      <c r="O61" s="434">
        <f>SUMIFS(Data_Tech!$AM$3:$AM$67,Data_Tech!$E$3:$E$67,"1",Data_Tech!$G$3:$G$67,"3/12",Data_Tech!$F$3:$F$67,B66)</f>
        <v>0</v>
      </c>
      <c r="P61" s="406">
        <f>ROUND(M61*N61*O61,2)</f>
        <v>0</v>
      </c>
      <c r="Q61" s="377">
        <f>IF(D61&lt;=3,база!$L$4,
IF(D61=4,база!$L$5,
IF(D61=5,база!$L$6)))</f>
        <v>210.57480000000001</v>
      </c>
      <c r="R61" s="378">
        <v>1</v>
      </c>
      <c r="S61" s="489">
        <f>SUMIFS(Таблица1[Столбец1],Таблица1[коэф],"1",Таблица1[р/р],"3/16",Таблица1[Ф. И. О.],B66)</f>
        <v>0</v>
      </c>
      <c r="T61" s="490">
        <f t="shared" si="2"/>
        <v>0</v>
      </c>
      <c r="U61" s="454">
        <f>IF(D61&lt;=3,база!$M$4,
IF(D61=4,база!$M$5,
IF(D61=5,база!$M$6)))</f>
        <v>225.09719999999999</v>
      </c>
      <c r="V61" s="417">
        <v>1</v>
      </c>
      <c r="W61" s="500">
        <f>SUMIFS(Таблица1[Столбец1],Таблица1[коэф],"1",Таблица1[р/р],"3/24",Таблица1[Ф. И. О.],B66)</f>
        <v>0</v>
      </c>
      <c r="X61" s="490">
        <f t="shared" si="3"/>
        <v>0</v>
      </c>
      <c r="Y61" s="764">
        <f>SUM(G61:G71,K61:K71,O61:O71,S61:S71,W61:W71)</f>
        <v>0</v>
      </c>
      <c r="Z61" s="766">
        <f>IFERROR(SUM(H61:H71,L61:L71,T61:T71,X61:X71),"")</f>
        <v>0</v>
      </c>
      <c r="AA61" s="756"/>
    </row>
    <row r="62" spans="1:29" ht="18.75">
      <c r="A62" s="756"/>
      <c r="B62" s="215"/>
      <c r="C62" s="795"/>
      <c r="D62" s="795"/>
      <c r="E62" s="389">
        <f>IF(D61&lt;=3,база!$I$4,
IF(D61=4,база!$I$5,
IF(D61=5,база!$I$6)))</f>
        <v>188.7912</v>
      </c>
      <c r="F62" s="390">
        <v>1</v>
      </c>
      <c r="G62" s="400">
        <f>SUMIFS(Таблица1[Столбец1],Таблица1[коэф],"1",Таблица1[р/р],"3/4",Таблица1[Ф. И. О.],B66)</f>
        <v>0</v>
      </c>
      <c r="H62" s="392">
        <f t="shared" si="0"/>
        <v>0</v>
      </c>
      <c r="I62" s="393">
        <f>IF(D61&lt;=3,база!$J$4,
IF(D61=4,база!$J$5,
IF(D61=5,база!$J$6)))</f>
        <v>196.05240000000001</v>
      </c>
      <c r="J62" s="390">
        <v>1</v>
      </c>
      <c r="K62" s="434">
        <f>SUMIFS(Таблица1[Столбец1],Таблица1[коэф],"1",Таблица1[р/р],"3/8",Таблица1[Ф. И. О.],B66)</f>
        <v>0</v>
      </c>
      <c r="L62" s="395">
        <f t="shared" si="1"/>
        <v>0</v>
      </c>
      <c r="M62" s="434"/>
      <c r="N62" s="434">
        <v>1</v>
      </c>
      <c r="O62" s="434">
        <f>SUMIFS(Data_Tech!$AM$3:$AM$67,Data_Tech!$E$3:$E$67,"1",Data_Tech!$G$3:$G$67,"4/12",Data_Tech!$F$3:$F$67,B66)</f>
        <v>0</v>
      </c>
      <c r="P62" s="406">
        <f>ROUND(M62*O62,2)</f>
        <v>0</v>
      </c>
      <c r="Q62" s="389">
        <f>база!$L$5</f>
        <v>231.45480000000001</v>
      </c>
      <c r="R62" s="390">
        <v>1</v>
      </c>
      <c r="S62" s="491">
        <f>SUMIFS(Таблица1[Столбец1],Таблица1[коэф],"1",Таблица1[р/р],"4/16",Таблица1[Ф. И. О.],B66)</f>
        <v>0</v>
      </c>
      <c r="T62" s="493">
        <f t="shared" si="2"/>
        <v>0</v>
      </c>
      <c r="U62" s="410">
        <f>база!$M$5</f>
        <v>247.41720000000001</v>
      </c>
      <c r="V62" s="390">
        <v>1</v>
      </c>
      <c r="W62" s="494">
        <f>SUMIFS(Таблица1[Столбец1],Таблица1[коэф],"1",Таблица1[р/р],"4/24",Таблица1[Ф. И. О.],B66)</f>
        <v>0</v>
      </c>
      <c r="X62" s="493">
        <f t="shared" si="3"/>
        <v>0</v>
      </c>
      <c r="Y62" s="764"/>
      <c r="Z62" s="766"/>
      <c r="AA62" s="756"/>
    </row>
    <row r="63" spans="1:29" ht="18.75">
      <c r="A63" s="756"/>
      <c r="B63" s="215"/>
      <c r="C63" s="795"/>
      <c r="D63" s="795"/>
      <c r="E63" s="389"/>
      <c r="F63" s="390"/>
      <c r="G63" s="400"/>
      <c r="H63" s="392">
        <f t="shared" si="0"/>
        <v>0</v>
      </c>
      <c r="I63" s="393"/>
      <c r="J63" s="390"/>
      <c r="K63" s="434"/>
      <c r="L63" s="395">
        <f t="shared" si="1"/>
        <v>0</v>
      </c>
      <c r="M63" s="434"/>
      <c r="N63" s="434"/>
      <c r="O63" s="434"/>
      <c r="P63" s="406"/>
      <c r="Q63" s="389">
        <f>база!$L$6</f>
        <v>261.04640000000001</v>
      </c>
      <c r="R63" s="390">
        <v>1</v>
      </c>
      <c r="S63" s="491">
        <f>SUMIFS(Таблица1[Столбец1],Таблица1[коэф],"1",Таблица1[р/р],"5/16",Таблица1[Ф. И. О.],B66)</f>
        <v>0</v>
      </c>
      <c r="T63" s="493">
        <f t="shared" si="2"/>
        <v>0</v>
      </c>
      <c r="U63" s="410">
        <f>база!$M$6</f>
        <v>279.0496</v>
      </c>
      <c r="V63" s="390">
        <v>1</v>
      </c>
      <c r="W63" s="494">
        <f>SUMIFS(Таблица1[Столбец1],Таблица1[коэф],"1",Таблица1[р/р],"5/24",Таблица1[Ф. И. О.],B66)</f>
        <v>0</v>
      </c>
      <c r="X63" s="493">
        <f t="shared" si="3"/>
        <v>0</v>
      </c>
      <c r="Y63" s="764"/>
      <c r="Z63" s="766"/>
      <c r="AA63" s="756"/>
    </row>
    <row r="64" spans="1:29" ht="18.75">
      <c r="A64" s="756"/>
      <c r="B64" s="215"/>
      <c r="C64" s="795"/>
      <c r="D64" s="795"/>
      <c r="E64" s="389"/>
      <c r="F64" s="390"/>
      <c r="G64" s="400"/>
      <c r="H64" s="392">
        <f t="shared" si="0"/>
        <v>0</v>
      </c>
      <c r="I64" s="393">
        <f>база!$J$5</f>
        <v>215.4924</v>
      </c>
      <c r="J64" s="390">
        <v>1.5</v>
      </c>
      <c r="K64" s="434">
        <f>SUMIFS(Таблица1[Столбец1],Таблица1[коэф],"1,5",Таблица1[р/р],"4/8",Таблица1[Ф. И. О.],B66)</f>
        <v>0</v>
      </c>
      <c r="L64" s="395">
        <f t="shared" si="1"/>
        <v>0</v>
      </c>
      <c r="M64" s="434"/>
      <c r="N64" s="434"/>
      <c r="O64" s="434"/>
      <c r="P64" s="406"/>
      <c r="Q64" s="389">
        <f>IF(D61&lt;=3,база!$L$4,
IF(D61=4,база!$L$5,
IF(D61=5,база!$L$6)))</f>
        <v>210.57480000000001</v>
      </c>
      <c r="R64" s="390">
        <v>1.2</v>
      </c>
      <c r="S64" s="491">
        <f>SUMIFS(Таблица1[Столбец1],Таблица1[коэф],"1,2",Таблица1[р/р],"3/16",Таблица1[Ф. И. О.],B66)</f>
        <v>0</v>
      </c>
      <c r="T64" s="493">
        <f t="shared" si="2"/>
        <v>0</v>
      </c>
      <c r="U64" s="410">
        <f>IF(D61&lt;=3,база!$M$4,
IF(D61=4,база!$M$5,
IF(D61=5,база!$M$6)))</f>
        <v>225.09719999999999</v>
      </c>
      <c r="V64" s="390">
        <v>1.2</v>
      </c>
      <c r="W64" s="494">
        <f>SUMIFS(Таблица1[Столбец1],Таблица1[коэф],"1,2",Таблица1[р/р],"3/24",Таблица1[Ф. И. О.],B66)</f>
        <v>0</v>
      </c>
      <c r="X64" s="493">
        <f t="shared" si="3"/>
        <v>0</v>
      </c>
      <c r="Y64" s="764"/>
      <c r="Z64" s="766"/>
      <c r="AA64" s="756"/>
    </row>
    <row r="65" spans="1:29" ht="18.75">
      <c r="A65" s="756"/>
      <c r="B65" s="215"/>
      <c r="C65" s="795"/>
      <c r="D65" s="795"/>
      <c r="E65" s="389"/>
      <c r="F65" s="390"/>
      <c r="G65" s="400"/>
      <c r="H65" s="392">
        <f t="shared" si="0"/>
        <v>0</v>
      </c>
      <c r="I65" s="393">
        <f>база!$J$6</f>
        <v>243.04319999999998</v>
      </c>
      <c r="J65" s="390">
        <v>1.5</v>
      </c>
      <c r="K65" s="434">
        <f>SUMIFS(Таблица1[Столбец1],Таблица1[коэф],"1,5",Таблица1[р/р],"5/8",Таблица1[Ф. И. О.],B66)</f>
        <v>0</v>
      </c>
      <c r="L65" s="395">
        <f t="shared" si="1"/>
        <v>0</v>
      </c>
      <c r="M65" s="434"/>
      <c r="N65" s="434"/>
      <c r="O65" s="434"/>
      <c r="P65" s="406"/>
      <c r="Q65" s="389">
        <f>база!$L$5</f>
        <v>231.45480000000001</v>
      </c>
      <c r="R65" s="390">
        <v>1.2</v>
      </c>
      <c r="S65" s="491">
        <f>SUMIFS(Таблица1[Столбец1],Таблица1[коэф],"1,2",Таблица1[р/р],"4/16",Таблица1[Ф. И. О.],B66)</f>
        <v>0</v>
      </c>
      <c r="T65" s="493">
        <f t="shared" si="2"/>
        <v>0</v>
      </c>
      <c r="U65" s="410">
        <f>база!$M$5</f>
        <v>247.41720000000001</v>
      </c>
      <c r="V65" s="390">
        <v>1.2</v>
      </c>
      <c r="W65" s="494">
        <f>SUMIFS(Таблица1[Столбец1],Таблица1[коэф],"1,2",Таблица1[р/р],"4/24",Таблица1[Ф. И. О.],B66)</f>
        <v>0</v>
      </c>
      <c r="X65" s="493">
        <f t="shared" si="3"/>
        <v>0</v>
      </c>
      <c r="Y65" s="764"/>
      <c r="Z65" s="766"/>
      <c r="AA65" s="756"/>
    </row>
    <row r="66" spans="1:29" ht="18.75">
      <c r="A66" s="756"/>
      <c r="B66" s="215" t="str">
        <f>база!B7</f>
        <v>Аполосова Ольга Николаевна</v>
      </c>
      <c r="C66" s="795"/>
      <c r="D66" s="795"/>
      <c r="E66" s="389"/>
      <c r="F66" s="390"/>
      <c r="G66" s="400"/>
      <c r="H66" s="392">
        <f t="shared" si="0"/>
        <v>0</v>
      </c>
      <c r="I66" s="393"/>
      <c r="J66" s="390"/>
      <c r="K66" s="434"/>
      <c r="L66" s="395">
        <f t="shared" si="1"/>
        <v>0</v>
      </c>
      <c r="M66" s="434"/>
      <c r="N66" s="434"/>
      <c r="O66" s="434"/>
      <c r="P66" s="406"/>
      <c r="Q66" s="389">
        <f>база!$L$6</f>
        <v>261.04640000000001</v>
      </c>
      <c r="R66" s="390">
        <v>1.2</v>
      </c>
      <c r="S66" s="491">
        <f>SUMIFS(Таблица1[Столбец1],Таблица1[коэф],"1,2",Таблица1[р/р],"5/16",Таблица1[Ф. И. О.],B66)</f>
        <v>0</v>
      </c>
      <c r="T66" s="493">
        <f t="shared" si="2"/>
        <v>0</v>
      </c>
      <c r="U66" s="410">
        <f>база!$M$6</f>
        <v>279.0496</v>
      </c>
      <c r="V66" s="390">
        <v>1.2</v>
      </c>
      <c r="W66" s="494">
        <f>SUMIFS(Таблица1[Столбец1],Таблица1[коэф],"1,2",Таблица1[р/р],"5/24",Таблица1[Ф. И. О.],B66)</f>
        <v>0</v>
      </c>
      <c r="X66" s="493">
        <f t="shared" si="3"/>
        <v>0</v>
      </c>
      <c r="Y66" s="764"/>
      <c r="Z66" s="766"/>
      <c r="AA66" s="756"/>
      <c r="AC66" s="712" t="str">
        <f>IF(SUMIFS(Таблица1[Столбец3],Таблица1[Ф. И. О.],B66)-Z61=0,"",SUMIFS(Таблица1[Столбец3],Таблица1[Ф. И. О.],B66)-Z61)</f>
        <v/>
      </c>
    </row>
    <row r="67" spans="1:29" ht="18.75">
      <c r="A67" s="756"/>
      <c r="B67" s="215"/>
      <c r="C67" s="795"/>
      <c r="D67" s="795"/>
      <c r="E67" s="389"/>
      <c r="F67" s="390"/>
      <c r="G67" s="400"/>
      <c r="H67" s="392">
        <f t="shared" si="0"/>
        <v>0</v>
      </c>
      <c r="I67" s="393"/>
      <c r="J67" s="390"/>
      <c r="K67" s="434"/>
      <c r="L67" s="395">
        <f t="shared" si="1"/>
        <v>0</v>
      </c>
      <c r="M67" s="434"/>
      <c r="N67" s="434"/>
      <c r="O67" s="434"/>
      <c r="P67" s="406"/>
      <c r="Q67" s="389">
        <f>IF(D61&lt;=3,база!$L$4,
IF(D61=4,база!$L$5,
IF(D61=5,база!$L$6)))</f>
        <v>210.57480000000001</v>
      </c>
      <c r="R67" s="390">
        <v>1.3</v>
      </c>
      <c r="S67" s="491">
        <f>SUMIFS(Таблица1[Столбец1],Таблица1[коэф],"1,3",Таблица1[р/р],"3/16",Таблица1[Ф. И. О.],B66)</f>
        <v>0</v>
      </c>
      <c r="T67" s="492">
        <f t="shared" si="2"/>
        <v>0</v>
      </c>
      <c r="U67" s="410">
        <f>IF(D61&lt;=3,база!$M$4,
IF(D61=4,база!$M$5,
IF(D61=5,база!$M$6)))</f>
        <v>225.09719999999999</v>
      </c>
      <c r="V67" s="390">
        <v>1.3</v>
      </c>
      <c r="W67" s="494">
        <f>SUMIFS(Таблица1[Столбец1],Таблица1[коэф],"1,3",Таблица1[р/р],"3/24",Таблица1[Ф. И. О.],B66)</f>
        <v>0</v>
      </c>
      <c r="X67" s="493">
        <f t="shared" si="3"/>
        <v>0</v>
      </c>
      <c r="Y67" s="764"/>
      <c r="Z67" s="766"/>
      <c r="AA67" s="756"/>
      <c r="AC67" s="712" t="str">
        <f>IF(SUMIFS(Таблица1[Столбец1],Таблица1[Ф. И. О.],B66)=Y61,"",B66&amp;"  часы не верны")</f>
        <v/>
      </c>
    </row>
    <row r="68" spans="1:29" ht="18.75">
      <c r="A68" s="756"/>
      <c r="B68" s="215"/>
      <c r="C68" s="795"/>
      <c r="D68" s="795"/>
      <c r="E68" s="389"/>
      <c r="F68" s="390"/>
      <c r="G68" s="400"/>
      <c r="H68" s="402">
        <f t="shared" si="0"/>
        <v>0</v>
      </c>
      <c r="I68" s="393"/>
      <c r="J68" s="390"/>
      <c r="K68" s="434"/>
      <c r="L68" s="395">
        <f t="shared" si="1"/>
        <v>0</v>
      </c>
      <c r="M68" s="434"/>
      <c r="N68" s="434"/>
      <c r="O68" s="434"/>
      <c r="P68" s="406"/>
      <c r="Q68" s="389">
        <f>база!$L$5</f>
        <v>231.45480000000001</v>
      </c>
      <c r="R68" s="390">
        <v>1.3</v>
      </c>
      <c r="S68" s="491">
        <f>SUMIFS(Таблица1[Столбец1],Таблица1[коэф],"1,3",Таблица1[р/р],"4/16",Таблица1[Ф. И. О.],B66)</f>
        <v>0</v>
      </c>
      <c r="T68" s="493">
        <f t="shared" si="2"/>
        <v>0</v>
      </c>
      <c r="U68" s="410">
        <f>база!$M$5</f>
        <v>247.41720000000001</v>
      </c>
      <c r="V68" s="390">
        <v>1.3</v>
      </c>
      <c r="W68" s="494">
        <f>SUMIFS(Таблица1[Столбец1],Таблица1[коэф],"1,3",Таблица1[р/р],"4/24",Таблица1[Ф. И. О.],B66)</f>
        <v>0</v>
      </c>
      <c r="X68" s="493">
        <f t="shared" si="3"/>
        <v>0</v>
      </c>
      <c r="Y68" s="764"/>
      <c r="Z68" s="766"/>
      <c r="AA68" s="756"/>
    </row>
    <row r="69" spans="1:29" ht="18.75">
      <c r="A69" s="756"/>
      <c r="B69" s="215"/>
      <c r="C69" s="795"/>
      <c r="D69" s="795"/>
      <c r="E69" s="389"/>
      <c r="F69" s="390"/>
      <c r="G69" s="400"/>
      <c r="H69" s="392">
        <f t="shared" si="0"/>
        <v>0</v>
      </c>
      <c r="I69" s="393"/>
      <c r="J69" s="390"/>
      <c r="K69" s="434"/>
      <c r="L69" s="395">
        <f t="shared" si="1"/>
        <v>0</v>
      </c>
      <c r="M69" s="434"/>
      <c r="N69" s="434"/>
      <c r="O69" s="434"/>
      <c r="P69" s="406"/>
      <c r="Q69" s="389">
        <f>IF(D61&lt;=3,база!$L$4,
IF(D61=4,база!$L$5,
IF(D61=5,база!$L$6)))</f>
        <v>210.57480000000001</v>
      </c>
      <c r="R69" s="390">
        <v>1.4</v>
      </c>
      <c r="S69" s="491">
        <f>SUMIFS(Таблица1[Столбец1],Таблица1[коэф],"1,4",Таблица1[р/р],"3/16",Таблица1[Ф. И. О.],B66)</f>
        <v>0</v>
      </c>
      <c r="T69" s="493">
        <f t="shared" si="2"/>
        <v>0</v>
      </c>
      <c r="U69" s="410">
        <f>IF(D61&lt;=3,база!$M$4,
IF(D61=4,база!$M$5,
IF(D61=5,база!$M$6)))</f>
        <v>225.09719999999999</v>
      </c>
      <c r="V69" s="390">
        <v>1.4</v>
      </c>
      <c r="W69" s="494">
        <f>SUMIFS(Таблица1[Столбец1],Таблица1[коэф],"1,4",Таблица1[р/р],"3/24",Таблица1[Ф. И. О.],B66)</f>
        <v>0</v>
      </c>
      <c r="X69" s="493">
        <f t="shared" si="3"/>
        <v>0</v>
      </c>
      <c r="Y69" s="764"/>
      <c r="Z69" s="766"/>
      <c r="AA69" s="756"/>
    </row>
    <row r="70" spans="1:29" ht="18.75">
      <c r="A70" s="756"/>
      <c r="B70" s="215"/>
      <c r="C70" s="795"/>
      <c r="D70" s="795"/>
      <c r="E70" s="389"/>
      <c r="F70" s="390"/>
      <c r="G70" s="400"/>
      <c r="H70" s="392">
        <f t="shared" si="0"/>
        <v>0</v>
      </c>
      <c r="I70" s="393"/>
      <c r="J70" s="390"/>
      <c r="K70" s="434"/>
      <c r="L70" s="395">
        <f t="shared" si="1"/>
        <v>0</v>
      </c>
      <c r="M70" s="434"/>
      <c r="N70" s="434"/>
      <c r="O70" s="434"/>
      <c r="P70" s="406"/>
      <c r="Q70" s="389">
        <f>база!$L$5</f>
        <v>231.45480000000001</v>
      </c>
      <c r="R70" s="390">
        <v>1.4</v>
      </c>
      <c r="S70" s="491">
        <f>SUMIFS(Таблица1[Столбец1],Таблица1[коэф],"1,4",Таблица1[р/р],"4/16",Таблица1[Ф. И. О.],B66)</f>
        <v>0</v>
      </c>
      <c r="T70" s="493">
        <f t="shared" si="2"/>
        <v>0</v>
      </c>
      <c r="U70" s="410">
        <f>база!$M$5</f>
        <v>247.41720000000001</v>
      </c>
      <c r="V70" s="390">
        <v>1.4</v>
      </c>
      <c r="W70" s="494">
        <f>SUMIFS(Таблица1[Столбец1],Таблица1[коэф],"1,4",Таблица1[р/р],"4/24",Таблица1[Ф. И. О.],B66)</f>
        <v>0</v>
      </c>
      <c r="X70" s="493">
        <f t="shared" si="3"/>
        <v>0</v>
      </c>
      <c r="Y70" s="764"/>
      <c r="Z70" s="766"/>
      <c r="AA70" s="756"/>
    </row>
    <row r="71" spans="1:29" ht="19.5" thickBot="1">
      <c r="A71" s="757"/>
      <c r="B71" s="202"/>
      <c r="C71" s="796"/>
      <c r="D71" s="796"/>
      <c r="E71" s="473"/>
      <c r="F71" s="464"/>
      <c r="G71" s="465"/>
      <c r="H71" s="468">
        <f t="shared" ref="H71:H134" si="4">ROUND(E71*F71*G71*2,2)</f>
        <v>0</v>
      </c>
      <c r="I71" s="463"/>
      <c r="J71" s="464"/>
      <c r="K71" s="457"/>
      <c r="L71" s="424">
        <f t="shared" ref="L71:L134" si="5">ROUND(I71*J71*K71*2,2)</f>
        <v>0</v>
      </c>
      <c r="M71" s="457"/>
      <c r="N71" s="457"/>
      <c r="O71" s="457"/>
      <c r="P71" s="476"/>
      <c r="Q71" s="473">
        <f>база!$L$6</f>
        <v>261.04640000000001</v>
      </c>
      <c r="R71" s="464">
        <v>1.4</v>
      </c>
      <c r="S71" s="512">
        <f>SUMIFS(Таблица1[Столбец1],Таблица1[коэф],"1,4",Таблица1[р/р],"5/16",Таблица1[Ф. И. О.],B66)</f>
        <v>0</v>
      </c>
      <c r="T71" s="493">
        <f t="shared" ref="T71:T134" si="6">ROUND(Q71*R71*S71*2,2)</f>
        <v>0</v>
      </c>
      <c r="U71" s="469">
        <f>база!$M$6</f>
        <v>279.0496</v>
      </c>
      <c r="V71" s="464">
        <v>1.4</v>
      </c>
      <c r="W71" s="501">
        <f>SUMIFS(Таблица1[Столбец1],Таблица1[коэф],"1,4",Таблица1[р/р],"5/24",Таблица1[Ф. И. О.],B66)</f>
        <v>0</v>
      </c>
      <c r="X71" s="510">
        <f t="shared" ref="X71:X134" si="7">ROUND(U71*V71*W71*2,2)</f>
        <v>0</v>
      </c>
      <c r="Y71" s="765"/>
      <c r="Z71" s="767"/>
      <c r="AA71" s="757"/>
    </row>
    <row r="72" spans="1:29" ht="18.75">
      <c r="A72" s="755">
        <v>7</v>
      </c>
      <c r="B72" s="215"/>
      <c r="C72" s="794">
        <f>INDEX(база!$E$2:$E$81, MATCH(B77,база!$B$2:$B$50,0))</f>
        <v>17296</v>
      </c>
      <c r="D72" s="794">
        <f>INDEX(база!$D$2:$D$89, MATCH(B77,база!$B$2:$B$50,0))</f>
        <v>3</v>
      </c>
      <c r="E72" s="377">
        <f>IF(D72&lt;=3,база!$I$4,
IF(D72=4,база!$I$5,
IF(D72=5,база!$I$6)))</f>
        <v>188.7912</v>
      </c>
      <c r="F72" s="378">
        <v>1</v>
      </c>
      <c r="G72" s="387">
        <f>SUMIFS(Таблица1[Столбец1],Таблица1[коэф],"1",Таблица1[р/р],"2/4",Таблица1[Ф. И. О.],B77)</f>
        <v>0</v>
      </c>
      <c r="H72" s="402">
        <f t="shared" si="4"/>
        <v>0</v>
      </c>
      <c r="I72" s="377">
        <f>IF(D72&lt;=3,база!$J$4,
IF(D72=4,база!$J$5,
IF(D72=5,база!$J$6)))</f>
        <v>196.05240000000001</v>
      </c>
      <c r="J72" s="378">
        <v>1</v>
      </c>
      <c r="K72" s="428">
        <f>SUMIFS(Таблица1[Столбец1],Таблица1[коэф],"1",Таблица1[р/р],"2/8",Таблица1[Ф. И. О.],B77)</f>
        <v>0</v>
      </c>
      <c r="L72" s="383">
        <f t="shared" si="5"/>
        <v>0</v>
      </c>
      <c r="M72" s="426"/>
      <c r="N72" s="428">
        <v>1</v>
      </c>
      <c r="O72" s="428">
        <f>SUMIFS(Data_Tech!$AM$3:$AM$67,Data_Tech!$E$3:$E$67,"1",Data_Tech!$G$3:$G$67,"3/12",Data_Tech!$F$3:$F$67,B77)</f>
        <v>0</v>
      </c>
      <c r="P72" s="383">
        <f>ROUND(M72*N72*O72,2)</f>
        <v>0</v>
      </c>
      <c r="Q72" s="381">
        <f>IF(D72&lt;=3,база!$L$4,
IF(D72=4,база!$L$5,
IF(D72=5,база!$L$6)))</f>
        <v>210.57480000000001</v>
      </c>
      <c r="R72" s="378">
        <v>1</v>
      </c>
      <c r="S72" s="489">
        <f>SUMIFS(Таблица1[Столбец1],Таблица1[коэф],"1",Таблица1[р/р],"3/16",Таблица1[Ф. И. О.],B77)</f>
        <v>0</v>
      </c>
      <c r="T72" s="493">
        <f t="shared" si="6"/>
        <v>0</v>
      </c>
      <c r="U72" s="462">
        <f>IF(D72&lt;=3,база!$M$4,
IF(D72=4,база!$M$5,
IF(D72=5,база!$M$6)))</f>
        <v>225.09719999999999</v>
      </c>
      <c r="V72" s="378">
        <v>1</v>
      </c>
      <c r="W72" s="497">
        <f>SUMIFS(Таблица1[Столбец1],Таблица1[коэф],"1",Таблица1[р/р],"3/24",Таблица1[Ф. И. О.],B77)</f>
        <v>0</v>
      </c>
      <c r="X72" s="490">
        <f t="shared" si="7"/>
        <v>0</v>
      </c>
      <c r="Y72" s="764">
        <f>SUM(G72:G82,K72:K82,O72:O82,S72:S82,W72:W82)</f>
        <v>0</v>
      </c>
      <c r="Z72" s="766">
        <f>IFERROR(SUM(H72:H82,L72:L82,T72:T82,X72:X82),"")</f>
        <v>0</v>
      </c>
      <c r="AA72" s="756"/>
    </row>
    <row r="73" spans="1:29" ht="18.75">
      <c r="A73" s="756"/>
      <c r="B73" s="215"/>
      <c r="C73" s="795"/>
      <c r="D73" s="795"/>
      <c r="E73" s="389">
        <f>IF(D72&lt;=3,база!$I$4,
IF(D72=4,база!$I$5,
IF(D72=5,база!$I$6)))</f>
        <v>188.7912</v>
      </c>
      <c r="F73" s="390">
        <v>1</v>
      </c>
      <c r="G73" s="400">
        <f>SUMIFS(Таблица1[Столбец1],Таблица1[коэф],"1",Таблица1[р/р],"3/4",Таблица1[Ф. И. О.],B77)</f>
        <v>0</v>
      </c>
      <c r="H73" s="392">
        <f t="shared" si="4"/>
        <v>0</v>
      </c>
      <c r="I73" s="389">
        <f>IF(D72&lt;=3,база!$J$4,
IF(D72=4,база!$J$5,
IF(D72=5,база!$J$6)))</f>
        <v>196.05240000000001</v>
      </c>
      <c r="J73" s="390">
        <v>1</v>
      </c>
      <c r="K73" s="434">
        <f>SUMIFS(Таблица1[Столбец1],Таблица1[коэф],"1",Таблица1[р/р],"3/8",Таблица1[Ф. И. О.],B77)</f>
        <v>0</v>
      </c>
      <c r="L73" s="395">
        <f t="shared" si="5"/>
        <v>0</v>
      </c>
      <c r="M73" s="432"/>
      <c r="N73" s="434">
        <v>1</v>
      </c>
      <c r="O73" s="434">
        <f>SUMIFS(Data_Tech!$AM$3:$AM$67,Data_Tech!$E$3:$E$67,"1",Data_Tech!$G$3:$G$67,"4/12",Data_Tech!$F$3:$F$67,B77)</f>
        <v>0</v>
      </c>
      <c r="P73" s="395">
        <f>ROUND(M73*O73,2)</f>
        <v>0</v>
      </c>
      <c r="Q73" s="393">
        <f>база!$L$5</f>
        <v>231.45480000000001</v>
      </c>
      <c r="R73" s="390">
        <v>1</v>
      </c>
      <c r="S73" s="491">
        <f>SUMIFS(Таблица1[Столбец1],Таблица1[коэф],"1",Таблица1[р/р],"4/16",Таблица1[Ф. И. О.],B77)</f>
        <v>0</v>
      </c>
      <c r="T73" s="493">
        <f t="shared" si="6"/>
        <v>0</v>
      </c>
      <c r="U73" s="410">
        <f>база!$M$5</f>
        <v>247.41720000000001</v>
      </c>
      <c r="V73" s="390">
        <v>1</v>
      </c>
      <c r="W73" s="494">
        <f>SUMIFS(Таблица1[Столбец1],Таблица1[коэф],"1",Таблица1[р/р],"4/24",Таблица1[Ф. И. О.],B77)</f>
        <v>0</v>
      </c>
      <c r="X73" s="493">
        <f t="shared" si="7"/>
        <v>0</v>
      </c>
      <c r="Y73" s="764"/>
      <c r="Z73" s="766"/>
      <c r="AA73" s="756"/>
    </row>
    <row r="74" spans="1:29" ht="18.75">
      <c r="A74" s="756"/>
      <c r="B74" s="215"/>
      <c r="C74" s="795"/>
      <c r="D74" s="795"/>
      <c r="E74" s="389"/>
      <c r="F74" s="390"/>
      <c r="G74" s="400"/>
      <c r="H74" s="392">
        <f t="shared" si="4"/>
        <v>0</v>
      </c>
      <c r="I74" s="389"/>
      <c r="J74" s="390"/>
      <c r="K74" s="434"/>
      <c r="L74" s="395">
        <f t="shared" si="5"/>
        <v>0</v>
      </c>
      <c r="M74" s="432"/>
      <c r="N74" s="434"/>
      <c r="O74" s="434"/>
      <c r="P74" s="395"/>
      <c r="Q74" s="393">
        <f>база!$L$6</f>
        <v>261.04640000000001</v>
      </c>
      <c r="R74" s="390">
        <v>1</v>
      </c>
      <c r="S74" s="491">
        <f>SUMIFS(Таблица1[Столбец1],Таблица1[коэф],"1",Таблица1[р/р],"5/16",Таблица1[Ф. И. О.],B77)</f>
        <v>0</v>
      </c>
      <c r="T74" s="493">
        <f t="shared" si="6"/>
        <v>0</v>
      </c>
      <c r="U74" s="410">
        <f>база!$M$6</f>
        <v>279.0496</v>
      </c>
      <c r="V74" s="390">
        <v>1</v>
      </c>
      <c r="W74" s="494">
        <f>SUMIFS(Таблица1[Столбец1],Таблица1[коэф],"1",Таблица1[р/р],"5/24",Таблица1[Ф. И. О.],B77)</f>
        <v>0</v>
      </c>
      <c r="X74" s="493">
        <f t="shared" si="7"/>
        <v>0</v>
      </c>
      <c r="Y74" s="764"/>
      <c r="Z74" s="766"/>
      <c r="AA74" s="756"/>
    </row>
    <row r="75" spans="1:29" ht="18.75">
      <c r="A75" s="756"/>
      <c r="B75" s="215"/>
      <c r="C75" s="795"/>
      <c r="D75" s="795"/>
      <c r="E75" s="389"/>
      <c r="F75" s="390"/>
      <c r="G75" s="400"/>
      <c r="H75" s="392">
        <f t="shared" si="4"/>
        <v>0</v>
      </c>
      <c r="I75" s="389">
        <f>база!$J$5</f>
        <v>215.4924</v>
      </c>
      <c r="J75" s="390">
        <v>1.5</v>
      </c>
      <c r="K75" s="434">
        <f>SUMIFS(Таблица1[Столбец1],Таблица1[коэф],"1,5",Таблица1[р/р],"4/8",Таблица1[Ф. И. О.],B77)</f>
        <v>0</v>
      </c>
      <c r="L75" s="395">
        <f t="shared" si="5"/>
        <v>0</v>
      </c>
      <c r="M75" s="432"/>
      <c r="N75" s="434"/>
      <c r="O75" s="434"/>
      <c r="P75" s="395"/>
      <c r="Q75" s="393">
        <f>IF(D72&lt;=3,база!$L$4,
IF(D72=4,база!$L$5,
IF(D72=5,база!$L$6)))</f>
        <v>210.57480000000001</v>
      </c>
      <c r="R75" s="390">
        <v>1.2</v>
      </c>
      <c r="S75" s="491">
        <f>SUMIFS(Таблица1[Столбец1],Таблица1[коэф],"1,2",Таблица1[р/р],"3/16",Таблица1[Ф. И. О.],B77)</f>
        <v>0</v>
      </c>
      <c r="T75" s="493">
        <f t="shared" si="6"/>
        <v>0</v>
      </c>
      <c r="U75" s="410">
        <f>IF(D72&lt;=3,база!$M$4,
IF(D72=4,база!$M$5,
IF(D72=5,база!$M$6)))</f>
        <v>225.09719999999999</v>
      </c>
      <c r="V75" s="390">
        <v>1.2</v>
      </c>
      <c r="W75" s="494">
        <f>SUMIFS(Таблица1[Столбец1],Таблица1[коэф],"1,2",Таблица1[р/р],"3/24",Таблица1[Ф. И. О.],B77)</f>
        <v>0</v>
      </c>
      <c r="X75" s="493">
        <f t="shared" si="7"/>
        <v>0</v>
      </c>
      <c r="Y75" s="764"/>
      <c r="Z75" s="766"/>
      <c r="AA75" s="756"/>
    </row>
    <row r="76" spans="1:29" ht="18.75">
      <c r="A76" s="756"/>
      <c r="B76" s="215"/>
      <c r="C76" s="795"/>
      <c r="D76" s="795"/>
      <c r="E76" s="389"/>
      <c r="F76" s="390"/>
      <c r="G76" s="400"/>
      <c r="H76" s="392">
        <f t="shared" si="4"/>
        <v>0</v>
      </c>
      <c r="I76" s="389">
        <f>база!$J$6</f>
        <v>243.04319999999998</v>
      </c>
      <c r="J76" s="390">
        <v>1.5</v>
      </c>
      <c r="K76" s="434">
        <f>SUMIFS(Таблица1[Столбец1],Таблица1[коэф],"1,5",Таблица1[р/р],"5/8",Таблица1[Ф. И. О.],B77)</f>
        <v>0</v>
      </c>
      <c r="L76" s="484">
        <f t="shared" si="5"/>
        <v>0</v>
      </c>
      <c r="M76" s="432"/>
      <c r="N76" s="434"/>
      <c r="O76" s="434"/>
      <c r="P76" s="395"/>
      <c r="Q76" s="393">
        <f>база!$L$5</f>
        <v>231.45480000000001</v>
      </c>
      <c r="R76" s="390">
        <v>1.2</v>
      </c>
      <c r="S76" s="491">
        <f>SUMIFS(Таблица1[Столбец1],Таблица1[коэф],"1,2",Таблица1[р/р],"4/16",Таблица1[Ф. И. О.],B77)</f>
        <v>0</v>
      </c>
      <c r="T76" s="493">
        <f t="shared" si="6"/>
        <v>0</v>
      </c>
      <c r="U76" s="410">
        <f>база!$M$5</f>
        <v>247.41720000000001</v>
      </c>
      <c r="V76" s="390">
        <v>1.2</v>
      </c>
      <c r="W76" s="494">
        <f>SUMIFS(Таблица1[Столбец1],Таблица1[коэф],"1,2",Таблица1[р/р],"4/24",Таблица1[Ф. И. О.],B77)</f>
        <v>0</v>
      </c>
      <c r="X76" s="493">
        <f t="shared" si="7"/>
        <v>0</v>
      </c>
      <c r="Y76" s="764"/>
      <c r="Z76" s="766"/>
      <c r="AA76" s="756"/>
    </row>
    <row r="77" spans="1:29" ht="18.75">
      <c r="A77" s="756"/>
      <c r="B77" s="215" t="str">
        <f>база!B8</f>
        <v>Аполосова Юлиана Александровна</v>
      </c>
      <c r="C77" s="795"/>
      <c r="D77" s="795"/>
      <c r="E77" s="389"/>
      <c r="F77" s="390"/>
      <c r="G77" s="400"/>
      <c r="H77" s="392">
        <f t="shared" si="4"/>
        <v>0</v>
      </c>
      <c r="I77" s="389"/>
      <c r="J77" s="390"/>
      <c r="K77" s="434"/>
      <c r="L77" s="395">
        <f t="shared" si="5"/>
        <v>0</v>
      </c>
      <c r="M77" s="432"/>
      <c r="N77" s="434"/>
      <c r="O77" s="434"/>
      <c r="P77" s="395"/>
      <c r="Q77" s="393">
        <f>база!$L$6</f>
        <v>261.04640000000001</v>
      </c>
      <c r="R77" s="390">
        <v>1.2</v>
      </c>
      <c r="S77" s="491">
        <f>SUMIFS(Таблица1[Столбец1],Таблица1[коэф],"1,2",Таблица1[р/р],"5/16",Таблица1[Ф. И. О.],B77)</f>
        <v>0</v>
      </c>
      <c r="T77" s="493">
        <f t="shared" si="6"/>
        <v>0</v>
      </c>
      <c r="U77" s="410">
        <f>база!$M$6</f>
        <v>279.0496</v>
      </c>
      <c r="V77" s="390">
        <v>1.2</v>
      </c>
      <c r="W77" s="494">
        <f>SUMIFS(Таблица1[Столбец1],Таблица1[коэф],"1,2",Таблица1[р/р],"5/24",Таблица1[Ф. И. О.],B77)</f>
        <v>0</v>
      </c>
      <c r="X77" s="493">
        <f t="shared" si="7"/>
        <v>0</v>
      </c>
      <c r="Y77" s="764"/>
      <c r="Z77" s="766"/>
      <c r="AA77" s="756"/>
      <c r="AC77" s="712" t="str">
        <f>IF(SUMIFS(Таблица1[Столбец3],Таблица1[Ф. И. О.],B77)-Z72=0,"",SUMIFS(Таблица1[Столбец3],Таблица1[Ф. И. О.],B77)-Z72)</f>
        <v/>
      </c>
    </row>
    <row r="78" spans="1:29" ht="18.75">
      <c r="A78" s="756"/>
      <c r="B78" s="215"/>
      <c r="C78" s="795"/>
      <c r="D78" s="795"/>
      <c r="E78" s="389"/>
      <c r="F78" s="390"/>
      <c r="G78" s="400"/>
      <c r="H78" s="392">
        <f t="shared" si="4"/>
        <v>0</v>
      </c>
      <c r="I78" s="389"/>
      <c r="J78" s="390"/>
      <c r="K78" s="434"/>
      <c r="L78" s="395">
        <f t="shared" si="5"/>
        <v>0</v>
      </c>
      <c r="M78" s="432"/>
      <c r="N78" s="434"/>
      <c r="O78" s="434"/>
      <c r="P78" s="395"/>
      <c r="Q78" s="393">
        <f>IF(D72&lt;=3,база!$L$4,
IF(D72=4,база!$L$5,
IF(D72=5,база!$L$6)))</f>
        <v>210.57480000000001</v>
      </c>
      <c r="R78" s="390">
        <v>1.3</v>
      </c>
      <c r="S78" s="491">
        <f>SUMIFS(Таблица1[Столбец1],Таблица1[коэф],"1,3",Таблица1[р/р],"3/16",Таблица1[Ф. И. О.],B77)</f>
        <v>0</v>
      </c>
      <c r="T78" s="493">
        <f t="shared" si="6"/>
        <v>0</v>
      </c>
      <c r="U78" s="410">
        <f>IF(D72&lt;=3,база!$M$4,
IF(D72=4,база!$M$5,
IF(D72=5,база!$M$6)))</f>
        <v>225.09719999999999</v>
      </c>
      <c r="V78" s="390">
        <v>1.3</v>
      </c>
      <c r="W78" s="494">
        <f>SUMIFS(Таблица1[Столбец1],Таблица1[коэф],"1,3",Таблица1[р/р],"3/24",Таблица1[Ф. И. О.],B77)</f>
        <v>0</v>
      </c>
      <c r="X78" s="493">
        <f t="shared" si="7"/>
        <v>0</v>
      </c>
      <c r="Y78" s="764"/>
      <c r="Z78" s="766"/>
      <c r="AA78" s="756"/>
      <c r="AC78" s="712" t="str">
        <f>IF(SUMIFS(Таблица1[Столбец1],Таблица1[Ф. И. О.],B77)=Y72,"",B77&amp;"  часы не верны")</f>
        <v/>
      </c>
    </row>
    <row r="79" spans="1:29" ht="18.75">
      <c r="A79" s="756"/>
      <c r="B79" s="215"/>
      <c r="C79" s="795"/>
      <c r="D79" s="795"/>
      <c r="E79" s="389"/>
      <c r="F79" s="390"/>
      <c r="G79" s="400"/>
      <c r="H79" s="402">
        <f t="shared" si="4"/>
        <v>0</v>
      </c>
      <c r="I79" s="389"/>
      <c r="J79" s="390"/>
      <c r="K79" s="434"/>
      <c r="L79" s="395">
        <f t="shared" si="5"/>
        <v>0</v>
      </c>
      <c r="M79" s="432"/>
      <c r="N79" s="434"/>
      <c r="O79" s="434"/>
      <c r="P79" s="395"/>
      <c r="Q79" s="393">
        <f>база!$L$5</f>
        <v>231.45480000000001</v>
      </c>
      <c r="R79" s="390">
        <v>1.3</v>
      </c>
      <c r="S79" s="491">
        <f>SUMIFS(Таблица1[Столбец1],Таблица1[коэф],"1,3",Таблица1[р/р],"4/16",Таблица1[Ф. И. О.],B77)</f>
        <v>0</v>
      </c>
      <c r="T79" s="493">
        <f t="shared" si="6"/>
        <v>0</v>
      </c>
      <c r="U79" s="410">
        <f>база!$M$5</f>
        <v>247.41720000000001</v>
      </c>
      <c r="V79" s="390">
        <v>1.3</v>
      </c>
      <c r="W79" s="494">
        <f>SUMIFS(Таблица1[Столбец1],Таблица1[коэф],"1,3",Таблица1[р/р],"4/24",Таблица1[Ф. И. О.],B77)</f>
        <v>0</v>
      </c>
      <c r="X79" s="493">
        <f t="shared" si="7"/>
        <v>0</v>
      </c>
      <c r="Y79" s="764"/>
      <c r="Z79" s="766"/>
      <c r="AA79" s="756"/>
    </row>
    <row r="80" spans="1:29" ht="18.75">
      <c r="A80" s="756"/>
      <c r="B80" s="215"/>
      <c r="C80" s="795"/>
      <c r="D80" s="795"/>
      <c r="E80" s="389"/>
      <c r="F80" s="390"/>
      <c r="G80" s="400"/>
      <c r="H80" s="392">
        <f t="shared" si="4"/>
        <v>0</v>
      </c>
      <c r="I80" s="389"/>
      <c r="J80" s="390"/>
      <c r="K80" s="434"/>
      <c r="L80" s="395">
        <f t="shared" si="5"/>
        <v>0</v>
      </c>
      <c r="M80" s="432"/>
      <c r="N80" s="434"/>
      <c r="O80" s="434"/>
      <c r="P80" s="395"/>
      <c r="Q80" s="393">
        <f>IF(D72&lt;=3,база!$L$4,
IF(D72=4,база!$L$5,
IF(D72=5,база!$L$6)))</f>
        <v>210.57480000000001</v>
      </c>
      <c r="R80" s="390">
        <v>1.4</v>
      </c>
      <c r="S80" s="491">
        <f>SUMIFS(Таблица1[Столбец1],Таблица1[коэф],"1,4",Таблица1[р/р],"3/16",Таблица1[Ф. И. О.],B77)</f>
        <v>0</v>
      </c>
      <c r="T80" s="493">
        <f t="shared" si="6"/>
        <v>0</v>
      </c>
      <c r="U80" s="410">
        <f>IF(D72&lt;=3,база!$M$4,
IF(D72=4,база!$M$5,
IF(D72=5,база!$M$6)))</f>
        <v>225.09719999999999</v>
      </c>
      <c r="V80" s="390">
        <v>1.4</v>
      </c>
      <c r="W80" s="494">
        <f>SUMIFS(Таблица1[Столбец1],Таблица1[коэф],"1,4",Таблица1[р/р],"3/24",Таблица1[Ф. И. О.],B77)</f>
        <v>0</v>
      </c>
      <c r="X80" s="493">
        <f t="shared" si="7"/>
        <v>0</v>
      </c>
      <c r="Y80" s="764"/>
      <c r="Z80" s="766"/>
      <c r="AA80" s="756"/>
    </row>
    <row r="81" spans="1:29" ht="18.75">
      <c r="A81" s="756"/>
      <c r="B81" s="215"/>
      <c r="C81" s="795"/>
      <c r="D81" s="795"/>
      <c r="E81" s="389"/>
      <c r="F81" s="390"/>
      <c r="G81" s="400"/>
      <c r="H81" s="392">
        <f t="shared" si="4"/>
        <v>0</v>
      </c>
      <c r="I81" s="389"/>
      <c r="J81" s="390"/>
      <c r="K81" s="434"/>
      <c r="L81" s="395">
        <f t="shared" si="5"/>
        <v>0</v>
      </c>
      <c r="M81" s="432"/>
      <c r="N81" s="434"/>
      <c r="O81" s="434"/>
      <c r="P81" s="395"/>
      <c r="Q81" s="393">
        <f>база!$L$5</f>
        <v>231.45480000000001</v>
      </c>
      <c r="R81" s="390">
        <v>1.4</v>
      </c>
      <c r="S81" s="491">
        <f>SUMIFS(Таблица1[Столбец1],Таблица1[коэф],"1,4",Таблица1[р/р],"4/16",Таблица1[Ф. И. О.],B77)</f>
        <v>0</v>
      </c>
      <c r="T81" s="493">
        <f t="shared" si="6"/>
        <v>0</v>
      </c>
      <c r="U81" s="410">
        <f>база!$M$5</f>
        <v>247.41720000000001</v>
      </c>
      <c r="V81" s="390">
        <v>1.4</v>
      </c>
      <c r="W81" s="494">
        <f>SUMIFS(Таблица1[Столбец1],Таблица1[коэф],"1,4",Таблица1[р/р],"4/24",Таблица1[Ф. И. О.],B77)</f>
        <v>0</v>
      </c>
      <c r="X81" s="493">
        <f t="shared" si="7"/>
        <v>0</v>
      </c>
      <c r="Y81" s="764"/>
      <c r="Z81" s="766"/>
      <c r="AA81" s="756"/>
    </row>
    <row r="82" spans="1:29" ht="19.5" thickBot="1">
      <c r="A82" s="757"/>
      <c r="B82" s="202"/>
      <c r="C82" s="796"/>
      <c r="D82" s="796"/>
      <c r="E82" s="473"/>
      <c r="F82" s="464"/>
      <c r="G82" s="465"/>
      <c r="H82" s="409">
        <f t="shared" si="4"/>
        <v>0</v>
      </c>
      <c r="I82" s="473"/>
      <c r="J82" s="464"/>
      <c r="K82" s="457"/>
      <c r="L82" s="424">
        <f t="shared" si="5"/>
        <v>0</v>
      </c>
      <c r="M82" s="466"/>
      <c r="N82" s="457"/>
      <c r="O82" s="457"/>
      <c r="P82" s="458"/>
      <c r="Q82" s="463">
        <f>база!$L$6</f>
        <v>261.04640000000001</v>
      </c>
      <c r="R82" s="464">
        <v>1.4</v>
      </c>
      <c r="S82" s="512">
        <f>SUMIFS(Таблица1[Столбец1],Таблица1[коэф],"1,4",Таблица1[р/р],"5/16",Таблица1[Ф. И. О.],B77)</f>
        <v>0</v>
      </c>
      <c r="T82" s="508">
        <f t="shared" si="6"/>
        <v>0</v>
      </c>
      <c r="U82" s="469">
        <f>база!$M$6</f>
        <v>279.0496</v>
      </c>
      <c r="V82" s="464">
        <v>1.4</v>
      </c>
      <c r="W82" s="501">
        <f>SUMIFS(Таблица1[Столбец1],Таблица1[коэф],"1,4",Таблица1[р/р],"5/24",Таблица1[Ф. И. О.],B77)</f>
        <v>0</v>
      </c>
      <c r="X82" s="508">
        <f t="shared" si="7"/>
        <v>0</v>
      </c>
      <c r="Y82" s="765"/>
      <c r="Z82" s="767"/>
      <c r="AA82" s="757"/>
    </row>
    <row r="83" spans="1:29" ht="18.75">
      <c r="A83" s="755">
        <v>8</v>
      </c>
      <c r="B83" s="215"/>
      <c r="C83" s="794">
        <f>INDEX(база!$E$2:$E$81, MATCH(B88,база!$B$2:$B$50,0))</f>
        <v>16809</v>
      </c>
      <c r="D83" s="794">
        <f>INDEX(база!$D$2:$D$89, MATCH(B88,база!$B$2:$B$50,0))</f>
        <v>3</v>
      </c>
      <c r="E83" s="377">
        <f>IF(D83&lt;=3,база!$I$4,
IF(D83=4,база!$I$5,
IF(D83=5,база!$I$6)))</f>
        <v>188.7912</v>
      </c>
      <c r="F83" s="378">
        <v>1</v>
      </c>
      <c r="G83" s="387">
        <f>SUMIFS(Таблица1[Столбец1],Таблица1[коэф],"1",Таблица1[р/р],"2/4",Таблица1[Ф. И. О.],B88)</f>
        <v>0</v>
      </c>
      <c r="H83" s="380">
        <f t="shared" si="4"/>
        <v>0</v>
      </c>
      <c r="I83" s="451">
        <f>IF(D83&lt;=3,база!$J$4,
IF(D83=4,база!$J$5,
IF(D83=5,база!$J$6)))</f>
        <v>196.05240000000001</v>
      </c>
      <c r="J83" s="417">
        <v>1</v>
      </c>
      <c r="K83" s="453">
        <f>SUMIFS(Таблица1[Столбец1],Таблица1[коэф],"1",Таблица1[р/р],"2/8",Таблица1[Ф. И. О.],B88)</f>
        <v>0</v>
      </c>
      <c r="L83" s="383">
        <f t="shared" si="5"/>
        <v>0</v>
      </c>
      <c r="M83" s="453"/>
      <c r="N83" s="453">
        <v>1</v>
      </c>
      <c r="O83" s="453">
        <f>SUMIFS(Data_Tech!$AM$3:$AM$67,Data_Tech!$E$3:$E$67,"1",Data_Tech!$G$3:$G$67,"3/12",Data_Tech!$F$3:$F$67,B88)</f>
        <v>0</v>
      </c>
      <c r="P83" s="398">
        <f>ROUND(M83*N83*O83,2)</f>
        <v>0</v>
      </c>
      <c r="Q83" s="377">
        <f>IF(D83&lt;=3,база!$L$4,
IF(D83=4,база!$L$5,
IF(D83=5,база!$L$6)))</f>
        <v>210.57480000000001</v>
      </c>
      <c r="R83" s="378">
        <v>1</v>
      </c>
      <c r="S83" s="489">
        <f>SUMIFS(Таблица1[Столбец1],Таблица1[коэф],"1",Таблица1[р/р],"3/16",Таблица1[Ф. И. О.],B88)</f>
        <v>0</v>
      </c>
      <c r="T83" s="490">
        <f t="shared" si="6"/>
        <v>0</v>
      </c>
      <c r="U83" s="454">
        <f>IF(D83&lt;=3,база!$M$4,
IF(D83=4,база!$M$5,
IF(D83=5,база!$M$6)))</f>
        <v>225.09719999999999</v>
      </c>
      <c r="V83" s="417">
        <v>1</v>
      </c>
      <c r="W83" s="500">
        <f>SUMIFS(Таблица1[Столбец1],Таблица1[коэф],"1",Таблица1[р/р],"3/24",Таблица1[Ф. И. О.],B88)</f>
        <v>0</v>
      </c>
      <c r="X83" s="490">
        <f t="shared" si="7"/>
        <v>0</v>
      </c>
      <c r="Y83" s="764">
        <f>SUM(G83:G93,K83:K93,O83:O93,S83:S93,W83:W93)</f>
        <v>0</v>
      </c>
      <c r="Z83" s="766">
        <f>IFERROR(SUM(H83:H93,L83:L93,T83:T93,X83:X93),"")</f>
        <v>0</v>
      </c>
      <c r="AA83" s="756"/>
    </row>
    <row r="84" spans="1:29" ht="18.75">
      <c r="A84" s="756"/>
      <c r="B84" s="215"/>
      <c r="C84" s="795"/>
      <c r="D84" s="795"/>
      <c r="E84" s="389">
        <f>IF(D83&lt;=3,база!$I$4,
IF(D83=4,база!$I$5,
IF(D83=5,база!$I$6)))</f>
        <v>188.7912</v>
      </c>
      <c r="F84" s="390">
        <v>1</v>
      </c>
      <c r="G84" s="400">
        <f>SUMIFS(Таблица1[Столбец1],Таблица1[коэф],"1",Таблица1[р/р],"3/4",Таблица1[Ф. И. О.],B88)</f>
        <v>0</v>
      </c>
      <c r="H84" s="392">
        <f t="shared" si="4"/>
        <v>0</v>
      </c>
      <c r="I84" s="393">
        <f>IF(D83&lt;=3,база!$J$4,
IF(D83=4,база!$J$5,
IF(D83=5,база!$J$6)))</f>
        <v>196.05240000000001</v>
      </c>
      <c r="J84" s="390">
        <v>1</v>
      </c>
      <c r="K84" s="434">
        <f>SUMIFS(Таблица1[Столбец1],Таблица1[коэф],"1",Таблица1[р/р],"3/8",Таблица1[Ф. И. О.],B88)</f>
        <v>0</v>
      </c>
      <c r="L84" s="395">
        <f t="shared" si="5"/>
        <v>0</v>
      </c>
      <c r="M84" s="434"/>
      <c r="N84" s="434">
        <v>1</v>
      </c>
      <c r="O84" s="434">
        <f>SUMIFS(Data_Tech!$AM$3:$AM$67,Data_Tech!$E$3:$E$67,"1",Data_Tech!$G$3:$G$67,"4/12",Data_Tech!$F$3:$F$67,B88)</f>
        <v>0</v>
      </c>
      <c r="P84" s="406">
        <f>ROUND(M84*O84,2)</f>
        <v>0</v>
      </c>
      <c r="Q84" s="389">
        <f>база!$L$5</f>
        <v>231.45480000000001</v>
      </c>
      <c r="R84" s="390">
        <v>1</v>
      </c>
      <c r="S84" s="491">
        <f>SUMIFS(Таблица1[Столбец1],Таблица1[коэф],"1",Таблица1[р/р],"4/16",Таблица1[Ф. И. О.],B88)</f>
        <v>0</v>
      </c>
      <c r="T84" s="493">
        <f t="shared" si="6"/>
        <v>0</v>
      </c>
      <c r="U84" s="410">
        <f>база!$M$5</f>
        <v>247.41720000000001</v>
      </c>
      <c r="V84" s="390">
        <v>1</v>
      </c>
      <c r="W84" s="494">
        <f>SUMIFS(Таблица1[Столбец1],Таблица1[коэф],"1",Таблица1[р/р],"4/24",Таблица1[Ф. И. О.],B88)</f>
        <v>0</v>
      </c>
      <c r="X84" s="493">
        <f t="shared" si="7"/>
        <v>0</v>
      </c>
      <c r="Y84" s="764"/>
      <c r="Z84" s="766"/>
      <c r="AA84" s="756"/>
    </row>
    <row r="85" spans="1:29" ht="18.75">
      <c r="A85" s="756"/>
      <c r="B85" s="215"/>
      <c r="C85" s="795"/>
      <c r="D85" s="795"/>
      <c r="E85" s="389"/>
      <c r="F85" s="390"/>
      <c r="G85" s="400"/>
      <c r="H85" s="392">
        <f t="shared" si="4"/>
        <v>0</v>
      </c>
      <c r="I85" s="393"/>
      <c r="J85" s="390"/>
      <c r="K85" s="434"/>
      <c r="L85" s="395">
        <f t="shared" si="5"/>
        <v>0</v>
      </c>
      <c r="M85" s="434"/>
      <c r="N85" s="434"/>
      <c r="O85" s="434"/>
      <c r="P85" s="406"/>
      <c r="Q85" s="389">
        <f>база!$L$6</f>
        <v>261.04640000000001</v>
      </c>
      <c r="R85" s="390">
        <v>1</v>
      </c>
      <c r="S85" s="491">
        <f>SUMIFS(Таблица1[Столбец1],Таблица1[коэф],"1",Таблица1[р/р],"5/16",Таблица1[Ф. И. О.],B88)</f>
        <v>0</v>
      </c>
      <c r="T85" s="493">
        <f t="shared" si="6"/>
        <v>0</v>
      </c>
      <c r="U85" s="410">
        <f>база!$M$6</f>
        <v>279.0496</v>
      </c>
      <c r="V85" s="390">
        <v>1</v>
      </c>
      <c r="W85" s="494">
        <f>SUMIFS(Таблица1[Столбец1],Таблица1[коэф],"1",Таблица1[р/р],"5/24",Таблица1[Ф. И. О.],B88)</f>
        <v>0</v>
      </c>
      <c r="X85" s="493">
        <f t="shared" si="7"/>
        <v>0</v>
      </c>
      <c r="Y85" s="764"/>
      <c r="Z85" s="766"/>
      <c r="AA85" s="756"/>
    </row>
    <row r="86" spans="1:29" ht="18.75">
      <c r="A86" s="756"/>
      <c r="B86" s="215"/>
      <c r="C86" s="795"/>
      <c r="D86" s="795"/>
      <c r="E86" s="389"/>
      <c r="F86" s="390"/>
      <c r="G86" s="400"/>
      <c r="H86" s="392">
        <f t="shared" si="4"/>
        <v>0</v>
      </c>
      <c r="I86" s="393">
        <f>база!$J$5</f>
        <v>215.4924</v>
      </c>
      <c r="J86" s="390">
        <v>1.5</v>
      </c>
      <c r="K86" s="434">
        <f>SUMIFS(Таблица1[Столбец1],Таблица1[коэф],"1,5",Таблица1[р/р],"4/8",Таблица1[Ф. И. О.],B88)</f>
        <v>0</v>
      </c>
      <c r="L86" s="395">
        <f t="shared" si="5"/>
        <v>0</v>
      </c>
      <c r="M86" s="434"/>
      <c r="N86" s="434"/>
      <c r="O86" s="434"/>
      <c r="P86" s="406"/>
      <c r="Q86" s="389">
        <f>IF(D83&lt;=3,база!$L$4,
IF(D83=4,база!$L$5,
IF(D83=5,база!$L$6)))</f>
        <v>210.57480000000001</v>
      </c>
      <c r="R86" s="390">
        <v>1.2</v>
      </c>
      <c r="S86" s="491">
        <f>SUMIFS(Таблица1[Столбец1],Таблица1[коэф],"1,2",Таблица1[р/р],"3/16",Таблица1[Ф. И. О.],B88)</f>
        <v>0</v>
      </c>
      <c r="T86" s="493">
        <f t="shared" si="6"/>
        <v>0</v>
      </c>
      <c r="U86" s="410">
        <f>IF(D83&lt;=3,база!$M$4,
IF(D83=4,база!$M$5,
IF(D83=5,база!$M$6)))</f>
        <v>225.09719999999999</v>
      </c>
      <c r="V86" s="390">
        <v>1.2</v>
      </c>
      <c r="W86" s="494">
        <f>SUMIFS(Таблица1[Столбец1],Таблица1[коэф],"1,2",Таблица1[р/р],"3/24",Таблица1[Ф. И. О.],B88)</f>
        <v>0</v>
      </c>
      <c r="X86" s="493">
        <f t="shared" si="7"/>
        <v>0</v>
      </c>
      <c r="Y86" s="764"/>
      <c r="Z86" s="766"/>
      <c r="AA86" s="756"/>
    </row>
    <row r="87" spans="1:29" ht="18.75">
      <c r="A87" s="756"/>
      <c r="B87" s="215"/>
      <c r="C87" s="795"/>
      <c r="D87" s="795"/>
      <c r="E87" s="389"/>
      <c r="F87" s="390"/>
      <c r="G87" s="400"/>
      <c r="H87" s="392">
        <f t="shared" si="4"/>
        <v>0</v>
      </c>
      <c r="I87" s="393">
        <f>база!$J$6</f>
        <v>243.04319999999998</v>
      </c>
      <c r="J87" s="390">
        <v>1.5</v>
      </c>
      <c r="K87" s="434">
        <f>SUMIFS(Таблица1[Столбец1],Таблица1[коэф],"1,5",Таблица1[р/р],"5/8",Таблица1[Ф. И. О.],B88)</f>
        <v>0</v>
      </c>
      <c r="L87" s="395">
        <f t="shared" si="5"/>
        <v>0</v>
      </c>
      <c r="M87" s="434"/>
      <c r="N87" s="434"/>
      <c r="O87" s="434"/>
      <c r="P87" s="406"/>
      <c r="Q87" s="389">
        <f>база!$L$5</f>
        <v>231.45480000000001</v>
      </c>
      <c r="R87" s="390">
        <v>1.2</v>
      </c>
      <c r="S87" s="491">
        <f>SUMIFS(Таблица1[Столбец1],Таблица1[коэф],"1,2",Таблица1[р/р],"4/16",Таблица1[Ф. И. О.],B88)</f>
        <v>0</v>
      </c>
      <c r="T87" s="493">
        <f t="shared" si="6"/>
        <v>0</v>
      </c>
      <c r="U87" s="410">
        <f>база!$M$5</f>
        <v>247.41720000000001</v>
      </c>
      <c r="V87" s="390">
        <v>1.2</v>
      </c>
      <c r="W87" s="494">
        <f>SUMIFS(Таблица1[Столбец1],Таблица1[коэф],"1,2",Таблица1[р/р],"4/24",Таблица1[Ф. И. О.],B88)</f>
        <v>0</v>
      </c>
      <c r="X87" s="493">
        <f t="shared" si="7"/>
        <v>0</v>
      </c>
      <c r="Y87" s="764"/>
      <c r="Z87" s="766"/>
      <c r="AA87" s="756"/>
    </row>
    <row r="88" spans="1:29" ht="18.75">
      <c r="A88" s="756"/>
      <c r="B88" s="215" t="str">
        <f>база!B9</f>
        <v>Бадьялова Елена Сергеевна</v>
      </c>
      <c r="C88" s="795"/>
      <c r="D88" s="795"/>
      <c r="E88" s="389"/>
      <c r="F88" s="390"/>
      <c r="G88" s="400"/>
      <c r="H88" s="392">
        <f t="shared" si="4"/>
        <v>0</v>
      </c>
      <c r="I88" s="393"/>
      <c r="J88" s="390"/>
      <c r="K88" s="434"/>
      <c r="L88" s="395">
        <f t="shared" si="5"/>
        <v>0</v>
      </c>
      <c r="M88" s="434"/>
      <c r="N88" s="434"/>
      <c r="O88" s="434"/>
      <c r="P88" s="406"/>
      <c r="Q88" s="389">
        <f>база!$L$6</f>
        <v>261.04640000000001</v>
      </c>
      <c r="R88" s="390">
        <v>1.2</v>
      </c>
      <c r="S88" s="491">
        <f>SUMIFS(Таблица1[Столбец1],Таблица1[коэф],"1,2",Таблица1[р/р],"5/16",Таблица1[Ф. И. О.],B88)</f>
        <v>0</v>
      </c>
      <c r="T88" s="493">
        <f t="shared" si="6"/>
        <v>0</v>
      </c>
      <c r="U88" s="410">
        <f>база!$M$6</f>
        <v>279.0496</v>
      </c>
      <c r="V88" s="390">
        <v>1.2</v>
      </c>
      <c r="W88" s="494">
        <f>SUMIFS(Таблица1[Столбец1],Таблица1[коэф],"1,2",Таблица1[р/р],"5/24",Таблица1[Ф. И. О.],B88)</f>
        <v>0</v>
      </c>
      <c r="X88" s="493">
        <f t="shared" si="7"/>
        <v>0</v>
      </c>
      <c r="Y88" s="764"/>
      <c r="Z88" s="766"/>
      <c r="AA88" s="756"/>
      <c r="AC88" s="712" t="str">
        <f>IF(SUMIFS(Таблица1[Столбец3],Таблица1[Ф. И. О.],B88)-Z83=0,"",SUMIFS(Таблица1[Столбец3],Таблица1[Ф. И. О.],B88)-Z83)</f>
        <v/>
      </c>
    </row>
    <row r="89" spans="1:29" ht="18.75">
      <c r="A89" s="756"/>
      <c r="B89" s="215"/>
      <c r="C89" s="795"/>
      <c r="D89" s="795"/>
      <c r="E89" s="389"/>
      <c r="F89" s="390"/>
      <c r="G89" s="400"/>
      <c r="H89" s="392">
        <f t="shared" si="4"/>
        <v>0</v>
      </c>
      <c r="I89" s="393"/>
      <c r="J89" s="390"/>
      <c r="K89" s="434"/>
      <c r="L89" s="395">
        <f t="shared" si="5"/>
        <v>0</v>
      </c>
      <c r="M89" s="434"/>
      <c r="N89" s="434"/>
      <c r="O89" s="434"/>
      <c r="P89" s="406"/>
      <c r="Q89" s="389">
        <f>IF(D83&lt;=3,база!$L$4,
IF(D83=4,база!$L$5,
IF(D83=5,база!$L$6)))</f>
        <v>210.57480000000001</v>
      </c>
      <c r="R89" s="390">
        <v>1.3</v>
      </c>
      <c r="S89" s="491">
        <f>SUMIFS(Таблица1[Столбец1],Таблица1[коэф],"1,3",Таблица1[р/р],"3/16",Таблица1[Ф. И. О.],B88)</f>
        <v>0</v>
      </c>
      <c r="T89" s="493">
        <f t="shared" si="6"/>
        <v>0</v>
      </c>
      <c r="U89" s="410">
        <f>IF(D83&lt;=3,база!$M$4,
IF(D83=4,база!$M$5,
IF(D83=5,база!$M$6)))</f>
        <v>225.09719999999999</v>
      </c>
      <c r="V89" s="390">
        <v>1.3</v>
      </c>
      <c r="W89" s="494">
        <f>SUMIFS(Таблица1[Столбец1],Таблица1[коэф],"1,3",Таблица1[р/р],"3/24",Таблица1[Ф. И. О.],B88)</f>
        <v>0</v>
      </c>
      <c r="X89" s="493">
        <f t="shared" si="7"/>
        <v>0</v>
      </c>
      <c r="Y89" s="764"/>
      <c r="Z89" s="766"/>
      <c r="AA89" s="756"/>
      <c r="AC89" s="712" t="str">
        <f>IF(SUMIFS(Таблица1[Столбец1],Таблица1[Ф. И. О.],B88)=Y83,"",B88&amp;"  часы не верны")</f>
        <v/>
      </c>
    </row>
    <row r="90" spans="1:29" ht="18.75">
      <c r="A90" s="756"/>
      <c r="B90" s="215"/>
      <c r="C90" s="795"/>
      <c r="D90" s="795"/>
      <c r="E90" s="389"/>
      <c r="F90" s="390"/>
      <c r="G90" s="400"/>
      <c r="H90" s="392">
        <f t="shared" si="4"/>
        <v>0</v>
      </c>
      <c r="I90" s="393"/>
      <c r="J90" s="390"/>
      <c r="K90" s="434"/>
      <c r="L90" s="395">
        <f t="shared" si="5"/>
        <v>0</v>
      </c>
      <c r="M90" s="434"/>
      <c r="N90" s="434"/>
      <c r="O90" s="434"/>
      <c r="P90" s="406"/>
      <c r="Q90" s="389">
        <f>база!$L$5</f>
        <v>231.45480000000001</v>
      </c>
      <c r="R90" s="390">
        <v>1.3</v>
      </c>
      <c r="S90" s="491">
        <f>SUMIFS(Таблица1[Столбец1],Таблица1[коэф],"1,3",Таблица1[р/р],"4/16",Таблица1[Ф. И. О.],B88)</f>
        <v>0</v>
      </c>
      <c r="T90" s="493">
        <f t="shared" si="6"/>
        <v>0</v>
      </c>
      <c r="U90" s="410">
        <f>база!$M$5</f>
        <v>247.41720000000001</v>
      </c>
      <c r="V90" s="390">
        <v>1.3</v>
      </c>
      <c r="W90" s="494">
        <f>SUMIFS(Таблица1[Столбец1],Таблица1[коэф],"1,3",Таблица1[р/р],"4/24",Таблица1[Ф. И. О.],B88)</f>
        <v>0</v>
      </c>
      <c r="X90" s="493">
        <f t="shared" si="7"/>
        <v>0</v>
      </c>
      <c r="Y90" s="764"/>
      <c r="Z90" s="766"/>
      <c r="AA90" s="756"/>
    </row>
    <row r="91" spans="1:29" ht="18.75">
      <c r="A91" s="756"/>
      <c r="B91" s="215"/>
      <c r="C91" s="795"/>
      <c r="D91" s="795"/>
      <c r="E91" s="389"/>
      <c r="F91" s="390"/>
      <c r="G91" s="400"/>
      <c r="H91" s="392">
        <f t="shared" si="4"/>
        <v>0</v>
      </c>
      <c r="I91" s="393"/>
      <c r="J91" s="390"/>
      <c r="K91" s="434"/>
      <c r="L91" s="395">
        <f t="shared" si="5"/>
        <v>0</v>
      </c>
      <c r="M91" s="434"/>
      <c r="N91" s="434"/>
      <c r="O91" s="434"/>
      <c r="P91" s="406"/>
      <c r="Q91" s="389">
        <f>IF(D83&lt;=3,база!$L$4,
IF(D83=4,база!$L$5,
IF(D83=5,база!$L$6)))</f>
        <v>210.57480000000001</v>
      </c>
      <c r="R91" s="390">
        <v>1.4</v>
      </c>
      <c r="S91" s="491">
        <f>SUMIFS(Таблица1[Столбец1],Таблица1[коэф],"1,4",Таблица1[р/р],"3/16",Таблица1[Ф. И. О.],B88)</f>
        <v>0</v>
      </c>
      <c r="T91" s="493">
        <f t="shared" si="6"/>
        <v>0</v>
      </c>
      <c r="U91" s="410">
        <f>IF(D83&lt;=3,база!$M$4,
IF(D83=4,база!$M$5,
IF(D83=5,база!$M$6)))</f>
        <v>225.09719999999999</v>
      </c>
      <c r="V91" s="390">
        <v>1.4</v>
      </c>
      <c r="W91" s="494">
        <f>SUMIFS(Таблица1[Столбец1],Таблица1[коэф],"1,4",Таблица1[р/р],"3/24",Таблица1[Ф. И. О.],B88)</f>
        <v>0</v>
      </c>
      <c r="X91" s="493">
        <f t="shared" si="7"/>
        <v>0</v>
      </c>
      <c r="Y91" s="764"/>
      <c r="Z91" s="766"/>
      <c r="AA91" s="756"/>
    </row>
    <row r="92" spans="1:29" ht="18.75">
      <c r="A92" s="756"/>
      <c r="B92" s="215"/>
      <c r="C92" s="795"/>
      <c r="D92" s="795"/>
      <c r="E92" s="389"/>
      <c r="F92" s="390"/>
      <c r="G92" s="400"/>
      <c r="H92" s="392">
        <f t="shared" si="4"/>
        <v>0</v>
      </c>
      <c r="I92" s="393"/>
      <c r="J92" s="390"/>
      <c r="K92" s="434"/>
      <c r="L92" s="395">
        <f t="shared" si="5"/>
        <v>0</v>
      </c>
      <c r="M92" s="434"/>
      <c r="N92" s="434"/>
      <c r="O92" s="434"/>
      <c r="P92" s="406"/>
      <c r="Q92" s="389">
        <f>база!$L$5</f>
        <v>231.45480000000001</v>
      </c>
      <c r="R92" s="390">
        <v>1.4</v>
      </c>
      <c r="S92" s="491">
        <f>SUMIFS(Таблица1[Столбец1],Таблица1[коэф],"1,4",Таблица1[р/р],"4/16",Таблица1[Ф. И. О.],B88)</f>
        <v>0</v>
      </c>
      <c r="T92" s="493">
        <f t="shared" si="6"/>
        <v>0</v>
      </c>
      <c r="U92" s="410">
        <f>база!$M$5</f>
        <v>247.41720000000001</v>
      </c>
      <c r="V92" s="390">
        <v>1.4</v>
      </c>
      <c r="W92" s="494">
        <f>SUMIFS(Таблица1[Столбец1],Таблица1[коэф],"1,4",Таблица1[р/р],"4/24",Таблица1[Ф. И. О.],B88)</f>
        <v>0</v>
      </c>
      <c r="X92" s="493">
        <f t="shared" si="7"/>
        <v>0</v>
      </c>
      <c r="Y92" s="764"/>
      <c r="Z92" s="766"/>
      <c r="AA92" s="756"/>
    </row>
    <row r="93" spans="1:29" ht="19.5" thickBot="1">
      <c r="A93" s="757"/>
      <c r="B93" s="202"/>
      <c r="C93" s="796"/>
      <c r="D93" s="796"/>
      <c r="E93" s="473"/>
      <c r="F93" s="464"/>
      <c r="G93" s="465"/>
      <c r="H93" s="468">
        <f t="shared" si="4"/>
        <v>0</v>
      </c>
      <c r="I93" s="463"/>
      <c r="J93" s="464"/>
      <c r="K93" s="457"/>
      <c r="L93" s="458">
        <f t="shared" si="5"/>
        <v>0</v>
      </c>
      <c r="M93" s="457"/>
      <c r="N93" s="457"/>
      <c r="O93" s="457"/>
      <c r="P93" s="476"/>
      <c r="Q93" s="473">
        <f>база!$L$6</f>
        <v>261.04640000000001</v>
      </c>
      <c r="R93" s="464">
        <v>1.4</v>
      </c>
      <c r="S93" s="512">
        <f>SUMIFS(Таблица1[Столбец1],Таблица1[коэф],"1,4",Таблица1[р/р],"5/16",Таблица1[Ф. И. О.],B88)</f>
        <v>0</v>
      </c>
      <c r="T93" s="492">
        <f t="shared" si="6"/>
        <v>0</v>
      </c>
      <c r="U93" s="469">
        <f>база!$M$6</f>
        <v>279.0496</v>
      </c>
      <c r="V93" s="464">
        <v>1.4</v>
      </c>
      <c r="W93" s="501">
        <f>SUMIFS(Таблица1[Столбец1],Таблица1[коэф],"1,4",Таблица1[р/р],"5/24",Таблица1[Ф. И. О.],B88)</f>
        <v>0</v>
      </c>
      <c r="X93" s="492">
        <f t="shared" si="7"/>
        <v>0</v>
      </c>
      <c r="Y93" s="765"/>
      <c r="Z93" s="767"/>
      <c r="AA93" s="757"/>
    </row>
    <row r="94" spans="1:29" ht="18.75">
      <c r="A94" s="755">
        <v>9</v>
      </c>
      <c r="B94" s="215"/>
      <c r="C94" s="794">
        <f>INDEX(база!$E$2:$E$81, MATCH(B99,база!$B$2:$B$50,0))</f>
        <v>17169</v>
      </c>
      <c r="D94" s="794">
        <f>INDEX(база!$D$2:$D$89, MATCH(B99,база!$B$2:$B$50,0))</f>
        <v>3</v>
      </c>
      <c r="E94" s="377">
        <f>IF(D94&lt;=3,база!$I$4,
IF(D94=4,база!$I$5,
IF(D94=5,база!$I$6)))</f>
        <v>188.7912</v>
      </c>
      <c r="F94" s="378">
        <v>1</v>
      </c>
      <c r="G94" s="387">
        <f>SUMIFS(Таблица1[Столбец1],Таблица1[коэф],"1",Таблица1[р/р],"2/4",Таблица1[Ф. И. О.],B99)</f>
        <v>0</v>
      </c>
      <c r="H94" s="402">
        <f t="shared" si="4"/>
        <v>0</v>
      </c>
      <c r="I94" s="451">
        <f>IF(D94&lt;=3,база!$J$4,
IF(D94=4,база!$J$5,
IF(D94=5,база!$J$6)))</f>
        <v>196.05240000000001</v>
      </c>
      <c r="J94" s="417">
        <v>1</v>
      </c>
      <c r="K94" s="453">
        <f>SUMIFS(Таблица1[Столбец1],Таблица1[коэф],"1",Таблица1[р/р],"2/8",Таблица1[Ф. И. О.],B99)</f>
        <v>0</v>
      </c>
      <c r="L94" s="484">
        <f t="shared" si="5"/>
        <v>0</v>
      </c>
      <c r="M94" s="453"/>
      <c r="N94" s="453">
        <v>1</v>
      </c>
      <c r="O94" s="453">
        <f>SUMIFS(Data_Tech!$AM$3:$AM$67,Data_Tech!$E$3:$E$67,"1",Data_Tech!$G$3:$G$67,"3/12",Data_Tech!$F$3:$F$67,B99)</f>
        <v>0</v>
      </c>
      <c r="P94" s="398">
        <f>ROUND(M94*N94*O94,2)</f>
        <v>0</v>
      </c>
      <c r="Q94" s="377">
        <f>IF(D94&lt;=3,база!$L$4,
IF(D94=4,база!$L$5,
IF(D94=5,база!$L$6)))</f>
        <v>210.57480000000001</v>
      </c>
      <c r="R94" s="378">
        <v>1</v>
      </c>
      <c r="S94" s="489">
        <f>SUMIFS(Таблица1[Столбец1],Таблица1[коэф],"1",Таблица1[р/р],"3/16",Таблица1[Ф. И. О.],B99)</f>
        <v>0</v>
      </c>
      <c r="T94" s="490">
        <f t="shared" si="6"/>
        <v>0</v>
      </c>
      <c r="U94" s="471">
        <f>IF(D94&lt;=3,база!$M$4,
IF(D94=4,база!$M$5,
IF(D94=5,база!$M$6)))</f>
        <v>225.09719999999999</v>
      </c>
      <c r="V94" s="378">
        <v>1</v>
      </c>
      <c r="W94" s="502">
        <f>SUMIFS(Таблица1[Столбец1],Таблица1[коэф],"1",Таблица1[р/р],"3/24",Таблица1[Ф. И. О.],B99)</f>
        <v>0</v>
      </c>
      <c r="X94" s="490">
        <f t="shared" si="7"/>
        <v>0</v>
      </c>
      <c r="Y94" s="764">
        <f t="shared" ref="Y94" si="8">SUM(G94:G104,K94:K104,O94:O104,S94:S104,W94:W104)</f>
        <v>0</v>
      </c>
      <c r="Z94" s="766">
        <f t="shared" ref="Z94" si="9">IFERROR(SUM(H94:H104,L94:L104,T94:T104,X94:X104),"")</f>
        <v>0</v>
      </c>
      <c r="AA94" s="756"/>
    </row>
    <row r="95" spans="1:29" ht="18.75">
      <c r="A95" s="756"/>
      <c r="B95" s="215"/>
      <c r="C95" s="795"/>
      <c r="D95" s="795"/>
      <c r="E95" s="389">
        <f>IF(D94&lt;=3,база!$I$4,
IF(D94=4,база!$I$5,
IF(D94=5,база!$I$6)))</f>
        <v>188.7912</v>
      </c>
      <c r="F95" s="390">
        <v>1</v>
      </c>
      <c r="G95" s="400">
        <f>SUMIFS(Таблица1[Столбец1],Таблица1[коэф],"1",Таблица1[р/р],"3/4",Таблица1[Ф. И. О.],B99)</f>
        <v>0</v>
      </c>
      <c r="H95" s="392">
        <f t="shared" si="4"/>
        <v>0</v>
      </c>
      <c r="I95" s="393">
        <f>IF(D94&lt;=3,база!$J$4,
IF(D94=4,база!$J$5,
IF(D94=5,база!$J$6)))</f>
        <v>196.05240000000001</v>
      </c>
      <c r="J95" s="390">
        <v>1</v>
      </c>
      <c r="K95" s="434">
        <f>SUMIFS(Таблица1[Столбец1],Таблица1[коэф],"1",Таблица1[р/р],"3/8",Таблица1[Ф. И. О.],B99)</f>
        <v>0</v>
      </c>
      <c r="L95" s="395">
        <f t="shared" si="5"/>
        <v>0</v>
      </c>
      <c r="M95" s="434"/>
      <c r="N95" s="434">
        <v>1</v>
      </c>
      <c r="O95" s="434">
        <f>SUMIFS(Data_Tech!$AM$3:$AM$67,Data_Tech!$E$3:$E$67,"1",Data_Tech!$G$3:$G$67,"4/12",Data_Tech!$F$3:$F$67,B99)</f>
        <v>0</v>
      </c>
      <c r="P95" s="406">
        <f>ROUND(M95*O95,2)</f>
        <v>0</v>
      </c>
      <c r="Q95" s="389">
        <f>база!$L$5</f>
        <v>231.45480000000001</v>
      </c>
      <c r="R95" s="390">
        <v>1</v>
      </c>
      <c r="S95" s="491">
        <f>SUMIFS(Таблица1[Столбец1],Таблица1[коэф],"1",Таблица1[р/р],"4/16",Таблица1[Ф. И. О.],B99)</f>
        <v>0</v>
      </c>
      <c r="T95" s="493">
        <f t="shared" si="6"/>
        <v>0</v>
      </c>
      <c r="U95" s="472">
        <f>база!$M$5</f>
        <v>247.41720000000001</v>
      </c>
      <c r="V95" s="390">
        <v>1</v>
      </c>
      <c r="W95" s="503">
        <f>SUMIFS(Таблица1[Столбец1],Таблица1[коэф],"1",Таблица1[р/р],"4/24",Таблица1[Ф. И. О.],B99)</f>
        <v>0</v>
      </c>
      <c r="X95" s="493">
        <f t="shared" si="7"/>
        <v>0</v>
      </c>
      <c r="Y95" s="764"/>
      <c r="Z95" s="766"/>
      <c r="AA95" s="756"/>
    </row>
    <row r="96" spans="1:29" ht="18.75">
      <c r="A96" s="756"/>
      <c r="B96" s="215"/>
      <c r="C96" s="795"/>
      <c r="D96" s="795"/>
      <c r="E96" s="389"/>
      <c r="F96" s="390"/>
      <c r="G96" s="400"/>
      <c r="H96" s="392">
        <f t="shared" si="4"/>
        <v>0</v>
      </c>
      <c r="I96" s="393"/>
      <c r="J96" s="390"/>
      <c r="K96" s="434"/>
      <c r="L96" s="395">
        <f t="shared" si="5"/>
        <v>0</v>
      </c>
      <c r="M96" s="434"/>
      <c r="N96" s="434"/>
      <c r="O96" s="434"/>
      <c r="P96" s="406"/>
      <c r="Q96" s="389">
        <f>база!$L$6</f>
        <v>261.04640000000001</v>
      </c>
      <c r="R96" s="390">
        <v>1</v>
      </c>
      <c r="S96" s="491">
        <f>SUMIFS(Таблица1[Столбец1],Таблица1[коэф],"1",Таблица1[р/р],"5/16",Таблица1[Ф. И. О.],B99)</f>
        <v>0</v>
      </c>
      <c r="T96" s="493">
        <f t="shared" si="6"/>
        <v>0</v>
      </c>
      <c r="U96" s="472">
        <f>база!$M$6</f>
        <v>279.0496</v>
      </c>
      <c r="V96" s="390">
        <v>1</v>
      </c>
      <c r="W96" s="503">
        <f>SUMIFS(Таблица1[Столбец1],Таблица1[коэф],"1",Таблица1[р/р],"5/24",Таблица1[Ф. И. О.],B99)</f>
        <v>0</v>
      </c>
      <c r="X96" s="493">
        <f t="shared" si="7"/>
        <v>0</v>
      </c>
      <c r="Y96" s="764"/>
      <c r="Z96" s="766"/>
      <c r="AA96" s="756"/>
    </row>
    <row r="97" spans="1:29" ht="18.75">
      <c r="A97" s="756"/>
      <c r="B97" s="215"/>
      <c r="C97" s="795"/>
      <c r="D97" s="795"/>
      <c r="E97" s="389"/>
      <c r="F97" s="390"/>
      <c r="G97" s="400"/>
      <c r="H97" s="392">
        <f t="shared" si="4"/>
        <v>0</v>
      </c>
      <c r="I97" s="393">
        <f>база!$J$5</f>
        <v>215.4924</v>
      </c>
      <c r="J97" s="390">
        <v>1.5</v>
      </c>
      <c r="K97" s="434">
        <f>SUMIFS(Таблица1[Столбец1],Таблица1[коэф],"1,5",Таблица1[р/р],"4/8",Таблица1[Ф. И. О.],B99)</f>
        <v>0</v>
      </c>
      <c r="L97" s="395">
        <f t="shared" si="5"/>
        <v>0</v>
      </c>
      <c r="M97" s="434"/>
      <c r="N97" s="434"/>
      <c r="O97" s="434"/>
      <c r="P97" s="406"/>
      <c r="Q97" s="389">
        <f>IF(D94&lt;=3,база!$L$4,
IF(D94=4,база!$L$5,
IF(D94=5,база!$L$6)))</f>
        <v>210.57480000000001</v>
      </c>
      <c r="R97" s="390">
        <v>1.2</v>
      </c>
      <c r="S97" s="491">
        <f>SUMIFS(Таблица1[Столбец1],Таблица1[коэф],"1,2",Таблица1[р/р],"3/16",Таблица1[Ф. И. О.],B99)</f>
        <v>0</v>
      </c>
      <c r="T97" s="493">
        <f t="shared" si="6"/>
        <v>0</v>
      </c>
      <c r="U97" s="472">
        <f>IF(D94&lt;=3,база!$M$4,
IF(D94=4,база!$M$5,
IF(D94=5,база!$M$6)))</f>
        <v>225.09719999999999</v>
      </c>
      <c r="V97" s="390">
        <v>1.2</v>
      </c>
      <c r="W97" s="503">
        <f>SUMIFS(Таблица1[Столбец1],Таблица1[коэф],"1,2",Таблица1[р/р],"3/24",Таблица1[Ф. И. О.],B99)</f>
        <v>0</v>
      </c>
      <c r="X97" s="493">
        <f t="shared" si="7"/>
        <v>0</v>
      </c>
      <c r="Y97" s="764"/>
      <c r="Z97" s="766"/>
      <c r="AA97" s="756"/>
    </row>
    <row r="98" spans="1:29" ht="18.75">
      <c r="A98" s="756"/>
      <c r="B98" s="215"/>
      <c r="C98" s="795"/>
      <c r="D98" s="795"/>
      <c r="E98" s="389"/>
      <c r="F98" s="390"/>
      <c r="G98" s="400"/>
      <c r="H98" s="392">
        <f t="shared" si="4"/>
        <v>0</v>
      </c>
      <c r="I98" s="451">
        <f>база!$J$6</f>
        <v>243.04319999999998</v>
      </c>
      <c r="J98" s="417">
        <v>1.5</v>
      </c>
      <c r="K98" s="453">
        <f>SUMIFS(Таблица1[Столбец1],Таблица1[коэф],"1,5",Таблица1[р/р],"5/8",Таблица1[Ф. И. О.],B99)</f>
        <v>0</v>
      </c>
      <c r="L98" s="395">
        <f t="shared" si="5"/>
        <v>0</v>
      </c>
      <c r="M98" s="453"/>
      <c r="N98" s="453"/>
      <c r="O98" s="453"/>
      <c r="P98" s="398"/>
      <c r="Q98" s="481">
        <f>база!$L$5</f>
        <v>231.45480000000001</v>
      </c>
      <c r="R98" s="417">
        <v>1.2</v>
      </c>
      <c r="S98" s="495">
        <f>SUMIFS(Таблица1[Столбец1],Таблица1[коэф],"1,2",Таблица1[р/р],"4/16",Таблица1[Ф. И. О.],B99)</f>
        <v>0</v>
      </c>
      <c r="T98" s="493">
        <f t="shared" si="6"/>
        <v>0</v>
      </c>
      <c r="U98" s="485">
        <f>база!$M$5</f>
        <v>247.41720000000001</v>
      </c>
      <c r="V98" s="417">
        <v>1.2</v>
      </c>
      <c r="W98" s="505">
        <f>SUMIFS(Таблица1[Столбец1],Таблица1[коэф],"1,2",Таблица1[р/р],"4/24",Таблица1[Ф. И. О.],B99)</f>
        <v>0</v>
      </c>
      <c r="X98" s="493">
        <f t="shared" si="7"/>
        <v>0</v>
      </c>
      <c r="Y98" s="764"/>
      <c r="Z98" s="766"/>
      <c r="AA98" s="756"/>
    </row>
    <row r="99" spans="1:29" ht="18.75">
      <c r="A99" s="756"/>
      <c r="B99" s="215" t="str">
        <f>база!B10</f>
        <v>Бекетова Надежда Ильинична</v>
      </c>
      <c r="C99" s="795"/>
      <c r="D99" s="795"/>
      <c r="E99" s="389"/>
      <c r="F99" s="390"/>
      <c r="G99" s="400"/>
      <c r="H99" s="392">
        <f t="shared" si="4"/>
        <v>0</v>
      </c>
      <c r="I99" s="393"/>
      <c r="J99" s="390"/>
      <c r="K99" s="434"/>
      <c r="L99" s="395">
        <f t="shared" si="5"/>
        <v>0</v>
      </c>
      <c r="M99" s="434"/>
      <c r="N99" s="434"/>
      <c r="O99" s="434"/>
      <c r="P99" s="406"/>
      <c r="Q99" s="389">
        <f>база!$L$6</f>
        <v>261.04640000000001</v>
      </c>
      <c r="R99" s="390">
        <v>1.2</v>
      </c>
      <c r="S99" s="491">
        <f>SUMIFS(Таблица1[Столбец1],Таблица1[коэф],"1,2",Таблица1[р/р],"5/16",Таблица1[Ф. И. О.],B99)</f>
        <v>0</v>
      </c>
      <c r="T99" s="493">
        <f t="shared" si="6"/>
        <v>0</v>
      </c>
      <c r="U99" s="472">
        <f>база!$M$6</f>
        <v>279.0496</v>
      </c>
      <c r="V99" s="390">
        <v>1.2</v>
      </c>
      <c r="W99" s="503">
        <f>SUMIFS(Таблица1[Столбец1],Таблица1[коэф],"1,2",Таблица1[р/р],"5/24",Таблица1[Ф. И. О.],B99)</f>
        <v>0</v>
      </c>
      <c r="X99" s="492">
        <f t="shared" si="7"/>
        <v>0</v>
      </c>
      <c r="Y99" s="764"/>
      <c r="Z99" s="766"/>
      <c r="AA99" s="756"/>
      <c r="AC99" s="712" t="str">
        <f>IF(SUMIFS(Таблица1[Столбец3],Таблица1[Ф. И. О.],B99)-Z94=0,"",SUMIFS(Таблица1[Столбец3],Таблица1[Ф. И. О.],B99)-Z94)</f>
        <v/>
      </c>
    </row>
    <row r="100" spans="1:29" ht="18.75">
      <c r="A100" s="756"/>
      <c r="B100" s="215"/>
      <c r="C100" s="795"/>
      <c r="D100" s="795"/>
      <c r="E100" s="389"/>
      <c r="F100" s="390"/>
      <c r="G100" s="400"/>
      <c r="H100" s="392">
        <f t="shared" si="4"/>
        <v>0</v>
      </c>
      <c r="I100" s="393"/>
      <c r="J100" s="390"/>
      <c r="K100" s="434"/>
      <c r="L100" s="395">
        <f t="shared" si="5"/>
        <v>0</v>
      </c>
      <c r="M100" s="434"/>
      <c r="N100" s="434"/>
      <c r="O100" s="434"/>
      <c r="P100" s="406"/>
      <c r="Q100" s="389">
        <f>IF(D94&lt;=3,база!$L$4,
IF(D94=4,база!$L$5,
IF(D94=5,база!$L$6)))</f>
        <v>210.57480000000001</v>
      </c>
      <c r="R100" s="390">
        <v>1.3</v>
      </c>
      <c r="S100" s="491">
        <f>SUMIFS(Таблица1[Столбец1],Таблица1[коэф],"1,3",Таблица1[р/р],"3/16",Таблица1[Ф. И. О.],B99)</f>
        <v>0</v>
      </c>
      <c r="T100" s="493">
        <f t="shared" si="6"/>
        <v>0</v>
      </c>
      <c r="U100" s="472">
        <f>IF(D94&lt;=3,база!$M$4,
IF(D94=4,база!$M$5,
IF(D94=5,база!$M$6)))</f>
        <v>225.09719999999999</v>
      </c>
      <c r="V100" s="390">
        <v>1.3</v>
      </c>
      <c r="W100" s="503">
        <f>SUMIFS(Таблица1[Столбец1],Таблица1[коэф],"1,3",Таблица1[р/р],"3/24",Таблица1[Ф. И. О.],B99)</f>
        <v>0</v>
      </c>
      <c r="X100" s="492">
        <f t="shared" si="7"/>
        <v>0</v>
      </c>
      <c r="Y100" s="764"/>
      <c r="Z100" s="766"/>
      <c r="AA100" s="756"/>
      <c r="AC100" s="712" t="str">
        <f>IF(SUMIFS(Таблица1[Столбец1],Таблица1[Ф. И. О.],B99)=Y94,"",B99&amp;"  часы не верны")</f>
        <v/>
      </c>
    </row>
    <row r="101" spans="1:29" ht="18.75">
      <c r="A101" s="756"/>
      <c r="B101" s="215"/>
      <c r="C101" s="795"/>
      <c r="D101" s="795"/>
      <c r="E101" s="389"/>
      <c r="F101" s="390"/>
      <c r="G101" s="400"/>
      <c r="H101" s="392">
        <f t="shared" si="4"/>
        <v>0</v>
      </c>
      <c r="I101" s="393"/>
      <c r="J101" s="390"/>
      <c r="K101" s="434"/>
      <c r="L101" s="395">
        <f t="shared" si="5"/>
        <v>0</v>
      </c>
      <c r="M101" s="434"/>
      <c r="N101" s="434"/>
      <c r="O101" s="434"/>
      <c r="P101" s="406"/>
      <c r="Q101" s="389">
        <f>база!$L$5</f>
        <v>231.45480000000001</v>
      </c>
      <c r="R101" s="390">
        <v>1.3</v>
      </c>
      <c r="S101" s="491">
        <f>SUMIFS(Таблица1[Столбец1],Таблица1[коэф],"1,3",Таблица1[р/р],"4/16",Таблица1[Ф. И. О.],B99)</f>
        <v>0</v>
      </c>
      <c r="T101" s="493">
        <f t="shared" si="6"/>
        <v>0</v>
      </c>
      <c r="U101" s="472">
        <f>база!$M$5</f>
        <v>247.41720000000001</v>
      </c>
      <c r="V101" s="390">
        <v>1.3</v>
      </c>
      <c r="W101" s="503">
        <f>SUMIFS(Таблица1[Столбец1],Таблица1[коэф],"1,3",Таблица1[р/р],"4/24",Таблица1[Ф. И. О.],B99)</f>
        <v>0</v>
      </c>
      <c r="X101" s="492">
        <f t="shared" si="7"/>
        <v>0</v>
      </c>
      <c r="Y101" s="764"/>
      <c r="Z101" s="766"/>
      <c r="AA101" s="756"/>
    </row>
    <row r="102" spans="1:29" ht="18.75">
      <c r="A102" s="756"/>
      <c r="B102" s="215"/>
      <c r="C102" s="795"/>
      <c r="D102" s="795"/>
      <c r="E102" s="389"/>
      <c r="F102" s="390"/>
      <c r="G102" s="400"/>
      <c r="H102" s="392">
        <f t="shared" si="4"/>
        <v>0</v>
      </c>
      <c r="I102" s="393"/>
      <c r="J102" s="390"/>
      <c r="K102" s="434"/>
      <c r="L102" s="395">
        <f t="shared" si="5"/>
        <v>0</v>
      </c>
      <c r="M102" s="434"/>
      <c r="N102" s="434"/>
      <c r="O102" s="434"/>
      <c r="P102" s="406"/>
      <c r="Q102" s="389">
        <f>IF(D94&lt;=3,база!$L$4,
IF(D94=4,база!$L$5,
IF(D94=5,база!$L$6)))</f>
        <v>210.57480000000001</v>
      </c>
      <c r="R102" s="390">
        <v>1.4</v>
      </c>
      <c r="S102" s="491">
        <f>SUMIFS(Таблица1[Столбец1],Таблица1[коэф],"1,4",Таблица1[р/р],"3/16",Таблица1[Ф. И. О.],B99)</f>
        <v>0</v>
      </c>
      <c r="T102" s="493">
        <f t="shared" si="6"/>
        <v>0</v>
      </c>
      <c r="U102" s="472">
        <f>IF(D94&lt;=3,база!$M$4,
IF(D94=4,база!$M$5,
IF(D94=5,база!$M$6)))</f>
        <v>225.09719999999999</v>
      </c>
      <c r="V102" s="390">
        <v>1.4</v>
      </c>
      <c r="W102" s="503">
        <f>SUMIFS(Таблица1[Столбец1],Таблица1[коэф],"1,4",Таблица1[р/р],"3/24",Таблица1[Ф. И. О.],B99)</f>
        <v>0</v>
      </c>
      <c r="X102" s="492">
        <f t="shared" si="7"/>
        <v>0</v>
      </c>
      <c r="Y102" s="764"/>
      <c r="Z102" s="766"/>
      <c r="AA102" s="756"/>
    </row>
    <row r="103" spans="1:29" ht="18.75">
      <c r="A103" s="756"/>
      <c r="B103" s="215"/>
      <c r="C103" s="795"/>
      <c r="D103" s="795"/>
      <c r="E103" s="389"/>
      <c r="F103" s="390"/>
      <c r="G103" s="400"/>
      <c r="H103" s="392">
        <f t="shared" si="4"/>
        <v>0</v>
      </c>
      <c r="I103" s="393"/>
      <c r="J103" s="390"/>
      <c r="K103" s="434"/>
      <c r="L103" s="395">
        <f t="shared" si="5"/>
        <v>0</v>
      </c>
      <c r="M103" s="434"/>
      <c r="N103" s="434"/>
      <c r="O103" s="434"/>
      <c r="P103" s="406"/>
      <c r="Q103" s="389">
        <f>база!$L$5</f>
        <v>231.45480000000001</v>
      </c>
      <c r="R103" s="390">
        <v>1.4</v>
      </c>
      <c r="S103" s="491">
        <f>SUMIFS(Таблица1[Столбец1],Таблица1[коэф],"1,4",Таблица1[р/р],"4/16",Таблица1[Ф. И. О.],B99)</f>
        <v>0</v>
      </c>
      <c r="T103" s="493">
        <f t="shared" si="6"/>
        <v>0</v>
      </c>
      <c r="U103" s="472">
        <f>база!$M$5</f>
        <v>247.41720000000001</v>
      </c>
      <c r="V103" s="390">
        <v>1.4</v>
      </c>
      <c r="W103" s="503">
        <f>SUMIFS(Таблица1[Столбец1],Таблица1[коэф],"1,4",Таблица1[р/р],"4/24",Таблица1[Ф. И. О.],B99)</f>
        <v>0</v>
      </c>
      <c r="X103" s="492">
        <f t="shared" si="7"/>
        <v>0</v>
      </c>
      <c r="Y103" s="764"/>
      <c r="Z103" s="766"/>
      <c r="AA103" s="756"/>
    </row>
    <row r="104" spans="1:29" ht="19.5" thickBot="1">
      <c r="A104" s="757"/>
      <c r="B104" s="215"/>
      <c r="C104" s="796"/>
      <c r="D104" s="796"/>
      <c r="E104" s="420"/>
      <c r="F104" s="403"/>
      <c r="G104" s="408"/>
      <c r="H104" s="402">
        <f t="shared" si="4"/>
        <v>0</v>
      </c>
      <c r="I104" s="422"/>
      <c r="J104" s="403"/>
      <c r="K104" s="460"/>
      <c r="L104" s="458">
        <f t="shared" si="5"/>
        <v>0</v>
      </c>
      <c r="M104" s="460"/>
      <c r="N104" s="460"/>
      <c r="O104" s="460"/>
      <c r="P104" s="479"/>
      <c r="Q104" s="420">
        <f>база!$L$6</f>
        <v>261.04640000000001</v>
      </c>
      <c r="R104" s="403">
        <v>1.4</v>
      </c>
      <c r="S104" s="507">
        <f>SUMIFS(Таблица1[Столбец1],Таблица1[коэф],"1,4",Таблица1[р/р],"5/16",Таблица1[Ф. И. О.],B99)</f>
        <v>0</v>
      </c>
      <c r="T104" s="513">
        <f t="shared" si="6"/>
        <v>0</v>
      </c>
      <c r="U104" s="474">
        <f>база!$M$6</f>
        <v>279.0496</v>
      </c>
      <c r="V104" s="464">
        <v>1.4</v>
      </c>
      <c r="W104" s="504">
        <f>SUMIFS(Таблица1[Столбец1],Таблица1[коэф],"1,4",Таблица1[р/р],"5/24",Таблица1[Ф. И. О.],B99)</f>
        <v>0</v>
      </c>
      <c r="X104" s="492">
        <f t="shared" si="7"/>
        <v>0</v>
      </c>
      <c r="Y104" s="765"/>
      <c r="Z104" s="767"/>
      <c r="AA104" s="757"/>
    </row>
    <row r="105" spans="1:29" ht="18.75">
      <c r="A105" s="755">
        <v>10</v>
      </c>
      <c r="B105" s="235"/>
      <c r="C105" s="794">
        <f>INDEX(база!$E$2:$E$81, MATCH(B110,база!$B$2:$B$50,0))</f>
        <v>16250</v>
      </c>
      <c r="D105" s="794">
        <f>INDEX(база!$D$2:$D$89, MATCH(B110,база!$B$2:$B$50,0))</f>
        <v>3</v>
      </c>
      <c r="E105" s="377">
        <f>IF(D105&lt;=3,база!$I$4,
IF(D105=4,база!$I$5,
IF(D105=5,база!$I$6)))</f>
        <v>188.7912</v>
      </c>
      <c r="F105" s="378">
        <v>1</v>
      </c>
      <c r="G105" s="387">
        <f>SUMIFS(Таблица1[Столбец1],Таблица1[коэф],"1",Таблица1[р/р],"2/4",Таблица1[Ф. И. О.],B110)</f>
        <v>0</v>
      </c>
      <c r="H105" s="380">
        <f t="shared" si="4"/>
        <v>0</v>
      </c>
      <c r="I105" s="381">
        <f>IF(D105&lt;=3,база!$J$4,
IF(D105=4,база!$J$5,
IF(D105=5,база!$J$6)))</f>
        <v>196.05240000000001</v>
      </c>
      <c r="J105" s="378">
        <v>1</v>
      </c>
      <c r="K105" s="428">
        <f>SUMIFS(Таблица1[Столбец1],Таблица1[коэф],"1",Таблица1[р/р],"2/8",Таблица1[Ф. И. О.],B110)</f>
        <v>0</v>
      </c>
      <c r="L105" s="484">
        <f t="shared" si="5"/>
        <v>0</v>
      </c>
      <c r="M105" s="428"/>
      <c r="N105" s="428">
        <v>1</v>
      </c>
      <c r="O105" s="428">
        <f>SUMIFS(Data_Tech!$AM$3:$AM$67,Data_Tech!$E$3:$E$67,"1",Data_Tech!$G$3:$G$67,"3/12",Data_Tech!$F$3:$F$67,B110)</f>
        <v>0</v>
      </c>
      <c r="P105" s="385">
        <f>ROUND(M105*N105*O105,2)</f>
        <v>0</v>
      </c>
      <c r="Q105" s="377">
        <f>IF(D105&lt;=3,база!$L$4,
IF(D105=4,база!$L$5,
IF(D105=5,база!$L$6)))</f>
        <v>210.57480000000001</v>
      </c>
      <c r="R105" s="378">
        <v>1</v>
      </c>
      <c r="S105" s="489">
        <f>SUMIFS(Таблица1[Столбец1],Таблица1[коэф],"1",Таблица1[р/р],"3/16",Таблица1[Ф. И. О.],B110)</f>
        <v>0</v>
      </c>
      <c r="T105" s="492">
        <f t="shared" si="6"/>
        <v>0</v>
      </c>
      <c r="U105" s="462">
        <f>IF(D105&lt;=3,база!$M$4,
IF(D105=4,база!$M$5,
IF(D105=5,база!$M$6)))</f>
        <v>225.09719999999999</v>
      </c>
      <c r="V105" s="378">
        <v>1</v>
      </c>
      <c r="W105" s="502">
        <f>SUMIFS(Таблица1[Столбец1],Таблица1[коэф],"1",Таблица1[р/р],"3/24",Таблица1[Ф. И. О.],B110)</f>
        <v>0</v>
      </c>
      <c r="X105" s="490">
        <f t="shared" si="7"/>
        <v>0</v>
      </c>
      <c r="Y105" s="764">
        <f t="shared" ref="Y105" si="10">SUM(G105:G115,K105:K115,O105:O115,S105:S115,W105:W115)</f>
        <v>0</v>
      </c>
      <c r="Z105" s="766">
        <f t="shared" ref="Z105" si="11">IFERROR(SUM(H105:H115,L105:L115,T105:T115,X105:X115),"")</f>
        <v>0</v>
      </c>
      <c r="AA105" s="756"/>
    </row>
    <row r="106" spans="1:29" ht="18.75">
      <c r="A106" s="756"/>
      <c r="B106" s="215"/>
      <c r="C106" s="795"/>
      <c r="D106" s="795"/>
      <c r="E106" s="389">
        <f>IF(D105&lt;=3,база!$I$4,
IF(D105=4,база!$I$5,
IF(D105=5,база!$I$6)))</f>
        <v>188.7912</v>
      </c>
      <c r="F106" s="390">
        <v>1</v>
      </c>
      <c r="G106" s="400">
        <f>SUMIFS(Таблица1[Столбец1],Таблица1[коэф],"1",Таблица1[р/р],"3/4",Таблица1[Ф. И. О.],B110)</f>
        <v>0</v>
      </c>
      <c r="H106" s="392">
        <f t="shared" si="4"/>
        <v>0</v>
      </c>
      <c r="I106" s="393">
        <f>IF(D105&lt;=3,база!$J$4,
IF(D105=4,база!$J$5,
IF(D105=5,база!$J$6)))</f>
        <v>196.05240000000001</v>
      </c>
      <c r="J106" s="390">
        <v>1</v>
      </c>
      <c r="K106" s="434">
        <f>SUMIFS(Таблица1[Столбец1],Таблица1[коэф],"1",Таблица1[р/р],"3/8",Таблица1[Ф. И. О.],B110)</f>
        <v>0</v>
      </c>
      <c r="L106" s="395">
        <f t="shared" si="5"/>
        <v>0</v>
      </c>
      <c r="M106" s="434"/>
      <c r="N106" s="434">
        <v>1</v>
      </c>
      <c r="O106" s="434">
        <f>SUMIFS(Data_Tech!$AM$3:$AM$67,Data_Tech!$E$3:$E$67,"1",Data_Tech!$G$3:$G$67,"4/12",Data_Tech!$F$3:$F$67,B110)</f>
        <v>0</v>
      </c>
      <c r="P106" s="406">
        <f>ROUND(M106*O106,2)</f>
        <v>0</v>
      </c>
      <c r="Q106" s="389">
        <f>база!$L$5</f>
        <v>231.45480000000001</v>
      </c>
      <c r="R106" s="390">
        <v>1</v>
      </c>
      <c r="S106" s="491">
        <f>SUMIFS(Таблица1[Столбец1],Таблица1[коэф],"1",Таблица1[р/р],"4/16",Таблица1[Ф. И. О.],B110)</f>
        <v>0</v>
      </c>
      <c r="T106" s="493">
        <f t="shared" si="6"/>
        <v>0</v>
      </c>
      <c r="U106" s="410">
        <f>база!$M$5</f>
        <v>247.41720000000001</v>
      </c>
      <c r="V106" s="390">
        <v>1</v>
      </c>
      <c r="W106" s="503">
        <f>SUMIFS(Таблица1[Столбец1],Таблица1[коэф],"1",Таблица1[р/р],"4/24",Таблица1[Ф. И. О.],B110)</f>
        <v>0</v>
      </c>
      <c r="X106" s="492">
        <f t="shared" si="7"/>
        <v>0</v>
      </c>
      <c r="Y106" s="764"/>
      <c r="Z106" s="766"/>
      <c r="AA106" s="756"/>
    </row>
    <row r="107" spans="1:29" ht="18.75">
      <c r="A107" s="756"/>
      <c r="B107" s="215"/>
      <c r="C107" s="795"/>
      <c r="D107" s="795"/>
      <c r="E107" s="389"/>
      <c r="F107" s="390"/>
      <c r="G107" s="400"/>
      <c r="H107" s="392">
        <f t="shared" si="4"/>
        <v>0</v>
      </c>
      <c r="I107" s="393"/>
      <c r="J107" s="390"/>
      <c r="K107" s="434"/>
      <c r="L107" s="484">
        <f t="shared" si="5"/>
        <v>0</v>
      </c>
      <c r="M107" s="434"/>
      <c r="N107" s="434"/>
      <c r="O107" s="434"/>
      <c r="P107" s="406"/>
      <c r="Q107" s="389">
        <f>база!$L$6</f>
        <v>261.04640000000001</v>
      </c>
      <c r="R107" s="390">
        <v>1</v>
      </c>
      <c r="S107" s="491">
        <f>SUMIFS(Таблица1[Столбец1],Таблица1[коэф],"1",Таблица1[р/р],"5/16",Таблица1[Ф. И. О.],B110)</f>
        <v>0</v>
      </c>
      <c r="T107" s="493">
        <f t="shared" si="6"/>
        <v>0</v>
      </c>
      <c r="U107" s="410">
        <f>база!$M$6</f>
        <v>279.0496</v>
      </c>
      <c r="V107" s="390">
        <v>1</v>
      </c>
      <c r="W107" s="503">
        <f>SUMIFS(Таблица1[Столбец1],Таблица1[коэф],"1",Таблица1[р/р],"5/24",Таблица1[Ф. И. О.],B110)</f>
        <v>0</v>
      </c>
      <c r="X107" s="492">
        <f t="shared" si="7"/>
        <v>0</v>
      </c>
      <c r="Y107" s="764"/>
      <c r="Z107" s="766"/>
      <c r="AA107" s="756"/>
    </row>
    <row r="108" spans="1:29" ht="18.75">
      <c r="A108" s="756"/>
      <c r="B108" s="215"/>
      <c r="C108" s="795"/>
      <c r="D108" s="795"/>
      <c r="E108" s="389"/>
      <c r="F108" s="390"/>
      <c r="G108" s="400"/>
      <c r="H108" s="392">
        <f t="shared" si="4"/>
        <v>0</v>
      </c>
      <c r="I108" s="393">
        <f>база!$J$5</f>
        <v>215.4924</v>
      </c>
      <c r="J108" s="390">
        <v>1.5</v>
      </c>
      <c r="K108" s="434">
        <f>SUMIFS(Таблица1[Столбец1],Таблица1[коэф],"1,5",Таблица1[р/р],"4/8",Таблица1[Ф. И. О.],B110)</f>
        <v>0</v>
      </c>
      <c r="L108" s="484">
        <f t="shared" si="5"/>
        <v>0</v>
      </c>
      <c r="M108" s="434"/>
      <c r="N108" s="434"/>
      <c r="O108" s="434"/>
      <c r="P108" s="406"/>
      <c r="Q108" s="389">
        <f>IF(D105&lt;=3,база!$L$4,
IF(D105=4,база!$L$5,
IF(D105=5,база!$L$6)))</f>
        <v>210.57480000000001</v>
      </c>
      <c r="R108" s="390">
        <v>1.2</v>
      </c>
      <c r="S108" s="491">
        <f>SUMIFS(Таблица1[Столбец1],Таблица1[коэф],"1,2",Таблица1[р/р],"3/16",Таблица1[Ф. И. О.],B110)</f>
        <v>0</v>
      </c>
      <c r="T108" s="493">
        <f t="shared" si="6"/>
        <v>0</v>
      </c>
      <c r="U108" s="410">
        <f>IF(D105&lt;=3,база!$M$4,
IF(D105=4,база!$M$5,
IF(D105=5,база!$M$6)))</f>
        <v>225.09719999999999</v>
      </c>
      <c r="V108" s="390">
        <v>1.2</v>
      </c>
      <c r="W108" s="503">
        <f>SUMIFS(Таблица1[Столбец1],Таблица1[коэф],"1,2",Таблица1[р/р],"3/24",Таблица1[Ф. И. О.],B110)</f>
        <v>0</v>
      </c>
      <c r="X108" s="492">
        <f t="shared" si="7"/>
        <v>0</v>
      </c>
      <c r="Y108" s="764"/>
      <c r="Z108" s="766"/>
      <c r="AA108" s="756"/>
    </row>
    <row r="109" spans="1:29" ht="18.75">
      <c r="A109" s="756"/>
      <c r="B109" s="215"/>
      <c r="C109" s="795"/>
      <c r="D109" s="795"/>
      <c r="E109" s="389"/>
      <c r="F109" s="390"/>
      <c r="G109" s="400"/>
      <c r="H109" s="392">
        <f t="shared" si="4"/>
        <v>0</v>
      </c>
      <c r="I109" s="393">
        <f>база!$J$6</f>
        <v>243.04319999999998</v>
      </c>
      <c r="J109" s="390">
        <v>1.5</v>
      </c>
      <c r="K109" s="434">
        <f>SUMIFS(Таблица1[Столбец1],Таблица1[коэф],"1,5",Таблица1[р/р],"5/8",Таблица1[Ф. И. О.],B110)</f>
        <v>0</v>
      </c>
      <c r="L109" s="484">
        <f t="shared" si="5"/>
        <v>0</v>
      </c>
      <c r="M109" s="434"/>
      <c r="N109" s="434"/>
      <c r="O109" s="434"/>
      <c r="P109" s="406"/>
      <c r="Q109" s="389">
        <f>база!$L$5</f>
        <v>231.45480000000001</v>
      </c>
      <c r="R109" s="390">
        <v>1.2</v>
      </c>
      <c r="S109" s="491">
        <f>SUMIFS(Таблица1[Столбец1],Таблица1[коэф],"1,2",Таблица1[р/р],"4/16",Таблица1[Ф. И. О.],B110)</f>
        <v>0</v>
      </c>
      <c r="T109" s="493">
        <f t="shared" si="6"/>
        <v>0</v>
      </c>
      <c r="U109" s="410">
        <f>база!$M$5</f>
        <v>247.41720000000001</v>
      </c>
      <c r="V109" s="390">
        <v>1.2</v>
      </c>
      <c r="W109" s="503">
        <f>SUMIFS(Таблица1[Столбец1],Таблица1[коэф],"1,2",Таблица1[р/р],"4/24",Таблица1[Ф. И. О.],B110)</f>
        <v>0</v>
      </c>
      <c r="X109" s="492">
        <f t="shared" si="7"/>
        <v>0</v>
      </c>
      <c r="Y109" s="764"/>
      <c r="Z109" s="766"/>
      <c r="AA109" s="756"/>
    </row>
    <row r="110" spans="1:29" ht="18.75">
      <c r="A110" s="756"/>
      <c r="B110" s="215" t="str">
        <f>база!B11</f>
        <v>Бородицкая Ирина Борисовна</v>
      </c>
      <c r="C110" s="795"/>
      <c r="D110" s="795"/>
      <c r="E110" s="389"/>
      <c r="F110" s="390"/>
      <c r="G110" s="400"/>
      <c r="H110" s="392">
        <f t="shared" si="4"/>
        <v>0</v>
      </c>
      <c r="I110" s="393"/>
      <c r="J110" s="390"/>
      <c r="K110" s="434"/>
      <c r="L110" s="484">
        <f t="shared" si="5"/>
        <v>0</v>
      </c>
      <c r="M110" s="434"/>
      <c r="N110" s="434"/>
      <c r="O110" s="434"/>
      <c r="P110" s="406"/>
      <c r="Q110" s="389">
        <f>база!$L$6</f>
        <v>261.04640000000001</v>
      </c>
      <c r="R110" s="390">
        <v>1.2</v>
      </c>
      <c r="S110" s="491">
        <f>SUMIFS(Таблица1[Столбец1],Таблица1[коэф],"1,2",Таблица1[р/р],"5/16",Таблица1[Ф. И. О.],B110)</f>
        <v>0</v>
      </c>
      <c r="T110" s="493">
        <f t="shared" si="6"/>
        <v>0</v>
      </c>
      <c r="U110" s="410">
        <f>база!$M$6</f>
        <v>279.0496</v>
      </c>
      <c r="V110" s="390">
        <v>1.2</v>
      </c>
      <c r="W110" s="503">
        <f>SUMIFS(Таблица1[Столбец1],Таблица1[коэф],"1,2",Таблица1[р/р],"5/24",Таблица1[Ф. И. О.],B110)</f>
        <v>0</v>
      </c>
      <c r="X110" s="492">
        <f t="shared" si="7"/>
        <v>0</v>
      </c>
      <c r="Y110" s="764"/>
      <c r="Z110" s="766"/>
      <c r="AA110" s="756"/>
      <c r="AC110" s="712" t="str">
        <f>IF(SUMIFS(Таблица1[Столбец3],Таблица1[Ф. И. О.],B110)-Z105=0,"",SUMIFS(Таблица1[Столбец3],Таблица1[Ф. И. О.],B110)-Z105)</f>
        <v/>
      </c>
    </row>
    <row r="111" spans="1:29" ht="18.75">
      <c r="A111" s="756"/>
      <c r="B111" s="215"/>
      <c r="C111" s="795"/>
      <c r="D111" s="795"/>
      <c r="E111" s="389"/>
      <c r="F111" s="390"/>
      <c r="G111" s="400"/>
      <c r="H111" s="392">
        <f t="shared" si="4"/>
        <v>0</v>
      </c>
      <c r="I111" s="393"/>
      <c r="J111" s="390"/>
      <c r="K111" s="434"/>
      <c r="L111" s="484">
        <f t="shared" si="5"/>
        <v>0</v>
      </c>
      <c r="M111" s="434"/>
      <c r="N111" s="434"/>
      <c r="O111" s="434"/>
      <c r="P111" s="406"/>
      <c r="Q111" s="389">
        <f>IF(D105&lt;=3,база!$L$4,
IF(D105=4,база!$L$5,
IF(D105=5,база!$L$6)))</f>
        <v>210.57480000000001</v>
      </c>
      <c r="R111" s="390">
        <v>1.3</v>
      </c>
      <c r="S111" s="491">
        <f>SUMIFS(Таблица1[Столбец1],Таблица1[коэф],"1,3",Таблица1[р/р],"3/16",Таблица1[Ф. И. О.],B110)</f>
        <v>0</v>
      </c>
      <c r="T111" s="493">
        <f t="shared" si="6"/>
        <v>0</v>
      </c>
      <c r="U111" s="410">
        <f>IF(D105&lt;=3,база!$M$4,
IF(D105=4,база!$M$5,
IF(D105=5,база!$M$6)))</f>
        <v>225.09719999999999</v>
      </c>
      <c r="V111" s="390">
        <v>1.3</v>
      </c>
      <c r="W111" s="503">
        <f>SUMIFS(Таблица1[Столбец1],Таблица1[коэф],"1,3",Таблица1[р/р],"3/24",Таблица1[Ф. И. О.],B110)</f>
        <v>0</v>
      </c>
      <c r="X111" s="493">
        <f t="shared" si="7"/>
        <v>0</v>
      </c>
      <c r="Y111" s="764"/>
      <c r="Z111" s="766"/>
      <c r="AA111" s="756"/>
      <c r="AC111" s="712" t="str">
        <f>IF(SUMIFS(Таблица1[Столбец1],Таблица1[Ф. И. О.],B110)=Y105,"",B110&amp;"  часы не верны")</f>
        <v/>
      </c>
    </row>
    <row r="112" spans="1:29" ht="18.75">
      <c r="A112" s="756"/>
      <c r="B112" s="215"/>
      <c r="C112" s="795"/>
      <c r="D112" s="795"/>
      <c r="E112" s="389"/>
      <c r="F112" s="390"/>
      <c r="G112" s="400"/>
      <c r="H112" s="392">
        <f t="shared" si="4"/>
        <v>0</v>
      </c>
      <c r="I112" s="393"/>
      <c r="J112" s="390"/>
      <c r="K112" s="434"/>
      <c r="L112" s="484">
        <f t="shared" si="5"/>
        <v>0</v>
      </c>
      <c r="M112" s="434"/>
      <c r="N112" s="434"/>
      <c r="O112" s="434"/>
      <c r="P112" s="406"/>
      <c r="Q112" s="389">
        <f>база!$L$5</f>
        <v>231.45480000000001</v>
      </c>
      <c r="R112" s="390">
        <v>1.3</v>
      </c>
      <c r="S112" s="491">
        <f>SUMIFS(Таблица1[Столбец1],Таблица1[коэф],"1,3",Таблица1[р/р],"4/16",Таблица1[Ф. И. О.],B110)</f>
        <v>0</v>
      </c>
      <c r="T112" s="493">
        <f t="shared" si="6"/>
        <v>0</v>
      </c>
      <c r="U112" s="410">
        <f>база!$M$5</f>
        <v>247.41720000000001</v>
      </c>
      <c r="V112" s="390">
        <v>1.3</v>
      </c>
      <c r="W112" s="503">
        <f>SUMIFS(Таблица1[Столбец1],Таблица1[коэф],"1,3",Таблица1[р/р],"4/24",Таблица1[Ф. И. О.],B110)</f>
        <v>0</v>
      </c>
      <c r="X112" s="492">
        <f t="shared" si="7"/>
        <v>0</v>
      </c>
      <c r="Y112" s="764"/>
      <c r="Z112" s="766"/>
      <c r="AA112" s="756"/>
    </row>
    <row r="113" spans="1:29" ht="18.75">
      <c r="A113" s="756"/>
      <c r="B113" s="215"/>
      <c r="C113" s="795"/>
      <c r="D113" s="795"/>
      <c r="E113" s="389"/>
      <c r="F113" s="390"/>
      <c r="G113" s="400"/>
      <c r="H113" s="392">
        <f t="shared" si="4"/>
        <v>0</v>
      </c>
      <c r="I113" s="393"/>
      <c r="J113" s="390"/>
      <c r="K113" s="434"/>
      <c r="L113" s="484">
        <f t="shared" si="5"/>
        <v>0</v>
      </c>
      <c r="M113" s="434"/>
      <c r="N113" s="434"/>
      <c r="O113" s="434"/>
      <c r="P113" s="406"/>
      <c r="Q113" s="389">
        <f>IF(D105&lt;=3,база!$L$4,
IF(D105=4,база!$L$5,
IF(D105=5,база!$L$6)))</f>
        <v>210.57480000000001</v>
      </c>
      <c r="R113" s="390">
        <v>1.4</v>
      </c>
      <c r="S113" s="491">
        <f>SUMIFS(Таблица1[Столбец1],Таблица1[коэф],"1,4",Таблица1[р/р],"3/16",Таблица1[Ф. И. О.],B110)</f>
        <v>0</v>
      </c>
      <c r="T113" s="493">
        <f t="shared" si="6"/>
        <v>0</v>
      </c>
      <c r="U113" s="410">
        <f>IF(D105&lt;=3,база!$M$4,
IF(D105=4,база!$M$5,
IF(D105=5,база!$M$6)))</f>
        <v>225.09719999999999</v>
      </c>
      <c r="V113" s="390">
        <v>1.4</v>
      </c>
      <c r="W113" s="503">
        <f>SUMIFS(Таблица1[Столбец1],Таблица1[коэф],"1,4",Таблица1[р/р],"3/24",Таблица1[Ф. И. О.],B110)</f>
        <v>0</v>
      </c>
      <c r="X113" s="492">
        <f t="shared" si="7"/>
        <v>0</v>
      </c>
      <c r="Y113" s="764"/>
      <c r="Z113" s="766"/>
      <c r="AA113" s="756"/>
    </row>
    <row r="114" spans="1:29" ht="18.75">
      <c r="A114" s="756"/>
      <c r="B114" s="215"/>
      <c r="C114" s="795"/>
      <c r="D114" s="795"/>
      <c r="E114" s="389"/>
      <c r="F114" s="390"/>
      <c r="G114" s="400"/>
      <c r="H114" s="392">
        <f t="shared" si="4"/>
        <v>0</v>
      </c>
      <c r="I114" s="393"/>
      <c r="J114" s="390"/>
      <c r="K114" s="434"/>
      <c r="L114" s="484">
        <f t="shared" si="5"/>
        <v>0</v>
      </c>
      <c r="M114" s="434"/>
      <c r="N114" s="434"/>
      <c r="O114" s="434"/>
      <c r="P114" s="406"/>
      <c r="Q114" s="389">
        <f>база!$L$5</f>
        <v>231.45480000000001</v>
      </c>
      <c r="R114" s="390">
        <v>1.4</v>
      </c>
      <c r="S114" s="491">
        <f>SUMIFS(Таблица1[Столбец1],Таблица1[коэф],"1,4",Таблица1[р/р],"4/16",Таблица1[Ф. И. О.],B110)</f>
        <v>0</v>
      </c>
      <c r="T114" s="493">
        <f t="shared" si="6"/>
        <v>0</v>
      </c>
      <c r="U114" s="410">
        <f>база!$M$5</f>
        <v>247.41720000000001</v>
      </c>
      <c r="V114" s="390">
        <v>1.4</v>
      </c>
      <c r="W114" s="503">
        <f>SUMIFS(Таблица1[Столбец1],Таблица1[коэф],"1,4",Таблица1[р/р],"4/24",Таблица1[Ф. И. О.],B110)</f>
        <v>0</v>
      </c>
      <c r="X114" s="492">
        <f t="shared" si="7"/>
        <v>0</v>
      </c>
      <c r="Y114" s="764"/>
      <c r="Z114" s="766"/>
      <c r="AA114" s="756"/>
    </row>
    <row r="115" spans="1:29" ht="19.5" thickBot="1">
      <c r="A115" s="757"/>
      <c r="B115" s="202"/>
      <c r="C115" s="796"/>
      <c r="D115" s="796"/>
      <c r="E115" s="473"/>
      <c r="F115" s="464"/>
      <c r="G115" s="465"/>
      <c r="H115" s="468">
        <f t="shared" si="4"/>
        <v>0</v>
      </c>
      <c r="I115" s="463"/>
      <c r="J115" s="464"/>
      <c r="K115" s="457"/>
      <c r="L115" s="458">
        <f t="shared" si="5"/>
        <v>0</v>
      </c>
      <c r="M115" s="457"/>
      <c r="N115" s="457"/>
      <c r="O115" s="457"/>
      <c r="P115" s="476"/>
      <c r="Q115" s="473">
        <f>база!$L$6</f>
        <v>261.04640000000001</v>
      </c>
      <c r="R115" s="464">
        <v>1.4</v>
      </c>
      <c r="S115" s="512">
        <f>SUMIFS(Таблица1[Столбец1],Таблица1[коэф],"1,4",Таблица1[р/р],"5/16",Таблица1[Ф. И. О.],B110)</f>
        <v>0</v>
      </c>
      <c r="T115" s="513">
        <f t="shared" si="6"/>
        <v>0</v>
      </c>
      <c r="U115" s="469">
        <f>база!$M$6</f>
        <v>279.0496</v>
      </c>
      <c r="V115" s="464">
        <v>1.4</v>
      </c>
      <c r="W115" s="504">
        <f>SUMIFS(Таблица1[Столбец1],Таблица1[коэф],"1,4",Таблица1[р/р],"5/24",Таблица1[Ф. И. О.],B110)</f>
        <v>0</v>
      </c>
      <c r="X115" s="492">
        <f t="shared" si="7"/>
        <v>0</v>
      </c>
      <c r="Y115" s="765"/>
      <c r="Z115" s="767"/>
      <c r="AA115" s="757"/>
    </row>
    <row r="116" spans="1:29" ht="18.75">
      <c r="A116" s="755">
        <v>11</v>
      </c>
      <c r="B116" s="215"/>
      <c r="C116" s="758">
        <f>INDEX(база!$E$2:$E$81, MATCH(B121,база!$B$2:$B$50,0))</f>
        <v>16960</v>
      </c>
      <c r="D116" s="761">
        <f>INDEX(база!$D$2:$D$89, MATCH(B121,база!$B$2:$B$50,0))</f>
        <v>3</v>
      </c>
      <c r="E116" s="451">
        <f>IF(D116&lt;=3,база!$I$4,
IF(D116=4,база!$I$5,
IF(D116=5,база!$I$6)))</f>
        <v>188.7912</v>
      </c>
      <c r="F116" s="417">
        <v>1</v>
      </c>
      <c r="G116" s="418">
        <f>SUMIFS(Таблица1[Столбец1],Таблица1[коэф],"1",Таблица1[р/р],"2/4",Таблица1[Ф. И. О.],B121)</f>
        <v>0</v>
      </c>
      <c r="H116" s="402">
        <f t="shared" si="4"/>
        <v>0</v>
      </c>
      <c r="I116" s="377">
        <f>IF(D116&lt;=3,база!$J$4,
IF(D116=4,база!$J$5,
IF(D116=5,база!$J$6)))</f>
        <v>196.05240000000001</v>
      </c>
      <c r="J116" s="378">
        <v>1</v>
      </c>
      <c r="K116" s="428">
        <f>SUMIFS(Таблица1[Столбец1],Таблица1[коэф],"1",Таблица1[р/р],"2/8",Таблица1[Ф. И. О.],B121)</f>
        <v>0</v>
      </c>
      <c r="L116" s="484">
        <f t="shared" si="5"/>
        <v>0</v>
      </c>
      <c r="M116" s="428"/>
      <c r="N116" s="428">
        <v>1</v>
      </c>
      <c r="O116" s="428">
        <f>SUMIFS(Data_Tech!$AM$3:$AM$67,Data_Tech!$E$3:$E$67,"1",Data_Tech!$G$3:$G$67,"3/12",Data_Tech!$F$3:$F$67,B121)</f>
        <v>0</v>
      </c>
      <c r="P116" s="383">
        <f>ROUND(M116*N116*O116,2)</f>
        <v>0</v>
      </c>
      <c r="Q116" s="481">
        <f>IF(D116&lt;=3,база!$L$4,
IF(D116=4,база!$L$5,
IF(D116=5,база!$L$6)))</f>
        <v>210.57480000000001</v>
      </c>
      <c r="R116" s="417">
        <v>1</v>
      </c>
      <c r="S116" s="495">
        <f>SUMIFS(Таблица1[Столбец1],Таблица1[коэф],"1",Таблица1[р/р],"3/16",Таблица1[Ф. И. О.],B121)</f>
        <v>0</v>
      </c>
      <c r="T116" s="492">
        <f t="shared" si="6"/>
        <v>0</v>
      </c>
      <c r="U116" s="471">
        <f>IF(D116&lt;=3,база!$M$4,
IF(D116=4,база!$M$5,
IF(D116=5,база!$M$6)))</f>
        <v>225.09719999999999</v>
      </c>
      <c r="V116" s="378">
        <v>1</v>
      </c>
      <c r="W116" s="497">
        <f>SUMIFS(Таблица1[Столбец1],Таблица1[коэф],"1",Таблица1[р/р],"3/24",Таблица1[Ф. И. О.],B121)</f>
        <v>0</v>
      </c>
      <c r="X116" s="490">
        <f t="shared" si="7"/>
        <v>0</v>
      </c>
      <c r="Y116" s="764">
        <f t="shared" ref="Y116" si="12">SUM(G116:G126,K116:K126,O116:O126,S116:S126,W116:W126)</f>
        <v>0</v>
      </c>
      <c r="Z116" s="766">
        <f t="shared" ref="Z116" si="13">IFERROR(SUM(H116:H126,L116:L126,T116:T126,X116:X126),"")</f>
        <v>0</v>
      </c>
      <c r="AA116" s="756"/>
    </row>
    <row r="117" spans="1:29" ht="18.75">
      <c r="A117" s="756"/>
      <c r="B117" s="215"/>
      <c r="C117" s="759"/>
      <c r="D117" s="762"/>
      <c r="E117" s="393">
        <f>IF(D116&lt;=3,база!$I$4,
IF(D116=4,база!$I$5,
IF(D116=5,база!$I$6)))</f>
        <v>188.7912</v>
      </c>
      <c r="F117" s="390">
        <v>1</v>
      </c>
      <c r="G117" s="400">
        <f>SUMIFS(Таблица1[Столбец1],Таблица1[коэф],"1",Таблица1[р/р],"3/4",Таблица1[Ф. И. О.],B121)</f>
        <v>0</v>
      </c>
      <c r="H117" s="392">
        <f t="shared" si="4"/>
        <v>0</v>
      </c>
      <c r="I117" s="389">
        <f>IF(D116&lt;=3,база!$J$4,
IF(D116=4,база!$J$5,
IF(D116=5,база!$J$6)))</f>
        <v>196.05240000000001</v>
      </c>
      <c r="J117" s="390">
        <v>1</v>
      </c>
      <c r="K117" s="434">
        <f>SUMIFS(Таблица1[Столбец1],Таблица1[коэф],"1",Таблица1[р/р],"3/8",Таблица1[Ф. И. О.],B121)</f>
        <v>0</v>
      </c>
      <c r="L117" s="484">
        <f t="shared" si="5"/>
        <v>0</v>
      </c>
      <c r="M117" s="434"/>
      <c r="N117" s="434">
        <v>1</v>
      </c>
      <c r="O117" s="434">
        <f>SUMIFS(Data_Tech!$AM$3:$AM$67,Data_Tech!$E$3:$E$67,"1",Data_Tech!$G$3:$G$67,"4/12",Data_Tech!$F$3:$F$67,B121)</f>
        <v>0</v>
      </c>
      <c r="P117" s="395">
        <f>ROUND(M117*O117,2)</f>
        <v>0</v>
      </c>
      <c r="Q117" s="389">
        <f>база!$L$5</f>
        <v>231.45480000000001</v>
      </c>
      <c r="R117" s="390">
        <v>1</v>
      </c>
      <c r="S117" s="491">
        <f>SUMIFS(Таблица1[Столбец1],Таблица1[коэф],"1",Таблица1[р/р],"4/16",Таблица1[Ф. И. О.],B121)</f>
        <v>0</v>
      </c>
      <c r="T117" s="493">
        <f t="shared" si="6"/>
        <v>0</v>
      </c>
      <c r="U117" s="472">
        <f>база!$M$5</f>
        <v>247.41720000000001</v>
      </c>
      <c r="V117" s="390">
        <v>1</v>
      </c>
      <c r="W117" s="494">
        <f>SUMIFS(Таблица1[Столбец1],Таблица1[коэф],"1",Таблица1[р/р],"4/24",Таблица1[Ф. И. О.],B121)</f>
        <v>0</v>
      </c>
      <c r="X117" s="492">
        <f t="shared" si="7"/>
        <v>0</v>
      </c>
      <c r="Y117" s="764"/>
      <c r="Z117" s="766"/>
      <c r="AA117" s="756"/>
    </row>
    <row r="118" spans="1:29" ht="18.75">
      <c r="A118" s="756"/>
      <c r="B118" s="215"/>
      <c r="C118" s="759"/>
      <c r="D118" s="762"/>
      <c r="E118" s="393"/>
      <c r="F118" s="390"/>
      <c r="G118" s="400"/>
      <c r="H118" s="392">
        <f t="shared" si="4"/>
        <v>0</v>
      </c>
      <c r="I118" s="389"/>
      <c r="J118" s="390"/>
      <c r="K118" s="434"/>
      <c r="L118" s="484">
        <f t="shared" si="5"/>
        <v>0</v>
      </c>
      <c r="M118" s="434"/>
      <c r="N118" s="434"/>
      <c r="O118" s="434"/>
      <c r="P118" s="395"/>
      <c r="Q118" s="389">
        <f>база!$L$6</f>
        <v>261.04640000000001</v>
      </c>
      <c r="R118" s="390">
        <v>1</v>
      </c>
      <c r="S118" s="491">
        <f>SUMIFS(Таблица1[Столбец1],Таблица1[коэф],"1",Таблица1[р/р],"5/16",Таблица1[Ф. И. О.],B121)</f>
        <v>0</v>
      </c>
      <c r="T118" s="493">
        <f t="shared" si="6"/>
        <v>0</v>
      </c>
      <c r="U118" s="472">
        <f>база!$M$6</f>
        <v>279.0496</v>
      </c>
      <c r="V118" s="390">
        <v>1</v>
      </c>
      <c r="W118" s="494">
        <f>SUMIFS(Таблица1[Столбец1],Таблица1[коэф],"1",Таблица1[р/р],"5/24",Таблица1[Ф. И. О.],B121)</f>
        <v>0</v>
      </c>
      <c r="X118" s="492">
        <f t="shared" si="7"/>
        <v>0</v>
      </c>
      <c r="Y118" s="764"/>
      <c r="Z118" s="766"/>
      <c r="AA118" s="756"/>
    </row>
    <row r="119" spans="1:29" ht="18.75">
      <c r="A119" s="756"/>
      <c r="B119" s="215"/>
      <c r="C119" s="759"/>
      <c r="D119" s="762"/>
      <c r="E119" s="393"/>
      <c r="F119" s="390"/>
      <c r="G119" s="400"/>
      <c r="H119" s="392">
        <f t="shared" si="4"/>
        <v>0</v>
      </c>
      <c r="I119" s="389">
        <f>база!$J$5</f>
        <v>215.4924</v>
      </c>
      <c r="J119" s="390">
        <v>1.5</v>
      </c>
      <c r="K119" s="434">
        <f>SUMIFS(Таблица1[Столбец1],Таблица1[коэф],"1,5",Таблица1[р/р],"4/8",Таблица1[Ф. И. О.],B121)</f>
        <v>0</v>
      </c>
      <c r="L119" s="484">
        <f t="shared" si="5"/>
        <v>0</v>
      </c>
      <c r="M119" s="434"/>
      <c r="N119" s="434"/>
      <c r="O119" s="434"/>
      <c r="P119" s="395"/>
      <c r="Q119" s="389">
        <f>IF(D116&lt;=3,база!$L$4,
IF(D116=4,база!$L$5,
IF(D116=5,база!$L$6)))</f>
        <v>210.57480000000001</v>
      </c>
      <c r="R119" s="390">
        <v>1.2</v>
      </c>
      <c r="S119" s="491">
        <f>SUMIFS(Таблица1[Столбец1],Таблица1[коэф],"1,2",Таблица1[р/р],"3/16",Таблица1[Ф. И. О.],B121)</f>
        <v>0</v>
      </c>
      <c r="T119" s="493">
        <f t="shared" si="6"/>
        <v>0</v>
      </c>
      <c r="U119" s="472">
        <f>IF(D116&lt;=3,база!$M$4,
IF(D116=4,база!$M$5,
IF(D116=5,база!$M$6)))</f>
        <v>225.09719999999999</v>
      </c>
      <c r="V119" s="390">
        <v>1.2</v>
      </c>
      <c r="W119" s="494">
        <f>SUMIFS(Таблица1[Столбец1],Таблица1[коэф],"1,2",Таблица1[р/р],"3/24",Таблица1[Ф. И. О.],B121)</f>
        <v>0</v>
      </c>
      <c r="X119" s="492">
        <f t="shared" si="7"/>
        <v>0</v>
      </c>
      <c r="Y119" s="764"/>
      <c r="Z119" s="766"/>
      <c r="AA119" s="756"/>
    </row>
    <row r="120" spans="1:29" ht="18.75">
      <c r="A120" s="756"/>
      <c r="B120" s="215"/>
      <c r="C120" s="759"/>
      <c r="D120" s="762"/>
      <c r="E120" s="393"/>
      <c r="F120" s="390"/>
      <c r="G120" s="400"/>
      <c r="H120" s="392">
        <f t="shared" si="4"/>
        <v>0</v>
      </c>
      <c r="I120" s="389">
        <f>база!$J$6</f>
        <v>243.04319999999998</v>
      </c>
      <c r="J120" s="390">
        <v>1.5</v>
      </c>
      <c r="K120" s="434">
        <f>SUMIFS(Таблица1[Столбец1],Таблица1[коэф],"1,5",Таблица1[р/р],"5/8",Таблица1[Ф. И. О.],B121)</f>
        <v>0</v>
      </c>
      <c r="L120" s="484">
        <f t="shared" si="5"/>
        <v>0</v>
      </c>
      <c r="M120" s="434"/>
      <c r="N120" s="434"/>
      <c r="O120" s="434"/>
      <c r="P120" s="395"/>
      <c r="Q120" s="389">
        <f>база!$L$5</f>
        <v>231.45480000000001</v>
      </c>
      <c r="R120" s="390">
        <v>1.2</v>
      </c>
      <c r="S120" s="491">
        <f>SUMIFS(Таблица1[Столбец1],Таблица1[коэф],"1,2",Таблица1[р/р],"4/16",Таблица1[Ф. И. О.],B121)</f>
        <v>0</v>
      </c>
      <c r="T120" s="493">
        <f t="shared" si="6"/>
        <v>0</v>
      </c>
      <c r="U120" s="472">
        <f>база!$M$5</f>
        <v>247.41720000000001</v>
      </c>
      <c r="V120" s="390">
        <v>1.2</v>
      </c>
      <c r="W120" s="494">
        <f>SUMIFS(Таблица1[Столбец1],Таблица1[коэф],"1,2",Таблица1[р/р],"4/24",Таблица1[Ф. И. О.],B121)</f>
        <v>0</v>
      </c>
      <c r="X120" s="492">
        <f t="shared" si="7"/>
        <v>0</v>
      </c>
      <c r="Y120" s="764"/>
      <c r="Z120" s="766"/>
      <c r="AA120" s="756"/>
    </row>
    <row r="121" spans="1:29" ht="18.75">
      <c r="A121" s="756"/>
      <c r="B121" s="215" t="str">
        <f>база!B12</f>
        <v>Бунчук Виктория Ивановна</v>
      </c>
      <c r="C121" s="759"/>
      <c r="D121" s="762"/>
      <c r="E121" s="393"/>
      <c r="F121" s="390"/>
      <c r="G121" s="400"/>
      <c r="H121" s="392">
        <f t="shared" si="4"/>
        <v>0</v>
      </c>
      <c r="I121" s="389"/>
      <c r="J121" s="390"/>
      <c r="K121" s="434"/>
      <c r="L121" s="484">
        <f t="shared" si="5"/>
        <v>0</v>
      </c>
      <c r="M121" s="434"/>
      <c r="N121" s="434"/>
      <c r="O121" s="434"/>
      <c r="P121" s="395"/>
      <c r="Q121" s="389">
        <f>база!$L$6</f>
        <v>261.04640000000001</v>
      </c>
      <c r="R121" s="390">
        <v>1.2</v>
      </c>
      <c r="S121" s="491">
        <f>SUMIFS(Таблица1[Столбец1],Таблица1[коэф],"1,2",Таблица1[р/р],"5/16",Таблица1[Ф. И. О.],B121)</f>
        <v>0</v>
      </c>
      <c r="T121" s="493">
        <f t="shared" si="6"/>
        <v>0</v>
      </c>
      <c r="U121" s="472">
        <f>база!$M$6</f>
        <v>279.0496</v>
      </c>
      <c r="V121" s="390">
        <v>1.2</v>
      </c>
      <c r="W121" s="494">
        <f>SUMIFS(Таблица1[Столбец1],Таблица1[коэф],"1,2",Таблица1[р/р],"5/24",Таблица1[Ф. И. О.],B121)</f>
        <v>0</v>
      </c>
      <c r="X121" s="492">
        <f t="shared" si="7"/>
        <v>0</v>
      </c>
      <c r="Y121" s="764"/>
      <c r="Z121" s="766"/>
      <c r="AA121" s="756"/>
      <c r="AC121" s="712" t="str">
        <f>IF(SUMIFS(Таблица1[Столбец3],Таблица1[Ф. И. О.],B121)-Z116=0,"",SUMIFS(Таблица1[Столбец3],Таблица1[Ф. И. О.],B121)-Z116)</f>
        <v/>
      </c>
    </row>
    <row r="122" spans="1:29" ht="18.75">
      <c r="A122" s="756"/>
      <c r="B122" s="215"/>
      <c r="C122" s="759"/>
      <c r="D122" s="762"/>
      <c r="E122" s="393"/>
      <c r="F122" s="390"/>
      <c r="G122" s="400"/>
      <c r="H122" s="392">
        <f t="shared" si="4"/>
        <v>0</v>
      </c>
      <c r="I122" s="389"/>
      <c r="J122" s="390"/>
      <c r="K122" s="434"/>
      <c r="L122" s="484">
        <f t="shared" si="5"/>
        <v>0</v>
      </c>
      <c r="M122" s="434"/>
      <c r="N122" s="434"/>
      <c r="O122" s="434"/>
      <c r="P122" s="395"/>
      <c r="Q122" s="389">
        <f>IF(D116&lt;=3,база!$L$4,
IF(D116=4,база!$L$5,
IF(D116=5,база!$L$6)))</f>
        <v>210.57480000000001</v>
      </c>
      <c r="R122" s="390">
        <v>1.3</v>
      </c>
      <c r="S122" s="491">
        <f>SUMIFS(Таблица1[Столбец1],Таблица1[коэф],"1,3",Таблица1[р/р],"3/16",Таблица1[Ф. И. О.],B121)</f>
        <v>0</v>
      </c>
      <c r="T122" s="493">
        <f t="shared" si="6"/>
        <v>0</v>
      </c>
      <c r="U122" s="472">
        <f>IF(D116&lt;=3,база!$M$4,
IF(D116=4,база!$M$5,
IF(D116=5,база!$M$6)))</f>
        <v>225.09719999999999</v>
      </c>
      <c r="V122" s="390">
        <v>1.3</v>
      </c>
      <c r="W122" s="494">
        <f>SUMIFS(Таблица1[Столбец1],Таблица1[коэф],"1,3",Таблица1[р/р],"3/24",Таблица1[Ф. И. О.],B121)</f>
        <v>0</v>
      </c>
      <c r="X122" s="492">
        <f t="shared" si="7"/>
        <v>0</v>
      </c>
      <c r="Y122" s="764"/>
      <c r="Z122" s="766"/>
      <c r="AA122" s="756"/>
      <c r="AC122" s="712" t="str">
        <f>IF(SUMIFS(Таблица1[Столбец1],Таблица1[Ф. И. О.],B121)=Y116,"",B121&amp;"  часы не верны")</f>
        <v/>
      </c>
    </row>
    <row r="123" spans="1:29" ht="18.75">
      <c r="A123" s="756"/>
      <c r="B123" s="215"/>
      <c r="C123" s="759"/>
      <c r="D123" s="762"/>
      <c r="E123" s="393"/>
      <c r="F123" s="390"/>
      <c r="G123" s="400"/>
      <c r="H123" s="392">
        <f t="shared" si="4"/>
        <v>0</v>
      </c>
      <c r="I123" s="389"/>
      <c r="J123" s="390"/>
      <c r="K123" s="434"/>
      <c r="L123" s="484">
        <f t="shared" si="5"/>
        <v>0</v>
      </c>
      <c r="M123" s="434"/>
      <c r="N123" s="434"/>
      <c r="O123" s="434"/>
      <c r="P123" s="395"/>
      <c r="Q123" s="389">
        <f>база!$L$5</f>
        <v>231.45480000000001</v>
      </c>
      <c r="R123" s="390">
        <v>1.3</v>
      </c>
      <c r="S123" s="491">
        <f>SUMIFS(Таблица1[Столбец1],Таблица1[коэф],"1,3",Таблица1[р/р],"4/16",Таблица1[Ф. И. О.],B121)</f>
        <v>0</v>
      </c>
      <c r="T123" s="493">
        <f t="shared" si="6"/>
        <v>0</v>
      </c>
      <c r="U123" s="472">
        <f>база!$M$5</f>
        <v>247.41720000000001</v>
      </c>
      <c r="V123" s="390">
        <v>1.3</v>
      </c>
      <c r="W123" s="494">
        <f>SUMIFS(Таблица1[Столбец1],Таблица1[коэф],"1,3",Таблица1[р/р],"4/24",Таблица1[Ф. И. О.],B121)</f>
        <v>0</v>
      </c>
      <c r="X123" s="492">
        <f t="shared" si="7"/>
        <v>0</v>
      </c>
      <c r="Y123" s="764"/>
      <c r="Z123" s="766"/>
      <c r="AA123" s="756"/>
    </row>
    <row r="124" spans="1:29" ht="18.75">
      <c r="A124" s="756"/>
      <c r="B124" s="215"/>
      <c r="C124" s="759"/>
      <c r="D124" s="762"/>
      <c r="E124" s="393"/>
      <c r="F124" s="390"/>
      <c r="G124" s="400"/>
      <c r="H124" s="392">
        <f t="shared" si="4"/>
        <v>0</v>
      </c>
      <c r="I124" s="389"/>
      <c r="J124" s="390"/>
      <c r="K124" s="434"/>
      <c r="L124" s="484">
        <f t="shared" si="5"/>
        <v>0</v>
      </c>
      <c r="M124" s="434"/>
      <c r="N124" s="434"/>
      <c r="O124" s="434"/>
      <c r="P124" s="395"/>
      <c r="Q124" s="389">
        <f>IF(D116&lt;=3,база!$L$4,
IF(D116=4,база!$L$5,
IF(D116=5,база!$L$6)))</f>
        <v>210.57480000000001</v>
      </c>
      <c r="R124" s="390">
        <v>1.4</v>
      </c>
      <c r="S124" s="491">
        <f>SUMIFS(Таблица1[Столбец1],Таблица1[коэф],"1,4",Таблица1[р/р],"3/16",Таблица1[Ф. И. О.],B121)</f>
        <v>0</v>
      </c>
      <c r="T124" s="493">
        <f t="shared" si="6"/>
        <v>0</v>
      </c>
      <c r="U124" s="472">
        <f>IF(D116&lt;=3,база!$M$4,
IF(D116=4,база!$M$5,
IF(D116=5,база!$M$6)))</f>
        <v>225.09719999999999</v>
      </c>
      <c r="V124" s="390">
        <v>1.4</v>
      </c>
      <c r="W124" s="494">
        <f>SUMIFS(Таблица1[Столбец1],Таблица1[коэф],"1,4",Таблица1[р/р],"3/24",Таблица1[Ф. И. О.],B121)</f>
        <v>0</v>
      </c>
      <c r="X124" s="492">
        <f t="shared" si="7"/>
        <v>0</v>
      </c>
      <c r="Y124" s="764"/>
      <c r="Z124" s="766"/>
      <c r="AA124" s="756"/>
    </row>
    <row r="125" spans="1:29" ht="18.75">
      <c r="A125" s="756"/>
      <c r="B125" s="215"/>
      <c r="C125" s="759"/>
      <c r="D125" s="762"/>
      <c r="E125" s="393"/>
      <c r="F125" s="390"/>
      <c r="G125" s="400"/>
      <c r="H125" s="392">
        <f t="shared" si="4"/>
        <v>0</v>
      </c>
      <c r="I125" s="389"/>
      <c r="J125" s="390"/>
      <c r="K125" s="434"/>
      <c r="L125" s="484">
        <f t="shared" si="5"/>
        <v>0</v>
      </c>
      <c r="M125" s="434"/>
      <c r="N125" s="434"/>
      <c r="O125" s="434"/>
      <c r="P125" s="395"/>
      <c r="Q125" s="389">
        <f>база!$L$5</f>
        <v>231.45480000000001</v>
      </c>
      <c r="R125" s="390">
        <v>1.4</v>
      </c>
      <c r="S125" s="491">
        <f>SUMIFS(Таблица1[Столбец1],Таблица1[коэф],"1,4",Таблица1[р/р],"4/16",Таблица1[Ф. И. О.],B121)</f>
        <v>0</v>
      </c>
      <c r="T125" s="493">
        <f t="shared" si="6"/>
        <v>0</v>
      </c>
      <c r="U125" s="472">
        <f>база!$M$5</f>
        <v>247.41720000000001</v>
      </c>
      <c r="V125" s="390">
        <v>1.4</v>
      </c>
      <c r="W125" s="494">
        <f>SUMIFS(Таблица1[Столбец1],Таблица1[коэф],"1,4",Таблица1[р/р],"4/24",Таблица1[Ф. И. О.],B121)</f>
        <v>0</v>
      </c>
      <c r="X125" s="492">
        <f t="shared" si="7"/>
        <v>0</v>
      </c>
      <c r="Y125" s="764"/>
      <c r="Z125" s="766"/>
      <c r="AA125" s="756"/>
    </row>
    <row r="126" spans="1:29" ht="19.5" thickBot="1">
      <c r="A126" s="757"/>
      <c r="B126" s="215"/>
      <c r="C126" s="760"/>
      <c r="D126" s="763"/>
      <c r="E126" s="422"/>
      <c r="F126" s="403"/>
      <c r="G126" s="408"/>
      <c r="H126" s="468">
        <f t="shared" si="4"/>
        <v>0</v>
      </c>
      <c r="I126" s="420"/>
      <c r="J126" s="403"/>
      <c r="K126" s="460"/>
      <c r="L126" s="458">
        <f t="shared" si="5"/>
        <v>0</v>
      </c>
      <c r="M126" s="460"/>
      <c r="N126" s="460"/>
      <c r="O126" s="460"/>
      <c r="P126" s="424"/>
      <c r="Q126" s="420">
        <f>база!$L$6</f>
        <v>261.04640000000001</v>
      </c>
      <c r="R126" s="403">
        <v>1.4</v>
      </c>
      <c r="S126" s="507">
        <f>SUMIFS(Таблица1[Столбец1],Таблица1[коэф],"1,4",Таблица1[р/р],"5/16",Таблица1[Ф. И. О.],B121)</f>
        <v>0</v>
      </c>
      <c r="T126" s="513">
        <f t="shared" si="6"/>
        <v>0</v>
      </c>
      <c r="U126" s="482">
        <f>база!$M$6</f>
        <v>279.0496</v>
      </c>
      <c r="V126" s="403">
        <v>1.4</v>
      </c>
      <c r="W126" s="496">
        <f>SUMIFS(Таблица1[Столбец1],Таблица1[коэф],"1,4",Таблица1[р/р],"5/24",Таблица1[Ф. И. О.],B121)</f>
        <v>0</v>
      </c>
      <c r="X126" s="492">
        <f t="shared" si="7"/>
        <v>0</v>
      </c>
      <c r="Y126" s="765"/>
      <c r="Z126" s="767"/>
      <c r="AA126" s="757"/>
    </row>
    <row r="127" spans="1:29" ht="18.75">
      <c r="A127" s="755">
        <v>12</v>
      </c>
      <c r="B127" s="318"/>
      <c r="C127" s="758">
        <f>INDEX(база!$E$2:$E$81, MATCH(B132,база!$B$2:$B$50,0))</f>
        <v>17332</v>
      </c>
      <c r="D127" s="761">
        <f>INDEX(база!$D$2:$D$89, MATCH(B132,база!$B$2:$B$50,0))</f>
        <v>3</v>
      </c>
      <c r="E127" s="381">
        <f>IF(D127&lt;=3,база!$I$4,
IF(D127=4,база!$I$5,
IF(D127=5,база!$I$6)))</f>
        <v>188.7912</v>
      </c>
      <c r="F127" s="378">
        <v>1</v>
      </c>
      <c r="G127" s="387">
        <f>SUMIFS(Таблица1[Столбец1],Таблица1[коэф],"1",Таблица1[р/р],"2/4",Таблица1[Ф. И. О.],B132)</f>
        <v>0</v>
      </c>
      <c r="H127" s="402">
        <f t="shared" si="4"/>
        <v>0</v>
      </c>
      <c r="I127" s="377">
        <f>IF(D127&lt;=3,база!$J$4,
IF(D127=4,база!$J$5,
IF(D127=5,база!$J$6)))</f>
        <v>196.05240000000001</v>
      </c>
      <c r="J127" s="378">
        <v>1</v>
      </c>
      <c r="K127" s="428">
        <f>SUMIFS(Таблица1[Столбец1],Таблица1[коэф],"1",Таблица1[р/р],"2/8",Таблица1[Ф. И. О.],B132)</f>
        <v>0</v>
      </c>
      <c r="L127" s="484">
        <f t="shared" si="5"/>
        <v>0</v>
      </c>
      <c r="M127" s="428"/>
      <c r="N127" s="428">
        <v>1</v>
      </c>
      <c r="O127" s="428">
        <f>SUMIFS(Data_Tech!$AM$3:$AM$67,Data_Tech!$E$3:$E$67,"1",Data_Tech!$G$3:$G$67,"3/12",Data_Tech!$F$3:$F$67,B132)</f>
        <v>0</v>
      </c>
      <c r="P127" s="383">
        <f>ROUND(M127*N127*O127,2)</f>
        <v>0</v>
      </c>
      <c r="Q127" s="377">
        <f>IF(D127&lt;=3,база!$L$4,
IF(D127=4,база!$L$5,
IF(D127=5,база!$L$6)))</f>
        <v>210.57480000000001</v>
      </c>
      <c r="R127" s="378">
        <v>1</v>
      </c>
      <c r="S127" s="489">
        <f>SUMIFS(Таблица1[Столбец1],Таблица1[коэф],"1",Таблица1[р/р],"3/16",Таблица1[Ф. И. О.],B132)</f>
        <v>0</v>
      </c>
      <c r="T127" s="492">
        <f t="shared" si="6"/>
        <v>0</v>
      </c>
      <c r="U127" s="471">
        <f>IF(D127&lt;=3,база!$M$4,
IF(D127=4,база!$M$5,
IF(D127=5,база!$M$6)))</f>
        <v>225.09719999999999</v>
      </c>
      <c r="V127" s="378">
        <v>1</v>
      </c>
      <c r="W127" s="497">
        <f>SUMIFS(Таблица1[Столбец1],Таблица1[коэф],"1",Таблица1[р/р],"3/24",Таблица1[Ф. И. О.],B132)</f>
        <v>0</v>
      </c>
      <c r="X127" s="490">
        <f t="shared" si="7"/>
        <v>0</v>
      </c>
      <c r="Y127" s="764">
        <f t="shared" ref="Y127" si="14">SUM(G127:G137,K127:K137,O127:O137,S127:S137,W127:W137)</f>
        <v>0</v>
      </c>
      <c r="Z127" s="766">
        <f t="shared" ref="Z127" si="15">IFERROR(SUM(H127:H137,L127:L137,T127:T137,X127:X137),"")</f>
        <v>0</v>
      </c>
      <c r="AA127" s="756"/>
    </row>
    <row r="128" spans="1:29" ht="18.75">
      <c r="A128" s="756"/>
      <c r="B128" s="215"/>
      <c r="C128" s="759"/>
      <c r="D128" s="762"/>
      <c r="E128" s="393">
        <f>IF(D127&lt;=3,база!$I$4,
IF(D127=4,база!$I$5,
IF(D127=5,база!$I$6)))</f>
        <v>188.7912</v>
      </c>
      <c r="F128" s="390">
        <v>1</v>
      </c>
      <c r="G128" s="400">
        <f>SUMIFS(Таблица1[Столбец1],Таблица1[коэф],"1",Таблица1[р/р],"3/4",Таблица1[Ф. И. О.],B132)</f>
        <v>0</v>
      </c>
      <c r="H128" s="392">
        <f t="shared" si="4"/>
        <v>0</v>
      </c>
      <c r="I128" s="389">
        <f>IF(D127&lt;=3,база!$J$4,
IF(D127=4,база!$J$5,
IF(D127=5,база!$J$6)))</f>
        <v>196.05240000000001</v>
      </c>
      <c r="J128" s="390">
        <v>1</v>
      </c>
      <c r="K128" s="434">
        <f>SUMIFS(Таблица1[Столбец1],Таблица1[коэф],"1",Таблица1[р/р],"3/8",Таблица1[Ф. И. О.],B132)</f>
        <v>0</v>
      </c>
      <c r="L128" s="484">
        <f t="shared" si="5"/>
        <v>0</v>
      </c>
      <c r="M128" s="434"/>
      <c r="N128" s="434">
        <v>1</v>
      </c>
      <c r="O128" s="434">
        <f>SUMIFS(Data_Tech!$AM$3:$AM$67,Data_Tech!$E$3:$E$67,"1",Data_Tech!$G$3:$G$67,"4/12",Data_Tech!$F$3:$F$67,B132)</f>
        <v>0</v>
      </c>
      <c r="P128" s="395">
        <f>ROUND(M128*O128,2)</f>
        <v>0</v>
      </c>
      <c r="Q128" s="389">
        <f>база!$L$5</f>
        <v>231.45480000000001</v>
      </c>
      <c r="R128" s="390">
        <v>1</v>
      </c>
      <c r="S128" s="491">
        <f>SUMIFS(Таблица1[Столбец1],Таблица1[коэф],"1",Таблица1[р/р],"4/16",Таблица1[Ф. И. О.],B132)</f>
        <v>0</v>
      </c>
      <c r="T128" s="493">
        <f t="shared" si="6"/>
        <v>0</v>
      </c>
      <c r="U128" s="472">
        <f>база!$M$5</f>
        <v>247.41720000000001</v>
      </c>
      <c r="V128" s="390">
        <v>1</v>
      </c>
      <c r="W128" s="494">
        <f>SUMIFS(Таблица1[Столбец1],Таблица1[коэф],"1",Таблица1[р/р],"4/24",Таблица1[Ф. И. О.],B132)</f>
        <v>0</v>
      </c>
      <c r="X128" s="492">
        <f t="shared" si="7"/>
        <v>0</v>
      </c>
      <c r="Y128" s="764"/>
      <c r="Z128" s="766"/>
      <c r="AA128" s="756"/>
    </row>
    <row r="129" spans="1:29" ht="18.75">
      <c r="A129" s="756"/>
      <c r="B129" s="215"/>
      <c r="C129" s="759"/>
      <c r="D129" s="762"/>
      <c r="E129" s="393"/>
      <c r="F129" s="390"/>
      <c r="G129" s="400"/>
      <c r="H129" s="392">
        <f t="shared" si="4"/>
        <v>0</v>
      </c>
      <c r="I129" s="389"/>
      <c r="J129" s="390"/>
      <c r="K129" s="434"/>
      <c r="L129" s="484">
        <f t="shared" si="5"/>
        <v>0</v>
      </c>
      <c r="M129" s="434"/>
      <c r="N129" s="434"/>
      <c r="O129" s="434"/>
      <c r="P129" s="395"/>
      <c r="Q129" s="389">
        <f>база!$L$6</f>
        <v>261.04640000000001</v>
      </c>
      <c r="R129" s="390">
        <v>1</v>
      </c>
      <c r="S129" s="491">
        <f>SUMIFS(Таблица1[Столбец1],Таблица1[коэф],"1",Таблица1[р/р],"5/16",Таблица1[Ф. И. О.],B132)</f>
        <v>0</v>
      </c>
      <c r="T129" s="493">
        <f t="shared" si="6"/>
        <v>0</v>
      </c>
      <c r="U129" s="472">
        <f>база!$M$6</f>
        <v>279.0496</v>
      </c>
      <c r="V129" s="390">
        <v>1</v>
      </c>
      <c r="W129" s="494">
        <f>SUMIFS(Таблица1[Столбец1],Таблица1[коэф],"1",Таблица1[р/р],"5/24",Таблица1[Ф. И. О.],B132)</f>
        <v>0</v>
      </c>
      <c r="X129" s="492">
        <f t="shared" si="7"/>
        <v>0</v>
      </c>
      <c r="Y129" s="764"/>
      <c r="Z129" s="766"/>
      <c r="AA129" s="756"/>
    </row>
    <row r="130" spans="1:29" ht="18.75">
      <c r="A130" s="756"/>
      <c r="B130" s="215"/>
      <c r="C130" s="759"/>
      <c r="D130" s="762"/>
      <c r="E130" s="393"/>
      <c r="F130" s="390"/>
      <c r="G130" s="400"/>
      <c r="H130" s="392">
        <f t="shared" si="4"/>
        <v>0</v>
      </c>
      <c r="I130" s="389">
        <f>база!$J$5</f>
        <v>215.4924</v>
      </c>
      <c r="J130" s="390">
        <v>1.5</v>
      </c>
      <c r="K130" s="434">
        <f>SUMIFS(Таблица1[Столбец1],Таблица1[коэф],"1,5",Таблица1[р/р],"4/8",Таблица1[Ф. И. О.],B132)</f>
        <v>0</v>
      </c>
      <c r="L130" s="484">
        <f t="shared" si="5"/>
        <v>0</v>
      </c>
      <c r="M130" s="434"/>
      <c r="N130" s="434"/>
      <c r="O130" s="434"/>
      <c r="P130" s="395"/>
      <c r="Q130" s="389">
        <f>IF(D127&lt;=3,база!$L$4,
IF(D127=4,база!$L$5,
IF(D127=5,база!$L$6)))</f>
        <v>210.57480000000001</v>
      </c>
      <c r="R130" s="390">
        <v>1.2</v>
      </c>
      <c r="S130" s="491">
        <f>SUMIFS(Таблица1[Столбец1],Таблица1[коэф],"1,2",Таблица1[р/р],"3/16",Таблица1[Ф. И. О.],B132)</f>
        <v>0</v>
      </c>
      <c r="T130" s="493">
        <f t="shared" si="6"/>
        <v>0</v>
      </c>
      <c r="U130" s="472">
        <f>IF(D127&lt;=3,база!$M$4,
IF(D127=4,база!$M$5,
IF(D127=5,база!$M$6)))</f>
        <v>225.09719999999999</v>
      </c>
      <c r="V130" s="390">
        <v>1.2</v>
      </c>
      <c r="W130" s="494">
        <f>SUMIFS(Таблица1[Столбец1],Таблица1[коэф],"1,2",Таблица1[р/р],"3/24",Таблица1[Ф. И. О.],B132)</f>
        <v>0</v>
      </c>
      <c r="X130" s="492">
        <f t="shared" si="7"/>
        <v>0</v>
      </c>
      <c r="Y130" s="764"/>
      <c r="Z130" s="766"/>
      <c r="AA130" s="756"/>
    </row>
    <row r="131" spans="1:29" ht="18.75">
      <c r="A131" s="756"/>
      <c r="B131" s="215"/>
      <c r="C131" s="759"/>
      <c r="D131" s="762"/>
      <c r="E131" s="393"/>
      <c r="F131" s="390"/>
      <c r="G131" s="400"/>
      <c r="H131" s="392">
        <f t="shared" si="4"/>
        <v>0</v>
      </c>
      <c r="I131" s="389">
        <f>база!$J$6</f>
        <v>243.04319999999998</v>
      </c>
      <c r="J131" s="390">
        <v>1.5</v>
      </c>
      <c r="K131" s="434">
        <f>SUMIFS(Таблица1[Столбец1],Таблица1[коэф],"1,5",Таблица1[р/р],"5/8",Таблица1[Ф. И. О.],B132)</f>
        <v>0</v>
      </c>
      <c r="L131" s="484">
        <f t="shared" si="5"/>
        <v>0</v>
      </c>
      <c r="M131" s="434"/>
      <c r="N131" s="434"/>
      <c r="O131" s="434"/>
      <c r="P131" s="395"/>
      <c r="Q131" s="389">
        <f>база!$L$5</f>
        <v>231.45480000000001</v>
      </c>
      <c r="R131" s="390">
        <v>1.2</v>
      </c>
      <c r="S131" s="491">
        <f>SUMIFS(Таблица1[Столбец1],Таблица1[коэф],"1,2",Таблица1[р/р],"4/16",Таблица1[Ф. И. О.],B132)</f>
        <v>0</v>
      </c>
      <c r="T131" s="493">
        <f t="shared" si="6"/>
        <v>0</v>
      </c>
      <c r="U131" s="472">
        <f>база!$M$5</f>
        <v>247.41720000000001</v>
      </c>
      <c r="V131" s="390">
        <v>1.2</v>
      </c>
      <c r="W131" s="494">
        <f>SUMIFS(Таблица1[Столбец1],Таблица1[коэф],"1,2",Таблица1[р/р],"4/24",Таблица1[Ф. И. О.],B132)</f>
        <v>0</v>
      </c>
      <c r="X131" s="492">
        <f t="shared" si="7"/>
        <v>0</v>
      </c>
      <c r="Y131" s="764"/>
      <c r="Z131" s="766"/>
      <c r="AA131" s="756"/>
    </row>
    <row r="132" spans="1:29" ht="22.5" customHeight="1">
      <c r="A132" s="756"/>
      <c r="B132" s="215" t="str">
        <f>база!B13</f>
        <v>Васильева Марина Витальевна</v>
      </c>
      <c r="C132" s="759"/>
      <c r="D132" s="762"/>
      <c r="E132" s="393"/>
      <c r="F132" s="390"/>
      <c r="G132" s="400"/>
      <c r="H132" s="392">
        <f t="shared" si="4"/>
        <v>0</v>
      </c>
      <c r="I132" s="389"/>
      <c r="J132" s="390"/>
      <c r="K132" s="434"/>
      <c r="L132" s="484">
        <f t="shared" si="5"/>
        <v>0</v>
      </c>
      <c r="M132" s="434"/>
      <c r="N132" s="434"/>
      <c r="O132" s="434"/>
      <c r="P132" s="395"/>
      <c r="Q132" s="389">
        <f>база!$L$6</f>
        <v>261.04640000000001</v>
      </c>
      <c r="R132" s="390">
        <v>1.2</v>
      </c>
      <c r="S132" s="491">
        <f>SUMIFS(Таблица1[Столбец1],Таблица1[коэф],"1,2",Таблица1[р/р],"5/16",Таблица1[Ф. И. О.],B132)</f>
        <v>0</v>
      </c>
      <c r="T132" s="493">
        <f t="shared" si="6"/>
        <v>0</v>
      </c>
      <c r="U132" s="472">
        <f>база!$M$6</f>
        <v>279.0496</v>
      </c>
      <c r="V132" s="390">
        <v>1.2</v>
      </c>
      <c r="W132" s="494">
        <f>SUMIFS(Таблица1[Столбец1],Таблица1[коэф],"1,2",Таблица1[р/р],"5/24",Таблица1[Ф. И. О.],B132)</f>
        <v>0</v>
      </c>
      <c r="X132" s="492">
        <f t="shared" si="7"/>
        <v>0</v>
      </c>
      <c r="Y132" s="764"/>
      <c r="Z132" s="766"/>
      <c r="AA132" s="756"/>
      <c r="AC132" s="712" t="str">
        <f>IF(SUMIFS(Таблица1[Столбец3],Таблица1[Ф. И. О.],B132)-Z127=0,"",SUMIFS(Таблица1[Столбец3],Таблица1[Ф. И. О.],B132)-Z127)</f>
        <v/>
      </c>
    </row>
    <row r="133" spans="1:29" ht="18.75">
      <c r="A133" s="756"/>
      <c r="B133" s="215"/>
      <c r="C133" s="759"/>
      <c r="D133" s="762"/>
      <c r="E133" s="393"/>
      <c r="F133" s="390"/>
      <c r="G133" s="400"/>
      <c r="H133" s="392">
        <f t="shared" si="4"/>
        <v>0</v>
      </c>
      <c r="I133" s="389"/>
      <c r="J133" s="390"/>
      <c r="K133" s="434"/>
      <c r="L133" s="484">
        <f t="shared" si="5"/>
        <v>0</v>
      </c>
      <c r="M133" s="434"/>
      <c r="N133" s="434"/>
      <c r="O133" s="434"/>
      <c r="P133" s="395"/>
      <c r="Q133" s="389">
        <f>IF(D127&lt;=3,база!$L$4,
IF(D127=4,база!$L$5,
IF(D127=5,база!$L$6)))</f>
        <v>210.57480000000001</v>
      </c>
      <c r="R133" s="390">
        <v>1.3</v>
      </c>
      <c r="S133" s="491">
        <f>SUMIFS(Таблица1[Столбец1],Таблица1[коэф],"1,3",Таблица1[р/р],"3/16",Таблица1[Ф. И. О.],B132)</f>
        <v>0</v>
      </c>
      <c r="T133" s="493">
        <f t="shared" si="6"/>
        <v>0</v>
      </c>
      <c r="U133" s="472">
        <f>IF(D127&lt;=3,база!$M$4,
IF(D127=4,база!$M$5,
IF(D127=5,база!$M$6)))</f>
        <v>225.09719999999999</v>
      </c>
      <c r="V133" s="390">
        <v>1.3</v>
      </c>
      <c r="W133" s="494">
        <f>SUMIFS(Таблица1[Столбец1],Таблица1[коэф],"1,3",Таблица1[р/р],"3/24",Таблица1[Ф. И. О.],B132)</f>
        <v>0</v>
      </c>
      <c r="X133" s="492">
        <f t="shared" si="7"/>
        <v>0</v>
      </c>
      <c r="Y133" s="764"/>
      <c r="Z133" s="766"/>
      <c r="AA133" s="756"/>
      <c r="AC133" s="712" t="str">
        <f>IF(SUMIFS(Таблица1[Столбец1],Таблица1[Ф. И. О.],B132)=Y127,"",B132&amp;"  часы не верны")</f>
        <v/>
      </c>
    </row>
    <row r="134" spans="1:29" ht="18.75">
      <c r="A134" s="756"/>
      <c r="B134" s="215"/>
      <c r="C134" s="759"/>
      <c r="D134" s="762"/>
      <c r="E134" s="393"/>
      <c r="F134" s="390"/>
      <c r="G134" s="400"/>
      <c r="H134" s="392">
        <f t="shared" si="4"/>
        <v>0</v>
      </c>
      <c r="I134" s="389"/>
      <c r="J134" s="390"/>
      <c r="K134" s="434"/>
      <c r="L134" s="484">
        <f t="shared" si="5"/>
        <v>0</v>
      </c>
      <c r="M134" s="434"/>
      <c r="N134" s="434"/>
      <c r="O134" s="434"/>
      <c r="P134" s="395"/>
      <c r="Q134" s="389">
        <f>база!$L$5</f>
        <v>231.45480000000001</v>
      </c>
      <c r="R134" s="390">
        <v>1.3</v>
      </c>
      <c r="S134" s="491">
        <f>SUMIFS(Таблица1[Столбец1],Таблица1[коэф],"1,3",Таблица1[р/р],"4/16",Таблица1[Ф. И. О.],B132)</f>
        <v>0</v>
      </c>
      <c r="T134" s="493">
        <f t="shared" si="6"/>
        <v>0</v>
      </c>
      <c r="U134" s="472">
        <f>база!$M$5</f>
        <v>247.41720000000001</v>
      </c>
      <c r="V134" s="390">
        <v>1.3</v>
      </c>
      <c r="W134" s="494">
        <f>SUMIFS(Таблица1[Столбец1],Таблица1[коэф],"1,3",Таблица1[р/р],"4/24",Таблица1[Ф. И. О.],B132)</f>
        <v>0</v>
      </c>
      <c r="X134" s="492">
        <f t="shared" si="7"/>
        <v>0</v>
      </c>
      <c r="Y134" s="764"/>
      <c r="Z134" s="766"/>
      <c r="AA134" s="756"/>
    </row>
    <row r="135" spans="1:29" ht="18.75">
      <c r="A135" s="756"/>
      <c r="B135" s="215"/>
      <c r="C135" s="759"/>
      <c r="D135" s="762"/>
      <c r="E135" s="393"/>
      <c r="F135" s="390"/>
      <c r="G135" s="400"/>
      <c r="H135" s="392">
        <f t="shared" ref="H135:H198" si="16">ROUND(E135*F135*G135*2,2)</f>
        <v>0</v>
      </c>
      <c r="I135" s="389"/>
      <c r="J135" s="390"/>
      <c r="K135" s="434"/>
      <c r="L135" s="484">
        <f t="shared" ref="L135:L198" si="17">ROUND(I135*J135*K135*2,2)</f>
        <v>0</v>
      </c>
      <c r="M135" s="434"/>
      <c r="N135" s="434"/>
      <c r="O135" s="434"/>
      <c r="P135" s="395"/>
      <c r="Q135" s="389">
        <f>IF(D127&lt;=3,база!$L$4,
IF(D127=4,база!$L$5,
IF(D127=5,база!$L$6)))</f>
        <v>210.57480000000001</v>
      </c>
      <c r="R135" s="390">
        <v>1.4</v>
      </c>
      <c r="S135" s="491">
        <f>SUMIFS(Таблица1[Столбец1],Таблица1[коэф],"1,4",Таблица1[р/р],"3/16",Таблица1[Ф. И. О.],B132)</f>
        <v>0</v>
      </c>
      <c r="T135" s="493">
        <f t="shared" ref="T135:T198" si="18">ROUND(Q135*R135*S135*2,2)</f>
        <v>0</v>
      </c>
      <c r="U135" s="472">
        <f>IF(D127&lt;=3,база!$M$4,
IF(D127=4,база!$M$5,
IF(D127=5,база!$M$6)))</f>
        <v>225.09719999999999</v>
      </c>
      <c r="V135" s="390">
        <v>1.4</v>
      </c>
      <c r="W135" s="494">
        <f>SUMIFS(Таблица1[Столбец1],Таблица1[коэф],"1,4",Таблица1[р/р],"3/24",Таблица1[Ф. И. О.],B132)</f>
        <v>0</v>
      </c>
      <c r="X135" s="492">
        <f t="shared" ref="X135:X198" si="19">ROUND(U135*V135*W135*2,2)</f>
        <v>0</v>
      </c>
      <c r="Y135" s="764"/>
      <c r="Z135" s="766"/>
      <c r="AA135" s="756"/>
    </row>
    <row r="136" spans="1:29" ht="18.75">
      <c r="A136" s="756"/>
      <c r="B136" s="215"/>
      <c r="C136" s="759"/>
      <c r="D136" s="762"/>
      <c r="E136" s="393"/>
      <c r="F136" s="390"/>
      <c r="G136" s="400"/>
      <c r="H136" s="392">
        <f t="shared" si="16"/>
        <v>0</v>
      </c>
      <c r="I136" s="389"/>
      <c r="J136" s="390"/>
      <c r="K136" s="434"/>
      <c r="L136" s="484">
        <f t="shared" si="17"/>
        <v>0</v>
      </c>
      <c r="M136" s="434"/>
      <c r="N136" s="434"/>
      <c r="O136" s="434"/>
      <c r="P136" s="395"/>
      <c r="Q136" s="389">
        <f>база!$L$5</f>
        <v>231.45480000000001</v>
      </c>
      <c r="R136" s="390">
        <v>1.4</v>
      </c>
      <c r="S136" s="491">
        <f>SUMIFS(Таблица1[Столбец1],Таблица1[коэф],"1,4",Таблица1[р/р],"4/16",Таблица1[Ф. И. О.],B132)</f>
        <v>0</v>
      </c>
      <c r="T136" s="493">
        <f t="shared" si="18"/>
        <v>0</v>
      </c>
      <c r="U136" s="472">
        <f>база!$M$5</f>
        <v>247.41720000000001</v>
      </c>
      <c r="V136" s="390">
        <v>1.4</v>
      </c>
      <c r="W136" s="494">
        <f>SUMIFS(Таблица1[Столбец1],Таблица1[коэф],"1,4",Таблица1[р/р],"4/24",Таблица1[Ф. И. О.],B132)</f>
        <v>0</v>
      </c>
      <c r="X136" s="492">
        <f t="shared" si="19"/>
        <v>0</v>
      </c>
      <c r="Y136" s="764"/>
      <c r="Z136" s="766"/>
      <c r="AA136" s="756"/>
    </row>
    <row r="137" spans="1:29" ht="19.5" thickBot="1">
      <c r="A137" s="757"/>
      <c r="B137" s="202"/>
      <c r="C137" s="760"/>
      <c r="D137" s="763"/>
      <c r="E137" s="463"/>
      <c r="F137" s="464"/>
      <c r="G137" s="465"/>
      <c r="H137" s="468">
        <f t="shared" si="16"/>
        <v>0</v>
      </c>
      <c r="I137" s="473"/>
      <c r="J137" s="464"/>
      <c r="K137" s="457"/>
      <c r="L137" s="458">
        <f t="shared" si="17"/>
        <v>0</v>
      </c>
      <c r="M137" s="457"/>
      <c r="N137" s="457"/>
      <c r="O137" s="457"/>
      <c r="P137" s="458"/>
      <c r="Q137" s="473">
        <f>база!$L$6</f>
        <v>261.04640000000001</v>
      </c>
      <c r="R137" s="464">
        <v>1.4</v>
      </c>
      <c r="S137" s="512">
        <f>SUMIFS(Таблица1[Столбец1],Таблица1[коэф],"1,4",Таблица1[р/р],"5/16",Таблица1[Ф. И. О.],B132)</f>
        <v>0</v>
      </c>
      <c r="T137" s="513">
        <f t="shared" si="18"/>
        <v>0</v>
      </c>
      <c r="U137" s="474">
        <f>база!$M$6</f>
        <v>279.0496</v>
      </c>
      <c r="V137" s="464">
        <v>1.4</v>
      </c>
      <c r="W137" s="501">
        <f>SUMIFS(Таблица1[Столбец1],Таблица1[коэф],"1,4",Таблица1[р/р],"5/24",Таблица1[Ф. И. О.],B132)</f>
        <v>0</v>
      </c>
      <c r="X137" s="492">
        <f t="shared" si="19"/>
        <v>0</v>
      </c>
      <c r="Y137" s="765"/>
      <c r="Z137" s="767"/>
      <c r="AA137" s="757"/>
    </row>
    <row r="138" spans="1:29" ht="18.75">
      <c r="A138" s="755">
        <v>13</v>
      </c>
      <c r="B138" s="215"/>
      <c r="C138" s="758">
        <f>INDEX(база!$E$2:$E$81, MATCH(B143,база!$B$2:$B$50,0))</f>
        <v>17198</v>
      </c>
      <c r="D138" s="761">
        <f>INDEX(база!$D$2:$D$89, MATCH(B143,база!$B$2:$B$50,0))</f>
        <v>3</v>
      </c>
      <c r="E138" s="377">
        <f>IF(D138&lt;=3,база!$I$4,
IF(D138=4,база!$I$5,
IF(D138=5,база!$I$6)))</f>
        <v>188.7912</v>
      </c>
      <c r="F138" s="378">
        <v>1</v>
      </c>
      <c r="G138" s="387">
        <f>SUMIFS(Таблица1[Столбец1],Таблица1[коэф],"1",Таблица1[р/р],"2/4",Таблица1[Ф. И. О.],B143)</f>
        <v>0</v>
      </c>
      <c r="H138" s="402">
        <f t="shared" si="16"/>
        <v>0</v>
      </c>
      <c r="I138" s="451">
        <f>IF(D138&lt;=3,база!$J$4,
IF(D138=4,база!$J$5,
IF(D138=5,база!$J$6)))</f>
        <v>196.05240000000001</v>
      </c>
      <c r="J138" s="417">
        <v>1</v>
      </c>
      <c r="K138" s="453">
        <f>SUMIFS(Таблица1[Столбец1],Таблица1[коэф],"1",Таблица1[р/р],"2/8",Таблица1[Ф. И. О.],B143)</f>
        <v>0</v>
      </c>
      <c r="L138" s="484">
        <f t="shared" si="17"/>
        <v>0</v>
      </c>
      <c r="M138" s="453"/>
      <c r="N138" s="453">
        <v>1</v>
      </c>
      <c r="O138" s="453">
        <f>SUMIFS(Data_Tech!$AM$3:$AM$67,Data_Tech!$E$3:$E$67,"1",Data_Tech!$G$3:$G$67,"3/12",Data_Tech!$F$3:$F$67,B143)</f>
        <v>0</v>
      </c>
      <c r="P138" s="398">
        <f>ROUND(M138*N138*O138,2)</f>
        <v>0</v>
      </c>
      <c r="Q138" s="481">
        <f>IF(D138&lt;=3,база!$L$4,
IF(D138=4,база!$L$5,
IF(D138=5,база!$L$6)))</f>
        <v>210.57480000000001</v>
      </c>
      <c r="R138" s="417">
        <v>1</v>
      </c>
      <c r="S138" s="495">
        <f>SUMIFS(Таблица1[Столбец1],Таблица1[коэф],"1",Таблица1[р/р],"3/16",Таблица1[Ф. И. О.],B143)</f>
        <v>0</v>
      </c>
      <c r="T138" s="492">
        <f t="shared" si="18"/>
        <v>0</v>
      </c>
      <c r="U138" s="454">
        <f>IF(D138&lt;=3,база!$M$4,
IF(D138=4,база!$M$5,
IF(D138=5,база!$M$6)))</f>
        <v>225.09719999999999</v>
      </c>
      <c r="V138" s="378">
        <v>1</v>
      </c>
      <c r="W138" s="505">
        <f>SUMIFS(Таблица1[Столбец1],Таблица1[коэф],"1",Таблица1[р/р],"3/24",Таблица1[Ф. И. О.],B143)</f>
        <v>0</v>
      </c>
      <c r="X138" s="490">
        <f t="shared" si="19"/>
        <v>0</v>
      </c>
      <c r="Y138" s="764">
        <f t="shared" ref="Y138" si="20">SUM(G138:G148,K138:K148,O138:O148,S138:S148,W138:W148)</f>
        <v>0</v>
      </c>
      <c r="Z138" s="766">
        <f t="shared" ref="Z138" si="21">IFERROR(SUM(H138:H148,L138:L148,T138:T148,X138:X148),"")</f>
        <v>0</v>
      </c>
      <c r="AA138" s="756"/>
    </row>
    <row r="139" spans="1:29" ht="18.75">
      <c r="A139" s="756"/>
      <c r="B139" s="215"/>
      <c r="C139" s="759"/>
      <c r="D139" s="762"/>
      <c r="E139" s="389">
        <f>IF(D138&lt;=3,база!$I$4,
IF(D138=4,база!$I$5,
IF(D138=5,база!$I$6)))</f>
        <v>188.7912</v>
      </c>
      <c r="F139" s="390">
        <v>1</v>
      </c>
      <c r="G139" s="400">
        <f>SUMIFS(Таблица1[Столбец1],Таблица1[коэф],"1",Таблица1[р/р],"3/4",Таблица1[Ф. И. О.],B143)</f>
        <v>0</v>
      </c>
      <c r="H139" s="392">
        <f t="shared" si="16"/>
        <v>0</v>
      </c>
      <c r="I139" s="393">
        <f>IF(D138&lt;=3,база!$J$4,
IF(D138=4,база!$J$5,
IF(D138=5,база!$J$6)))</f>
        <v>196.05240000000001</v>
      </c>
      <c r="J139" s="390">
        <v>1</v>
      </c>
      <c r="K139" s="434">
        <f>SUMIFS(Таблица1[Столбец1],Таблица1[коэф],"1",Таблица1[р/р],"3/8",Таблица1[Ф. И. О.],B143)</f>
        <v>0</v>
      </c>
      <c r="L139" s="484">
        <f t="shared" si="17"/>
        <v>0</v>
      </c>
      <c r="M139" s="434"/>
      <c r="N139" s="434">
        <v>1</v>
      </c>
      <c r="O139" s="434">
        <f>SUMIFS(Data_Tech!$AM$3:$AM$67,Data_Tech!$E$3:$E$67,"1",Data_Tech!$G$3:$G$67,"4/12",Data_Tech!$F$3:$F$67,B143)</f>
        <v>0</v>
      </c>
      <c r="P139" s="406">
        <f>ROUND(M139*O139,2)</f>
        <v>0</v>
      </c>
      <c r="Q139" s="389">
        <f>база!$L$5</f>
        <v>231.45480000000001</v>
      </c>
      <c r="R139" s="390">
        <v>1</v>
      </c>
      <c r="S139" s="491">
        <f>SUMIFS(Таблица1[Столбец1],Таблица1[коэф],"1",Таблица1[р/р],"4/16",Таблица1[Ф. И. О.],B143)</f>
        <v>0</v>
      </c>
      <c r="T139" s="493">
        <f t="shared" si="18"/>
        <v>0</v>
      </c>
      <c r="U139" s="410">
        <f>база!$M$5</f>
        <v>247.41720000000001</v>
      </c>
      <c r="V139" s="390">
        <v>1</v>
      </c>
      <c r="W139" s="503">
        <f>SUMIFS(Таблица1[Столбец1],Таблица1[коэф],"1",Таблица1[р/р],"4/24",Таблица1[Ф. И. О.],B143)</f>
        <v>0</v>
      </c>
      <c r="X139" s="492">
        <f t="shared" si="19"/>
        <v>0</v>
      </c>
      <c r="Y139" s="764"/>
      <c r="Z139" s="766"/>
      <c r="AA139" s="756"/>
    </row>
    <row r="140" spans="1:29" ht="18.75">
      <c r="A140" s="756"/>
      <c r="B140" s="215"/>
      <c r="C140" s="759"/>
      <c r="D140" s="762"/>
      <c r="E140" s="389"/>
      <c r="F140" s="390"/>
      <c r="G140" s="400"/>
      <c r="H140" s="392">
        <f t="shared" si="16"/>
        <v>0</v>
      </c>
      <c r="I140" s="393"/>
      <c r="J140" s="390"/>
      <c r="K140" s="434"/>
      <c r="L140" s="484">
        <f t="shared" si="17"/>
        <v>0</v>
      </c>
      <c r="M140" s="434"/>
      <c r="N140" s="434"/>
      <c r="O140" s="434"/>
      <c r="P140" s="406"/>
      <c r="Q140" s="389">
        <f>база!$L$6</f>
        <v>261.04640000000001</v>
      </c>
      <c r="R140" s="390">
        <v>1</v>
      </c>
      <c r="S140" s="491">
        <f>SUMIFS(Таблица1[Столбец1],Таблица1[коэф],"1",Таблица1[р/р],"5/16",Таблица1[Ф. И. О.],B143)</f>
        <v>0</v>
      </c>
      <c r="T140" s="493">
        <f t="shared" si="18"/>
        <v>0</v>
      </c>
      <c r="U140" s="410">
        <f>база!$M$6</f>
        <v>279.0496</v>
      </c>
      <c r="V140" s="390">
        <v>1</v>
      </c>
      <c r="W140" s="503">
        <f>SUMIFS(Таблица1[Столбец1],Таблица1[коэф],"1",Таблица1[р/р],"5/24",Таблица1[Ф. И. О.],B143)</f>
        <v>0</v>
      </c>
      <c r="X140" s="492">
        <f t="shared" si="19"/>
        <v>0</v>
      </c>
      <c r="Y140" s="764"/>
      <c r="Z140" s="766"/>
      <c r="AA140" s="756"/>
    </row>
    <row r="141" spans="1:29" ht="18.75">
      <c r="A141" s="756"/>
      <c r="B141" s="215"/>
      <c r="C141" s="759"/>
      <c r="D141" s="762"/>
      <c r="E141" s="389"/>
      <c r="F141" s="390"/>
      <c r="G141" s="400"/>
      <c r="H141" s="392">
        <f t="shared" si="16"/>
        <v>0</v>
      </c>
      <c r="I141" s="393">
        <f>база!$J$5</f>
        <v>215.4924</v>
      </c>
      <c r="J141" s="390">
        <v>1.5</v>
      </c>
      <c r="K141" s="434">
        <f>SUMIFS(Таблица1[Столбец1],Таблица1[коэф],"1,5",Таблица1[р/р],"4/8",Таблица1[Ф. И. О.],B143)</f>
        <v>0</v>
      </c>
      <c r="L141" s="484">
        <f t="shared" si="17"/>
        <v>0</v>
      </c>
      <c r="M141" s="434"/>
      <c r="N141" s="434"/>
      <c r="O141" s="434"/>
      <c r="P141" s="406"/>
      <c r="Q141" s="389">
        <f>IF(D138&lt;=3,база!$L$4,
IF(D138=4,база!$L$5,
IF(D138=5,база!$L$6)))</f>
        <v>210.57480000000001</v>
      </c>
      <c r="R141" s="390">
        <v>1.2</v>
      </c>
      <c r="S141" s="491">
        <f>SUMIFS(Таблица1[Столбец1],Таблица1[коэф],"1,2",Таблица1[р/р],"3/16",Таблица1[Ф. И. О.],B143)</f>
        <v>0</v>
      </c>
      <c r="T141" s="493">
        <f t="shared" si="18"/>
        <v>0</v>
      </c>
      <c r="U141" s="410">
        <f>IF(D138&lt;=3,база!$M$4,
IF(D138=4,база!$M$5,
IF(D138=5,база!$M$6)))</f>
        <v>225.09719999999999</v>
      </c>
      <c r="V141" s="390">
        <v>1.2</v>
      </c>
      <c r="W141" s="503">
        <f>SUMIFS(Таблица1[Столбец1],Таблица1[коэф],"1,2",Таблица1[р/р],"3/24",Таблица1[Ф. И. О.],B143)</f>
        <v>0</v>
      </c>
      <c r="X141" s="492">
        <f t="shared" si="19"/>
        <v>0</v>
      </c>
      <c r="Y141" s="764"/>
      <c r="Z141" s="766"/>
      <c r="AA141" s="756"/>
    </row>
    <row r="142" spans="1:29" ht="18.75">
      <c r="A142" s="756"/>
      <c r="B142" s="215"/>
      <c r="C142" s="759"/>
      <c r="D142" s="762"/>
      <c r="E142" s="389"/>
      <c r="F142" s="390"/>
      <c r="G142" s="400"/>
      <c r="H142" s="392">
        <f t="shared" si="16"/>
        <v>0</v>
      </c>
      <c r="I142" s="393">
        <f>база!$J$6</f>
        <v>243.04319999999998</v>
      </c>
      <c r="J142" s="390">
        <v>1.5</v>
      </c>
      <c r="K142" s="434">
        <f>SUMIFS(Таблица1[Столбец1],Таблица1[коэф],"1,5",Таблица1[р/р],"5/8",Таблица1[Ф. И. О.],B143)</f>
        <v>0</v>
      </c>
      <c r="L142" s="484">
        <f t="shared" si="17"/>
        <v>0</v>
      </c>
      <c r="M142" s="434"/>
      <c r="N142" s="434"/>
      <c r="O142" s="434"/>
      <c r="P142" s="406"/>
      <c r="Q142" s="389">
        <f>база!$L$5</f>
        <v>231.45480000000001</v>
      </c>
      <c r="R142" s="390">
        <v>1.2</v>
      </c>
      <c r="S142" s="491">
        <f>SUMIFS(Таблица1[Столбец1],Таблица1[коэф],"1,2",Таблица1[р/р],"4/16",Таблица1[Ф. И. О.],B143)</f>
        <v>0</v>
      </c>
      <c r="T142" s="493">
        <f t="shared" si="18"/>
        <v>0</v>
      </c>
      <c r="U142" s="410">
        <f>база!$M$5</f>
        <v>247.41720000000001</v>
      </c>
      <c r="V142" s="390">
        <v>1.2</v>
      </c>
      <c r="W142" s="503">
        <f>SUMIFS(Таблица1[Столбец1],Таблица1[коэф],"1,2",Таблица1[р/р],"4/24",Таблица1[Ф. И. О.],B143)</f>
        <v>0</v>
      </c>
      <c r="X142" s="492">
        <f t="shared" si="19"/>
        <v>0</v>
      </c>
      <c r="Y142" s="764"/>
      <c r="Z142" s="766"/>
      <c r="AA142" s="756"/>
    </row>
    <row r="143" spans="1:29" ht="18.75">
      <c r="A143" s="756"/>
      <c r="B143" s="215" t="str">
        <f>база!B14</f>
        <v>Волошина Светлана Владимировна</v>
      </c>
      <c r="C143" s="759"/>
      <c r="D143" s="762"/>
      <c r="E143" s="389"/>
      <c r="F143" s="390"/>
      <c r="G143" s="400"/>
      <c r="H143" s="392">
        <f t="shared" si="16"/>
        <v>0</v>
      </c>
      <c r="I143" s="393"/>
      <c r="J143" s="390"/>
      <c r="K143" s="434"/>
      <c r="L143" s="484">
        <f t="shared" si="17"/>
        <v>0</v>
      </c>
      <c r="M143" s="434"/>
      <c r="N143" s="434"/>
      <c r="O143" s="434"/>
      <c r="P143" s="406"/>
      <c r="Q143" s="389">
        <f>база!$L$6</f>
        <v>261.04640000000001</v>
      </c>
      <c r="R143" s="390">
        <v>1.2</v>
      </c>
      <c r="S143" s="491">
        <f>SUMIFS(Таблица1[Столбец1],Таблица1[коэф],"1,2",Таблица1[р/р],"5/16",Таблица1[Ф. И. О.],B143)</f>
        <v>0</v>
      </c>
      <c r="T143" s="493">
        <f t="shared" si="18"/>
        <v>0</v>
      </c>
      <c r="U143" s="410">
        <f>база!$M$6</f>
        <v>279.0496</v>
      </c>
      <c r="V143" s="390">
        <v>1.2</v>
      </c>
      <c r="W143" s="503">
        <f>SUMIFS(Таблица1[Столбец1],Таблица1[коэф],"1,2",Таблица1[р/р],"5/24",Таблица1[Ф. И. О.],B143)</f>
        <v>0</v>
      </c>
      <c r="X143" s="492">
        <f t="shared" si="19"/>
        <v>0</v>
      </c>
      <c r="Y143" s="764"/>
      <c r="Z143" s="766"/>
      <c r="AA143" s="756"/>
      <c r="AC143" s="712" t="str">
        <f>IF(SUMIFS(Таблица1[Столбец3],Таблица1[Ф. И. О.],B143)-Z138=0,"",SUMIFS(Таблица1[Столбец3],Таблица1[Ф. И. О.],B143)-Z138)</f>
        <v/>
      </c>
    </row>
    <row r="144" spans="1:29" ht="18.75">
      <c r="A144" s="756"/>
      <c r="B144" s="215"/>
      <c r="C144" s="759"/>
      <c r="D144" s="762"/>
      <c r="E144" s="389"/>
      <c r="F144" s="390"/>
      <c r="G144" s="400"/>
      <c r="H144" s="392">
        <f t="shared" si="16"/>
        <v>0</v>
      </c>
      <c r="I144" s="393"/>
      <c r="J144" s="390"/>
      <c r="K144" s="434"/>
      <c r="L144" s="484">
        <f t="shared" si="17"/>
        <v>0</v>
      </c>
      <c r="M144" s="434"/>
      <c r="N144" s="434"/>
      <c r="O144" s="434"/>
      <c r="P144" s="406"/>
      <c r="Q144" s="389">
        <f>IF(D138&lt;=3,база!$L$4,
IF(D138=4,база!$L$5,
IF(D138=5,база!$L$6)))</f>
        <v>210.57480000000001</v>
      </c>
      <c r="R144" s="390">
        <v>1.3</v>
      </c>
      <c r="S144" s="491">
        <f>SUMIFS(Таблица1[Столбец1],Таблица1[коэф],"1,3",Таблица1[р/р],"3/16",Таблица1[Ф. И. О.],B143)</f>
        <v>0</v>
      </c>
      <c r="T144" s="493">
        <f t="shared" si="18"/>
        <v>0</v>
      </c>
      <c r="U144" s="410">
        <f>IF(D138&lt;=3,база!$M$4,
IF(D138=4,база!$M$5,
IF(D138=5,база!$M$6)))</f>
        <v>225.09719999999999</v>
      </c>
      <c r="V144" s="390">
        <v>1.3</v>
      </c>
      <c r="W144" s="503">
        <f>SUMIFS(Таблица1[Столбец1],Таблица1[коэф],"1,3",Таблица1[р/р],"3/24",Таблица1[Ф. И. О.],B143)</f>
        <v>0</v>
      </c>
      <c r="X144" s="492">
        <f t="shared" si="19"/>
        <v>0</v>
      </c>
      <c r="Y144" s="764"/>
      <c r="Z144" s="766"/>
      <c r="AA144" s="756"/>
      <c r="AC144" s="712" t="str">
        <f>IF(SUMIFS(Таблица1[Столбец1],Таблица1[Ф. И. О.],B143)=Y138,"",B143&amp;"  часы не верны")</f>
        <v/>
      </c>
    </row>
    <row r="145" spans="1:29" ht="18.75">
      <c r="A145" s="756"/>
      <c r="B145" s="215"/>
      <c r="C145" s="759"/>
      <c r="D145" s="762"/>
      <c r="E145" s="389"/>
      <c r="F145" s="390"/>
      <c r="G145" s="400"/>
      <c r="H145" s="392">
        <f t="shared" si="16"/>
        <v>0</v>
      </c>
      <c r="I145" s="393"/>
      <c r="J145" s="390"/>
      <c r="K145" s="434"/>
      <c r="L145" s="484">
        <f t="shared" si="17"/>
        <v>0</v>
      </c>
      <c r="M145" s="434"/>
      <c r="N145" s="434"/>
      <c r="O145" s="434"/>
      <c r="P145" s="406"/>
      <c r="Q145" s="389">
        <f>база!$L$5</f>
        <v>231.45480000000001</v>
      </c>
      <c r="R145" s="390">
        <v>1.3</v>
      </c>
      <c r="S145" s="491">
        <f>SUMIFS(Таблица1[Столбец1],Таблица1[коэф],"1,3",Таблица1[р/р],"4/16",Таблица1[Ф. И. О.],B143)</f>
        <v>0</v>
      </c>
      <c r="T145" s="493">
        <f t="shared" si="18"/>
        <v>0</v>
      </c>
      <c r="U145" s="410">
        <f>база!$M$5</f>
        <v>247.41720000000001</v>
      </c>
      <c r="V145" s="390">
        <v>1.3</v>
      </c>
      <c r="W145" s="503">
        <f>SUMIFS(Таблица1[Столбец1],Таблица1[коэф],"1,3",Таблица1[р/р],"4/24",Таблица1[Ф. И. О.],B143)</f>
        <v>0</v>
      </c>
      <c r="X145" s="492">
        <f t="shared" si="19"/>
        <v>0</v>
      </c>
      <c r="Y145" s="764"/>
      <c r="Z145" s="766"/>
      <c r="AA145" s="756"/>
    </row>
    <row r="146" spans="1:29" ht="18.75">
      <c r="A146" s="756"/>
      <c r="B146" s="215"/>
      <c r="C146" s="759"/>
      <c r="D146" s="762"/>
      <c r="E146" s="389"/>
      <c r="F146" s="390"/>
      <c r="G146" s="400"/>
      <c r="H146" s="392">
        <f t="shared" si="16"/>
        <v>0</v>
      </c>
      <c r="I146" s="393"/>
      <c r="J146" s="390"/>
      <c r="K146" s="434"/>
      <c r="L146" s="484">
        <f t="shared" si="17"/>
        <v>0</v>
      </c>
      <c r="M146" s="434"/>
      <c r="N146" s="434"/>
      <c r="O146" s="434"/>
      <c r="P146" s="406"/>
      <c r="Q146" s="389">
        <f>IF(D138&lt;=3,база!$L$4,
IF(D138=4,база!$L$5,
IF(D138=5,база!$L$6)))</f>
        <v>210.57480000000001</v>
      </c>
      <c r="R146" s="390">
        <v>1.4</v>
      </c>
      <c r="S146" s="491">
        <f>SUMIFS(Таблица1[Столбец1],Таблица1[коэф],"1,4",Таблица1[р/р],"3/16",Таблица1[Ф. И. О.],B143)</f>
        <v>0</v>
      </c>
      <c r="T146" s="493">
        <f t="shared" si="18"/>
        <v>0</v>
      </c>
      <c r="U146" s="410">
        <f>IF(D138&lt;=3,база!$M$4,
IF(D138=4,база!$M$5,
IF(D138=5,база!$M$6)))</f>
        <v>225.09719999999999</v>
      </c>
      <c r="V146" s="390">
        <v>1.4</v>
      </c>
      <c r="W146" s="503">
        <f>SUMIFS(Таблица1[Столбец1],Таблица1[коэф],"1,4",Таблица1[р/р],"3/24",Таблица1[Ф. И. О.],B143)</f>
        <v>0</v>
      </c>
      <c r="X146" s="492">
        <f t="shared" si="19"/>
        <v>0</v>
      </c>
      <c r="Y146" s="764"/>
      <c r="Z146" s="766"/>
      <c r="AA146" s="756"/>
    </row>
    <row r="147" spans="1:29" ht="18.75">
      <c r="A147" s="756"/>
      <c r="B147" s="215"/>
      <c r="C147" s="759"/>
      <c r="D147" s="762"/>
      <c r="E147" s="389"/>
      <c r="F147" s="390"/>
      <c r="G147" s="400"/>
      <c r="H147" s="392">
        <f t="shared" si="16"/>
        <v>0</v>
      </c>
      <c r="I147" s="393"/>
      <c r="J147" s="390"/>
      <c r="K147" s="434"/>
      <c r="L147" s="484">
        <f t="shared" si="17"/>
        <v>0</v>
      </c>
      <c r="M147" s="434"/>
      <c r="N147" s="434"/>
      <c r="O147" s="434"/>
      <c r="P147" s="406"/>
      <c r="Q147" s="389">
        <f>база!$L$5</f>
        <v>231.45480000000001</v>
      </c>
      <c r="R147" s="390">
        <v>1.4</v>
      </c>
      <c r="S147" s="491">
        <f>SUMIFS(Таблица1[Столбец1],Таблица1[коэф],"1,4",Таблица1[р/р],"4/16",Таблица1[Ф. И. О.],B143)</f>
        <v>0</v>
      </c>
      <c r="T147" s="493">
        <f t="shared" si="18"/>
        <v>0</v>
      </c>
      <c r="U147" s="410">
        <f>база!$M$5</f>
        <v>247.41720000000001</v>
      </c>
      <c r="V147" s="390">
        <v>1.4</v>
      </c>
      <c r="W147" s="503">
        <f>SUMIFS(Таблица1[Столбец1],Таблица1[коэф],"1,4",Таблица1[р/р],"4/24",Таблица1[Ф. И. О.],B143)</f>
        <v>0</v>
      </c>
      <c r="X147" s="492">
        <f t="shared" si="19"/>
        <v>0</v>
      </c>
      <c r="Y147" s="764"/>
      <c r="Z147" s="766"/>
      <c r="AA147" s="756"/>
    </row>
    <row r="148" spans="1:29" ht="19.5" thickBot="1">
      <c r="A148" s="757"/>
      <c r="B148" s="215"/>
      <c r="C148" s="760"/>
      <c r="D148" s="763"/>
      <c r="E148" s="420"/>
      <c r="F148" s="403"/>
      <c r="G148" s="408"/>
      <c r="H148" s="468">
        <f t="shared" si="16"/>
        <v>0</v>
      </c>
      <c r="I148" s="463"/>
      <c r="J148" s="464"/>
      <c r="K148" s="457"/>
      <c r="L148" s="458">
        <f t="shared" si="17"/>
        <v>0</v>
      </c>
      <c r="M148" s="457"/>
      <c r="N148" s="457"/>
      <c r="O148" s="457"/>
      <c r="P148" s="476"/>
      <c r="Q148" s="473">
        <f>база!$L$6</f>
        <v>261.04640000000001</v>
      </c>
      <c r="R148" s="464">
        <v>1.4</v>
      </c>
      <c r="S148" s="512">
        <f>SUMIFS(Таблица1[Столбец1],Таблица1[коэф],"1,4",Таблица1[р/р],"5/16",Таблица1[Ф. И. О.],B143)</f>
        <v>0</v>
      </c>
      <c r="T148" s="513">
        <f t="shared" si="18"/>
        <v>0</v>
      </c>
      <c r="U148" s="469">
        <f>база!$M$6</f>
        <v>279.0496</v>
      </c>
      <c r="V148" s="403">
        <v>1.4</v>
      </c>
      <c r="W148" s="506">
        <f>SUMIFS(Таблица1[Столбец1],Таблица1[коэф],"1,4",Таблица1[р/р],"5/24",Таблица1[Ф. И. О.],B143)</f>
        <v>0</v>
      </c>
      <c r="X148" s="492">
        <f t="shared" si="19"/>
        <v>0</v>
      </c>
      <c r="Y148" s="765"/>
      <c r="Z148" s="767"/>
      <c r="AA148" s="757"/>
    </row>
    <row r="149" spans="1:29" ht="18.75">
      <c r="A149" s="755">
        <v>14</v>
      </c>
      <c r="B149" s="235"/>
      <c r="C149" s="758">
        <f>INDEX(база!$E$2:$E$81, MATCH(B154,база!$B$2:$B$50,0))</f>
        <v>17115</v>
      </c>
      <c r="D149" s="761">
        <f>INDEX(база!$D$2:$D$89, MATCH(B154,база!$B$2:$B$50,0))</f>
        <v>3</v>
      </c>
      <c r="E149" s="377">
        <f>IF(D149&lt;=3,база!$I$4,
IF(D149=4,база!$I$5,
IF(D149=5,база!$I$6)))</f>
        <v>188.7912</v>
      </c>
      <c r="F149" s="378">
        <v>1</v>
      </c>
      <c r="G149" s="387">
        <f>SUMIFS(Таблица1[Столбец1],Таблица1[коэф],"1",Таблица1[р/р],"2/4",Таблица1[Ф. И. О.],B154)</f>
        <v>0</v>
      </c>
      <c r="H149" s="402">
        <f t="shared" si="16"/>
        <v>0</v>
      </c>
      <c r="I149" s="451">
        <f>IF(D149&lt;=3,база!$J$4,
IF(D149=4,база!$J$5,
IF(D149=5,база!$J$6)))</f>
        <v>196.05240000000001</v>
      </c>
      <c r="J149" s="417">
        <v>1</v>
      </c>
      <c r="K149" s="453">
        <f>SUMIFS(Таблица1[Столбец1],Таблица1[коэф],"1",Таблица1[р/р],"2/8",Таблица1[Ф. И. О.],B154)</f>
        <v>0</v>
      </c>
      <c r="L149" s="484">
        <f t="shared" si="17"/>
        <v>0</v>
      </c>
      <c r="M149" s="453"/>
      <c r="N149" s="453">
        <v>1</v>
      </c>
      <c r="O149" s="453">
        <f>SUMIFS(Data_Tech!$AM$3:$AM$67,Data_Tech!$E$3:$E$67,"1",Data_Tech!$G$3:$G$67,"3/12",Data_Tech!$F$3:$F$67,B154)</f>
        <v>0</v>
      </c>
      <c r="P149" s="398">
        <f>ROUND(M149*N149*O149,2)</f>
        <v>0</v>
      </c>
      <c r="Q149" s="481">
        <f>IF(D149&lt;=3,база!$L$4,
IF(D149=4,база!$L$5,
IF(D149=5,база!$L$6)))</f>
        <v>210.57480000000001</v>
      </c>
      <c r="R149" s="417">
        <v>1</v>
      </c>
      <c r="S149" s="495">
        <f>SUMIFS(Таблица1[Столбец1],Таблица1[коэф],"1",Таблица1[р/р],"3/16",Таблица1[Ф. И. О.],B154)</f>
        <v>0</v>
      </c>
      <c r="T149" s="492">
        <f t="shared" si="18"/>
        <v>0</v>
      </c>
      <c r="U149" s="454">
        <f>IF(D149&lt;=3,база!$M$4,
IF(D149=4,база!$M$5,
IF(D149=5,база!$M$6)))</f>
        <v>225.09719999999999</v>
      </c>
      <c r="V149" s="378">
        <v>1</v>
      </c>
      <c r="W149" s="502">
        <f>SUMIFS(Таблица1[Столбец1],Таблица1[коэф],"1",Таблица1[р/р],"3/24",Таблица1[Ф. И. О.],B154)</f>
        <v>0</v>
      </c>
      <c r="X149" s="490">
        <f t="shared" si="19"/>
        <v>0</v>
      </c>
      <c r="Y149" s="764">
        <f t="shared" ref="Y149" si="22">SUM(G149:G159,K149:K159,O149:O159,S149:S159,W149:W159)</f>
        <v>0</v>
      </c>
      <c r="Z149" s="766">
        <f t="shared" ref="Z149" si="23">IFERROR(SUM(H149:H159,L149:L159,T149:T159,X149:X159),"")</f>
        <v>0</v>
      </c>
      <c r="AA149" s="756"/>
    </row>
    <row r="150" spans="1:29" ht="18.75">
      <c r="A150" s="756"/>
      <c r="B150" s="215"/>
      <c r="C150" s="759"/>
      <c r="D150" s="762"/>
      <c r="E150" s="389">
        <f>IF(D149&lt;=3,база!$I$4,
IF(D149=4,база!$I$5,
IF(D149=5,база!$I$6)))</f>
        <v>188.7912</v>
      </c>
      <c r="F150" s="390">
        <v>1</v>
      </c>
      <c r="G150" s="400">
        <f>SUMIFS(Таблица1[Столбец1],Таблица1[коэф],"1",Таблица1[р/р],"3/4",Таблица1[Ф. И. О.],B154)</f>
        <v>0</v>
      </c>
      <c r="H150" s="392">
        <f t="shared" si="16"/>
        <v>0</v>
      </c>
      <c r="I150" s="393">
        <f>IF(D149&lt;=3,база!$J$4,
IF(D149=4,база!$J$5,
IF(D149=5,база!$J$6)))</f>
        <v>196.05240000000001</v>
      </c>
      <c r="J150" s="390">
        <v>1</v>
      </c>
      <c r="K150" s="434">
        <f>SUMIFS(Таблица1[Столбец1],Таблица1[коэф],"1",Таблица1[р/р],"3/8",Таблица1[Ф. И. О.],B154)</f>
        <v>0</v>
      </c>
      <c r="L150" s="484">
        <f t="shared" si="17"/>
        <v>0</v>
      </c>
      <c r="M150" s="434"/>
      <c r="N150" s="434">
        <v>1</v>
      </c>
      <c r="O150" s="434">
        <f>SUMIFS(Data_Tech!$AM$3:$AM$67,Data_Tech!$E$3:$E$67,"1",Data_Tech!$G$3:$G$67,"4/12",Data_Tech!$F$3:$F$67,B154)</f>
        <v>0</v>
      </c>
      <c r="P150" s="406">
        <f>ROUND(M150*O150,2)</f>
        <v>0</v>
      </c>
      <c r="Q150" s="389">
        <f>база!$L$5</f>
        <v>231.45480000000001</v>
      </c>
      <c r="R150" s="390">
        <v>1</v>
      </c>
      <c r="S150" s="491">
        <f>SUMIFS(Таблица1[Столбец1],Таблица1[коэф],"1",Таблица1[р/р],"4/16",Таблица1[Ф. И. О.],B154)</f>
        <v>0</v>
      </c>
      <c r="T150" s="493">
        <f t="shared" si="18"/>
        <v>0</v>
      </c>
      <c r="U150" s="410">
        <f>база!$M$5</f>
        <v>247.41720000000001</v>
      </c>
      <c r="V150" s="390">
        <v>1</v>
      </c>
      <c r="W150" s="503">
        <f>SUMIFS(Таблица1[Столбец1],Таблица1[коэф],"1",Таблица1[р/р],"4/24",Таблица1[Ф. И. О.],B154)</f>
        <v>0</v>
      </c>
      <c r="X150" s="492">
        <f t="shared" si="19"/>
        <v>0</v>
      </c>
      <c r="Y150" s="764"/>
      <c r="Z150" s="766"/>
      <c r="AA150" s="756"/>
    </row>
    <row r="151" spans="1:29" ht="18.75">
      <c r="A151" s="756"/>
      <c r="B151" s="215"/>
      <c r="C151" s="759"/>
      <c r="D151" s="762"/>
      <c r="E151" s="389"/>
      <c r="F151" s="390"/>
      <c r="G151" s="400"/>
      <c r="H151" s="392">
        <f t="shared" si="16"/>
        <v>0</v>
      </c>
      <c r="I151" s="393"/>
      <c r="J151" s="390"/>
      <c r="K151" s="434"/>
      <c r="L151" s="484">
        <f t="shared" si="17"/>
        <v>0</v>
      </c>
      <c r="M151" s="434"/>
      <c r="N151" s="434"/>
      <c r="O151" s="434"/>
      <c r="P151" s="406"/>
      <c r="Q151" s="389">
        <f>база!$L$6</f>
        <v>261.04640000000001</v>
      </c>
      <c r="R151" s="390">
        <v>1</v>
      </c>
      <c r="S151" s="491">
        <f>SUMIFS(Таблица1[Столбец1],Таблица1[коэф],"1",Таблица1[р/р],"5/16",Таблица1[Ф. И. О.],B154)</f>
        <v>0</v>
      </c>
      <c r="T151" s="493">
        <f t="shared" si="18"/>
        <v>0</v>
      </c>
      <c r="U151" s="410">
        <f>база!$M$6</f>
        <v>279.0496</v>
      </c>
      <c r="V151" s="390">
        <v>1</v>
      </c>
      <c r="W151" s="503">
        <f>SUMIFS(Таблица1[Столбец1],Таблица1[коэф],"1",Таблица1[р/р],"5/24",Таблица1[Ф. И. О.],B154)</f>
        <v>0</v>
      </c>
      <c r="X151" s="492">
        <f t="shared" si="19"/>
        <v>0</v>
      </c>
      <c r="Y151" s="764"/>
      <c r="Z151" s="766"/>
      <c r="AA151" s="756"/>
    </row>
    <row r="152" spans="1:29" ht="18.75">
      <c r="A152" s="756"/>
      <c r="B152" s="215"/>
      <c r="C152" s="759"/>
      <c r="D152" s="762"/>
      <c r="E152" s="389"/>
      <c r="F152" s="390"/>
      <c r="G152" s="400"/>
      <c r="H152" s="392">
        <f t="shared" si="16"/>
        <v>0</v>
      </c>
      <c r="I152" s="393">
        <f>база!$J$5</f>
        <v>215.4924</v>
      </c>
      <c r="J152" s="390">
        <v>1.5</v>
      </c>
      <c r="K152" s="434">
        <f>SUMIFS(Таблица1[Столбец1],Таблица1[коэф],"1,5",Таблица1[р/р],"4/8",Таблица1[Ф. И. О.],B154)</f>
        <v>0</v>
      </c>
      <c r="L152" s="484">
        <f t="shared" si="17"/>
        <v>0</v>
      </c>
      <c r="M152" s="434"/>
      <c r="N152" s="434"/>
      <c r="O152" s="434"/>
      <c r="P152" s="406"/>
      <c r="Q152" s="389">
        <f>IF(D149&lt;=3,база!$L$4,
IF(D149=4,база!$L$5,
IF(D149=5,база!$L$6)))</f>
        <v>210.57480000000001</v>
      </c>
      <c r="R152" s="390">
        <v>1.2</v>
      </c>
      <c r="S152" s="491">
        <f>SUMIFS(Таблица1[Столбец1],Таблица1[коэф],"1,2",Таблица1[р/р],"3/16",Таблица1[Ф. И. О.],B154)</f>
        <v>0</v>
      </c>
      <c r="T152" s="493">
        <f t="shared" si="18"/>
        <v>0</v>
      </c>
      <c r="U152" s="410">
        <f>IF(D149&lt;=3,база!$M$4,
IF(D149=4,база!$M$5,
IF(D149=5,база!$M$6)))</f>
        <v>225.09719999999999</v>
      </c>
      <c r="V152" s="390">
        <v>1.2</v>
      </c>
      <c r="W152" s="503">
        <f>SUMIFS(Таблица1[Столбец1],Таблица1[коэф],"1,2",Таблица1[р/р],"3/24",Таблица1[Ф. И. О.],B154)</f>
        <v>0</v>
      </c>
      <c r="X152" s="492">
        <f t="shared" si="19"/>
        <v>0</v>
      </c>
      <c r="Y152" s="764"/>
      <c r="Z152" s="766"/>
      <c r="AA152" s="756"/>
    </row>
    <row r="153" spans="1:29" ht="18.75">
      <c r="A153" s="756"/>
      <c r="B153" s="215"/>
      <c r="C153" s="759"/>
      <c r="D153" s="762"/>
      <c r="E153" s="389"/>
      <c r="F153" s="390"/>
      <c r="G153" s="400"/>
      <c r="H153" s="392">
        <f t="shared" si="16"/>
        <v>0</v>
      </c>
      <c r="I153" s="393">
        <f>база!$J$6</f>
        <v>243.04319999999998</v>
      </c>
      <c r="J153" s="390">
        <v>1.5</v>
      </c>
      <c r="K153" s="434">
        <f>SUMIFS(Таблица1[Столбец1],Таблица1[коэф],"1,5",Таблица1[р/р],"5/8",Таблица1[Ф. И. О.],B154)</f>
        <v>0</v>
      </c>
      <c r="L153" s="484">
        <f t="shared" si="17"/>
        <v>0</v>
      </c>
      <c r="M153" s="434"/>
      <c r="N153" s="434"/>
      <c r="O153" s="434"/>
      <c r="P153" s="406"/>
      <c r="Q153" s="389">
        <f>база!$L$5</f>
        <v>231.45480000000001</v>
      </c>
      <c r="R153" s="390">
        <v>1.2</v>
      </c>
      <c r="S153" s="491">
        <f>SUMIFS(Таблица1[Столбец1],Таблица1[коэф],"1,2",Таблица1[р/р],"4/16",Таблица1[Ф. И. О.],B154)</f>
        <v>0</v>
      </c>
      <c r="T153" s="493">
        <f t="shared" si="18"/>
        <v>0</v>
      </c>
      <c r="U153" s="410">
        <f>база!$M$5</f>
        <v>247.41720000000001</v>
      </c>
      <c r="V153" s="390">
        <v>1.2</v>
      </c>
      <c r="W153" s="503">
        <f>SUMIFS(Таблица1[Столбец1],Таблица1[коэф],"1,2",Таблица1[р/р],"4/24",Таблица1[Ф. И. О.],B154)</f>
        <v>0</v>
      </c>
      <c r="X153" s="492">
        <f t="shared" si="19"/>
        <v>0</v>
      </c>
      <c r="Y153" s="764"/>
      <c r="Z153" s="766"/>
      <c r="AA153" s="756"/>
    </row>
    <row r="154" spans="1:29" ht="18.75">
      <c r="A154" s="756"/>
      <c r="B154" s="215" t="str">
        <f>база!B15</f>
        <v>Глинка Екатерина Юрьевна</v>
      </c>
      <c r="C154" s="759"/>
      <c r="D154" s="762"/>
      <c r="E154" s="389"/>
      <c r="F154" s="390"/>
      <c r="G154" s="400"/>
      <c r="H154" s="392">
        <f t="shared" si="16"/>
        <v>0</v>
      </c>
      <c r="I154" s="393"/>
      <c r="J154" s="390"/>
      <c r="K154" s="434"/>
      <c r="L154" s="484">
        <f t="shared" si="17"/>
        <v>0</v>
      </c>
      <c r="M154" s="434"/>
      <c r="N154" s="434"/>
      <c r="O154" s="434"/>
      <c r="P154" s="406"/>
      <c r="Q154" s="389">
        <f>база!$L$6</f>
        <v>261.04640000000001</v>
      </c>
      <c r="R154" s="390">
        <v>1.2</v>
      </c>
      <c r="S154" s="491">
        <f>SUMIFS(Таблица1[Столбец1],Таблица1[коэф],"1,2",Таблица1[р/р],"5/16",Таблица1[Ф. И. О.],B154)</f>
        <v>0</v>
      </c>
      <c r="T154" s="493">
        <f t="shared" si="18"/>
        <v>0</v>
      </c>
      <c r="U154" s="410">
        <f>база!$M$6</f>
        <v>279.0496</v>
      </c>
      <c r="V154" s="390">
        <v>1.2</v>
      </c>
      <c r="W154" s="503">
        <f>SUMIFS(Таблица1[Столбец1],Таблица1[коэф],"1,2",Таблица1[р/р],"5/24",Таблица1[Ф. И. О.],B154)</f>
        <v>0</v>
      </c>
      <c r="X154" s="492">
        <f t="shared" si="19"/>
        <v>0</v>
      </c>
      <c r="Y154" s="764"/>
      <c r="Z154" s="766"/>
      <c r="AA154" s="756"/>
      <c r="AC154" s="712" t="str">
        <f>IF(SUMIFS(Таблица1[Столбец3],Таблица1[Ф. И. О.],B154)-Z149=0,"",SUMIFS(Таблица1[Столбец3],Таблица1[Ф. И. О.],B154)-Z149)</f>
        <v/>
      </c>
    </row>
    <row r="155" spans="1:29" ht="18.75">
      <c r="A155" s="756"/>
      <c r="B155" s="215"/>
      <c r="C155" s="759"/>
      <c r="D155" s="762"/>
      <c r="E155" s="389"/>
      <c r="F155" s="390"/>
      <c r="G155" s="400"/>
      <c r="H155" s="392">
        <f t="shared" si="16"/>
        <v>0</v>
      </c>
      <c r="I155" s="393"/>
      <c r="J155" s="390"/>
      <c r="K155" s="434"/>
      <c r="L155" s="484">
        <f t="shared" si="17"/>
        <v>0</v>
      </c>
      <c r="M155" s="434"/>
      <c r="N155" s="434"/>
      <c r="O155" s="434"/>
      <c r="P155" s="406"/>
      <c r="Q155" s="389">
        <f>IF(D149&lt;=3,база!$L$4,
IF(D149=4,база!$L$5,
IF(D149=5,база!$L$6)))</f>
        <v>210.57480000000001</v>
      </c>
      <c r="R155" s="390">
        <v>1.3</v>
      </c>
      <c r="S155" s="491">
        <f>SUMIFS(Таблица1[Столбец1],Таблица1[коэф],"1,3",Таблица1[р/р],"3/16",Таблица1[Ф. И. О.],B154)</f>
        <v>0</v>
      </c>
      <c r="T155" s="493">
        <f t="shared" si="18"/>
        <v>0</v>
      </c>
      <c r="U155" s="410">
        <f>IF(D149&lt;=3,база!$M$4,
IF(D149=4,база!$M$5,
IF(D149=5,база!$M$6)))</f>
        <v>225.09719999999999</v>
      </c>
      <c r="V155" s="390">
        <v>1.3</v>
      </c>
      <c r="W155" s="503">
        <f>SUMIFS(Таблица1[Столбец1],Таблица1[коэф],"1,3",Таблица1[р/р],"3/24",Таблица1[Ф. И. О.],B154)</f>
        <v>0</v>
      </c>
      <c r="X155" s="492">
        <f t="shared" si="19"/>
        <v>0</v>
      </c>
      <c r="Y155" s="764"/>
      <c r="Z155" s="766"/>
      <c r="AA155" s="756"/>
      <c r="AC155" s="712" t="str">
        <f>IF(SUMIFS(Таблица1[Столбец1],Таблица1[Ф. И. О.],B154)=Y149,"",B154&amp;"  часы не верны")</f>
        <v/>
      </c>
    </row>
    <row r="156" spans="1:29" ht="18.75">
      <c r="A156" s="756"/>
      <c r="B156" s="215"/>
      <c r="C156" s="759"/>
      <c r="D156" s="762"/>
      <c r="E156" s="389"/>
      <c r="F156" s="390"/>
      <c r="G156" s="400"/>
      <c r="H156" s="392">
        <f t="shared" si="16"/>
        <v>0</v>
      </c>
      <c r="I156" s="393"/>
      <c r="J156" s="390"/>
      <c r="K156" s="434"/>
      <c r="L156" s="484">
        <f t="shared" si="17"/>
        <v>0</v>
      </c>
      <c r="M156" s="434"/>
      <c r="N156" s="434"/>
      <c r="O156" s="434"/>
      <c r="P156" s="406"/>
      <c r="Q156" s="389">
        <f>база!$L$5</f>
        <v>231.45480000000001</v>
      </c>
      <c r="R156" s="390">
        <v>1.3</v>
      </c>
      <c r="S156" s="491">
        <f>SUMIFS(Таблица1[Столбец1],Таблица1[коэф],"1,3",Таблица1[р/р],"4/16",Таблица1[Ф. И. О.],B154)</f>
        <v>0</v>
      </c>
      <c r="T156" s="493">
        <f t="shared" si="18"/>
        <v>0</v>
      </c>
      <c r="U156" s="410">
        <f>база!$M$5</f>
        <v>247.41720000000001</v>
      </c>
      <c r="V156" s="390">
        <v>1.3</v>
      </c>
      <c r="W156" s="503">
        <f>SUMIFS(Таблица1[Столбец1],Таблица1[коэф],"1,3",Таблица1[р/р],"4/24",Таблица1[Ф. И. О.],B154)</f>
        <v>0</v>
      </c>
      <c r="X156" s="492">
        <f t="shared" si="19"/>
        <v>0</v>
      </c>
      <c r="Y156" s="764"/>
      <c r="Z156" s="766"/>
      <c r="AA156" s="756"/>
    </row>
    <row r="157" spans="1:29" ht="18.75">
      <c r="A157" s="756"/>
      <c r="B157" s="215"/>
      <c r="C157" s="759"/>
      <c r="D157" s="762"/>
      <c r="E157" s="389"/>
      <c r="F157" s="390"/>
      <c r="G157" s="400"/>
      <c r="H157" s="392">
        <f t="shared" si="16"/>
        <v>0</v>
      </c>
      <c r="I157" s="393"/>
      <c r="J157" s="390"/>
      <c r="K157" s="434"/>
      <c r="L157" s="484">
        <f t="shared" si="17"/>
        <v>0</v>
      </c>
      <c r="M157" s="434"/>
      <c r="N157" s="434"/>
      <c r="O157" s="434"/>
      <c r="P157" s="406"/>
      <c r="Q157" s="389">
        <f>IF(D149&lt;=3,база!$L$4,
IF(D149=4,база!$L$5,
IF(D149=5,база!$L$6)))</f>
        <v>210.57480000000001</v>
      </c>
      <c r="R157" s="390">
        <v>1.4</v>
      </c>
      <c r="S157" s="491">
        <f>SUMIFS(Таблица1[Столбец1],Таблица1[коэф],"1,4",Таблица1[р/р],"3/16",Таблица1[Ф. И. О.],B154)</f>
        <v>0</v>
      </c>
      <c r="T157" s="492">
        <f t="shared" si="18"/>
        <v>0</v>
      </c>
      <c r="U157" s="410">
        <f>IF(D149&lt;=3,база!$M$4,
IF(D149=4,база!$M$5,
IF(D149=5,база!$M$6)))</f>
        <v>225.09719999999999</v>
      </c>
      <c r="V157" s="390">
        <v>1.4</v>
      </c>
      <c r="W157" s="503">
        <f>SUMIFS(Таблица1[Столбец1],Таблица1[коэф],"1,4",Таблица1[р/р],"3/24",Таблица1[Ф. И. О.],B154)</f>
        <v>0</v>
      </c>
      <c r="X157" s="492">
        <f t="shared" si="19"/>
        <v>0</v>
      </c>
      <c r="Y157" s="764"/>
      <c r="Z157" s="766"/>
      <c r="AA157" s="756"/>
    </row>
    <row r="158" spans="1:29" ht="18.75">
      <c r="A158" s="756"/>
      <c r="B158" s="215"/>
      <c r="C158" s="759"/>
      <c r="D158" s="762"/>
      <c r="E158" s="389"/>
      <c r="F158" s="390"/>
      <c r="G158" s="400"/>
      <c r="H158" s="392">
        <f t="shared" si="16"/>
        <v>0</v>
      </c>
      <c r="I158" s="393"/>
      <c r="J158" s="390"/>
      <c r="K158" s="434"/>
      <c r="L158" s="484">
        <f t="shared" si="17"/>
        <v>0</v>
      </c>
      <c r="M158" s="434"/>
      <c r="N158" s="434"/>
      <c r="O158" s="434"/>
      <c r="P158" s="406"/>
      <c r="Q158" s="389">
        <f>база!$L$5</f>
        <v>231.45480000000001</v>
      </c>
      <c r="R158" s="390">
        <v>1.4</v>
      </c>
      <c r="S158" s="491">
        <f>SUMIFS(Таблица1[Столбец1],Таблица1[коэф],"1,4",Таблица1[р/р],"4/16",Таблица1[Ф. И. О.],B154)</f>
        <v>0</v>
      </c>
      <c r="T158" s="492">
        <f t="shared" si="18"/>
        <v>0</v>
      </c>
      <c r="U158" s="410">
        <f>база!$M$5</f>
        <v>247.41720000000001</v>
      </c>
      <c r="V158" s="390">
        <v>1.4</v>
      </c>
      <c r="W158" s="503">
        <f>SUMIFS(Таблица1[Столбец1],Таблица1[коэф],"1,4",Таблица1[р/р],"4/24",Таблица1[Ф. И. О.],B154)</f>
        <v>0</v>
      </c>
      <c r="X158" s="492">
        <f t="shared" si="19"/>
        <v>0</v>
      </c>
      <c r="Y158" s="764"/>
      <c r="Z158" s="766"/>
      <c r="AA158" s="756"/>
    </row>
    <row r="159" spans="1:29" ht="19.5" thickBot="1">
      <c r="A159" s="757"/>
      <c r="B159" s="202"/>
      <c r="C159" s="760"/>
      <c r="D159" s="763"/>
      <c r="E159" s="473"/>
      <c r="F159" s="464"/>
      <c r="G159" s="465"/>
      <c r="H159" s="468">
        <f t="shared" si="16"/>
        <v>0</v>
      </c>
      <c r="I159" s="463"/>
      <c r="J159" s="464"/>
      <c r="K159" s="457"/>
      <c r="L159" s="458">
        <f t="shared" si="17"/>
        <v>0</v>
      </c>
      <c r="M159" s="457"/>
      <c r="N159" s="457"/>
      <c r="O159" s="457"/>
      <c r="P159" s="476"/>
      <c r="Q159" s="473">
        <f>база!$L$6</f>
        <v>261.04640000000001</v>
      </c>
      <c r="R159" s="464">
        <v>1.4</v>
      </c>
      <c r="S159" s="512">
        <f>SUMIFS(Таблица1[Столбец1],Таблица1[коэф],"1,4",Таблица1[р/р],"5/16",Таблица1[Ф. И. О.],B154)</f>
        <v>0</v>
      </c>
      <c r="T159" s="492">
        <f t="shared" si="18"/>
        <v>0</v>
      </c>
      <c r="U159" s="469">
        <f>база!$M$6</f>
        <v>279.0496</v>
      </c>
      <c r="V159" s="464">
        <v>1.4</v>
      </c>
      <c r="W159" s="504">
        <f>SUMIFS(Таблица1[Столбец1],Таблица1[коэф],"1,4",Таблица1[р/р],"5/24",Таблица1[Ф. И. О.],B154)</f>
        <v>0</v>
      </c>
      <c r="X159" s="492">
        <f t="shared" si="19"/>
        <v>0</v>
      </c>
      <c r="Y159" s="765"/>
      <c r="Z159" s="767"/>
      <c r="AA159" s="757"/>
    </row>
    <row r="160" spans="1:29" ht="18.75">
      <c r="A160" s="755">
        <v>15</v>
      </c>
      <c r="B160" s="215"/>
      <c r="C160" s="758">
        <f>INDEX(база!$E$2:$E$81, MATCH(B165,база!$B$2:$B$50,0))</f>
        <v>15880</v>
      </c>
      <c r="D160" s="761">
        <f>INDEX(база!$D$2:$D$89, MATCH(B165,база!$B$2:$B$50,0))</f>
        <v>3</v>
      </c>
      <c r="E160" s="451">
        <f>IF(D160&lt;=3,база!$I$4,
IF(D160=4,база!$I$5,
IF(D160=5,база!$I$6)))</f>
        <v>188.7912</v>
      </c>
      <c r="F160" s="417">
        <v>1</v>
      </c>
      <c r="G160" s="418">
        <f>SUMIFS(Таблица1[Столбец1],Таблица1[коэф],"1",Таблица1[р/р],"2/4",Таблица1[Ф. И. О.],B165)</f>
        <v>0</v>
      </c>
      <c r="H160" s="402">
        <f t="shared" si="16"/>
        <v>0</v>
      </c>
      <c r="I160" s="481">
        <f>IF(D160&lt;=3,база!$J$4,
IF(D160=4,база!$J$5,
IF(D160=5,база!$J$6)))</f>
        <v>196.05240000000001</v>
      </c>
      <c r="J160" s="417">
        <v>1</v>
      </c>
      <c r="K160" s="453">
        <f>SUMIFS(Таблица1[Столбец1],Таблица1[коэф],"1",Таблица1[р/р],"2/8",Таблица1[Ф. И. О.],B165)</f>
        <v>0</v>
      </c>
      <c r="L160" s="484">
        <f t="shared" si="17"/>
        <v>0</v>
      </c>
      <c r="M160" s="453"/>
      <c r="N160" s="453">
        <v>1</v>
      </c>
      <c r="O160" s="453">
        <f>SUMIFS(Data_Tech!$AM$3:$AM$67,Data_Tech!$E$3:$E$67,"1",Data_Tech!$G$3:$G$67,"3/12",Data_Tech!$F$3:$F$67,B165)</f>
        <v>0</v>
      </c>
      <c r="P160" s="484">
        <f>ROUND(M160*N160*O160,2)</f>
        <v>0</v>
      </c>
      <c r="Q160" s="481">
        <f>IF(D160&lt;=3,база!$L$4,
IF(D160=4,база!$L$5,
IF(D160=5,база!$L$6)))</f>
        <v>210.57480000000001</v>
      </c>
      <c r="R160" s="417">
        <v>1</v>
      </c>
      <c r="S160" s="495">
        <f>SUMIFS(Таблица1[Столбец1],Таблица1[коэф],"1",Таблица1[р/р],"3/16",Таблица1[Ф. И. О.],B165)</f>
        <v>0</v>
      </c>
      <c r="T160" s="490">
        <f t="shared" si="18"/>
        <v>0</v>
      </c>
      <c r="U160" s="471">
        <f>IF(D160&lt;=3,база!$M$4,
IF(D160=4,база!$M$5,
IF(D160=5,база!$M$6)))</f>
        <v>225.09719999999999</v>
      </c>
      <c r="V160" s="378">
        <v>1</v>
      </c>
      <c r="W160" s="497">
        <f>SUMIFS(Таблица1[Столбец1],Таблица1[коэф],"1",Таблица1[р/р],"3/24",Таблица1[Ф. И. О.],B165)</f>
        <v>0</v>
      </c>
      <c r="X160" s="490">
        <f t="shared" si="19"/>
        <v>0</v>
      </c>
      <c r="Y160" s="764">
        <f t="shared" ref="Y160" si="24">SUM(G160:G170,K160:K170,O160:O170,S160:S170,W160:W170)</f>
        <v>0</v>
      </c>
      <c r="Z160" s="766">
        <f t="shared" ref="Z160" si="25">IFERROR(SUM(H160:H170,L160:L170,T160:T170,X160:X170),"")</f>
        <v>0</v>
      </c>
      <c r="AA160" s="756"/>
    </row>
    <row r="161" spans="1:29" ht="18.75">
      <c r="A161" s="756"/>
      <c r="B161" s="215"/>
      <c r="C161" s="759"/>
      <c r="D161" s="762"/>
      <c r="E161" s="393">
        <f>IF(D160&lt;=3,база!$I$4,
IF(D160=4,база!$I$5,
IF(D160=5,база!$I$6)))</f>
        <v>188.7912</v>
      </c>
      <c r="F161" s="390">
        <v>1</v>
      </c>
      <c r="G161" s="400">
        <f>SUMIFS(Таблица1[Столбец1],Таблица1[коэф],"1",Таблица1[р/р],"3/4",Таблица1[Ф. И. О.],B165)</f>
        <v>0</v>
      </c>
      <c r="H161" s="392">
        <f t="shared" si="16"/>
        <v>0</v>
      </c>
      <c r="I161" s="389">
        <f>IF(D160&lt;=3,база!$J$4,
IF(D160=4,база!$J$5,
IF(D160=5,база!$J$6)))</f>
        <v>196.05240000000001</v>
      </c>
      <c r="J161" s="390">
        <v>1</v>
      </c>
      <c r="K161" s="434">
        <f>SUMIFS(Таблица1[Столбец1],Таблица1[коэф],"1",Таблица1[р/р],"3/8",Таблица1[Ф. И. О.],B165)</f>
        <v>0</v>
      </c>
      <c r="L161" s="484">
        <f t="shared" si="17"/>
        <v>0</v>
      </c>
      <c r="M161" s="434"/>
      <c r="N161" s="434">
        <v>1</v>
      </c>
      <c r="O161" s="434">
        <f>SUMIFS(Data_Tech!$AM$3:$AM$67,Data_Tech!$E$3:$E$67,"1",Data_Tech!$G$3:$G$67,"4/12",Data_Tech!$F$3:$F$67,B165)</f>
        <v>0</v>
      </c>
      <c r="P161" s="395">
        <f>ROUND(M161*O161,2)</f>
        <v>0</v>
      </c>
      <c r="Q161" s="389">
        <f>база!$L$5</f>
        <v>231.45480000000001</v>
      </c>
      <c r="R161" s="390">
        <v>1</v>
      </c>
      <c r="S161" s="491">
        <f>SUMIFS(Таблица1[Столбец1],Таблица1[коэф],"1",Таблица1[р/р],"4/16",Таблица1[Ф. И. О.],B165)</f>
        <v>0</v>
      </c>
      <c r="T161" s="492">
        <f t="shared" si="18"/>
        <v>0</v>
      </c>
      <c r="U161" s="472">
        <f>база!$M$5</f>
        <v>247.41720000000001</v>
      </c>
      <c r="V161" s="390">
        <v>1</v>
      </c>
      <c r="W161" s="494">
        <f>SUMIFS(Таблица1[Столбец1],Таблица1[коэф],"1",Таблица1[р/р],"4/24",Таблица1[Ф. И. О.],B165)</f>
        <v>0</v>
      </c>
      <c r="X161" s="492">
        <f t="shared" si="19"/>
        <v>0</v>
      </c>
      <c r="Y161" s="764"/>
      <c r="Z161" s="766"/>
      <c r="AA161" s="756"/>
    </row>
    <row r="162" spans="1:29" ht="18.75">
      <c r="A162" s="756"/>
      <c r="B162" s="215"/>
      <c r="C162" s="759"/>
      <c r="D162" s="762"/>
      <c r="E162" s="393"/>
      <c r="F162" s="390"/>
      <c r="G162" s="400"/>
      <c r="H162" s="392">
        <f t="shared" si="16"/>
        <v>0</v>
      </c>
      <c r="I162" s="389"/>
      <c r="J162" s="390"/>
      <c r="K162" s="434"/>
      <c r="L162" s="484">
        <f t="shared" si="17"/>
        <v>0</v>
      </c>
      <c r="M162" s="434"/>
      <c r="N162" s="434"/>
      <c r="O162" s="434"/>
      <c r="P162" s="395"/>
      <c r="Q162" s="389">
        <f>база!$L$6</f>
        <v>261.04640000000001</v>
      </c>
      <c r="R162" s="390">
        <v>1</v>
      </c>
      <c r="S162" s="491">
        <f>SUMIFS(Таблица1[Столбец1],Таблица1[коэф],"1",Таблица1[р/р],"5/16",Таблица1[Ф. И. О.],B165)</f>
        <v>0</v>
      </c>
      <c r="T162" s="492">
        <f t="shared" si="18"/>
        <v>0</v>
      </c>
      <c r="U162" s="472">
        <f>база!$M$6</f>
        <v>279.0496</v>
      </c>
      <c r="V162" s="390">
        <v>1</v>
      </c>
      <c r="W162" s="494">
        <f>SUMIFS(Таблица1[Столбец1],Таблица1[коэф],"1",Таблица1[р/р],"5/24",Таблица1[Ф. И. О.],B165)</f>
        <v>0</v>
      </c>
      <c r="X162" s="492">
        <f t="shared" si="19"/>
        <v>0</v>
      </c>
      <c r="Y162" s="764"/>
      <c r="Z162" s="766"/>
      <c r="AA162" s="756"/>
    </row>
    <row r="163" spans="1:29" ht="18.75">
      <c r="A163" s="756"/>
      <c r="B163" s="215"/>
      <c r="C163" s="759"/>
      <c r="D163" s="762"/>
      <c r="E163" s="393"/>
      <c r="F163" s="390"/>
      <c r="G163" s="400"/>
      <c r="H163" s="392">
        <f t="shared" si="16"/>
        <v>0</v>
      </c>
      <c r="I163" s="389">
        <f>база!$J$5</f>
        <v>215.4924</v>
      </c>
      <c r="J163" s="390">
        <v>1.5</v>
      </c>
      <c r="K163" s="434">
        <f>SUMIFS(Таблица1[Столбец1],Таблица1[коэф],"1,5",Таблица1[р/р],"4/8",Таблица1[Ф. И. О.],B165)</f>
        <v>0</v>
      </c>
      <c r="L163" s="484">
        <f t="shared" si="17"/>
        <v>0</v>
      </c>
      <c r="M163" s="434"/>
      <c r="N163" s="434"/>
      <c r="O163" s="434"/>
      <c r="P163" s="395"/>
      <c r="Q163" s="389">
        <f>IF(D160&lt;=3,база!$L$4,
IF(D160=4,база!$L$5,
IF(D160=5,база!$L$6)))</f>
        <v>210.57480000000001</v>
      </c>
      <c r="R163" s="390">
        <v>1.2</v>
      </c>
      <c r="S163" s="491">
        <f>SUMIFS(Таблица1[Столбец1],Таблица1[коэф],"1,2",Таблица1[р/р],"3/16",Таблица1[Ф. И. О.],B165)</f>
        <v>0</v>
      </c>
      <c r="T163" s="492">
        <f t="shared" si="18"/>
        <v>0</v>
      </c>
      <c r="U163" s="472">
        <f>IF(D160&lt;=3,база!$M$4,
IF(D160=4,база!$M$5,
IF(D160=5,база!$M$6)))</f>
        <v>225.09719999999999</v>
      </c>
      <c r="V163" s="390">
        <v>1.2</v>
      </c>
      <c r="W163" s="494">
        <f>SUMIFS(Таблица1[Столбец1],Таблица1[коэф],"1,2",Таблица1[р/р],"3/24",Таблица1[Ф. И. О.],B165)</f>
        <v>0</v>
      </c>
      <c r="X163" s="492">
        <f t="shared" si="19"/>
        <v>0</v>
      </c>
      <c r="Y163" s="764"/>
      <c r="Z163" s="766"/>
      <c r="AA163" s="756"/>
    </row>
    <row r="164" spans="1:29" ht="18.75">
      <c r="A164" s="756"/>
      <c r="B164" s="215"/>
      <c r="C164" s="759"/>
      <c r="D164" s="762"/>
      <c r="E164" s="393"/>
      <c r="F164" s="390"/>
      <c r="G164" s="400"/>
      <c r="H164" s="392">
        <f t="shared" si="16"/>
        <v>0</v>
      </c>
      <c r="I164" s="389">
        <f>база!$J$6</f>
        <v>243.04319999999998</v>
      </c>
      <c r="J164" s="390">
        <v>1.5</v>
      </c>
      <c r="K164" s="434">
        <f>SUMIFS(Таблица1[Столбец1],Таблица1[коэф],"1,5",Таблица1[р/р],"5/8",Таблица1[Ф. И. О.],B165)</f>
        <v>0</v>
      </c>
      <c r="L164" s="484">
        <f t="shared" si="17"/>
        <v>0</v>
      </c>
      <c r="M164" s="434"/>
      <c r="N164" s="434"/>
      <c r="O164" s="434"/>
      <c r="P164" s="395"/>
      <c r="Q164" s="389">
        <f>база!$L$5</f>
        <v>231.45480000000001</v>
      </c>
      <c r="R164" s="390">
        <v>1.2</v>
      </c>
      <c r="S164" s="491">
        <f>SUMIFS(Таблица1[Столбец1],Таблица1[коэф],"1,2",Таблица1[р/р],"4/16",Таблица1[Ф. И. О.],B165)</f>
        <v>0</v>
      </c>
      <c r="T164" s="492">
        <f t="shared" si="18"/>
        <v>0</v>
      </c>
      <c r="U164" s="472">
        <f>база!$M$5</f>
        <v>247.41720000000001</v>
      </c>
      <c r="V164" s="390">
        <v>1.2</v>
      </c>
      <c r="W164" s="494">
        <f>SUMIFS(Таблица1[Столбец1],Таблица1[коэф],"1,2",Таблица1[р/р],"4/24",Таблица1[Ф. И. О.],B165)</f>
        <v>0</v>
      </c>
      <c r="X164" s="492">
        <f t="shared" si="19"/>
        <v>0</v>
      </c>
      <c r="Y164" s="764"/>
      <c r="Z164" s="766"/>
      <c r="AA164" s="756"/>
    </row>
    <row r="165" spans="1:29" ht="18.75">
      <c r="A165" s="756"/>
      <c r="B165" s="215" t="str">
        <f>база!B16</f>
        <v>Грешнова Ольга Викторовна</v>
      </c>
      <c r="C165" s="759"/>
      <c r="D165" s="762"/>
      <c r="E165" s="393"/>
      <c r="F165" s="390"/>
      <c r="G165" s="400"/>
      <c r="H165" s="392">
        <f t="shared" si="16"/>
        <v>0</v>
      </c>
      <c r="I165" s="389"/>
      <c r="J165" s="390"/>
      <c r="K165" s="434"/>
      <c r="L165" s="484">
        <f t="shared" si="17"/>
        <v>0</v>
      </c>
      <c r="M165" s="434"/>
      <c r="N165" s="434"/>
      <c r="O165" s="434"/>
      <c r="P165" s="395"/>
      <c r="Q165" s="389">
        <f>база!$L$6</f>
        <v>261.04640000000001</v>
      </c>
      <c r="R165" s="390">
        <v>1.2</v>
      </c>
      <c r="S165" s="491">
        <f>SUMIFS(Таблица1[Столбец1],Таблица1[коэф],"1,2",Таблица1[р/р],"5/16",Таблица1[Ф. И. О.],B165)</f>
        <v>0</v>
      </c>
      <c r="T165" s="492">
        <f t="shared" si="18"/>
        <v>0</v>
      </c>
      <c r="U165" s="472">
        <f>база!$M$6</f>
        <v>279.0496</v>
      </c>
      <c r="V165" s="390">
        <v>1.2</v>
      </c>
      <c r="W165" s="494">
        <f>SUMIFS(Таблица1[Столбец1],Таблица1[коэф],"1,2",Таблица1[р/р],"5/24",Таблица1[Ф. И. О.],B165)</f>
        <v>0</v>
      </c>
      <c r="X165" s="492">
        <f t="shared" si="19"/>
        <v>0</v>
      </c>
      <c r="Y165" s="764"/>
      <c r="Z165" s="766"/>
      <c r="AA165" s="756"/>
      <c r="AC165" s="712" t="str">
        <f>IF(SUMIFS(Таблица1[Столбец3],Таблица1[Ф. И. О.],B165)-Z160=0,"",SUMIFS(Таблица1[Столбец3],Таблица1[Ф. И. О.],B165)-Z160)</f>
        <v/>
      </c>
    </row>
    <row r="166" spans="1:29" ht="18.75">
      <c r="A166" s="756"/>
      <c r="B166" s="215"/>
      <c r="C166" s="759"/>
      <c r="D166" s="762"/>
      <c r="E166" s="393"/>
      <c r="F166" s="390"/>
      <c r="G166" s="400"/>
      <c r="H166" s="392">
        <f t="shared" si="16"/>
        <v>0</v>
      </c>
      <c r="I166" s="389"/>
      <c r="J166" s="390"/>
      <c r="K166" s="434"/>
      <c r="L166" s="484">
        <f t="shared" si="17"/>
        <v>0</v>
      </c>
      <c r="M166" s="434"/>
      <c r="N166" s="434"/>
      <c r="O166" s="434"/>
      <c r="P166" s="395"/>
      <c r="Q166" s="389">
        <f>IF(D160&lt;=3,база!$L$4,
IF(D160=4,база!$L$5,
IF(D160=5,база!$L$6)))</f>
        <v>210.57480000000001</v>
      </c>
      <c r="R166" s="390">
        <v>1.3</v>
      </c>
      <c r="S166" s="491">
        <f>SUMIFS(Таблица1[Столбец1],Таблица1[коэф],"1,3",Таблица1[р/р],"3/16",Таблица1[Ф. И. О.],B165)</f>
        <v>0</v>
      </c>
      <c r="T166" s="492">
        <f t="shared" si="18"/>
        <v>0</v>
      </c>
      <c r="U166" s="472">
        <f>IF(D160&lt;=3,база!$M$4,
IF(D160=4,база!$M$5,
IF(D160=5,база!$M$6)))</f>
        <v>225.09719999999999</v>
      </c>
      <c r="V166" s="390">
        <v>1.3</v>
      </c>
      <c r="W166" s="494">
        <f>SUMIFS(Таблица1[Столбец1],Таблица1[коэф],"1,3",Таблица1[р/р],"3/24",Таблица1[Ф. И. О.],B165)</f>
        <v>0</v>
      </c>
      <c r="X166" s="492">
        <f t="shared" si="19"/>
        <v>0</v>
      </c>
      <c r="Y166" s="764"/>
      <c r="Z166" s="766"/>
      <c r="AA166" s="756"/>
      <c r="AC166" s="712" t="str">
        <f>IF(SUMIFS(Таблица1[Столбец1],Таблица1[Ф. И. О.],B165)=Y160,"",B165&amp;"  часы не верны")</f>
        <v/>
      </c>
    </row>
    <row r="167" spans="1:29" ht="18.75">
      <c r="A167" s="756"/>
      <c r="B167" s="215"/>
      <c r="C167" s="759"/>
      <c r="D167" s="762"/>
      <c r="E167" s="393"/>
      <c r="F167" s="390"/>
      <c r="G167" s="400"/>
      <c r="H167" s="392">
        <f t="shared" si="16"/>
        <v>0</v>
      </c>
      <c r="I167" s="389"/>
      <c r="J167" s="390"/>
      <c r="K167" s="434"/>
      <c r="L167" s="484">
        <f t="shared" si="17"/>
        <v>0</v>
      </c>
      <c r="M167" s="434"/>
      <c r="N167" s="434"/>
      <c r="O167" s="434"/>
      <c r="P167" s="395"/>
      <c r="Q167" s="389">
        <f>база!$L$5</f>
        <v>231.45480000000001</v>
      </c>
      <c r="R167" s="390">
        <v>1.3</v>
      </c>
      <c r="S167" s="491">
        <f>SUMIFS(Таблица1[Столбец1],Таблица1[коэф],"1,3",Таблица1[р/р],"4/16",Таблица1[Ф. И. О.],B165)</f>
        <v>0</v>
      </c>
      <c r="T167" s="492">
        <f t="shared" si="18"/>
        <v>0</v>
      </c>
      <c r="U167" s="472">
        <f>база!$M$5</f>
        <v>247.41720000000001</v>
      </c>
      <c r="V167" s="390">
        <v>1.3</v>
      </c>
      <c r="W167" s="494">
        <f>SUMIFS(Таблица1[Столбец1],Таблица1[коэф],"1,3",Таблица1[р/р],"4/24",Таблица1[Ф. И. О.],B165)</f>
        <v>0</v>
      </c>
      <c r="X167" s="492">
        <f t="shared" si="19"/>
        <v>0</v>
      </c>
      <c r="Y167" s="764"/>
      <c r="Z167" s="766"/>
      <c r="AA167" s="756"/>
    </row>
    <row r="168" spans="1:29" ht="18.75">
      <c r="A168" s="756"/>
      <c r="B168" s="215"/>
      <c r="C168" s="759"/>
      <c r="D168" s="762"/>
      <c r="E168" s="393"/>
      <c r="F168" s="390"/>
      <c r="G168" s="400"/>
      <c r="H168" s="392">
        <f t="shared" si="16"/>
        <v>0</v>
      </c>
      <c r="I168" s="389"/>
      <c r="J168" s="390"/>
      <c r="K168" s="434"/>
      <c r="L168" s="484">
        <f t="shared" si="17"/>
        <v>0</v>
      </c>
      <c r="M168" s="434"/>
      <c r="N168" s="434"/>
      <c r="O168" s="434"/>
      <c r="P168" s="395"/>
      <c r="Q168" s="389">
        <f>IF(D160&lt;=3,база!$L$4,
IF(D160=4,база!$L$5,
IF(D160=5,база!$L$6)))</f>
        <v>210.57480000000001</v>
      </c>
      <c r="R168" s="390">
        <v>1.4</v>
      </c>
      <c r="S168" s="491">
        <f>SUMIFS(Таблица1[Столбец1],Таблица1[коэф],"1,4",Таблица1[р/р],"3/16",Таблица1[Ф. И. О.],B165)</f>
        <v>0</v>
      </c>
      <c r="T168" s="492">
        <f t="shared" si="18"/>
        <v>0</v>
      </c>
      <c r="U168" s="472">
        <f>IF(D160&lt;=3,база!$M$4,
IF(D160=4,база!$M$5,
IF(D160=5,база!$M$6)))</f>
        <v>225.09719999999999</v>
      </c>
      <c r="V168" s="390">
        <v>1.4</v>
      </c>
      <c r="W168" s="494">
        <f>SUMIFS(Таблица1[Столбец1],Таблица1[коэф],"1,4",Таблица1[р/р],"3/24",Таблица1[Ф. И. О.],B165)</f>
        <v>0</v>
      </c>
      <c r="X168" s="492">
        <f t="shared" si="19"/>
        <v>0</v>
      </c>
      <c r="Y168" s="764"/>
      <c r="Z168" s="766"/>
      <c r="AA168" s="756"/>
    </row>
    <row r="169" spans="1:29" ht="18.75">
      <c r="A169" s="756"/>
      <c r="B169" s="215"/>
      <c r="C169" s="759"/>
      <c r="D169" s="762"/>
      <c r="E169" s="393"/>
      <c r="F169" s="390"/>
      <c r="G169" s="400"/>
      <c r="H169" s="392">
        <f t="shared" si="16"/>
        <v>0</v>
      </c>
      <c r="I169" s="389"/>
      <c r="J169" s="390"/>
      <c r="K169" s="434"/>
      <c r="L169" s="484">
        <f t="shared" si="17"/>
        <v>0</v>
      </c>
      <c r="M169" s="434"/>
      <c r="N169" s="434"/>
      <c r="O169" s="434"/>
      <c r="P169" s="395"/>
      <c r="Q169" s="389">
        <f>база!$L$5</f>
        <v>231.45480000000001</v>
      </c>
      <c r="R169" s="390">
        <v>1.4</v>
      </c>
      <c r="S169" s="491">
        <f>SUMIFS(Таблица1[Столбец1],Таблица1[коэф],"1,4",Таблица1[р/р],"4/16",Таблица1[Ф. И. О.],B165)</f>
        <v>0</v>
      </c>
      <c r="T169" s="492">
        <f t="shared" si="18"/>
        <v>0</v>
      </c>
      <c r="U169" s="472">
        <f>база!$M$5</f>
        <v>247.41720000000001</v>
      </c>
      <c r="V169" s="390">
        <v>1.4</v>
      </c>
      <c r="W169" s="494">
        <f>SUMIFS(Таблица1[Столбец1],Таблица1[коэф],"1,4",Таблица1[р/р],"4/24",Таблица1[Ф. И. О.],B165)</f>
        <v>0</v>
      </c>
      <c r="X169" s="492">
        <f t="shared" si="19"/>
        <v>0</v>
      </c>
      <c r="Y169" s="764"/>
      <c r="Z169" s="766"/>
      <c r="AA169" s="756"/>
    </row>
    <row r="170" spans="1:29" ht="19.5" thickBot="1">
      <c r="A170" s="757"/>
      <c r="B170" s="215"/>
      <c r="C170" s="760"/>
      <c r="D170" s="763"/>
      <c r="E170" s="422"/>
      <c r="F170" s="403"/>
      <c r="G170" s="408"/>
      <c r="H170" s="468">
        <f t="shared" si="16"/>
        <v>0</v>
      </c>
      <c r="I170" s="420"/>
      <c r="J170" s="403"/>
      <c r="K170" s="460"/>
      <c r="L170" s="484">
        <f t="shared" si="17"/>
        <v>0</v>
      </c>
      <c r="M170" s="460"/>
      <c r="N170" s="460"/>
      <c r="O170" s="460"/>
      <c r="P170" s="424"/>
      <c r="Q170" s="420">
        <f>база!$L$6</f>
        <v>261.04640000000001</v>
      </c>
      <c r="R170" s="403">
        <v>1.4</v>
      </c>
      <c r="S170" s="507">
        <f>SUMIFS(Таблица1[Столбец1],Таблица1[коэф],"1,4",Таблица1[р/р],"5/16",Таблица1[Ф. И. О.],B165)</f>
        <v>0</v>
      </c>
      <c r="T170" s="492">
        <f t="shared" si="18"/>
        <v>0</v>
      </c>
      <c r="U170" s="482">
        <f>база!$M$6</f>
        <v>279.0496</v>
      </c>
      <c r="V170" s="403">
        <v>1.4</v>
      </c>
      <c r="W170" s="496">
        <f>SUMIFS(Таблица1[Столбец1],Таблица1[коэф],"1,4",Таблица1[р/р],"5/24",Таблица1[Ф. И. О.],B165)</f>
        <v>0</v>
      </c>
      <c r="X170" s="492">
        <f t="shared" si="19"/>
        <v>0</v>
      </c>
      <c r="Y170" s="765"/>
      <c r="Z170" s="767"/>
      <c r="AA170" s="757"/>
    </row>
    <row r="171" spans="1:29" ht="18.75">
      <c r="A171" s="755">
        <v>16</v>
      </c>
      <c r="B171" s="235"/>
      <c r="C171" s="758">
        <f>INDEX(база!$E$2:$E$81, MATCH(B176,база!$B$2:$B$50,0))</f>
        <v>15894</v>
      </c>
      <c r="D171" s="761">
        <f>INDEX(база!$D$2:$D$89, MATCH(B176,база!$B$2:$B$50,0))</f>
        <v>3</v>
      </c>
      <c r="E171" s="381">
        <f>IF(D171&lt;=3,база!$I$4,
IF(D171=4,база!$I$5,
IF(D171=5,база!$I$6)))</f>
        <v>188.7912</v>
      </c>
      <c r="F171" s="378">
        <v>1</v>
      </c>
      <c r="G171" s="387">
        <f>SUMIFS(Таблица1[Столбец1],Таблица1[коэф],"1",Таблица1[р/р],"2/4",Таблица1[Ф. И. О.],B176)</f>
        <v>0</v>
      </c>
      <c r="H171" s="402">
        <f t="shared" si="16"/>
        <v>0</v>
      </c>
      <c r="I171" s="377">
        <f>IF(D171&lt;=3,база!$J$4,
IF(D171=4,база!$J$5,
IF(D171=5,база!$J$6)))</f>
        <v>196.05240000000001</v>
      </c>
      <c r="J171" s="378">
        <v>1</v>
      </c>
      <c r="K171" s="428">
        <f>SUMIFS(Таблица1[Столбец1],Таблица1[коэф],"1",Таблица1[р/р],"2/8",Таблица1[Ф. И. О.],B176)</f>
        <v>0</v>
      </c>
      <c r="L171" s="383">
        <f t="shared" si="17"/>
        <v>0</v>
      </c>
      <c r="M171" s="428"/>
      <c r="N171" s="428">
        <v>1</v>
      </c>
      <c r="O171" s="428">
        <f>SUMIFS(Data_Tech!$AM$3:$AM$67,Data_Tech!$E$3:$E$67,"1",Data_Tech!$G$3:$G$67,"3/12",Data_Tech!$F$3:$F$67,B176)</f>
        <v>0</v>
      </c>
      <c r="P171" s="383">
        <f>ROUND(M171*N171*O171,2)</f>
        <v>0</v>
      </c>
      <c r="Q171" s="377">
        <f>IF(D171&lt;=3,база!$L$4,
IF(D171=4,база!$L$5,
IF(D171=5,база!$L$6)))</f>
        <v>210.57480000000001</v>
      </c>
      <c r="R171" s="378">
        <v>1</v>
      </c>
      <c r="S171" s="489">
        <f>SUMIFS(Таблица1[Столбец1],Таблица1[коэф],"1",Таблица1[р/р],"3/16",Таблица1[Ф. И. О.],B176)</f>
        <v>0</v>
      </c>
      <c r="T171" s="490">
        <f t="shared" si="18"/>
        <v>0</v>
      </c>
      <c r="U171" s="471">
        <f>IF(D171&lt;=3,база!$M$4,
IF(D171=4,база!$M$5,
IF(D171=5,база!$M$6)))</f>
        <v>225.09719999999999</v>
      </c>
      <c r="V171" s="378">
        <v>1</v>
      </c>
      <c r="W171" s="497">
        <f>SUMIFS(Таблица1[Столбец1],Таблица1[коэф],"1",Таблица1[р/р],"3/24",Таблица1[Ф. И. О.],B176)</f>
        <v>0</v>
      </c>
      <c r="X171" s="490">
        <f t="shared" si="19"/>
        <v>0</v>
      </c>
      <c r="Y171" s="764">
        <f t="shared" ref="Y171" si="26">SUM(G171:G181,K171:K181,O171:O181,S171:S181,W171:W181)</f>
        <v>0</v>
      </c>
      <c r="Z171" s="766">
        <f t="shared" ref="Z171" si="27">IFERROR(SUM(H171:H181,L171:L181,T171:T181,X171:X181),"")</f>
        <v>0</v>
      </c>
      <c r="AA171" s="756"/>
    </row>
    <row r="172" spans="1:29" ht="18.75">
      <c r="A172" s="756"/>
      <c r="B172" s="215"/>
      <c r="C172" s="759"/>
      <c r="D172" s="762"/>
      <c r="E172" s="393">
        <f>IF(D171&lt;=3,база!$I$4,
IF(D171=4,база!$I$5,
IF(D171=5,база!$I$6)))</f>
        <v>188.7912</v>
      </c>
      <c r="F172" s="390">
        <v>1</v>
      </c>
      <c r="G172" s="400">
        <f>SUMIFS(Таблица1[Столбец1],Таблица1[коэф],"1",Таблица1[р/р],"3/4",Таблица1[Ф. И. О.],B176)</f>
        <v>0</v>
      </c>
      <c r="H172" s="392">
        <f t="shared" si="16"/>
        <v>0</v>
      </c>
      <c r="I172" s="389">
        <f>IF(D171&lt;=3,база!$J$4,
IF(D171=4,база!$J$5,
IF(D171=5,база!$J$6)))</f>
        <v>196.05240000000001</v>
      </c>
      <c r="J172" s="390">
        <v>1</v>
      </c>
      <c r="K172" s="434">
        <f>SUMIFS(Таблица1[Столбец1],Таблица1[коэф],"1",Таблица1[р/р],"3/8",Таблица1[Ф. И. О.],B176)</f>
        <v>0</v>
      </c>
      <c r="L172" s="484">
        <f t="shared" si="17"/>
        <v>0</v>
      </c>
      <c r="M172" s="434"/>
      <c r="N172" s="434">
        <v>1</v>
      </c>
      <c r="O172" s="434">
        <f>SUMIFS(Data_Tech!$AM$3:$AM$67,Data_Tech!$E$3:$E$67,"1",Data_Tech!$G$3:$G$67,"4/12",Data_Tech!$F$3:$F$67,B176)</f>
        <v>0</v>
      </c>
      <c r="P172" s="395">
        <f>ROUND(M172*O172,2)</f>
        <v>0</v>
      </c>
      <c r="Q172" s="389">
        <f>база!$L$5</f>
        <v>231.45480000000001</v>
      </c>
      <c r="R172" s="390">
        <v>1</v>
      </c>
      <c r="S172" s="491">
        <f>SUMIFS(Таблица1[Столбец1],Таблица1[коэф],"1",Таблица1[р/р],"4/16",Таблица1[Ф. И. О.],B176)</f>
        <v>0</v>
      </c>
      <c r="T172" s="492">
        <f t="shared" si="18"/>
        <v>0</v>
      </c>
      <c r="U172" s="472">
        <f>база!$M$5</f>
        <v>247.41720000000001</v>
      </c>
      <c r="V172" s="390">
        <v>1</v>
      </c>
      <c r="W172" s="494">
        <f>SUMIFS(Таблица1[Столбец1],Таблица1[коэф],"1",Таблица1[р/р],"4/24",Таблица1[Ф. И. О.],B176)</f>
        <v>0</v>
      </c>
      <c r="X172" s="492">
        <f t="shared" si="19"/>
        <v>0</v>
      </c>
      <c r="Y172" s="764"/>
      <c r="Z172" s="766"/>
      <c r="AA172" s="756"/>
    </row>
    <row r="173" spans="1:29" ht="18.75">
      <c r="A173" s="756"/>
      <c r="B173" s="215"/>
      <c r="C173" s="759"/>
      <c r="D173" s="762"/>
      <c r="E173" s="393"/>
      <c r="F173" s="390"/>
      <c r="G173" s="400"/>
      <c r="H173" s="392">
        <f t="shared" si="16"/>
        <v>0</v>
      </c>
      <c r="I173" s="389"/>
      <c r="J173" s="390"/>
      <c r="K173" s="434"/>
      <c r="L173" s="484">
        <f t="shared" si="17"/>
        <v>0</v>
      </c>
      <c r="M173" s="434"/>
      <c r="N173" s="434"/>
      <c r="O173" s="434"/>
      <c r="P173" s="395"/>
      <c r="Q173" s="389">
        <f>база!$L$6</f>
        <v>261.04640000000001</v>
      </c>
      <c r="R173" s="390">
        <v>1</v>
      </c>
      <c r="S173" s="491">
        <f>SUMIFS(Таблица1[Столбец1],Таблица1[коэф],"1",Таблица1[р/р],"5/16",Таблица1[Ф. И. О.],B176)</f>
        <v>0</v>
      </c>
      <c r="T173" s="492">
        <f t="shared" si="18"/>
        <v>0</v>
      </c>
      <c r="U173" s="472">
        <f>база!$M$6</f>
        <v>279.0496</v>
      </c>
      <c r="V173" s="390">
        <v>1</v>
      </c>
      <c r="W173" s="494">
        <f>SUMIFS(Таблица1[Столбец1],Таблица1[коэф],"1",Таблица1[р/р],"5/24",Таблица1[Ф. И. О.],B176)</f>
        <v>0</v>
      </c>
      <c r="X173" s="492">
        <f t="shared" si="19"/>
        <v>0</v>
      </c>
      <c r="Y173" s="764"/>
      <c r="Z173" s="766"/>
      <c r="AA173" s="756"/>
    </row>
    <row r="174" spans="1:29" ht="18.75">
      <c r="A174" s="756"/>
      <c r="B174" s="215"/>
      <c r="C174" s="759"/>
      <c r="D174" s="762"/>
      <c r="E174" s="393"/>
      <c r="F174" s="390"/>
      <c r="G174" s="400"/>
      <c r="H174" s="392">
        <f t="shared" si="16"/>
        <v>0</v>
      </c>
      <c r="I174" s="389">
        <f>база!$J$5</f>
        <v>215.4924</v>
      </c>
      <c r="J174" s="390">
        <v>1.5</v>
      </c>
      <c r="K174" s="434">
        <f>SUMIFS(Таблица1[Столбец1],Таблица1[коэф],"1,5",Таблица1[р/р],"4/8",Таблица1[Ф. И. О.],B176)</f>
        <v>0</v>
      </c>
      <c r="L174" s="484">
        <f t="shared" si="17"/>
        <v>0</v>
      </c>
      <c r="M174" s="434"/>
      <c r="N174" s="434"/>
      <c r="O174" s="434"/>
      <c r="P174" s="395"/>
      <c r="Q174" s="389">
        <f>IF(D171&lt;=3,база!$L$4,
IF(D171=4,база!$L$5,
IF(D171=5,база!$L$6)))</f>
        <v>210.57480000000001</v>
      </c>
      <c r="R174" s="390">
        <v>1.2</v>
      </c>
      <c r="S174" s="491">
        <f>SUMIFS(Таблица1[Столбец1],Таблица1[коэф],"1,2",Таблица1[р/р],"3/16",Таблица1[Ф. И. О.],B176)</f>
        <v>0</v>
      </c>
      <c r="T174" s="492">
        <f t="shared" si="18"/>
        <v>0</v>
      </c>
      <c r="U174" s="472">
        <f>IF(D171&lt;=3,база!$M$4,
IF(D171=4,база!$M$5,
IF(D171=5,база!$M$6)))</f>
        <v>225.09719999999999</v>
      </c>
      <c r="V174" s="390">
        <v>1.2</v>
      </c>
      <c r="W174" s="494">
        <f>SUMIFS(Таблица1[Столбец1],Таблица1[коэф],"1,2",Таблица1[р/р],"3/24",Таблица1[Ф. И. О.],B176)</f>
        <v>0</v>
      </c>
      <c r="X174" s="492">
        <f t="shared" si="19"/>
        <v>0</v>
      </c>
      <c r="Y174" s="764"/>
      <c r="Z174" s="766"/>
      <c r="AA174" s="756"/>
    </row>
    <row r="175" spans="1:29" ht="18.75">
      <c r="A175" s="756"/>
      <c r="B175" s="215"/>
      <c r="C175" s="759"/>
      <c r="D175" s="762"/>
      <c r="E175" s="393"/>
      <c r="F175" s="390"/>
      <c r="G175" s="400"/>
      <c r="H175" s="392">
        <f t="shared" si="16"/>
        <v>0</v>
      </c>
      <c r="I175" s="389">
        <f>база!$J$6</f>
        <v>243.04319999999998</v>
      </c>
      <c r="J175" s="390">
        <v>1.5</v>
      </c>
      <c r="K175" s="434">
        <f>SUMIFS(Таблица1[Столбец1],Таблица1[коэф],"1,5",Таблица1[р/р],"5/8",Таблица1[Ф. И. О.],B176)</f>
        <v>0</v>
      </c>
      <c r="L175" s="484">
        <f t="shared" si="17"/>
        <v>0</v>
      </c>
      <c r="M175" s="434"/>
      <c r="N175" s="434"/>
      <c r="O175" s="434"/>
      <c r="P175" s="395"/>
      <c r="Q175" s="389">
        <f>база!$L$5</f>
        <v>231.45480000000001</v>
      </c>
      <c r="R175" s="390">
        <v>1.2</v>
      </c>
      <c r="S175" s="491">
        <f>SUMIFS(Таблица1[Столбец1],Таблица1[коэф],"1,2",Таблица1[р/р],"4/16",Таблица1[Ф. И. О.],B176)</f>
        <v>0</v>
      </c>
      <c r="T175" s="492">
        <f t="shared" si="18"/>
        <v>0</v>
      </c>
      <c r="U175" s="472">
        <f>база!$M$5</f>
        <v>247.41720000000001</v>
      </c>
      <c r="V175" s="390">
        <v>1.2</v>
      </c>
      <c r="W175" s="494">
        <f>SUMIFS(Таблица1[Столбец1],Таблица1[коэф],"1,2",Таблица1[р/р],"4/24",Таблица1[Ф. И. О.],B176)</f>
        <v>0</v>
      </c>
      <c r="X175" s="492">
        <f t="shared" si="19"/>
        <v>0</v>
      </c>
      <c r="Y175" s="764"/>
      <c r="Z175" s="766"/>
      <c r="AA175" s="756"/>
    </row>
    <row r="176" spans="1:29" ht="18.75">
      <c r="A176" s="756"/>
      <c r="B176" s="215" t="str">
        <f>база!B17</f>
        <v>Груздева Олеся Изидоровна</v>
      </c>
      <c r="C176" s="759"/>
      <c r="D176" s="762"/>
      <c r="E176" s="393"/>
      <c r="F176" s="390"/>
      <c r="G176" s="400"/>
      <c r="H176" s="392">
        <f t="shared" si="16"/>
        <v>0</v>
      </c>
      <c r="I176" s="389"/>
      <c r="J176" s="390"/>
      <c r="K176" s="434"/>
      <c r="L176" s="484">
        <f t="shared" si="17"/>
        <v>0</v>
      </c>
      <c r="M176" s="434"/>
      <c r="N176" s="434"/>
      <c r="O176" s="434"/>
      <c r="P176" s="395"/>
      <c r="Q176" s="389">
        <f>база!$L$6</f>
        <v>261.04640000000001</v>
      </c>
      <c r="R176" s="390">
        <v>1.2</v>
      </c>
      <c r="S176" s="491">
        <f>SUMIFS(Таблица1[Столбец1],Таблица1[коэф],"1,2",Таблица1[р/р],"5/16",Таблица1[Ф. И. О.],B176)</f>
        <v>0</v>
      </c>
      <c r="T176" s="492">
        <f t="shared" si="18"/>
        <v>0</v>
      </c>
      <c r="U176" s="472">
        <f>база!$M$6</f>
        <v>279.0496</v>
      </c>
      <c r="V176" s="390">
        <v>1.2</v>
      </c>
      <c r="W176" s="494">
        <f>SUMIFS(Таблица1[Столбец1],Таблица1[коэф],"1,2",Таблица1[р/р],"5/24",Таблица1[Ф. И. О.],B176)</f>
        <v>0</v>
      </c>
      <c r="X176" s="492">
        <f t="shared" si="19"/>
        <v>0</v>
      </c>
      <c r="Y176" s="764"/>
      <c r="Z176" s="766"/>
      <c r="AA176" s="756"/>
      <c r="AC176" s="712" t="str">
        <f>IF(SUMIFS(Таблица1[Столбец3],Таблица1[Ф. И. О.],B176)-Z171=0,"",SUMIFS(Таблица1[Столбец3],Таблица1[Ф. И. О.],B176)-Z171)</f>
        <v/>
      </c>
    </row>
    <row r="177" spans="1:29" ht="18.75">
      <c r="A177" s="756"/>
      <c r="B177" s="215"/>
      <c r="C177" s="759"/>
      <c r="D177" s="762"/>
      <c r="E177" s="393"/>
      <c r="F177" s="390"/>
      <c r="G177" s="400"/>
      <c r="H177" s="392">
        <f t="shared" si="16"/>
        <v>0</v>
      </c>
      <c r="I177" s="389"/>
      <c r="J177" s="390"/>
      <c r="K177" s="434"/>
      <c r="L177" s="484">
        <f t="shared" si="17"/>
        <v>0</v>
      </c>
      <c r="M177" s="434"/>
      <c r="N177" s="434"/>
      <c r="O177" s="434"/>
      <c r="P177" s="395"/>
      <c r="Q177" s="389">
        <f>IF(D171&lt;=3,база!$L$4,
IF(D171=4,база!$L$5,
IF(D171=5,база!$L$6)))</f>
        <v>210.57480000000001</v>
      </c>
      <c r="R177" s="390">
        <v>1.3</v>
      </c>
      <c r="S177" s="491">
        <f>SUMIFS(Таблица1[Столбец1],Таблица1[коэф],"1,3",Таблица1[р/р],"3/16",Таблица1[Ф. И. О.],B176)</f>
        <v>0</v>
      </c>
      <c r="T177" s="492">
        <f t="shared" si="18"/>
        <v>0</v>
      </c>
      <c r="U177" s="472">
        <f>IF(D171&lt;=3,база!$M$4,
IF(D171=4,база!$M$5,
IF(D171=5,база!$M$6)))</f>
        <v>225.09719999999999</v>
      </c>
      <c r="V177" s="390">
        <v>1.3</v>
      </c>
      <c r="W177" s="494">
        <f>SUMIFS(Таблица1[Столбец1],Таблица1[коэф],"1,3",Таблица1[р/р],"3/24",Таблица1[Ф. И. О.],B176)</f>
        <v>0</v>
      </c>
      <c r="X177" s="492">
        <f t="shared" si="19"/>
        <v>0</v>
      </c>
      <c r="Y177" s="764"/>
      <c r="Z177" s="766"/>
      <c r="AA177" s="756"/>
      <c r="AC177" s="712" t="str">
        <f>IF(SUMIFS(Таблица1[Столбец1],Таблица1[Ф. И. О.],B176)=Y171,"",B176&amp;"  часы не верны")</f>
        <v/>
      </c>
    </row>
    <row r="178" spans="1:29" ht="18.75">
      <c r="A178" s="756"/>
      <c r="B178" s="215"/>
      <c r="C178" s="759"/>
      <c r="D178" s="762"/>
      <c r="E178" s="393"/>
      <c r="F178" s="390"/>
      <c r="G178" s="400"/>
      <c r="H178" s="392">
        <f t="shared" si="16"/>
        <v>0</v>
      </c>
      <c r="I178" s="389"/>
      <c r="J178" s="390"/>
      <c r="K178" s="434"/>
      <c r="L178" s="484">
        <f t="shared" si="17"/>
        <v>0</v>
      </c>
      <c r="M178" s="434"/>
      <c r="N178" s="434"/>
      <c r="O178" s="434"/>
      <c r="P178" s="395"/>
      <c r="Q178" s="389">
        <f>база!$L$5</f>
        <v>231.45480000000001</v>
      </c>
      <c r="R178" s="390">
        <v>1.3</v>
      </c>
      <c r="S178" s="491">
        <f>SUMIFS(Таблица1[Столбец1],Таблица1[коэф],"1,3",Таблица1[р/р],"4/16",Таблица1[Ф. И. О.],B176)</f>
        <v>0</v>
      </c>
      <c r="T178" s="492">
        <f t="shared" si="18"/>
        <v>0</v>
      </c>
      <c r="U178" s="472">
        <f>база!$M$5</f>
        <v>247.41720000000001</v>
      </c>
      <c r="V178" s="390">
        <v>1.3</v>
      </c>
      <c r="W178" s="494">
        <f>SUMIFS(Таблица1[Столбец1],Таблица1[коэф],"1,3",Таблица1[р/р],"4/24",Таблица1[Ф. И. О.],B176)</f>
        <v>0</v>
      </c>
      <c r="X178" s="492">
        <f t="shared" si="19"/>
        <v>0</v>
      </c>
      <c r="Y178" s="764"/>
      <c r="Z178" s="766"/>
      <c r="AA178" s="756"/>
    </row>
    <row r="179" spans="1:29" ht="18.75">
      <c r="A179" s="756"/>
      <c r="B179" s="215"/>
      <c r="C179" s="759"/>
      <c r="D179" s="762"/>
      <c r="E179" s="393"/>
      <c r="F179" s="390"/>
      <c r="G179" s="400"/>
      <c r="H179" s="392">
        <f t="shared" si="16"/>
        <v>0</v>
      </c>
      <c r="I179" s="389"/>
      <c r="J179" s="390"/>
      <c r="K179" s="434"/>
      <c r="L179" s="484">
        <f t="shared" si="17"/>
        <v>0</v>
      </c>
      <c r="M179" s="434"/>
      <c r="N179" s="434"/>
      <c r="O179" s="434"/>
      <c r="P179" s="395"/>
      <c r="Q179" s="389">
        <f>IF(D171&lt;=3,база!$L$4,
IF(D171=4,база!$L$5,
IF(D171=5,база!$L$6)))</f>
        <v>210.57480000000001</v>
      </c>
      <c r="R179" s="390">
        <v>1.4</v>
      </c>
      <c r="S179" s="491">
        <f>SUMIFS(Таблица1[Столбец1],Таблица1[коэф],"1,4",Таблица1[р/р],"3/16",Таблица1[Ф. И. О.],B176)</f>
        <v>0</v>
      </c>
      <c r="T179" s="492">
        <f t="shared" si="18"/>
        <v>0</v>
      </c>
      <c r="U179" s="472">
        <f>IF(D171&lt;=3,база!$M$4,
IF(D171=4,база!$M$5,
IF(D171=5,база!$M$6)))</f>
        <v>225.09719999999999</v>
      </c>
      <c r="V179" s="390">
        <v>1.4</v>
      </c>
      <c r="W179" s="494">
        <f>SUMIFS(Таблица1[Столбец1],Таблица1[коэф],"1,4",Таблица1[р/р],"3/24",Таблица1[Ф. И. О.],B176)</f>
        <v>0</v>
      </c>
      <c r="X179" s="492">
        <f t="shared" si="19"/>
        <v>0</v>
      </c>
      <c r="Y179" s="764"/>
      <c r="Z179" s="766"/>
      <c r="AA179" s="756"/>
    </row>
    <row r="180" spans="1:29" ht="18.75">
      <c r="A180" s="756"/>
      <c r="B180" s="215"/>
      <c r="C180" s="759"/>
      <c r="D180" s="762"/>
      <c r="E180" s="393"/>
      <c r="F180" s="390"/>
      <c r="G180" s="400"/>
      <c r="H180" s="392">
        <f t="shared" si="16"/>
        <v>0</v>
      </c>
      <c r="I180" s="389"/>
      <c r="J180" s="390"/>
      <c r="K180" s="434"/>
      <c r="L180" s="484">
        <f t="shared" si="17"/>
        <v>0</v>
      </c>
      <c r="M180" s="434"/>
      <c r="N180" s="434"/>
      <c r="O180" s="434"/>
      <c r="P180" s="395"/>
      <c r="Q180" s="389">
        <f>база!$L$5</f>
        <v>231.45480000000001</v>
      </c>
      <c r="R180" s="390">
        <v>1.4</v>
      </c>
      <c r="S180" s="491">
        <f>SUMIFS(Таблица1[Столбец1],Таблица1[коэф],"1,4",Таблица1[р/р],"4/16",Таблица1[Ф. И. О.],B176)</f>
        <v>0</v>
      </c>
      <c r="T180" s="492">
        <f t="shared" si="18"/>
        <v>0</v>
      </c>
      <c r="U180" s="472">
        <f>база!$M$5</f>
        <v>247.41720000000001</v>
      </c>
      <c r="V180" s="390">
        <v>1.4</v>
      </c>
      <c r="W180" s="494">
        <f>SUMIFS(Таблица1[Столбец1],Таблица1[коэф],"1,4",Таблица1[р/р],"4/24",Таблица1[Ф. И. О.],B176)</f>
        <v>0</v>
      </c>
      <c r="X180" s="492">
        <f t="shared" si="19"/>
        <v>0</v>
      </c>
      <c r="Y180" s="764"/>
      <c r="Z180" s="766"/>
      <c r="AA180" s="756"/>
    </row>
    <row r="181" spans="1:29" ht="19.5" thickBot="1">
      <c r="A181" s="757"/>
      <c r="B181" s="202"/>
      <c r="C181" s="760"/>
      <c r="D181" s="763"/>
      <c r="E181" s="463"/>
      <c r="F181" s="464"/>
      <c r="G181" s="465"/>
      <c r="H181" s="468">
        <f t="shared" si="16"/>
        <v>0</v>
      </c>
      <c r="I181" s="473"/>
      <c r="J181" s="464"/>
      <c r="K181" s="457"/>
      <c r="L181" s="484">
        <f t="shared" si="17"/>
        <v>0</v>
      </c>
      <c r="M181" s="457"/>
      <c r="N181" s="457"/>
      <c r="O181" s="457"/>
      <c r="P181" s="458"/>
      <c r="Q181" s="473">
        <f>база!$L$6</f>
        <v>261.04640000000001</v>
      </c>
      <c r="R181" s="464">
        <v>1.4</v>
      </c>
      <c r="S181" s="512">
        <f>SUMIFS(Таблица1[Столбец1],Таблица1[коэф],"1,4",Таблица1[р/р],"5/16",Таблица1[Ф. И. О.],B176)</f>
        <v>0</v>
      </c>
      <c r="T181" s="492">
        <f t="shared" si="18"/>
        <v>0</v>
      </c>
      <c r="U181" s="474">
        <f>база!$M$6</f>
        <v>279.0496</v>
      </c>
      <c r="V181" s="464">
        <v>1.4</v>
      </c>
      <c r="W181" s="501">
        <f>SUMIFS(Таблица1[Столбец1],Таблица1[коэф],"1,4",Таблица1[р/р],"5/24",Таблица1[Ф. И. О.],B176)</f>
        <v>0</v>
      </c>
      <c r="X181" s="492">
        <f t="shared" si="19"/>
        <v>0</v>
      </c>
      <c r="Y181" s="765"/>
      <c r="Z181" s="767"/>
      <c r="AA181" s="757"/>
    </row>
    <row r="182" spans="1:29" ht="18.75">
      <c r="A182" s="755">
        <v>17</v>
      </c>
      <c r="B182" s="215"/>
      <c r="C182" s="758">
        <f>INDEX(база!$E$2:$E$81, MATCH(B187,база!$B$2:$B$50,0))</f>
        <v>17160</v>
      </c>
      <c r="D182" s="761">
        <f>INDEX(база!$D$2:$D$89, MATCH(B187,база!$B$2:$B$50,0))</f>
        <v>3</v>
      </c>
      <c r="E182" s="377">
        <f>IF(D182&lt;=3,база!$I$4,
IF(D182=4,база!$I$5,
IF(D182=5,база!$I$6)))</f>
        <v>188.7912</v>
      </c>
      <c r="F182" s="378">
        <v>1</v>
      </c>
      <c r="G182" s="387">
        <f>SUMIFS(Таблица1[Столбец1],Таблица1[коэф],"1",Таблица1[р/р],"2/4",Таблица1[Ф. И. О.],B187)</f>
        <v>0</v>
      </c>
      <c r="H182" s="402">
        <f t="shared" si="16"/>
        <v>0</v>
      </c>
      <c r="I182" s="451">
        <f>IF(D182&lt;=3,база!$J$4,
IF(D182=4,база!$J$5,
IF(D182=5,база!$J$6)))</f>
        <v>196.05240000000001</v>
      </c>
      <c r="J182" s="417">
        <v>1</v>
      </c>
      <c r="K182" s="453">
        <f>SUMIFS(Таблица1[Столбец1],Таблица1[коэф],"1",Таблица1[р/р],"2/8",Таблица1[Ф. И. О.],B187)</f>
        <v>0</v>
      </c>
      <c r="L182" s="383">
        <f t="shared" si="17"/>
        <v>0</v>
      </c>
      <c r="M182" s="453"/>
      <c r="N182" s="453">
        <v>1</v>
      </c>
      <c r="O182" s="453">
        <f>SUMIFS(Data_Tech!$AM$3:$AM$67,Data_Tech!$E$3:$E$67,"1",Data_Tech!$G$3:$G$67,"3/12",Data_Tech!$F$3:$F$67,B187)</f>
        <v>0</v>
      </c>
      <c r="P182" s="398">
        <f>ROUND(M182*N182*O182,2)</f>
        <v>0</v>
      </c>
      <c r="Q182" s="377">
        <f>IF(D182&lt;=3,база!$L$4,
IF(D182=4,база!$L$5,
IF(D182=5,база!$L$6)))</f>
        <v>210.57480000000001</v>
      </c>
      <c r="R182" s="378">
        <v>1</v>
      </c>
      <c r="S182" s="489">
        <f>SUMIFS(Таблица1[Столбец1],Таблица1[коэф],"1",Таблица1[р/р],"3/16",Таблица1[Ф. И. О.],B187)</f>
        <v>0</v>
      </c>
      <c r="T182" s="490">
        <f t="shared" si="18"/>
        <v>0</v>
      </c>
      <c r="U182" s="454">
        <f>IF(D182&lt;=3,база!$M$4,
IF(D182=4,база!$M$5,
IF(D182=5,база!$M$6)))</f>
        <v>225.09719999999999</v>
      </c>
      <c r="V182" s="417">
        <v>1</v>
      </c>
      <c r="W182" s="500">
        <f>SUMIFS(Таблица1[Столбец1],Таблица1[коэф],"1",Таблица1[р/р],"3/24",Таблица1[Ф. И. О.],B187)</f>
        <v>0</v>
      </c>
      <c r="X182" s="490">
        <f t="shared" si="19"/>
        <v>0</v>
      </c>
      <c r="Y182" s="764">
        <f t="shared" ref="Y182" si="28">SUM(G182:G192,K182:K192,O182:O192,S182:S192,W182:W192)</f>
        <v>0</v>
      </c>
      <c r="Z182" s="766">
        <f t="shared" ref="Z182" si="29">IFERROR(SUM(H182:H192,L182:L192,T182:T192,X182:X192),"")</f>
        <v>0</v>
      </c>
      <c r="AA182" s="756"/>
    </row>
    <row r="183" spans="1:29" ht="18.75">
      <c r="A183" s="756"/>
      <c r="B183" s="215"/>
      <c r="C183" s="759"/>
      <c r="D183" s="762"/>
      <c r="E183" s="389">
        <f>IF(D182&lt;=3,база!$I$4,
IF(D182=4,база!$I$5,
IF(D182=5,база!$I$6)))</f>
        <v>188.7912</v>
      </c>
      <c r="F183" s="390">
        <v>1</v>
      </c>
      <c r="G183" s="400">
        <f>SUMIFS(Таблица1[Столбец1],Таблица1[коэф],"1",Таблица1[р/р],"3/4",Таблица1[Ф. И. О.],B187)</f>
        <v>0</v>
      </c>
      <c r="H183" s="392">
        <f t="shared" si="16"/>
        <v>0</v>
      </c>
      <c r="I183" s="393">
        <f>IF(D182&lt;=3,база!$J$4,
IF(D182=4,база!$J$5,
IF(D182=5,база!$J$6)))</f>
        <v>196.05240000000001</v>
      </c>
      <c r="J183" s="390">
        <v>1</v>
      </c>
      <c r="K183" s="434">
        <f>SUMIFS(Таблица1[Столбец1],Таблица1[коэф],"1",Таблица1[р/р],"3/8",Таблица1[Ф. И. О.],B187)</f>
        <v>0</v>
      </c>
      <c r="L183" s="484">
        <f t="shared" si="17"/>
        <v>0</v>
      </c>
      <c r="M183" s="434"/>
      <c r="N183" s="434">
        <v>1</v>
      </c>
      <c r="O183" s="434">
        <f>SUMIFS(Data_Tech!$AM$3:$AM$67,Data_Tech!$E$3:$E$67,"1",Data_Tech!$G$3:$G$67,"4/12",Data_Tech!$F$3:$F$67,B187)</f>
        <v>0</v>
      </c>
      <c r="P183" s="406">
        <f>ROUND(M183*O183,2)</f>
        <v>0</v>
      </c>
      <c r="Q183" s="389">
        <f>база!$L$5</f>
        <v>231.45480000000001</v>
      </c>
      <c r="R183" s="390">
        <v>1</v>
      </c>
      <c r="S183" s="491">
        <f>SUMIFS(Таблица1[Столбец1],Таблица1[коэф],"1",Таблица1[р/р],"4/16",Таблица1[Ф. И. О.],B187)</f>
        <v>0</v>
      </c>
      <c r="T183" s="492">
        <f t="shared" si="18"/>
        <v>0</v>
      </c>
      <c r="U183" s="410">
        <f>база!$M$5</f>
        <v>247.41720000000001</v>
      </c>
      <c r="V183" s="390">
        <v>1</v>
      </c>
      <c r="W183" s="494">
        <f>SUMIFS(Таблица1[Столбец1],Таблица1[коэф],"1",Таблица1[р/р],"4/24",Таблица1[Ф. И. О.],B187)</f>
        <v>0</v>
      </c>
      <c r="X183" s="492">
        <f t="shared" si="19"/>
        <v>0</v>
      </c>
      <c r="Y183" s="764"/>
      <c r="Z183" s="766"/>
      <c r="AA183" s="756"/>
    </row>
    <row r="184" spans="1:29" ht="18.75">
      <c r="A184" s="756"/>
      <c r="B184" s="215"/>
      <c r="C184" s="759"/>
      <c r="D184" s="762"/>
      <c r="E184" s="389"/>
      <c r="F184" s="390"/>
      <c r="G184" s="400"/>
      <c r="H184" s="392">
        <f t="shared" si="16"/>
        <v>0</v>
      </c>
      <c r="I184" s="393"/>
      <c r="J184" s="390"/>
      <c r="K184" s="434"/>
      <c r="L184" s="484">
        <f t="shared" si="17"/>
        <v>0</v>
      </c>
      <c r="M184" s="434"/>
      <c r="N184" s="434"/>
      <c r="O184" s="434"/>
      <c r="P184" s="406"/>
      <c r="Q184" s="389">
        <f>база!$L$6</f>
        <v>261.04640000000001</v>
      </c>
      <c r="R184" s="390">
        <v>1</v>
      </c>
      <c r="S184" s="491">
        <f>SUMIFS(Таблица1[Столбец1],Таблица1[коэф],"1",Таблица1[р/р],"5/16",Таблица1[Ф. И. О.],B187)</f>
        <v>0</v>
      </c>
      <c r="T184" s="492">
        <f t="shared" si="18"/>
        <v>0</v>
      </c>
      <c r="U184" s="410">
        <f>база!$M$6</f>
        <v>279.0496</v>
      </c>
      <c r="V184" s="390">
        <v>1</v>
      </c>
      <c r="W184" s="494">
        <f>SUMIFS(Таблица1[Столбец1],Таблица1[коэф],"1",Таблица1[р/р],"5/24",Таблица1[Ф. И. О.],B187)</f>
        <v>0</v>
      </c>
      <c r="X184" s="492">
        <f t="shared" si="19"/>
        <v>0</v>
      </c>
      <c r="Y184" s="764"/>
      <c r="Z184" s="766"/>
      <c r="AA184" s="756"/>
    </row>
    <row r="185" spans="1:29" ht="18.75">
      <c r="A185" s="756"/>
      <c r="B185" s="215"/>
      <c r="C185" s="759"/>
      <c r="D185" s="762"/>
      <c r="E185" s="389"/>
      <c r="F185" s="390"/>
      <c r="G185" s="400"/>
      <c r="H185" s="392">
        <f t="shared" si="16"/>
        <v>0</v>
      </c>
      <c r="I185" s="393">
        <f>база!$J$5</f>
        <v>215.4924</v>
      </c>
      <c r="J185" s="390">
        <v>1.5</v>
      </c>
      <c r="K185" s="434">
        <f>SUMIFS(Таблица1[Столбец1],Таблица1[коэф],"1,5",Таблица1[р/р],"4/8",Таблица1[Ф. И. О.],B187)</f>
        <v>0</v>
      </c>
      <c r="L185" s="484">
        <f t="shared" si="17"/>
        <v>0</v>
      </c>
      <c r="M185" s="434"/>
      <c r="N185" s="434"/>
      <c r="O185" s="434"/>
      <c r="P185" s="406"/>
      <c r="Q185" s="389">
        <f>IF(D182&lt;=3,база!$L$4,
IF(D182=4,база!$L$5,
IF(D182=5,база!$L$6)))</f>
        <v>210.57480000000001</v>
      </c>
      <c r="R185" s="390">
        <v>1.2</v>
      </c>
      <c r="S185" s="491">
        <f>SUMIFS(Таблица1[Столбец1],Таблица1[коэф],"1,2",Таблица1[р/р],"3/16",Таблица1[Ф. И. О.],B187)</f>
        <v>0</v>
      </c>
      <c r="T185" s="492">
        <f t="shared" si="18"/>
        <v>0</v>
      </c>
      <c r="U185" s="410">
        <f>IF(D182&lt;=3,база!$M$4,
IF(D182=4,база!$M$5,
IF(D182=5,база!$M$6)))</f>
        <v>225.09719999999999</v>
      </c>
      <c r="V185" s="390">
        <v>1.2</v>
      </c>
      <c r="W185" s="494">
        <f>SUMIFS(Таблица1[Столбец1],Таблица1[коэф],"1,2",Таблица1[р/р],"3/24",Таблица1[Ф. И. О.],B187)</f>
        <v>0</v>
      </c>
      <c r="X185" s="492">
        <f t="shared" si="19"/>
        <v>0</v>
      </c>
      <c r="Y185" s="764"/>
      <c r="Z185" s="766"/>
      <c r="AA185" s="756"/>
    </row>
    <row r="186" spans="1:29" ht="18.75">
      <c r="A186" s="756"/>
      <c r="B186" s="215"/>
      <c r="C186" s="759"/>
      <c r="D186" s="762"/>
      <c r="E186" s="389"/>
      <c r="F186" s="390"/>
      <c r="G186" s="400"/>
      <c r="H186" s="392">
        <f t="shared" si="16"/>
        <v>0</v>
      </c>
      <c r="I186" s="393">
        <f>база!$J$6</f>
        <v>243.04319999999998</v>
      </c>
      <c r="J186" s="390">
        <v>1.5</v>
      </c>
      <c r="K186" s="434">
        <f>SUMIFS(Таблица1[Столбец1],Таблица1[коэф],"1,5",Таблица1[р/р],"5/8",Таблица1[Ф. И. О.],B187)</f>
        <v>0</v>
      </c>
      <c r="L186" s="484">
        <f t="shared" si="17"/>
        <v>0</v>
      </c>
      <c r="M186" s="434"/>
      <c r="N186" s="434"/>
      <c r="O186" s="434"/>
      <c r="P186" s="406"/>
      <c r="Q186" s="389">
        <f>база!$L$5</f>
        <v>231.45480000000001</v>
      </c>
      <c r="R186" s="390">
        <v>1.2</v>
      </c>
      <c r="S186" s="491">
        <f>SUMIFS(Таблица1[Столбец1],Таблица1[коэф],"1,2",Таблица1[р/р],"4/16",Таблица1[Ф. И. О.],B187)</f>
        <v>0</v>
      </c>
      <c r="T186" s="492">
        <f t="shared" si="18"/>
        <v>0</v>
      </c>
      <c r="U186" s="410">
        <f>база!$M$5</f>
        <v>247.41720000000001</v>
      </c>
      <c r="V186" s="390">
        <v>1.2</v>
      </c>
      <c r="W186" s="494">
        <f>SUMIFS(Таблица1[Столбец1],Таблица1[коэф],"1,2",Таблица1[р/р],"4/24",Таблица1[Ф. И. О.],B187)</f>
        <v>0</v>
      </c>
      <c r="X186" s="492">
        <f t="shared" si="19"/>
        <v>0</v>
      </c>
      <c r="Y186" s="764"/>
      <c r="Z186" s="766"/>
      <c r="AA186" s="756"/>
    </row>
    <row r="187" spans="1:29" ht="18.75">
      <c r="A187" s="756"/>
      <c r="B187" s="215" t="str">
        <f>база!B18</f>
        <v>Дорофеева Юлия Николаевна</v>
      </c>
      <c r="C187" s="759"/>
      <c r="D187" s="762"/>
      <c r="E187" s="389"/>
      <c r="F187" s="390"/>
      <c r="G187" s="400"/>
      <c r="H187" s="392">
        <f t="shared" si="16"/>
        <v>0</v>
      </c>
      <c r="I187" s="393"/>
      <c r="J187" s="390"/>
      <c r="K187" s="434"/>
      <c r="L187" s="484">
        <f t="shared" si="17"/>
        <v>0</v>
      </c>
      <c r="M187" s="434"/>
      <c r="N187" s="434"/>
      <c r="O187" s="434"/>
      <c r="P187" s="406"/>
      <c r="Q187" s="389">
        <f>база!$L$6</f>
        <v>261.04640000000001</v>
      </c>
      <c r="R187" s="390">
        <v>1.2</v>
      </c>
      <c r="S187" s="491">
        <f>SUMIFS(Таблица1[Столбец1],Таблица1[коэф],"1,2",Таблица1[р/р],"5/16",Таблица1[Ф. И. О.],B187)</f>
        <v>0</v>
      </c>
      <c r="T187" s="492">
        <f t="shared" si="18"/>
        <v>0</v>
      </c>
      <c r="U187" s="410">
        <f>база!$M$6</f>
        <v>279.0496</v>
      </c>
      <c r="V187" s="390">
        <v>1.2</v>
      </c>
      <c r="W187" s="494">
        <f>SUMIFS(Таблица1[Столбец1],Таблица1[коэф],"1,2",Таблица1[р/р],"5/24",Таблица1[Ф. И. О.],B187)</f>
        <v>0</v>
      </c>
      <c r="X187" s="492">
        <f t="shared" si="19"/>
        <v>0</v>
      </c>
      <c r="Y187" s="764"/>
      <c r="Z187" s="766"/>
      <c r="AA187" s="756"/>
      <c r="AC187" s="712" t="str">
        <f>IF(SUMIFS(Таблица1[Столбец3],Таблица1[Ф. И. О.],B187)-Z182=0,"",SUMIFS(Таблица1[Столбец3],Таблица1[Ф. И. О.],B187)-Z182)</f>
        <v/>
      </c>
    </row>
    <row r="188" spans="1:29" ht="18.75">
      <c r="A188" s="756"/>
      <c r="B188" s="215"/>
      <c r="C188" s="759"/>
      <c r="D188" s="762"/>
      <c r="E188" s="389"/>
      <c r="F188" s="390"/>
      <c r="G188" s="400"/>
      <c r="H188" s="392">
        <f t="shared" si="16"/>
        <v>0</v>
      </c>
      <c r="I188" s="393"/>
      <c r="J188" s="390"/>
      <c r="K188" s="434"/>
      <c r="L188" s="484">
        <f t="shared" si="17"/>
        <v>0</v>
      </c>
      <c r="M188" s="434"/>
      <c r="N188" s="434"/>
      <c r="O188" s="434"/>
      <c r="P188" s="406"/>
      <c r="Q188" s="389">
        <f>IF(D182&lt;=3,база!$L$4,
IF(D182=4,база!$L$5,
IF(D182=5,база!$L$6)))</f>
        <v>210.57480000000001</v>
      </c>
      <c r="R188" s="390">
        <v>1.3</v>
      </c>
      <c r="S188" s="491">
        <f>SUMIFS(Таблица1[Столбец1],Таблица1[коэф],"1,3",Таблица1[р/р],"3/16",Таблица1[Ф. И. О.],B187)</f>
        <v>0</v>
      </c>
      <c r="T188" s="492">
        <f t="shared" si="18"/>
        <v>0</v>
      </c>
      <c r="U188" s="410">
        <f>IF(D182&lt;=3,база!$M$4,
IF(D182=4,база!$M$5,
IF(D182=5,база!$M$6)))</f>
        <v>225.09719999999999</v>
      </c>
      <c r="V188" s="390">
        <v>1.3</v>
      </c>
      <c r="W188" s="494">
        <f>SUMIFS(Таблица1[Столбец1],Таблица1[коэф],"1,3",Таблица1[р/р],"3/24",Таблица1[Ф. И. О.],B187)</f>
        <v>0</v>
      </c>
      <c r="X188" s="492">
        <f t="shared" si="19"/>
        <v>0</v>
      </c>
      <c r="Y188" s="764"/>
      <c r="Z188" s="766"/>
      <c r="AA188" s="756"/>
      <c r="AC188" s="712" t="str">
        <f>IF(SUMIFS(Таблица1[Столбец1],Таблица1[Ф. И. О.],B187)=Y182,"",B187&amp;"  часы не верны")</f>
        <v/>
      </c>
    </row>
    <row r="189" spans="1:29" ht="18.75">
      <c r="A189" s="756"/>
      <c r="B189" s="215"/>
      <c r="C189" s="759"/>
      <c r="D189" s="762"/>
      <c r="E189" s="389"/>
      <c r="F189" s="390"/>
      <c r="G189" s="400"/>
      <c r="H189" s="392">
        <f t="shared" si="16"/>
        <v>0</v>
      </c>
      <c r="I189" s="393"/>
      <c r="J189" s="390"/>
      <c r="K189" s="434"/>
      <c r="L189" s="484">
        <f t="shared" si="17"/>
        <v>0</v>
      </c>
      <c r="M189" s="434"/>
      <c r="N189" s="434"/>
      <c r="O189" s="434"/>
      <c r="P189" s="406"/>
      <c r="Q189" s="389">
        <f>база!$L$5</f>
        <v>231.45480000000001</v>
      </c>
      <c r="R189" s="390">
        <v>1.3</v>
      </c>
      <c r="S189" s="491">
        <f>SUMIFS(Таблица1[Столбец1],Таблица1[коэф],"1,3",Таблица1[р/р],"4/16",Таблица1[Ф. И. О.],B187)</f>
        <v>0</v>
      </c>
      <c r="T189" s="492">
        <f t="shared" si="18"/>
        <v>0</v>
      </c>
      <c r="U189" s="410">
        <f>база!$M$5</f>
        <v>247.41720000000001</v>
      </c>
      <c r="V189" s="390">
        <v>1.3</v>
      </c>
      <c r="W189" s="494">
        <f>SUMIFS(Таблица1[Столбец1],Таблица1[коэф],"1,3",Таблица1[р/р],"4/24",Таблица1[Ф. И. О.],B187)</f>
        <v>0</v>
      </c>
      <c r="X189" s="492">
        <f t="shared" si="19"/>
        <v>0</v>
      </c>
      <c r="Y189" s="764"/>
      <c r="Z189" s="766"/>
      <c r="AA189" s="756"/>
    </row>
    <row r="190" spans="1:29" ht="18.75">
      <c r="A190" s="756"/>
      <c r="B190" s="215"/>
      <c r="C190" s="759"/>
      <c r="D190" s="762"/>
      <c r="E190" s="389"/>
      <c r="F190" s="390"/>
      <c r="G190" s="400"/>
      <c r="H190" s="392">
        <f t="shared" si="16"/>
        <v>0</v>
      </c>
      <c r="I190" s="393"/>
      <c r="J190" s="390"/>
      <c r="K190" s="434"/>
      <c r="L190" s="484">
        <f t="shared" si="17"/>
        <v>0</v>
      </c>
      <c r="M190" s="434"/>
      <c r="N190" s="434"/>
      <c r="O190" s="434"/>
      <c r="P190" s="406"/>
      <c r="Q190" s="389">
        <f>IF(D182&lt;=3,база!$L$4,
IF(D182=4,база!$L$5,
IF(D182=5,база!$L$6)))</f>
        <v>210.57480000000001</v>
      </c>
      <c r="R190" s="390">
        <v>1.4</v>
      </c>
      <c r="S190" s="491">
        <f>SUMIFS(Таблица1[Столбец1],Таблица1[коэф],"1,4",Таблица1[р/р],"3/16",Таблица1[Ф. И. О.],B187)</f>
        <v>0</v>
      </c>
      <c r="T190" s="492">
        <f t="shared" si="18"/>
        <v>0</v>
      </c>
      <c r="U190" s="410">
        <f>IF(D182&lt;=3,база!$M$4,
IF(D182=4,база!$M$5,
IF(D182=5,база!$M$6)))</f>
        <v>225.09719999999999</v>
      </c>
      <c r="V190" s="390">
        <v>1.4</v>
      </c>
      <c r="W190" s="494">
        <f>SUMIFS(Таблица1[Столбец1],Таблица1[коэф],"1,4",Таблица1[р/р],"3/24",Таблица1[Ф. И. О.],B187)</f>
        <v>0</v>
      </c>
      <c r="X190" s="492">
        <f t="shared" si="19"/>
        <v>0</v>
      </c>
      <c r="Y190" s="764"/>
      <c r="Z190" s="766"/>
      <c r="AA190" s="756"/>
    </row>
    <row r="191" spans="1:29" ht="18.75">
      <c r="A191" s="756"/>
      <c r="B191" s="215"/>
      <c r="C191" s="759"/>
      <c r="D191" s="762"/>
      <c r="E191" s="389"/>
      <c r="F191" s="390"/>
      <c r="G191" s="400"/>
      <c r="H191" s="392">
        <f t="shared" si="16"/>
        <v>0</v>
      </c>
      <c r="I191" s="393"/>
      <c r="J191" s="390"/>
      <c r="K191" s="434"/>
      <c r="L191" s="484">
        <f t="shared" si="17"/>
        <v>0</v>
      </c>
      <c r="M191" s="434"/>
      <c r="N191" s="434"/>
      <c r="O191" s="434"/>
      <c r="P191" s="406"/>
      <c r="Q191" s="389">
        <f>база!$L$5</f>
        <v>231.45480000000001</v>
      </c>
      <c r="R191" s="390">
        <v>1.4</v>
      </c>
      <c r="S191" s="491">
        <f>SUMIFS(Таблица1[Столбец1],Таблица1[коэф],"1,4",Таблица1[р/р],"4/16",Таблица1[Ф. И. О.],B187)</f>
        <v>0</v>
      </c>
      <c r="T191" s="492">
        <f t="shared" si="18"/>
        <v>0</v>
      </c>
      <c r="U191" s="410">
        <f>база!$M$5</f>
        <v>247.41720000000001</v>
      </c>
      <c r="V191" s="390">
        <v>1.4</v>
      </c>
      <c r="W191" s="494">
        <f>SUMIFS(Таблица1[Столбец1],Таблица1[коэф],"1,4",Таблица1[р/р],"4/24",Таблица1[Ф. И. О.],B187)</f>
        <v>0</v>
      </c>
      <c r="X191" s="492">
        <f t="shared" si="19"/>
        <v>0</v>
      </c>
      <c r="Y191" s="764"/>
      <c r="Z191" s="766"/>
      <c r="AA191" s="756"/>
    </row>
    <row r="192" spans="1:29" ht="19.5" thickBot="1">
      <c r="A192" s="757"/>
      <c r="B192" s="215"/>
      <c r="C192" s="760"/>
      <c r="D192" s="763"/>
      <c r="E192" s="473"/>
      <c r="F192" s="464"/>
      <c r="G192" s="465"/>
      <c r="H192" s="468">
        <f t="shared" si="16"/>
        <v>0</v>
      </c>
      <c r="I192" s="422"/>
      <c r="J192" s="403"/>
      <c r="K192" s="460"/>
      <c r="L192" s="484">
        <f t="shared" si="17"/>
        <v>0</v>
      </c>
      <c r="M192" s="460"/>
      <c r="N192" s="460"/>
      <c r="O192" s="460"/>
      <c r="P192" s="479"/>
      <c r="Q192" s="473">
        <f>база!$L$6</f>
        <v>261.04640000000001</v>
      </c>
      <c r="R192" s="464">
        <v>1.4</v>
      </c>
      <c r="S192" s="512">
        <f>SUMIFS(Таблица1[Столбец1],Таблица1[коэф],"1,4",Таблица1[р/р],"5/16",Таблица1[Ф. И. О.],B187)</f>
        <v>0</v>
      </c>
      <c r="T192" s="492">
        <f t="shared" si="18"/>
        <v>0</v>
      </c>
      <c r="U192" s="461">
        <f>база!$M$6</f>
        <v>279.0496</v>
      </c>
      <c r="V192" s="403">
        <v>1.4</v>
      </c>
      <c r="W192" s="496">
        <f>SUMIFS(Таблица1[Столбец1],Таблица1[коэф],"1,4",Таблица1[р/р],"5/24",Таблица1[Ф. И. О.],B187)</f>
        <v>0</v>
      </c>
      <c r="X192" s="492">
        <f t="shared" si="19"/>
        <v>0</v>
      </c>
      <c r="Y192" s="765"/>
      <c r="Z192" s="767"/>
      <c r="AA192" s="757"/>
    </row>
    <row r="193" spans="1:29" ht="18.75">
      <c r="A193" s="755">
        <v>18</v>
      </c>
      <c r="B193" s="235"/>
      <c r="C193" s="758">
        <f>INDEX(база!$E$2:$E$81, MATCH(B198,база!$B$2:$B$50,0))</f>
        <v>16860</v>
      </c>
      <c r="D193" s="761">
        <f>INDEX(база!$D$2:$D$89, MATCH(B198,база!$B$2:$B$50,0))</f>
        <v>3</v>
      </c>
      <c r="E193" s="377">
        <f>IF(D193&lt;=3,база!$I$4,
IF(D193=4,база!$I$5,
IF(D193=5,база!$I$6)))</f>
        <v>188.7912</v>
      </c>
      <c r="F193" s="378">
        <v>1</v>
      </c>
      <c r="G193" s="387">
        <f>SUMIFS(Таблица1[Столбец1],Таблица1[коэф],"1",Таблица1[р/р],"2/4",Таблица1[Ф. И. О.],B198)</f>
        <v>0</v>
      </c>
      <c r="H193" s="402">
        <f t="shared" si="16"/>
        <v>0</v>
      </c>
      <c r="I193" s="381">
        <f>IF(D193&lt;=3,база!$J$4,
IF(D193=4,база!$J$5,
IF(D193=5,база!$J$6)))</f>
        <v>196.05240000000001</v>
      </c>
      <c r="J193" s="378">
        <v>1</v>
      </c>
      <c r="K193" s="428">
        <f>SUMIFS(Таблица1[Столбец1],Таблица1[коэф],"1",Таблица1[р/р],"2/8",Таблица1[Ф. И. О.],B198)</f>
        <v>0</v>
      </c>
      <c r="L193" s="383">
        <f t="shared" si="17"/>
        <v>0</v>
      </c>
      <c r="M193" s="428"/>
      <c r="N193" s="428">
        <v>1</v>
      </c>
      <c r="O193" s="428">
        <f>SUMIFS(Data_Tech!$AM$3:$AM$67,Data_Tech!$E$3:$E$67,"1",Data_Tech!$G$3:$G$67,"3/12",Data_Tech!$F$3:$F$67,B198)</f>
        <v>0</v>
      </c>
      <c r="P193" s="385">
        <f>ROUND(M193*N193*O193,2)</f>
        <v>0</v>
      </c>
      <c r="Q193" s="377">
        <f>IF(D193&lt;=3,база!$L$4,
IF(D193=4,база!$L$5,
IF(D193=5,база!$L$6)))</f>
        <v>210.57480000000001</v>
      </c>
      <c r="R193" s="378">
        <v>1</v>
      </c>
      <c r="S193" s="489">
        <f>SUMIFS(Таблица1[Столбец1],Таблица1[коэф],"1",Таблица1[р/р],"3/16",Таблица1[Ф. И. О.],B198)</f>
        <v>0</v>
      </c>
      <c r="T193" s="490">
        <f t="shared" si="18"/>
        <v>0</v>
      </c>
      <c r="U193" s="462">
        <f>IF(D193&lt;=3,база!$M$4,
IF(D193=4,база!$M$5,
IF(D193=5,база!$M$6)))</f>
        <v>225.09719999999999</v>
      </c>
      <c r="V193" s="378">
        <v>1</v>
      </c>
      <c r="W193" s="497">
        <f>SUMIFS(Таблица1[Столбец1],Таблица1[коэф],"1",Таблица1[р/р],"3/24",Таблица1[Ф. И. О.],B198)</f>
        <v>0</v>
      </c>
      <c r="X193" s="490">
        <f t="shared" si="19"/>
        <v>0</v>
      </c>
      <c r="Y193" s="764">
        <f t="shared" ref="Y193" si="30">SUM(G193:G203,K193:K203,O193:O203,S193:S203,W193:W203)</f>
        <v>0</v>
      </c>
      <c r="Z193" s="766">
        <f t="shared" ref="Z193" si="31">IFERROR(SUM(H193:H203,L193:L203,T193:T203,X193:X203),"")</f>
        <v>0</v>
      </c>
      <c r="AA193" s="756"/>
    </row>
    <row r="194" spans="1:29" ht="18.75">
      <c r="A194" s="756"/>
      <c r="B194" s="215"/>
      <c r="C194" s="759"/>
      <c r="D194" s="762"/>
      <c r="E194" s="389">
        <f>IF(D193&lt;=3,база!$I$4,
IF(D193=4,база!$I$5,
IF(D193=5,база!$I$6)))</f>
        <v>188.7912</v>
      </c>
      <c r="F194" s="390">
        <v>1</v>
      </c>
      <c r="G194" s="400">
        <f>SUMIFS(Таблица1[Столбец1],Таблица1[коэф],"1",Таблица1[р/р],"3/4",Таблица1[Ф. И. О.],B198)</f>
        <v>0</v>
      </c>
      <c r="H194" s="392">
        <f t="shared" si="16"/>
        <v>0</v>
      </c>
      <c r="I194" s="393">
        <f>IF(D193&lt;=3,база!$J$4,
IF(D193=4,база!$J$5,
IF(D193=5,база!$J$6)))</f>
        <v>196.05240000000001</v>
      </c>
      <c r="J194" s="390">
        <v>1</v>
      </c>
      <c r="K194" s="434">
        <f>SUMIFS(Таблица1[Столбец1],Таблица1[коэф],"1",Таблица1[р/р],"3/8",Таблица1[Ф. И. О.],B198)</f>
        <v>0</v>
      </c>
      <c r="L194" s="484">
        <f t="shared" si="17"/>
        <v>0</v>
      </c>
      <c r="M194" s="434"/>
      <c r="N194" s="434">
        <v>1</v>
      </c>
      <c r="O194" s="434">
        <f>SUMIFS(Data_Tech!$AM$3:$AM$67,Data_Tech!$E$3:$E$67,"1",Data_Tech!$G$3:$G$67,"4/12",Data_Tech!$F$3:$F$67,B198)</f>
        <v>0</v>
      </c>
      <c r="P194" s="406">
        <f>ROUND(M194*O194,2)</f>
        <v>0</v>
      </c>
      <c r="Q194" s="389">
        <f>база!$L$5</f>
        <v>231.45480000000001</v>
      </c>
      <c r="R194" s="390">
        <v>1</v>
      </c>
      <c r="S194" s="491">
        <f>SUMIFS(Таблица1[Столбец1],Таблица1[коэф],"1",Таблица1[р/р],"4/16",Таблица1[Ф. И. О.],B198)</f>
        <v>0</v>
      </c>
      <c r="T194" s="492">
        <f t="shared" si="18"/>
        <v>0</v>
      </c>
      <c r="U194" s="410">
        <f>база!$M$5</f>
        <v>247.41720000000001</v>
      </c>
      <c r="V194" s="390">
        <v>1</v>
      </c>
      <c r="W194" s="494">
        <f>SUMIFS(Таблица1[Столбец1],Таблица1[коэф],"1",Таблица1[р/р],"4/24",Таблица1[Ф. И. О.],B198)</f>
        <v>0</v>
      </c>
      <c r="X194" s="492">
        <f t="shared" si="19"/>
        <v>0</v>
      </c>
      <c r="Y194" s="764"/>
      <c r="Z194" s="766"/>
      <c r="AA194" s="756"/>
    </row>
    <row r="195" spans="1:29" ht="18.75">
      <c r="A195" s="756"/>
      <c r="B195" s="215"/>
      <c r="C195" s="759"/>
      <c r="D195" s="762"/>
      <c r="E195" s="389"/>
      <c r="F195" s="390"/>
      <c r="G195" s="400"/>
      <c r="H195" s="392">
        <f t="shared" si="16"/>
        <v>0</v>
      </c>
      <c r="I195" s="393"/>
      <c r="J195" s="390"/>
      <c r="K195" s="434"/>
      <c r="L195" s="484">
        <f t="shared" si="17"/>
        <v>0</v>
      </c>
      <c r="M195" s="434"/>
      <c r="N195" s="434"/>
      <c r="O195" s="434"/>
      <c r="P195" s="406"/>
      <c r="Q195" s="389">
        <f>база!$L$6</f>
        <v>261.04640000000001</v>
      </c>
      <c r="R195" s="390">
        <v>1</v>
      </c>
      <c r="S195" s="491">
        <f>SUMIFS(Таблица1[Столбец1],Таблица1[коэф],"1",Таблица1[р/р],"5/16",Таблица1[Ф. И. О.],B198)</f>
        <v>0</v>
      </c>
      <c r="T195" s="492">
        <f t="shared" si="18"/>
        <v>0</v>
      </c>
      <c r="U195" s="410">
        <f>база!$M$6</f>
        <v>279.0496</v>
      </c>
      <c r="V195" s="390">
        <v>1</v>
      </c>
      <c r="W195" s="494">
        <f>SUMIFS(Таблица1[Столбец1],Таблица1[коэф],"1",Таблица1[р/р],"5/24",Таблица1[Ф. И. О.],B198)</f>
        <v>0</v>
      </c>
      <c r="X195" s="493">
        <f t="shared" si="19"/>
        <v>0</v>
      </c>
      <c r="Y195" s="764"/>
      <c r="Z195" s="766"/>
      <c r="AA195" s="756"/>
    </row>
    <row r="196" spans="1:29" ht="18.75">
      <c r="A196" s="756"/>
      <c r="B196" s="215"/>
      <c r="C196" s="759"/>
      <c r="D196" s="762"/>
      <c r="E196" s="389"/>
      <c r="F196" s="390"/>
      <c r="G196" s="400"/>
      <c r="H196" s="392">
        <f t="shared" si="16"/>
        <v>0</v>
      </c>
      <c r="I196" s="393">
        <f>база!$J$5</f>
        <v>215.4924</v>
      </c>
      <c r="J196" s="390">
        <v>1.5</v>
      </c>
      <c r="K196" s="434">
        <f>SUMIFS(Таблица1[Столбец1],Таблица1[коэф],"1,5",Таблица1[р/р],"4/8",Таблица1[Ф. И. О.],B198)</f>
        <v>0</v>
      </c>
      <c r="L196" s="484">
        <f t="shared" si="17"/>
        <v>0</v>
      </c>
      <c r="M196" s="434"/>
      <c r="N196" s="434"/>
      <c r="O196" s="434"/>
      <c r="P196" s="406"/>
      <c r="Q196" s="389">
        <f>IF(D193&lt;=3,база!$L$4,
IF(D193=4,база!$L$5,
IF(D193=5,база!$L$6)))</f>
        <v>210.57480000000001</v>
      </c>
      <c r="R196" s="390">
        <v>1.2</v>
      </c>
      <c r="S196" s="491">
        <f>SUMIFS(Таблица1[Столбец1],Таблица1[коэф],"1,2",Таблица1[р/р],"3/16",Таблица1[Ф. И. О.],B198)</f>
        <v>0</v>
      </c>
      <c r="T196" s="492">
        <f t="shared" si="18"/>
        <v>0</v>
      </c>
      <c r="U196" s="410">
        <f>IF(D193&lt;=3,база!$M$4,
IF(D193=4,база!$M$5,
IF(D193=5,база!$M$6)))</f>
        <v>225.09719999999999</v>
      </c>
      <c r="V196" s="390">
        <v>1.2</v>
      </c>
      <c r="W196" s="494">
        <f>SUMIFS(Таблица1[Столбец1],Таблица1[коэф],"1,2",Таблица1[р/р],"3/24",Таблица1[Ф. И. О.],B198)</f>
        <v>0</v>
      </c>
      <c r="X196" s="492">
        <f t="shared" si="19"/>
        <v>0</v>
      </c>
      <c r="Y196" s="764"/>
      <c r="Z196" s="766"/>
      <c r="AA196" s="756"/>
    </row>
    <row r="197" spans="1:29" ht="18.75">
      <c r="A197" s="756"/>
      <c r="B197" s="215"/>
      <c r="C197" s="759"/>
      <c r="D197" s="762"/>
      <c r="E197" s="389"/>
      <c r="F197" s="390"/>
      <c r="G197" s="400"/>
      <c r="H197" s="392">
        <f t="shared" si="16"/>
        <v>0</v>
      </c>
      <c r="I197" s="393">
        <f>база!$J$6</f>
        <v>243.04319999999998</v>
      </c>
      <c r="J197" s="390">
        <v>1.5</v>
      </c>
      <c r="K197" s="434">
        <f>SUMIFS(Таблица1[Столбец1],Таблица1[коэф],"1,5",Таблица1[р/р],"5/8",Таблица1[Ф. И. О.],B198)</f>
        <v>0</v>
      </c>
      <c r="L197" s="484">
        <f t="shared" si="17"/>
        <v>0</v>
      </c>
      <c r="M197" s="434"/>
      <c r="N197" s="434"/>
      <c r="O197" s="434"/>
      <c r="P197" s="406"/>
      <c r="Q197" s="389">
        <f>база!$L$5</f>
        <v>231.45480000000001</v>
      </c>
      <c r="R197" s="390">
        <v>1.2</v>
      </c>
      <c r="S197" s="491">
        <f>SUMIFS(Таблица1[Столбец1],Таблица1[коэф],"1,2",Таблица1[р/р],"4/16",Таблица1[Ф. И. О.],B198)</f>
        <v>0</v>
      </c>
      <c r="T197" s="492">
        <f t="shared" si="18"/>
        <v>0</v>
      </c>
      <c r="U197" s="410">
        <f>база!$M$5</f>
        <v>247.41720000000001</v>
      </c>
      <c r="V197" s="390">
        <v>1.2</v>
      </c>
      <c r="W197" s="494">
        <f>SUMIFS(Таблица1[Столбец1],Таблица1[коэф],"1,2",Таблица1[р/р],"4/24",Таблица1[Ф. И. О.],B198)</f>
        <v>0</v>
      </c>
      <c r="X197" s="492">
        <f t="shared" si="19"/>
        <v>0</v>
      </c>
      <c r="Y197" s="764"/>
      <c r="Z197" s="766"/>
      <c r="AA197" s="756"/>
    </row>
    <row r="198" spans="1:29" ht="18.75" customHeight="1">
      <c r="A198" s="756"/>
      <c r="B198" s="215" t="str">
        <f>база!B19</f>
        <v>Егоров Дмитрий Геннадьевич</v>
      </c>
      <c r="C198" s="759"/>
      <c r="D198" s="762"/>
      <c r="E198" s="389"/>
      <c r="F198" s="390"/>
      <c r="G198" s="400"/>
      <c r="H198" s="392">
        <f t="shared" si="16"/>
        <v>0</v>
      </c>
      <c r="I198" s="393"/>
      <c r="J198" s="390"/>
      <c r="K198" s="434"/>
      <c r="L198" s="484">
        <f t="shared" si="17"/>
        <v>0</v>
      </c>
      <c r="M198" s="434"/>
      <c r="N198" s="434"/>
      <c r="O198" s="434"/>
      <c r="P198" s="406"/>
      <c r="Q198" s="389">
        <f>база!$L$6</f>
        <v>261.04640000000001</v>
      </c>
      <c r="R198" s="390">
        <v>1.2</v>
      </c>
      <c r="S198" s="491">
        <f>SUMIFS(Таблица1[Столбец1],Таблица1[коэф],"1,2",Таблица1[р/р],"5/16",Таблица1[Ф. И. О.],B198)</f>
        <v>0</v>
      </c>
      <c r="T198" s="492">
        <f t="shared" si="18"/>
        <v>0</v>
      </c>
      <c r="U198" s="410">
        <f>база!$M$6</f>
        <v>279.0496</v>
      </c>
      <c r="V198" s="390">
        <v>1.2</v>
      </c>
      <c r="W198" s="494">
        <f>SUMIFS(Таблица1[Столбец1],Таблица1[коэф],"1,2",Таблица1[р/р],"5/24",Таблица1[Ф. И. О.],B198)</f>
        <v>0</v>
      </c>
      <c r="X198" s="492">
        <f t="shared" si="19"/>
        <v>0</v>
      </c>
      <c r="Y198" s="764"/>
      <c r="Z198" s="766"/>
      <c r="AA198" s="756"/>
      <c r="AC198" s="712" t="str">
        <f>IF(SUMIFS(Таблица1[Столбец3],Таблица1[Ф. И. О.],B198)-Z193=0,"",SUMIFS(Таблица1[Столбец3],Таблица1[Ф. И. О.],B198)-Z193)</f>
        <v/>
      </c>
    </row>
    <row r="199" spans="1:29" ht="18.75">
      <c r="A199" s="756"/>
      <c r="B199" s="215"/>
      <c r="C199" s="759"/>
      <c r="D199" s="762"/>
      <c r="E199" s="389"/>
      <c r="F199" s="390"/>
      <c r="G199" s="400"/>
      <c r="H199" s="392">
        <f t="shared" ref="H199:H511" si="32">ROUND(E199*F199*G199*2,2)</f>
        <v>0</v>
      </c>
      <c r="I199" s="393"/>
      <c r="J199" s="390"/>
      <c r="K199" s="434"/>
      <c r="L199" s="484">
        <f t="shared" ref="L199:L511" si="33">ROUND(I199*J199*K199*2,2)</f>
        <v>0</v>
      </c>
      <c r="M199" s="434"/>
      <c r="N199" s="434"/>
      <c r="O199" s="434"/>
      <c r="P199" s="406"/>
      <c r="Q199" s="389">
        <f>IF(D193&lt;=3,база!$L$4,
IF(D193=4,база!$L$5,
IF(D193=5,база!$L$6)))</f>
        <v>210.57480000000001</v>
      </c>
      <c r="R199" s="390">
        <v>1.3</v>
      </c>
      <c r="S199" s="491">
        <f>SUMIFS(Таблица1[Столбец1],Таблица1[коэф],"1,3",Таблица1[р/р],"3/16",Таблица1[Ф. И. О.],B198)</f>
        <v>0</v>
      </c>
      <c r="T199" s="492">
        <f t="shared" ref="T199:T511" si="34">ROUND(Q199*R199*S199*2,2)</f>
        <v>0</v>
      </c>
      <c r="U199" s="410">
        <f>IF(D193&lt;=3,база!$M$4,
IF(D193=4,база!$M$5,
IF(D193=5,база!$M$6)))</f>
        <v>225.09719999999999</v>
      </c>
      <c r="V199" s="390">
        <v>1.3</v>
      </c>
      <c r="W199" s="494">
        <f>SUMIFS(Таблица1[Столбец1],Таблица1[коэф],"1,3",Таблица1[р/р],"3/24",Таблица1[Ф. И. О.],B198)</f>
        <v>0</v>
      </c>
      <c r="X199" s="492">
        <f t="shared" ref="X199:X511" si="35">ROUND(U199*V199*W199*2,2)</f>
        <v>0</v>
      </c>
      <c r="Y199" s="764"/>
      <c r="Z199" s="766"/>
      <c r="AA199" s="756"/>
      <c r="AC199" s="712" t="str">
        <f>IF(SUMIFS(Таблица1[Столбец1],Таблица1[Ф. И. О.],B198)=Y193,"",B198&amp;"  часы не верны")</f>
        <v/>
      </c>
    </row>
    <row r="200" spans="1:29" ht="18.75">
      <c r="A200" s="756"/>
      <c r="B200" s="215"/>
      <c r="C200" s="759"/>
      <c r="D200" s="762"/>
      <c r="E200" s="389"/>
      <c r="F200" s="390"/>
      <c r="G200" s="400"/>
      <c r="H200" s="392">
        <f t="shared" si="32"/>
        <v>0</v>
      </c>
      <c r="I200" s="393"/>
      <c r="J200" s="390"/>
      <c r="K200" s="434"/>
      <c r="L200" s="484">
        <f t="shared" si="33"/>
        <v>0</v>
      </c>
      <c r="M200" s="434"/>
      <c r="N200" s="434"/>
      <c r="O200" s="434"/>
      <c r="P200" s="406"/>
      <c r="Q200" s="389">
        <f>база!$L$5</f>
        <v>231.45480000000001</v>
      </c>
      <c r="R200" s="390">
        <v>1.3</v>
      </c>
      <c r="S200" s="491">
        <f>SUMIFS(Таблица1[Столбец1],Таблица1[коэф],"1,3",Таблица1[р/р],"4/16",Таблица1[Ф. И. О.],B198)</f>
        <v>0</v>
      </c>
      <c r="T200" s="492">
        <f t="shared" si="34"/>
        <v>0</v>
      </c>
      <c r="U200" s="410">
        <f>база!$M$5</f>
        <v>247.41720000000001</v>
      </c>
      <c r="V200" s="390">
        <v>1.3</v>
      </c>
      <c r="W200" s="494">
        <f>SUMIFS(Таблица1[Столбец1],Таблица1[коэф],"1,3",Таблица1[р/р],"4/24",Таблица1[Ф. И. О.],B198)</f>
        <v>0</v>
      </c>
      <c r="X200" s="492">
        <f t="shared" si="35"/>
        <v>0</v>
      </c>
      <c r="Y200" s="764"/>
      <c r="Z200" s="766"/>
      <c r="AA200" s="756"/>
    </row>
    <row r="201" spans="1:29" ht="18.75">
      <c r="A201" s="756"/>
      <c r="B201" s="215"/>
      <c r="C201" s="759"/>
      <c r="D201" s="762"/>
      <c r="E201" s="389"/>
      <c r="F201" s="390"/>
      <c r="G201" s="400"/>
      <c r="H201" s="392">
        <f t="shared" si="32"/>
        <v>0</v>
      </c>
      <c r="I201" s="393"/>
      <c r="J201" s="390"/>
      <c r="K201" s="434"/>
      <c r="L201" s="484">
        <f t="shared" si="33"/>
        <v>0</v>
      </c>
      <c r="M201" s="434"/>
      <c r="N201" s="434"/>
      <c r="O201" s="434"/>
      <c r="P201" s="406"/>
      <c r="Q201" s="389">
        <f>IF(D193&lt;=3,база!$L$4,
IF(D193=4,база!$L$5,
IF(D193=5,база!$L$6)))</f>
        <v>210.57480000000001</v>
      </c>
      <c r="R201" s="390">
        <v>1.4</v>
      </c>
      <c r="S201" s="491">
        <f>SUMIFS(Таблица1[Столбец1],Таблица1[коэф],"1,4",Таблица1[р/р],"3/16",Таблица1[Ф. И. О.],B198)</f>
        <v>0</v>
      </c>
      <c r="T201" s="492">
        <f t="shared" si="34"/>
        <v>0</v>
      </c>
      <c r="U201" s="410">
        <f>IF(D193&lt;=3,база!$M$4,
IF(D193=4,база!$M$5,
IF(D193=5,база!$M$6)))</f>
        <v>225.09719999999999</v>
      </c>
      <c r="V201" s="390">
        <v>1.4</v>
      </c>
      <c r="W201" s="494">
        <f>SUMIFS(Таблица1[Столбец1],Таблица1[коэф],"1,4",Таблица1[р/р],"3/24",Таблица1[Ф. И. О.],B198)</f>
        <v>0</v>
      </c>
      <c r="X201" s="492">
        <f t="shared" si="35"/>
        <v>0</v>
      </c>
      <c r="Y201" s="764"/>
      <c r="Z201" s="766"/>
      <c r="AA201" s="756"/>
    </row>
    <row r="202" spans="1:29" ht="18.75">
      <c r="A202" s="756"/>
      <c r="B202" s="215"/>
      <c r="C202" s="759"/>
      <c r="D202" s="762"/>
      <c r="E202" s="389"/>
      <c r="F202" s="390"/>
      <c r="G202" s="400"/>
      <c r="H202" s="392">
        <f t="shared" si="32"/>
        <v>0</v>
      </c>
      <c r="I202" s="393"/>
      <c r="J202" s="390"/>
      <c r="K202" s="434"/>
      <c r="L202" s="484">
        <f t="shared" si="33"/>
        <v>0</v>
      </c>
      <c r="M202" s="434"/>
      <c r="N202" s="434"/>
      <c r="O202" s="434"/>
      <c r="P202" s="406"/>
      <c r="Q202" s="389">
        <f>база!$L$5</f>
        <v>231.45480000000001</v>
      </c>
      <c r="R202" s="390">
        <v>1.4</v>
      </c>
      <c r="S202" s="491">
        <f>SUMIFS(Таблица1[Столбец1],Таблица1[коэф],"1,4",Таблица1[р/р],"4/16",Таблица1[Ф. И. О.],B198)</f>
        <v>0</v>
      </c>
      <c r="T202" s="492">
        <f t="shared" si="34"/>
        <v>0</v>
      </c>
      <c r="U202" s="410">
        <f>база!$M$5</f>
        <v>247.41720000000001</v>
      </c>
      <c r="V202" s="390">
        <v>1.4</v>
      </c>
      <c r="W202" s="494">
        <f>SUMIFS(Таблица1[Столбец1],Таблица1[коэф],"1,4",Таблица1[р/р],"4/24",Таблица1[Ф. И. О.],B198)</f>
        <v>0</v>
      </c>
      <c r="X202" s="492">
        <f t="shared" si="35"/>
        <v>0</v>
      </c>
      <c r="Y202" s="764"/>
      <c r="Z202" s="766"/>
      <c r="AA202" s="756"/>
    </row>
    <row r="203" spans="1:29" ht="19.5" thickBot="1">
      <c r="A203" s="757"/>
      <c r="B203" s="202"/>
      <c r="C203" s="760"/>
      <c r="D203" s="763"/>
      <c r="E203" s="473"/>
      <c r="F203" s="464"/>
      <c r="G203" s="465"/>
      <c r="H203" s="468">
        <f t="shared" si="32"/>
        <v>0</v>
      </c>
      <c r="I203" s="463"/>
      <c r="J203" s="464"/>
      <c r="K203" s="457"/>
      <c r="L203" s="484">
        <f t="shared" si="33"/>
        <v>0</v>
      </c>
      <c r="M203" s="457"/>
      <c r="N203" s="457"/>
      <c r="O203" s="457"/>
      <c r="P203" s="476"/>
      <c r="Q203" s="473">
        <f>база!$L$6</f>
        <v>261.04640000000001</v>
      </c>
      <c r="R203" s="464">
        <v>1.4</v>
      </c>
      <c r="S203" s="512">
        <f>SUMIFS(Таблица1[Столбец1],Таблица1[коэф],"1,4",Таблица1[р/р],"5/16",Таблица1[Ф. И. О.],B198)</f>
        <v>0</v>
      </c>
      <c r="T203" s="492">
        <f t="shared" si="34"/>
        <v>0</v>
      </c>
      <c r="U203" s="469">
        <f>база!$M$6</f>
        <v>279.0496</v>
      </c>
      <c r="V203" s="464">
        <v>1.4</v>
      </c>
      <c r="W203" s="501">
        <f>SUMIFS(Таблица1[Столбец1],Таблица1[коэф],"1,4",Таблица1[р/р],"5/24",Таблица1[Ф. И. О.],B198)</f>
        <v>0</v>
      </c>
      <c r="X203" s="492">
        <f t="shared" si="35"/>
        <v>0</v>
      </c>
      <c r="Y203" s="765"/>
      <c r="Z203" s="767"/>
      <c r="AA203" s="757"/>
    </row>
    <row r="204" spans="1:29" ht="18.75">
      <c r="A204" s="755">
        <v>18</v>
      </c>
      <c r="B204" s="235"/>
      <c r="C204" s="758">
        <f>INDEX(база!$E$2:$E$81, MATCH(B209,база!$B$2:$B$50,0))</f>
        <v>15590</v>
      </c>
      <c r="D204" s="761">
        <f>INDEX(база!$D$2:$D$89, MATCH(B209,база!$B$2:$B$50,0))</f>
        <v>3</v>
      </c>
      <c r="E204" s="451">
        <f>IF(D204&lt;=3,база!$I$4,
IF(D204=4,база!$I$5,
IF(D204=5,база!$I$6)))</f>
        <v>188.7912</v>
      </c>
      <c r="F204" s="417">
        <v>1</v>
      </c>
      <c r="G204" s="418">
        <f>SUMIFS(Таблица1[Столбец1],Таблица1[коэф],"1",Таблица1[р/р],"2/4",Таблица1[Ф. И. О.],B209)</f>
        <v>0</v>
      </c>
      <c r="H204" s="402">
        <f t="shared" si="32"/>
        <v>0</v>
      </c>
      <c r="I204" s="377">
        <f>IF(D204&lt;=3,база!$J$4,
IF(D204=4,база!$J$5,
IF(D204=5,база!$J$6)))</f>
        <v>196.05240000000001</v>
      </c>
      <c r="J204" s="378">
        <v>1</v>
      </c>
      <c r="K204" s="428">
        <f>SUMIFS(Таблица1[Столбец1],Таблица1[коэф],"1",Таблица1[р/р],"2/8",Таблица1[Ф. И. О.],B209)</f>
        <v>0</v>
      </c>
      <c r="L204" s="383">
        <f t="shared" si="33"/>
        <v>0</v>
      </c>
      <c r="M204" s="452"/>
      <c r="N204" s="453">
        <v>1</v>
      </c>
      <c r="O204" s="453">
        <f>SUMIFS(Data_Tech!$AM$3:$AM$67,Data_Tech!$E$3:$E$67,"1",Data_Tech!$G$3:$G$67,"3/12",Data_Tech!$F$3:$F$67,B209)</f>
        <v>0</v>
      </c>
      <c r="P204" s="453">
        <f>ROUND(M204*N204*O204,2)</f>
        <v>0</v>
      </c>
      <c r="Q204" s="416">
        <f>IF(D204&lt;=3,база!$L$4,
IF(D204=4,база!$L$5,
IF(D204=5,база!$L$6)))</f>
        <v>210.57480000000001</v>
      </c>
      <c r="R204" s="417">
        <v>1</v>
      </c>
      <c r="S204" s="495">
        <f>SUMIFS(Таблица1[Столбец1],Таблица1[коэф],"1",Таблица1[р/р],"3/16",Таблица1[Ф. И. О.],B209)</f>
        <v>0</v>
      </c>
      <c r="T204" s="490">
        <f t="shared" si="34"/>
        <v>0</v>
      </c>
      <c r="U204" s="471">
        <f>IF(D204&lt;=3,база!$M$4,
IF(D204=4,база!$M$5,
IF(D204=5,база!$M$6)))</f>
        <v>225.09719999999999</v>
      </c>
      <c r="V204" s="378">
        <v>1</v>
      </c>
      <c r="W204" s="497">
        <f>SUMIFS(Таблица1[Столбец1],Таблица1[коэф],"1",Таблица1[р/р],"3/24",Таблица1[Ф. И. О.],B209)</f>
        <v>0</v>
      </c>
      <c r="X204" s="490">
        <f t="shared" si="35"/>
        <v>0</v>
      </c>
      <c r="Y204" s="764">
        <f t="shared" ref="Y204" si="36">SUM(G204:G214,K204:K214,O204:O214,S204:S214,W204:W214)</f>
        <v>0</v>
      </c>
      <c r="Z204" s="766">
        <f t="shared" ref="Z204" si="37">IFERROR(SUM(H204:H214,L204:L214,T204:T214,X204:X214),"")</f>
        <v>0</v>
      </c>
      <c r="AA204" s="756"/>
    </row>
    <row r="205" spans="1:29" ht="18.75">
      <c r="A205" s="756"/>
      <c r="B205" s="215"/>
      <c r="C205" s="759"/>
      <c r="D205" s="762"/>
      <c r="E205" s="393">
        <f>IF(D204&lt;=3,база!$I$4,
IF(D204=4,база!$I$5,
IF(D204=5,база!$I$6)))</f>
        <v>188.7912</v>
      </c>
      <c r="F205" s="390">
        <v>1</v>
      </c>
      <c r="G205" s="400">
        <f>SUMIFS(Таблица1[Столбец1],Таблица1[коэф],"1",Таблица1[р/р],"3/4",Таблица1[Ф. И. О.],B209)</f>
        <v>0</v>
      </c>
      <c r="H205" s="392">
        <f t="shared" si="32"/>
        <v>0</v>
      </c>
      <c r="I205" s="389">
        <f>IF(D204&lt;=3,база!$J$4,
IF(D204=4,база!$J$5,
IF(D204=5,база!$J$6)))</f>
        <v>196.05240000000001</v>
      </c>
      <c r="J205" s="390">
        <v>1</v>
      </c>
      <c r="K205" s="434">
        <f>SUMIFS(Таблица1[Столбец1],Таблица1[коэф],"1",Таблица1[р/р],"3/8",Таблица1[Ф. И. О.],B209)</f>
        <v>0</v>
      </c>
      <c r="L205" s="484">
        <f t="shared" si="33"/>
        <v>0</v>
      </c>
      <c r="M205" s="432"/>
      <c r="N205" s="434">
        <v>1</v>
      </c>
      <c r="O205" s="434">
        <f>SUMIFS(Data_Tech!$AM$3:$AM$67,Data_Tech!$E$3:$E$67,"1",Data_Tech!$G$3:$G$67,"4/12",Data_Tech!$F$3:$F$67,B209)</f>
        <v>0</v>
      </c>
      <c r="P205" s="434">
        <f>ROUND(M205*O205,2)</f>
        <v>0</v>
      </c>
      <c r="Q205" s="399">
        <f>база!$L$5</f>
        <v>231.45480000000001</v>
      </c>
      <c r="R205" s="390">
        <v>1</v>
      </c>
      <c r="S205" s="491">
        <f>SUMIFS(Таблица1[Столбец1],Таблица1[коэф],"1",Таблица1[р/р],"4/16",Таблица1[Ф. И. О.],B209)</f>
        <v>0</v>
      </c>
      <c r="T205" s="492">
        <f t="shared" si="34"/>
        <v>0</v>
      </c>
      <c r="U205" s="472">
        <f>база!$M$5</f>
        <v>247.41720000000001</v>
      </c>
      <c r="V205" s="390">
        <v>1</v>
      </c>
      <c r="W205" s="494">
        <f>SUMIFS(Таблица1[Столбец1],Таблица1[коэф],"1",Таблица1[р/р],"4/24",Таблица1[Ф. И. О.],B209)</f>
        <v>0</v>
      </c>
      <c r="X205" s="492">
        <f t="shared" si="35"/>
        <v>0</v>
      </c>
      <c r="Y205" s="764"/>
      <c r="Z205" s="766"/>
      <c r="AA205" s="756"/>
    </row>
    <row r="206" spans="1:29" ht="18.75">
      <c r="A206" s="756"/>
      <c r="B206" s="215"/>
      <c r="C206" s="759"/>
      <c r="D206" s="762"/>
      <c r="E206" s="393"/>
      <c r="F206" s="390"/>
      <c r="G206" s="400"/>
      <c r="H206" s="392">
        <f t="shared" si="32"/>
        <v>0</v>
      </c>
      <c r="I206" s="389"/>
      <c r="J206" s="390"/>
      <c r="K206" s="434"/>
      <c r="L206" s="484">
        <f t="shared" si="33"/>
        <v>0</v>
      </c>
      <c r="M206" s="432"/>
      <c r="N206" s="434"/>
      <c r="O206" s="434"/>
      <c r="P206" s="434"/>
      <c r="Q206" s="399">
        <f>база!$L$6</f>
        <v>261.04640000000001</v>
      </c>
      <c r="R206" s="390">
        <v>1</v>
      </c>
      <c r="S206" s="491">
        <f>SUMIFS(Таблица1[Столбец1],Таблица1[коэф],"1",Таблица1[р/р],"5/16",Таблица1[Ф. И. О.],B209)</f>
        <v>0</v>
      </c>
      <c r="T206" s="492">
        <f t="shared" si="34"/>
        <v>0</v>
      </c>
      <c r="U206" s="472">
        <f>база!$M$6</f>
        <v>279.0496</v>
      </c>
      <c r="V206" s="390">
        <v>1</v>
      </c>
      <c r="W206" s="494">
        <f>SUMIFS(Таблица1[Столбец1],Таблица1[коэф],"1",Таблица1[р/р],"5/24",Таблица1[Ф. И. О.],B209)</f>
        <v>0</v>
      </c>
      <c r="X206" s="492">
        <f t="shared" si="35"/>
        <v>0</v>
      </c>
      <c r="Y206" s="764"/>
      <c r="Z206" s="766"/>
      <c r="AA206" s="756"/>
    </row>
    <row r="207" spans="1:29" ht="18.75">
      <c r="A207" s="756"/>
      <c r="B207" s="215"/>
      <c r="C207" s="759"/>
      <c r="D207" s="762"/>
      <c r="E207" s="393"/>
      <c r="F207" s="390"/>
      <c r="G207" s="400"/>
      <c r="H207" s="392">
        <f t="shared" si="32"/>
        <v>0</v>
      </c>
      <c r="I207" s="389">
        <f>база!$J$5</f>
        <v>215.4924</v>
      </c>
      <c r="J207" s="390">
        <v>1.5</v>
      </c>
      <c r="K207" s="434">
        <f>SUMIFS(Таблица1[Столбец1],Таблица1[коэф],"1,5",Таблица1[р/р],"4/8",Таблица1[Ф. И. О.],B209)</f>
        <v>0</v>
      </c>
      <c r="L207" s="484">
        <f t="shared" si="33"/>
        <v>0</v>
      </c>
      <c r="M207" s="432"/>
      <c r="N207" s="434"/>
      <c r="O207" s="434"/>
      <c r="P207" s="434"/>
      <c r="Q207" s="399">
        <f>IF(D204&lt;=3,база!$L$4,
IF(D204=4,база!$L$5,
IF(D204=5,база!$L$6)))</f>
        <v>210.57480000000001</v>
      </c>
      <c r="R207" s="390">
        <v>1.2</v>
      </c>
      <c r="S207" s="491">
        <f>SUMIFS(Таблица1[Столбец1],Таблица1[коэф],"1,2",Таблица1[р/р],"3/16",Таблица1[Ф. И. О.],B209)</f>
        <v>0</v>
      </c>
      <c r="T207" s="492">
        <f t="shared" si="34"/>
        <v>0</v>
      </c>
      <c r="U207" s="472">
        <f>IF(D204&lt;=3,база!$M$4,
IF(D204=4,база!$M$5,
IF(D204=5,база!$M$6)))</f>
        <v>225.09719999999999</v>
      </c>
      <c r="V207" s="390">
        <v>1.2</v>
      </c>
      <c r="W207" s="494">
        <f>SUMIFS(Таблица1[Столбец1],Таблица1[коэф],"1,2",Таблица1[р/р],"3/24",Таблица1[Ф. И. О.],B209)</f>
        <v>0</v>
      </c>
      <c r="X207" s="492">
        <f t="shared" si="35"/>
        <v>0</v>
      </c>
      <c r="Y207" s="764"/>
      <c r="Z207" s="766"/>
      <c r="AA207" s="756"/>
    </row>
    <row r="208" spans="1:29" ht="18.75">
      <c r="A208" s="756"/>
      <c r="B208" s="215"/>
      <c r="C208" s="759"/>
      <c r="D208" s="762"/>
      <c r="E208" s="393"/>
      <c r="F208" s="390"/>
      <c r="G208" s="400"/>
      <c r="H208" s="392">
        <f t="shared" si="32"/>
        <v>0</v>
      </c>
      <c r="I208" s="389">
        <f>база!$J$6</f>
        <v>243.04319999999998</v>
      </c>
      <c r="J208" s="390">
        <v>1.5</v>
      </c>
      <c r="K208" s="434">
        <f>SUMIFS(Таблица1[Столбец1],Таблица1[коэф],"1,5",Таблица1[р/р],"5/8",Таблица1[Ф. И. О.],B209)</f>
        <v>0</v>
      </c>
      <c r="L208" s="484">
        <f t="shared" si="33"/>
        <v>0</v>
      </c>
      <c r="M208" s="432"/>
      <c r="N208" s="434"/>
      <c r="O208" s="434"/>
      <c r="P208" s="434"/>
      <c r="Q208" s="399">
        <f>база!$L$5</f>
        <v>231.45480000000001</v>
      </c>
      <c r="R208" s="390">
        <v>1.2</v>
      </c>
      <c r="S208" s="491">
        <f>SUMIFS(Таблица1[Столбец1],Таблица1[коэф],"1,2",Таблица1[р/р],"4/16",Таблица1[Ф. И. О.],B209)</f>
        <v>0</v>
      </c>
      <c r="T208" s="492">
        <f t="shared" si="34"/>
        <v>0</v>
      </c>
      <c r="U208" s="472">
        <f>база!$M$5</f>
        <v>247.41720000000001</v>
      </c>
      <c r="V208" s="390">
        <v>1.2</v>
      </c>
      <c r="W208" s="494">
        <f>SUMIFS(Таблица1[Столбец1],Таблица1[коэф],"1,2",Таблица1[р/р],"4/24",Таблица1[Ф. И. О.],B209)</f>
        <v>0</v>
      </c>
      <c r="X208" s="492">
        <f t="shared" si="35"/>
        <v>0</v>
      </c>
      <c r="Y208" s="764"/>
      <c r="Z208" s="766"/>
      <c r="AA208" s="756"/>
    </row>
    <row r="209" spans="1:29" ht="18" customHeight="1">
      <c r="A209" s="756"/>
      <c r="B209" s="215" t="str">
        <f>база!B20</f>
        <v>Егорова Татьяна Владимировна</v>
      </c>
      <c r="C209" s="759"/>
      <c r="D209" s="762"/>
      <c r="E209" s="393"/>
      <c r="F209" s="390"/>
      <c r="G209" s="400"/>
      <c r="H209" s="392">
        <f t="shared" si="32"/>
        <v>0</v>
      </c>
      <c r="I209" s="389"/>
      <c r="J209" s="390"/>
      <c r="K209" s="434"/>
      <c r="L209" s="484">
        <f t="shared" si="33"/>
        <v>0</v>
      </c>
      <c r="M209" s="432"/>
      <c r="N209" s="434"/>
      <c r="O209" s="434"/>
      <c r="P209" s="434"/>
      <c r="Q209" s="399">
        <f>база!$L$6</f>
        <v>261.04640000000001</v>
      </c>
      <c r="R209" s="390">
        <v>1.2</v>
      </c>
      <c r="S209" s="491">
        <f>SUMIFS(Таблица1[Столбец1],Таблица1[коэф],"1,2",Таблица1[р/р],"5/16",Таблица1[Ф. И. О.],B209)</f>
        <v>0</v>
      </c>
      <c r="T209" s="492">
        <f t="shared" si="34"/>
        <v>0</v>
      </c>
      <c r="U209" s="472">
        <f>база!$M$6</f>
        <v>279.0496</v>
      </c>
      <c r="V209" s="390">
        <v>1.2</v>
      </c>
      <c r="W209" s="494">
        <f>SUMIFS(Таблица1[Столбец1],Таблица1[коэф],"1,2",Таблица1[р/р],"5/24",Таблица1[Ф. И. О.],B209)</f>
        <v>0</v>
      </c>
      <c r="X209" s="492">
        <f t="shared" si="35"/>
        <v>0</v>
      </c>
      <c r="Y209" s="764"/>
      <c r="Z209" s="766"/>
      <c r="AA209" s="756"/>
      <c r="AC209" s="712" t="str">
        <f>IF(SUMIFS(Таблица1[Столбец3],Таблица1[Ф. И. О.],B209)-Z204=0,"",SUMIFS(Таблица1[Столбец3],Таблица1[Ф. И. О.],B209)-Z204)</f>
        <v/>
      </c>
    </row>
    <row r="210" spans="1:29" ht="18.75">
      <c r="A210" s="756"/>
      <c r="B210" s="215"/>
      <c r="C210" s="759"/>
      <c r="D210" s="762"/>
      <c r="E210" s="393"/>
      <c r="F210" s="390"/>
      <c r="G210" s="400"/>
      <c r="H210" s="392">
        <f t="shared" si="32"/>
        <v>0</v>
      </c>
      <c r="I210" s="389"/>
      <c r="J210" s="390"/>
      <c r="K210" s="434"/>
      <c r="L210" s="484">
        <f t="shared" si="33"/>
        <v>0</v>
      </c>
      <c r="M210" s="432"/>
      <c r="N210" s="434"/>
      <c r="O210" s="434"/>
      <c r="P210" s="434"/>
      <c r="Q210" s="399">
        <f>IF(D204&lt;=3,база!$L$4,
IF(D204=4,база!$L$5,
IF(D204=5,база!$L$6)))</f>
        <v>210.57480000000001</v>
      </c>
      <c r="R210" s="390">
        <v>1.3</v>
      </c>
      <c r="S210" s="491">
        <f>SUMIFS(Таблица1[Столбец1],Таблица1[коэф],"1,3",Таблица1[р/р],"3/16",Таблица1[Ф. И. О.],B209)</f>
        <v>0</v>
      </c>
      <c r="T210" s="492">
        <f t="shared" si="34"/>
        <v>0</v>
      </c>
      <c r="U210" s="472">
        <f>IF(D204&lt;=3,база!$M$4,
IF(D204=4,база!$M$5,
IF(D204=5,база!$M$6)))</f>
        <v>225.09719999999999</v>
      </c>
      <c r="V210" s="390">
        <v>1.3</v>
      </c>
      <c r="W210" s="494">
        <f>SUMIFS(Таблица1[Столбец1],Таблица1[коэф],"1,3",Таблица1[р/р],"3/24",Таблица1[Ф. И. О.],B209)</f>
        <v>0</v>
      </c>
      <c r="X210" s="492">
        <f t="shared" si="35"/>
        <v>0</v>
      </c>
      <c r="Y210" s="764"/>
      <c r="Z210" s="766"/>
      <c r="AA210" s="756"/>
      <c r="AC210" s="712" t="str">
        <f>IF(SUMIFS(Таблица1[Столбец1],Таблица1[Ф. И. О.],B209)=Y204,"",B209&amp;"  часы не верны")</f>
        <v/>
      </c>
    </row>
    <row r="211" spans="1:29" ht="18.75">
      <c r="A211" s="756"/>
      <c r="B211" s="215"/>
      <c r="C211" s="759"/>
      <c r="D211" s="762"/>
      <c r="E211" s="393"/>
      <c r="F211" s="390"/>
      <c r="G211" s="400"/>
      <c r="H211" s="392">
        <f t="shared" si="32"/>
        <v>0</v>
      </c>
      <c r="I211" s="389"/>
      <c r="J211" s="390"/>
      <c r="K211" s="434"/>
      <c r="L211" s="484">
        <f t="shared" si="33"/>
        <v>0</v>
      </c>
      <c r="M211" s="432"/>
      <c r="N211" s="434"/>
      <c r="O211" s="434"/>
      <c r="P211" s="434"/>
      <c r="Q211" s="399">
        <f>база!$L$5</f>
        <v>231.45480000000001</v>
      </c>
      <c r="R211" s="390">
        <v>1.3</v>
      </c>
      <c r="S211" s="491">
        <f>SUMIFS(Таблица1[Столбец1],Таблица1[коэф],"1,3",Таблица1[р/р],"4/16",Таблица1[Ф. И. О.],B209)</f>
        <v>0</v>
      </c>
      <c r="T211" s="492">
        <f t="shared" si="34"/>
        <v>0</v>
      </c>
      <c r="U211" s="472">
        <f>база!$M$5</f>
        <v>247.41720000000001</v>
      </c>
      <c r="V211" s="390">
        <v>1.3</v>
      </c>
      <c r="W211" s="494">
        <f>SUMIFS(Таблица1[Столбец1],Таблица1[коэф],"1,3",Таблица1[р/р],"4/24",Таблица1[Ф. И. О.],B209)</f>
        <v>0</v>
      </c>
      <c r="X211" s="492">
        <f t="shared" si="35"/>
        <v>0</v>
      </c>
      <c r="Y211" s="764"/>
      <c r="Z211" s="766"/>
      <c r="AA211" s="756"/>
    </row>
    <row r="212" spans="1:29" ht="18.75">
      <c r="A212" s="756"/>
      <c r="B212" s="215"/>
      <c r="C212" s="759"/>
      <c r="D212" s="762"/>
      <c r="E212" s="393"/>
      <c r="F212" s="390"/>
      <c r="G212" s="400"/>
      <c r="H212" s="392">
        <f t="shared" si="32"/>
        <v>0</v>
      </c>
      <c r="I212" s="389"/>
      <c r="J212" s="390"/>
      <c r="K212" s="434"/>
      <c r="L212" s="484">
        <f t="shared" si="33"/>
        <v>0</v>
      </c>
      <c r="M212" s="432"/>
      <c r="N212" s="434"/>
      <c r="O212" s="434"/>
      <c r="P212" s="434"/>
      <c r="Q212" s="399">
        <f>IF(D204&lt;=3,база!$L$4,
IF(D204=4,база!$L$5,
IF(D204=5,база!$L$6)))</f>
        <v>210.57480000000001</v>
      </c>
      <c r="R212" s="390">
        <v>1.4</v>
      </c>
      <c r="S212" s="491">
        <f>SUMIFS(Таблица1[Столбец1],Таблица1[коэф],"1,4",Таблица1[р/р],"3/16",Таблица1[Ф. И. О.],B209)</f>
        <v>0</v>
      </c>
      <c r="T212" s="492">
        <f t="shared" si="34"/>
        <v>0</v>
      </c>
      <c r="U212" s="472">
        <f>IF(D204&lt;=3,база!$M$4,
IF(D204=4,база!$M$5,
IF(D204=5,база!$M$6)))</f>
        <v>225.09719999999999</v>
      </c>
      <c r="V212" s="390">
        <v>1.4</v>
      </c>
      <c r="W212" s="494">
        <f>SUMIFS(Таблица1[Столбец1],Таблица1[коэф],"1,4",Таблица1[р/р],"3/24",Таблица1[Ф. И. О.],B209)</f>
        <v>0</v>
      </c>
      <c r="X212" s="492">
        <f t="shared" si="35"/>
        <v>0</v>
      </c>
      <c r="Y212" s="764"/>
      <c r="Z212" s="766"/>
      <c r="AA212" s="756"/>
    </row>
    <row r="213" spans="1:29" ht="18.75">
      <c r="A213" s="756"/>
      <c r="B213" s="215"/>
      <c r="C213" s="759"/>
      <c r="D213" s="762"/>
      <c r="E213" s="393"/>
      <c r="F213" s="390"/>
      <c r="G213" s="400"/>
      <c r="H213" s="392">
        <f t="shared" si="32"/>
        <v>0</v>
      </c>
      <c r="I213" s="389"/>
      <c r="J213" s="390"/>
      <c r="K213" s="434"/>
      <c r="L213" s="395">
        <f t="shared" si="33"/>
        <v>0</v>
      </c>
      <c r="M213" s="432"/>
      <c r="N213" s="434"/>
      <c r="O213" s="434"/>
      <c r="P213" s="434"/>
      <c r="Q213" s="399">
        <f>база!$L$5</f>
        <v>231.45480000000001</v>
      </c>
      <c r="R213" s="390">
        <v>1.4</v>
      </c>
      <c r="S213" s="491">
        <f>SUMIFS(Таблица1[Столбец1],Таблица1[коэф],"1,4",Таблица1[р/р],"4/16",Таблица1[Ф. И. О.],B209)</f>
        <v>0</v>
      </c>
      <c r="T213" s="492">
        <f t="shared" si="34"/>
        <v>0</v>
      </c>
      <c r="U213" s="472">
        <f>база!$M$5</f>
        <v>247.41720000000001</v>
      </c>
      <c r="V213" s="390">
        <v>1.4</v>
      </c>
      <c r="W213" s="494">
        <f>SUMIFS(Таблица1[Столбец1],Таблица1[коэф],"1,4",Таблица1[р/р],"4/24",Таблица1[Ф. И. О.],B209)</f>
        <v>0</v>
      </c>
      <c r="X213" s="492">
        <f t="shared" si="35"/>
        <v>0</v>
      </c>
      <c r="Y213" s="764"/>
      <c r="Z213" s="766"/>
      <c r="AA213" s="756"/>
    </row>
    <row r="214" spans="1:29" ht="19.5" thickBot="1">
      <c r="A214" s="757"/>
      <c r="B214" s="202"/>
      <c r="C214" s="760"/>
      <c r="D214" s="763"/>
      <c r="E214" s="463"/>
      <c r="F214" s="464"/>
      <c r="G214" s="465"/>
      <c r="H214" s="468">
        <f t="shared" si="32"/>
        <v>0</v>
      </c>
      <c r="I214" s="473"/>
      <c r="J214" s="464"/>
      <c r="K214" s="457"/>
      <c r="L214" s="484">
        <f t="shared" si="33"/>
        <v>0</v>
      </c>
      <c r="M214" s="466"/>
      <c r="N214" s="457"/>
      <c r="O214" s="457"/>
      <c r="P214" s="457"/>
      <c r="Q214" s="467">
        <f>база!$L$6</f>
        <v>261.04640000000001</v>
      </c>
      <c r="R214" s="464">
        <v>1.4</v>
      </c>
      <c r="S214" s="512">
        <f>SUMIFS(Таблица1[Столбец1],Таблица1[коэф],"1,4",Таблица1[р/р],"5/16",Таблица1[Ф. И. О.],B209)</f>
        <v>0</v>
      </c>
      <c r="T214" s="492">
        <f t="shared" si="34"/>
        <v>0</v>
      </c>
      <c r="U214" s="474">
        <f>база!$M$6</f>
        <v>279.0496</v>
      </c>
      <c r="V214" s="464">
        <v>1.4</v>
      </c>
      <c r="W214" s="501">
        <f>SUMIFS(Таблица1[Столбец1],Таблица1[коэф],"1,4",Таблица1[р/р],"5/24",Таблица1[Ф. И. О.],B209)</f>
        <v>0</v>
      </c>
      <c r="X214" s="492">
        <f t="shared" si="35"/>
        <v>0</v>
      </c>
      <c r="Y214" s="765"/>
      <c r="Z214" s="767"/>
      <c r="AA214" s="757"/>
    </row>
    <row r="215" spans="1:29" ht="18.75">
      <c r="A215" s="755">
        <v>20</v>
      </c>
      <c r="B215" s="215"/>
      <c r="C215" s="758">
        <f>INDEX(база!$E$2:$E$81, MATCH(B220,база!$B$2:$B$50,0))</f>
        <v>16771</v>
      </c>
      <c r="D215" s="761">
        <f>INDEX(база!$D$2:$D$89, MATCH(B220,база!$B$2:$B$50,0))</f>
        <v>3</v>
      </c>
      <c r="E215" s="451">
        <f>IF(D215&lt;=3,база!$I$4,
IF(D215=4,база!$I$5,
IF(D215=5,база!$I$6)))</f>
        <v>188.7912</v>
      </c>
      <c r="F215" s="417">
        <v>1</v>
      </c>
      <c r="G215" s="418">
        <f>SUMIFS(Таблица1[Столбец1],Таблица1[коэф],"1",Таблица1[р/р],"2/4",Таблица1[Ф. И. О.],B220)</f>
        <v>0</v>
      </c>
      <c r="H215" s="402">
        <f t="shared" si="32"/>
        <v>0</v>
      </c>
      <c r="I215" s="481">
        <f>IF(D215&lt;=3,база!$J$4,
IF(D215=4,база!$J$5,
IF(D215=5,база!$J$6)))</f>
        <v>196.05240000000001</v>
      </c>
      <c r="J215" s="417">
        <v>1</v>
      </c>
      <c r="K215" s="453">
        <f>SUMIFS(Таблица1[Столбец1],Таблица1[коэф],"1",Таблица1[р/р],"2/8",Таблица1[Ф. И. О.],B220)</f>
        <v>0</v>
      </c>
      <c r="L215" s="383">
        <f t="shared" si="33"/>
        <v>0</v>
      </c>
      <c r="M215" s="452"/>
      <c r="N215" s="453">
        <v>1</v>
      </c>
      <c r="O215" s="453">
        <f>SUMIFS(Data_Tech!$AM$3:$AM$67,Data_Tech!$E$3:$E$67,"1",Data_Tech!$G$3:$G$67,"3/12",Data_Tech!$F$3:$F$67,B220)</f>
        <v>0</v>
      </c>
      <c r="P215" s="453">
        <f>ROUND(M215*N215*O215,2)</f>
        <v>0</v>
      </c>
      <c r="Q215" s="416">
        <f>IF(D215&lt;=3,база!$L$4,
IF(D215=4,база!$L$5,
IF(D215=5,база!$L$6)))</f>
        <v>210.57480000000001</v>
      </c>
      <c r="R215" s="417">
        <v>1</v>
      </c>
      <c r="S215" s="495">
        <f>SUMIFS(Таблица1[Столбец1],Таблица1[коэф],"1",Таблица1[р/р],"3/16",Таблица1[Ф. И. О.],B220)</f>
        <v>0</v>
      </c>
      <c r="T215" s="490">
        <f t="shared" si="34"/>
        <v>0</v>
      </c>
      <c r="U215" s="485">
        <f>IF(D215&lt;=3,база!$M$4,
IF(D215=4,база!$M$5,
IF(D215=5,база!$M$6)))</f>
        <v>225.09719999999999</v>
      </c>
      <c r="V215" s="417">
        <v>1</v>
      </c>
      <c r="W215" s="500">
        <f>SUMIFS(Таблица1[Столбец1],Таблица1[коэф],"1",Таблица1[р/р],"3/24",Таблица1[Ф. И. О.],B220)</f>
        <v>0</v>
      </c>
      <c r="X215" s="490">
        <f t="shared" si="35"/>
        <v>0</v>
      </c>
      <c r="Y215" s="764">
        <f t="shared" ref="Y215" si="38">SUM(G215:G225,K215:K225,O215:O225,S215:S225,W215:W225)</f>
        <v>0</v>
      </c>
      <c r="Z215" s="766">
        <f t="shared" ref="Z215" si="39">IFERROR(SUM(H215:H225,L215:L225,T215:T225,X215:X225),"")</f>
        <v>0</v>
      </c>
      <c r="AA215" s="756"/>
    </row>
    <row r="216" spans="1:29" ht="18.75">
      <c r="A216" s="756"/>
      <c r="B216" s="215"/>
      <c r="C216" s="759"/>
      <c r="D216" s="762"/>
      <c r="E216" s="393">
        <f>IF(D215&lt;=3,база!$I$4,
IF(D215=4,база!$I$5,
IF(D215=5,база!$I$6)))</f>
        <v>188.7912</v>
      </c>
      <c r="F216" s="390">
        <v>1</v>
      </c>
      <c r="G216" s="400">
        <f>SUMIFS(Таблица1[Столбец1],Таблица1[коэф],"1",Таблица1[р/р],"3/4",Таблица1[Ф. И. О.],B220)</f>
        <v>0</v>
      </c>
      <c r="H216" s="392">
        <f t="shared" si="32"/>
        <v>0</v>
      </c>
      <c r="I216" s="389">
        <f>IF(D215&lt;=3,база!$J$4,
IF(D215=4,база!$J$5,
IF(D215=5,база!$J$6)))</f>
        <v>196.05240000000001</v>
      </c>
      <c r="J216" s="390">
        <v>1</v>
      </c>
      <c r="K216" s="434">
        <f>SUMIFS(Таблица1[Столбец1],Таблица1[коэф],"1",Таблица1[р/р],"3/8",Таблица1[Ф. И. О.],B220)</f>
        <v>0</v>
      </c>
      <c r="L216" s="484">
        <f t="shared" si="33"/>
        <v>0</v>
      </c>
      <c r="M216" s="432"/>
      <c r="N216" s="434">
        <v>1</v>
      </c>
      <c r="O216" s="434">
        <f>SUMIFS(Data_Tech!$AM$3:$AM$67,Data_Tech!$E$3:$E$67,"1",Data_Tech!$G$3:$G$67,"4/12",Data_Tech!$F$3:$F$67,B220)</f>
        <v>0</v>
      </c>
      <c r="P216" s="434">
        <f>ROUND(M216*O216,2)</f>
        <v>0</v>
      </c>
      <c r="Q216" s="399">
        <f>база!$L$5</f>
        <v>231.45480000000001</v>
      </c>
      <c r="R216" s="390">
        <v>1</v>
      </c>
      <c r="S216" s="491">
        <f>SUMIFS(Таблица1[Столбец1],Таблица1[коэф],"1",Таблица1[р/р],"4/16",Таблица1[Ф. И. О.],B220)</f>
        <v>0</v>
      </c>
      <c r="T216" s="492">
        <f t="shared" si="34"/>
        <v>0</v>
      </c>
      <c r="U216" s="472">
        <f>база!$M$5</f>
        <v>247.41720000000001</v>
      </c>
      <c r="V216" s="390">
        <v>1</v>
      </c>
      <c r="W216" s="494">
        <f>SUMIFS(Таблица1[Столбец1],Таблица1[коэф],"1",Таблица1[р/р],"4/24",Таблица1[Ф. И. О.],B220)</f>
        <v>0</v>
      </c>
      <c r="X216" s="492">
        <f t="shared" si="35"/>
        <v>0</v>
      </c>
      <c r="Y216" s="764"/>
      <c r="Z216" s="766"/>
      <c r="AA216" s="756"/>
    </row>
    <row r="217" spans="1:29" ht="18.75">
      <c r="A217" s="756"/>
      <c r="B217" s="215"/>
      <c r="C217" s="759"/>
      <c r="D217" s="762"/>
      <c r="E217" s="393"/>
      <c r="F217" s="390"/>
      <c r="G217" s="400"/>
      <c r="H217" s="392">
        <f t="shared" si="32"/>
        <v>0</v>
      </c>
      <c r="I217" s="389"/>
      <c r="J217" s="390"/>
      <c r="K217" s="434"/>
      <c r="L217" s="484">
        <f t="shared" si="33"/>
        <v>0</v>
      </c>
      <c r="M217" s="432"/>
      <c r="N217" s="434"/>
      <c r="O217" s="434"/>
      <c r="P217" s="434"/>
      <c r="Q217" s="399">
        <f>база!$L$6</f>
        <v>261.04640000000001</v>
      </c>
      <c r="R217" s="390">
        <v>1</v>
      </c>
      <c r="S217" s="491">
        <f>SUMIFS(Таблица1[Столбец1],Таблица1[коэф],"1",Таблица1[р/р],"5/16",Таблица1[Ф. И. О.],B220)</f>
        <v>0</v>
      </c>
      <c r="T217" s="492">
        <f t="shared" si="34"/>
        <v>0</v>
      </c>
      <c r="U217" s="472">
        <f>база!$M$6</f>
        <v>279.0496</v>
      </c>
      <c r="V217" s="390">
        <v>1</v>
      </c>
      <c r="W217" s="494">
        <f>SUMIFS(Таблица1[Столбец1],Таблица1[коэф],"1",Таблица1[р/р],"5/24",Таблица1[Ф. И. О.],B220)</f>
        <v>0</v>
      </c>
      <c r="X217" s="492">
        <f t="shared" si="35"/>
        <v>0</v>
      </c>
      <c r="Y217" s="764"/>
      <c r="Z217" s="766"/>
      <c r="AA217" s="756"/>
    </row>
    <row r="218" spans="1:29" ht="18.75">
      <c r="A218" s="756"/>
      <c r="B218" s="215"/>
      <c r="C218" s="759"/>
      <c r="D218" s="762"/>
      <c r="E218" s="393"/>
      <c r="F218" s="390"/>
      <c r="G218" s="400"/>
      <c r="H218" s="392">
        <f t="shared" si="32"/>
        <v>0</v>
      </c>
      <c r="I218" s="389">
        <f>база!$J$5</f>
        <v>215.4924</v>
      </c>
      <c r="J218" s="390">
        <v>1.5</v>
      </c>
      <c r="K218" s="434">
        <f>SUMIFS(Таблица1[Столбец1],Таблица1[коэф],"1,5",Таблица1[р/р],"4/8",Таблица1[Ф. И. О.],B220)</f>
        <v>0</v>
      </c>
      <c r="L218" s="484">
        <f t="shared" si="33"/>
        <v>0</v>
      </c>
      <c r="M218" s="432"/>
      <c r="N218" s="434"/>
      <c r="O218" s="434"/>
      <c r="P218" s="434"/>
      <c r="Q218" s="399">
        <f>IF(D215&lt;=3,база!$L$4,
IF(D215=4,база!$L$5,
IF(D215=5,база!$L$6)))</f>
        <v>210.57480000000001</v>
      </c>
      <c r="R218" s="390">
        <v>1.2</v>
      </c>
      <c r="S218" s="491">
        <f>SUMIFS(Таблица1[Столбец1],Таблица1[коэф],"1,2",Таблица1[р/р],"3/16",Таблица1[Ф. И. О.],B220)</f>
        <v>0</v>
      </c>
      <c r="T218" s="492">
        <f t="shared" si="34"/>
        <v>0</v>
      </c>
      <c r="U218" s="472">
        <f>IF(D215&lt;=3,база!$M$4,
IF(D215=4,база!$M$5,
IF(D215=5,база!$M$6)))</f>
        <v>225.09719999999999</v>
      </c>
      <c r="V218" s="390">
        <v>1.2</v>
      </c>
      <c r="W218" s="494">
        <f>SUMIFS(Таблица1[Столбец1],Таблица1[коэф],"1,2",Таблица1[р/р],"3/24",Таблица1[Ф. И. О.],B220)</f>
        <v>0</v>
      </c>
      <c r="X218" s="492">
        <f t="shared" si="35"/>
        <v>0</v>
      </c>
      <c r="Y218" s="764"/>
      <c r="Z218" s="766"/>
      <c r="AA218" s="756"/>
    </row>
    <row r="219" spans="1:29" ht="18.75">
      <c r="A219" s="756"/>
      <c r="B219" s="215"/>
      <c r="C219" s="759"/>
      <c r="D219" s="762"/>
      <c r="E219" s="393"/>
      <c r="F219" s="390"/>
      <c r="G219" s="400"/>
      <c r="H219" s="392">
        <f t="shared" si="32"/>
        <v>0</v>
      </c>
      <c r="I219" s="389">
        <f>база!$J$6</f>
        <v>243.04319999999998</v>
      </c>
      <c r="J219" s="390">
        <v>1.5</v>
      </c>
      <c r="K219" s="434">
        <f>SUMIFS(Таблица1[Столбец1],Таблица1[коэф],"1,5",Таблица1[р/р],"5/8",Таблица1[Ф. И. О.],B220)</f>
        <v>0</v>
      </c>
      <c r="L219" s="484">
        <f t="shared" si="33"/>
        <v>0</v>
      </c>
      <c r="M219" s="432"/>
      <c r="N219" s="434"/>
      <c r="O219" s="434"/>
      <c r="P219" s="434"/>
      <c r="Q219" s="399">
        <f>база!$L$5</f>
        <v>231.45480000000001</v>
      </c>
      <c r="R219" s="390">
        <v>1.2</v>
      </c>
      <c r="S219" s="491">
        <f>SUMIFS(Таблица1[Столбец1],Таблица1[коэф],"1,2",Таблица1[р/р],"4/16",Таблица1[Ф. И. О.],B220)</f>
        <v>0</v>
      </c>
      <c r="T219" s="492">
        <f t="shared" si="34"/>
        <v>0</v>
      </c>
      <c r="U219" s="472">
        <f>база!$M$5</f>
        <v>247.41720000000001</v>
      </c>
      <c r="V219" s="390">
        <v>1.2</v>
      </c>
      <c r="W219" s="494">
        <f>SUMIFS(Таблица1[Столбец1],Таблица1[коэф],"1,2",Таблица1[р/р],"4/24",Таблица1[Ф. И. О.],B220)</f>
        <v>0</v>
      </c>
      <c r="X219" s="492">
        <f t="shared" si="35"/>
        <v>0</v>
      </c>
      <c r="Y219" s="764"/>
      <c r="Z219" s="766"/>
      <c r="AA219" s="756"/>
    </row>
    <row r="220" spans="1:29" ht="22.5" customHeight="1">
      <c r="A220" s="756"/>
      <c r="B220" s="215" t="str">
        <f>база!B21</f>
        <v>Елькина Татьяна Владимировна</v>
      </c>
      <c r="C220" s="759"/>
      <c r="D220" s="762"/>
      <c r="E220" s="393"/>
      <c r="F220" s="390"/>
      <c r="G220" s="400"/>
      <c r="H220" s="392">
        <f t="shared" si="32"/>
        <v>0</v>
      </c>
      <c r="I220" s="389"/>
      <c r="J220" s="390"/>
      <c r="K220" s="434"/>
      <c r="L220" s="484">
        <f t="shared" si="33"/>
        <v>0</v>
      </c>
      <c r="M220" s="432"/>
      <c r="N220" s="434"/>
      <c r="O220" s="434"/>
      <c r="P220" s="434"/>
      <c r="Q220" s="399">
        <f>база!$L$6</f>
        <v>261.04640000000001</v>
      </c>
      <c r="R220" s="390">
        <v>1.2</v>
      </c>
      <c r="S220" s="491">
        <f>SUMIFS(Таблица1[Столбец1],Таблица1[коэф],"1,2",Таблица1[р/р],"5/16",Таблица1[Ф. И. О.],B220)</f>
        <v>0</v>
      </c>
      <c r="T220" s="492">
        <f t="shared" si="34"/>
        <v>0</v>
      </c>
      <c r="U220" s="472">
        <f>база!$M$6</f>
        <v>279.0496</v>
      </c>
      <c r="V220" s="390">
        <v>1.2</v>
      </c>
      <c r="W220" s="494">
        <f>SUMIFS(Таблица1[Столбец1],Таблица1[коэф],"1,2",Таблица1[р/р],"5/24",Таблица1[Ф. И. О.],B220)</f>
        <v>0</v>
      </c>
      <c r="X220" s="492">
        <f t="shared" si="35"/>
        <v>0</v>
      </c>
      <c r="Y220" s="764"/>
      <c r="Z220" s="766"/>
      <c r="AA220" s="756"/>
      <c r="AC220" s="712" t="str">
        <f>IF(SUMIFS(Таблица1[Столбец3],Таблица1[Ф. И. О.],B220)-Z215=0,"",SUMIFS(Таблица1[Столбец3],Таблица1[Ф. И. О.],B220)-Z215)</f>
        <v/>
      </c>
    </row>
    <row r="221" spans="1:29" ht="18.75">
      <c r="A221" s="756"/>
      <c r="B221" s="215"/>
      <c r="C221" s="759"/>
      <c r="D221" s="762"/>
      <c r="E221" s="393"/>
      <c r="F221" s="390"/>
      <c r="G221" s="400"/>
      <c r="H221" s="392">
        <f t="shared" si="32"/>
        <v>0</v>
      </c>
      <c r="I221" s="389"/>
      <c r="J221" s="390"/>
      <c r="K221" s="434"/>
      <c r="L221" s="484">
        <f t="shared" si="33"/>
        <v>0</v>
      </c>
      <c r="M221" s="432"/>
      <c r="N221" s="434"/>
      <c r="O221" s="434"/>
      <c r="P221" s="434"/>
      <c r="Q221" s="399">
        <f>IF(D215&lt;=3,база!$L$4,
IF(D215=4,база!$L$5,
IF(D215=5,база!$L$6)))</f>
        <v>210.57480000000001</v>
      </c>
      <c r="R221" s="390">
        <v>1.3</v>
      </c>
      <c r="S221" s="491">
        <f>SUMIFS(Таблица1[Столбец1],Таблица1[коэф],"1,3",Таблица1[р/р],"3/16",Таблица1[Ф. И. О.],B220)</f>
        <v>0</v>
      </c>
      <c r="T221" s="492">
        <f t="shared" si="34"/>
        <v>0</v>
      </c>
      <c r="U221" s="472">
        <f>IF(D215&lt;=3,база!$M$4,
IF(D215=4,база!$M$5,
IF(D215=5,база!$M$6)))</f>
        <v>225.09719999999999</v>
      </c>
      <c r="V221" s="390">
        <v>1.3</v>
      </c>
      <c r="W221" s="494">
        <f>SUMIFS(Таблица1[Столбец1],Таблица1[коэф],"1,3",Таблица1[р/р],"3/24",Таблица1[Ф. И. О.],B220)</f>
        <v>0</v>
      </c>
      <c r="X221" s="492">
        <f t="shared" si="35"/>
        <v>0</v>
      </c>
      <c r="Y221" s="764"/>
      <c r="Z221" s="766"/>
      <c r="AA221" s="756"/>
      <c r="AC221" s="712" t="str">
        <f>IF(SUMIFS(Таблица1[Столбец1],Таблица1[Ф. И. О.],B220)=Y215,"",B220&amp;"  часы не верны")</f>
        <v/>
      </c>
    </row>
    <row r="222" spans="1:29" ht="18.75">
      <c r="A222" s="756"/>
      <c r="B222" s="215"/>
      <c r="C222" s="759"/>
      <c r="D222" s="762"/>
      <c r="E222" s="393"/>
      <c r="F222" s="390"/>
      <c r="G222" s="400"/>
      <c r="H222" s="392">
        <f t="shared" si="32"/>
        <v>0</v>
      </c>
      <c r="I222" s="389"/>
      <c r="J222" s="390"/>
      <c r="K222" s="434"/>
      <c r="L222" s="484">
        <f t="shared" si="33"/>
        <v>0</v>
      </c>
      <c r="M222" s="432"/>
      <c r="N222" s="434"/>
      <c r="O222" s="434"/>
      <c r="P222" s="434"/>
      <c r="Q222" s="399">
        <f>база!$L$5</f>
        <v>231.45480000000001</v>
      </c>
      <c r="R222" s="390">
        <v>1.3</v>
      </c>
      <c r="S222" s="491">
        <f>SUMIFS(Таблица1[Столбец1],Таблица1[коэф],"1,3",Таблица1[р/р],"4/16",Таблица1[Ф. И. О.],B220)</f>
        <v>0</v>
      </c>
      <c r="T222" s="492">
        <f t="shared" si="34"/>
        <v>0</v>
      </c>
      <c r="U222" s="472">
        <f>база!$M$5</f>
        <v>247.41720000000001</v>
      </c>
      <c r="V222" s="390">
        <v>1.3</v>
      </c>
      <c r="W222" s="494">
        <f>SUMIFS(Таблица1[Столбец1],Таблица1[коэф],"1,3",Таблица1[р/р],"4/24",Таблица1[Ф. И. О.],B220)</f>
        <v>0</v>
      </c>
      <c r="X222" s="492">
        <f t="shared" si="35"/>
        <v>0</v>
      </c>
      <c r="Y222" s="764"/>
      <c r="Z222" s="766"/>
      <c r="AA222" s="756"/>
    </row>
    <row r="223" spans="1:29" ht="18.75">
      <c r="A223" s="756"/>
      <c r="B223" s="215"/>
      <c r="C223" s="759"/>
      <c r="D223" s="762"/>
      <c r="E223" s="393"/>
      <c r="F223" s="390"/>
      <c r="G223" s="400"/>
      <c r="H223" s="392">
        <f t="shared" si="32"/>
        <v>0</v>
      </c>
      <c r="I223" s="389"/>
      <c r="J223" s="390"/>
      <c r="K223" s="434"/>
      <c r="L223" s="484">
        <f t="shared" si="33"/>
        <v>0</v>
      </c>
      <c r="M223" s="432"/>
      <c r="N223" s="434"/>
      <c r="O223" s="434"/>
      <c r="P223" s="434"/>
      <c r="Q223" s="399">
        <f>IF(D215&lt;=3,база!$L$4,
IF(D215=4,база!$L$5,
IF(D215=5,база!$L$6)))</f>
        <v>210.57480000000001</v>
      </c>
      <c r="R223" s="390">
        <v>1.4</v>
      </c>
      <c r="S223" s="491">
        <f>SUMIFS(Таблица1[Столбец1],Таблица1[коэф],"1,4",Таблица1[р/р],"3/16",Таблица1[Ф. И. О.],B220)</f>
        <v>0</v>
      </c>
      <c r="T223" s="492">
        <f t="shared" si="34"/>
        <v>0</v>
      </c>
      <c r="U223" s="472">
        <f>IF(D215&lt;=3,база!$M$4,
IF(D215=4,база!$M$5,
IF(D215=5,база!$M$6)))</f>
        <v>225.09719999999999</v>
      </c>
      <c r="V223" s="390">
        <v>1.4</v>
      </c>
      <c r="W223" s="494">
        <f>SUMIFS(Таблица1[Столбец1],Таблица1[коэф],"1,4",Таблица1[р/р],"3/24",Таблица1[Ф. И. О.],B220)</f>
        <v>0</v>
      </c>
      <c r="X223" s="492">
        <f t="shared" si="35"/>
        <v>0</v>
      </c>
      <c r="Y223" s="764"/>
      <c r="Z223" s="766"/>
      <c r="AA223" s="756"/>
    </row>
    <row r="224" spans="1:29" ht="18.75">
      <c r="A224" s="756"/>
      <c r="B224" s="215"/>
      <c r="C224" s="759"/>
      <c r="D224" s="762"/>
      <c r="E224" s="393"/>
      <c r="F224" s="390"/>
      <c r="G224" s="400"/>
      <c r="H224" s="392">
        <f t="shared" si="32"/>
        <v>0</v>
      </c>
      <c r="I224" s="389"/>
      <c r="J224" s="390"/>
      <c r="K224" s="434"/>
      <c r="L224" s="484">
        <f t="shared" si="33"/>
        <v>0</v>
      </c>
      <c r="M224" s="432"/>
      <c r="N224" s="434"/>
      <c r="O224" s="434"/>
      <c r="P224" s="434"/>
      <c r="Q224" s="399">
        <f>база!$L$5</f>
        <v>231.45480000000001</v>
      </c>
      <c r="R224" s="390">
        <v>1.4</v>
      </c>
      <c r="S224" s="491">
        <f>SUMIFS(Таблица1[Столбец1],Таблица1[коэф],"1,4",Таблица1[р/р],"4/16",Таблица1[Ф. И. О.],B220)</f>
        <v>0</v>
      </c>
      <c r="T224" s="492">
        <f t="shared" si="34"/>
        <v>0</v>
      </c>
      <c r="U224" s="472">
        <f>база!$M$5</f>
        <v>247.41720000000001</v>
      </c>
      <c r="V224" s="390">
        <v>1.4</v>
      </c>
      <c r="W224" s="494">
        <f>SUMIFS(Таблица1[Столбец1],Таблица1[коэф],"1,4",Таблица1[р/р],"4/24",Таблица1[Ф. И. О.],B220)</f>
        <v>0</v>
      </c>
      <c r="X224" s="492">
        <f t="shared" si="35"/>
        <v>0</v>
      </c>
      <c r="Y224" s="764"/>
      <c r="Z224" s="766"/>
      <c r="AA224" s="756"/>
    </row>
    <row r="225" spans="1:29" ht="19.5" thickBot="1">
      <c r="A225" s="757"/>
      <c r="B225" s="215"/>
      <c r="C225" s="760"/>
      <c r="D225" s="763"/>
      <c r="E225" s="422"/>
      <c r="F225" s="403"/>
      <c r="G225" s="408"/>
      <c r="H225" s="468">
        <f t="shared" si="32"/>
        <v>0</v>
      </c>
      <c r="I225" s="420"/>
      <c r="J225" s="403"/>
      <c r="K225" s="460"/>
      <c r="L225" s="458">
        <f t="shared" si="33"/>
        <v>0</v>
      </c>
      <c r="M225" s="459"/>
      <c r="N225" s="460"/>
      <c r="O225" s="460"/>
      <c r="P225" s="460"/>
      <c r="Q225" s="407">
        <f>база!$L$6</f>
        <v>261.04640000000001</v>
      </c>
      <c r="R225" s="403">
        <v>1.4</v>
      </c>
      <c r="S225" s="507">
        <f>SUMIFS(Таблица1[Столбец1],Таблица1[коэф],"1,4",Таблица1[р/р],"5/16",Таблица1[Ф. И. О.],B220)</f>
        <v>0</v>
      </c>
      <c r="T225" s="492">
        <f t="shared" si="34"/>
        <v>0</v>
      </c>
      <c r="U225" s="482">
        <f>база!$M$6</f>
        <v>279.0496</v>
      </c>
      <c r="V225" s="403">
        <v>1.4</v>
      </c>
      <c r="W225" s="496">
        <f>SUMIFS(Таблица1[Столбец1],Таблица1[коэф],"1,4",Таблица1[р/р],"5/24",Таблица1[Ф. И. О.],B220)</f>
        <v>0</v>
      </c>
      <c r="X225" s="492">
        <f t="shared" si="35"/>
        <v>0</v>
      </c>
      <c r="Y225" s="765"/>
      <c r="Z225" s="767"/>
      <c r="AA225" s="757"/>
    </row>
    <row r="226" spans="1:29" ht="18.75">
      <c r="A226" s="755">
        <v>21</v>
      </c>
      <c r="B226" s="235"/>
      <c r="C226" s="758">
        <f>INDEX(база!$E$2:$E$81, MATCH(B231,база!$B$2:$B$50,0))</f>
        <v>0</v>
      </c>
      <c r="D226" s="761">
        <f>INDEX(база!$D$2:$D$89, MATCH(B231,база!$B$2:$B$50,0))</f>
        <v>3</v>
      </c>
      <c r="E226" s="381">
        <f>IF(D226&lt;=3,база!$I$4,
IF(D226=4,база!$I$5,
IF(D226=5,база!$I$6)))</f>
        <v>188.7912</v>
      </c>
      <c r="F226" s="378">
        <v>1</v>
      </c>
      <c r="G226" s="387">
        <f>SUMIFS(Таблица1[Столбец1],Таблица1[коэф],"1",Таблица1[р/р],"2/4",Таблица1[Ф. И. О.],B231)</f>
        <v>0</v>
      </c>
      <c r="H226" s="402">
        <f t="shared" si="32"/>
        <v>0</v>
      </c>
      <c r="I226" s="377">
        <f>IF(D226&lt;=3,база!$J$4,
IF(D226=4,база!$J$5,
IF(D226=5,база!$J$6)))</f>
        <v>196.05240000000001</v>
      </c>
      <c r="J226" s="378">
        <v>1</v>
      </c>
      <c r="K226" s="428">
        <f>SUMIFS(Таблица1[Столбец1],Таблица1[коэф],"1",Таблица1[р/р],"2/8",Таблица1[Ф. И. О.],B231)</f>
        <v>0</v>
      </c>
      <c r="L226" s="484">
        <f t="shared" si="33"/>
        <v>0</v>
      </c>
      <c r="M226" s="426"/>
      <c r="N226" s="428">
        <v>1</v>
      </c>
      <c r="O226" s="428">
        <f>SUMIFS(Data_Tech!$AM$3:$AM$67,Data_Tech!$E$3:$E$67,"1",Data_Tech!$G$3:$G$67,"3/12",Data_Tech!$F$3:$F$67,B231)</f>
        <v>0</v>
      </c>
      <c r="P226" s="428">
        <f>ROUND(M226*N226*O226,2)</f>
        <v>0</v>
      </c>
      <c r="Q226" s="386">
        <f>IF(D226&lt;=3,база!$L$4,
IF(D226=4,база!$L$5,
IF(D226=5,база!$L$6)))</f>
        <v>210.57480000000001</v>
      </c>
      <c r="R226" s="378">
        <v>1</v>
      </c>
      <c r="S226" s="489">
        <f>SUMIFS(Таблица1[Столбец1],Таблица1[коэф],"1",Таблица1[р/р],"3/16",Таблица1[Ф. И. О.],B231)</f>
        <v>0</v>
      </c>
      <c r="T226" s="490">
        <f t="shared" si="34"/>
        <v>0</v>
      </c>
      <c r="U226" s="471">
        <f>IF(D226&lt;=3,база!$M$4,
IF(D226=4,база!$M$5,
IF(D226=5,база!$M$6)))</f>
        <v>225.09719999999999</v>
      </c>
      <c r="V226" s="378">
        <v>1</v>
      </c>
      <c r="W226" s="497">
        <f>SUMIFS(Таблица1[Столбец1],Таблица1[коэф],"1",Таблица1[р/р],"3/24",Таблица1[Ф. И. О.],B231)</f>
        <v>0</v>
      </c>
      <c r="X226" s="490">
        <f t="shared" si="35"/>
        <v>0</v>
      </c>
      <c r="Y226" s="764">
        <f t="shared" ref="Y226" si="40">SUM(G226:G236,K226:K236,O226:O236,S226:S236,W226:W236)</f>
        <v>0</v>
      </c>
      <c r="Z226" s="766">
        <f t="shared" ref="Z226" si="41">IFERROR(SUM(H226:H236,L226:L236,T226:T236,X226:X236),"")</f>
        <v>0</v>
      </c>
      <c r="AA226" s="756"/>
    </row>
    <row r="227" spans="1:29" ht="18.75">
      <c r="A227" s="756"/>
      <c r="B227" s="215"/>
      <c r="C227" s="759"/>
      <c r="D227" s="762"/>
      <c r="E227" s="393">
        <f>IF(D226&lt;=3,база!$I$4,
IF(D226=4,база!$I$5,
IF(D226=5,база!$I$6)))</f>
        <v>188.7912</v>
      </c>
      <c r="F227" s="390">
        <v>1</v>
      </c>
      <c r="G227" s="400">
        <f>SUMIFS(Таблица1[Столбец1],Таблица1[коэф],"1",Таблица1[р/р],"3/4",Таблица1[Ф. И. О.],B231)</f>
        <v>0</v>
      </c>
      <c r="H227" s="392">
        <f t="shared" si="32"/>
        <v>0</v>
      </c>
      <c r="I227" s="389">
        <f>IF(D226&lt;=3,база!$J$4,
IF(D226=4,база!$J$5,
IF(D226=5,база!$J$6)))</f>
        <v>196.05240000000001</v>
      </c>
      <c r="J227" s="390">
        <v>1</v>
      </c>
      <c r="K227" s="434">
        <f>SUMIFS(Таблица1[Столбец1],Таблица1[коэф],"1",Таблица1[р/р],"3/8",Таблица1[Ф. И. О.],B231)</f>
        <v>0</v>
      </c>
      <c r="L227" s="484">
        <f t="shared" si="33"/>
        <v>0</v>
      </c>
      <c r="M227" s="432"/>
      <c r="N227" s="434">
        <v>1</v>
      </c>
      <c r="O227" s="434">
        <f>SUMIFS(Data_Tech!$AM$3:$AM$67,Data_Tech!$E$3:$E$67,"1",Data_Tech!$G$3:$G$67,"4/12",Data_Tech!$F$3:$F$67,B231)</f>
        <v>0</v>
      </c>
      <c r="P227" s="434">
        <f>ROUND(M227*O227,2)</f>
        <v>0</v>
      </c>
      <c r="Q227" s="399">
        <f>база!$L$5</f>
        <v>231.45480000000001</v>
      </c>
      <c r="R227" s="390">
        <v>1</v>
      </c>
      <c r="S227" s="491">
        <f>SUMIFS(Таблица1[Столбец1],Таблица1[коэф],"1",Таблица1[р/р],"4/16",Таблица1[Ф. И. О.],B231)</f>
        <v>0</v>
      </c>
      <c r="T227" s="492">
        <f t="shared" si="34"/>
        <v>0</v>
      </c>
      <c r="U227" s="472">
        <f>база!$M$5</f>
        <v>247.41720000000001</v>
      </c>
      <c r="V227" s="390">
        <v>1</v>
      </c>
      <c r="W227" s="494">
        <f>SUMIFS(Таблица1[Столбец1],Таблица1[коэф],"1",Таблица1[р/р],"4/24",Таблица1[Ф. И. О.],B231)</f>
        <v>0</v>
      </c>
      <c r="X227" s="492">
        <f t="shared" si="35"/>
        <v>0</v>
      </c>
      <c r="Y227" s="764"/>
      <c r="Z227" s="766"/>
      <c r="AA227" s="756"/>
    </row>
    <row r="228" spans="1:29" ht="18.75">
      <c r="A228" s="756"/>
      <c r="B228" s="215"/>
      <c r="C228" s="759"/>
      <c r="D228" s="762"/>
      <c r="E228" s="393"/>
      <c r="F228" s="390"/>
      <c r="G228" s="400"/>
      <c r="H228" s="392">
        <f t="shared" si="32"/>
        <v>0</v>
      </c>
      <c r="I228" s="389"/>
      <c r="J228" s="390"/>
      <c r="K228" s="434"/>
      <c r="L228" s="484">
        <f t="shared" si="33"/>
        <v>0</v>
      </c>
      <c r="M228" s="432"/>
      <c r="N228" s="434"/>
      <c r="O228" s="434"/>
      <c r="P228" s="434"/>
      <c r="Q228" s="399">
        <f>база!$L$6</f>
        <v>261.04640000000001</v>
      </c>
      <c r="R228" s="390">
        <v>1</v>
      </c>
      <c r="S228" s="491">
        <f>SUMIFS(Таблица1[Столбец1],Таблица1[коэф],"1",Таблица1[р/р],"5/16",Таблица1[Ф. И. О.],B231)</f>
        <v>0</v>
      </c>
      <c r="T228" s="492">
        <f t="shared" si="34"/>
        <v>0</v>
      </c>
      <c r="U228" s="472">
        <f>база!$M$6</f>
        <v>279.0496</v>
      </c>
      <c r="V228" s="390">
        <v>1</v>
      </c>
      <c r="W228" s="494">
        <f>SUMIFS(Таблица1[Столбец1],Таблица1[коэф],"1",Таблица1[р/р],"5/24",Таблица1[Ф. И. О.],B231)</f>
        <v>0</v>
      </c>
      <c r="X228" s="492">
        <f t="shared" si="35"/>
        <v>0</v>
      </c>
      <c r="Y228" s="764"/>
      <c r="Z228" s="766"/>
      <c r="AA228" s="756"/>
    </row>
    <row r="229" spans="1:29" ht="18.75">
      <c r="A229" s="756"/>
      <c r="B229" s="215"/>
      <c r="C229" s="759"/>
      <c r="D229" s="762"/>
      <c r="E229" s="393"/>
      <c r="F229" s="390"/>
      <c r="G229" s="400"/>
      <c r="H229" s="392">
        <f t="shared" si="32"/>
        <v>0</v>
      </c>
      <c r="I229" s="389">
        <f>база!$J$5</f>
        <v>215.4924</v>
      </c>
      <c r="J229" s="390">
        <v>1.5</v>
      </c>
      <c r="K229" s="434">
        <f>SUMIFS(Таблица1[Столбец1],Таблица1[коэф],"1,5",Таблица1[р/р],"4/8",Таблица1[Ф. И. О.],B231)</f>
        <v>0</v>
      </c>
      <c r="L229" s="484">
        <f t="shared" si="33"/>
        <v>0</v>
      </c>
      <c r="M229" s="432"/>
      <c r="N229" s="434"/>
      <c r="O229" s="434"/>
      <c r="P229" s="434"/>
      <c r="Q229" s="399">
        <f>IF(D226&lt;=3,база!$L$4,
IF(D226=4,база!$L$5,
IF(D226=5,база!$L$6)))</f>
        <v>210.57480000000001</v>
      </c>
      <c r="R229" s="390">
        <v>1.2</v>
      </c>
      <c r="S229" s="491">
        <f>SUMIFS(Таблица1[Столбец1],Таблица1[коэф],"1,2",Таблица1[р/р],"3/16",Таблица1[Ф. И. О.],B231)</f>
        <v>0</v>
      </c>
      <c r="T229" s="492">
        <f t="shared" si="34"/>
        <v>0</v>
      </c>
      <c r="U229" s="472">
        <f>IF(D226&lt;=3,база!$M$4,
IF(D226=4,база!$M$5,
IF(D226=5,база!$M$6)))</f>
        <v>225.09719999999999</v>
      </c>
      <c r="V229" s="390">
        <v>1.2</v>
      </c>
      <c r="W229" s="494">
        <f>SUMIFS(Таблица1[Столбец1],Таблица1[коэф],"1,2",Таблица1[р/р],"3/24",Таблица1[Ф. И. О.],B231)</f>
        <v>0</v>
      </c>
      <c r="X229" s="492">
        <f t="shared" si="35"/>
        <v>0</v>
      </c>
      <c r="Y229" s="764"/>
      <c r="Z229" s="766"/>
      <c r="AA229" s="756"/>
    </row>
    <row r="230" spans="1:29" ht="18.75">
      <c r="A230" s="756"/>
      <c r="B230" s="215"/>
      <c r="C230" s="759"/>
      <c r="D230" s="762"/>
      <c r="E230" s="393"/>
      <c r="F230" s="390"/>
      <c r="G230" s="400"/>
      <c r="H230" s="392">
        <f t="shared" si="32"/>
        <v>0</v>
      </c>
      <c r="I230" s="389">
        <f>база!$J$6</f>
        <v>243.04319999999998</v>
      </c>
      <c r="J230" s="390">
        <v>1.5</v>
      </c>
      <c r="K230" s="434">
        <f>SUMIFS(Таблица1[Столбец1],Таблица1[коэф],"1,5",Таблица1[р/р],"5/8",Таблица1[Ф. И. О.],B231)</f>
        <v>0</v>
      </c>
      <c r="L230" s="484">
        <f t="shared" si="33"/>
        <v>0</v>
      </c>
      <c r="M230" s="432"/>
      <c r="N230" s="434"/>
      <c r="O230" s="434"/>
      <c r="P230" s="434"/>
      <c r="Q230" s="399">
        <f>база!$L$5</f>
        <v>231.45480000000001</v>
      </c>
      <c r="R230" s="390">
        <v>1.2</v>
      </c>
      <c r="S230" s="491">
        <f>SUMIFS(Таблица1[Столбец1],Таблица1[коэф],"1,2",Таблица1[р/р],"4/16",Таблица1[Ф. И. О.],B231)</f>
        <v>0</v>
      </c>
      <c r="T230" s="492">
        <f t="shared" si="34"/>
        <v>0</v>
      </c>
      <c r="U230" s="472">
        <f>база!$M$5</f>
        <v>247.41720000000001</v>
      </c>
      <c r="V230" s="390">
        <v>1.2</v>
      </c>
      <c r="W230" s="494">
        <f>SUMIFS(Таблица1[Столбец1],Таблица1[коэф],"1,2",Таблица1[р/р],"4/24",Таблица1[Ф. И. О.],B231)</f>
        <v>0</v>
      </c>
      <c r="X230" s="492">
        <f t="shared" si="35"/>
        <v>0</v>
      </c>
      <c r="Y230" s="764"/>
      <c r="Z230" s="766"/>
      <c r="AA230" s="756"/>
    </row>
    <row r="231" spans="1:29" ht="18.75">
      <c r="A231" s="756"/>
      <c r="B231" s="215" t="str">
        <f>база!B22</f>
        <v>Ерошевич Дарья Александровна</v>
      </c>
      <c r="C231" s="759"/>
      <c r="D231" s="762"/>
      <c r="E231" s="393"/>
      <c r="F231" s="390"/>
      <c r="G231" s="400"/>
      <c r="H231" s="392">
        <f t="shared" si="32"/>
        <v>0</v>
      </c>
      <c r="I231" s="389"/>
      <c r="J231" s="390"/>
      <c r="K231" s="434"/>
      <c r="L231" s="484">
        <f t="shared" si="33"/>
        <v>0</v>
      </c>
      <c r="M231" s="432"/>
      <c r="N231" s="434"/>
      <c r="O231" s="434"/>
      <c r="P231" s="434"/>
      <c r="Q231" s="399">
        <f>база!$L$6</f>
        <v>261.04640000000001</v>
      </c>
      <c r="R231" s="390">
        <v>1.2</v>
      </c>
      <c r="S231" s="491">
        <f>SUMIFS(Таблица1[Столбец1],Таблица1[коэф],"1,2",Таблица1[р/р],"5/16",Таблица1[Ф. И. О.],B231)</f>
        <v>0</v>
      </c>
      <c r="T231" s="492">
        <f t="shared" si="34"/>
        <v>0</v>
      </c>
      <c r="U231" s="472">
        <f>база!$M$6</f>
        <v>279.0496</v>
      </c>
      <c r="V231" s="390">
        <v>1.2</v>
      </c>
      <c r="W231" s="494">
        <f>SUMIFS(Таблица1[Столбец1],Таблица1[коэф],"1,2",Таблица1[р/р],"5/24",Таблица1[Ф. И. О.],B231)</f>
        <v>0</v>
      </c>
      <c r="X231" s="492">
        <f t="shared" si="35"/>
        <v>0</v>
      </c>
      <c r="Y231" s="764"/>
      <c r="Z231" s="766"/>
      <c r="AA231" s="756"/>
      <c r="AC231" s="712" t="str">
        <f>IF(SUMIFS(Таблица1[Столбец3],Таблица1[Ф. И. О.],B231)-Z226=0,"",SUMIFS(Таблица1[Столбец3],Таблица1[Ф. И. О.],B231)-Z226)</f>
        <v/>
      </c>
    </row>
    <row r="232" spans="1:29" ht="18.75">
      <c r="A232" s="756"/>
      <c r="B232" s="215"/>
      <c r="C232" s="759"/>
      <c r="D232" s="762"/>
      <c r="E232" s="393"/>
      <c r="F232" s="390"/>
      <c r="G232" s="400"/>
      <c r="H232" s="392">
        <f t="shared" si="32"/>
        <v>0</v>
      </c>
      <c r="I232" s="389"/>
      <c r="J232" s="390"/>
      <c r="K232" s="434"/>
      <c r="L232" s="484">
        <f t="shared" si="33"/>
        <v>0</v>
      </c>
      <c r="M232" s="432"/>
      <c r="N232" s="434"/>
      <c r="O232" s="434"/>
      <c r="P232" s="434"/>
      <c r="Q232" s="399">
        <f>IF(D226&lt;=3,база!$L$4,
IF(D226=4,база!$L$5,
IF(D226=5,база!$L$6)))</f>
        <v>210.57480000000001</v>
      </c>
      <c r="R232" s="390">
        <v>1.3</v>
      </c>
      <c r="S232" s="491">
        <f>SUMIFS(Таблица1[Столбец1],Таблица1[коэф],"1,3",Таблица1[р/р],"3/16",Таблица1[Ф. И. О.],B231)</f>
        <v>0</v>
      </c>
      <c r="T232" s="492">
        <f t="shared" si="34"/>
        <v>0</v>
      </c>
      <c r="U232" s="472">
        <f>IF(D226&lt;=3,база!$M$4,
IF(D226=4,база!$M$5,
IF(D226=5,база!$M$6)))</f>
        <v>225.09719999999999</v>
      </c>
      <c r="V232" s="390">
        <v>1.3</v>
      </c>
      <c r="W232" s="494">
        <f>SUMIFS(Таблица1[Столбец1],Таблица1[коэф],"1,3",Таблица1[р/р],"3/24",Таблица1[Ф. И. О.],B231)</f>
        <v>0</v>
      </c>
      <c r="X232" s="492">
        <f t="shared" si="35"/>
        <v>0</v>
      </c>
      <c r="Y232" s="764"/>
      <c r="Z232" s="766"/>
      <c r="AA232" s="756"/>
      <c r="AC232" s="712" t="str">
        <f>IF(SUMIFS(Таблица1[Столбец1],Таблица1[Ф. И. О.],B231)=Y226,"",B231&amp;"  часы не верны")</f>
        <v/>
      </c>
    </row>
    <row r="233" spans="1:29" ht="18.75">
      <c r="A233" s="756"/>
      <c r="B233" s="215"/>
      <c r="C233" s="759"/>
      <c r="D233" s="762"/>
      <c r="E233" s="393"/>
      <c r="F233" s="390"/>
      <c r="G233" s="400"/>
      <c r="H233" s="392">
        <f t="shared" si="32"/>
        <v>0</v>
      </c>
      <c r="I233" s="389"/>
      <c r="J233" s="390"/>
      <c r="K233" s="434"/>
      <c r="L233" s="484">
        <f t="shared" si="33"/>
        <v>0</v>
      </c>
      <c r="M233" s="432"/>
      <c r="N233" s="434"/>
      <c r="O233" s="434"/>
      <c r="P233" s="434"/>
      <c r="Q233" s="399">
        <f>база!$L$5</f>
        <v>231.45480000000001</v>
      </c>
      <c r="R233" s="390">
        <v>1.3</v>
      </c>
      <c r="S233" s="491">
        <f>SUMIFS(Таблица1[Столбец1],Таблица1[коэф],"1,3",Таблица1[р/р],"4/16",Таблица1[Ф. И. О.],B231)</f>
        <v>0</v>
      </c>
      <c r="T233" s="492">
        <f t="shared" si="34"/>
        <v>0</v>
      </c>
      <c r="U233" s="472">
        <f>база!$M$5</f>
        <v>247.41720000000001</v>
      </c>
      <c r="V233" s="390">
        <v>1.3</v>
      </c>
      <c r="W233" s="494">
        <f>SUMIFS(Таблица1[Столбец1],Таблица1[коэф],"1,3",Таблица1[р/р],"4/24",Таблица1[Ф. И. О.],B231)</f>
        <v>0</v>
      </c>
      <c r="X233" s="492">
        <f t="shared" si="35"/>
        <v>0</v>
      </c>
      <c r="Y233" s="764"/>
      <c r="Z233" s="766"/>
      <c r="AA233" s="756"/>
    </row>
    <row r="234" spans="1:29" ht="18.75">
      <c r="A234" s="756"/>
      <c r="B234" s="215"/>
      <c r="C234" s="759"/>
      <c r="D234" s="762"/>
      <c r="E234" s="393"/>
      <c r="F234" s="390"/>
      <c r="G234" s="400"/>
      <c r="H234" s="392">
        <f t="shared" si="32"/>
        <v>0</v>
      </c>
      <c r="I234" s="389"/>
      <c r="J234" s="390"/>
      <c r="K234" s="434"/>
      <c r="L234" s="484">
        <f t="shared" si="33"/>
        <v>0</v>
      </c>
      <c r="M234" s="432"/>
      <c r="N234" s="434"/>
      <c r="O234" s="434"/>
      <c r="P234" s="434"/>
      <c r="Q234" s="399">
        <f>IF(D226&lt;=3,база!$L$4,
IF(D226=4,база!$L$5,
IF(D226=5,база!$L$6)))</f>
        <v>210.57480000000001</v>
      </c>
      <c r="R234" s="390">
        <v>1.4</v>
      </c>
      <c r="S234" s="491">
        <f>SUMIFS(Таблица1[Столбец1],Таблица1[коэф],"1,4",Таблица1[р/р],"3/16",Таблица1[Ф. И. О.],B231)</f>
        <v>0</v>
      </c>
      <c r="T234" s="492">
        <f t="shared" si="34"/>
        <v>0</v>
      </c>
      <c r="U234" s="472">
        <f>IF(D226&lt;=3,база!$M$4,
IF(D226=4,база!$M$5,
IF(D226=5,база!$M$6)))</f>
        <v>225.09719999999999</v>
      </c>
      <c r="V234" s="390">
        <v>1.4</v>
      </c>
      <c r="W234" s="494">
        <f>SUMIFS(Таблица1[Столбец1],Таблица1[коэф],"1,4",Таблица1[р/р],"3/24",Таблица1[Ф. И. О.],B231)</f>
        <v>0</v>
      </c>
      <c r="X234" s="492">
        <f t="shared" si="35"/>
        <v>0</v>
      </c>
      <c r="Y234" s="764"/>
      <c r="Z234" s="766"/>
      <c r="AA234" s="756"/>
    </row>
    <row r="235" spans="1:29" ht="18.75">
      <c r="A235" s="756"/>
      <c r="B235" s="215"/>
      <c r="C235" s="759"/>
      <c r="D235" s="762"/>
      <c r="E235" s="393"/>
      <c r="F235" s="390"/>
      <c r="G235" s="400"/>
      <c r="H235" s="392">
        <f t="shared" si="32"/>
        <v>0</v>
      </c>
      <c r="I235" s="389"/>
      <c r="J235" s="390"/>
      <c r="K235" s="434"/>
      <c r="L235" s="484">
        <f t="shared" si="33"/>
        <v>0</v>
      </c>
      <c r="M235" s="432"/>
      <c r="N235" s="434"/>
      <c r="O235" s="434"/>
      <c r="P235" s="434"/>
      <c r="Q235" s="399">
        <f>база!$L$5</f>
        <v>231.45480000000001</v>
      </c>
      <c r="R235" s="390">
        <v>1.4</v>
      </c>
      <c r="S235" s="491">
        <f>SUMIFS(Таблица1[Столбец1],Таблица1[коэф],"1,4",Таблица1[р/р],"4/16",Таблица1[Ф. И. О.],B231)</f>
        <v>0</v>
      </c>
      <c r="T235" s="492">
        <f t="shared" si="34"/>
        <v>0</v>
      </c>
      <c r="U235" s="472">
        <f>база!$M$5</f>
        <v>247.41720000000001</v>
      </c>
      <c r="V235" s="390">
        <v>1.4</v>
      </c>
      <c r="W235" s="494">
        <f>SUMIFS(Таблица1[Столбец1],Таблица1[коэф],"1,4",Таблица1[р/р],"4/24",Таблица1[Ф. И. О.],B231)</f>
        <v>0</v>
      </c>
      <c r="X235" s="492">
        <f t="shared" si="35"/>
        <v>0</v>
      </c>
      <c r="Y235" s="764"/>
      <c r="Z235" s="766"/>
      <c r="AA235" s="756"/>
    </row>
    <row r="236" spans="1:29" ht="19.5" thickBot="1">
      <c r="A236" s="757"/>
      <c r="B236" s="202"/>
      <c r="C236" s="760"/>
      <c r="D236" s="763"/>
      <c r="E236" s="463"/>
      <c r="F236" s="464"/>
      <c r="G236" s="465"/>
      <c r="H236" s="468">
        <f t="shared" si="32"/>
        <v>0</v>
      </c>
      <c r="I236" s="473"/>
      <c r="J236" s="464"/>
      <c r="K236" s="457"/>
      <c r="L236" s="484">
        <f t="shared" si="33"/>
        <v>0</v>
      </c>
      <c r="M236" s="466"/>
      <c r="N236" s="457"/>
      <c r="O236" s="457"/>
      <c r="P236" s="457"/>
      <c r="Q236" s="467">
        <f>база!$L$6</f>
        <v>261.04640000000001</v>
      </c>
      <c r="R236" s="464">
        <v>1.4</v>
      </c>
      <c r="S236" s="512">
        <f>SUMIFS(Таблица1[Столбец1],Таблица1[коэф],"1,4",Таблица1[р/р],"5/16",Таблица1[Ф. И. О.],B231)</f>
        <v>0</v>
      </c>
      <c r="T236" s="492">
        <f t="shared" si="34"/>
        <v>0</v>
      </c>
      <c r="U236" s="474">
        <f>база!$M$6</f>
        <v>279.0496</v>
      </c>
      <c r="V236" s="464">
        <v>1.4</v>
      </c>
      <c r="W236" s="501">
        <f>SUMIFS(Таблица1[Столбец1],Таблица1[коэф],"1,4",Таблица1[р/р],"5/24",Таблица1[Ф. И. О.],B231)</f>
        <v>0</v>
      </c>
      <c r="X236" s="492">
        <f t="shared" si="35"/>
        <v>0</v>
      </c>
      <c r="Y236" s="765"/>
      <c r="Z236" s="767"/>
      <c r="AA236" s="757"/>
    </row>
    <row r="237" spans="1:29" ht="15.75" customHeight="1">
      <c r="A237" s="755">
        <v>22</v>
      </c>
      <c r="B237" s="235"/>
      <c r="C237" s="758">
        <f>INDEX(база!$E$2:$E$81, MATCH(B242,база!$B$2:$B$50,0))</f>
        <v>15340</v>
      </c>
      <c r="D237" s="761">
        <f>INDEX(база!$D$2:$D$89, MATCH(B242,база!$B$2:$B$50,0))</f>
        <v>3</v>
      </c>
      <c r="E237" s="451">
        <f>IF(D237&lt;=3,база!$I$4,
IF(D237=4,база!$I$5,
IF(D237=5,база!$I$6)))</f>
        <v>188.7912</v>
      </c>
      <c r="F237" s="417">
        <v>1</v>
      </c>
      <c r="G237" s="418">
        <f>SUMIFS(Таблица1[Столбец1],Таблица1[коэф],"1",Таблица1[р/р],"2/4",Таблица1[Ф. И. О.],B242)</f>
        <v>0</v>
      </c>
      <c r="H237" s="402">
        <f t="shared" ref="H237:H258" si="42">ROUND(E237*F237*G237*2,2)</f>
        <v>0</v>
      </c>
      <c r="I237" s="377">
        <f>IF(D237&lt;=3,база!$J$4,
IF(D237=4,база!$J$5,
IF(D237=5,база!$J$6)))</f>
        <v>196.05240000000001</v>
      </c>
      <c r="J237" s="378">
        <v>1</v>
      </c>
      <c r="K237" s="428">
        <f>SUMIFS(Таблица1[Столбец1],Таблица1[коэф],"1",Таблица1[р/р],"2/8",Таблица1[Ф. И. О.],B242)</f>
        <v>0</v>
      </c>
      <c r="L237" s="383">
        <f t="shared" ref="L237:L258" si="43">ROUND(I237*J237*K237*2,2)</f>
        <v>0</v>
      </c>
      <c r="M237" s="452"/>
      <c r="N237" s="453">
        <v>1</v>
      </c>
      <c r="O237" s="453">
        <f>SUMIFS(Data_Tech!$AM$3:$AM$67,Data_Tech!$E$3:$E$67,"1",Data_Tech!$G$3:$G$67,"3/12",Data_Tech!$F$3:$F$67,B242)</f>
        <v>0</v>
      </c>
      <c r="P237" s="453">
        <f>ROUND(M237*N237*O237,2)</f>
        <v>0</v>
      </c>
      <c r="Q237" s="416">
        <f>IF(D237&lt;=3,база!$L$4,
IF(D237=4,база!$L$5,
IF(D237=5,база!$L$6)))</f>
        <v>210.57480000000001</v>
      </c>
      <c r="R237" s="417">
        <v>1</v>
      </c>
      <c r="S237" s="495">
        <f>SUMIFS(Таблица1[Столбец1],Таблица1[коэф],"1",Таблица1[р/р],"3/16",Таблица1[Ф. И. О.],B242)</f>
        <v>0</v>
      </c>
      <c r="T237" s="490">
        <f t="shared" ref="T237:T258" si="44">ROUND(Q237*R237*S237*2,2)</f>
        <v>0</v>
      </c>
      <c r="U237" s="471">
        <f>IF(D237&lt;=3,база!$M$4,
IF(D237=4,база!$M$5,
IF(D237=5,база!$M$6)))</f>
        <v>225.09719999999999</v>
      </c>
      <c r="V237" s="378">
        <v>1</v>
      </c>
      <c r="W237" s="497">
        <f>SUMIFS(Таблица1[Столбец1],Таблица1[коэф],"1",Таблица1[р/р],"3/24",Таблица1[Ф. И. О.],B242)</f>
        <v>0</v>
      </c>
      <c r="X237" s="490">
        <f t="shared" ref="X237:X258" si="45">ROUND(U237*V237*W237*2,2)</f>
        <v>0</v>
      </c>
      <c r="Y237" s="769">
        <f t="shared" ref="Y237" si="46">SUM(G237:G247,K237:K247,O237:O247,S237:S247,W237:W247)</f>
        <v>0</v>
      </c>
      <c r="Z237" s="768">
        <f t="shared" ref="Z237" si="47">IFERROR(SUM(H237:H247,L237:L247,T237:T247,X237:X247),"")</f>
        <v>0</v>
      </c>
      <c r="AA237" s="755"/>
    </row>
    <row r="238" spans="1:29" ht="15.75" customHeight="1">
      <c r="A238" s="756"/>
      <c r="B238" s="215"/>
      <c r="C238" s="759"/>
      <c r="D238" s="762"/>
      <c r="E238" s="393">
        <f>IF(D237&lt;=3,база!$I$4,
IF(D237=4,база!$I$5,
IF(D237=5,база!$I$6)))</f>
        <v>188.7912</v>
      </c>
      <c r="F238" s="390">
        <v>1</v>
      </c>
      <c r="G238" s="400">
        <f>SUMIFS(Таблица1[Столбец1],Таблица1[коэф],"1",Таблица1[р/р],"3/4",Таблица1[Ф. И. О.],B242)</f>
        <v>0</v>
      </c>
      <c r="H238" s="392">
        <f t="shared" si="42"/>
        <v>0</v>
      </c>
      <c r="I238" s="389">
        <f>IF(D237&lt;=3,база!$J$4,
IF(D237=4,база!$J$5,
IF(D237=5,база!$J$6)))</f>
        <v>196.05240000000001</v>
      </c>
      <c r="J238" s="390">
        <v>1</v>
      </c>
      <c r="K238" s="434">
        <f>SUMIFS(Таблица1[Столбец1],Таблица1[коэф],"1",Таблица1[р/р],"3/8",Таблица1[Ф. И. О.],B242)</f>
        <v>0</v>
      </c>
      <c r="L238" s="484">
        <f t="shared" si="43"/>
        <v>0</v>
      </c>
      <c r="M238" s="432"/>
      <c r="N238" s="434">
        <v>1</v>
      </c>
      <c r="O238" s="434">
        <f>SUMIFS(Data_Tech!$AM$3:$AM$67,Data_Tech!$E$3:$E$67,"1",Data_Tech!$G$3:$G$67,"4/12",Data_Tech!$F$3:$F$67,B242)</f>
        <v>0</v>
      </c>
      <c r="P238" s="434">
        <f>ROUND(M238*O238,2)</f>
        <v>0</v>
      </c>
      <c r="Q238" s="399">
        <f>база!$L$5</f>
        <v>231.45480000000001</v>
      </c>
      <c r="R238" s="390">
        <v>1</v>
      </c>
      <c r="S238" s="491">
        <f>SUMIFS(Таблица1[Столбец1],Таблица1[коэф],"1",Таблица1[р/р],"4/16",Таблица1[Ф. И. О.],B242)</f>
        <v>0</v>
      </c>
      <c r="T238" s="492">
        <f t="shared" si="44"/>
        <v>0</v>
      </c>
      <c r="U238" s="472">
        <f>база!$M$5</f>
        <v>247.41720000000001</v>
      </c>
      <c r="V238" s="390">
        <v>1</v>
      </c>
      <c r="W238" s="494">
        <f>SUMIFS(Таблица1[Столбец1],Таблица1[коэф],"1",Таблица1[р/р],"4/24",Таблица1[Ф. И. О.],B242)</f>
        <v>0</v>
      </c>
      <c r="X238" s="492">
        <f t="shared" si="45"/>
        <v>0</v>
      </c>
      <c r="Y238" s="770"/>
      <c r="Z238" s="766"/>
      <c r="AA238" s="756"/>
    </row>
    <row r="239" spans="1:29" ht="15.75" customHeight="1">
      <c r="A239" s="756"/>
      <c r="B239" s="215"/>
      <c r="C239" s="759"/>
      <c r="D239" s="762"/>
      <c r="E239" s="393"/>
      <c r="F239" s="390"/>
      <c r="G239" s="400"/>
      <c r="H239" s="392">
        <f t="shared" si="42"/>
        <v>0</v>
      </c>
      <c r="I239" s="389"/>
      <c r="J239" s="390"/>
      <c r="K239" s="434"/>
      <c r="L239" s="484">
        <f t="shared" si="43"/>
        <v>0</v>
      </c>
      <c r="M239" s="432"/>
      <c r="N239" s="434"/>
      <c r="O239" s="434"/>
      <c r="P239" s="434"/>
      <c r="Q239" s="399">
        <f>база!$L$6</f>
        <v>261.04640000000001</v>
      </c>
      <c r="R239" s="390">
        <v>1</v>
      </c>
      <c r="S239" s="491">
        <f>SUMIFS(Таблица1[Столбец1],Таблица1[коэф],"1",Таблица1[р/р],"5/16",Таблица1[Ф. И. О.],B242)</f>
        <v>0</v>
      </c>
      <c r="T239" s="492">
        <f t="shared" si="44"/>
        <v>0</v>
      </c>
      <c r="U239" s="472">
        <f>база!$M$6</f>
        <v>279.0496</v>
      </c>
      <c r="V239" s="390">
        <v>1</v>
      </c>
      <c r="W239" s="494">
        <f>SUMIFS(Таблица1[Столбец1],Таблица1[коэф],"1",Таблица1[р/р],"5/24",Таблица1[Ф. И. О.],B242)</f>
        <v>0</v>
      </c>
      <c r="X239" s="492">
        <f t="shared" si="45"/>
        <v>0</v>
      </c>
      <c r="Y239" s="770"/>
      <c r="Z239" s="766"/>
      <c r="AA239" s="756"/>
    </row>
    <row r="240" spans="1:29" ht="15.75" customHeight="1">
      <c r="A240" s="756"/>
      <c r="B240" s="215"/>
      <c r="C240" s="759"/>
      <c r="D240" s="762"/>
      <c r="E240" s="393"/>
      <c r="F240" s="390"/>
      <c r="G240" s="400"/>
      <c r="H240" s="392">
        <f t="shared" si="42"/>
        <v>0</v>
      </c>
      <c r="I240" s="389">
        <f>база!$J$5</f>
        <v>215.4924</v>
      </c>
      <c r="J240" s="390">
        <v>1.5</v>
      </c>
      <c r="K240" s="434">
        <f>SUMIFS(Таблица1[Столбец1],Таблица1[коэф],"1,5",Таблица1[р/р],"4/8",Таблица1[Ф. И. О.],B242)</f>
        <v>0</v>
      </c>
      <c r="L240" s="484">
        <f t="shared" si="43"/>
        <v>0</v>
      </c>
      <c r="M240" s="432"/>
      <c r="N240" s="434"/>
      <c r="O240" s="434"/>
      <c r="P240" s="434"/>
      <c r="Q240" s="399">
        <f>IF(D237&lt;=3,база!$L$4,
IF(D237=4,база!$L$5,
IF(D237=5,база!$L$6)))</f>
        <v>210.57480000000001</v>
      </c>
      <c r="R240" s="390">
        <v>1.2</v>
      </c>
      <c r="S240" s="491">
        <f>SUMIFS(Таблица1[Столбец1],Таблица1[коэф],"1,2",Таблица1[р/р],"3/16",Таблица1[Ф. И. О.],B242)</f>
        <v>0</v>
      </c>
      <c r="T240" s="492">
        <f t="shared" si="44"/>
        <v>0</v>
      </c>
      <c r="U240" s="472">
        <f>IF(D237&lt;=3,база!$M$4,
IF(D237=4,база!$M$5,
IF(D237=5,база!$M$6)))</f>
        <v>225.09719999999999</v>
      </c>
      <c r="V240" s="390">
        <v>1.2</v>
      </c>
      <c r="W240" s="494">
        <f>SUMIFS(Таблица1[Столбец1],Таблица1[коэф],"1,2",Таблица1[р/р],"3/24",Таблица1[Ф. И. О.],B242)</f>
        <v>0</v>
      </c>
      <c r="X240" s="492">
        <f t="shared" si="45"/>
        <v>0</v>
      </c>
      <c r="Y240" s="770"/>
      <c r="Z240" s="766"/>
      <c r="AA240" s="756"/>
    </row>
    <row r="241" spans="1:29" ht="15.75" customHeight="1">
      <c r="A241" s="756"/>
      <c r="B241" s="215"/>
      <c r="C241" s="759"/>
      <c r="D241" s="762"/>
      <c r="E241" s="393"/>
      <c r="F241" s="390"/>
      <c r="G241" s="400"/>
      <c r="H241" s="392">
        <f t="shared" si="42"/>
        <v>0</v>
      </c>
      <c r="I241" s="389">
        <f>база!$J$6</f>
        <v>243.04319999999998</v>
      </c>
      <c r="J241" s="390">
        <v>1.5</v>
      </c>
      <c r="K241" s="434">
        <f>SUMIFS(Таблица1[Столбец1],Таблица1[коэф],"1,5",Таблица1[р/р],"5/8",Таблица1[Ф. И. О.],B242)</f>
        <v>0</v>
      </c>
      <c r="L241" s="484">
        <f t="shared" si="43"/>
        <v>0</v>
      </c>
      <c r="M241" s="432"/>
      <c r="N241" s="434"/>
      <c r="O241" s="434"/>
      <c r="P241" s="434"/>
      <c r="Q241" s="399">
        <f>база!$L$5</f>
        <v>231.45480000000001</v>
      </c>
      <c r="R241" s="390">
        <v>1.2</v>
      </c>
      <c r="S241" s="491">
        <f>SUMIFS(Таблица1[Столбец1],Таблица1[коэф],"1,2",Таблица1[р/р],"4/16",Таблица1[Ф. И. О.],B242)</f>
        <v>0</v>
      </c>
      <c r="T241" s="492">
        <f t="shared" si="44"/>
        <v>0</v>
      </c>
      <c r="U241" s="472">
        <f>база!$M$5</f>
        <v>247.41720000000001</v>
      </c>
      <c r="V241" s="390">
        <v>1.2</v>
      </c>
      <c r="W241" s="494">
        <f>SUMIFS(Таблица1[Столбец1],Таблица1[коэф],"1,2",Таблица1[р/р],"4/24",Таблица1[Ф. И. О.],B242)</f>
        <v>0</v>
      </c>
      <c r="X241" s="492">
        <f t="shared" si="45"/>
        <v>0</v>
      </c>
      <c r="Y241" s="770"/>
      <c r="Z241" s="766"/>
      <c r="AA241" s="756"/>
    </row>
    <row r="242" spans="1:29" ht="15.75" customHeight="1">
      <c r="A242" s="756"/>
      <c r="B242" s="215" t="str">
        <f>база!B23</f>
        <v>Ерошина Ирина Павловна</v>
      </c>
      <c r="C242" s="759"/>
      <c r="D242" s="762"/>
      <c r="E242" s="393"/>
      <c r="F242" s="390"/>
      <c r="G242" s="400"/>
      <c r="H242" s="392">
        <f t="shared" si="42"/>
        <v>0</v>
      </c>
      <c r="I242" s="389"/>
      <c r="J242" s="390"/>
      <c r="K242" s="434"/>
      <c r="L242" s="484">
        <f t="shared" si="43"/>
        <v>0</v>
      </c>
      <c r="M242" s="432"/>
      <c r="N242" s="434"/>
      <c r="O242" s="434"/>
      <c r="P242" s="434"/>
      <c r="Q242" s="399">
        <f>база!$L$6</f>
        <v>261.04640000000001</v>
      </c>
      <c r="R242" s="390">
        <v>1.2</v>
      </c>
      <c r="S242" s="491">
        <f>SUMIFS(Таблица1[Столбец1],Таблица1[коэф],"1,2",Таблица1[р/р],"5/16",Таблица1[Ф. И. О.],B242)</f>
        <v>0</v>
      </c>
      <c r="T242" s="492">
        <f t="shared" si="44"/>
        <v>0</v>
      </c>
      <c r="U242" s="472">
        <f>база!$M$6</f>
        <v>279.0496</v>
      </c>
      <c r="V242" s="390">
        <v>1.2</v>
      </c>
      <c r="W242" s="494">
        <f>SUMIFS(Таблица1[Столбец1],Таблица1[коэф],"1,2",Таблица1[р/р],"5/24",Таблица1[Ф. И. О.],B242)</f>
        <v>0</v>
      </c>
      <c r="X242" s="492">
        <f t="shared" si="45"/>
        <v>0</v>
      </c>
      <c r="Y242" s="770"/>
      <c r="Z242" s="766"/>
      <c r="AA242" s="756"/>
      <c r="AC242" s="712" t="str">
        <f>IF(SUMIFS(Таблица1[Столбец3],Таблица1[Ф. И. О.],B242)-Z237=0,"",SUMIFS(Таблица1[Столбец3],Таблица1[Ф. И. О.],B242)-Z237)</f>
        <v/>
      </c>
    </row>
    <row r="243" spans="1:29" ht="15.75" customHeight="1">
      <c r="A243" s="756"/>
      <c r="B243" s="215"/>
      <c r="C243" s="759"/>
      <c r="D243" s="762"/>
      <c r="E243" s="393"/>
      <c r="F243" s="390"/>
      <c r="G243" s="400"/>
      <c r="H243" s="392">
        <f t="shared" si="42"/>
        <v>0</v>
      </c>
      <c r="I243" s="389"/>
      <c r="J243" s="390"/>
      <c r="K243" s="434"/>
      <c r="L243" s="484">
        <f t="shared" si="43"/>
        <v>0</v>
      </c>
      <c r="M243" s="432"/>
      <c r="N243" s="434"/>
      <c r="O243" s="434"/>
      <c r="P243" s="434"/>
      <c r="Q243" s="399">
        <f>IF(D237&lt;=3,база!$L$4,
IF(D237=4,база!$L$5,
IF(D237=5,база!$L$6)))</f>
        <v>210.57480000000001</v>
      </c>
      <c r="R243" s="390">
        <v>1.3</v>
      </c>
      <c r="S243" s="491">
        <f>SUMIFS(Таблица1[Столбец1],Таблица1[коэф],"1,3",Таблица1[р/р],"3/16",Таблица1[Ф. И. О.],B242)</f>
        <v>0</v>
      </c>
      <c r="T243" s="492">
        <f t="shared" si="44"/>
        <v>0</v>
      </c>
      <c r="U243" s="472">
        <f>IF(D237&lt;=3,база!$M$4,
IF(D237=4,база!$M$5,
IF(D237=5,база!$M$6)))</f>
        <v>225.09719999999999</v>
      </c>
      <c r="V243" s="390">
        <v>1.3</v>
      </c>
      <c r="W243" s="494">
        <f>SUMIFS(Таблица1[Столбец1],Таблица1[коэф],"1,3",Таблица1[р/р],"3/24",Таблица1[Ф. И. О.],B242)</f>
        <v>0</v>
      </c>
      <c r="X243" s="492">
        <f t="shared" si="45"/>
        <v>0</v>
      </c>
      <c r="Y243" s="770"/>
      <c r="Z243" s="766"/>
      <c r="AA243" s="756"/>
      <c r="AC243" s="712" t="str">
        <f>IF(SUMIFS(Таблица1[Столбец1],Таблица1[Ф. И. О.],B242)=Y237,"",B242&amp;"  часы не верны")</f>
        <v/>
      </c>
    </row>
    <row r="244" spans="1:29" ht="15.75" customHeight="1">
      <c r="A244" s="756"/>
      <c r="B244" s="215"/>
      <c r="C244" s="759"/>
      <c r="D244" s="762"/>
      <c r="E244" s="393"/>
      <c r="F244" s="390"/>
      <c r="G244" s="400"/>
      <c r="H244" s="392">
        <f t="shared" si="42"/>
        <v>0</v>
      </c>
      <c r="I244" s="389"/>
      <c r="J244" s="390"/>
      <c r="K244" s="434"/>
      <c r="L244" s="484">
        <f t="shared" si="43"/>
        <v>0</v>
      </c>
      <c r="M244" s="432"/>
      <c r="N244" s="434"/>
      <c r="O244" s="434"/>
      <c r="P244" s="434"/>
      <c r="Q244" s="399">
        <f>база!$L$5</f>
        <v>231.45480000000001</v>
      </c>
      <c r="R244" s="390">
        <v>1.3</v>
      </c>
      <c r="S244" s="491">
        <f>SUMIFS(Таблица1[Столбец1],Таблица1[коэф],"1,3",Таблица1[р/р],"4/16",Таблица1[Ф. И. О.],B242)</f>
        <v>0</v>
      </c>
      <c r="T244" s="492">
        <f t="shared" si="44"/>
        <v>0</v>
      </c>
      <c r="U244" s="472">
        <f>база!$M$5</f>
        <v>247.41720000000001</v>
      </c>
      <c r="V244" s="390">
        <v>1.3</v>
      </c>
      <c r="W244" s="494">
        <f>SUMIFS(Таблица1[Столбец1],Таблица1[коэф],"1,3",Таблица1[р/р],"4/24",Таблица1[Ф. И. О.],B242)</f>
        <v>0</v>
      </c>
      <c r="X244" s="492">
        <f t="shared" si="45"/>
        <v>0</v>
      </c>
      <c r="Y244" s="770"/>
      <c r="Z244" s="766"/>
      <c r="AA244" s="756"/>
    </row>
    <row r="245" spans="1:29" ht="15.75" customHeight="1">
      <c r="A245" s="756"/>
      <c r="B245" s="215"/>
      <c r="C245" s="759"/>
      <c r="D245" s="762"/>
      <c r="E245" s="393"/>
      <c r="F245" s="390"/>
      <c r="G245" s="400"/>
      <c r="H245" s="392">
        <f t="shared" si="42"/>
        <v>0</v>
      </c>
      <c r="I245" s="389"/>
      <c r="J245" s="390"/>
      <c r="K245" s="434"/>
      <c r="L245" s="484">
        <f t="shared" si="43"/>
        <v>0</v>
      </c>
      <c r="M245" s="432"/>
      <c r="N245" s="434"/>
      <c r="O245" s="434"/>
      <c r="P245" s="434"/>
      <c r="Q245" s="399">
        <f>IF(D237&lt;=3,база!$L$4,
IF(D237=4,база!$L$5,
IF(D237=5,база!$L$6)))</f>
        <v>210.57480000000001</v>
      </c>
      <c r="R245" s="390">
        <v>1.4</v>
      </c>
      <c r="S245" s="491">
        <f>SUMIFS(Таблица1[Столбец1],Таблица1[коэф],"1,4",Таблица1[р/р],"3/16",Таблица1[Ф. И. О.],B242)</f>
        <v>0</v>
      </c>
      <c r="T245" s="492">
        <f t="shared" si="44"/>
        <v>0</v>
      </c>
      <c r="U245" s="472">
        <f>IF(D237&lt;=3,база!$M$4,
IF(D237=4,база!$M$5,
IF(D237=5,база!$M$6)))</f>
        <v>225.09719999999999</v>
      </c>
      <c r="V245" s="390">
        <v>1.4</v>
      </c>
      <c r="W245" s="494">
        <f>SUMIFS(Таблица1[Столбец1],Таблица1[коэф],"1,4",Таблица1[р/р],"3/24",Таблица1[Ф. И. О.],B242)</f>
        <v>0</v>
      </c>
      <c r="X245" s="492">
        <f t="shared" si="45"/>
        <v>0</v>
      </c>
      <c r="Y245" s="770"/>
      <c r="Z245" s="766"/>
      <c r="AA245" s="756"/>
    </row>
    <row r="246" spans="1:29" ht="15.75" customHeight="1">
      <c r="A246" s="756"/>
      <c r="B246" s="215"/>
      <c r="C246" s="759"/>
      <c r="D246" s="762"/>
      <c r="E246" s="393"/>
      <c r="F246" s="390"/>
      <c r="G246" s="400"/>
      <c r="H246" s="392">
        <f t="shared" si="42"/>
        <v>0</v>
      </c>
      <c r="I246" s="389"/>
      <c r="J246" s="390"/>
      <c r="K246" s="434"/>
      <c r="L246" s="395">
        <f t="shared" si="43"/>
        <v>0</v>
      </c>
      <c r="M246" s="432"/>
      <c r="N246" s="434"/>
      <c r="O246" s="434"/>
      <c r="P246" s="434"/>
      <c r="Q246" s="399">
        <f>база!$L$5</f>
        <v>231.45480000000001</v>
      </c>
      <c r="R246" s="390">
        <v>1.4</v>
      </c>
      <c r="S246" s="491">
        <f>SUMIFS(Таблица1[Столбец1],Таблица1[коэф],"1,4",Таблица1[р/р],"4/16",Таблица1[Ф. И. О.],B242)</f>
        <v>0</v>
      </c>
      <c r="T246" s="492">
        <f t="shared" si="44"/>
        <v>0</v>
      </c>
      <c r="U246" s="472">
        <f>база!$M$5</f>
        <v>247.41720000000001</v>
      </c>
      <c r="V246" s="390">
        <v>1.4</v>
      </c>
      <c r="W246" s="494">
        <f>SUMIFS(Таблица1[Столбец1],Таблица1[коэф],"1,4",Таблица1[р/р],"4/24",Таблица1[Ф. И. О.],B242)</f>
        <v>0</v>
      </c>
      <c r="X246" s="492">
        <f t="shared" si="45"/>
        <v>0</v>
      </c>
      <c r="Y246" s="770"/>
      <c r="Z246" s="766"/>
      <c r="AA246" s="756"/>
    </row>
    <row r="247" spans="1:29" ht="15.75" customHeight="1" thickBot="1">
      <c r="A247" s="757"/>
      <c r="B247" s="202"/>
      <c r="C247" s="760"/>
      <c r="D247" s="763"/>
      <c r="E247" s="463"/>
      <c r="F247" s="464"/>
      <c r="G247" s="465"/>
      <c r="H247" s="468">
        <f t="shared" si="42"/>
        <v>0</v>
      </c>
      <c r="I247" s="473"/>
      <c r="J247" s="464"/>
      <c r="K247" s="457"/>
      <c r="L247" s="484">
        <f t="shared" si="43"/>
        <v>0</v>
      </c>
      <c r="M247" s="466"/>
      <c r="N247" s="457"/>
      <c r="O247" s="457"/>
      <c r="P247" s="457"/>
      <c r="Q247" s="467">
        <f>база!$L$6</f>
        <v>261.04640000000001</v>
      </c>
      <c r="R247" s="464">
        <v>1.4</v>
      </c>
      <c r="S247" s="512">
        <f>SUMIFS(Таблица1[Столбец1],Таблица1[коэф],"1,4",Таблица1[р/р],"5/16",Таблица1[Ф. И. О.],B242)</f>
        <v>0</v>
      </c>
      <c r="T247" s="492">
        <f t="shared" si="44"/>
        <v>0</v>
      </c>
      <c r="U247" s="474">
        <f>база!$M$6</f>
        <v>279.0496</v>
      </c>
      <c r="V247" s="464">
        <v>1.4</v>
      </c>
      <c r="W247" s="501">
        <f>SUMIFS(Таблица1[Столбец1],Таблица1[коэф],"1,4",Таблица1[р/р],"5/24",Таблица1[Ф. И. О.],B242)</f>
        <v>0</v>
      </c>
      <c r="X247" s="492">
        <f t="shared" si="45"/>
        <v>0</v>
      </c>
      <c r="Y247" s="771"/>
      <c r="Z247" s="767"/>
      <c r="AA247" s="757"/>
    </row>
    <row r="248" spans="1:29" ht="18.75" customHeight="1">
      <c r="A248" s="755">
        <v>23</v>
      </c>
      <c r="B248" s="215"/>
      <c r="C248" s="758">
        <f>INDEX(база!$E$2:$E$81, MATCH(B253,база!$B$2:$B$50,0))</f>
        <v>17309</v>
      </c>
      <c r="D248" s="761">
        <f>INDEX(база!$D$2:$D$89, MATCH(B253,база!$B$2:$B$50,0))</f>
        <v>3</v>
      </c>
      <c r="E248" s="377">
        <f>IF(D248&lt;=3,база!$I$4,
IF(D248=4,база!$I$5,
IF(D248=5,база!$I$6)))</f>
        <v>188.7912</v>
      </c>
      <c r="F248" s="378">
        <v>1</v>
      </c>
      <c r="G248" s="387">
        <f>SUMIFS(Таблица1[Столбец1],Таблица1[коэф],"1",Таблица1[р/р],"2/4",Таблица1[Ф. И. О.],B253)</f>
        <v>0</v>
      </c>
      <c r="H248" s="402">
        <f t="shared" si="42"/>
        <v>0</v>
      </c>
      <c r="I248" s="451">
        <f>IF(D248&lt;=3,база!$J$4,
IF(D248=4,база!$J$5,
IF(D248=5,база!$J$6)))</f>
        <v>196.05240000000001</v>
      </c>
      <c r="J248" s="417">
        <v>1</v>
      </c>
      <c r="K248" s="453">
        <f>SUMIFS(Таблица1[Столбец1],Таблица1[коэф],"1",Таблица1[р/р],"2/8",Таблица1[Ф. И. О.],B253)</f>
        <v>0</v>
      </c>
      <c r="L248" s="383">
        <f t="shared" si="43"/>
        <v>0</v>
      </c>
      <c r="M248" s="453"/>
      <c r="N248" s="453">
        <v>1</v>
      </c>
      <c r="O248" s="453">
        <f>SUMIFS(Data_Tech!$AM$3:$AM$67,Data_Tech!$E$3:$E$67,"1",Data_Tech!$G$3:$G$67,"3/12",Data_Tech!$F$3:$F$67,B253)</f>
        <v>0</v>
      </c>
      <c r="P248" s="398">
        <f>ROUND(M248*N248*O248,2)</f>
        <v>0</v>
      </c>
      <c r="Q248" s="377">
        <f>IF(D248&lt;=3,база!$L$4,
IF(D248=4,база!$L$5,
IF(D248=5,база!$L$6)))</f>
        <v>210.57480000000001</v>
      </c>
      <c r="R248" s="378">
        <v>1</v>
      </c>
      <c r="S248" s="489">
        <f>SUMIFS(Таблица1[Столбец1],Таблица1[коэф],"1",Таблица1[р/р],"3/16",Таблица1[Ф. И. О.],B253)</f>
        <v>0</v>
      </c>
      <c r="T248" s="490">
        <f t="shared" si="44"/>
        <v>0</v>
      </c>
      <c r="U248" s="454">
        <f>IF(D248&lt;=3,база!$M$4,
IF(D248=4,база!$M$5,
IF(D248=5,база!$M$6)))</f>
        <v>225.09719999999999</v>
      </c>
      <c r="V248" s="417">
        <v>1</v>
      </c>
      <c r="W248" s="500">
        <f>SUMIFS(Таблица1[Столбец1],Таблица1[коэф],"1",Таблица1[р/р],"3/24",Таблица1[Ф. И. О.],B253)</f>
        <v>0</v>
      </c>
      <c r="X248" s="490">
        <f t="shared" si="45"/>
        <v>0</v>
      </c>
      <c r="Y248" s="769">
        <f t="shared" ref="Y248" si="48">SUM(G248:G258,K248:K258,O248:O258,S248:S258,W248:W258)</f>
        <v>0</v>
      </c>
      <c r="Z248" s="768">
        <f t="shared" ref="Z248" si="49">IFERROR(SUM(H248:H258,L248:L258,T248:T258,X248:X258),"")</f>
        <v>0</v>
      </c>
      <c r="AA248" s="755"/>
    </row>
    <row r="249" spans="1:29" ht="18.75" customHeight="1">
      <c r="A249" s="756"/>
      <c r="B249" s="215"/>
      <c r="C249" s="759"/>
      <c r="D249" s="762"/>
      <c r="E249" s="389">
        <f>IF(D248&lt;=3,база!$I$4,
IF(D248=4,база!$I$5,
IF(D248=5,база!$I$6)))</f>
        <v>188.7912</v>
      </c>
      <c r="F249" s="390">
        <v>1</v>
      </c>
      <c r="G249" s="400">
        <f>SUMIFS(Таблица1[Столбец1],Таблица1[коэф],"1",Таблица1[р/р],"3/4",Таблица1[Ф. И. О.],B253)</f>
        <v>0</v>
      </c>
      <c r="H249" s="392">
        <f t="shared" si="42"/>
        <v>0</v>
      </c>
      <c r="I249" s="393">
        <f>IF(D248&lt;=3,база!$J$4,
IF(D248=4,база!$J$5,
IF(D248=5,база!$J$6)))</f>
        <v>196.05240000000001</v>
      </c>
      <c r="J249" s="390">
        <v>1</v>
      </c>
      <c r="K249" s="434">
        <f>SUMIFS(Таблица1[Столбец1],Таблица1[коэф],"1",Таблица1[р/р],"3/8",Таблица1[Ф. И. О.],B253)</f>
        <v>0</v>
      </c>
      <c r="L249" s="484">
        <f t="shared" si="43"/>
        <v>0</v>
      </c>
      <c r="M249" s="434"/>
      <c r="N249" s="434">
        <v>1</v>
      </c>
      <c r="O249" s="434">
        <f>SUMIFS(Data_Tech!$AM$3:$AM$67,Data_Tech!$E$3:$E$67,"1",Data_Tech!$G$3:$G$67,"4/12",Data_Tech!$F$3:$F$67,B253)</f>
        <v>0</v>
      </c>
      <c r="P249" s="406">
        <f>ROUND(M249*O249,2)</f>
        <v>0</v>
      </c>
      <c r="Q249" s="389">
        <f>база!$L$5</f>
        <v>231.45480000000001</v>
      </c>
      <c r="R249" s="390">
        <v>1</v>
      </c>
      <c r="S249" s="491">
        <f>SUMIFS(Таблица1[Столбец1],Таблица1[коэф],"1",Таблица1[р/р],"4/16",Таблица1[Ф. И. О.],B253)</f>
        <v>0</v>
      </c>
      <c r="T249" s="492">
        <f t="shared" si="44"/>
        <v>0</v>
      </c>
      <c r="U249" s="410">
        <f>база!$M$5</f>
        <v>247.41720000000001</v>
      </c>
      <c r="V249" s="390">
        <v>1</v>
      </c>
      <c r="W249" s="494">
        <f>SUMIFS(Таблица1[Столбец1],Таблица1[коэф],"1",Таблица1[р/р],"4/24",Таблица1[Ф. И. О.],B253)</f>
        <v>0</v>
      </c>
      <c r="X249" s="492">
        <f t="shared" si="45"/>
        <v>0</v>
      </c>
      <c r="Y249" s="770"/>
      <c r="Z249" s="766"/>
      <c r="AA249" s="756"/>
    </row>
    <row r="250" spans="1:29" ht="18.75" customHeight="1">
      <c r="A250" s="756"/>
      <c r="B250" s="215"/>
      <c r="C250" s="759"/>
      <c r="D250" s="762"/>
      <c r="E250" s="389"/>
      <c r="F250" s="390"/>
      <c r="G250" s="400"/>
      <c r="H250" s="392">
        <f t="shared" si="42"/>
        <v>0</v>
      </c>
      <c r="I250" s="393"/>
      <c r="J250" s="390"/>
      <c r="K250" s="434"/>
      <c r="L250" s="484">
        <f t="shared" si="43"/>
        <v>0</v>
      </c>
      <c r="M250" s="434"/>
      <c r="N250" s="434"/>
      <c r="O250" s="434"/>
      <c r="P250" s="406"/>
      <c r="Q250" s="389">
        <f>база!$L$6</f>
        <v>261.04640000000001</v>
      </c>
      <c r="R250" s="390">
        <v>1</v>
      </c>
      <c r="S250" s="491">
        <f>SUMIFS(Таблица1[Столбец1],Таблица1[коэф],"1",Таблица1[р/р],"5/16",Таблица1[Ф. И. О.],B253)</f>
        <v>0</v>
      </c>
      <c r="T250" s="492">
        <f t="shared" si="44"/>
        <v>0</v>
      </c>
      <c r="U250" s="410">
        <f>база!$M$6</f>
        <v>279.0496</v>
      </c>
      <c r="V250" s="390">
        <v>1</v>
      </c>
      <c r="W250" s="494">
        <f>SUMIFS(Таблица1[Столбец1],Таблица1[коэф],"1",Таблица1[р/р],"5/24",Таблица1[Ф. И. О.],B253)</f>
        <v>0</v>
      </c>
      <c r="X250" s="492">
        <f t="shared" si="45"/>
        <v>0</v>
      </c>
      <c r="Y250" s="770"/>
      <c r="Z250" s="766"/>
      <c r="AA250" s="756"/>
    </row>
    <row r="251" spans="1:29" ht="18.75" customHeight="1">
      <c r="A251" s="756"/>
      <c r="B251" s="215"/>
      <c r="C251" s="759"/>
      <c r="D251" s="762"/>
      <c r="E251" s="389"/>
      <c r="F251" s="390"/>
      <c r="G251" s="400"/>
      <c r="H251" s="392">
        <f t="shared" si="42"/>
        <v>0</v>
      </c>
      <c r="I251" s="393">
        <f>база!$J$5</f>
        <v>215.4924</v>
      </c>
      <c r="J251" s="390">
        <v>1.5</v>
      </c>
      <c r="K251" s="434">
        <f>SUMIFS(Таблица1[Столбец1],Таблица1[коэф],"1,5",Таблица1[р/р],"4/8",Таблица1[Ф. И. О.],B253)</f>
        <v>0</v>
      </c>
      <c r="L251" s="484">
        <f t="shared" si="43"/>
        <v>0</v>
      </c>
      <c r="M251" s="434"/>
      <c r="N251" s="434"/>
      <c r="O251" s="434"/>
      <c r="P251" s="406"/>
      <c r="Q251" s="389">
        <f>IF(D248&lt;=3,база!$L$4,
IF(D248=4,база!$L$5,
IF(D248=5,база!$L$6)))</f>
        <v>210.57480000000001</v>
      </c>
      <c r="R251" s="390">
        <v>1.2</v>
      </c>
      <c r="S251" s="491">
        <f>SUMIFS(Таблица1[Столбец1],Таблица1[коэф],"1,2",Таблица1[р/р],"3/16",Таблица1[Ф. И. О.],B253)</f>
        <v>0</v>
      </c>
      <c r="T251" s="492">
        <f t="shared" si="44"/>
        <v>0</v>
      </c>
      <c r="U251" s="410">
        <f>IF(D248&lt;=3,база!$M$4,
IF(D248=4,база!$M$5,
IF(D248=5,база!$M$6)))</f>
        <v>225.09719999999999</v>
      </c>
      <c r="V251" s="390">
        <v>1.2</v>
      </c>
      <c r="W251" s="494">
        <f>SUMIFS(Таблица1[Столбец1],Таблица1[коэф],"1,2",Таблица1[р/р],"3/24",Таблица1[Ф. И. О.],B253)</f>
        <v>0</v>
      </c>
      <c r="X251" s="492">
        <f t="shared" si="45"/>
        <v>0</v>
      </c>
      <c r="Y251" s="770"/>
      <c r="Z251" s="766"/>
      <c r="AA251" s="756"/>
    </row>
    <row r="252" spans="1:29" ht="18.75" customHeight="1">
      <c r="A252" s="756"/>
      <c r="B252" s="215"/>
      <c r="C252" s="759"/>
      <c r="D252" s="762"/>
      <c r="E252" s="389"/>
      <c r="F252" s="390"/>
      <c r="G252" s="400"/>
      <c r="H252" s="392">
        <f t="shared" si="42"/>
        <v>0</v>
      </c>
      <c r="I252" s="393">
        <f>база!$J$6</f>
        <v>243.04319999999998</v>
      </c>
      <c r="J252" s="390">
        <v>1.5</v>
      </c>
      <c r="K252" s="434">
        <f>SUMIFS(Таблица1[Столбец1],Таблица1[коэф],"1,5",Таблица1[р/р],"5/8",Таблица1[Ф. И. О.],B253)</f>
        <v>0</v>
      </c>
      <c r="L252" s="484">
        <f t="shared" si="43"/>
        <v>0</v>
      </c>
      <c r="M252" s="434"/>
      <c r="N252" s="434"/>
      <c r="O252" s="434"/>
      <c r="P252" s="406"/>
      <c r="Q252" s="389">
        <f>база!$L$5</f>
        <v>231.45480000000001</v>
      </c>
      <c r="R252" s="390">
        <v>1.2</v>
      </c>
      <c r="S252" s="491">
        <f>SUMIFS(Таблица1[Столбец1],Таблица1[коэф],"1,2",Таблица1[р/р],"4/16",Таблица1[Ф. И. О.],B253)</f>
        <v>0</v>
      </c>
      <c r="T252" s="492">
        <f t="shared" si="44"/>
        <v>0</v>
      </c>
      <c r="U252" s="410">
        <f>база!$M$5</f>
        <v>247.41720000000001</v>
      </c>
      <c r="V252" s="390">
        <v>1.2</v>
      </c>
      <c r="W252" s="494">
        <f>SUMIFS(Таблица1[Столбец1],Таблица1[коэф],"1,2",Таблица1[р/р],"4/24",Таблица1[Ф. И. О.],B253)</f>
        <v>0</v>
      </c>
      <c r="X252" s="492">
        <f t="shared" si="45"/>
        <v>0</v>
      </c>
      <c r="Y252" s="770"/>
      <c r="Z252" s="766"/>
      <c r="AA252" s="756"/>
    </row>
    <row r="253" spans="1:29" ht="18.75" customHeight="1">
      <c r="A253" s="756"/>
      <c r="B253" s="215" t="str">
        <f>база!B24</f>
        <v>Ескина Ксения Анатольевна</v>
      </c>
      <c r="C253" s="759"/>
      <c r="D253" s="762"/>
      <c r="E253" s="389"/>
      <c r="F253" s="390"/>
      <c r="G253" s="400"/>
      <c r="H253" s="392">
        <f t="shared" si="42"/>
        <v>0</v>
      </c>
      <c r="I253" s="393"/>
      <c r="J253" s="390"/>
      <c r="K253" s="434"/>
      <c r="L253" s="484">
        <f t="shared" si="43"/>
        <v>0</v>
      </c>
      <c r="M253" s="434"/>
      <c r="N253" s="434"/>
      <c r="O253" s="434"/>
      <c r="P253" s="406"/>
      <c r="Q253" s="389">
        <f>база!$L$6</f>
        <v>261.04640000000001</v>
      </c>
      <c r="R253" s="390">
        <v>1.2</v>
      </c>
      <c r="S253" s="491">
        <f>SUMIFS(Таблица1[Столбец1],Таблица1[коэф],"1,2",Таблица1[р/р],"5/16",Таблица1[Ф. И. О.],B253)</f>
        <v>0</v>
      </c>
      <c r="T253" s="492">
        <f t="shared" si="44"/>
        <v>0</v>
      </c>
      <c r="U253" s="410">
        <f>база!$M$6</f>
        <v>279.0496</v>
      </c>
      <c r="V253" s="390">
        <v>1.2</v>
      </c>
      <c r="W253" s="494">
        <f>SUMIFS(Таблица1[Столбец1],Таблица1[коэф],"1,2",Таблица1[р/р],"5/24",Таблица1[Ф. И. О.],B253)</f>
        <v>0</v>
      </c>
      <c r="X253" s="492">
        <f t="shared" si="45"/>
        <v>0</v>
      </c>
      <c r="Y253" s="770"/>
      <c r="Z253" s="766"/>
      <c r="AA253" s="756"/>
      <c r="AC253" s="712" t="str">
        <f>IF(SUMIFS(Таблица1[Столбец3],Таблица1[Ф. И. О.],B253)-Z248=0,"",SUMIFS(Таблица1[Столбец3],Таблица1[Ф. И. О.],B253)-Z248)</f>
        <v/>
      </c>
    </row>
    <row r="254" spans="1:29" ht="18.75" customHeight="1">
      <c r="A254" s="756"/>
      <c r="B254" s="215"/>
      <c r="C254" s="759"/>
      <c r="D254" s="762"/>
      <c r="E254" s="389"/>
      <c r="F254" s="390"/>
      <c r="G254" s="400"/>
      <c r="H254" s="392">
        <f t="shared" si="42"/>
        <v>0</v>
      </c>
      <c r="I254" s="393"/>
      <c r="J254" s="390"/>
      <c r="K254" s="434"/>
      <c r="L254" s="484">
        <f t="shared" si="43"/>
        <v>0</v>
      </c>
      <c r="M254" s="434"/>
      <c r="N254" s="434"/>
      <c r="O254" s="434"/>
      <c r="P254" s="406"/>
      <c r="Q254" s="389">
        <f>IF(D248&lt;=3,база!$L$4,
IF(D248=4,база!$L$5,
IF(D248=5,база!$L$6)))</f>
        <v>210.57480000000001</v>
      </c>
      <c r="R254" s="390">
        <v>1.3</v>
      </c>
      <c r="S254" s="491">
        <f>SUMIFS(Таблица1[Столбец1],Таблица1[коэф],"1,3",Таблица1[р/р],"3/16",Таблица1[Ф. И. О.],B253)</f>
        <v>0</v>
      </c>
      <c r="T254" s="492">
        <f t="shared" si="44"/>
        <v>0</v>
      </c>
      <c r="U254" s="410">
        <f>IF(D248&lt;=3,база!$M$4,
IF(D248=4,база!$M$5,
IF(D248=5,база!$M$6)))</f>
        <v>225.09719999999999</v>
      </c>
      <c r="V254" s="390">
        <v>1.3</v>
      </c>
      <c r="W254" s="494">
        <f>SUMIFS(Таблица1[Столбец1],Таблица1[коэф],"1,3",Таблица1[р/р],"3/24",Таблица1[Ф. И. О.],B253)</f>
        <v>0</v>
      </c>
      <c r="X254" s="492">
        <f t="shared" si="45"/>
        <v>0</v>
      </c>
      <c r="Y254" s="770"/>
      <c r="Z254" s="766"/>
      <c r="AA254" s="756"/>
      <c r="AC254" s="712" t="str">
        <f>IF(SUMIFS(Таблица1[Столбец1],Таблица1[Ф. И. О.],B253)=Y248,"",B253&amp;"  часы не верны")</f>
        <v/>
      </c>
    </row>
    <row r="255" spans="1:29" ht="18.75" customHeight="1">
      <c r="A255" s="756"/>
      <c r="B255" s="215"/>
      <c r="C255" s="759"/>
      <c r="D255" s="762"/>
      <c r="E255" s="389"/>
      <c r="F255" s="390"/>
      <c r="G255" s="400"/>
      <c r="H255" s="392">
        <f t="shared" si="42"/>
        <v>0</v>
      </c>
      <c r="I255" s="393"/>
      <c r="J255" s="390"/>
      <c r="K255" s="434"/>
      <c r="L255" s="484">
        <f t="shared" si="43"/>
        <v>0</v>
      </c>
      <c r="M255" s="434"/>
      <c r="N255" s="434"/>
      <c r="O255" s="434"/>
      <c r="P255" s="406"/>
      <c r="Q255" s="389">
        <f>база!$L$5</f>
        <v>231.45480000000001</v>
      </c>
      <c r="R255" s="390">
        <v>1.3</v>
      </c>
      <c r="S255" s="491">
        <f>SUMIFS(Таблица1[Столбец1],Таблица1[коэф],"1,3",Таблица1[р/р],"4/16",Таблица1[Ф. И. О.],B253)</f>
        <v>0</v>
      </c>
      <c r="T255" s="492">
        <f t="shared" si="44"/>
        <v>0</v>
      </c>
      <c r="U255" s="410">
        <f>база!$M$5</f>
        <v>247.41720000000001</v>
      </c>
      <c r="V255" s="390">
        <v>1.3</v>
      </c>
      <c r="W255" s="494">
        <f>SUMIFS(Таблица1[Столбец1],Таблица1[коэф],"1,3",Таблица1[р/р],"4/24",Таблица1[Ф. И. О.],B253)</f>
        <v>0</v>
      </c>
      <c r="X255" s="492">
        <f t="shared" si="45"/>
        <v>0</v>
      </c>
      <c r="Y255" s="770"/>
      <c r="Z255" s="766"/>
      <c r="AA255" s="756"/>
    </row>
    <row r="256" spans="1:29" ht="18.75" customHeight="1">
      <c r="A256" s="756"/>
      <c r="B256" s="215"/>
      <c r="C256" s="759"/>
      <c r="D256" s="762"/>
      <c r="E256" s="389"/>
      <c r="F256" s="390"/>
      <c r="G256" s="400"/>
      <c r="H256" s="392">
        <f t="shared" si="42"/>
        <v>0</v>
      </c>
      <c r="I256" s="393"/>
      <c r="J256" s="390"/>
      <c r="K256" s="434"/>
      <c r="L256" s="484">
        <f t="shared" si="43"/>
        <v>0</v>
      </c>
      <c r="M256" s="434"/>
      <c r="N256" s="434"/>
      <c r="O256" s="434"/>
      <c r="P256" s="406"/>
      <c r="Q256" s="389">
        <f>IF(D248&lt;=3,база!$L$4,
IF(D248=4,база!$L$5,
IF(D248=5,база!$L$6)))</f>
        <v>210.57480000000001</v>
      </c>
      <c r="R256" s="390">
        <v>1.4</v>
      </c>
      <c r="S256" s="491">
        <f>SUMIFS(Таблица1[Столбец1],Таблица1[коэф],"1,4",Таблица1[р/р],"3/16",Таблица1[Ф. И. О.],B253)</f>
        <v>0</v>
      </c>
      <c r="T256" s="492">
        <f t="shared" si="44"/>
        <v>0</v>
      </c>
      <c r="U256" s="410">
        <f>IF(D248&lt;=3,база!$M$4,
IF(D248=4,база!$M$5,
IF(D248=5,база!$M$6)))</f>
        <v>225.09719999999999</v>
      </c>
      <c r="V256" s="390">
        <v>1.4</v>
      </c>
      <c r="W256" s="494">
        <f>SUMIFS(Таблица1[Столбец1],Таблица1[коэф],"1,4",Таблица1[р/р],"3/24",Таблица1[Ф. И. О.],B253)</f>
        <v>0</v>
      </c>
      <c r="X256" s="492">
        <f t="shared" si="45"/>
        <v>0</v>
      </c>
      <c r="Y256" s="770"/>
      <c r="Z256" s="766"/>
      <c r="AA256" s="756"/>
    </row>
    <row r="257" spans="1:29" ht="18.75" customHeight="1">
      <c r="A257" s="756"/>
      <c r="B257" s="215"/>
      <c r="C257" s="759"/>
      <c r="D257" s="762"/>
      <c r="E257" s="389"/>
      <c r="F257" s="390"/>
      <c r="G257" s="400"/>
      <c r="H257" s="392">
        <f t="shared" si="42"/>
        <v>0</v>
      </c>
      <c r="I257" s="393"/>
      <c r="J257" s="390"/>
      <c r="K257" s="434"/>
      <c r="L257" s="484">
        <f t="shared" si="43"/>
        <v>0</v>
      </c>
      <c r="M257" s="434"/>
      <c r="N257" s="434"/>
      <c r="O257" s="434"/>
      <c r="P257" s="406"/>
      <c r="Q257" s="389">
        <f>база!$L$5</f>
        <v>231.45480000000001</v>
      </c>
      <c r="R257" s="390">
        <v>1.4</v>
      </c>
      <c r="S257" s="491">
        <f>SUMIFS(Таблица1[Столбец1],Таблица1[коэф],"1,4",Таблица1[р/р],"4/16",Таблица1[Ф. И. О.],B253)</f>
        <v>0</v>
      </c>
      <c r="T257" s="492">
        <f t="shared" si="44"/>
        <v>0</v>
      </c>
      <c r="U257" s="410">
        <f>база!$M$5</f>
        <v>247.41720000000001</v>
      </c>
      <c r="V257" s="390">
        <v>1.4</v>
      </c>
      <c r="W257" s="494">
        <f>SUMIFS(Таблица1[Столбец1],Таблица1[коэф],"1,4",Таблица1[р/р],"4/24",Таблица1[Ф. И. О.],B253)</f>
        <v>0</v>
      </c>
      <c r="X257" s="492">
        <f t="shared" si="45"/>
        <v>0</v>
      </c>
      <c r="Y257" s="770"/>
      <c r="Z257" s="766"/>
      <c r="AA257" s="756"/>
    </row>
    <row r="258" spans="1:29" ht="19.5" customHeight="1" thickBot="1">
      <c r="A258" s="757"/>
      <c r="B258" s="202"/>
      <c r="C258" s="760"/>
      <c r="D258" s="763"/>
      <c r="E258" s="473"/>
      <c r="F258" s="464"/>
      <c r="G258" s="465"/>
      <c r="H258" s="468">
        <f t="shared" si="42"/>
        <v>0</v>
      </c>
      <c r="I258" s="473"/>
      <c r="J258" s="464"/>
      <c r="K258" s="457"/>
      <c r="L258" s="484">
        <f t="shared" si="43"/>
        <v>0</v>
      </c>
      <c r="M258" s="460"/>
      <c r="N258" s="460"/>
      <c r="O258" s="460"/>
      <c r="P258" s="479"/>
      <c r="Q258" s="473">
        <f>база!$L$6</f>
        <v>261.04640000000001</v>
      </c>
      <c r="R258" s="464">
        <v>1.4</v>
      </c>
      <c r="S258" s="512">
        <f>SUMIFS(Таблица1[Столбец1],Таблица1[коэф],"1,4",Таблица1[р/р],"5/16",Таблица1[Ф. И. О.],B253)</f>
        <v>0</v>
      </c>
      <c r="T258" s="492">
        <f t="shared" si="44"/>
        <v>0</v>
      </c>
      <c r="U258" s="474">
        <f>база!$M$6</f>
        <v>279.0496</v>
      </c>
      <c r="V258" s="464">
        <v>1.4</v>
      </c>
      <c r="W258" s="501">
        <f>SUMIFS(Таблица1[Столбец1],Таблица1[коэф],"1,4",Таблица1[р/р],"5/24",Таблица1[Ф. И. О.],B253)</f>
        <v>0</v>
      </c>
      <c r="X258" s="492">
        <f t="shared" si="45"/>
        <v>0</v>
      </c>
      <c r="Y258" s="771"/>
      <c r="Z258" s="767"/>
      <c r="AA258" s="757"/>
    </row>
    <row r="259" spans="1:29" ht="18.75" customHeight="1">
      <c r="A259" s="755">
        <v>24</v>
      </c>
      <c r="B259" s="215"/>
      <c r="C259" s="758">
        <f>INDEX(база!$E$2:$E$81, MATCH(B264,база!$B$2:$B$50,0))</f>
        <v>0</v>
      </c>
      <c r="D259" s="761">
        <f>INDEX(база!$D$2:$D$89, MATCH(B264,база!$B$2:$B$50,0))</f>
        <v>3</v>
      </c>
      <c r="E259" s="377">
        <f>IF(D259&lt;=3,база!$I$4,
IF(D259=4,база!$I$5,
IF(D259=5,база!$I$6)))</f>
        <v>188.7912</v>
      </c>
      <c r="F259" s="378">
        <v>1</v>
      </c>
      <c r="G259" s="387">
        <f>SUMIFS(Таблица1[Столбец1],Таблица1[коэф],"1",Таблица1[р/р],"2/4",Таблица1[Ф. И. О.],B264)</f>
        <v>0</v>
      </c>
      <c r="H259" s="402">
        <f t="shared" ref="H259:H280" si="50">ROUND(E259*F259*G259*2,2)</f>
        <v>0</v>
      </c>
      <c r="I259" s="451">
        <f>IF(D259&lt;=3,база!$J$4,
IF(D259=4,база!$J$5,
IF(D259=5,база!$J$6)))</f>
        <v>196.05240000000001</v>
      </c>
      <c r="J259" s="417">
        <v>1</v>
      </c>
      <c r="K259" s="453">
        <f>SUMIFS(Таблица1[Столбец1],Таблица1[коэф],"1",Таблица1[р/р],"2/8",Таблица1[Ф. И. О.],B264)</f>
        <v>0</v>
      </c>
      <c r="L259" s="383">
        <f t="shared" ref="L259:L280" si="51">ROUND(I259*J259*K259*2,2)</f>
        <v>0</v>
      </c>
      <c r="M259" s="453"/>
      <c r="N259" s="453">
        <v>1</v>
      </c>
      <c r="O259" s="453">
        <f>SUMIFS(Data_Tech!$AM$3:$AM$67,Data_Tech!$E$3:$E$67,"1",Data_Tech!$G$3:$G$67,"3/12",Data_Tech!$F$3:$F$67,B264)</f>
        <v>0</v>
      </c>
      <c r="P259" s="398">
        <f>ROUND(M259*N259*O259,2)</f>
        <v>0</v>
      </c>
      <c r="Q259" s="377">
        <f>IF(D259&lt;=3,база!$L$4,
IF(D259=4,база!$L$5,
IF(D259=5,база!$L$6)))</f>
        <v>210.57480000000001</v>
      </c>
      <c r="R259" s="378">
        <v>1</v>
      </c>
      <c r="S259" s="489">
        <f>SUMIFS(Таблица1[Столбец1],Таблица1[коэф],"1",Таблица1[р/р],"3/16",Таблица1[Ф. И. О.],B264)</f>
        <v>0</v>
      </c>
      <c r="T259" s="490">
        <f t="shared" ref="T259:T280" si="52">ROUND(Q259*R259*S259*2,2)</f>
        <v>0</v>
      </c>
      <c r="U259" s="454">
        <f>IF(D259&lt;=3,база!$M$4,
IF(D259=4,база!$M$5,
IF(D259=5,база!$M$6)))</f>
        <v>225.09719999999999</v>
      </c>
      <c r="V259" s="417">
        <v>1</v>
      </c>
      <c r="W259" s="500">
        <f>SUMIFS(Таблица1[Столбец1],Таблица1[коэф],"1",Таблица1[р/р],"3/24",Таблица1[Ф. И. О.],B264)</f>
        <v>0</v>
      </c>
      <c r="X259" s="490">
        <f t="shared" ref="X259:X280" si="53">ROUND(U259*V259*W259*2,2)</f>
        <v>0</v>
      </c>
      <c r="Y259" s="769">
        <f t="shared" ref="Y259" si="54">SUM(G259:G269,K259:K269,O259:O269,S259:S269,W259:W269)</f>
        <v>0</v>
      </c>
      <c r="Z259" s="768">
        <f t="shared" ref="Z259" si="55">IFERROR(SUM(H259:H269,L259:L269,T259:T269,X259:X269),"")</f>
        <v>0</v>
      </c>
      <c r="AA259" s="755"/>
    </row>
    <row r="260" spans="1:29" ht="18.75" customHeight="1">
      <c r="A260" s="756"/>
      <c r="B260" s="215"/>
      <c r="C260" s="759"/>
      <c r="D260" s="762"/>
      <c r="E260" s="389">
        <f>IF(D259&lt;=3,база!$I$4,
IF(D259=4,база!$I$5,
IF(D259=5,база!$I$6)))</f>
        <v>188.7912</v>
      </c>
      <c r="F260" s="390">
        <v>1</v>
      </c>
      <c r="G260" s="400">
        <f>SUMIFS(Таблица1[Столбец1],Таблица1[коэф],"1",Таблица1[р/р],"3/4",Таблица1[Ф. И. О.],B264)</f>
        <v>0</v>
      </c>
      <c r="H260" s="392">
        <f t="shared" si="50"/>
        <v>0</v>
      </c>
      <c r="I260" s="393">
        <f>IF(D259&lt;=3,база!$J$4,
IF(D259=4,база!$J$5,
IF(D259=5,база!$J$6)))</f>
        <v>196.05240000000001</v>
      </c>
      <c r="J260" s="390">
        <v>1</v>
      </c>
      <c r="K260" s="434">
        <f>SUMIFS(Таблица1[Столбец1],Таблица1[коэф],"1",Таблица1[р/р],"3/8",Таблица1[Ф. И. О.],B264)</f>
        <v>0</v>
      </c>
      <c r="L260" s="484">
        <f t="shared" si="51"/>
        <v>0</v>
      </c>
      <c r="M260" s="434"/>
      <c r="N260" s="434">
        <v>1</v>
      </c>
      <c r="O260" s="434">
        <f>SUMIFS(Data_Tech!$AM$3:$AM$67,Data_Tech!$E$3:$E$67,"1",Data_Tech!$G$3:$G$67,"4/12",Data_Tech!$F$3:$F$67,B264)</f>
        <v>0</v>
      </c>
      <c r="P260" s="406">
        <f>ROUND(M260*O260,2)</f>
        <v>0</v>
      </c>
      <c r="Q260" s="389">
        <f>база!$L$5</f>
        <v>231.45480000000001</v>
      </c>
      <c r="R260" s="390">
        <v>1</v>
      </c>
      <c r="S260" s="491">
        <f>SUMIFS(Таблица1[Столбец1],Таблица1[коэф],"1",Таблица1[р/р],"4/16",Таблица1[Ф. И. О.],B264)</f>
        <v>0</v>
      </c>
      <c r="T260" s="492">
        <f t="shared" si="52"/>
        <v>0</v>
      </c>
      <c r="U260" s="410">
        <f>база!$M$5</f>
        <v>247.41720000000001</v>
      </c>
      <c r="V260" s="390">
        <v>1</v>
      </c>
      <c r="W260" s="494">
        <f>SUMIFS(Таблица1[Столбец1],Таблица1[коэф],"1",Таблица1[р/р],"4/24",Таблица1[Ф. И. О.],B264)</f>
        <v>0</v>
      </c>
      <c r="X260" s="492">
        <f t="shared" si="53"/>
        <v>0</v>
      </c>
      <c r="Y260" s="770"/>
      <c r="Z260" s="766"/>
      <c r="AA260" s="756"/>
    </row>
    <row r="261" spans="1:29" ht="18.75" customHeight="1">
      <c r="A261" s="756"/>
      <c r="B261" s="215"/>
      <c r="C261" s="759"/>
      <c r="D261" s="762"/>
      <c r="E261" s="389"/>
      <c r="F261" s="390"/>
      <c r="G261" s="400"/>
      <c r="H261" s="392">
        <f t="shared" si="50"/>
        <v>0</v>
      </c>
      <c r="I261" s="393"/>
      <c r="J261" s="390"/>
      <c r="K261" s="434"/>
      <c r="L261" s="484">
        <f t="shared" si="51"/>
        <v>0</v>
      </c>
      <c r="M261" s="434"/>
      <c r="N261" s="434"/>
      <c r="O261" s="434"/>
      <c r="P261" s="406"/>
      <c r="Q261" s="389">
        <f>база!$L$6</f>
        <v>261.04640000000001</v>
      </c>
      <c r="R261" s="390">
        <v>1</v>
      </c>
      <c r="S261" s="491">
        <f>SUMIFS(Таблица1[Столбец1],Таблица1[коэф],"1",Таблица1[р/р],"5/16",Таблица1[Ф. И. О.],B264)</f>
        <v>0</v>
      </c>
      <c r="T261" s="492">
        <f t="shared" si="52"/>
        <v>0</v>
      </c>
      <c r="U261" s="410">
        <f>база!$M$6</f>
        <v>279.0496</v>
      </c>
      <c r="V261" s="390">
        <v>1</v>
      </c>
      <c r="W261" s="494">
        <f>SUMIFS(Таблица1[Столбец1],Таблица1[коэф],"1",Таблица1[р/р],"5/24",Таблица1[Ф. И. О.],B264)</f>
        <v>0</v>
      </c>
      <c r="X261" s="492">
        <f t="shared" si="53"/>
        <v>0</v>
      </c>
      <c r="Y261" s="770"/>
      <c r="Z261" s="766"/>
      <c r="AA261" s="756"/>
    </row>
    <row r="262" spans="1:29" ht="18.75" customHeight="1">
      <c r="A262" s="756"/>
      <c r="B262" s="215"/>
      <c r="C262" s="759"/>
      <c r="D262" s="762"/>
      <c r="E262" s="389"/>
      <c r="F262" s="390"/>
      <c r="G262" s="400"/>
      <c r="H262" s="392">
        <f t="shared" si="50"/>
        <v>0</v>
      </c>
      <c r="I262" s="393">
        <f>база!$J$5</f>
        <v>215.4924</v>
      </c>
      <c r="J262" s="390">
        <v>1.5</v>
      </c>
      <c r="K262" s="434">
        <f>SUMIFS(Таблица1[Столбец1],Таблица1[коэф],"1,5",Таблица1[р/р],"4/8",Таблица1[Ф. И. О.],B264)</f>
        <v>0</v>
      </c>
      <c r="L262" s="484">
        <f t="shared" si="51"/>
        <v>0</v>
      </c>
      <c r="M262" s="434"/>
      <c r="N262" s="434"/>
      <c r="O262" s="434"/>
      <c r="P262" s="406"/>
      <c r="Q262" s="389">
        <f>IF(D259&lt;=3,база!$L$4,
IF(D259=4,база!$L$5,
IF(D259=5,база!$L$6)))</f>
        <v>210.57480000000001</v>
      </c>
      <c r="R262" s="390">
        <v>1.2</v>
      </c>
      <c r="S262" s="491">
        <f>SUMIFS(Таблица1[Столбец1],Таблица1[коэф],"1,2",Таблица1[р/р],"3/16",Таблица1[Ф. И. О.],B264)</f>
        <v>0</v>
      </c>
      <c r="T262" s="492">
        <f t="shared" si="52"/>
        <v>0</v>
      </c>
      <c r="U262" s="410">
        <f>IF(D259&lt;=3,база!$M$4,
IF(D259=4,база!$M$5,
IF(D259=5,база!$M$6)))</f>
        <v>225.09719999999999</v>
      </c>
      <c r="V262" s="390">
        <v>1.2</v>
      </c>
      <c r="W262" s="494">
        <f>SUMIFS(Таблица1[Столбец1],Таблица1[коэф],"1,2",Таблица1[р/р],"3/24",Таблица1[Ф. И. О.],B264)</f>
        <v>0</v>
      </c>
      <c r="X262" s="492">
        <f t="shared" si="53"/>
        <v>0</v>
      </c>
      <c r="Y262" s="770"/>
      <c r="Z262" s="766"/>
      <c r="AA262" s="756"/>
    </row>
    <row r="263" spans="1:29" ht="18.75" customHeight="1">
      <c r="A263" s="756"/>
      <c r="B263" s="215"/>
      <c r="C263" s="759"/>
      <c r="D263" s="762"/>
      <c r="E263" s="389"/>
      <c r="F263" s="390"/>
      <c r="G263" s="400"/>
      <c r="H263" s="392">
        <f t="shared" si="50"/>
        <v>0</v>
      </c>
      <c r="I263" s="393">
        <f>база!$J$6</f>
        <v>243.04319999999998</v>
      </c>
      <c r="J263" s="390">
        <v>1.5</v>
      </c>
      <c r="K263" s="434">
        <f>SUMIFS(Таблица1[Столбец1],Таблица1[коэф],"1,5",Таблица1[р/р],"5/8",Таблица1[Ф. И. О.],B264)</f>
        <v>0</v>
      </c>
      <c r="L263" s="484">
        <f t="shared" si="51"/>
        <v>0</v>
      </c>
      <c r="M263" s="434"/>
      <c r="N263" s="434"/>
      <c r="O263" s="434"/>
      <c r="P263" s="406"/>
      <c r="Q263" s="389">
        <f>база!$L$5</f>
        <v>231.45480000000001</v>
      </c>
      <c r="R263" s="390">
        <v>1.2</v>
      </c>
      <c r="S263" s="491">
        <f>SUMIFS(Таблица1[Столбец1],Таблица1[коэф],"1,2",Таблица1[р/р],"4/16",Таблица1[Ф. И. О.],B264)</f>
        <v>0</v>
      </c>
      <c r="T263" s="492">
        <f t="shared" si="52"/>
        <v>0</v>
      </c>
      <c r="U263" s="410">
        <f>база!$M$5</f>
        <v>247.41720000000001</v>
      </c>
      <c r="V263" s="390">
        <v>1.2</v>
      </c>
      <c r="W263" s="494">
        <f>SUMIFS(Таблица1[Столбец1],Таблица1[коэф],"1,2",Таблица1[р/р],"4/24",Таблица1[Ф. И. О.],B264)</f>
        <v>0</v>
      </c>
      <c r="X263" s="492">
        <f t="shared" si="53"/>
        <v>0</v>
      </c>
      <c r="Y263" s="770"/>
      <c r="Z263" s="766"/>
      <c r="AA263" s="756"/>
    </row>
    <row r="264" spans="1:29" ht="18.75" customHeight="1">
      <c r="A264" s="756"/>
      <c r="B264" s="215" t="str">
        <f>база!B25</f>
        <v>Ефремова Юлия Сергеевна</v>
      </c>
      <c r="C264" s="759"/>
      <c r="D264" s="762"/>
      <c r="E264" s="389"/>
      <c r="F264" s="390"/>
      <c r="G264" s="400"/>
      <c r="H264" s="392">
        <f t="shared" si="50"/>
        <v>0</v>
      </c>
      <c r="I264" s="393"/>
      <c r="J264" s="390"/>
      <c r="K264" s="434"/>
      <c r="L264" s="484">
        <f t="shared" si="51"/>
        <v>0</v>
      </c>
      <c r="M264" s="434"/>
      <c r="N264" s="434"/>
      <c r="O264" s="434"/>
      <c r="P264" s="406"/>
      <c r="Q264" s="389">
        <f>база!$L$6</f>
        <v>261.04640000000001</v>
      </c>
      <c r="R264" s="390">
        <v>1.2</v>
      </c>
      <c r="S264" s="491">
        <f>SUMIFS(Таблица1[Столбец1],Таблица1[коэф],"1,2",Таблица1[р/р],"5/16",Таблица1[Ф. И. О.],B264)</f>
        <v>0</v>
      </c>
      <c r="T264" s="492">
        <f t="shared" si="52"/>
        <v>0</v>
      </c>
      <c r="U264" s="410">
        <f>база!$M$6</f>
        <v>279.0496</v>
      </c>
      <c r="V264" s="390">
        <v>1.2</v>
      </c>
      <c r="W264" s="494">
        <f>SUMIFS(Таблица1[Столбец1],Таблица1[коэф],"1,2",Таблица1[р/р],"5/24",Таблица1[Ф. И. О.],B264)</f>
        <v>0</v>
      </c>
      <c r="X264" s="492">
        <f t="shared" si="53"/>
        <v>0</v>
      </c>
      <c r="Y264" s="770"/>
      <c r="Z264" s="766"/>
      <c r="AA264" s="756"/>
      <c r="AC264" s="712" t="str">
        <f>IF(SUMIFS(Таблица1[Столбец3],Таблица1[Ф. И. О.],B264)-Z259=0,"",SUMIFS(Таблица1[Столбец3],Таблица1[Ф. И. О.],B264)-Z259)</f>
        <v/>
      </c>
    </row>
    <row r="265" spans="1:29" ht="18.75" customHeight="1">
      <c r="A265" s="756"/>
      <c r="B265" s="215"/>
      <c r="C265" s="759"/>
      <c r="D265" s="762"/>
      <c r="E265" s="389"/>
      <c r="F265" s="390"/>
      <c r="G265" s="400"/>
      <c r="H265" s="392">
        <f t="shared" si="50"/>
        <v>0</v>
      </c>
      <c r="I265" s="393"/>
      <c r="J265" s="390"/>
      <c r="K265" s="434"/>
      <c r="L265" s="484">
        <f t="shared" si="51"/>
        <v>0</v>
      </c>
      <c r="M265" s="434"/>
      <c r="N265" s="434"/>
      <c r="O265" s="434"/>
      <c r="P265" s="406"/>
      <c r="Q265" s="389">
        <f>IF(D259&lt;=3,база!$L$4,
IF(D259=4,база!$L$5,
IF(D259=5,база!$L$6)))</f>
        <v>210.57480000000001</v>
      </c>
      <c r="R265" s="390">
        <v>1.3</v>
      </c>
      <c r="S265" s="491">
        <f>SUMIFS(Таблица1[Столбец1],Таблица1[коэф],"1,3",Таблица1[р/р],"3/16",Таблица1[Ф. И. О.],B264)</f>
        <v>0</v>
      </c>
      <c r="T265" s="492">
        <f t="shared" si="52"/>
        <v>0</v>
      </c>
      <c r="U265" s="410">
        <f>IF(D259&lt;=3,база!$M$4,
IF(D259=4,база!$M$5,
IF(D259=5,база!$M$6)))</f>
        <v>225.09719999999999</v>
      </c>
      <c r="V265" s="390">
        <v>1.3</v>
      </c>
      <c r="W265" s="494">
        <f>SUMIFS(Таблица1[Столбец1],Таблица1[коэф],"1,3",Таблица1[р/р],"3/24",Таблица1[Ф. И. О.],B264)</f>
        <v>0</v>
      </c>
      <c r="X265" s="492">
        <f t="shared" si="53"/>
        <v>0</v>
      </c>
      <c r="Y265" s="770"/>
      <c r="Z265" s="766"/>
      <c r="AA265" s="756"/>
      <c r="AC265" s="712" t="str">
        <f>IF(SUMIFS(Таблица1[Столбец1],Таблица1[Ф. И. О.],B264)=Y259,"",B264&amp;"  часы не верны")</f>
        <v/>
      </c>
    </row>
    <row r="266" spans="1:29" ht="18.75" customHeight="1">
      <c r="A266" s="756"/>
      <c r="B266" s="215"/>
      <c r="C266" s="759"/>
      <c r="D266" s="762"/>
      <c r="E266" s="389"/>
      <c r="F266" s="390"/>
      <c r="G266" s="400"/>
      <c r="H266" s="392">
        <f t="shared" si="50"/>
        <v>0</v>
      </c>
      <c r="I266" s="393"/>
      <c r="J266" s="390"/>
      <c r="K266" s="434"/>
      <c r="L266" s="484">
        <f t="shared" si="51"/>
        <v>0</v>
      </c>
      <c r="M266" s="434"/>
      <c r="N266" s="434"/>
      <c r="O266" s="434"/>
      <c r="P266" s="406"/>
      <c r="Q266" s="389">
        <f>база!$L$5</f>
        <v>231.45480000000001</v>
      </c>
      <c r="R266" s="390">
        <v>1.3</v>
      </c>
      <c r="S266" s="491">
        <f>SUMIFS(Таблица1[Столбец1],Таблица1[коэф],"1,3",Таблица1[р/р],"4/16",Таблица1[Ф. И. О.],B264)</f>
        <v>0</v>
      </c>
      <c r="T266" s="492">
        <f t="shared" si="52"/>
        <v>0</v>
      </c>
      <c r="U266" s="410">
        <f>база!$M$5</f>
        <v>247.41720000000001</v>
      </c>
      <c r="V266" s="390">
        <v>1.3</v>
      </c>
      <c r="W266" s="494">
        <f>SUMIFS(Таблица1[Столбец1],Таблица1[коэф],"1,3",Таблица1[р/р],"4/24",Таблица1[Ф. И. О.],B264)</f>
        <v>0</v>
      </c>
      <c r="X266" s="492">
        <f t="shared" si="53"/>
        <v>0</v>
      </c>
      <c r="Y266" s="770"/>
      <c r="Z266" s="766"/>
      <c r="AA266" s="756"/>
    </row>
    <row r="267" spans="1:29" ht="18.75" customHeight="1">
      <c r="A267" s="756"/>
      <c r="B267" s="215"/>
      <c r="C267" s="759"/>
      <c r="D267" s="762"/>
      <c r="E267" s="389"/>
      <c r="F267" s="390"/>
      <c r="G267" s="400"/>
      <c r="H267" s="392">
        <f t="shared" si="50"/>
        <v>0</v>
      </c>
      <c r="I267" s="393"/>
      <c r="J267" s="390"/>
      <c r="K267" s="434"/>
      <c r="L267" s="484">
        <f t="shared" si="51"/>
        <v>0</v>
      </c>
      <c r="M267" s="434"/>
      <c r="N267" s="434"/>
      <c r="O267" s="434"/>
      <c r="P267" s="406"/>
      <c r="Q267" s="389">
        <f>IF(D259&lt;=3,база!$L$4,
IF(D259=4,база!$L$5,
IF(D259=5,база!$L$6)))</f>
        <v>210.57480000000001</v>
      </c>
      <c r="R267" s="390">
        <v>1.4</v>
      </c>
      <c r="S267" s="491">
        <f>SUMIFS(Таблица1[Столбец1],Таблица1[коэф],"1,4",Таблица1[р/р],"3/16",Таблица1[Ф. И. О.],B264)</f>
        <v>0</v>
      </c>
      <c r="T267" s="492">
        <f t="shared" si="52"/>
        <v>0</v>
      </c>
      <c r="U267" s="410">
        <f>IF(D259&lt;=3,база!$M$4,
IF(D259=4,база!$M$5,
IF(D259=5,база!$M$6)))</f>
        <v>225.09719999999999</v>
      </c>
      <c r="V267" s="390">
        <v>1.4</v>
      </c>
      <c r="W267" s="494">
        <f>SUMIFS(Таблица1[Столбец1],Таблица1[коэф],"1,4",Таблица1[р/р],"3/24",Таблица1[Ф. И. О.],B264)</f>
        <v>0</v>
      </c>
      <c r="X267" s="492">
        <f t="shared" si="53"/>
        <v>0</v>
      </c>
      <c r="Y267" s="770"/>
      <c r="Z267" s="766"/>
      <c r="AA267" s="756"/>
    </row>
    <row r="268" spans="1:29" ht="18.75" customHeight="1">
      <c r="A268" s="756"/>
      <c r="B268" s="215"/>
      <c r="C268" s="759"/>
      <c r="D268" s="762"/>
      <c r="E268" s="389"/>
      <c r="F268" s="390"/>
      <c r="G268" s="400"/>
      <c r="H268" s="392">
        <f t="shared" si="50"/>
        <v>0</v>
      </c>
      <c r="I268" s="393"/>
      <c r="J268" s="390"/>
      <c r="K268" s="434"/>
      <c r="L268" s="484">
        <f t="shared" si="51"/>
        <v>0</v>
      </c>
      <c r="M268" s="434"/>
      <c r="N268" s="434"/>
      <c r="O268" s="434"/>
      <c r="P268" s="406"/>
      <c r="Q268" s="389">
        <f>база!$L$5</f>
        <v>231.45480000000001</v>
      </c>
      <c r="R268" s="390">
        <v>1.4</v>
      </c>
      <c r="S268" s="491">
        <f>SUMIFS(Таблица1[Столбец1],Таблица1[коэф],"1,4",Таблица1[р/р],"4/16",Таблица1[Ф. И. О.],B264)</f>
        <v>0</v>
      </c>
      <c r="T268" s="492">
        <f t="shared" si="52"/>
        <v>0</v>
      </c>
      <c r="U268" s="410">
        <f>база!$M$5</f>
        <v>247.41720000000001</v>
      </c>
      <c r="V268" s="390">
        <v>1.4</v>
      </c>
      <c r="W268" s="494">
        <f>SUMIFS(Таблица1[Столбец1],Таблица1[коэф],"1,4",Таблица1[р/р],"4/24",Таблица1[Ф. И. О.],B264)</f>
        <v>0</v>
      </c>
      <c r="X268" s="492">
        <f t="shared" si="53"/>
        <v>0</v>
      </c>
      <c r="Y268" s="770"/>
      <c r="Z268" s="766"/>
      <c r="AA268" s="756"/>
    </row>
    <row r="269" spans="1:29" ht="19.5" customHeight="1" thickBot="1">
      <c r="A269" s="757"/>
      <c r="B269" s="215"/>
      <c r="C269" s="760"/>
      <c r="D269" s="763"/>
      <c r="E269" s="473"/>
      <c r="F269" s="464"/>
      <c r="G269" s="465"/>
      <c r="H269" s="468">
        <f t="shared" si="50"/>
        <v>0</v>
      </c>
      <c r="I269" s="422"/>
      <c r="J269" s="403"/>
      <c r="K269" s="460"/>
      <c r="L269" s="484">
        <f t="shared" si="51"/>
        <v>0</v>
      </c>
      <c r="M269" s="460"/>
      <c r="N269" s="460"/>
      <c r="O269" s="460"/>
      <c r="P269" s="479"/>
      <c r="Q269" s="473">
        <f>база!$L$6</f>
        <v>261.04640000000001</v>
      </c>
      <c r="R269" s="464">
        <v>1.4</v>
      </c>
      <c r="S269" s="512">
        <f>SUMIFS(Таблица1[Столбец1],Таблица1[коэф],"1,4",Таблица1[р/р],"5/16",Таблица1[Ф. И. О.],B264)</f>
        <v>0</v>
      </c>
      <c r="T269" s="492">
        <f t="shared" si="52"/>
        <v>0</v>
      </c>
      <c r="U269" s="461">
        <f>база!$M$6</f>
        <v>279.0496</v>
      </c>
      <c r="V269" s="403">
        <v>1.4</v>
      </c>
      <c r="W269" s="496">
        <f>SUMIFS(Таблица1[Столбец1],Таблица1[коэф],"1,4",Таблица1[р/р],"5/24",Таблица1[Ф. И. О.],B264)</f>
        <v>0</v>
      </c>
      <c r="X269" s="492">
        <f t="shared" si="53"/>
        <v>0</v>
      </c>
      <c r="Y269" s="771"/>
      <c r="Z269" s="767"/>
      <c r="AA269" s="757"/>
    </row>
    <row r="270" spans="1:29" ht="18.75" collapsed="1">
      <c r="A270" s="755">
        <v>25</v>
      </c>
      <c r="B270" s="235"/>
      <c r="C270" s="758">
        <f>INDEX(база!$E$2:$E$81, MATCH(B275,база!$B$2:$B$50,0))</f>
        <v>15608</v>
      </c>
      <c r="D270" s="761">
        <f>INDEX(база!$D$2:$D$89, MATCH(B275,база!$B$2:$B$50,0))</f>
        <v>3</v>
      </c>
      <c r="E270" s="451">
        <f>IF(D270&lt;=3,база!$I$4,
IF(D270=4,база!$I$5,
IF(D270=5,база!$I$6)))</f>
        <v>188.7912</v>
      </c>
      <c r="F270" s="417">
        <v>1</v>
      </c>
      <c r="G270" s="418">
        <f>SUMIFS(Таблица1[Столбец1],Таблица1[коэф],"1",Таблица1[р/р],"2/4",Таблица1[Ф. И. О.],B275)</f>
        <v>0</v>
      </c>
      <c r="H270" s="402">
        <f t="shared" si="50"/>
        <v>0</v>
      </c>
      <c r="I270" s="377">
        <f>IF(D270&lt;=3,база!$J$4,
IF(D270=4,база!$J$5,
IF(D270=5,база!$J$6)))</f>
        <v>196.05240000000001</v>
      </c>
      <c r="J270" s="378">
        <v>1</v>
      </c>
      <c r="K270" s="428">
        <f>SUMIFS(Таблица1[Столбец1],Таблица1[коэф],"1",Таблица1[р/р],"2/8",Таблица1[Ф. И. О.],B275)</f>
        <v>0</v>
      </c>
      <c r="L270" s="383">
        <f t="shared" si="51"/>
        <v>0</v>
      </c>
      <c r="M270" s="452"/>
      <c r="N270" s="453">
        <v>1</v>
      </c>
      <c r="O270" s="453">
        <f>SUMIFS(Data_Tech!$AM$3:$AM$67,Data_Tech!$E$3:$E$67,"1",Data_Tech!$G$3:$G$67,"3/12",Data_Tech!$F$3:$F$67,B275)</f>
        <v>0</v>
      </c>
      <c r="P270" s="453">
        <f>ROUND(M270*N270*O270,2)</f>
        <v>0</v>
      </c>
      <c r="Q270" s="416">
        <f>IF(D270&lt;=3,база!$L$4,
IF(D270=4,база!$L$5,
IF(D270=5,база!$L$6)))</f>
        <v>210.57480000000001</v>
      </c>
      <c r="R270" s="417">
        <v>1</v>
      </c>
      <c r="S270" s="495">
        <f>SUMIFS(Таблица1[Столбец1],Таблица1[коэф],"1",Таблица1[р/р],"3/16",Таблица1[Ф. И. О.],B275)</f>
        <v>0</v>
      </c>
      <c r="T270" s="490">
        <f t="shared" si="52"/>
        <v>0</v>
      </c>
      <c r="U270" s="471">
        <f>IF(D270&lt;=3,база!$M$4,
IF(D270=4,база!$M$5,
IF(D270=5,база!$M$6)))</f>
        <v>225.09719999999999</v>
      </c>
      <c r="V270" s="378">
        <v>1</v>
      </c>
      <c r="W270" s="497">
        <f>SUMIFS(Таблица1[Столбец1],Таблица1[коэф],"1",Таблица1[р/р],"3/24",Таблица1[Ф. И. О.],B275)</f>
        <v>0</v>
      </c>
      <c r="X270" s="490">
        <f t="shared" si="53"/>
        <v>0</v>
      </c>
      <c r="Y270" s="764">
        <f t="shared" ref="Y270" si="56">SUM(G270:G280,K270:K280,O270:O280,S270:S280,W270:W280)</f>
        <v>0</v>
      </c>
      <c r="Z270" s="766">
        <f t="shared" ref="Z270" si="57">IFERROR(SUM(H270:H280,L270:L280,T270:T280,X270:X280),"")</f>
        <v>0</v>
      </c>
      <c r="AA270" s="756"/>
    </row>
    <row r="271" spans="1:29" ht="18.75">
      <c r="A271" s="756"/>
      <c r="B271" s="215"/>
      <c r="C271" s="759"/>
      <c r="D271" s="762"/>
      <c r="E271" s="393">
        <f>IF(D270&lt;=3,база!$I$4,
IF(D270=4,база!$I$5,
IF(D270=5,база!$I$6)))</f>
        <v>188.7912</v>
      </c>
      <c r="F271" s="390">
        <v>1</v>
      </c>
      <c r="G271" s="400">
        <f>SUMIFS(Таблица1[Столбец1],Таблица1[коэф],"1",Таблица1[р/р],"3/4",Таблица1[Ф. И. О.],B275)</f>
        <v>0</v>
      </c>
      <c r="H271" s="392">
        <f t="shared" si="50"/>
        <v>0</v>
      </c>
      <c r="I271" s="389">
        <f>IF(D270&lt;=3,база!$J$4,
IF(D270=4,база!$J$5,
IF(D270=5,база!$J$6)))</f>
        <v>196.05240000000001</v>
      </c>
      <c r="J271" s="390">
        <v>1</v>
      </c>
      <c r="K271" s="434">
        <f>SUMIFS(Таблица1[Столбец1],Таблица1[коэф],"1",Таблица1[р/р],"3/8",Таблица1[Ф. И. О.],B275)</f>
        <v>0</v>
      </c>
      <c r="L271" s="484">
        <f t="shared" si="51"/>
        <v>0</v>
      </c>
      <c r="M271" s="432"/>
      <c r="N271" s="434">
        <v>1</v>
      </c>
      <c r="O271" s="434">
        <f>SUMIFS(Data_Tech!$AM$3:$AM$67,Data_Tech!$E$3:$E$67,"1",Data_Tech!$G$3:$G$67,"4/12",Data_Tech!$F$3:$F$67,B275)</f>
        <v>0</v>
      </c>
      <c r="P271" s="434">
        <f>ROUND(M271*O271,2)</f>
        <v>0</v>
      </c>
      <c r="Q271" s="399">
        <f>база!$L$5</f>
        <v>231.45480000000001</v>
      </c>
      <c r="R271" s="390">
        <v>1</v>
      </c>
      <c r="S271" s="491">
        <f>SUMIFS(Таблица1[Столбец1],Таблица1[коэф],"1",Таблица1[р/р],"4/16",Таблица1[Ф. И. О.],B275)</f>
        <v>0</v>
      </c>
      <c r="T271" s="492">
        <f t="shared" si="52"/>
        <v>0</v>
      </c>
      <c r="U271" s="472">
        <f>база!$M$5</f>
        <v>247.41720000000001</v>
      </c>
      <c r="V271" s="390">
        <v>1</v>
      </c>
      <c r="W271" s="494">
        <f>SUMIFS(Таблица1[Столбец1],Таблица1[коэф],"1",Таблица1[р/р],"4/24",Таблица1[Ф. И. О.],B275)</f>
        <v>0</v>
      </c>
      <c r="X271" s="492">
        <f t="shared" si="53"/>
        <v>0</v>
      </c>
      <c r="Y271" s="764"/>
      <c r="Z271" s="766"/>
      <c r="AA271" s="756"/>
    </row>
    <row r="272" spans="1:29" ht="18.75">
      <c r="A272" s="756"/>
      <c r="B272" s="215"/>
      <c r="C272" s="759"/>
      <c r="D272" s="762"/>
      <c r="E272" s="393"/>
      <c r="F272" s="390"/>
      <c r="G272" s="400"/>
      <c r="H272" s="392">
        <f t="shared" si="50"/>
        <v>0</v>
      </c>
      <c r="I272" s="389"/>
      <c r="J272" s="390"/>
      <c r="K272" s="434"/>
      <c r="L272" s="484">
        <f t="shared" si="51"/>
        <v>0</v>
      </c>
      <c r="M272" s="432"/>
      <c r="N272" s="434"/>
      <c r="O272" s="434"/>
      <c r="P272" s="434"/>
      <c r="Q272" s="399">
        <f>база!$L$6</f>
        <v>261.04640000000001</v>
      </c>
      <c r="R272" s="390">
        <v>1</v>
      </c>
      <c r="S272" s="491">
        <f>SUMIFS(Таблица1[Столбец1],Таблица1[коэф],"1",Таблица1[р/р],"5/16",Таблица1[Ф. И. О.],B275)</f>
        <v>0</v>
      </c>
      <c r="T272" s="492">
        <f t="shared" si="52"/>
        <v>0</v>
      </c>
      <c r="U272" s="472">
        <f>база!$M$6</f>
        <v>279.0496</v>
      </c>
      <c r="V272" s="390">
        <v>1</v>
      </c>
      <c r="W272" s="494">
        <f>SUMIFS(Таблица1[Столбец1],Таблица1[коэф],"1",Таблица1[р/р],"5/24",Таблица1[Ф. И. О.],B275)</f>
        <v>0</v>
      </c>
      <c r="X272" s="492">
        <f t="shared" si="53"/>
        <v>0</v>
      </c>
      <c r="Y272" s="764"/>
      <c r="Z272" s="766"/>
      <c r="AA272" s="756"/>
    </row>
    <row r="273" spans="1:29" ht="18.75">
      <c r="A273" s="756"/>
      <c r="B273" s="215"/>
      <c r="C273" s="759"/>
      <c r="D273" s="762"/>
      <c r="E273" s="393"/>
      <c r="F273" s="390"/>
      <c r="G273" s="400"/>
      <c r="H273" s="392">
        <f t="shared" si="50"/>
        <v>0</v>
      </c>
      <c r="I273" s="389">
        <f>база!$J$5</f>
        <v>215.4924</v>
      </c>
      <c r="J273" s="390">
        <v>1.5</v>
      </c>
      <c r="K273" s="434">
        <f>SUMIFS(Таблица1[Столбец1],Таблица1[коэф],"1,5",Таблица1[р/р],"4/8",Таблица1[Ф. И. О.],B275)</f>
        <v>0</v>
      </c>
      <c r="L273" s="484">
        <f t="shared" si="51"/>
        <v>0</v>
      </c>
      <c r="M273" s="432"/>
      <c r="N273" s="434"/>
      <c r="O273" s="434"/>
      <c r="P273" s="434"/>
      <c r="Q273" s="399">
        <f>IF(D270&lt;=3,база!$L$4,
IF(D270=4,база!$L$5,
IF(D270=5,база!$L$6)))</f>
        <v>210.57480000000001</v>
      </c>
      <c r="R273" s="390">
        <v>1.2</v>
      </c>
      <c r="S273" s="491">
        <f>SUMIFS(Таблица1[Столбец1],Таблица1[коэф],"1,2",Таблица1[р/р],"3/16",Таблица1[Ф. И. О.],B275)</f>
        <v>0</v>
      </c>
      <c r="T273" s="492">
        <f t="shared" si="52"/>
        <v>0</v>
      </c>
      <c r="U273" s="472">
        <f>IF(D270&lt;=3,база!$M$4,
IF(D270=4,база!$M$5,
IF(D270=5,база!$M$6)))</f>
        <v>225.09719999999999</v>
      </c>
      <c r="V273" s="390">
        <v>1.2</v>
      </c>
      <c r="W273" s="494">
        <f>SUMIFS(Таблица1[Столбец1],Таблица1[коэф],"1,2",Таблица1[р/р],"3/24",Таблица1[Ф. И. О.],B275)</f>
        <v>0</v>
      </c>
      <c r="X273" s="492">
        <f t="shared" si="53"/>
        <v>0</v>
      </c>
      <c r="Y273" s="764"/>
      <c r="Z273" s="766"/>
      <c r="AA273" s="756"/>
    </row>
    <row r="274" spans="1:29" ht="18.75">
      <c r="A274" s="756"/>
      <c r="B274" s="215"/>
      <c r="C274" s="759"/>
      <c r="D274" s="762"/>
      <c r="E274" s="393"/>
      <c r="F274" s="390"/>
      <c r="G274" s="400"/>
      <c r="H274" s="392">
        <f t="shared" si="50"/>
        <v>0</v>
      </c>
      <c r="I274" s="389">
        <f>база!$J$6</f>
        <v>243.04319999999998</v>
      </c>
      <c r="J274" s="390">
        <v>1.5</v>
      </c>
      <c r="K274" s="434">
        <f>SUMIFS(Таблица1[Столбец1],Таблица1[коэф],"1,5",Таблица1[р/р],"5/8",Таблица1[Ф. И. О.],B275)</f>
        <v>0</v>
      </c>
      <c r="L274" s="484">
        <f t="shared" si="51"/>
        <v>0</v>
      </c>
      <c r="M274" s="432"/>
      <c r="N274" s="434"/>
      <c r="O274" s="434"/>
      <c r="P274" s="434"/>
      <c r="Q274" s="399">
        <f>база!$L$5</f>
        <v>231.45480000000001</v>
      </c>
      <c r="R274" s="390">
        <v>1.2</v>
      </c>
      <c r="S274" s="491">
        <f>SUMIFS(Таблица1[Столбец1],Таблица1[коэф],"1,2",Таблица1[р/р],"4/16",Таблица1[Ф. И. О.],B275)</f>
        <v>0</v>
      </c>
      <c r="T274" s="492">
        <f t="shared" si="52"/>
        <v>0</v>
      </c>
      <c r="U274" s="472">
        <f>база!$M$5</f>
        <v>247.41720000000001</v>
      </c>
      <c r="V274" s="390">
        <v>1.2</v>
      </c>
      <c r="W274" s="494">
        <f>SUMIFS(Таблица1[Столбец1],Таблица1[коэф],"1,2",Таблица1[р/р],"4/24",Таблица1[Ф. И. О.],B275)</f>
        <v>0</v>
      </c>
      <c r="X274" s="492">
        <f t="shared" si="53"/>
        <v>0</v>
      </c>
      <c r="Y274" s="764"/>
      <c r="Z274" s="766"/>
      <c r="AA274" s="756"/>
    </row>
    <row r="275" spans="1:29" ht="18" customHeight="1">
      <c r="A275" s="756"/>
      <c r="B275" s="215" t="str">
        <f>база!B26</f>
        <v>Журавлева Мария Валентиновна</v>
      </c>
      <c r="C275" s="759"/>
      <c r="D275" s="762"/>
      <c r="E275" s="393"/>
      <c r="F275" s="390"/>
      <c r="G275" s="400"/>
      <c r="H275" s="392">
        <f t="shared" si="50"/>
        <v>0</v>
      </c>
      <c r="I275" s="389"/>
      <c r="J275" s="390"/>
      <c r="K275" s="434"/>
      <c r="L275" s="484">
        <f t="shared" si="51"/>
        <v>0</v>
      </c>
      <c r="M275" s="432"/>
      <c r="N275" s="434"/>
      <c r="O275" s="434"/>
      <c r="P275" s="434"/>
      <c r="Q275" s="399">
        <f>база!$L$6</f>
        <v>261.04640000000001</v>
      </c>
      <c r="R275" s="390">
        <v>1.2</v>
      </c>
      <c r="S275" s="491">
        <f>SUMIFS(Таблица1[Столбец1],Таблица1[коэф],"1,2",Таблица1[р/р],"5/16",Таблица1[Ф. И. О.],B275)</f>
        <v>0</v>
      </c>
      <c r="T275" s="492">
        <f t="shared" si="52"/>
        <v>0</v>
      </c>
      <c r="U275" s="472">
        <f>база!$M$6</f>
        <v>279.0496</v>
      </c>
      <c r="V275" s="390">
        <v>1.2</v>
      </c>
      <c r="W275" s="494">
        <f>SUMIFS(Таблица1[Столбец1],Таблица1[коэф],"1,2",Таблица1[р/р],"5/24",Таблица1[Ф. И. О.],B275)</f>
        <v>0</v>
      </c>
      <c r="X275" s="492">
        <f t="shared" si="53"/>
        <v>0</v>
      </c>
      <c r="Y275" s="764"/>
      <c r="Z275" s="766"/>
      <c r="AA275" s="756"/>
      <c r="AC275" s="712" t="str">
        <f>IF(SUMIFS(Таблица1[Столбец3],Таблица1[Ф. И. О.],B275)-Z270=0,"",SUMIFS(Таблица1[Столбец3],Таблица1[Ф. И. О.],B275)-Z270)</f>
        <v/>
      </c>
    </row>
    <row r="276" spans="1:29" ht="18.75">
      <c r="A276" s="756"/>
      <c r="B276" s="215"/>
      <c r="C276" s="759"/>
      <c r="D276" s="762"/>
      <c r="E276" s="393"/>
      <c r="F276" s="390"/>
      <c r="G276" s="400"/>
      <c r="H276" s="392">
        <f t="shared" si="50"/>
        <v>0</v>
      </c>
      <c r="I276" s="389"/>
      <c r="J276" s="390"/>
      <c r="K276" s="434"/>
      <c r="L276" s="484">
        <f t="shared" si="51"/>
        <v>0</v>
      </c>
      <c r="M276" s="432"/>
      <c r="N276" s="434"/>
      <c r="O276" s="434"/>
      <c r="P276" s="434"/>
      <c r="Q276" s="399">
        <f>IF(D270&lt;=3,база!$L$4,
IF(D270=4,база!$L$5,
IF(D270=5,база!$L$6)))</f>
        <v>210.57480000000001</v>
      </c>
      <c r="R276" s="390">
        <v>1.3</v>
      </c>
      <c r="S276" s="491">
        <f>SUMIFS(Таблица1[Столбец1],Таблица1[коэф],"1,3",Таблица1[р/р],"3/16",Таблица1[Ф. И. О.],B275)</f>
        <v>0</v>
      </c>
      <c r="T276" s="492">
        <f t="shared" si="52"/>
        <v>0</v>
      </c>
      <c r="U276" s="472">
        <f>IF(D270&lt;=3,база!$M$4,
IF(D270=4,база!$M$5,
IF(D270=5,база!$M$6)))</f>
        <v>225.09719999999999</v>
      </c>
      <c r="V276" s="390">
        <v>1.3</v>
      </c>
      <c r="W276" s="494">
        <f>SUMIFS(Таблица1[Столбец1],Таблица1[коэф],"1,3",Таблица1[р/р],"3/24",Таблица1[Ф. И. О.],B275)</f>
        <v>0</v>
      </c>
      <c r="X276" s="492">
        <f t="shared" si="53"/>
        <v>0</v>
      </c>
      <c r="Y276" s="764"/>
      <c r="Z276" s="766"/>
      <c r="AA276" s="756"/>
      <c r="AC276" s="712" t="str">
        <f>IF(SUMIFS(Таблица1[Столбец1],Таблица1[Ф. И. О.],B275)=Y270,"",B275&amp;"  часы не верны")</f>
        <v/>
      </c>
    </row>
    <row r="277" spans="1:29" ht="18.75">
      <c r="A277" s="756"/>
      <c r="B277" s="215"/>
      <c r="C277" s="759"/>
      <c r="D277" s="762"/>
      <c r="E277" s="393"/>
      <c r="F277" s="390"/>
      <c r="G277" s="400"/>
      <c r="H277" s="392">
        <f t="shared" si="50"/>
        <v>0</v>
      </c>
      <c r="I277" s="389"/>
      <c r="J277" s="390"/>
      <c r="K277" s="434"/>
      <c r="L277" s="484">
        <f t="shared" si="51"/>
        <v>0</v>
      </c>
      <c r="M277" s="432"/>
      <c r="N277" s="434"/>
      <c r="O277" s="434"/>
      <c r="P277" s="434"/>
      <c r="Q277" s="399">
        <f>база!$L$5</f>
        <v>231.45480000000001</v>
      </c>
      <c r="R277" s="390">
        <v>1.3</v>
      </c>
      <c r="S277" s="491">
        <f>SUMIFS(Таблица1[Столбец1],Таблица1[коэф],"1,3",Таблица1[р/р],"4/16",Таблица1[Ф. И. О.],B275)</f>
        <v>0</v>
      </c>
      <c r="T277" s="492">
        <f t="shared" si="52"/>
        <v>0</v>
      </c>
      <c r="U277" s="472">
        <f>база!$M$5</f>
        <v>247.41720000000001</v>
      </c>
      <c r="V277" s="390">
        <v>1.3</v>
      </c>
      <c r="W277" s="494">
        <f>SUMIFS(Таблица1[Столбец1],Таблица1[коэф],"1,3",Таблица1[р/р],"4/24",Таблица1[Ф. И. О.],B275)</f>
        <v>0</v>
      </c>
      <c r="X277" s="492">
        <f t="shared" si="53"/>
        <v>0</v>
      </c>
      <c r="Y277" s="764"/>
      <c r="Z277" s="766"/>
      <c r="AA277" s="756"/>
    </row>
    <row r="278" spans="1:29" ht="18.75">
      <c r="A278" s="756"/>
      <c r="B278" s="215"/>
      <c r="C278" s="759"/>
      <c r="D278" s="762"/>
      <c r="E278" s="393"/>
      <c r="F278" s="390"/>
      <c r="G278" s="400"/>
      <c r="H278" s="392">
        <f t="shared" si="50"/>
        <v>0</v>
      </c>
      <c r="I278" s="389"/>
      <c r="J278" s="390"/>
      <c r="K278" s="434"/>
      <c r="L278" s="484">
        <f t="shared" si="51"/>
        <v>0</v>
      </c>
      <c r="M278" s="432"/>
      <c r="N278" s="434"/>
      <c r="O278" s="434"/>
      <c r="P278" s="434"/>
      <c r="Q278" s="399">
        <f>IF(D270&lt;=3,база!$L$4,
IF(D270=4,база!$L$5,
IF(D270=5,база!$L$6)))</f>
        <v>210.57480000000001</v>
      </c>
      <c r="R278" s="390">
        <v>1.4</v>
      </c>
      <c r="S278" s="491">
        <f>SUMIFS(Таблица1[Столбец1],Таблица1[коэф],"1,4",Таблица1[р/р],"3/16",Таблица1[Ф. И. О.],B275)</f>
        <v>0</v>
      </c>
      <c r="T278" s="492">
        <f t="shared" si="52"/>
        <v>0</v>
      </c>
      <c r="U278" s="472">
        <f>IF(D270&lt;=3,база!$M$4,
IF(D270=4,база!$M$5,
IF(D270=5,база!$M$6)))</f>
        <v>225.09719999999999</v>
      </c>
      <c r="V278" s="390">
        <v>1.4</v>
      </c>
      <c r="W278" s="494">
        <f>SUMIFS(Таблица1[Столбец1],Таблица1[коэф],"1,4",Таблица1[р/р],"3/24",Таблица1[Ф. И. О.],B275)</f>
        <v>0</v>
      </c>
      <c r="X278" s="492">
        <f t="shared" si="53"/>
        <v>0</v>
      </c>
      <c r="Y278" s="764"/>
      <c r="Z278" s="766"/>
      <c r="AA278" s="756"/>
    </row>
    <row r="279" spans="1:29" ht="18.75">
      <c r="A279" s="756"/>
      <c r="B279" s="215"/>
      <c r="C279" s="759"/>
      <c r="D279" s="762"/>
      <c r="E279" s="393"/>
      <c r="F279" s="390"/>
      <c r="G279" s="400"/>
      <c r="H279" s="392">
        <f t="shared" si="50"/>
        <v>0</v>
      </c>
      <c r="I279" s="389"/>
      <c r="J279" s="390"/>
      <c r="K279" s="434"/>
      <c r="L279" s="395">
        <f t="shared" si="51"/>
        <v>0</v>
      </c>
      <c r="M279" s="432"/>
      <c r="N279" s="434"/>
      <c r="O279" s="434"/>
      <c r="P279" s="434"/>
      <c r="Q279" s="399">
        <f>база!$L$5</f>
        <v>231.45480000000001</v>
      </c>
      <c r="R279" s="390">
        <v>1.4</v>
      </c>
      <c r="S279" s="491">
        <f>SUMIFS(Таблица1[Столбец1],Таблица1[коэф],"1,4",Таблица1[р/р],"4/16",Таблица1[Ф. И. О.],B275)</f>
        <v>0</v>
      </c>
      <c r="T279" s="492">
        <f t="shared" si="52"/>
        <v>0</v>
      </c>
      <c r="U279" s="472">
        <f>база!$M$5</f>
        <v>247.41720000000001</v>
      </c>
      <c r="V279" s="390">
        <v>1.4</v>
      </c>
      <c r="W279" s="494">
        <f>SUMIFS(Таблица1[Столбец1],Таблица1[коэф],"1,4",Таблица1[р/р],"4/24",Таблица1[Ф. И. О.],B275)</f>
        <v>0</v>
      </c>
      <c r="X279" s="492">
        <f t="shared" si="53"/>
        <v>0</v>
      </c>
      <c r="Y279" s="764"/>
      <c r="Z279" s="766"/>
      <c r="AA279" s="756"/>
    </row>
    <row r="280" spans="1:29" ht="19.5" thickBot="1">
      <c r="A280" s="757"/>
      <c r="B280" s="202"/>
      <c r="C280" s="760"/>
      <c r="D280" s="763"/>
      <c r="E280" s="463"/>
      <c r="F280" s="464"/>
      <c r="G280" s="465"/>
      <c r="H280" s="468">
        <f t="shared" si="50"/>
        <v>0</v>
      </c>
      <c r="I280" s="473"/>
      <c r="J280" s="464"/>
      <c r="K280" s="457"/>
      <c r="L280" s="484">
        <f t="shared" si="51"/>
        <v>0</v>
      </c>
      <c r="M280" s="466"/>
      <c r="N280" s="457"/>
      <c r="O280" s="457"/>
      <c r="P280" s="457"/>
      <c r="Q280" s="467">
        <f>база!$L$6</f>
        <v>261.04640000000001</v>
      </c>
      <c r="R280" s="464">
        <v>1.4</v>
      </c>
      <c r="S280" s="512">
        <f>SUMIFS(Таблица1[Столбец1],Таблица1[коэф],"1,4",Таблица1[р/р],"5/16",Таблица1[Ф. И. О.],B275)</f>
        <v>0</v>
      </c>
      <c r="T280" s="492">
        <f t="shared" si="52"/>
        <v>0</v>
      </c>
      <c r="U280" s="474">
        <f>база!$M$6</f>
        <v>279.0496</v>
      </c>
      <c r="V280" s="464">
        <v>1.4</v>
      </c>
      <c r="W280" s="501">
        <f>SUMIFS(Таблица1[Столбец1],Таблица1[коэф],"1,4",Таблица1[р/р],"5/24",Таблица1[Ф. И. О.],B275)</f>
        <v>0</v>
      </c>
      <c r="X280" s="492">
        <f t="shared" si="53"/>
        <v>0</v>
      </c>
      <c r="Y280" s="765"/>
      <c r="Z280" s="767"/>
      <c r="AA280" s="757"/>
    </row>
    <row r="281" spans="1:29" ht="18.75" collapsed="1">
      <c r="A281" s="755">
        <v>26</v>
      </c>
      <c r="B281" s="235"/>
      <c r="C281" s="758">
        <f>INDEX(база!$E$2:$E$81, MATCH(B286,база!$B$2:$B$50,0))</f>
        <v>17129</v>
      </c>
      <c r="D281" s="761">
        <f>INDEX(база!$D$2:$D$89, MATCH(B286,база!$B$2:$B$50,0))</f>
        <v>3</v>
      </c>
      <c r="E281" s="451">
        <f>IF(D281&lt;=3,база!$I$4,
IF(D281=4,база!$I$5,
IF(D281=5,база!$I$6)))</f>
        <v>188.7912</v>
      </c>
      <c r="F281" s="417">
        <v>1</v>
      </c>
      <c r="G281" s="418">
        <f>SUMIFS(Таблица1[Столбец1],Таблица1[коэф],"1",Таблица1[р/р],"2/4",Таблица1[Ф. И. О.],B286)</f>
        <v>0</v>
      </c>
      <c r="H281" s="402">
        <f t="shared" ref="H281:H291" si="58">ROUND(E281*F281*G281*2,2)</f>
        <v>0</v>
      </c>
      <c r="I281" s="377">
        <f>IF(D281&lt;=3,база!$J$4,
IF(D281=4,база!$J$5,
IF(D281=5,база!$J$6)))</f>
        <v>196.05240000000001</v>
      </c>
      <c r="J281" s="378">
        <v>1</v>
      </c>
      <c r="K281" s="428">
        <f>SUMIFS(Таблица1[Столбец1],Таблица1[коэф],"1",Таблица1[р/р],"2/8",Таблица1[Ф. И. О.],B286)</f>
        <v>0</v>
      </c>
      <c r="L281" s="383">
        <f t="shared" ref="L281:L291" si="59">ROUND(I281*J281*K281*2,2)</f>
        <v>0</v>
      </c>
      <c r="M281" s="452"/>
      <c r="N281" s="453">
        <v>1</v>
      </c>
      <c r="O281" s="453">
        <f>SUMIFS(Data_Tech!$AM$3:$AM$67,Data_Tech!$E$3:$E$67,"1",Data_Tech!$G$3:$G$67,"3/12",Data_Tech!$F$3:$F$67,B286)</f>
        <v>0</v>
      </c>
      <c r="P281" s="453">
        <f>ROUND(M281*N281*O281,2)</f>
        <v>0</v>
      </c>
      <c r="Q281" s="416">
        <f>IF(D281&lt;=3,база!$L$4,
IF(D281=4,база!$L$5,
IF(D281=5,база!$L$6)))</f>
        <v>210.57480000000001</v>
      </c>
      <c r="R281" s="417">
        <v>1</v>
      </c>
      <c r="S281" s="495">
        <f>SUMIFS(Таблица1[Столбец1],Таблица1[коэф],"1",Таблица1[р/р],"3/16",Таблица1[Ф. И. О.],B286)</f>
        <v>0</v>
      </c>
      <c r="T281" s="490">
        <f t="shared" ref="T281:T291" si="60">ROUND(Q281*R281*S281*2,2)</f>
        <v>0</v>
      </c>
      <c r="U281" s="471">
        <f>IF(D281&lt;=3,база!$M$4,
IF(D281=4,база!$M$5,
IF(D281=5,база!$M$6)))</f>
        <v>225.09719999999999</v>
      </c>
      <c r="V281" s="378">
        <v>1</v>
      </c>
      <c r="W281" s="497">
        <f>SUMIFS(Таблица1[Столбец1],Таблица1[коэф],"1",Таблица1[р/р],"3/24",Таблица1[Ф. И. О.],B286)</f>
        <v>0</v>
      </c>
      <c r="X281" s="490">
        <f t="shared" ref="X281:X291" si="61">ROUND(U281*V281*W281*2,2)</f>
        <v>0</v>
      </c>
      <c r="Y281" s="764">
        <f t="shared" ref="Y281" si="62">SUM(G281:G291,K281:K291,O281:O291,S281:S291,W281:W291)</f>
        <v>0</v>
      </c>
      <c r="Z281" s="766">
        <f t="shared" ref="Z281" si="63">IFERROR(SUM(H281:H291,L281:L291,T281:T291,X281:X291),"")</f>
        <v>0</v>
      </c>
      <c r="AA281" s="756"/>
    </row>
    <row r="282" spans="1:29" ht="18.75">
      <c r="A282" s="756"/>
      <c r="B282" s="215"/>
      <c r="C282" s="759"/>
      <c r="D282" s="762"/>
      <c r="E282" s="393">
        <f>IF(D281&lt;=3,база!$I$4,
IF(D281=4,база!$I$5,
IF(D281=5,база!$I$6)))</f>
        <v>188.7912</v>
      </c>
      <c r="F282" s="390">
        <v>1</v>
      </c>
      <c r="G282" s="400">
        <f>SUMIFS(Таблица1[Столбец1],Таблица1[коэф],"1",Таблица1[р/р],"3/4",Таблица1[Ф. И. О.],B286)</f>
        <v>0</v>
      </c>
      <c r="H282" s="392">
        <f t="shared" si="58"/>
        <v>0</v>
      </c>
      <c r="I282" s="389">
        <f>IF(D281&lt;=3,база!$J$4,
IF(D281=4,база!$J$5,
IF(D281=5,база!$J$6)))</f>
        <v>196.05240000000001</v>
      </c>
      <c r="J282" s="390">
        <v>1</v>
      </c>
      <c r="K282" s="434">
        <f>SUMIFS(Таблица1[Столбец1],Таблица1[коэф],"1",Таблица1[р/р],"3/8",Таблица1[Ф. И. О.],B286)</f>
        <v>0</v>
      </c>
      <c r="L282" s="484">
        <f t="shared" si="59"/>
        <v>0</v>
      </c>
      <c r="M282" s="432"/>
      <c r="N282" s="434">
        <v>1</v>
      </c>
      <c r="O282" s="434">
        <f>SUMIFS(Data_Tech!$AM$3:$AM$67,Data_Tech!$E$3:$E$67,"1",Data_Tech!$G$3:$G$67,"4/12",Data_Tech!$F$3:$F$67,B286)</f>
        <v>0</v>
      </c>
      <c r="P282" s="434">
        <f>ROUND(M282*O282,2)</f>
        <v>0</v>
      </c>
      <c r="Q282" s="399">
        <f>база!$L$5</f>
        <v>231.45480000000001</v>
      </c>
      <c r="R282" s="390">
        <v>1</v>
      </c>
      <c r="S282" s="491">
        <f>SUMIFS(Таблица1[Столбец1],Таблица1[коэф],"1",Таблица1[р/р],"4/16",Таблица1[Ф. И. О.],B286)</f>
        <v>0</v>
      </c>
      <c r="T282" s="492">
        <f t="shared" si="60"/>
        <v>0</v>
      </c>
      <c r="U282" s="472">
        <f>база!$M$5</f>
        <v>247.41720000000001</v>
      </c>
      <c r="V282" s="390">
        <v>1</v>
      </c>
      <c r="W282" s="494">
        <f>SUMIFS(Таблица1[Столбец1],Таблица1[коэф],"1",Таблица1[р/р],"4/24",Таблица1[Ф. И. О.],B286)</f>
        <v>0</v>
      </c>
      <c r="X282" s="492">
        <f t="shared" si="61"/>
        <v>0</v>
      </c>
      <c r="Y282" s="764"/>
      <c r="Z282" s="766"/>
      <c r="AA282" s="756"/>
    </row>
    <row r="283" spans="1:29" ht="18.75">
      <c r="A283" s="756"/>
      <c r="B283" s="215"/>
      <c r="C283" s="759"/>
      <c r="D283" s="762"/>
      <c r="E283" s="393"/>
      <c r="F283" s="390"/>
      <c r="G283" s="400"/>
      <c r="H283" s="392">
        <f t="shared" si="58"/>
        <v>0</v>
      </c>
      <c r="I283" s="389"/>
      <c r="J283" s="390"/>
      <c r="K283" s="434"/>
      <c r="L283" s="484">
        <f t="shared" si="59"/>
        <v>0</v>
      </c>
      <c r="M283" s="432"/>
      <c r="N283" s="434"/>
      <c r="O283" s="434"/>
      <c r="P283" s="434"/>
      <c r="Q283" s="399">
        <f>база!$L$6</f>
        <v>261.04640000000001</v>
      </c>
      <c r="R283" s="390">
        <v>1</v>
      </c>
      <c r="S283" s="491">
        <f>SUMIFS(Таблица1[Столбец1],Таблица1[коэф],"1",Таблица1[р/р],"5/16",Таблица1[Ф. И. О.],B286)</f>
        <v>0</v>
      </c>
      <c r="T283" s="492">
        <f t="shared" si="60"/>
        <v>0</v>
      </c>
      <c r="U283" s="472">
        <f>база!$M$6</f>
        <v>279.0496</v>
      </c>
      <c r="V283" s="390">
        <v>1</v>
      </c>
      <c r="W283" s="494">
        <f>SUMIFS(Таблица1[Столбец1],Таблица1[коэф],"1",Таблица1[р/р],"5/24",Таблица1[Ф. И. О.],B286)</f>
        <v>0</v>
      </c>
      <c r="X283" s="492">
        <f t="shared" si="61"/>
        <v>0</v>
      </c>
      <c r="Y283" s="764"/>
      <c r="Z283" s="766"/>
      <c r="AA283" s="756"/>
    </row>
    <row r="284" spans="1:29" ht="18.75">
      <c r="A284" s="756"/>
      <c r="B284" s="215"/>
      <c r="C284" s="759"/>
      <c r="D284" s="762"/>
      <c r="E284" s="393"/>
      <c r="F284" s="390"/>
      <c r="G284" s="400"/>
      <c r="H284" s="392">
        <f t="shared" si="58"/>
        <v>0</v>
      </c>
      <c r="I284" s="389">
        <f>база!$J$5</f>
        <v>215.4924</v>
      </c>
      <c r="J284" s="390">
        <v>1.5</v>
      </c>
      <c r="K284" s="434">
        <f>SUMIFS(Таблица1[Столбец1],Таблица1[коэф],"1,5",Таблица1[р/р],"4/8",Таблица1[Ф. И. О.],B286)</f>
        <v>0</v>
      </c>
      <c r="L284" s="484">
        <f t="shared" si="59"/>
        <v>0</v>
      </c>
      <c r="M284" s="432"/>
      <c r="N284" s="434"/>
      <c r="O284" s="434"/>
      <c r="P284" s="434"/>
      <c r="Q284" s="399">
        <f>IF(D281&lt;=3,база!$L$4,
IF(D281=4,база!$L$5,
IF(D281=5,база!$L$6)))</f>
        <v>210.57480000000001</v>
      </c>
      <c r="R284" s="390">
        <v>1.2</v>
      </c>
      <c r="S284" s="491">
        <f>SUMIFS(Таблица1[Столбец1],Таблица1[коэф],"1,2",Таблица1[р/р],"3/16",Таблица1[Ф. И. О.],B286)</f>
        <v>0</v>
      </c>
      <c r="T284" s="492">
        <f t="shared" si="60"/>
        <v>0</v>
      </c>
      <c r="U284" s="472">
        <f>IF(D281&lt;=3,база!$M$4,
IF(D281=4,база!$M$5,
IF(D281=5,база!$M$6)))</f>
        <v>225.09719999999999</v>
      </c>
      <c r="V284" s="390">
        <v>1.2</v>
      </c>
      <c r="W284" s="494">
        <f>SUMIFS(Таблица1[Столбец1],Таблица1[коэф],"1,2",Таблица1[р/р],"3/24",Таблица1[Ф. И. О.],B286)</f>
        <v>0</v>
      </c>
      <c r="X284" s="492">
        <f t="shared" si="61"/>
        <v>0</v>
      </c>
      <c r="Y284" s="764"/>
      <c r="Z284" s="766"/>
      <c r="AA284" s="756"/>
    </row>
    <row r="285" spans="1:29" ht="18.75">
      <c r="A285" s="756"/>
      <c r="B285" s="215"/>
      <c r="C285" s="759"/>
      <c r="D285" s="762"/>
      <c r="E285" s="393"/>
      <c r="F285" s="390"/>
      <c r="G285" s="400"/>
      <c r="H285" s="392">
        <f t="shared" si="58"/>
        <v>0</v>
      </c>
      <c r="I285" s="389">
        <f>база!$J$6</f>
        <v>243.04319999999998</v>
      </c>
      <c r="J285" s="390">
        <v>1.5</v>
      </c>
      <c r="K285" s="434">
        <f>SUMIFS(Таблица1[Столбец1],Таблица1[коэф],"1,5",Таблица1[р/р],"5/8",Таблица1[Ф. И. О.],B286)</f>
        <v>0</v>
      </c>
      <c r="L285" s="484">
        <f t="shared" si="59"/>
        <v>0</v>
      </c>
      <c r="M285" s="432"/>
      <c r="N285" s="434"/>
      <c r="O285" s="434"/>
      <c r="P285" s="434"/>
      <c r="Q285" s="399">
        <f>база!$L$5</f>
        <v>231.45480000000001</v>
      </c>
      <c r="R285" s="390">
        <v>1.2</v>
      </c>
      <c r="S285" s="491">
        <f>SUMIFS(Таблица1[Столбец1],Таблица1[коэф],"1,2",Таблица1[р/р],"4/16",Таблица1[Ф. И. О.],B286)</f>
        <v>0</v>
      </c>
      <c r="T285" s="492">
        <f t="shared" si="60"/>
        <v>0</v>
      </c>
      <c r="U285" s="472">
        <f>база!$M$5</f>
        <v>247.41720000000001</v>
      </c>
      <c r="V285" s="390">
        <v>1.2</v>
      </c>
      <c r="W285" s="494">
        <f>SUMIFS(Таблица1[Столбец1],Таблица1[коэф],"1,2",Таблица1[р/р],"4/24",Таблица1[Ф. И. О.],B286)</f>
        <v>0</v>
      </c>
      <c r="X285" s="492">
        <f t="shared" si="61"/>
        <v>0</v>
      </c>
      <c r="Y285" s="764"/>
      <c r="Z285" s="766"/>
      <c r="AA285" s="756"/>
    </row>
    <row r="286" spans="1:29" ht="18" customHeight="1">
      <c r="A286" s="756"/>
      <c r="B286" s="215" t="str">
        <f>база!B27</f>
        <v>Зинина Екатерина Олеговна</v>
      </c>
      <c r="C286" s="759"/>
      <c r="D286" s="762"/>
      <c r="E286" s="393"/>
      <c r="F286" s="390"/>
      <c r="G286" s="400"/>
      <c r="H286" s="392">
        <f t="shared" si="58"/>
        <v>0</v>
      </c>
      <c r="I286" s="389"/>
      <c r="J286" s="390"/>
      <c r="K286" s="434"/>
      <c r="L286" s="484">
        <f t="shared" si="59"/>
        <v>0</v>
      </c>
      <c r="M286" s="432"/>
      <c r="N286" s="434"/>
      <c r="O286" s="434"/>
      <c r="P286" s="434"/>
      <c r="Q286" s="399">
        <f>база!$L$6</f>
        <v>261.04640000000001</v>
      </c>
      <c r="R286" s="390">
        <v>1.2</v>
      </c>
      <c r="S286" s="491">
        <f>SUMIFS(Таблица1[Столбец1],Таблица1[коэф],"1,2",Таблица1[р/р],"5/16",Таблица1[Ф. И. О.],B286)</f>
        <v>0</v>
      </c>
      <c r="T286" s="492">
        <f t="shared" si="60"/>
        <v>0</v>
      </c>
      <c r="U286" s="472">
        <f>база!$M$6</f>
        <v>279.0496</v>
      </c>
      <c r="V286" s="390">
        <v>1.2</v>
      </c>
      <c r="W286" s="494">
        <f>SUMIFS(Таблица1[Столбец1],Таблица1[коэф],"1,2",Таблица1[р/р],"5/24",Таблица1[Ф. И. О.],B286)</f>
        <v>0</v>
      </c>
      <c r="X286" s="492">
        <f t="shared" si="61"/>
        <v>0</v>
      </c>
      <c r="Y286" s="764"/>
      <c r="Z286" s="766"/>
      <c r="AA286" s="756"/>
      <c r="AC286" s="712" t="str">
        <f>IF(SUMIFS(Таблица1[Столбец3],Таблица1[Ф. И. О.],B286)-Z281=0,"",SUMIFS(Таблица1[Столбец3],Таблица1[Ф. И. О.],B286)-Z281)</f>
        <v/>
      </c>
    </row>
    <row r="287" spans="1:29" ht="18.75">
      <c r="A287" s="756"/>
      <c r="B287" s="215"/>
      <c r="C287" s="759"/>
      <c r="D287" s="762"/>
      <c r="E287" s="393"/>
      <c r="F287" s="390"/>
      <c r="G287" s="400"/>
      <c r="H287" s="392">
        <f t="shared" si="58"/>
        <v>0</v>
      </c>
      <c r="I287" s="389"/>
      <c r="J287" s="390"/>
      <c r="K287" s="434"/>
      <c r="L287" s="484">
        <f t="shared" si="59"/>
        <v>0</v>
      </c>
      <c r="M287" s="432"/>
      <c r="N287" s="434"/>
      <c r="O287" s="434"/>
      <c r="P287" s="434"/>
      <c r="Q287" s="399">
        <f>IF(D281&lt;=3,база!$L$4,
IF(D281=4,база!$L$5,
IF(D281=5,база!$L$6)))</f>
        <v>210.57480000000001</v>
      </c>
      <c r="R287" s="390">
        <v>1.3</v>
      </c>
      <c r="S287" s="491">
        <f>SUMIFS(Таблица1[Столбец1],Таблица1[коэф],"1,3",Таблица1[р/р],"3/16",Таблица1[Ф. И. О.],B286)</f>
        <v>0</v>
      </c>
      <c r="T287" s="492">
        <f t="shared" si="60"/>
        <v>0</v>
      </c>
      <c r="U287" s="472">
        <f>IF(D281&lt;=3,база!$M$4,
IF(D281=4,база!$M$5,
IF(D281=5,база!$M$6)))</f>
        <v>225.09719999999999</v>
      </c>
      <c r="V287" s="390">
        <v>1.3</v>
      </c>
      <c r="W287" s="494">
        <f>SUMIFS(Таблица1[Столбец1],Таблица1[коэф],"1,3",Таблица1[р/р],"3/24",Таблица1[Ф. И. О.],B286)</f>
        <v>0</v>
      </c>
      <c r="X287" s="492">
        <f t="shared" si="61"/>
        <v>0</v>
      </c>
      <c r="Y287" s="764"/>
      <c r="Z287" s="766"/>
      <c r="AA287" s="756"/>
      <c r="AC287" s="712" t="str">
        <f>IF(SUMIFS(Таблица1[Столбец1],Таблица1[Ф. И. О.],B286)=Y281,"",B286&amp;"  часы не верны")</f>
        <v/>
      </c>
    </row>
    <row r="288" spans="1:29" ht="18.75">
      <c r="A288" s="756"/>
      <c r="B288" s="215"/>
      <c r="C288" s="759"/>
      <c r="D288" s="762"/>
      <c r="E288" s="393"/>
      <c r="F288" s="390"/>
      <c r="G288" s="400"/>
      <c r="H288" s="392">
        <f t="shared" si="58"/>
        <v>0</v>
      </c>
      <c r="I288" s="389"/>
      <c r="J288" s="390"/>
      <c r="K288" s="434"/>
      <c r="L288" s="484">
        <f t="shared" si="59"/>
        <v>0</v>
      </c>
      <c r="M288" s="432"/>
      <c r="N288" s="434"/>
      <c r="O288" s="434"/>
      <c r="P288" s="434"/>
      <c r="Q288" s="399">
        <f>база!$L$5</f>
        <v>231.45480000000001</v>
      </c>
      <c r="R288" s="390">
        <v>1.3</v>
      </c>
      <c r="S288" s="491">
        <f>SUMIFS(Таблица1[Столбец1],Таблица1[коэф],"1,3",Таблица1[р/р],"4/16",Таблица1[Ф. И. О.],B286)</f>
        <v>0</v>
      </c>
      <c r="T288" s="492">
        <f t="shared" si="60"/>
        <v>0</v>
      </c>
      <c r="U288" s="472">
        <f>база!$M$5</f>
        <v>247.41720000000001</v>
      </c>
      <c r="V288" s="390">
        <v>1.3</v>
      </c>
      <c r="W288" s="494">
        <f>SUMIFS(Таблица1[Столбец1],Таблица1[коэф],"1,3",Таблица1[р/р],"4/24",Таблица1[Ф. И. О.],B286)</f>
        <v>0</v>
      </c>
      <c r="X288" s="492">
        <f t="shared" si="61"/>
        <v>0</v>
      </c>
      <c r="Y288" s="764"/>
      <c r="Z288" s="766"/>
      <c r="AA288" s="756"/>
    </row>
    <row r="289" spans="1:29" ht="18.75">
      <c r="A289" s="756"/>
      <c r="B289" s="215"/>
      <c r="C289" s="759"/>
      <c r="D289" s="762"/>
      <c r="E289" s="393"/>
      <c r="F289" s="390"/>
      <c r="G289" s="400"/>
      <c r="H289" s="392">
        <f t="shared" si="58"/>
        <v>0</v>
      </c>
      <c r="I289" s="389"/>
      <c r="J289" s="390"/>
      <c r="K289" s="434"/>
      <c r="L289" s="484">
        <f t="shared" si="59"/>
        <v>0</v>
      </c>
      <c r="M289" s="432"/>
      <c r="N289" s="434"/>
      <c r="O289" s="434"/>
      <c r="P289" s="434"/>
      <c r="Q289" s="399">
        <f>IF(D281&lt;=3,база!$L$4,
IF(D281=4,база!$L$5,
IF(D281=5,база!$L$6)))</f>
        <v>210.57480000000001</v>
      </c>
      <c r="R289" s="390">
        <v>1.4</v>
      </c>
      <c r="S289" s="491">
        <f>SUMIFS(Таблица1[Столбец1],Таблица1[коэф],"1,4",Таблица1[р/р],"3/16",Таблица1[Ф. И. О.],B286)</f>
        <v>0</v>
      </c>
      <c r="T289" s="492">
        <f t="shared" si="60"/>
        <v>0</v>
      </c>
      <c r="U289" s="472">
        <f>IF(D281&lt;=3,база!$M$4,
IF(D281=4,база!$M$5,
IF(D281=5,база!$M$6)))</f>
        <v>225.09719999999999</v>
      </c>
      <c r="V289" s="390">
        <v>1.4</v>
      </c>
      <c r="W289" s="494">
        <f>SUMIFS(Таблица1[Столбец1],Таблица1[коэф],"1,4",Таблица1[р/р],"3/24",Таблица1[Ф. И. О.],B286)</f>
        <v>0</v>
      </c>
      <c r="X289" s="492">
        <f t="shared" si="61"/>
        <v>0</v>
      </c>
      <c r="Y289" s="764"/>
      <c r="Z289" s="766"/>
      <c r="AA289" s="756"/>
    </row>
    <row r="290" spans="1:29" ht="18.75">
      <c r="A290" s="756"/>
      <c r="B290" s="215"/>
      <c r="C290" s="759"/>
      <c r="D290" s="762"/>
      <c r="E290" s="393"/>
      <c r="F290" s="390"/>
      <c r="G290" s="400"/>
      <c r="H290" s="392">
        <f t="shared" si="58"/>
        <v>0</v>
      </c>
      <c r="I290" s="389"/>
      <c r="J290" s="390"/>
      <c r="K290" s="434"/>
      <c r="L290" s="395">
        <f t="shared" si="59"/>
        <v>0</v>
      </c>
      <c r="M290" s="432"/>
      <c r="N290" s="434"/>
      <c r="O290" s="434"/>
      <c r="P290" s="434"/>
      <c r="Q290" s="399">
        <f>база!$L$5</f>
        <v>231.45480000000001</v>
      </c>
      <c r="R290" s="390">
        <v>1.4</v>
      </c>
      <c r="S290" s="491">
        <f>SUMIFS(Таблица1[Столбец1],Таблица1[коэф],"1,4",Таблица1[р/р],"4/16",Таблица1[Ф. И. О.],B286)</f>
        <v>0</v>
      </c>
      <c r="T290" s="492">
        <f t="shared" si="60"/>
        <v>0</v>
      </c>
      <c r="U290" s="472">
        <f>база!$M$5</f>
        <v>247.41720000000001</v>
      </c>
      <c r="V290" s="390">
        <v>1.4</v>
      </c>
      <c r="W290" s="494">
        <f>SUMIFS(Таблица1[Столбец1],Таблица1[коэф],"1,4",Таблица1[р/р],"4/24",Таблица1[Ф. И. О.],B286)</f>
        <v>0</v>
      </c>
      <c r="X290" s="492">
        <f t="shared" si="61"/>
        <v>0</v>
      </c>
      <c r="Y290" s="764"/>
      <c r="Z290" s="766"/>
      <c r="AA290" s="756"/>
    </row>
    <row r="291" spans="1:29" ht="19.5" thickBot="1">
      <c r="A291" s="757"/>
      <c r="B291" s="202"/>
      <c r="C291" s="760"/>
      <c r="D291" s="763"/>
      <c r="E291" s="463"/>
      <c r="F291" s="464"/>
      <c r="G291" s="465"/>
      <c r="H291" s="468">
        <f t="shared" si="58"/>
        <v>0</v>
      </c>
      <c r="I291" s="473"/>
      <c r="J291" s="464"/>
      <c r="K291" s="457"/>
      <c r="L291" s="458">
        <f t="shared" si="59"/>
        <v>0</v>
      </c>
      <c r="M291" s="466"/>
      <c r="N291" s="457"/>
      <c r="O291" s="457"/>
      <c r="P291" s="457"/>
      <c r="Q291" s="467">
        <f>база!$L$6</f>
        <v>261.04640000000001</v>
      </c>
      <c r="R291" s="464">
        <v>1.4</v>
      </c>
      <c r="S291" s="512">
        <f>SUMIFS(Таблица1[Столбец1],Таблица1[коэф],"1,4",Таблица1[р/р],"5/16",Таблица1[Ф. И. О.],B286)</f>
        <v>0</v>
      </c>
      <c r="T291" s="513">
        <f t="shared" si="60"/>
        <v>0</v>
      </c>
      <c r="U291" s="474">
        <f>база!$M$6</f>
        <v>279.0496</v>
      </c>
      <c r="V291" s="464">
        <v>1.4</v>
      </c>
      <c r="W291" s="501">
        <f>SUMIFS(Таблица1[Столбец1],Таблица1[коэф],"1,4",Таблица1[р/р],"5/24",Таблица1[Ф. И. О.],B286)</f>
        <v>0</v>
      </c>
      <c r="X291" s="513">
        <f t="shared" si="61"/>
        <v>0</v>
      </c>
      <c r="Y291" s="765"/>
      <c r="Z291" s="767"/>
      <c r="AA291" s="757"/>
    </row>
    <row r="292" spans="1:29" ht="18.75" collapsed="1">
      <c r="A292" s="755">
        <v>27</v>
      </c>
      <c r="B292" s="235"/>
      <c r="C292" s="758">
        <f>INDEX(база!$E$2:$E$81, MATCH(B297,база!$B$2:$B$50,0))</f>
        <v>13676</v>
      </c>
      <c r="D292" s="761">
        <f>INDEX(база!$D$2:$D$89, MATCH(B297,база!$B$2:$B$50,0))</f>
        <v>4</v>
      </c>
      <c r="E292" s="451">
        <f>IF(D292&lt;=3,база!$I$4,
IF(D292=4,база!$I$5,
IF(D292=5,база!$I$6)))</f>
        <v>207.5112</v>
      </c>
      <c r="F292" s="417">
        <v>1</v>
      </c>
      <c r="G292" s="418">
        <f>SUMIFS(Таблица1[Столбец1],Таблица1[коэф],"1",Таблица1[р/р],"2/4",Таблица1[Ф. И. О.],B297)</f>
        <v>0</v>
      </c>
      <c r="H292" s="402">
        <f t="shared" ref="H292:H302" si="64">ROUND(E292*F292*G292*2,2)</f>
        <v>0</v>
      </c>
      <c r="I292" s="377">
        <f>IF(D292&lt;=3,база!$J$4,
IF(D292=4,база!$J$5,
IF(D292=5,база!$J$6)))</f>
        <v>215.4924</v>
      </c>
      <c r="J292" s="378">
        <v>1</v>
      </c>
      <c r="K292" s="428">
        <f>SUMIFS(Таблица1[Столбец1],Таблица1[коэф],"1",Таблица1[р/р],"2/8",Таблица1[Ф. И. О.],B297)</f>
        <v>0</v>
      </c>
      <c r="L292" s="383">
        <f t="shared" ref="L292:L302" si="65">ROUND(I292*J292*K292*2,2)</f>
        <v>0</v>
      </c>
      <c r="M292" s="452"/>
      <c r="N292" s="453">
        <v>1</v>
      </c>
      <c r="O292" s="453">
        <f>SUMIFS(Data_Tech!$AM$3:$AM$67,Data_Tech!$E$3:$E$67,"1",Data_Tech!$G$3:$G$67,"3/12",Data_Tech!$F$3:$F$67,B297)</f>
        <v>0</v>
      </c>
      <c r="P292" s="453">
        <f>ROUND(M292*N292*O292,2)</f>
        <v>0</v>
      </c>
      <c r="Q292" s="416">
        <f>IF(D292&lt;=3,база!$L$4,
IF(D292=4,база!$L$5,
IF(D292=5,база!$L$6)))</f>
        <v>231.45480000000001</v>
      </c>
      <c r="R292" s="417">
        <v>1</v>
      </c>
      <c r="S292" s="495">
        <f>SUMIFS(Таблица1[Столбец1],Таблица1[коэф],"1",Таблица1[р/р],"3/16",Таблица1[Ф. И. О.],B297)</f>
        <v>0</v>
      </c>
      <c r="T292" s="490">
        <f t="shared" ref="T292:T302" si="66">ROUND(Q292*R292*S292*2,2)</f>
        <v>0</v>
      </c>
      <c r="U292" s="471">
        <f>IF(D292&lt;=3,база!$M$4,
IF(D292=4,база!$M$5,
IF(D292=5,база!$M$6)))</f>
        <v>247.41720000000001</v>
      </c>
      <c r="V292" s="378">
        <v>1</v>
      </c>
      <c r="W292" s="497">
        <f>SUMIFS(Таблица1[Столбец1],Таблица1[коэф],"1",Таблица1[р/р],"3/24",Таблица1[Ф. И. О.],B297)</f>
        <v>0</v>
      </c>
      <c r="X292" s="490">
        <f t="shared" ref="X292:X302" si="67">ROUND(U292*V292*W292*2,2)</f>
        <v>0</v>
      </c>
      <c r="Y292" s="764">
        <f t="shared" ref="Y292" si="68">SUM(G292:G302,K292:K302,O292:O302,S292:S302,W292:W302)</f>
        <v>0</v>
      </c>
      <c r="Z292" s="766">
        <f t="shared" ref="Z292" si="69">IFERROR(SUM(H292:H302,L292:L302,T292:T302,X292:X302),"")</f>
        <v>0</v>
      </c>
      <c r="AA292" s="756"/>
    </row>
    <row r="293" spans="1:29" ht="18.75">
      <c r="A293" s="756"/>
      <c r="B293" s="215"/>
      <c r="C293" s="759"/>
      <c r="D293" s="762"/>
      <c r="E293" s="393">
        <f>IF(D292&lt;=3,база!$I$4,
IF(D292=4,база!$I$5,
IF(D292=5,база!$I$6)))</f>
        <v>207.5112</v>
      </c>
      <c r="F293" s="390">
        <v>1</v>
      </c>
      <c r="G293" s="400">
        <f>SUMIFS(Таблица1[Столбец1],Таблица1[коэф],"1",Таблица1[р/р],"3/4",Таблица1[Ф. И. О.],B297)</f>
        <v>0</v>
      </c>
      <c r="H293" s="392">
        <f t="shared" si="64"/>
        <v>0</v>
      </c>
      <c r="I293" s="389">
        <f>IF(D292&lt;=3,база!$J$4,
IF(D292=4,база!$J$5,
IF(D292=5,база!$J$6)))</f>
        <v>215.4924</v>
      </c>
      <c r="J293" s="390">
        <v>1</v>
      </c>
      <c r="K293" s="434">
        <f>SUMIFS(Таблица1[Столбец1],Таблица1[коэф],"1",Таблица1[р/р],"3/8",Таблица1[Ф. И. О.],B297)</f>
        <v>0</v>
      </c>
      <c r="L293" s="484">
        <f t="shared" si="65"/>
        <v>0</v>
      </c>
      <c r="M293" s="432"/>
      <c r="N293" s="434">
        <v>1</v>
      </c>
      <c r="O293" s="434">
        <f>SUMIFS(Data_Tech!$AM$3:$AM$67,Data_Tech!$E$3:$E$67,"1",Data_Tech!$G$3:$G$67,"4/12",Data_Tech!$F$3:$F$67,B297)</f>
        <v>0</v>
      </c>
      <c r="P293" s="434">
        <f>ROUND(M293*O293,2)</f>
        <v>0</v>
      </c>
      <c r="Q293" s="399">
        <f>база!$L$5</f>
        <v>231.45480000000001</v>
      </c>
      <c r="R293" s="390">
        <v>1</v>
      </c>
      <c r="S293" s="491">
        <f>SUMIFS(Таблица1[Столбец1],Таблица1[коэф],"1",Таблица1[р/р],"4/16",Таблица1[Ф. И. О.],B297)</f>
        <v>0</v>
      </c>
      <c r="T293" s="492">
        <f t="shared" si="66"/>
        <v>0</v>
      </c>
      <c r="U293" s="472">
        <f>база!$M$5</f>
        <v>247.41720000000001</v>
      </c>
      <c r="V293" s="390">
        <v>1</v>
      </c>
      <c r="W293" s="494">
        <f>SUMIFS(Таблица1[Столбец1],Таблица1[коэф],"1",Таблица1[р/р],"4/24",Таблица1[Ф. И. О.],B297)</f>
        <v>0</v>
      </c>
      <c r="X293" s="492">
        <f t="shared" si="67"/>
        <v>0</v>
      </c>
      <c r="Y293" s="764"/>
      <c r="Z293" s="766"/>
      <c r="AA293" s="756"/>
    </row>
    <row r="294" spans="1:29" ht="18.75">
      <c r="A294" s="756"/>
      <c r="B294" s="215"/>
      <c r="C294" s="759"/>
      <c r="D294" s="762"/>
      <c r="E294" s="393"/>
      <c r="F294" s="390"/>
      <c r="G294" s="400"/>
      <c r="H294" s="392">
        <f t="shared" si="64"/>
        <v>0</v>
      </c>
      <c r="I294" s="389"/>
      <c r="J294" s="390"/>
      <c r="K294" s="434"/>
      <c r="L294" s="484">
        <f t="shared" si="65"/>
        <v>0</v>
      </c>
      <c r="M294" s="432"/>
      <c r="N294" s="434"/>
      <c r="O294" s="434"/>
      <c r="P294" s="434"/>
      <c r="Q294" s="399">
        <f>база!$L$6</f>
        <v>261.04640000000001</v>
      </c>
      <c r="R294" s="390">
        <v>1</v>
      </c>
      <c r="S294" s="491">
        <f>SUMIFS(Таблица1[Столбец1],Таблица1[коэф],"1",Таблица1[р/р],"5/16",Таблица1[Ф. И. О.],B297)</f>
        <v>0</v>
      </c>
      <c r="T294" s="492">
        <f t="shared" si="66"/>
        <v>0</v>
      </c>
      <c r="U294" s="472">
        <f>база!$M$6</f>
        <v>279.0496</v>
      </c>
      <c r="V294" s="390">
        <v>1</v>
      </c>
      <c r="W294" s="494">
        <f>SUMIFS(Таблица1[Столбец1],Таблица1[коэф],"1",Таблица1[р/р],"5/24",Таблица1[Ф. И. О.],B297)</f>
        <v>0</v>
      </c>
      <c r="X294" s="492">
        <f t="shared" si="67"/>
        <v>0</v>
      </c>
      <c r="Y294" s="764"/>
      <c r="Z294" s="766"/>
      <c r="AA294" s="756"/>
    </row>
    <row r="295" spans="1:29" ht="18.75">
      <c r="A295" s="756"/>
      <c r="B295" s="215"/>
      <c r="C295" s="759"/>
      <c r="D295" s="762"/>
      <c r="E295" s="393"/>
      <c r="F295" s="390"/>
      <c r="G295" s="400"/>
      <c r="H295" s="392">
        <f t="shared" si="64"/>
        <v>0</v>
      </c>
      <c r="I295" s="389">
        <f>база!$J$5</f>
        <v>215.4924</v>
      </c>
      <c r="J295" s="390">
        <v>1.5</v>
      </c>
      <c r="K295" s="434">
        <f>SUMIFS(Таблица1[Столбец1],Таблица1[коэф],"1,5",Таблица1[р/р],"4/8",Таблица1[Ф. И. О.],B297)</f>
        <v>0</v>
      </c>
      <c r="L295" s="484">
        <f t="shared" si="65"/>
        <v>0</v>
      </c>
      <c r="M295" s="432"/>
      <c r="N295" s="434"/>
      <c r="O295" s="434"/>
      <c r="P295" s="434"/>
      <c r="Q295" s="399">
        <f>IF(D292&lt;=3,база!$L$4,
IF(D292=4,база!$L$5,
IF(D292=5,база!$L$6)))</f>
        <v>231.45480000000001</v>
      </c>
      <c r="R295" s="390">
        <v>1.2</v>
      </c>
      <c r="S295" s="491">
        <f>SUMIFS(Таблица1[Столбец1],Таблица1[коэф],"1,2",Таблица1[р/р],"3/16",Таблица1[Ф. И. О.],B297)</f>
        <v>0</v>
      </c>
      <c r="T295" s="492">
        <f t="shared" si="66"/>
        <v>0</v>
      </c>
      <c r="U295" s="472">
        <f>IF(D292&lt;=3,база!$M$4,
IF(D292=4,база!$M$5,
IF(D292=5,база!$M$6)))</f>
        <v>247.41720000000001</v>
      </c>
      <c r="V295" s="390">
        <v>1.2</v>
      </c>
      <c r="W295" s="494">
        <f>SUMIFS(Таблица1[Столбец1],Таблица1[коэф],"1,2",Таблица1[р/р],"3/24",Таблица1[Ф. И. О.],B297)</f>
        <v>0</v>
      </c>
      <c r="X295" s="492">
        <f t="shared" si="67"/>
        <v>0</v>
      </c>
      <c r="Y295" s="764"/>
      <c r="Z295" s="766"/>
      <c r="AA295" s="756"/>
    </row>
    <row r="296" spans="1:29" ht="18.75">
      <c r="A296" s="756"/>
      <c r="B296" s="215"/>
      <c r="C296" s="759"/>
      <c r="D296" s="762"/>
      <c r="E296" s="393"/>
      <c r="F296" s="390"/>
      <c r="G296" s="400"/>
      <c r="H296" s="392">
        <f t="shared" si="64"/>
        <v>0</v>
      </c>
      <c r="I296" s="389">
        <f>база!$J$6</f>
        <v>243.04319999999998</v>
      </c>
      <c r="J296" s="390">
        <v>1.5</v>
      </c>
      <c r="K296" s="434">
        <f>SUMIFS(Таблица1[Столбец1],Таблица1[коэф],"1,5",Таблица1[р/р],"5/8",Таблица1[Ф. И. О.],B297)</f>
        <v>0</v>
      </c>
      <c r="L296" s="484">
        <f t="shared" si="65"/>
        <v>0</v>
      </c>
      <c r="M296" s="432"/>
      <c r="N296" s="434"/>
      <c r="O296" s="434"/>
      <c r="P296" s="434"/>
      <c r="Q296" s="399">
        <f>база!$L$5</f>
        <v>231.45480000000001</v>
      </c>
      <c r="R296" s="390">
        <v>1.2</v>
      </c>
      <c r="S296" s="491">
        <f>SUMIFS(Таблица1[Столбец1],Таблица1[коэф],"1,2",Таблица1[р/р],"4/16",Таблица1[Ф. И. О.],B297)</f>
        <v>0</v>
      </c>
      <c r="T296" s="492">
        <f t="shared" si="66"/>
        <v>0</v>
      </c>
      <c r="U296" s="472">
        <f>база!$M$5</f>
        <v>247.41720000000001</v>
      </c>
      <c r="V296" s="390">
        <v>1.2</v>
      </c>
      <c r="W296" s="494">
        <f>SUMIFS(Таблица1[Столбец1],Таблица1[коэф],"1,2",Таблица1[р/р],"4/24",Таблица1[Ф. И. О.],B297)</f>
        <v>0</v>
      </c>
      <c r="X296" s="492">
        <f t="shared" si="67"/>
        <v>0</v>
      </c>
      <c r="Y296" s="764"/>
      <c r="Z296" s="766"/>
      <c r="AA296" s="756"/>
    </row>
    <row r="297" spans="1:29" ht="18" customHeight="1">
      <c r="A297" s="756"/>
      <c r="B297" s="215" t="str">
        <f>база!B28</f>
        <v>Зоидзе Ирина Сергеевна</v>
      </c>
      <c r="C297" s="759"/>
      <c r="D297" s="762"/>
      <c r="E297" s="393"/>
      <c r="F297" s="390"/>
      <c r="G297" s="400"/>
      <c r="H297" s="392">
        <f t="shared" si="64"/>
        <v>0</v>
      </c>
      <c r="I297" s="389"/>
      <c r="J297" s="390"/>
      <c r="K297" s="434"/>
      <c r="L297" s="484">
        <f t="shared" si="65"/>
        <v>0</v>
      </c>
      <c r="M297" s="432"/>
      <c r="N297" s="434"/>
      <c r="O297" s="434"/>
      <c r="P297" s="434"/>
      <c r="Q297" s="399">
        <f>база!$L$6</f>
        <v>261.04640000000001</v>
      </c>
      <c r="R297" s="390">
        <v>1.2</v>
      </c>
      <c r="S297" s="491">
        <f>SUMIFS(Таблица1[Столбец1],Таблица1[коэф],"1,2",Таблица1[р/р],"5/16",Таблица1[Ф. И. О.],B297)</f>
        <v>0</v>
      </c>
      <c r="T297" s="492">
        <f t="shared" si="66"/>
        <v>0</v>
      </c>
      <c r="U297" s="472">
        <f>база!$M$6</f>
        <v>279.0496</v>
      </c>
      <c r="V297" s="390">
        <v>1.2</v>
      </c>
      <c r="W297" s="494">
        <f>SUMIFS(Таблица1[Столбец1],Таблица1[коэф],"1,2",Таблица1[р/р],"5/24",Таблица1[Ф. И. О.],B297)</f>
        <v>0</v>
      </c>
      <c r="X297" s="492">
        <f t="shared" si="67"/>
        <v>0</v>
      </c>
      <c r="Y297" s="764"/>
      <c r="Z297" s="766"/>
      <c r="AA297" s="756"/>
      <c r="AC297" s="712" t="str">
        <f>IF(SUMIFS(Таблица1[Столбец3],Таблица1[Ф. И. О.],B297)-Z292=0,"",SUMIFS(Таблица1[Столбец3],Таблица1[Ф. И. О.],B297)-Z292)</f>
        <v/>
      </c>
    </row>
    <row r="298" spans="1:29" ht="18.75">
      <c r="A298" s="756"/>
      <c r="B298" s="215"/>
      <c r="C298" s="759"/>
      <c r="D298" s="762"/>
      <c r="E298" s="393"/>
      <c r="F298" s="390"/>
      <c r="G298" s="400"/>
      <c r="H298" s="392">
        <f t="shared" si="64"/>
        <v>0</v>
      </c>
      <c r="I298" s="389"/>
      <c r="J298" s="390"/>
      <c r="K298" s="434"/>
      <c r="L298" s="484">
        <f t="shared" si="65"/>
        <v>0</v>
      </c>
      <c r="M298" s="432"/>
      <c r="N298" s="434"/>
      <c r="O298" s="434"/>
      <c r="P298" s="434"/>
      <c r="Q298" s="399">
        <f>IF(D292&lt;=3,база!$L$4,
IF(D292=4,база!$L$5,
IF(D292=5,база!$L$6)))</f>
        <v>231.45480000000001</v>
      </c>
      <c r="R298" s="390">
        <v>1.3</v>
      </c>
      <c r="S298" s="491">
        <f>SUMIFS(Таблица1[Столбец1],Таблица1[коэф],"1,3",Таблица1[р/р],"3/16",Таблица1[Ф. И. О.],B297)</f>
        <v>0</v>
      </c>
      <c r="T298" s="492">
        <f t="shared" si="66"/>
        <v>0</v>
      </c>
      <c r="U298" s="472">
        <f>IF(D292&lt;=3,база!$M$4,
IF(D292=4,база!$M$5,
IF(D292=5,база!$M$6)))</f>
        <v>247.41720000000001</v>
      </c>
      <c r="V298" s="390">
        <v>1.3</v>
      </c>
      <c r="W298" s="494">
        <f>SUMIFS(Таблица1[Столбец1],Таблица1[коэф],"1,3",Таблица1[р/р],"3/24",Таблица1[Ф. И. О.],B297)</f>
        <v>0</v>
      </c>
      <c r="X298" s="492">
        <f t="shared" si="67"/>
        <v>0</v>
      </c>
      <c r="Y298" s="764"/>
      <c r="Z298" s="766"/>
      <c r="AA298" s="756"/>
      <c r="AC298" s="712" t="str">
        <f>IF(SUMIFS(Таблица1[Столбец1],Таблица1[Ф. И. О.],B297)=Y292,"",B297&amp;"  часы не верны")</f>
        <v/>
      </c>
    </row>
    <row r="299" spans="1:29" ht="18.75">
      <c r="A299" s="756"/>
      <c r="B299" s="215"/>
      <c r="C299" s="759"/>
      <c r="D299" s="762"/>
      <c r="E299" s="393"/>
      <c r="F299" s="390"/>
      <c r="G299" s="400"/>
      <c r="H299" s="392">
        <f t="shared" si="64"/>
        <v>0</v>
      </c>
      <c r="I299" s="389"/>
      <c r="J299" s="390"/>
      <c r="K299" s="434"/>
      <c r="L299" s="484">
        <f t="shared" si="65"/>
        <v>0</v>
      </c>
      <c r="M299" s="432"/>
      <c r="N299" s="434"/>
      <c r="O299" s="434"/>
      <c r="P299" s="434"/>
      <c r="Q299" s="399">
        <f>база!$L$5</f>
        <v>231.45480000000001</v>
      </c>
      <c r="R299" s="390">
        <v>1.3</v>
      </c>
      <c r="S299" s="491">
        <f>SUMIFS(Таблица1[Столбец1],Таблица1[коэф],"1,3",Таблица1[р/р],"4/16",Таблица1[Ф. И. О.],B297)</f>
        <v>0</v>
      </c>
      <c r="T299" s="492">
        <f t="shared" si="66"/>
        <v>0</v>
      </c>
      <c r="U299" s="472">
        <f>база!$M$5</f>
        <v>247.41720000000001</v>
      </c>
      <c r="V299" s="390">
        <v>1.3</v>
      </c>
      <c r="W299" s="494">
        <f>SUMIFS(Таблица1[Столбец1],Таблица1[коэф],"1,3",Таблица1[р/р],"4/24",Таблица1[Ф. И. О.],B297)</f>
        <v>0</v>
      </c>
      <c r="X299" s="492">
        <f t="shared" si="67"/>
        <v>0</v>
      </c>
      <c r="Y299" s="764"/>
      <c r="Z299" s="766"/>
      <c r="AA299" s="756"/>
    </row>
    <row r="300" spans="1:29" ht="18.75">
      <c r="A300" s="756"/>
      <c r="B300" s="215"/>
      <c r="C300" s="759"/>
      <c r="D300" s="762"/>
      <c r="E300" s="393"/>
      <c r="F300" s="390"/>
      <c r="G300" s="400"/>
      <c r="H300" s="392">
        <f t="shared" si="64"/>
        <v>0</v>
      </c>
      <c r="I300" s="389"/>
      <c r="J300" s="390"/>
      <c r="K300" s="434"/>
      <c r="L300" s="484">
        <f t="shared" si="65"/>
        <v>0</v>
      </c>
      <c r="M300" s="432"/>
      <c r="N300" s="434"/>
      <c r="O300" s="434"/>
      <c r="P300" s="434"/>
      <c r="Q300" s="399">
        <f>IF(D292&lt;=3,база!$L$4,
IF(D292=4,база!$L$5,
IF(D292=5,база!$L$6)))</f>
        <v>231.45480000000001</v>
      </c>
      <c r="R300" s="390">
        <v>1.4</v>
      </c>
      <c r="S300" s="491">
        <f>SUMIFS(Таблица1[Столбец1],Таблица1[коэф],"1,4",Таблица1[р/р],"3/16",Таблица1[Ф. И. О.],B297)</f>
        <v>0</v>
      </c>
      <c r="T300" s="492">
        <f t="shared" si="66"/>
        <v>0</v>
      </c>
      <c r="U300" s="472">
        <f>IF(D292&lt;=3,база!$M$4,
IF(D292=4,база!$M$5,
IF(D292=5,база!$M$6)))</f>
        <v>247.41720000000001</v>
      </c>
      <c r="V300" s="390">
        <v>1.4</v>
      </c>
      <c r="W300" s="494">
        <f>SUMIFS(Таблица1[Столбец1],Таблица1[коэф],"1,4",Таблица1[р/р],"3/24",Таблица1[Ф. И. О.],B297)</f>
        <v>0</v>
      </c>
      <c r="X300" s="492">
        <f t="shared" si="67"/>
        <v>0</v>
      </c>
      <c r="Y300" s="764"/>
      <c r="Z300" s="766"/>
      <c r="AA300" s="756"/>
    </row>
    <row r="301" spans="1:29" ht="18.75">
      <c r="A301" s="756"/>
      <c r="B301" s="215"/>
      <c r="C301" s="759"/>
      <c r="D301" s="762"/>
      <c r="E301" s="393"/>
      <c r="F301" s="390"/>
      <c r="G301" s="400"/>
      <c r="H301" s="392">
        <f t="shared" si="64"/>
        <v>0</v>
      </c>
      <c r="I301" s="389"/>
      <c r="J301" s="390"/>
      <c r="K301" s="434"/>
      <c r="L301" s="395">
        <f t="shared" si="65"/>
        <v>0</v>
      </c>
      <c r="M301" s="432"/>
      <c r="N301" s="434"/>
      <c r="O301" s="434"/>
      <c r="P301" s="434"/>
      <c r="Q301" s="399">
        <f>база!$L$5</f>
        <v>231.45480000000001</v>
      </c>
      <c r="R301" s="390">
        <v>1.4</v>
      </c>
      <c r="S301" s="491">
        <f>SUMIFS(Таблица1[Столбец1],Таблица1[коэф],"1,4",Таблица1[р/р],"4/16",Таблица1[Ф. И. О.],B297)</f>
        <v>0</v>
      </c>
      <c r="T301" s="492">
        <f t="shared" si="66"/>
        <v>0</v>
      </c>
      <c r="U301" s="472">
        <f>база!$M$5</f>
        <v>247.41720000000001</v>
      </c>
      <c r="V301" s="390">
        <v>1.4</v>
      </c>
      <c r="W301" s="494">
        <f>SUMIFS(Таблица1[Столбец1],Таблица1[коэф],"1,4",Таблица1[р/р],"4/24",Таблица1[Ф. И. О.],B297)</f>
        <v>0</v>
      </c>
      <c r="X301" s="492">
        <f t="shared" si="67"/>
        <v>0</v>
      </c>
      <c r="Y301" s="764"/>
      <c r="Z301" s="766"/>
      <c r="AA301" s="756"/>
    </row>
    <row r="302" spans="1:29" ht="19.5" thickBot="1">
      <c r="A302" s="757"/>
      <c r="B302" s="202"/>
      <c r="C302" s="760"/>
      <c r="D302" s="763"/>
      <c r="E302" s="463"/>
      <c r="F302" s="464"/>
      <c r="G302" s="465"/>
      <c r="H302" s="468">
        <f t="shared" si="64"/>
        <v>0</v>
      </c>
      <c r="I302" s="473"/>
      <c r="J302" s="464"/>
      <c r="K302" s="457"/>
      <c r="L302" s="458">
        <f t="shared" si="65"/>
        <v>0</v>
      </c>
      <c r="M302" s="466"/>
      <c r="N302" s="457"/>
      <c r="O302" s="457"/>
      <c r="P302" s="457"/>
      <c r="Q302" s="467">
        <f>база!$L$6</f>
        <v>261.04640000000001</v>
      </c>
      <c r="R302" s="464">
        <v>1.4</v>
      </c>
      <c r="S302" s="512">
        <f>SUMIFS(Таблица1[Столбец1],Таблица1[коэф],"1,4",Таблица1[р/р],"5/16",Таблица1[Ф. И. О.],B297)</f>
        <v>0</v>
      </c>
      <c r="T302" s="513">
        <f t="shared" si="66"/>
        <v>0</v>
      </c>
      <c r="U302" s="474">
        <f>база!$M$6</f>
        <v>279.0496</v>
      </c>
      <c r="V302" s="464">
        <v>1.4</v>
      </c>
      <c r="W302" s="501">
        <f>SUMIFS(Таблица1[Столбец1],Таблица1[коэф],"1,4",Таблица1[р/р],"5/24",Таблица1[Ф. И. О.],B297)</f>
        <v>0</v>
      </c>
      <c r="X302" s="513">
        <f t="shared" si="67"/>
        <v>0</v>
      </c>
      <c r="Y302" s="765"/>
      <c r="Z302" s="767"/>
      <c r="AA302" s="757"/>
    </row>
    <row r="303" spans="1:29" ht="18.75" collapsed="1">
      <c r="A303" s="755">
        <v>28</v>
      </c>
      <c r="B303" s="235"/>
      <c r="C303" s="758">
        <f>INDEX(база!$E$2:$E$81, MATCH(B308,база!$B$2:$B$50,0))</f>
        <v>17122</v>
      </c>
      <c r="D303" s="761">
        <f>INDEX(база!$D$2:$D$89, MATCH(B308,база!$B$2:$B$50,0))</f>
        <v>3</v>
      </c>
      <c r="E303" s="451">
        <f>IF(D303&lt;=3,база!$I$4,
IF(D303=4,база!$I$5,
IF(D303=5,база!$I$6)))</f>
        <v>188.7912</v>
      </c>
      <c r="F303" s="417">
        <v>1</v>
      </c>
      <c r="G303" s="418">
        <f>SUMIFS(Таблица1[Столбец1],Таблица1[коэф],"1",Таблица1[р/р],"2/4",Таблица1[Ф. И. О.],B308)</f>
        <v>0</v>
      </c>
      <c r="H303" s="402">
        <f t="shared" ref="H303:H313" si="70">ROUND(E303*F303*G303*2,2)</f>
        <v>0</v>
      </c>
      <c r="I303" s="377">
        <f>IF(D303&lt;=3,база!$J$4,
IF(D303=4,база!$J$5,
IF(D303=5,база!$J$6)))</f>
        <v>196.05240000000001</v>
      </c>
      <c r="J303" s="378">
        <v>1</v>
      </c>
      <c r="K303" s="428">
        <f>SUMIFS(Таблица1[Столбец1],Таблица1[коэф],"1",Таблица1[р/р],"2/8",Таблица1[Ф. И. О.],B308)</f>
        <v>0</v>
      </c>
      <c r="L303" s="383">
        <f t="shared" ref="L303:L313" si="71">ROUND(I303*J303*K303*2,2)</f>
        <v>0</v>
      </c>
      <c r="M303" s="452"/>
      <c r="N303" s="453">
        <v>1</v>
      </c>
      <c r="O303" s="453">
        <f>SUMIFS(Data_Tech!$AM$3:$AM$67,Data_Tech!$E$3:$E$67,"1",Data_Tech!$G$3:$G$67,"3/12",Data_Tech!$F$3:$F$67,B308)</f>
        <v>0</v>
      </c>
      <c r="P303" s="453">
        <f>ROUND(M303*N303*O303,2)</f>
        <v>0</v>
      </c>
      <c r="Q303" s="416">
        <f>IF(D303&lt;=3,база!$L$4,
IF(D303=4,база!$L$5,
IF(D303=5,база!$L$6)))</f>
        <v>210.57480000000001</v>
      </c>
      <c r="R303" s="417">
        <v>1</v>
      </c>
      <c r="S303" s="495">
        <f>SUMIFS(Таблица1[Столбец1],Таблица1[коэф],"1",Таблица1[р/р],"3/16",Таблица1[Ф. И. О.],B308)</f>
        <v>0</v>
      </c>
      <c r="T303" s="490">
        <f t="shared" ref="T303:T313" si="72">ROUND(Q303*R303*S303*2,2)</f>
        <v>0</v>
      </c>
      <c r="U303" s="471">
        <f>IF(D303&lt;=3,база!$M$4,
IF(D303=4,база!$M$5,
IF(D303=5,база!$M$6)))</f>
        <v>225.09719999999999</v>
      </c>
      <c r="V303" s="378">
        <v>1</v>
      </c>
      <c r="W303" s="497">
        <f>SUMIFS(Таблица1[Столбец1],Таблица1[коэф],"1",Таблица1[р/р],"3/24",Таблица1[Ф. И. О.],B308)</f>
        <v>0</v>
      </c>
      <c r="X303" s="490">
        <f t="shared" ref="X303:X313" si="73">ROUND(U303*V303*W303*2,2)</f>
        <v>0</v>
      </c>
      <c r="Y303" s="764">
        <f t="shared" ref="Y303" si="74">SUM(G303:G313,K303:K313,O303:O313,S303:S313,W303:W313)</f>
        <v>0</v>
      </c>
      <c r="Z303" s="766">
        <f t="shared" ref="Z303" si="75">IFERROR(SUM(H303:H313,L303:L313,T303:T313,X303:X313),"")</f>
        <v>0</v>
      </c>
      <c r="AA303" s="756"/>
    </row>
    <row r="304" spans="1:29" ht="18.75">
      <c r="A304" s="756"/>
      <c r="B304" s="215"/>
      <c r="C304" s="759"/>
      <c r="D304" s="762"/>
      <c r="E304" s="393">
        <f>IF(D303&lt;=3,база!$I$4,
IF(D303=4,база!$I$5,
IF(D303=5,база!$I$6)))</f>
        <v>188.7912</v>
      </c>
      <c r="F304" s="390">
        <v>1</v>
      </c>
      <c r="G304" s="400">
        <f>SUMIFS(Таблица1[Столбец1],Таблица1[коэф],"1",Таблица1[р/р],"3/4",Таблица1[Ф. И. О.],B308)</f>
        <v>0</v>
      </c>
      <c r="H304" s="392">
        <f t="shared" si="70"/>
        <v>0</v>
      </c>
      <c r="I304" s="389">
        <f>IF(D303&lt;=3,база!$J$4,
IF(D303=4,база!$J$5,
IF(D303=5,база!$J$6)))</f>
        <v>196.05240000000001</v>
      </c>
      <c r="J304" s="390">
        <v>1</v>
      </c>
      <c r="K304" s="434">
        <f>SUMIFS(Таблица1[Столбец1],Таблица1[коэф],"1",Таблица1[р/р],"3/8",Таблица1[Ф. И. О.],B308)</f>
        <v>0</v>
      </c>
      <c r="L304" s="484">
        <f t="shared" si="71"/>
        <v>0</v>
      </c>
      <c r="M304" s="432"/>
      <c r="N304" s="434">
        <v>1</v>
      </c>
      <c r="O304" s="434">
        <f>SUMIFS(Data_Tech!$AM$3:$AM$67,Data_Tech!$E$3:$E$67,"1",Data_Tech!$G$3:$G$67,"4/12",Data_Tech!$F$3:$F$67,B308)</f>
        <v>0</v>
      </c>
      <c r="P304" s="434">
        <f>ROUND(M304*O304,2)</f>
        <v>0</v>
      </c>
      <c r="Q304" s="399">
        <f>база!$L$5</f>
        <v>231.45480000000001</v>
      </c>
      <c r="R304" s="390">
        <v>1</v>
      </c>
      <c r="S304" s="491">
        <f>SUMIFS(Таблица1[Столбец1],Таблица1[коэф],"1",Таблица1[р/р],"4/16",Таблица1[Ф. И. О.],B308)</f>
        <v>0</v>
      </c>
      <c r="T304" s="492">
        <f t="shared" si="72"/>
        <v>0</v>
      </c>
      <c r="U304" s="472">
        <f>база!$M$5</f>
        <v>247.41720000000001</v>
      </c>
      <c r="V304" s="390">
        <v>1</v>
      </c>
      <c r="W304" s="494">
        <f>SUMIFS(Таблица1[Столбец1],Таблица1[коэф],"1",Таблица1[р/р],"4/24",Таблица1[Ф. И. О.],B308)</f>
        <v>0</v>
      </c>
      <c r="X304" s="492">
        <f t="shared" si="73"/>
        <v>0</v>
      </c>
      <c r="Y304" s="764"/>
      <c r="Z304" s="766"/>
      <c r="AA304" s="756"/>
    </row>
    <row r="305" spans="1:29" ht="18.75">
      <c r="A305" s="756"/>
      <c r="B305" s="215"/>
      <c r="C305" s="759"/>
      <c r="D305" s="762"/>
      <c r="E305" s="393"/>
      <c r="F305" s="390"/>
      <c r="G305" s="400"/>
      <c r="H305" s="392">
        <f t="shared" si="70"/>
        <v>0</v>
      </c>
      <c r="I305" s="389"/>
      <c r="J305" s="390"/>
      <c r="K305" s="434"/>
      <c r="L305" s="484">
        <f t="shared" si="71"/>
        <v>0</v>
      </c>
      <c r="M305" s="432"/>
      <c r="N305" s="434"/>
      <c r="O305" s="434"/>
      <c r="P305" s="434"/>
      <c r="Q305" s="399">
        <f>база!$L$6</f>
        <v>261.04640000000001</v>
      </c>
      <c r="R305" s="390">
        <v>1</v>
      </c>
      <c r="S305" s="491">
        <f>SUMIFS(Таблица1[Столбец1],Таблица1[коэф],"1",Таблица1[р/р],"5/16",Таблица1[Ф. И. О.],B308)</f>
        <v>0</v>
      </c>
      <c r="T305" s="492">
        <f t="shared" si="72"/>
        <v>0</v>
      </c>
      <c r="U305" s="472">
        <f>база!$M$6</f>
        <v>279.0496</v>
      </c>
      <c r="V305" s="390">
        <v>1</v>
      </c>
      <c r="W305" s="494">
        <f>SUMIFS(Таблица1[Столбец1],Таблица1[коэф],"1",Таблица1[р/р],"5/24",Таблица1[Ф. И. О.],B308)</f>
        <v>0</v>
      </c>
      <c r="X305" s="492">
        <f t="shared" si="73"/>
        <v>0</v>
      </c>
      <c r="Y305" s="764"/>
      <c r="Z305" s="766"/>
      <c r="AA305" s="756"/>
    </row>
    <row r="306" spans="1:29" ht="18.75">
      <c r="A306" s="756"/>
      <c r="B306" s="215"/>
      <c r="C306" s="759"/>
      <c r="D306" s="762"/>
      <c r="E306" s="393"/>
      <c r="F306" s="390"/>
      <c r="G306" s="400"/>
      <c r="H306" s="392">
        <f t="shared" si="70"/>
        <v>0</v>
      </c>
      <c r="I306" s="389">
        <f>база!$J$5</f>
        <v>215.4924</v>
      </c>
      <c r="J306" s="390">
        <v>1.5</v>
      </c>
      <c r="K306" s="434">
        <f>SUMIFS(Таблица1[Столбец1],Таблица1[коэф],"1,5",Таблица1[р/р],"4/8",Таблица1[Ф. И. О.],B308)</f>
        <v>0</v>
      </c>
      <c r="L306" s="484">
        <f t="shared" si="71"/>
        <v>0</v>
      </c>
      <c r="M306" s="432"/>
      <c r="N306" s="434"/>
      <c r="O306" s="434"/>
      <c r="P306" s="434"/>
      <c r="Q306" s="399">
        <f>IF(D303&lt;=3,база!$L$4,
IF(D303=4,база!$L$5,
IF(D303=5,база!$L$6)))</f>
        <v>210.57480000000001</v>
      </c>
      <c r="R306" s="390">
        <v>1.2</v>
      </c>
      <c r="S306" s="491">
        <f>SUMIFS(Таблица1[Столбец1],Таблица1[коэф],"1,2",Таблица1[р/р],"3/16",Таблица1[Ф. И. О.],B308)</f>
        <v>0</v>
      </c>
      <c r="T306" s="492">
        <f t="shared" si="72"/>
        <v>0</v>
      </c>
      <c r="U306" s="472">
        <f>IF(D303&lt;=3,база!$M$4,
IF(D303=4,база!$M$5,
IF(D303=5,база!$M$6)))</f>
        <v>225.09719999999999</v>
      </c>
      <c r="V306" s="390">
        <v>1.2</v>
      </c>
      <c r="W306" s="494">
        <f>SUMIFS(Таблица1[Столбец1],Таблица1[коэф],"1,2",Таблица1[р/р],"3/24",Таблица1[Ф. И. О.],B308)</f>
        <v>0</v>
      </c>
      <c r="X306" s="492">
        <f t="shared" si="73"/>
        <v>0</v>
      </c>
      <c r="Y306" s="764"/>
      <c r="Z306" s="766"/>
      <c r="AA306" s="756"/>
    </row>
    <row r="307" spans="1:29" ht="18.75">
      <c r="A307" s="756"/>
      <c r="B307" s="215"/>
      <c r="C307" s="759"/>
      <c r="D307" s="762"/>
      <c r="E307" s="393"/>
      <c r="F307" s="390"/>
      <c r="G307" s="400"/>
      <c r="H307" s="392">
        <f t="shared" si="70"/>
        <v>0</v>
      </c>
      <c r="I307" s="389">
        <f>база!$J$6</f>
        <v>243.04319999999998</v>
      </c>
      <c r="J307" s="390">
        <v>1.5</v>
      </c>
      <c r="K307" s="434">
        <f>SUMIFS(Таблица1[Столбец1],Таблица1[коэф],"1,5",Таблица1[р/р],"5/8",Таблица1[Ф. И. О.],B308)</f>
        <v>0</v>
      </c>
      <c r="L307" s="484">
        <f t="shared" si="71"/>
        <v>0</v>
      </c>
      <c r="M307" s="432"/>
      <c r="N307" s="434"/>
      <c r="O307" s="434"/>
      <c r="P307" s="434"/>
      <c r="Q307" s="399">
        <f>база!$L$5</f>
        <v>231.45480000000001</v>
      </c>
      <c r="R307" s="390">
        <v>1.2</v>
      </c>
      <c r="S307" s="491">
        <f>SUMIFS(Таблица1[Столбец1],Таблица1[коэф],"1,2",Таблица1[р/р],"4/16",Таблица1[Ф. И. О.],B308)</f>
        <v>0</v>
      </c>
      <c r="T307" s="492">
        <f t="shared" si="72"/>
        <v>0</v>
      </c>
      <c r="U307" s="472">
        <f>база!$M$5</f>
        <v>247.41720000000001</v>
      </c>
      <c r="V307" s="390">
        <v>1.2</v>
      </c>
      <c r="W307" s="494">
        <f>SUMIFS(Таблица1[Столбец1],Таблица1[коэф],"1,2",Таблица1[р/р],"4/24",Таблица1[Ф. И. О.],B308)</f>
        <v>0</v>
      </c>
      <c r="X307" s="492">
        <f t="shared" si="73"/>
        <v>0</v>
      </c>
      <c r="Y307" s="764"/>
      <c r="Z307" s="766"/>
      <c r="AA307" s="756"/>
    </row>
    <row r="308" spans="1:29" ht="18" customHeight="1">
      <c r="A308" s="756"/>
      <c r="B308" s="215" t="str">
        <f>база!B29</f>
        <v>Иванова Екатерина Борисовна</v>
      </c>
      <c r="C308" s="759"/>
      <c r="D308" s="762"/>
      <c r="E308" s="393"/>
      <c r="F308" s="390"/>
      <c r="G308" s="400"/>
      <c r="H308" s="392">
        <f t="shared" si="70"/>
        <v>0</v>
      </c>
      <c r="I308" s="389"/>
      <c r="J308" s="390"/>
      <c r="K308" s="434"/>
      <c r="L308" s="484">
        <f t="shared" si="71"/>
        <v>0</v>
      </c>
      <c r="M308" s="432"/>
      <c r="N308" s="434"/>
      <c r="O308" s="434"/>
      <c r="P308" s="434"/>
      <c r="Q308" s="399">
        <f>база!$L$6</f>
        <v>261.04640000000001</v>
      </c>
      <c r="R308" s="390">
        <v>1.2</v>
      </c>
      <c r="S308" s="491">
        <f>SUMIFS(Таблица1[Столбец1],Таблица1[коэф],"1,2",Таблица1[р/р],"5/16",Таблица1[Ф. И. О.],B308)</f>
        <v>0</v>
      </c>
      <c r="T308" s="492">
        <f t="shared" si="72"/>
        <v>0</v>
      </c>
      <c r="U308" s="472">
        <f>база!$M$6</f>
        <v>279.0496</v>
      </c>
      <c r="V308" s="390">
        <v>1.2</v>
      </c>
      <c r="W308" s="494">
        <f>SUMIFS(Таблица1[Столбец1],Таблица1[коэф],"1,2",Таблица1[р/р],"5/24",Таблица1[Ф. И. О.],B308)</f>
        <v>0</v>
      </c>
      <c r="X308" s="492">
        <f t="shared" si="73"/>
        <v>0</v>
      </c>
      <c r="Y308" s="764"/>
      <c r="Z308" s="766"/>
      <c r="AA308" s="756"/>
      <c r="AC308" s="712" t="str">
        <f>IF(SUMIFS(Таблица1[Столбец3],Таблица1[Ф. И. О.],B308)-Z303=0,"",SUMIFS(Таблица1[Столбец3],Таблица1[Ф. И. О.],B308)-Z303)</f>
        <v/>
      </c>
    </row>
    <row r="309" spans="1:29" ht="18.75">
      <c r="A309" s="756"/>
      <c r="B309" s="215"/>
      <c r="C309" s="759"/>
      <c r="D309" s="762"/>
      <c r="E309" s="393"/>
      <c r="F309" s="390"/>
      <c r="G309" s="400"/>
      <c r="H309" s="392">
        <f t="shared" si="70"/>
        <v>0</v>
      </c>
      <c r="I309" s="389"/>
      <c r="J309" s="390"/>
      <c r="K309" s="434"/>
      <c r="L309" s="484">
        <f t="shared" si="71"/>
        <v>0</v>
      </c>
      <c r="M309" s="432"/>
      <c r="N309" s="434"/>
      <c r="O309" s="434"/>
      <c r="P309" s="434"/>
      <c r="Q309" s="399">
        <f>IF(D303&lt;=3,база!$L$4,
IF(D303=4,база!$L$5,
IF(D303=5,база!$L$6)))</f>
        <v>210.57480000000001</v>
      </c>
      <c r="R309" s="390">
        <v>1.3</v>
      </c>
      <c r="S309" s="491">
        <f>SUMIFS(Таблица1[Столбец1],Таблица1[коэф],"1,3",Таблица1[р/р],"3/16",Таблица1[Ф. И. О.],B308)</f>
        <v>0</v>
      </c>
      <c r="T309" s="492">
        <f t="shared" si="72"/>
        <v>0</v>
      </c>
      <c r="U309" s="472">
        <f>IF(D303&lt;=3,база!$M$4,
IF(D303=4,база!$M$5,
IF(D303=5,база!$M$6)))</f>
        <v>225.09719999999999</v>
      </c>
      <c r="V309" s="390">
        <v>1.3</v>
      </c>
      <c r="W309" s="494">
        <f>SUMIFS(Таблица1[Столбец1],Таблица1[коэф],"1,3",Таблица1[р/р],"3/24",Таблица1[Ф. И. О.],B308)</f>
        <v>0</v>
      </c>
      <c r="X309" s="492">
        <f t="shared" si="73"/>
        <v>0</v>
      </c>
      <c r="Y309" s="764"/>
      <c r="Z309" s="766"/>
      <c r="AA309" s="756"/>
      <c r="AC309" s="712" t="str">
        <f>IF(SUMIFS(Таблица1[Столбец1],Таблица1[Ф. И. О.],B308)=Y303,"",B308&amp;"  часы не верны")</f>
        <v/>
      </c>
    </row>
    <row r="310" spans="1:29" ht="18.75">
      <c r="A310" s="756"/>
      <c r="B310" s="215"/>
      <c r="C310" s="759"/>
      <c r="D310" s="762"/>
      <c r="E310" s="393"/>
      <c r="F310" s="390"/>
      <c r="G310" s="400"/>
      <c r="H310" s="392">
        <f t="shared" si="70"/>
        <v>0</v>
      </c>
      <c r="I310" s="389"/>
      <c r="J310" s="390"/>
      <c r="K310" s="434"/>
      <c r="L310" s="484">
        <f t="shared" si="71"/>
        <v>0</v>
      </c>
      <c r="M310" s="432"/>
      <c r="N310" s="434"/>
      <c r="O310" s="434"/>
      <c r="P310" s="434"/>
      <c r="Q310" s="399">
        <f>база!$L$5</f>
        <v>231.45480000000001</v>
      </c>
      <c r="R310" s="390">
        <v>1.3</v>
      </c>
      <c r="S310" s="491">
        <f>SUMIFS(Таблица1[Столбец1],Таблица1[коэф],"1,3",Таблица1[р/р],"4/16",Таблица1[Ф. И. О.],B308)</f>
        <v>0</v>
      </c>
      <c r="T310" s="492">
        <f t="shared" si="72"/>
        <v>0</v>
      </c>
      <c r="U310" s="472">
        <f>база!$M$5</f>
        <v>247.41720000000001</v>
      </c>
      <c r="V310" s="390">
        <v>1.3</v>
      </c>
      <c r="W310" s="494">
        <f>SUMIFS(Таблица1[Столбец1],Таблица1[коэф],"1,3",Таблица1[р/р],"4/24",Таблица1[Ф. И. О.],B308)</f>
        <v>0</v>
      </c>
      <c r="X310" s="492">
        <f t="shared" si="73"/>
        <v>0</v>
      </c>
      <c r="Y310" s="764"/>
      <c r="Z310" s="766"/>
      <c r="AA310" s="756"/>
    </row>
    <row r="311" spans="1:29" ht="18.75">
      <c r="A311" s="756"/>
      <c r="B311" s="215"/>
      <c r="C311" s="759"/>
      <c r="D311" s="762"/>
      <c r="E311" s="393"/>
      <c r="F311" s="390"/>
      <c r="G311" s="400"/>
      <c r="H311" s="392">
        <f t="shared" si="70"/>
        <v>0</v>
      </c>
      <c r="I311" s="389"/>
      <c r="J311" s="390"/>
      <c r="K311" s="434"/>
      <c r="L311" s="484">
        <f t="shared" si="71"/>
        <v>0</v>
      </c>
      <c r="M311" s="432"/>
      <c r="N311" s="434"/>
      <c r="O311" s="434"/>
      <c r="P311" s="434"/>
      <c r="Q311" s="399">
        <f>IF(D303&lt;=3,база!$L$4,
IF(D303=4,база!$L$5,
IF(D303=5,база!$L$6)))</f>
        <v>210.57480000000001</v>
      </c>
      <c r="R311" s="390">
        <v>1.4</v>
      </c>
      <c r="S311" s="491">
        <f>SUMIFS(Таблица1[Столбец1],Таблица1[коэф],"1,4",Таблица1[р/р],"3/16",Таблица1[Ф. И. О.],B308)</f>
        <v>0</v>
      </c>
      <c r="T311" s="492">
        <f t="shared" si="72"/>
        <v>0</v>
      </c>
      <c r="U311" s="472">
        <f>IF(D303&lt;=3,база!$M$4,
IF(D303=4,база!$M$5,
IF(D303=5,база!$M$6)))</f>
        <v>225.09719999999999</v>
      </c>
      <c r="V311" s="390">
        <v>1.4</v>
      </c>
      <c r="W311" s="494">
        <f>SUMIFS(Таблица1[Столбец1],Таблица1[коэф],"1,4",Таблица1[р/р],"3/24",Таблица1[Ф. И. О.],B308)</f>
        <v>0</v>
      </c>
      <c r="X311" s="492">
        <f t="shared" si="73"/>
        <v>0</v>
      </c>
      <c r="Y311" s="764"/>
      <c r="Z311" s="766"/>
      <c r="AA311" s="756"/>
    </row>
    <row r="312" spans="1:29" ht="18.75">
      <c r="A312" s="756"/>
      <c r="B312" s="215"/>
      <c r="C312" s="759"/>
      <c r="D312" s="762"/>
      <c r="E312" s="393"/>
      <c r="F312" s="390"/>
      <c r="G312" s="400"/>
      <c r="H312" s="392">
        <f t="shared" si="70"/>
        <v>0</v>
      </c>
      <c r="I312" s="389"/>
      <c r="J312" s="390"/>
      <c r="K312" s="434"/>
      <c r="L312" s="395">
        <f t="shared" si="71"/>
        <v>0</v>
      </c>
      <c r="M312" s="432"/>
      <c r="N312" s="434"/>
      <c r="O312" s="434"/>
      <c r="P312" s="434"/>
      <c r="Q312" s="399">
        <f>база!$L$5</f>
        <v>231.45480000000001</v>
      </c>
      <c r="R312" s="390">
        <v>1.4</v>
      </c>
      <c r="S312" s="491">
        <f>SUMIFS(Таблица1[Столбец1],Таблица1[коэф],"1,4",Таблица1[р/р],"4/16",Таблица1[Ф. И. О.],B308)</f>
        <v>0</v>
      </c>
      <c r="T312" s="492">
        <f t="shared" si="72"/>
        <v>0</v>
      </c>
      <c r="U312" s="472">
        <f>база!$M$5</f>
        <v>247.41720000000001</v>
      </c>
      <c r="V312" s="390">
        <v>1.4</v>
      </c>
      <c r="W312" s="494">
        <f>SUMIFS(Таблица1[Столбец1],Таблица1[коэф],"1,4",Таблица1[р/р],"4/24",Таблица1[Ф. И. О.],B308)</f>
        <v>0</v>
      </c>
      <c r="X312" s="492">
        <f t="shared" si="73"/>
        <v>0</v>
      </c>
      <c r="Y312" s="764"/>
      <c r="Z312" s="766"/>
      <c r="AA312" s="756"/>
    </row>
    <row r="313" spans="1:29" ht="19.5" thickBot="1">
      <c r="A313" s="757"/>
      <c r="B313" s="202"/>
      <c r="C313" s="760"/>
      <c r="D313" s="763"/>
      <c r="E313" s="463"/>
      <c r="F313" s="464"/>
      <c r="G313" s="465"/>
      <c r="H313" s="468">
        <f t="shared" si="70"/>
        <v>0</v>
      </c>
      <c r="I313" s="473"/>
      <c r="J313" s="464"/>
      <c r="K313" s="457"/>
      <c r="L313" s="458">
        <f t="shared" si="71"/>
        <v>0</v>
      </c>
      <c r="M313" s="466"/>
      <c r="N313" s="457"/>
      <c r="O313" s="457"/>
      <c r="P313" s="457"/>
      <c r="Q313" s="467">
        <f>база!$L$6</f>
        <v>261.04640000000001</v>
      </c>
      <c r="R313" s="464">
        <v>1.4</v>
      </c>
      <c r="S313" s="512">
        <f>SUMIFS(Таблица1[Столбец1],Таблица1[коэф],"1,4",Таблица1[р/р],"5/16",Таблица1[Ф. И. О.],B308)</f>
        <v>0</v>
      </c>
      <c r="T313" s="513">
        <f t="shared" si="72"/>
        <v>0</v>
      </c>
      <c r="U313" s="474">
        <f>база!$M$6</f>
        <v>279.0496</v>
      </c>
      <c r="V313" s="464">
        <v>1.4</v>
      </c>
      <c r="W313" s="501">
        <f>SUMIFS(Таблица1[Столбец1],Таблица1[коэф],"1,4",Таблица1[р/р],"5/24",Таблица1[Ф. И. О.],B308)</f>
        <v>0</v>
      </c>
      <c r="X313" s="513">
        <f t="shared" si="73"/>
        <v>0</v>
      </c>
      <c r="Y313" s="765"/>
      <c r="Z313" s="767"/>
      <c r="AA313" s="757"/>
    </row>
    <row r="314" spans="1:29" ht="18.75" collapsed="1">
      <c r="A314" s="755">
        <v>29</v>
      </c>
      <c r="B314" s="235"/>
      <c r="C314" s="758">
        <f>INDEX(база!$E$2:$E$81, MATCH(B319,база!$B$2:$B$50,0))</f>
        <v>17068</v>
      </c>
      <c r="D314" s="761">
        <f>INDEX(база!$D$2:$D$89, MATCH(B319,база!$B$2:$B$50,0))</f>
        <v>3</v>
      </c>
      <c r="E314" s="451">
        <f>IF(D314&lt;=3,база!$I$4,
IF(D314=4,база!$I$5,
IF(D314=5,база!$I$6)))</f>
        <v>188.7912</v>
      </c>
      <c r="F314" s="417">
        <v>1</v>
      </c>
      <c r="G314" s="418">
        <f>SUMIFS(Таблица1[Столбец1],Таблица1[коэф],"1",Таблица1[р/р],"2/4",Таблица1[Ф. И. О.],B319)</f>
        <v>0</v>
      </c>
      <c r="H314" s="402">
        <f t="shared" ref="H314:H324" si="76">ROUND(E314*F314*G314*2,2)</f>
        <v>0</v>
      </c>
      <c r="I314" s="377">
        <f>IF(D314&lt;=3,база!$J$4,
IF(D314=4,база!$J$5,
IF(D314=5,база!$J$6)))</f>
        <v>196.05240000000001</v>
      </c>
      <c r="J314" s="378">
        <v>1</v>
      </c>
      <c r="K314" s="428">
        <f>SUMIFS(Таблица1[Столбец1],Таблица1[коэф],"1",Таблица1[р/р],"2/8",Таблица1[Ф. И. О.],B319)</f>
        <v>0</v>
      </c>
      <c r="L314" s="383">
        <f t="shared" ref="L314:L324" si="77">ROUND(I314*J314*K314*2,2)</f>
        <v>0</v>
      </c>
      <c r="M314" s="452"/>
      <c r="N314" s="453">
        <v>1</v>
      </c>
      <c r="O314" s="453">
        <f>SUMIFS(Data_Tech!$AM$3:$AM$67,Data_Tech!$E$3:$E$67,"1",Data_Tech!$G$3:$G$67,"3/12",Data_Tech!$F$3:$F$67,B319)</f>
        <v>0</v>
      </c>
      <c r="P314" s="453">
        <f>ROUND(M314*N314*O314,2)</f>
        <v>0</v>
      </c>
      <c r="Q314" s="416">
        <f>IF(D314&lt;=3,база!$L$4,
IF(D314=4,база!$L$5,
IF(D314=5,база!$L$6)))</f>
        <v>210.57480000000001</v>
      </c>
      <c r="R314" s="417">
        <v>1</v>
      </c>
      <c r="S314" s="495">
        <f>SUMIFS(Таблица1[Столбец1],Таблица1[коэф],"1",Таблица1[р/р],"3/16",Таблица1[Ф. И. О.],B319)</f>
        <v>0</v>
      </c>
      <c r="T314" s="490">
        <f t="shared" ref="T314:T324" si="78">ROUND(Q314*R314*S314*2,2)</f>
        <v>0</v>
      </c>
      <c r="U314" s="471">
        <f>IF(D314&lt;=3,база!$M$4,
IF(D314=4,база!$M$5,
IF(D314=5,база!$M$6)))</f>
        <v>225.09719999999999</v>
      </c>
      <c r="V314" s="378">
        <v>1</v>
      </c>
      <c r="W314" s="497">
        <f>SUMIFS(Таблица1[Столбец1],Таблица1[коэф],"1",Таблица1[р/р],"3/24",Таблица1[Ф. И. О.],B319)</f>
        <v>0</v>
      </c>
      <c r="X314" s="490">
        <f t="shared" ref="X314:X324" si="79">ROUND(U314*V314*W314*2,2)</f>
        <v>0</v>
      </c>
      <c r="Y314" s="764">
        <f t="shared" ref="Y314" si="80">SUM(G314:G324,K314:K324,O314:O324,S314:S324,W314:W324)</f>
        <v>0</v>
      </c>
      <c r="Z314" s="766">
        <f t="shared" ref="Z314" si="81">IFERROR(SUM(H314:H324,L314:L324,T314:T324,X314:X324),"")</f>
        <v>0</v>
      </c>
      <c r="AA314" s="756"/>
    </row>
    <row r="315" spans="1:29" ht="18.75">
      <c r="A315" s="756"/>
      <c r="B315" s="215"/>
      <c r="C315" s="759"/>
      <c r="D315" s="762"/>
      <c r="E315" s="393">
        <f>IF(D314&lt;=3,база!$I$4,
IF(D314=4,база!$I$5,
IF(D314=5,база!$I$6)))</f>
        <v>188.7912</v>
      </c>
      <c r="F315" s="390">
        <v>1</v>
      </c>
      <c r="G315" s="400">
        <f>SUMIFS(Таблица1[Столбец1],Таблица1[коэф],"1",Таблица1[р/р],"3/4",Таблица1[Ф. И. О.],B319)</f>
        <v>0</v>
      </c>
      <c r="H315" s="392">
        <f t="shared" si="76"/>
        <v>0</v>
      </c>
      <c r="I315" s="389">
        <f>IF(D314&lt;=3,база!$J$4,
IF(D314=4,база!$J$5,
IF(D314=5,база!$J$6)))</f>
        <v>196.05240000000001</v>
      </c>
      <c r="J315" s="390">
        <v>1</v>
      </c>
      <c r="K315" s="434">
        <f>SUMIFS(Таблица1[Столбец1],Таблица1[коэф],"1",Таблица1[р/р],"3/8",Таблица1[Ф. И. О.],B319)</f>
        <v>0</v>
      </c>
      <c r="L315" s="484">
        <f t="shared" si="77"/>
        <v>0</v>
      </c>
      <c r="M315" s="432"/>
      <c r="N315" s="434">
        <v>1</v>
      </c>
      <c r="O315" s="434">
        <f>SUMIFS(Data_Tech!$AM$3:$AM$67,Data_Tech!$E$3:$E$67,"1",Data_Tech!$G$3:$G$67,"4/12",Data_Tech!$F$3:$F$67,B319)</f>
        <v>0</v>
      </c>
      <c r="P315" s="434">
        <f>ROUND(M315*O315,2)</f>
        <v>0</v>
      </c>
      <c r="Q315" s="399">
        <f>база!$L$5</f>
        <v>231.45480000000001</v>
      </c>
      <c r="R315" s="390">
        <v>1</v>
      </c>
      <c r="S315" s="491">
        <f>SUMIFS(Таблица1[Столбец1],Таблица1[коэф],"1",Таблица1[р/р],"4/16",Таблица1[Ф. И. О.],B319)</f>
        <v>0</v>
      </c>
      <c r="T315" s="492">
        <f t="shared" si="78"/>
        <v>0</v>
      </c>
      <c r="U315" s="472">
        <f>база!$M$5</f>
        <v>247.41720000000001</v>
      </c>
      <c r="V315" s="390">
        <v>1</v>
      </c>
      <c r="W315" s="494">
        <f>SUMIFS(Таблица1[Столбец1],Таблица1[коэф],"1",Таблица1[р/р],"4/24",Таблица1[Ф. И. О.],B319)</f>
        <v>0</v>
      </c>
      <c r="X315" s="492">
        <f t="shared" si="79"/>
        <v>0</v>
      </c>
      <c r="Y315" s="764"/>
      <c r="Z315" s="766"/>
      <c r="AA315" s="756"/>
    </row>
    <row r="316" spans="1:29" ht="18.75">
      <c r="A316" s="756"/>
      <c r="B316" s="215"/>
      <c r="C316" s="759"/>
      <c r="D316" s="762"/>
      <c r="E316" s="393"/>
      <c r="F316" s="390"/>
      <c r="G316" s="400"/>
      <c r="H316" s="392">
        <f t="shared" si="76"/>
        <v>0</v>
      </c>
      <c r="I316" s="389"/>
      <c r="J316" s="390"/>
      <c r="K316" s="434"/>
      <c r="L316" s="484">
        <f t="shared" si="77"/>
        <v>0</v>
      </c>
      <c r="M316" s="432"/>
      <c r="N316" s="434"/>
      <c r="O316" s="434"/>
      <c r="P316" s="434"/>
      <c r="Q316" s="399">
        <f>база!$L$6</f>
        <v>261.04640000000001</v>
      </c>
      <c r="R316" s="390">
        <v>1</v>
      </c>
      <c r="S316" s="491">
        <f>SUMIFS(Таблица1[Столбец1],Таблица1[коэф],"1",Таблица1[р/р],"5/16",Таблица1[Ф. И. О.],B319)</f>
        <v>0</v>
      </c>
      <c r="T316" s="492">
        <f t="shared" si="78"/>
        <v>0</v>
      </c>
      <c r="U316" s="472">
        <f>база!$M$6</f>
        <v>279.0496</v>
      </c>
      <c r="V316" s="390">
        <v>1</v>
      </c>
      <c r="W316" s="494">
        <f>SUMIFS(Таблица1[Столбец1],Таблица1[коэф],"1",Таблица1[р/р],"5/24",Таблица1[Ф. И. О.],B319)</f>
        <v>0</v>
      </c>
      <c r="X316" s="492">
        <f t="shared" si="79"/>
        <v>0</v>
      </c>
      <c r="Y316" s="764"/>
      <c r="Z316" s="766"/>
      <c r="AA316" s="756"/>
    </row>
    <row r="317" spans="1:29" ht="18.75">
      <c r="A317" s="756"/>
      <c r="B317" s="215"/>
      <c r="C317" s="759"/>
      <c r="D317" s="762"/>
      <c r="E317" s="393"/>
      <c r="F317" s="390"/>
      <c r="G317" s="400"/>
      <c r="H317" s="392">
        <f t="shared" si="76"/>
        <v>0</v>
      </c>
      <c r="I317" s="389">
        <f>база!$J$5</f>
        <v>215.4924</v>
      </c>
      <c r="J317" s="390">
        <v>1.5</v>
      </c>
      <c r="K317" s="434">
        <f>SUMIFS(Таблица1[Столбец1],Таблица1[коэф],"1,5",Таблица1[р/р],"4/8",Таблица1[Ф. И. О.],B319)</f>
        <v>0</v>
      </c>
      <c r="L317" s="484">
        <f t="shared" si="77"/>
        <v>0</v>
      </c>
      <c r="M317" s="432"/>
      <c r="N317" s="434"/>
      <c r="O317" s="434"/>
      <c r="P317" s="434"/>
      <c r="Q317" s="399">
        <f>IF(D314&lt;=3,база!$L$4,
IF(D314=4,база!$L$5,
IF(D314=5,база!$L$6)))</f>
        <v>210.57480000000001</v>
      </c>
      <c r="R317" s="390">
        <v>1.2</v>
      </c>
      <c r="S317" s="491">
        <f>SUMIFS(Таблица1[Столбец1],Таблица1[коэф],"1,2",Таблица1[р/р],"3/16",Таблица1[Ф. И. О.],B319)</f>
        <v>0</v>
      </c>
      <c r="T317" s="492">
        <f t="shared" si="78"/>
        <v>0</v>
      </c>
      <c r="U317" s="472">
        <f>IF(D314&lt;=3,база!$M$4,
IF(D314=4,база!$M$5,
IF(D314=5,база!$M$6)))</f>
        <v>225.09719999999999</v>
      </c>
      <c r="V317" s="390">
        <v>1.2</v>
      </c>
      <c r="W317" s="494">
        <f>SUMIFS(Таблица1[Столбец1],Таблица1[коэф],"1,2",Таблица1[р/р],"3/24",Таблица1[Ф. И. О.],B319)</f>
        <v>0</v>
      </c>
      <c r="X317" s="492">
        <f t="shared" si="79"/>
        <v>0</v>
      </c>
      <c r="Y317" s="764"/>
      <c r="Z317" s="766"/>
      <c r="AA317" s="756"/>
    </row>
    <row r="318" spans="1:29" ht="18.75">
      <c r="A318" s="756"/>
      <c r="B318" s="215"/>
      <c r="C318" s="759"/>
      <c r="D318" s="762"/>
      <c r="E318" s="393"/>
      <c r="F318" s="390"/>
      <c r="G318" s="400"/>
      <c r="H318" s="392">
        <f t="shared" si="76"/>
        <v>0</v>
      </c>
      <c r="I318" s="389">
        <f>база!$J$6</f>
        <v>243.04319999999998</v>
      </c>
      <c r="J318" s="390">
        <v>1.5</v>
      </c>
      <c r="K318" s="434">
        <f>SUMIFS(Таблица1[Столбец1],Таблица1[коэф],"1,5",Таблица1[р/р],"5/8",Таблица1[Ф. И. О.],B319)</f>
        <v>0</v>
      </c>
      <c r="L318" s="484">
        <f t="shared" si="77"/>
        <v>0</v>
      </c>
      <c r="M318" s="432"/>
      <c r="N318" s="434"/>
      <c r="O318" s="434"/>
      <c r="P318" s="434"/>
      <c r="Q318" s="399">
        <f>база!$L$5</f>
        <v>231.45480000000001</v>
      </c>
      <c r="R318" s="390">
        <v>1.2</v>
      </c>
      <c r="S318" s="491">
        <f>SUMIFS(Таблица1[Столбец1],Таблица1[коэф],"1,2",Таблица1[р/р],"4/16",Таблица1[Ф. И. О.],B319)</f>
        <v>0</v>
      </c>
      <c r="T318" s="492">
        <f t="shared" si="78"/>
        <v>0</v>
      </c>
      <c r="U318" s="472">
        <f>база!$M$5</f>
        <v>247.41720000000001</v>
      </c>
      <c r="V318" s="390">
        <v>1.2</v>
      </c>
      <c r="W318" s="494">
        <f>SUMIFS(Таблица1[Столбец1],Таблица1[коэф],"1,2",Таблица1[р/р],"4/24",Таблица1[Ф. И. О.],B319)</f>
        <v>0</v>
      </c>
      <c r="X318" s="492">
        <f t="shared" si="79"/>
        <v>0</v>
      </c>
      <c r="Y318" s="764"/>
      <c r="Z318" s="766"/>
      <c r="AA318" s="756"/>
    </row>
    <row r="319" spans="1:29" ht="18" customHeight="1">
      <c r="A319" s="756"/>
      <c r="B319" s="215" t="str">
        <f>база!B30</f>
        <v>Иванова Оксана Михайловна</v>
      </c>
      <c r="C319" s="759"/>
      <c r="D319" s="762"/>
      <c r="E319" s="393"/>
      <c r="F319" s="390"/>
      <c r="G319" s="400"/>
      <c r="H319" s="392">
        <f t="shared" si="76"/>
        <v>0</v>
      </c>
      <c r="I319" s="389"/>
      <c r="J319" s="390"/>
      <c r="K319" s="434"/>
      <c r="L319" s="484">
        <f t="shared" si="77"/>
        <v>0</v>
      </c>
      <c r="M319" s="432"/>
      <c r="N319" s="434"/>
      <c r="O319" s="434"/>
      <c r="P319" s="434"/>
      <c r="Q319" s="399">
        <f>база!$L$6</f>
        <v>261.04640000000001</v>
      </c>
      <c r="R319" s="390">
        <v>1.2</v>
      </c>
      <c r="S319" s="491">
        <f>SUMIFS(Таблица1[Столбец1],Таблица1[коэф],"1,2",Таблица1[р/р],"5/16",Таблица1[Ф. И. О.],B319)</f>
        <v>0</v>
      </c>
      <c r="T319" s="492">
        <f t="shared" si="78"/>
        <v>0</v>
      </c>
      <c r="U319" s="472">
        <f>база!$M$6</f>
        <v>279.0496</v>
      </c>
      <c r="V319" s="390">
        <v>1.2</v>
      </c>
      <c r="W319" s="494">
        <f>SUMIFS(Таблица1[Столбец1],Таблица1[коэф],"1,2",Таблица1[р/р],"5/24",Таблица1[Ф. И. О.],B319)</f>
        <v>0</v>
      </c>
      <c r="X319" s="492">
        <f t="shared" si="79"/>
        <v>0</v>
      </c>
      <c r="Y319" s="764"/>
      <c r="Z319" s="766"/>
      <c r="AA319" s="756"/>
      <c r="AC319" s="712" t="str">
        <f>IF(SUMIFS(Таблица1[Столбец3],Таблица1[Ф. И. О.],B319)-Z314=0,"",SUMIFS(Таблица1[Столбец3],Таблица1[Ф. И. О.],B319)-Z314)</f>
        <v/>
      </c>
    </row>
    <row r="320" spans="1:29" ht="18.75">
      <c r="A320" s="756"/>
      <c r="B320" s="215"/>
      <c r="C320" s="759"/>
      <c r="D320" s="762"/>
      <c r="E320" s="393"/>
      <c r="F320" s="390"/>
      <c r="G320" s="400"/>
      <c r="H320" s="392">
        <f t="shared" si="76"/>
        <v>0</v>
      </c>
      <c r="I320" s="389"/>
      <c r="J320" s="390"/>
      <c r="K320" s="434"/>
      <c r="L320" s="484">
        <f t="shared" si="77"/>
        <v>0</v>
      </c>
      <c r="M320" s="432"/>
      <c r="N320" s="434"/>
      <c r="O320" s="434"/>
      <c r="P320" s="434"/>
      <c r="Q320" s="399">
        <f>IF(D314&lt;=3,база!$L$4,
IF(D314=4,база!$L$5,
IF(D314=5,база!$L$6)))</f>
        <v>210.57480000000001</v>
      </c>
      <c r="R320" s="390">
        <v>1.3</v>
      </c>
      <c r="S320" s="491">
        <f>SUMIFS(Таблица1[Столбец1],Таблица1[коэф],"1,3",Таблица1[р/р],"3/16",Таблица1[Ф. И. О.],B319)</f>
        <v>0</v>
      </c>
      <c r="T320" s="492">
        <f t="shared" si="78"/>
        <v>0</v>
      </c>
      <c r="U320" s="472">
        <f>IF(D314&lt;=3,база!$M$4,
IF(D314=4,база!$M$5,
IF(D314=5,база!$M$6)))</f>
        <v>225.09719999999999</v>
      </c>
      <c r="V320" s="390">
        <v>1.3</v>
      </c>
      <c r="W320" s="494">
        <f>SUMIFS(Таблица1[Столбец1],Таблица1[коэф],"1,3",Таблица1[р/р],"3/24",Таблица1[Ф. И. О.],B319)</f>
        <v>0</v>
      </c>
      <c r="X320" s="492">
        <f t="shared" si="79"/>
        <v>0</v>
      </c>
      <c r="Y320" s="764"/>
      <c r="Z320" s="766"/>
      <c r="AA320" s="756"/>
      <c r="AC320" s="712" t="str">
        <f>IF(SUMIFS(Таблица1[Столбец1],Таблица1[Ф. И. О.],B319)=Y314,"",B319&amp;"  часы не верны")</f>
        <v/>
      </c>
    </row>
    <row r="321" spans="1:29" ht="18.75">
      <c r="A321" s="756"/>
      <c r="B321" s="215"/>
      <c r="C321" s="759"/>
      <c r="D321" s="762"/>
      <c r="E321" s="393"/>
      <c r="F321" s="390"/>
      <c r="G321" s="400"/>
      <c r="H321" s="392">
        <f t="shared" si="76"/>
        <v>0</v>
      </c>
      <c r="I321" s="389"/>
      <c r="J321" s="390"/>
      <c r="K321" s="434"/>
      <c r="L321" s="484">
        <f t="shared" si="77"/>
        <v>0</v>
      </c>
      <c r="M321" s="432"/>
      <c r="N321" s="434"/>
      <c r="O321" s="434"/>
      <c r="P321" s="434"/>
      <c r="Q321" s="399">
        <f>база!$L$5</f>
        <v>231.45480000000001</v>
      </c>
      <c r="R321" s="390">
        <v>1.3</v>
      </c>
      <c r="S321" s="491">
        <f>SUMIFS(Таблица1[Столбец1],Таблица1[коэф],"1,3",Таблица1[р/р],"4/16",Таблица1[Ф. И. О.],B319)</f>
        <v>0</v>
      </c>
      <c r="T321" s="492">
        <f t="shared" si="78"/>
        <v>0</v>
      </c>
      <c r="U321" s="472">
        <f>база!$M$5</f>
        <v>247.41720000000001</v>
      </c>
      <c r="V321" s="390">
        <v>1.3</v>
      </c>
      <c r="W321" s="494">
        <f>SUMIFS(Таблица1[Столбец1],Таблица1[коэф],"1,3",Таблица1[р/р],"4/24",Таблица1[Ф. И. О.],B319)</f>
        <v>0</v>
      </c>
      <c r="X321" s="492">
        <f t="shared" si="79"/>
        <v>0</v>
      </c>
      <c r="Y321" s="764"/>
      <c r="Z321" s="766"/>
      <c r="AA321" s="756"/>
    </row>
    <row r="322" spans="1:29" ht="18.75">
      <c r="A322" s="756"/>
      <c r="B322" s="215"/>
      <c r="C322" s="759"/>
      <c r="D322" s="762"/>
      <c r="E322" s="393"/>
      <c r="F322" s="390"/>
      <c r="G322" s="400"/>
      <c r="H322" s="392">
        <f t="shared" si="76"/>
        <v>0</v>
      </c>
      <c r="I322" s="389"/>
      <c r="J322" s="390"/>
      <c r="K322" s="434"/>
      <c r="L322" s="484">
        <f t="shared" si="77"/>
        <v>0</v>
      </c>
      <c r="M322" s="432"/>
      <c r="N322" s="434"/>
      <c r="O322" s="434"/>
      <c r="P322" s="434"/>
      <c r="Q322" s="399">
        <f>IF(D314&lt;=3,база!$L$4,
IF(D314=4,база!$L$5,
IF(D314=5,база!$L$6)))</f>
        <v>210.57480000000001</v>
      </c>
      <c r="R322" s="390">
        <v>1.4</v>
      </c>
      <c r="S322" s="491">
        <f>SUMIFS(Таблица1[Столбец1],Таблица1[коэф],"1,4",Таблица1[р/р],"3/16",Таблица1[Ф. И. О.],B319)</f>
        <v>0</v>
      </c>
      <c r="T322" s="492">
        <f t="shared" si="78"/>
        <v>0</v>
      </c>
      <c r="U322" s="472">
        <f>IF(D314&lt;=3,база!$M$4,
IF(D314=4,база!$M$5,
IF(D314=5,база!$M$6)))</f>
        <v>225.09719999999999</v>
      </c>
      <c r="V322" s="390">
        <v>1.4</v>
      </c>
      <c r="W322" s="494">
        <f>SUMIFS(Таблица1[Столбец1],Таблица1[коэф],"1,4",Таблица1[р/р],"3/24",Таблица1[Ф. И. О.],B319)</f>
        <v>0</v>
      </c>
      <c r="X322" s="492">
        <f t="shared" si="79"/>
        <v>0</v>
      </c>
      <c r="Y322" s="764"/>
      <c r="Z322" s="766"/>
      <c r="AA322" s="756"/>
    </row>
    <row r="323" spans="1:29" ht="18.75">
      <c r="A323" s="756"/>
      <c r="B323" s="215"/>
      <c r="C323" s="759"/>
      <c r="D323" s="762"/>
      <c r="E323" s="393"/>
      <c r="F323" s="390"/>
      <c r="G323" s="400"/>
      <c r="H323" s="392">
        <f t="shared" si="76"/>
        <v>0</v>
      </c>
      <c r="I323" s="389"/>
      <c r="J323" s="390"/>
      <c r="K323" s="434"/>
      <c r="L323" s="395">
        <f t="shared" si="77"/>
        <v>0</v>
      </c>
      <c r="M323" s="432"/>
      <c r="N323" s="434"/>
      <c r="O323" s="434"/>
      <c r="P323" s="434"/>
      <c r="Q323" s="399">
        <f>база!$L$5</f>
        <v>231.45480000000001</v>
      </c>
      <c r="R323" s="390">
        <v>1.4</v>
      </c>
      <c r="S323" s="491">
        <f>SUMIFS(Таблица1[Столбец1],Таблица1[коэф],"1,4",Таблица1[р/р],"4/16",Таблица1[Ф. И. О.],B319)</f>
        <v>0</v>
      </c>
      <c r="T323" s="492">
        <f t="shared" si="78"/>
        <v>0</v>
      </c>
      <c r="U323" s="472">
        <f>база!$M$5</f>
        <v>247.41720000000001</v>
      </c>
      <c r="V323" s="390">
        <v>1.4</v>
      </c>
      <c r="W323" s="494">
        <f>SUMIFS(Таблица1[Столбец1],Таблица1[коэф],"1,4",Таблица1[р/р],"4/24",Таблица1[Ф. И. О.],B319)</f>
        <v>0</v>
      </c>
      <c r="X323" s="492">
        <f t="shared" si="79"/>
        <v>0</v>
      </c>
      <c r="Y323" s="764"/>
      <c r="Z323" s="766"/>
      <c r="AA323" s="756"/>
    </row>
    <row r="324" spans="1:29" ht="19.5" thickBot="1">
      <c r="A324" s="757"/>
      <c r="B324" s="202"/>
      <c r="C324" s="760"/>
      <c r="D324" s="763"/>
      <c r="E324" s="463"/>
      <c r="F324" s="464"/>
      <c r="G324" s="465"/>
      <c r="H324" s="468">
        <f t="shared" si="76"/>
        <v>0</v>
      </c>
      <c r="I324" s="473"/>
      <c r="J324" s="464"/>
      <c r="K324" s="457"/>
      <c r="L324" s="458">
        <f t="shared" si="77"/>
        <v>0</v>
      </c>
      <c r="M324" s="466"/>
      <c r="N324" s="457"/>
      <c r="O324" s="457"/>
      <c r="P324" s="457"/>
      <c r="Q324" s="467">
        <f>база!$L$6</f>
        <v>261.04640000000001</v>
      </c>
      <c r="R324" s="464">
        <v>1.4</v>
      </c>
      <c r="S324" s="512">
        <f>SUMIFS(Таблица1[Столбец1],Таблица1[коэф],"1,4",Таблица1[р/р],"5/16",Таблица1[Ф. И. О.],B319)</f>
        <v>0</v>
      </c>
      <c r="T324" s="513">
        <f t="shared" si="78"/>
        <v>0</v>
      </c>
      <c r="U324" s="474">
        <f>база!$M$6</f>
        <v>279.0496</v>
      </c>
      <c r="V324" s="464">
        <v>1.4</v>
      </c>
      <c r="W324" s="501">
        <f>SUMIFS(Таблица1[Столбец1],Таблица1[коэф],"1,4",Таблица1[р/р],"5/24",Таблица1[Ф. И. О.],B319)</f>
        <v>0</v>
      </c>
      <c r="X324" s="513">
        <f t="shared" si="79"/>
        <v>0</v>
      </c>
      <c r="Y324" s="765"/>
      <c r="Z324" s="767"/>
      <c r="AA324" s="757"/>
    </row>
    <row r="325" spans="1:29" ht="18.75" collapsed="1">
      <c r="A325" s="755">
        <v>30</v>
      </c>
      <c r="B325" s="235"/>
      <c r="C325" s="758">
        <f>INDEX(база!$E$2:$E$81, MATCH(B330,база!$B$2:$B$50,0))</f>
        <v>16799</v>
      </c>
      <c r="D325" s="761">
        <f>INDEX(база!$D$2:$D$89, MATCH(B330,база!$B$2:$B$50,0))</f>
        <v>3</v>
      </c>
      <c r="E325" s="451">
        <f>IF(D325&lt;=3,база!$I$4,
IF(D325=4,база!$I$5,
IF(D325=5,база!$I$6)))</f>
        <v>188.7912</v>
      </c>
      <c r="F325" s="417">
        <v>1</v>
      </c>
      <c r="G325" s="418">
        <f>SUMIFS(Таблица1[Столбец1],Таблица1[коэф],"1",Таблица1[р/р],"2/4",Таблица1[Ф. И. О.],B330)</f>
        <v>0</v>
      </c>
      <c r="H325" s="402">
        <f t="shared" ref="H325:H335" si="82">ROUND(E325*F325*G325*2,2)</f>
        <v>0</v>
      </c>
      <c r="I325" s="377">
        <f>IF(D325&lt;=3,база!$J$4,
IF(D325=4,база!$J$5,
IF(D325=5,база!$J$6)))</f>
        <v>196.05240000000001</v>
      </c>
      <c r="J325" s="378">
        <v>1</v>
      </c>
      <c r="K325" s="428">
        <f>SUMIFS(Таблица1[Столбец1],Таблица1[коэф],"1",Таблица1[р/р],"2/8",Таблица1[Ф. И. О.],B330)</f>
        <v>0</v>
      </c>
      <c r="L325" s="383">
        <f t="shared" ref="L325:L335" si="83">ROUND(I325*J325*K325*2,2)</f>
        <v>0</v>
      </c>
      <c r="M325" s="452"/>
      <c r="N325" s="453">
        <v>1</v>
      </c>
      <c r="O325" s="453">
        <f>SUMIFS(Data_Tech!$AM$3:$AM$67,Data_Tech!$E$3:$E$67,"1",Data_Tech!$G$3:$G$67,"3/12",Data_Tech!$F$3:$F$67,B330)</f>
        <v>0</v>
      </c>
      <c r="P325" s="453">
        <f>ROUND(M325*N325*O325,2)</f>
        <v>0</v>
      </c>
      <c r="Q325" s="416">
        <f>IF(D325&lt;=3,база!$L$4,
IF(D325=4,база!$L$5,
IF(D325=5,база!$L$6)))</f>
        <v>210.57480000000001</v>
      </c>
      <c r="R325" s="417">
        <v>1</v>
      </c>
      <c r="S325" s="495">
        <f>SUMIFS(Таблица1[Столбец1],Таблица1[коэф],"1",Таблица1[р/р],"3/16",Таблица1[Ф. И. О.],B330)</f>
        <v>0</v>
      </c>
      <c r="T325" s="490">
        <f t="shared" ref="T325:T335" si="84">ROUND(Q325*R325*S325*2,2)</f>
        <v>0</v>
      </c>
      <c r="U325" s="471">
        <f>IF(D325&lt;=3,база!$M$4,
IF(D325=4,база!$M$5,
IF(D325=5,база!$M$6)))</f>
        <v>225.09719999999999</v>
      </c>
      <c r="V325" s="378">
        <v>1</v>
      </c>
      <c r="W325" s="497">
        <f>SUMIFS(Таблица1[Столбец1],Таблица1[коэф],"1",Таблица1[р/р],"3/24",Таблица1[Ф. И. О.],B330)</f>
        <v>0</v>
      </c>
      <c r="X325" s="490">
        <f t="shared" ref="X325:X335" si="85">ROUND(U325*V325*W325*2,2)</f>
        <v>0</v>
      </c>
      <c r="Y325" s="764">
        <f t="shared" ref="Y325" si="86">SUM(G325:G335,K325:K335,O325:O335,S325:S335,W325:W335)</f>
        <v>0</v>
      </c>
      <c r="Z325" s="766">
        <f t="shared" ref="Z325" si="87">IFERROR(SUM(H325:H335,L325:L335,T325:T335,X325:X335),"")</f>
        <v>0</v>
      </c>
      <c r="AA325" s="756"/>
    </row>
    <row r="326" spans="1:29" ht="18.75">
      <c r="A326" s="756"/>
      <c r="B326" s="215"/>
      <c r="C326" s="759"/>
      <c r="D326" s="762"/>
      <c r="E326" s="393">
        <f>IF(D325&lt;=3,база!$I$4,
IF(D325=4,база!$I$5,
IF(D325=5,база!$I$6)))</f>
        <v>188.7912</v>
      </c>
      <c r="F326" s="390">
        <v>1</v>
      </c>
      <c r="G326" s="400">
        <f>SUMIFS(Таблица1[Столбец1],Таблица1[коэф],"1",Таблица1[р/р],"3/4",Таблица1[Ф. И. О.],B330)</f>
        <v>0</v>
      </c>
      <c r="H326" s="392">
        <f t="shared" si="82"/>
        <v>0</v>
      </c>
      <c r="I326" s="389">
        <f>IF(D325&lt;=3,база!$J$4,
IF(D325=4,база!$J$5,
IF(D325=5,база!$J$6)))</f>
        <v>196.05240000000001</v>
      </c>
      <c r="J326" s="390">
        <v>1</v>
      </c>
      <c r="K326" s="434">
        <f>SUMIFS(Таблица1[Столбец1],Таблица1[коэф],"1",Таблица1[р/р],"3/8",Таблица1[Ф. И. О.],B330)</f>
        <v>0</v>
      </c>
      <c r="L326" s="484">
        <f t="shared" si="83"/>
        <v>0</v>
      </c>
      <c r="M326" s="432"/>
      <c r="N326" s="434">
        <v>1</v>
      </c>
      <c r="O326" s="434">
        <f>SUMIFS(Data_Tech!$AM$3:$AM$67,Data_Tech!$E$3:$E$67,"1",Data_Tech!$G$3:$G$67,"4/12",Data_Tech!$F$3:$F$67,B330)</f>
        <v>0</v>
      </c>
      <c r="P326" s="434">
        <f>ROUND(M326*O326,2)</f>
        <v>0</v>
      </c>
      <c r="Q326" s="399">
        <f>база!$L$5</f>
        <v>231.45480000000001</v>
      </c>
      <c r="R326" s="390">
        <v>1</v>
      </c>
      <c r="S326" s="491">
        <f>SUMIFS(Таблица1[Столбец1],Таблица1[коэф],"1",Таблица1[р/р],"4/16",Таблица1[Ф. И. О.],B330)</f>
        <v>0</v>
      </c>
      <c r="T326" s="492">
        <f t="shared" si="84"/>
        <v>0</v>
      </c>
      <c r="U326" s="472">
        <f>база!$M$5</f>
        <v>247.41720000000001</v>
      </c>
      <c r="V326" s="390">
        <v>1</v>
      </c>
      <c r="W326" s="494">
        <f>SUMIFS(Таблица1[Столбец1],Таблица1[коэф],"1",Таблица1[р/р],"4/24",Таблица1[Ф. И. О.],B330)</f>
        <v>0</v>
      </c>
      <c r="X326" s="492">
        <f t="shared" si="85"/>
        <v>0</v>
      </c>
      <c r="Y326" s="764"/>
      <c r="Z326" s="766"/>
      <c r="AA326" s="756"/>
    </row>
    <row r="327" spans="1:29" ht="18.75">
      <c r="A327" s="756"/>
      <c r="B327" s="215"/>
      <c r="C327" s="759"/>
      <c r="D327" s="762"/>
      <c r="E327" s="393"/>
      <c r="F327" s="390"/>
      <c r="G327" s="400"/>
      <c r="H327" s="392">
        <f t="shared" si="82"/>
        <v>0</v>
      </c>
      <c r="I327" s="389"/>
      <c r="J327" s="390"/>
      <c r="K327" s="434"/>
      <c r="L327" s="484">
        <f t="shared" si="83"/>
        <v>0</v>
      </c>
      <c r="M327" s="432"/>
      <c r="N327" s="434"/>
      <c r="O327" s="434"/>
      <c r="P327" s="434"/>
      <c r="Q327" s="399">
        <f>база!$L$6</f>
        <v>261.04640000000001</v>
      </c>
      <c r="R327" s="390">
        <v>1</v>
      </c>
      <c r="S327" s="491">
        <f>SUMIFS(Таблица1[Столбец1],Таблица1[коэф],"1",Таблица1[р/р],"5/16",Таблица1[Ф. И. О.],B330)</f>
        <v>0</v>
      </c>
      <c r="T327" s="492">
        <f t="shared" si="84"/>
        <v>0</v>
      </c>
      <c r="U327" s="472">
        <f>база!$M$6</f>
        <v>279.0496</v>
      </c>
      <c r="V327" s="390">
        <v>1</v>
      </c>
      <c r="W327" s="494">
        <f>SUMIFS(Таблица1[Столбец1],Таблица1[коэф],"1",Таблица1[р/р],"5/24",Таблица1[Ф. И. О.],B330)</f>
        <v>0</v>
      </c>
      <c r="X327" s="492">
        <f t="shared" si="85"/>
        <v>0</v>
      </c>
      <c r="Y327" s="764"/>
      <c r="Z327" s="766"/>
      <c r="AA327" s="756"/>
    </row>
    <row r="328" spans="1:29" ht="18.75">
      <c r="A328" s="756"/>
      <c r="B328" s="215"/>
      <c r="C328" s="759"/>
      <c r="D328" s="762"/>
      <c r="E328" s="393"/>
      <c r="F328" s="390"/>
      <c r="G328" s="400"/>
      <c r="H328" s="392">
        <f t="shared" si="82"/>
        <v>0</v>
      </c>
      <c r="I328" s="389">
        <f>база!$J$5</f>
        <v>215.4924</v>
      </c>
      <c r="J328" s="390">
        <v>1.5</v>
      </c>
      <c r="K328" s="434">
        <f>SUMIFS(Таблица1[Столбец1],Таблица1[коэф],"1,5",Таблица1[р/р],"4/8",Таблица1[Ф. И. О.],B330)</f>
        <v>0</v>
      </c>
      <c r="L328" s="484">
        <f t="shared" si="83"/>
        <v>0</v>
      </c>
      <c r="M328" s="432"/>
      <c r="N328" s="434"/>
      <c r="O328" s="434"/>
      <c r="P328" s="434"/>
      <c r="Q328" s="399">
        <f>IF(D325&lt;=3,база!$L$4,
IF(D325=4,база!$L$5,
IF(D325=5,база!$L$6)))</f>
        <v>210.57480000000001</v>
      </c>
      <c r="R328" s="390">
        <v>1.2</v>
      </c>
      <c r="S328" s="491">
        <f>SUMIFS(Таблица1[Столбец1],Таблица1[коэф],"1,2",Таблица1[р/р],"3/16",Таблица1[Ф. И. О.],B330)</f>
        <v>0</v>
      </c>
      <c r="T328" s="492">
        <f t="shared" si="84"/>
        <v>0</v>
      </c>
      <c r="U328" s="472">
        <f>IF(D325&lt;=3,база!$M$4,
IF(D325=4,база!$M$5,
IF(D325=5,база!$M$6)))</f>
        <v>225.09719999999999</v>
      </c>
      <c r="V328" s="390">
        <v>1.2</v>
      </c>
      <c r="W328" s="494">
        <f>SUMIFS(Таблица1[Столбец1],Таблица1[коэф],"1,2",Таблица1[р/р],"3/24",Таблица1[Ф. И. О.],B330)</f>
        <v>0</v>
      </c>
      <c r="X328" s="492">
        <f t="shared" si="85"/>
        <v>0</v>
      </c>
      <c r="Y328" s="764"/>
      <c r="Z328" s="766"/>
      <c r="AA328" s="756"/>
    </row>
    <row r="329" spans="1:29" ht="18.75">
      <c r="A329" s="756"/>
      <c r="B329" s="215"/>
      <c r="C329" s="759"/>
      <c r="D329" s="762"/>
      <c r="E329" s="393"/>
      <c r="F329" s="390"/>
      <c r="G329" s="400"/>
      <c r="H329" s="392">
        <f t="shared" si="82"/>
        <v>0</v>
      </c>
      <c r="I329" s="389">
        <f>база!$J$6</f>
        <v>243.04319999999998</v>
      </c>
      <c r="J329" s="390">
        <v>1.5</v>
      </c>
      <c r="K329" s="434">
        <f>SUMIFS(Таблица1[Столбец1],Таблица1[коэф],"1,5",Таблица1[р/р],"5/8",Таблица1[Ф. И. О.],B330)</f>
        <v>0</v>
      </c>
      <c r="L329" s="484">
        <f t="shared" si="83"/>
        <v>0</v>
      </c>
      <c r="M329" s="432"/>
      <c r="N329" s="434"/>
      <c r="O329" s="434"/>
      <c r="P329" s="434"/>
      <c r="Q329" s="399">
        <f>база!$L$5</f>
        <v>231.45480000000001</v>
      </c>
      <c r="R329" s="390">
        <v>1.2</v>
      </c>
      <c r="S329" s="491">
        <f>SUMIFS(Таблица1[Столбец1],Таблица1[коэф],"1,2",Таблица1[р/р],"4/16",Таблица1[Ф. И. О.],B330)</f>
        <v>0</v>
      </c>
      <c r="T329" s="492">
        <f t="shared" si="84"/>
        <v>0</v>
      </c>
      <c r="U329" s="472">
        <f>база!$M$5</f>
        <v>247.41720000000001</v>
      </c>
      <c r="V329" s="390">
        <v>1.2</v>
      </c>
      <c r="W329" s="494">
        <f>SUMIFS(Таблица1[Столбец1],Таблица1[коэф],"1,2",Таблица1[р/р],"4/24",Таблица1[Ф. И. О.],B330)</f>
        <v>0</v>
      </c>
      <c r="X329" s="492">
        <f t="shared" si="85"/>
        <v>0</v>
      </c>
      <c r="Y329" s="764"/>
      <c r="Z329" s="766"/>
      <c r="AA329" s="756"/>
    </row>
    <row r="330" spans="1:29" ht="18" customHeight="1">
      <c r="A330" s="756"/>
      <c r="B330" s="215" t="str">
        <f>база!B31</f>
        <v>Иванченко Ульяна Леонидовна</v>
      </c>
      <c r="C330" s="759"/>
      <c r="D330" s="762"/>
      <c r="E330" s="393"/>
      <c r="F330" s="390"/>
      <c r="G330" s="400"/>
      <c r="H330" s="392">
        <f t="shared" si="82"/>
        <v>0</v>
      </c>
      <c r="I330" s="389"/>
      <c r="J330" s="390"/>
      <c r="K330" s="434"/>
      <c r="L330" s="484">
        <f t="shared" si="83"/>
        <v>0</v>
      </c>
      <c r="M330" s="432"/>
      <c r="N330" s="434"/>
      <c r="O330" s="434"/>
      <c r="P330" s="434"/>
      <c r="Q330" s="399">
        <f>база!$L$6</f>
        <v>261.04640000000001</v>
      </c>
      <c r="R330" s="390">
        <v>1.2</v>
      </c>
      <c r="S330" s="491">
        <f>SUMIFS(Таблица1[Столбец1],Таблица1[коэф],"1,2",Таблица1[р/р],"5/16",Таблица1[Ф. И. О.],B330)</f>
        <v>0</v>
      </c>
      <c r="T330" s="492">
        <f t="shared" si="84"/>
        <v>0</v>
      </c>
      <c r="U330" s="472">
        <f>база!$M$6</f>
        <v>279.0496</v>
      </c>
      <c r="V330" s="390">
        <v>1.2</v>
      </c>
      <c r="W330" s="494">
        <f>SUMIFS(Таблица1[Столбец1],Таблица1[коэф],"1,2",Таблица1[р/р],"5/24",Таблица1[Ф. И. О.],B330)</f>
        <v>0</v>
      </c>
      <c r="X330" s="492">
        <f t="shared" si="85"/>
        <v>0</v>
      </c>
      <c r="Y330" s="764"/>
      <c r="Z330" s="766"/>
      <c r="AA330" s="756"/>
      <c r="AC330" s="712" t="str">
        <f>IF(SUMIFS(Таблица1[Столбец3],Таблица1[Ф. И. О.],B330)-Z325=0,"",SUMIFS(Таблица1[Столбец3],Таблица1[Ф. И. О.],B330)-Z325)</f>
        <v/>
      </c>
    </row>
    <row r="331" spans="1:29" ht="18.75">
      <c r="A331" s="756"/>
      <c r="B331" s="215"/>
      <c r="C331" s="759"/>
      <c r="D331" s="762"/>
      <c r="E331" s="393"/>
      <c r="F331" s="390"/>
      <c r="G331" s="400"/>
      <c r="H331" s="392">
        <f t="shared" si="82"/>
        <v>0</v>
      </c>
      <c r="I331" s="389"/>
      <c r="J331" s="390"/>
      <c r="K331" s="434"/>
      <c r="L331" s="484">
        <f t="shared" si="83"/>
        <v>0</v>
      </c>
      <c r="M331" s="432"/>
      <c r="N331" s="434"/>
      <c r="O331" s="434"/>
      <c r="P331" s="434"/>
      <c r="Q331" s="399">
        <f>IF(D325&lt;=3,база!$L$4,
IF(D325=4,база!$L$5,
IF(D325=5,база!$L$6)))</f>
        <v>210.57480000000001</v>
      </c>
      <c r="R331" s="390">
        <v>1.3</v>
      </c>
      <c r="S331" s="491">
        <f>SUMIFS(Таблица1[Столбец1],Таблица1[коэф],"1,3",Таблица1[р/р],"3/16",Таблица1[Ф. И. О.],B330)</f>
        <v>0</v>
      </c>
      <c r="T331" s="492">
        <f t="shared" si="84"/>
        <v>0</v>
      </c>
      <c r="U331" s="472">
        <f>IF(D325&lt;=3,база!$M$4,
IF(D325=4,база!$M$5,
IF(D325=5,база!$M$6)))</f>
        <v>225.09719999999999</v>
      </c>
      <c r="V331" s="390">
        <v>1.3</v>
      </c>
      <c r="W331" s="494">
        <f>SUMIFS(Таблица1[Столбец1],Таблица1[коэф],"1,3",Таблица1[р/р],"3/24",Таблица1[Ф. И. О.],B330)</f>
        <v>0</v>
      </c>
      <c r="X331" s="492">
        <f t="shared" si="85"/>
        <v>0</v>
      </c>
      <c r="Y331" s="764"/>
      <c r="Z331" s="766"/>
      <c r="AA331" s="756"/>
      <c r="AC331" s="712" t="str">
        <f>IF(SUMIFS(Таблица1[Столбец1],Таблица1[Ф. И. О.],B330)=Y325,"",B330&amp;"  часы не верны")</f>
        <v/>
      </c>
    </row>
    <row r="332" spans="1:29" ht="18.75">
      <c r="A332" s="756"/>
      <c r="B332" s="215"/>
      <c r="C332" s="759"/>
      <c r="D332" s="762"/>
      <c r="E332" s="393"/>
      <c r="F332" s="390"/>
      <c r="G332" s="400"/>
      <c r="H332" s="392">
        <f t="shared" si="82"/>
        <v>0</v>
      </c>
      <c r="I332" s="389"/>
      <c r="J332" s="390"/>
      <c r="K332" s="434"/>
      <c r="L332" s="484">
        <f t="shared" si="83"/>
        <v>0</v>
      </c>
      <c r="M332" s="432"/>
      <c r="N332" s="434"/>
      <c r="O332" s="434"/>
      <c r="P332" s="434"/>
      <c r="Q332" s="399">
        <f>база!$L$5</f>
        <v>231.45480000000001</v>
      </c>
      <c r="R332" s="390">
        <v>1.3</v>
      </c>
      <c r="S332" s="491">
        <f>SUMIFS(Таблица1[Столбец1],Таблица1[коэф],"1,3",Таблица1[р/р],"4/16",Таблица1[Ф. И. О.],B330)</f>
        <v>0</v>
      </c>
      <c r="T332" s="492">
        <f t="shared" si="84"/>
        <v>0</v>
      </c>
      <c r="U332" s="472">
        <f>база!$M$5</f>
        <v>247.41720000000001</v>
      </c>
      <c r="V332" s="390">
        <v>1.3</v>
      </c>
      <c r="W332" s="494">
        <f>SUMIFS(Таблица1[Столбец1],Таблица1[коэф],"1,3",Таблица1[р/р],"4/24",Таблица1[Ф. И. О.],B330)</f>
        <v>0</v>
      </c>
      <c r="X332" s="492">
        <f t="shared" si="85"/>
        <v>0</v>
      </c>
      <c r="Y332" s="764"/>
      <c r="Z332" s="766"/>
      <c r="AA332" s="756"/>
    </row>
    <row r="333" spans="1:29" ht="18.75">
      <c r="A333" s="756"/>
      <c r="B333" s="215"/>
      <c r="C333" s="759"/>
      <c r="D333" s="762"/>
      <c r="E333" s="393"/>
      <c r="F333" s="390"/>
      <c r="G333" s="400"/>
      <c r="H333" s="392">
        <f t="shared" si="82"/>
        <v>0</v>
      </c>
      <c r="I333" s="389"/>
      <c r="J333" s="390"/>
      <c r="K333" s="434"/>
      <c r="L333" s="484">
        <f t="shared" si="83"/>
        <v>0</v>
      </c>
      <c r="M333" s="432"/>
      <c r="N333" s="434"/>
      <c r="O333" s="434"/>
      <c r="P333" s="434"/>
      <c r="Q333" s="399">
        <f>IF(D325&lt;=3,база!$L$4,
IF(D325=4,база!$L$5,
IF(D325=5,база!$L$6)))</f>
        <v>210.57480000000001</v>
      </c>
      <c r="R333" s="390">
        <v>1.4</v>
      </c>
      <c r="S333" s="491">
        <f>SUMIFS(Таблица1[Столбец1],Таблица1[коэф],"1,4",Таблица1[р/р],"3/16",Таблица1[Ф. И. О.],B330)</f>
        <v>0</v>
      </c>
      <c r="T333" s="492">
        <f t="shared" si="84"/>
        <v>0</v>
      </c>
      <c r="U333" s="472">
        <f>IF(D325&lt;=3,база!$M$4,
IF(D325=4,база!$M$5,
IF(D325=5,база!$M$6)))</f>
        <v>225.09719999999999</v>
      </c>
      <c r="V333" s="390">
        <v>1.4</v>
      </c>
      <c r="W333" s="494">
        <f>SUMIFS(Таблица1[Столбец1],Таблица1[коэф],"1,4",Таблица1[р/р],"3/24",Таблица1[Ф. И. О.],B330)</f>
        <v>0</v>
      </c>
      <c r="X333" s="492">
        <f t="shared" si="85"/>
        <v>0</v>
      </c>
      <c r="Y333" s="764"/>
      <c r="Z333" s="766"/>
      <c r="AA333" s="756"/>
    </row>
    <row r="334" spans="1:29" ht="18.75">
      <c r="A334" s="756"/>
      <c r="B334" s="215"/>
      <c r="C334" s="759"/>
      <c r="D334" s="762"/>
      <c r="E334" s="393"/>
      <c r="F334" s="390"/>
      <c r="G334" s="400"/>
      <c r="H334" s="392">
        <f t="shared" si="82"/>
        <v>0</v>
      </c>
      <c r="I334" s="389"/>
      <c r="J334" s="390"/>
      <c r="K334" s="434"/>
      <c r="L334" s="395">
        <f t="shared" si="83"/>
        <v>0</v>
      </c>
      <c r="M334" s="432"/>
      <c r="N334" s="434"/>
      <c r="O334" s="434"/>
      <c r="P334" s="434"/>
      <c r="Q334" s="399">
        <f>база!$L$5</f>
        <v>231.45480000000001</v>
      </c>
      <c r="R334" s="390">
        <v>1.4</v>
      </c>
      <c r="S334" s="491">
        <f>SUMIFS(Таблица1[Столбец1],Таблица1[коэф],"1,4",Таблица1[р/р],"4/16",Таблица1[Ф. И. О.],B330)</f>
        <v>0</v>
      </c>
      <c r="T334" s="492">
        <f t="shared" si="84"/>
        <v>0</v>
      </c>
      <c r="U334" s="472">
        <f>база!$M$5</f>
        <v>247.41720000000001</v>
      </c>
      <c r="V334" s="390">
        <v>1.4</v>
      </c>
      <c r="W334" s="494">
        <f>SUMIFS(Таблица1[Столбец1],Таблица1[коэф],"1,4",Таблица1[р/р],"4/24",Таблица1[Ф. И. О.],B330)</f>
        <v>0</v>
      </c>
      <c r="X334" s="492">
        <f t="shared" si="85"/>
        <v>0</v>
      </c>
      <c r="Y334" s="764"/>
      <c r="Z334" s="766"/>
      <c r="AA334" s="756"/>
    </row>
    <row r="335" spans="1:29" ht="19.5" thickBot="1">
      <c r="A335" s="757"/>
      <c r="B335" s="202"/>
      <c r="C335" s="760"/>
      <c r="D335" s="763"/>
      <c r="E335" s="463"/>
      <c r="F335" s="464"/>
      <c r="G335" s="465"/>
      <c r="H335" s="468">
        <f t="shared" si="82"/>
        <v>0</v>
      </c>
      <c r="I335" s="473"/>
      <c r="J335" s="464"/>
      <c r="K335" s="457"/>
      <c r="L335" s="458">
        <f t="shared" si="83"/>
        <v>0</v>
      </c>
      <c r="M335" s="466"/>
      <c r="N335" s="457"/>
      <c r="O335" s="457"/>
      <c r="P335" s="457"/>
      <c r="Q335" s="467">
        <f>база!$L$6</f>
        <v>261.04640000000001</v>
      </c>
      <c r="R335" s="464">
        <v>1.4</v>
      </c>
      <c r="S335" s="512">
        <f>SUMIFS(Таблица1[Столбец1],Таблица1[коэф],"1,4",Таблица1[р/р],"5/16",Таблица1[Ф. И. О.],B330)</f>
        <v>0</v>
      </c>
      <c r="T335" s="513">
        <f t="shared" si="84"/>
        <v>0</v>
      </c>
      <c r="U335" s="474">
        <f>база!$M$6</f>
        <v>279.0496</v>
      </c>
      <c r="V335" s="464">
        <v>1.4</v>
      </c>
      <c r="W335" s="501">
        <f>SUMIFS(Таблица1[Столбец1],Таблица1[коэф],"1,4",Таблица1[р/р],"5/24",Таблица1[Ф. И. О.],B330)</f>
        <v>0</v>
      </c>
      <c r="X335" s="513">
        <f t="shared" si="85"/>
        <v>0</v>
      </c>
      <c r="Y335" s="765"/>
      <c r="Z335" s="767"/>
      <c r="AA335" s="757"/>
    </row>
    <row r="336" spans="1:29" ht="17.25" customHeight="1" collapsed="1">
      <c r="A336" s="755">
        <v>31</v>
      </c>
      <c r="B336" s="235"/>
      <c r="C336" s="758">
        <f>INDEX(база!$E$2:$E$81, MATCH(B341,база!$B$2:$B$50,0))</f>
        <v>17305</v>
      </c>
      <c r="D336" s="761">
        <f>INDEX(база!$D$2:$D$89, MATCH(B341,база!$B$2:$B$50,0))</f>
        <v>3</v>
      </c>
      <c r="E336" s="451">
        <f>IF(D336&lt;=3,база!$I$4,
IF(D336=4,база!$I$5,
IF(D336=5,база!$I$6)))</f>
        <v>188.7912</v>
      </c>
      <c r="F336" s="417">
        <v>1</v>
      </c>
      <c r="G336" s="418">
        <f>SUMIFS(Таблица1[Столбец1],Таблица1[коэф],"1",Таблица1[р/р],"2/4",Таблица1[Ф. И. О.],B341)</f>
        <v>0</v>
      </c>
      <c r="H336" s="402">
        <f t="shared" ref="H336:H346" si="88">ROUND(E336*F336*G336*2,2)</f>
        <v>0</v>
      </c>
      <c r="I336" s="377">
        <f>IF(D336&lt;=3,база!$J$4,
IF(D336=4,база!$J$5,
IF(D336=5,база!$J$6)))</f>
        <v>196.05240000000001</v>
      </c>
      <c r="J336" s="378">
        <v>1</v>
      </c>
      <c r="K336" s="428">
        <f>SUMIFS(Таблица1[Столбец1],Таблица1[коэф],"1",Таблица1[р/р],"2/8",Таблица1[Ф. И. О.],B341)</f>
        <v>0</v>
      </c>
      <c r="L336" s="383">
        <f t="shared" ref="L336:L346" si="89">ROUND(I336*J336*K336*2,2)</f>
        <v>0</v>
      </c>
      <c r="M336" s="452"/>
      <c r="N336" s="453">
        <v>1</v>
      </c>
      <c r="O336" s="453">
        <f>SUMIFS(Data_Tech!$AM$3:$AM$67,Data_Tech!$E$3:$E$67,"1",Data_Tech!$G$3:$G$67,"3/12",Data_Tech!$F$3:$F$67,B341)</f>
        <v>0</v>
      </c>
      <c r="P336" s="453">
        <f>ROUND(M336*N336*O336,2)</f>
        <v>0</v>
      </c>
      <c r="Q336" s="416">
        <f>IF(D336&lt;=3,база!$L$4,
IF(D336=4,база!$L$5,
IF(D336=5,база!$L$6)))</f>
        <v>210.57480000000001</v>
      </c>
      <c r="R336" s="417">
        <v>1</v>
      </c>
      <c r="S336" s="495">
        <f>SUMIFS(Таблица1[Столбец1],Таблица1[коэф],"1",Таблица1[р/р],"3/16",Таблица1[Ф. И. О.],B341)</f>
        <v>0</v>
      </c>
      <c r="T336" s="490">
        <f t="shared" ref="T336:T346" si="90">ROUND(Q336*R336*S336*2,2)</f>
        <v>0</v>
      </c>
      <c r="U336" s="471">
        <f>IF(D336&lt;=3,база!$M$4,
IF(D336=4,база!$M$5,
IF(D336=5,база!$M$6)))</f>
        <v>225.09719999999999</v>
      </c>
      <c r="V336" s="378">
        <v>1</v>
      </c>
      <c r="W336" s="497">
        <f>SUMIFS(Таблица1[Столбец1],Таблица1[коэф],"1",Таблица1[р/р],"3/24",Таблица1[Ф. И. О.],B341)</f>
        <v>0</v>
      </c>
      <c r="X336" s="490">
        <f t="shared" ref="X336:X346" si="91">ROUND(U336*V336*W336*2,2)</f>
        <v>0</v>
      </c>
      <c r="Y336" s="764">
        <f t="shared" ref="Y336" si="92">SUM(G336:G346,K336:K346,O336:O346,S336:S346,W336:W346)</f>
        <v>0</v>
      </c>
      <c r="Z336" s="766">
        <f t="shared" ref="Z336" si="93">IFERROR(SUM(H336:H346,L336:L346,T336:T346,X336:X346),"")</f>
        <v>0</v>
      </c>
      <c r="AA336" s="756"/>
    </row>
    <row r="337" spans="1:29" ht="17.25" customHeight="1">
      <c r="A337" s="756"/>
      <c r="B337" s="215"/>
      <c r="C337" s="759"/>
      <c r="D337" s="762"/>
      <c r="E337" s="393">
        <f>IF(D336&lt;=3,база!$I$4,
IF(D336=4,база!$I$5,
IF(D336=5,база!$I$6)))</f>
        <v>188.7912</v>
      </c>
      <c r="F337" s="390">
        <v>1</v>
      </c>
      <c r="G337" s="400">
        <f>SUMIFS(Таблица1[Столбец1],Таблица1[коэф],"1",Таблица1[р/р],"3/4",Таблица1[Ф. И. О.],B341)</f>
        <v>0</v>
      </c>
      <c r="H337" s="392">
        <f t="shared" si="88"/>
        <v>0</v>
      </c>
      <c r="I337" s="389">
        <f>IF(D336&lt;=3,база!$J$4,
IF(D336=4,база!$J$5,
IF(D336=5,база!$J$6)))</f>
        <v>196.05240000000001</v>
      </c>
      <c r="J337" s="390">
        <v>1</v>
      </c>
      <c r="K337" s="434">
        <f>SUMIFS(Таблица1[Столбец1],Таблица1[коэф],"1",Таблица1[р/р],"3/8",Таблица1[Ф. И. О.],B341)</f>
        <v>0</v>
      </c>
      <c r="L337" s="484">
        <f t="shared" si="89"/>
        <v>0</v>
      </c>
      <c r="M337" s="432"/>
      <c r="N337" s="434">
        <v>1</v>
      </c>
      <c r="O337" s="434">
        <f>SUMIFS(Data_Tech!$AM$3:$AM$67,Data_Tech!$E$3:$E$67,"1",Data_Tech!$G$3:$G$67,"4/12",Data_Tech!$F$3:$F$67,B341)</f>
        <v>0</v>
      </c>
      <c r="P337" s="434">
        <f>ROUND(M337*O337,2)</f>
        <v>0</v>
      </c>
      <c r="Q337" s="399">
        <f>база!$L$5</f>
        <v>231.45480000000001</v>
      </c>
      <c r="R337" s="390">
        <v>1</v>
      </c>
      <c r="S337" s="491">
        <f>SUMIFS(Таблица1[Столбец1],Таблица1[коэф],"1",Таблица1[р/р],"4/16",Таблица1[Ф. И. О.],B341)</f>
        <v>0</v>
      </c>
      <c r="T337" s="492">
        <f t="shared" si="90"/>
        <v>0</v>
      </c>
      <c r="U337" s="472">
        <f>база!$M$5</f>
        <v>247.41720000000001</v>
      </c>
      <c r="V337" s="390">
        <v>1</v>
      </c>
      <c r="W337" s="494">
        <f>SUMIFS(Таблица1[Столбец1],Таблица1[коэф],"1",Таблица1[р/р],"4/24",Таблица1[Ф. И. О.],B341)</f>
        <v>0</v>
      </c>
      <c r="X337" s="492">
        <f t="shared" si="91"/>
        <v>0</v>
      </c>
      <c r="Y337" s="764"/>
      <c r="Z337" s="766"/>
      <c r="AA337" s="756"/>
    </row>
    <row r="338" spans="1:29" ht="17.25" customHeight="1">
      <c r="A338" s="756"/>
      <c r="B338" s="215"/>
      <c r="C338" s="759"/>
      <c r="D338" s="762"/>
      <c r="E338" s="393"/>
      <c r="F338" s="390"/>
      <c r="G338" s="400"/>
      <c r="H338" s="392">
        <f t="shared" si="88"/>
        <v>0</v>
      </c>
      <c r="I338" s="389"/>
      <c r="J338" s="390"/>
      <c r="K338" s="434"/>
      <c r="L338" s="484">
        <f t="shared" si="89"/>
        <v>0</v>
      </c>
      <c r="M338" s="432"/>
      <c r="N338" s="434"/>
      <c r="O338" s="434"/>
      <c r="P338" s="434"/>
      <c r="Q338" s="399">
        <f>база!$L$6</f>
        <v>261.04640000000001</v>
      </c>
      <c r="R338" s="390">
        <v>1</v>
      </c>
      <c r="S338" s="491">
        <f>SUMIFS(Таблица1[Столбец1],Таблица1[коэф],"1",Таблица1[р/р],"5/16",Таблица1[Ф. И. О.],B341)</f>
        <v>0</v>
      </c>
      <c r="T338" s="492">
        <f t="shared" si="90"/>
        <v>0</v>
      </c>
      <c r="U338" s="472">
        <f>база!$M$6</f>
        <v>279.0496</v>
      </c>
      <c r="V338" s="390">
        <v>1</v>
      </c>
      <c r="W338" s="494">
        <f>SUMIFS(Таблица1[Столбец1],Таблица1[коэф],"1",Таблица1[р/р],"5/24",Таблица1[Ф. И. О.],B341)</f>
        <v>0</v>
      </c>
      <c r="X338" s="492">
        <f t="shared" si="91"/>
        <v>0</v>
      </c>
      <c r="Y338" s="764"/>
      <c r="Z338" s="766"/>
      <c r="AA338" s="756"/>
    </row>
    <row r="339" spans="1:29" ht="17.25" customHeight="1">
      <c r="A339" s="756"/>
      <c r="B339" s="215"/>
      <c r="C339" s="759"/>
      <c r="D339" s="762"/>
      <c r="E339" s="393"/>
      <c r="F339" s="390"/>
      <c r="G339" s="400"/>
      <c r="H339" s="392">
        <f t="shared" si="88"/>
        <v>0</v>
      </c>
      <c r="I339" s="389">
        <f>база!$J$5</f>
        <v>215.4924</v>
      </c>
      <c r="J339" s="390">
        <v>1.5</v>
      </c>
      <c r="K339" s="434">
        <f>SUMIFS(Таблица1[Столбец1],Таблица1[коэф],"1,5",Таблица1[р/р],"4/8",Таблица1[Ф. И. О.],B341)</f>
        <v>0</v>
      </c>
      <c r="L339" s="484">
        <f t="shared" si="89"/>
        <v>0</v>
      </c>
      <c r="M339" s="432"/>
      <c r="N339" s="434"/>
      <c r="O339" s="434"/>
      <c r="P339" s="434"/>
      <c r="Q339" s="399">
        <f>IF(D336&lt;=3,база!$L$4,
IF(D336=4,база!$L$5,
IF(D336=5,база!$L$6)))</f>
        <v>210.57480000000001</v>
      </c>
      <c r="R339" s="390">
        <v>1.2</v>
      </c>
      <c r="S339" s="491">
        <f>SUMIFS(Таблица1[Столбец1],Таблица1[коэф],"1,2",Таблица1[р/р],"3/16",Таблица1[Ф. И. О.],B341)</f>
        <v>0</v>
      </c>
      <c r="T339" s="492">
        <f t="shared" si="90"/>
        <v>0</v>
      </c>
      <c r="U339" s="472">
        <f>IF(D336&lt;=3,база!$M$4,
IF(D336=4,база!$M$5,
IF(D336=5,база!$M$6)))</f>
        <v>225.09719999999999</v>
      </c>
      <c r="V339" s="390">
        <v>1.2</v>
      </c>
      <c r="W339" s="494">
        <f>SUMIFS(Таблица1[Столбец1],Таблица1[коэф],"1,2",Таблица1[р/р],"3/24",Таблица1[Ф. И. О.],B341)</f>
        <v>0</v>
      </c>
      <c r="X339" s="492">
        <f t="shared" si="91"/>
        <v>0</v>
      </c>
      <c r="Y339" s="764"/>
      <c r="Z339" s="766"/>
      <c r="AA339" s="756"/>
    </row>
    <row r="340" spans="1:29" ht="17.25" customHeight="1">
      <c r="A340" s="756"/>
      <c r="B340" s="215"/>
      <c r="C340" s="759"/>
      <c r="D340" s="762"/>
      <c r="E340" s="393"/>
      <c r="F340" s="390"/>
      <c r="G340" s="400"/>
      <c r="H340" s="392">
        <f t="shared" si="88"/>
        <v>0</v>
      </c>
      <c r="I340" s="389">
        <f>база!$J$6</f>
        <v>243.04319999999998</v>
      </c>
      <c r="J340" s="390">
        <v>1.5</v>
      </c>
      <c r="K340" s="434">
        <f>SUMIFS(Таблица1[Столбец1],Таблица1[коэф],"1,5",Таблица1[р/р],"5/8",Таблица1[Ф. И. О.],B341)</f>
        <v>0</v>
      </c>
      <c r="L340" s="484">
        <f t="shared" si="89"/>
        <v>0</v>
      </c>
      <c r="M340" s="432"/>
      <c r="N340" s="434"/>
      <c r="O340" s="434"/>
      <c r="P340" s="434"/>
      <c r="Q340" s="399">
        <f>база!$L$5</f>
        <v>231.45480000000001</v>
      </c>
      <c r="R340" s="390">
        <v>1.2</v>
      </c>
      <c r="S340" s="491">
        <f>SUMIFS(Таблица1[Столбец1],Таблица1[коэф],"1,2",Таблица1[р/р],"4/16",Таблица1[Ф. И. О.],B341)</f>
        <v>0</v>
      </c>
      <c r="T340" s="492">
        <f t="shared" si="90"/>
        <v>0</v>
      </c>
      <c r="U340" s="472">
        <f>база!$M$5</f>
        <v>247.41720000000001</v>
      </c>
      <c r="V340" s="390">
        <v>1.2</v>
      </c>
      <c r="W340" s="494">
        <f>SUMIFS(Таблица1[Столбец1],Таблица1[коэф],"1,2",Таблица1[р/р],"4/24",Таблица1[Ф. И. О.],B341)</f>
        <v>0</v>
      </c>
      <c r="X340" s="492">
        <f t="shared" si="91"/>
        <v>0</v>
      </c>
      <c r="Y340" s="764"/>
      <c r="Z340" s="766"/>
      <c r="AA340" s="756"/>
    </row>
    <row r="341" spans="1:29" ht="17.25" customHeight="1">
      <c r="A341" s="756"/>
      <c r="B341" s="215" t="str">
        <f>база!B32</f>
        <v>Исаева Инна Игоревна</v>
      </c>
      <c r="C341" s="759"/>
      <c r="D341" s="762"/>
      <c r="E341" s="393"/>
      <c r="F341" s="390"/>
      <c r="G341" s="400"/>
      <c r="H341" s="392">
        <f t="shared" si="88"/>
        <v>0</v>
      </c>
      <c r="I341" s="389"/>
      <c r="J341" s="390"/>
      <c r="K341" s="434"/>
      <c r="L341" s="484">
        <f t="shared" si="89"/>
        <v>0</v>
      </c>
      <c r="M341" s="432"/>
      <c r="N341" s="434"/>
      <c r="O341" s="434"/>
      <c r="P341" s="434"/>
      <c r="Q341" s="399">
        <f>база!$L$6</f>
        <v>261.04640000000001</v>
      </c>
      <c r="R341" s="390">
        <v>1.2</v>
      </c>
      <c r="S341" s="491">
        <f>SUMIFS(Таблица1[Столбец1],Таблица1[коэф],"1,2",Таблица1[р/р],"5/16",Таблица1[Ф. И. О.],B341)</f>
        <v>0</v>
      </c>
      <c r="T341" s="492">
        <f t="shared" si="90"/>
        <v>0</v>
      </c>
      <c r="U341" s="472">
        <f>база!$M$6</f>
        <v>279.0496</v>
      </c>
      <c r="V341" s="390">
        <v>1.2</v>
      </c>
      <c r="W341" s="494">
        <f>SUMIFS(Таблица1[Столбец1],Таблица1[коэф],"1,2",Таблица1[р/р],"5/24",Таблица1[Ф. И. О.],B341)</f>
        <v>0</v>
      </c>
      <c r="X341" s="492">
        <f t="shared" si="91"/>
        <v>0</v>
      </c>
      <c r="Y341" s="764"/>
      <c r="Z341" s="766"/>
      <c r="AA341" s="756"/>
      <c r="AC341" s="712" t="str">
        <f>IF(SUMIFS(Таблица1[Столбец3],Таблица1[Ф. И. О.],B341)-Z336=0,"",SUMIFS(Таблица1[Столбец3],Таблица1[Ф. И. О.],B341)-Z336)</f>
        <v/>
      </c>
    </row>
    <row r="342" spans="1:29" ht="17.25" customHeight="1">
      <c r="A342" s="756"/>
      <c r="B342" s="215"/>
      <c r="C342" s="759"/>
      <c r="D342" s="762"/>
      <c r="E342" s="393"/>
      <c r="F342" s="390"/>
      <c r="G342" s="400"/>
      <c r="H342" s="392">
        <f t="shared" si="88"/>
        <v>0</v>
      </c>
      <c r="I342" s="389"/>
      <c r="J342" s="390"/>
      <c r="K342" s="434"/>
      <c r="L342" s="484">
        <f t="shared" si="89"/>
        <v>0</v>
      </c>
      <c r="M342" s="432"/>
      <c r="N342" s="434"/>
      <c r="O342" s="434"/>
      <c r="P342" s="434"/>
      <c r="Q342" s="399">
        <f>IF(D336&lt;=3,база!$L$4,
IF(D336=4,база!$L$5,
IF(D336=5,база!$L$6)))</f>
        <v>210.57480000000001</v>
      </c>
      <c r="R342" s="390">
        <v>1.3</v>
      </c>
      <c r="S342" s="491">
        <f>SUMIFS(Таблица1[Столбец1],Таблица1[коэф],"1,3",Таблица1[р/р],"3/16",Таблица1[Ф. И. О.],B341)</f>
        <v>0</v>
      </c>
      <c r="T342" s="492">
        <f t="shared" si="90"/>
        <v>0</v>
      </c>
      <c r="U342" s="472">
        <f>IF(D336&lt;=3,база!$M$4,
IF(D336=4,база!$M$5,
IF(D336=5,база!$M$6)))</f>
        <v>225.09719999999999</v>
      </c>
      <c r="V342" s="390">
        <v>1.3</v>
      </c>
      <c r="W342" s="494">
        <f>SUMIFS(Таблица1[Столбец1],Таблица1[коэф],"1,3",Таблица1[р/р],"3/24",Таблица1[Ф. И. О.],B341)</f>
        <v>0</v>
      </c>
      <c r="X342" s="492">
        <f t="shared" si="91"/>
        <v>0</v>
      </c>
      <c r="Y342" s="764"/>
      <c r="Z342" s="766"/>
      <c r="AA342" s="756"/>
      <c r="AC342" s="712" t="str">
        <f>IF(SUMIFS(Таблица1[Столбец1],Таблица1[Ф. И. О.],B341)=Y336,"",B341&amp;"  часы не верны")</f>
        <v/>
      </c>
    </row>
    <row r="343" spans="1:29" ht="17.25" customHeight="1">
      <c r="A343" s="756"/>
      <c r="B343" s="215"/>
      <c r="C343" s="759"/>
      <c r="D343" s="762"/>
      <c r="E343" s="393"/>
      <c r="F343" s="390"/>
      <c r="G343" s="400"/>
      <c r="H343" s="392">
        <f t="shared" si="88"/>
        <v>0</v>
      </c>
      <c r="I343" s="389"/>
      <c r="J343" s="390"/>
      <c r="K343" s="434"/>
      <c r="L343" s="484">
        <f t="shared" si="89"/>
        <v>0</v>
      </c>
      <c r="M343" s="432"/>
      <c r="N343" s="434"/>
      <c r="O343" s="434"/>
      <c r="P343" s="434"/>
      <c r="Q343" s="399">
        <f>база!$L$5</f>
        <v>231.45480000000001</v>
      </c>
      <c r="R343" s="390">
        <v>1.3</v>
      </c>
      <c r="S343" s="491">
        <f>SUMIFS(Таблица1[Столбец1],Таблица1[коэф],"1,3",Таблица1[р/р],"4/16",Таблица1[Ф. И. О.],B341)</f>
        <v>0</v>
      </c>
      <c r="T343" s="492">
        <f t="shared" si="90"/>
        <v>0</v>
      </c>
      <c r="U343" s="472">
        <f>база!$M$5</f>
        <v>247.41720000000001</v>
      </c>
      <c r="V343" s="390">
        <v>1.3</v>
      </c>
      <c r="W343" s="494">
        <f>SUMIFS(Таблица1[Столбец1],Таблица1[коэф],"1,3",Таблица1[р/р],"4/24",Таблица1[Ф. И. О.],B341)</f>
        <v>0</v>
      </c>
      <c r="X343" s="492">
        <f t="shared" si="91"/>
        <v>0</v>
      </c>
      <c r="Y343" s="764"/>
      <c r="Z343" s="766"/>
      <c r="AA343" s="756"/>
    </row>
    <row r="344" spans="1:29" ht="17.25" customHeight="1">
      <c r="A344" s="756"/>
      <c r="B344" s="215"/>
      <c r="C344" s="759"/>
      <c r="D344" s="762"/>
      <c r="E344" s="393"/>
      <c r="F344" s="390"/>
      <c r="G344" s="400"/>
      <c r="H344" s="392">
        <f t="shared" si="88"/>
        <v>0</v>
      </c>
      <c r="I344" s="389"/>
      <c r="J344" s="390"/>
      <c r="K344" s="434"/>
      <c r="L344" s="484">
        <f t="shared" si="89"/>
        <v>0</v>
      </c>
      <c r="M344" s="432"/>
      <c r="N344" s="434"/>
      <c r="O344" s="434"/>
      <c r="P344" s="434"/>
      <c r="Q344" s="399">
        <f>IF(D336&lt;=3,база!$L$4,
IF(D336=4,база!$L$5,
IF(D336=5,база!$L$6)))</f>
        <v>210.57480000000001</v>
      </c>
      <c r="R344" s="390">
        <v>1.4</v>
      </c>
      <c r="S344" s="491">
        <f>SUMIFS(Таблица1[Столбец1],Таблица1[коэф],"1,4",Таблица1[р/р],"3/16",Таблица1[Ф. И. О.],B341)</f>
        <v>0</v>
      </c>
      <c r="T344" s="492">
        <f t="shared" si="90"/>
        <v>0</v>
      </c>
      <c r="U344" s="472">
        <f>IF(D336&lt;=3,база!$M$4,
IF(D336=4,база!$M$5,
IF(D336=5,база!$M$6)))</f>
        <v>225.09719999999999</v>
      </c>
      <c r="V344" s="390">
        <v>1.4</v>
      </c>
      <c r="W344" s="494">
        <f>SUMIFS(Таблица1[Столбец1],Таблица1[коэф],"1,4",Таблица1[р/р],"3/24",Таблица1[Ф. И. О.],B341)</f>
        <v>0</v>
      </c>
      <c r="X344" s="492">
        <f t="shared" si="91"/>
        <v>0</v>
      </c>
      <c r="Y344" s="764"/>
      <c r="Z344" s="766"/>
      <c r="AA344" s="756"/>
    </row>
    <row r="345" spans="1:29" ht="17.25" customHeight="1">
      <c r="A345" s="756"/>
      <c r="B345" s="215"/>
      <c r="C345" s="759"/>
      <c r="D345" s="762"/>
      <c r="E345" s="393"/>
      <c r="F345" s="390"/>
      <c r="G345" s="400"/>
      <c r="H345" s="392">
        <f t="shared" si="88"/>
        <v>0</v>
      </c>
      <c r="I345" s="389"/>
      <c r="J345" s="390"/>
      <c r="K345" s="434"/>
      <c r="L345" s="395">
        <f t="shared" si="89"/>
        <v>0</v>
      </c>
      <c r="M345" s="432"/>
      <c r="N345" s="434"/>
      <c r="O345" s="434"/>
      <c r="P345" s="434"/>
      <c r="Q345" s="399">
        <f>база!$L$5</f>
        <v>231.45480000000001</v>
      </c>
      <c r="R345" s="390">
        <v>1.4</v>
      </c>
      <c r="S345" s="491">
        <f>SUMIFS(Таблица1[Столбец1],Таблица1[коэф],"1,4",Таблица1[р/р],"4/16",Таблица1[Ф. И. О.],B341)</f>
        <v>0</v>
      </c>
      <c r="T345" s="492">
        <f t="shared" si="90"/>
        <v>0</v>
      </c>
      <c r="U345" s="472">
        <f>база!$M$5</f>
        <v>247.41720000000001</v>
      </c>
      <c r="V345" s="390">
        <v>1.4</v>
      </c>
      <c r="W345" s="494">
        <f>SUMIFS(Таблица1[Столбец1],Таблица1[коэф],"1,4",Таблица1[р/р],"4/24",Таблица1[Ф. И. О.],B341)</f>
        <v>0</v>
      </c>
      <c r="X345" s="492">
        <f t="shared" si="91"/>
        <v>0</v>
      </c>
      <c r="Y345" s="764"/>
      <c r="Z345" s="766"/>
      <c r="AA345" s="756"/>
    </row>
    <row r="346" spans="1:29" ht="17.25" customHeight="1" thickBot="1">
      <c r="A346" s="757"/>
      <c r="B346" s="202"/>
      <c r="C346" s="760"/>
      <c r="D346" s="763"/>
      <c r="E346" s="463"/>
      <c r="F346" s="464"/>
      <c r="G346" s="465"/>
      <c r="H346" s="468">
        <f t="shared" si="88"/>
        <v>0</v>
      </c>
      <c r="I346" s="473"/>
      <c r="J346" s="464"/>
      <c r="K346" s="457"/>
      <c r="L346" s="458">
        <f t="shared" si="89"/>
        <v>0</v>
      </c>
      <c r="M346" s="466"/>
      <c r="N346" s="457"/>
      <c r="O346" s="457"/>
      <c r="P346" s="457"/>
      <c r="Q346" s="467">
        <f>база!$L$6</f>
        <v>261.04640000000001</v>
      </c>
      <c r="R346" s="464">
        <v>1.4</v>
      </c>
      <c r="S346" s="512">
        <f>SUMIFS(Таблица1[Столбец1],Таблица1[коэф],"1,4",Таблица1[р/р],"5/16",Таблица1[Ф. И. О.],B341)</f>
        <v>0</v>
      </c>
      <c r="T346" s="513">
        <f t="shared" si="90"/>
        <v>0</v>
      </c>
      <c r="U346" s="474">
        <f>база!$M$6</f>
        <v>279.0496</v>
      </c>
      <c r="V346" s="464">
        <v>1.4</v>
      </c>
      <c r="W346" s="501">
        <f>SUMIFS(Таблица1[Столбец1],Таблица1[коэф],"1,4",Таблица1[р/р],"5/24",Таблица1[Ф. И. О.],B341)</f>
        <v>0</v>
      </c>
      <c r="X346" s="513">
        <f t="shared" si="91"/>
        <v>0</v>
      </c>
      <c r="Y346" s="765"/>
      <c r="Z346" s="767"/>
      <c r="AA346" s="757"/>
    </row>
    <row r="347" spans="1:29" ht="18.75" collapsed="1">
      <c r="A347" s="755">
        <v>32</v>
      </c>
      <c r="B347" s="235"/>
      <c r="C347" s="758">
        <f>INDEX(база!$E$2:$E$81, MATCH(B352,база!$B$2:$B$50,0))</f>
        <v>17270</v>
      </c>
      <c r="D347" s="761">
        <f>INDEX(база!$D$2:$D$89, MATCH(B352,база!$B$2:$B$50,0))</f>
        <v>3</v>
      </c>
      <c r="E347" s="451">
        <f>IF(D347&lt;=3,база!$I$4,
IF(D347=4,база!$I$5,
IF(D347=5,база!$I$6)))</f>
        <v>188.7912</v>
      </c>
      <c r="F347" s="417">
        <v>1</v>
      </c>
      <c r="G347" s="418">
        <f>SUMIFS(Таблица1[Столбец1],Таблица1[коэф],"1",Таблица1[р/р],"2/4",Таблица1[Ф. И. О.],B352)</f>
        <v>0</v>
      </c>
      <c r="H347" s="402">
        <f t="shared" ref="H347:H368" si="94">ROUND(E347*F347*G347*2,2)</f>
        <v>0</v>
      </c>
      <c r="I347" s="377">
        <f>IF(D347&lt;=3,база!$J$4,
IF(D347=4,база!$J$5,
IF(D347=5,база!$J$6)))</f>
        <v>196.05240000000001</v>
      </c>
      <c r="J347" s="378">
        <v>1</v>
      </c>
      <c r="K347" s="428">
        <f>SUMIFS(Таблица1[Столбец1],Таблица1[коэф],"1",Таблица1[р/р],"2/8",Таблица1[Ф. И. О.],B352)</f>
        <v>0</v>
      </c>
      <c r="L347" s="383">
        <f t="shared" ref="L347:L368" si="95">ROUND(I347*J347*K347*2,2)</f>
        <v>0</v>
      </c>
      <c r="M347" s="452"/>
      <c r="N347" s="453">
        <v>1</v>
      </c>
      <c r="O347" s="453">
        <f>SUMIFS(Data_Tech!$AM$3:$AM$67,Data_Tech!$E$3:$E$67,"1",Data_Tech!$G$3:$G$67,"3/12",Data_Tech!$F$3:$F$67,B352)</f>
        <v>0</v>
      </c>
      <c r="P347" s="453">
        <f>ROUND(M347*N347*O347,2)</f>
        <v>0</v>
      </c>
      <c r="Q347" s="416">
        <f>IF(D347&lt;=3,база!$L$4,
IF(D347=4,база!$L$5,
IF(D347=5,база!$L$6)))</f>
        <v>210.57480000000001</v>
      </c>
      <c r="R347" s="417">
        <v>1</v>
      </c>
      <c r="S347" s="495">
        <f>SUMIFS(Таблица1[Столбец1],Таблица1[коэф],"1",Таблица1[р/р],"3/16",Таблица1[Ф. И. О.],B352)</f>
        <v>0</v>
      </c>
      <c r="T347" s="490">
        <f t="shared" ref="T347:T368" si="96">ROUND(Q347*R347*S347*2,2)</f>
        <v>0</v>
      </c>
      <c r="U347" s="471">
        <f>IF(D347&lt;=3,база!$M$4,
IF(D347=4,база!$M$5,
IF(D347=5,база!$M$6)))</f>
        <v>225.09719999999999</v>
      </c>
      <c r="V347" s="378">
        <v>1</v>
      </c>
      <c r="W347" s="497">
        <f>SUMIFS(Таблица1[Столбец1],Таблица1[коэф],"1",Таблица1[р/р],"3/24",Таблица1[Ф. И. О.],B352)</f>
        <v>0</v>
      </c>
      <c r="X347" s="490">
        <f t="shared" ref="X347:X368" si="97">ROUND(U347*V347*W347*2,2)</f>
        <v>0</v>
      </c>
      <c r="Y347" s="764">
        <f t="shared" ref="Y347" si="98">SUM(G347:G357,K347:K357,O347:O357,S347:S357,W347:W357)</f>
        <v>0</v>
      </c>
      <c r="Z347" s="766">
        <f t="shared" ref="Z347" si="99">IFERROR(SUM(H347:H357,L347:L357,T347:T357,X347:X357),"")</f>
        <v>0</v>
      </c>
      <c r="AA347" s="756"/>
    </row>
    <row r="348" spans="1:29" ht="18.75">
      <c r="A348" s="756"/>
      <c r="B348" s="215"/>
      <c r="C348" s="759"/>
      <c r="D348" s="762"/>
      <c r="E348" s="393">
        <f>IF(D347&lt;=3,база!$I$4,
IF(D347=4,база!$I$5,
IF(D347=5,база!$I$6)))</f>
        <v>188.7912</v>
      </c>
      <c r="F348" s="390">
        <v>1</v>
      </c>
      <c r="G348" s="400">
        <f>SUMIFS(Таблица1[Столбец1],Таблица1[коэф],"1",Таблица1[р/р],"3/4",Таблица1[Ф. И. О.],B352)</f>
        <v>0</v>
      </c>
      <c r="H348" s="392">
        <f t="shared" si="94"/>
        <v>0</v>
      </c>
      <c r="I348" s="389">
        <f>IF(D347&lt;=3,база!$J$4,
IF(D347=4,база!$J$5,
IF(D347=5,база!$J$6)))</f>
        <v>196.05240000000001</v>
      </c>
      <c r="J348" s="390">
        <v>1</v>
      </c>
      <c r="K348" s="434">
        <f>SUMIFS(Таблица1[Столбец1],Таблица1[коэф],"1",Таблица1[р/р],"3/8",Таблица1[Ф. И. О.],B352)</f>
        <v>0</v>
      </c>
      <c r="L348" s="484">
        <f t="shared" si="95"/>
        <v>0</v>
      </c>
      <c r="M348" s="432"/>
      <c r="N348" s="434">
        <v>1</v>
      </c>
      <c r="O348" s="434">
        <f>SUMIFS(Data_Tech!$AM$3:$AM$67,Data_Tech!$E$3:$E$67,"1",Data_Tech!$G$3:$G$67,"4/12",Data_Tech!$F$3:$F$67,B352)</f>
        <v>0</v>
      </c>
      <c r="P348" s="434">
        <f>ROUND(M348*O348,2)</f>
        <v>0</v>
      </c>
      <c r="Q348" s="399">
        <f>база!$L$5</f>
        <v>231.45480000000001</v>
      </c>
      <c r="R348" s="390">
        <v>1</v>
      </c>
      <c r="S348" s="491">
        <f>SUMIFS(Таблица1[Столбец1],Таблица1[коэф],"1",Таблица1[р/р],"4/16",Таблица1[Ф. И. О.],B352)</f>
        <v>0</v>
      </c>
      <c r="T348" s="492">
        <f t="shared" si="96"/>
        <v>0</v>
      </c>
      <c r="U348" s="472">
        <f>база!$M$5</f>
        <v>247.41720000000001</v>
      </c>
      <c r="V348" s="390">
        <v>1</v>
      </c>
      <c r="W348" s="494">
        <f>SUMIFS(Таблица1[Столбец1],Таблица1[коэф],"1",Таблица1[р/р],"4/24",Таблица1[Ф. И. О.],B352)</f>
        <v>0</v>
      </c>
      <c r="X348" s="492">
        <f t="shared" si="97"/>
        <v>0</v>
      </c>
      <c r="Y348" s="764"/>
      <c r="Z348" s="766"/>
      <c r="AA348" s="756"/>
    </row>
    <row r="349" spans="1:29" ht="18.75">
      <c r="A349" s="756"/>
      <c r="B349" s="215"/>
      <c r="C349" s="759"/>
      <c r="D349" s="762"/>
      <c r="E349" s="393"/>
      <c r="F349" s="390"/>
      <c r="G349" s="400"/>
      <c r="H349" s="392">
        <f t="shared" si="94"/>
        <v>0</v>
      </c>
      <c r="I349" s="389"/>
      <c r="J349" s="390"/>
      <c r="K349" s="434"/>
      <c r="L349" s="484">
        <f t="shared" si="95"/>
        <v>0</v>
      </c>
      <c r="M349" s="432"/>
      <c r="N349" s="434"/>
      <c r="O349" s="434"/>
      <c r="P349" s="434"/>
      <c r="Q349" s="399">
        <f>база!$L$6</f>
        <v>261.04640000000001</v>
      </c>
      <c r="R349" s="390">
        <v>1</v>
      </c>
      <c r="S349" s="491">
        <f>SUMIFS(Таблица1[Столбец1],Таблица1[коэф],"1",Таблица1[р/р],"5/16",Таблица1[Ф. И. О.],B352)</f>
        <v>0</v>
      </c>
      <c r="T349" s="492">
        <f t="shared" si="96"/>
        <v>0</v>
      </c>
      <c r="U349" s="472">
        <f>база!$M$6</f>
        <v>279.0496</v>
      </c>
      <c r="V349" s="390">
        <v>1</v>
      </c>
      <c r="W349" s="494">
        <f>SUMIFS(Таблица1[Столбец1],Таблица1[коэф],"1",Таблица1[р/р],"5/24",Таблица1[Ф. И. О.],B352)</f>
        <v>0</v>
      </c>
      <c r="X349" s="492">
        <f t="shared" si="97"/>
        <v>0</v>
      </c>
      <c r="Y349" s="764"/>
      <c r="Z349" s="766"/>
      <c r="AA349" s="756"/>
    </row>
    <row r="350" spans="1:29" ht="18.75">
      <c r="A350" s="756"/>
      <c r="B350" s="215"/>
      <c r="C350" s="759"/>
      <c r="D350" s="762"/>
      <c r="E350" s="393"/>
      <c r="F350" s="390"/>
      <c r="G350" s="400"/>
      <c r="H350" s="392">
        <f t="shared" si="94"/>
        <v>0</v>
      </c>
      <c r="I350" s="389">
        <f>база!$J$5</f>
        <v>215.4924</v>
      </c>
      <c r="J350" s="390">
        <v>1.5</v>
      </c>
      <c r="K350" s="434">
        <f>SUMIFS(Таблица1[Столбец1],Таблица1[коэф],"1,5",Таблица1[р/р],"4/8",Таблица1[Ф. И. О.],B352)</f>
        <v>0</v>
      </c>
      <c r="L350" s="484">
        <f t="shared" si="95"/>
        <v>0</v>
      </c>
      <c r="M350" s="432"/>
      <c r="N350" s="434"/>
      <c r="O350" s="434"/>
      <c r="P350" s="434"/>
      <c r="Q350" s="399">
        <f>IF(D347&lt;=3,база!$L$4,
IF(D347=4,база!$L$5,
IF(D347=5,база!$L$6)))</f>
        <v>210.57480000000001</v>
      </c>
      <c r="R350" s="390">
        <v>1.2</v>
      </c>
      <c r="S350" s="491">
        <f>SUMIFS(Таблица1[Столбец1],Таблица1[коэф],"1,2",Таблица1[р/р],"3/16",Таблица1[Ф. И. О.],B352)</f>
        <v>0</v>
      </c>
      <c r="T350" s="492">
        <f t="shared" si="96"/>
        <v>0</v>
      </c>
      <c r="U350" s="472">
        <f>IF(D347&lt;=3,база!$M$4,
IF(D347=4,база!$M$5,
IF(D347=5,база!$M$6)))</f>
        <v>225.09719999999999</v>
      </c>
      <c r="V350" s="390">
        <v>1.2</v>
      </c>
      <c r="W350" s="494">
        <f>SUMIFS(Таблица1[Столбец1],Таблица1[коэф],"1,2",Таблица1[р/р],"3/24",Таблица1[Ф. И. О.],B352)</f>
        <v>0</v>
      </c>
      <c r="X350" s="492">
        <f t="shared" si="97"/>
        <v>0</v>
      </c>
      <c r="Y350" s="764"/>
      <c r="Z350" s="766"/>
      <c r="AA350" s="756"/>
    </row>
    <row r="351" spans="1:29" ht="18.75">
      <c r="A351" s="756"/>
      <c r="B351" s="215"/>
      <c r="C351" s="759"/>
      <c r="D351" s="762"/>
      <c r="E351" s="393"/>
      <c r="F351" s="390"/>
      <c r="G351" s="400"/>
      <c r="H351" s="392">
        <f t="shared" si="94"/>
        <v>0</v>
      </c>
      <c r="I351" s="389">
        <f>база!$J$6</f>
        <v>243.04319999999998</v>
      </c>
      <c r="J351" s="390">
        <v>1.5</v>
      </c>
      <c r="K351" s="434">
        <f>SUMIFS(Таблица1[Столбец1],Таблица1[коэф],"1,5",Таблица1[р/р],"5/8",Таблица1[Ф. И. О.],B352)</f>
        <v>0</v>
      </c>
      <c r="L351" s="484">
        <f t="shared" si="95"/>
        <v>0</v>
      </c>
      <c r="M351" s="432"/>
      <c r="N351" s="434"/>
      <c r="O351" s="434"/>
      <c r="P351" s="434"/>
      <c r="Q351" s="399">
        <f>база!$L$5</f>
        <v>231.45480000000001</v>
      </c>
      <c r="R351" s="390">
        <v>1.2</v>
      </c>
      <c r="S351" s="491">
        <f>SUMIFS(Таблица1[Столбец1],Таблица1[коэф],"1,2",Таблица1[р/р],"4/16",Таблица1[Ф. И. О.],B352)</f>
        <v>0</v>
      </c>
      <c r="T351" s="492">
        <f t="shared" si="96"/>
        <v>0</v>
      </c>
      <c r="U351" s="472">
        <f>база!$M$5</f>
        <v>247.41720000000001</v>
      </c>
      <c r="V351" s="390">
        <v>1.2</v>
      </c>
      <c r="W351" s="494">
        <f>SUMIFS(Таблица1[Столбец1],Таблица1[коэф],"1,2",Таблица1[р/р],"4/24",Таблица1[Ф. И. О.],B352)</f>
        <v>0</v>
      </c>
      <c r="X351" s="492">
        <f t="shared" si="97"/>
        <v>0</v>
      </c>
      <c r="Y351" s="764"/>
      <c r="Z351" s="766"/>
      <c r="AA351" s="756"/>
    </row>
    <row r="352" spans="1:29" ht="18" customHeight="1">
      <c r="A352" s="756"/>
      <c r="B352" s="215" t="str">
        <f>база!B33</f>
        <v>Кабакова Алина Дмитриевна</v>
      </c>
      <c r="C352" s="759"/>
      <c r="D352" s="762"/>
      <c r="E352" s="393"/>
      <c r="F352" s="390"/>
      <c r="G352" s="400"/>
      <c r="H352" s="392">
        <f t="shared" si="94"/>
        <v>0</v>
      </c>
      <c r="I352" s="389"/>
      <c r="J352" s="390"/>
      <c r="K352" s="434"/>
      <c r="L352" s="484">
        <f t="shared" si="95"/>
        <v>0</v>
      </c>
      <c r="M352" s="432"/>
      <c r="N352" s="434"/>
      <c r="O352" s="434"/>
      <c r="P352" s="434"/>
      <c r="Q352" s="399">
        <f>база!$L$6</f>
        <v>261.04640000000001</v>
      </c>
      <c r="R352" s="390">
        <v>1.2</v>
      </c>
      <c r="S352" s="491">
        <f>SUMIFS(Таблица1[Столбец1],Таблица1[коэф],"1,2",Таблица1[р/р],"5/16",Таблица1[Ф. И. О.],B352)</f>
        <v>0</v>
      </c>
      <c r="T352" s="492">
        <f t="shared" si="96"/>
        <v>0</v>
      </c>
      <c r="U352" s="472">
        <f>база!$M$6</f>
        <v>279.0496</v>
      </c>
      <c r="V352" s="390">
        <v>1.2</v>
      </c>
      <c r="W352" s="494">
        <f>SUMIFS(Таблица1[Столбец1],Таблица1[коэф],"1,2",Таблица1[р/р],"5/24",Таблица1[Ф. И. О.],B352)</f>
        <v>0</v>
      </c>
      <c r="X352" s="492">
        <f t="shared" si="97"/>
        <v>0</v>
      </c>
      <c r="Y352" s="764"/>
      <c r="Z352" s="766"/>
      <c r="AA352" s="756"/>
      <c r="AC352" s="712" t="str">
        <f>IF(SUMIFS(Таблица1[Столбец3],Таблица1[Ф. И. О.],B352)-Z347=0,"",SUMIFS(Таблица1[Столбец3],Таблица1[Ф. И. О.],B352)-Z347)</f>
        <v/>
      </c>
    </row>
    <row r="353" spans="1:29" ht="18.75">
      <c r="A353" s="756"/>
      <c r="B353" s="215"/>
      <c r="C353" s="759"/>
      <c r="D353" s="762"/>
      <c r="E353" s="393"/>
      <c r="F353" s="390"/>
      <c r="G353" s="400"/>
      <c r="H353" s="392">
        <f t="shared" si="94"/>
        <v>0</v>
      </c>
      <c r="I353" s="389"/>
      <c r="J353" s="390"/>
      <c r="K353" s="434"/>
      <c r="L353" s="484">
        <f t="shared" si="95"/>
        <v>0</v>
      </c>
      <c r="M353" s="432"/>
      <c r="N353" s="434"/>
      <c r="O353" s="434"/>
      <c r="P353" s="434"/>
      <c r="Q353" s="399">
        <f>IF(D347&lt;=3,база!$L$4,
IF(D347=4,база!$L$5,
IF(D347=5,база!$L$6)))</f>
        <v>210.57480000000001</v>
      </c>
      <c r="R353" s="390">
        <v>1.3</v>
      </c>
      <c r="S353" s="491">
        <f>SUMIFS(Таблица1[Столбец1],Таблица1[коэф],"1,3",Таблица1[р/р],"3/16",Таблица1[Ф. И. О.],B352)</f>
        <v>0</v>
      </c>
      <c r="T353" s="492">
        <f t="shared" si="96"/>
        <v>0</v>
      </c>
      <c r="U353" s="472">
        <f>IF(D347&lt;=3,база!$M$4,
IF(D347=4,база!$M$5,
IF(D347=5,база!$M$6)))</f>
        <v>225.09719999999999</v>
      </c>
      <c r="V353" s="390">
        <v>1.3</v>
      </c>
      <c r="W353" s="494">
        <f>SUMIFS(Таблица1[Столбец1],Таблица1[коэф],"1,3",Таблица1[р/р],"3/24",Таблица1[Ф. И. О.],B352)</f>
        <v>0</v>
      </c>
      <c r="X353" s="492">
        <f t="shared" si="97"/>
        <v>0</v>
      </c>
      <c r="Y353" s="764"/>
      <c r="Z353" s="766"/>
      <c r="AA353" s="756"/>
      <c r="AC353" s="712" t="str">
        <f>IF(SUMIFS(Таблица1[Столбец1],Таблица1[Ф. И. О.],B352)=Y347,"",B352&amp;"  часы не верны")</f>
        <v/>
      </c>
    </row>
    <row r="354" spans="1:29" ht="18.75">
      <c r="A354" s="756"/>
      <c r="B354" s="215"/>
      <c r="C354" s="759"/>
      <c r="D354" s="762"/>
      <c r="E354" s="393"/>
      <c r="F354" s="390"/>
      <c r="G354" s="400"/>
      <c r="H354" s="392">
        <f t="shared" si="94"/>
        <v>0</v>
      </c>
      <c r="I354" s="389"/>
      <c r="J354" s="390"/>
      <c r="K354" s="434"/>
      <c r="L354" s="484">
        <f t="shared" si="95"/>
        <v>0</v>
      </c>
      <c r="M354" s="432"/>
      <c r="N354" s="434"/>
      <c r="O354" s="434"/>
      <c r="P354" s="434"/>
      <c r="Q354" s="399">
        <f>база!$L$5</f>
        <v>231.45480000000001</v>
      </c>
      <c r="R354" s="390">
        <v>1.3</v>
      </c>
      <c r="S354" s="491">
        <f>SUMIFS(Таблица1[Столбец1],Таблица1[коэф],"1,3",Таблица1[р/р],"4/16",Таблица1[Ф. И. О.],B352)</f>
        <v>0</v>
      </c>
      <c r="T354" s="492">
        <f t="shared" si="96"/>
        <v>0</v>
      </c>
      <c r="U354" s="472">
        <f>база!$M$5</f>
        <v>247.41720000000001</v>
      </c>
      <c r="V354" s="390">
        <v>1.3</v>
      </c>
      <c r="W354" s="494">
        <f>SUMIFS(Таблица1[Столбец1],Таблица1[коэф],"1,3",Таблица1[р/р],"4/24",Таблица1[Ф. И. О.],B352)</f>
        <v>0</v>
      </c>
      <c r="X354" s="492">
        <f t="shared" si="97"/>
        <v>0</v>
      </c>
      <c r="Y354" s="764"/>
      <c r="Z354" s="766"/>
      <c r="AA354" s="756"/>
    </row>
    <row r="355" spans="1:29" ht="18.75">
      <c r="A355" s="756"/>
      <c r="B355" s="215"/>
      <c r="C355" s="759"/>
      <c r="D355" s="762"/>
      <c r="E355" s="393"/>
      <c r="F355" s="390"/>
      <c r="G355" s="400"/>
      <c r="H355" s="392">
        <f t="shared" si="94"/>
        <v>0</v>
      </c>
      <c r="I355" s="389"/>
      <c r="J355" s="390"/>
      <c r="K355" s="434"/>
      <c r="L355" s="484">
        <f t="shared" si="95"/>
        <v>0</v>
      </c>
      <c r="M355" s="432"/>
      <c r="N355" s="434"/>
      <c r="O355" s="434"/>
      <c r="P355" s="434"/>
      <c r="Q355" s="399">
        <f>IF(D347&lt;=3,база!$L$4,
IF(D347=4,база!$L$5,
IF(D347=5,база!$L$6)))</f>
        <v>210.57480000000001</v>
      </c>
      <c r="R355" s="390">
        <v>1.4</v>
      </c>
      <c r="S355" s="491">
        <f>SUMIFS(Таблица1[Столбец1],Таблица1[коэф],"1,4",Таблица1[р/р],"3/16",Таблица1[Ф. И. О.],B352)</f>
        <v>0</v>
      </c>
      <c r="T355" s="492">
        <f t="shared" si="96"/>
        <v>0</v>
      </c>
      <c r="U355" s="472">
        <f>IF(D347&lt;=3,база!$M$4,
IF(D347=4,база!$M$5,
IF(D347=5,база!$M$6)))</f>
        <v>225.09719999999999</v>
      </c>
      <c r="V355" s="390">
        <v>1.4</v>
      </c>
      <c r="W355" s="494">
        <f>SUMIFS(Таблица1[Столбец1],Таблица1[коэф],"1,4",Таблица1[р/р],"3/24",Таблица1[Ф. И. О.],B352)</f>
        <v>0</v>
      </c>
      <c r="X355" s="492">
        <f t="shared" si="97"/>
        <v>0</v>
      </c>
      <c r="Y355" s="764"/>
      <c r="Z355" s="766"/>
      <c r="AA355" s="756"/>
    </row>
    <row r="356" spans="1:29" ht="18.75">
      <c r="A356" s="756"/>
      <c r="B356" s="215"/>
      <c r="C356" s="759"/>
      <c r="D356" s="762"/>
      <c r="E356" s="393"/>
      <c r="F356" s="390"/>
      <c r="G356" s="400"/>
      <c r="H356" s="392">
        <f t="shared" si="94"/>
        <v>0</v>
      </c>
      <c r="I356" s="389"/>
      <c r="J356" s="390"/>
      <c r="K356" s="434"/>
      <c r="L356" s="395">
        <f t="shared" si="95"/>
        <v>0</v>
      </c>
      <c r="M356" s="432"/>
      <c r="N356" s="434"/>
      <c r="O356" s="434"/>
      <c r="P356" s="434"/>
      <c r="Q356" s="399">
        <f>база!$L$5</f>
        <v>231.45480000000001</v>
      </c>
      <c r="R356" s="390">
        <v>1.4</v>
      </c>
      <c r="S356" s="491">
        <f>SUMIFS(Таблица1[Столбец1],Таблица1[коэф],"1,4",Таблица1[р/р],"4/16",Таблица1[Ф. И. О.],B352)</f>
        <v>0</v>
      </c>
      <c r="T356" s="492">
        <f t="shared" si="96"/>
        <v>0</v>
      </c>
      <c r="U356" s="472">
        <f>база!$M$5</f>
        <v>247.41720000000001</v>
      </c>
      <c r="V356" s="390">
        <v>1.4</v>
      </c>
      <c r="W356" s="494">
        <f>SUMIFS(Таблица1[Столбец1],Таблица1[коэф],"1,4",Таблица1[р/р],"4/24",Таблица1[Ф. И. О.],B352)</f>
        <v>0</v>
      </c>
      <c r="X356" s="492">
        <f t="shared" si="97"/>
        <v>0</v>
      </c>
      <c r="Y356" s="764"/>
      <c r="Z356" s="766"/>
      <c r="AA356" s="756"/>
    </row>
    <row r="357" spans="1:29" ht="19.5" thickBot="1">
      <c r="A357" s="757"/>
      <c r="B357" s="202"/>
      <c r="C357" s="760"/>
      <c r="D357" s="763"/>
      <c r="E357" s="463"/>
      <c r="F357" s="464"/>
      <c r="G357" s="465"/>
      <c r="H357" s="468">
        <f t="shared" si="94"/>
        <v>0</v>
      </c>
      <c r="I357" s="473"/>
      <c r="J357" s="464"/>
      <c r="K357" s="457"/>
      <c r="L357" s="458">
        <f t="shared" si="95"/>
        <v>0</v>
      </c>
      <c r="M357" s="466"/>
      <c r="N357" s="457"/>
      <c r="O357" s="457"/>
      <c r="P357" s="457"/>
      <c r="Q357" s="467">
        <f>база!$L$6</f>
        <v>261.04640000000001</v>
      </c>
      <c r="R357" s="464">
        <v>1.4</v>
      </c>
      <c r="S357" s="512">
        <f>SUMIFS(Таблица1[Столбец1],Таблица1[коэф],"1,4",Таблица1[р/р],"5/16",Таблица1[Ф. И. О.],B352)</f>
        <v>0</v>
      </c>
      <c r="T357" s="513">
        <f t="shared" si="96"/>
        <v>0</v>
      </c>
      <c r="U357" s="474">
        <f>база!$M$6</f>
        <v>279.0496</v>
      </c>
      <c r="V357" s="464">
        <v>1.4</v>
      </c>
      <c r="W357" s="501">
        <f>SUMIFS(Таблица1[Столбец1],Таблица1[коэф],"1,4",Таблица1[р/р],"5/24",Таблица1[Ф. И. О.],B352)</f>
        <v>0</v>
      </c>
      <c r="X357" s="513">
        <f t="shared" si="97"/>
        <v>0</v>
      </c>
      <c r="Y357" s="765"/>
      <c r="Z357" s="767"/>
      <c r="AA357" s="757"/>
    </row>
    <row r="358" spans="1:29" ht="18.75" collapsed="1">
      <c r="A358" s="755">
        <v>33</v>
      </c>
      <c r="B358" s="235"/>
      <c r="C358" s="758">
        <f>INDEX(база!$E$2:$E$81, MATCH(B363,база!$B$2:$B$50,0))</f>
        <v>16919</v>
      </c>
      <c r="D358" s="761">
        <f>INDEX(база!$D$2:$D$89, MATCH(B363,база!$B$2:$B$50,0))</f>
        <v>3</v>
      </c>
      <c r="E358" s="451">
        <f>IF(D358&lt;=3,база!$I$4,
IF(D358=4,база!$I$5,
IF(D358=5,база!$I$6)))</f>
        <v>188.7912</v>
      </c>
      <c r="F358" s="417">
        <v>1</v>
      </c>
      <c r="G358" s="418">
        <f>SUMIFS(Таблица1[Столбец1],Таблица1[коэф],"1",Таблица1[р/р],"2/4",Таблица1[Ф. И. О.],B363)</f>
        <v>0</v>
      </c>
      <c r="H358" s="402">
        <f t="shared" si="94"/>
        <v>0</v>
      </c>
      <c r="I358" s="377">
        <f>IF(D358&lt;=3,база!$J$4,
IF(D358=4,база!$J$5,
IF(D358=5,база!$J$6)))</f>
        <v>196.05240000000001</v>
      </c>
      <c r="J358" s="378">
        <v>1</v>
      </c>
      <c r="K358" s="428">
        <f>SUMIFS(Таблица1[Столбец1],Таблица1[коэф],"1",Таблица1[р/р],"2/8",Таблица1[Ф. И. О.],B363)</f>
        <v>0</v>
      </c>
      <c r="L358" s="383">
        <f t="shared" si="95"/>
        <v>0</v>
      </c>
      <c r="M358" s="452"/>
      <c r="N358" s="453">
        <v>1</v>
      </c>
      <c r="O358" s="453">
        <f>SUMIFS(Data_Tech!$AM$3:$AM$67,Data_Tech!$E$3:$E$67,"1",Data_Tech!$G$3:$G$67,"3/12",Data_Tech!$F$3:$F$67,B363)</f>
        <v>0</v>
      </c>
      <c r="P358" s="453">
        <f>ROUND(M358*N358*O358,2)</f>
        <v>0</v>
      </c>
      <c r="Q358" s="416">
        <f>IF(D358&lt;=3,база!$L$4,
IF(D358=4,база!$L$5,
IF(D358=5,база!$L$6)))</f>
        <v>210.57480000000001</v>
      </c>
      <c r="R358" s="417">
        <v>1</v>
      </c>
      <c r="S358" s="495">
        <f>SUMIFS(Таблица1[Столбец1],Таблица1[коэф],"1",Таблица1[р/р],"3/16",Таблица1[Ф. И. О.],B363)</f>
        <v>0</v>
      </c>
      <c r="T358" s="490">
        <f t="shared" si="96"/>
        <v>0</v>
      </c>
      <c r="U358" s="471">
        <f>IF(D358&lt;=3,база!$M$4,
IF(D358=4,база!$M$5,
IF(D358=5,база!$M$6)))</f>
        <v>225.09719999999999</v>
      </c>
      <c r="V358" s="378">
        <v>1</v>
      </c>
      <c r="W358" s="497">
        <f>SUMIFS(Таблица1[Столбец1],Таблица1[коэф],"1",Таблица1[р/р],"3/24",Таблица1[Ф. И. О.],B363)</f>
        <v>0</v>
      </c>
      <c r="X358" s="490">
        <f t="shared" si="97"/>
        <v>0</v>
      </c>
      <c r="Y358" s="764">
        <f t="shared" ref="Y358" si="100">SUM(G358:G368,K358:K368,O358:O368,S358:S368,W358:W368)</f>
        <v>0</v>
      </c>
      <c r="Z358" s="766">
        <f t="shared" ref="Z358" si="101">IFERROR(SUM(H358:H368,L358:L368,T358:T368,X358:X368),"")</f>
        <v>0</v>
      </c>
      <c r="AA358" s="756"/>
    </row>
    <row r="359" spans="1:29" ht="18.75">
      <c r="A359" s="756"/>
      <c r="B359" s="215"/>
      <c r="C359" s="759"/>
      <c r="D359" s="762"/>
      <c r="E359" s="393">
        <f>IF(D358&lt;=3,база!$I$4,
IF(D358=4,база!$I$5,
IF(D358=5,база!$I$6)))</f>
        <v>188.7912</v>
      </c>
      <c r="F359" s="390">
        <v>1</v>
      </c>
      <c r="G359" s="400">
        <f>SUMIFS(Таблица1[Столбец1],Таблица1[коэф],"1",Таблица1[р/р],"3/4",Таблица1[Ф. И. О.],B363)</f>
        <v>0</v>
      </c>
      <c r="H359" s="392">
        <f t="shared" si="94"/>
        <v>0</v>
      </c>
      <c r="I359" s="389">
        <f>IF(D358&lt;=3,база!$J$4,
IF(D358=4,база!$J$5,
IF(D358=5,база!$J$6)))</f>
        <v>196.05240000000001</v>
      </c>
      <c r="J359" s="390">
        <v>1</v>
      </c>
      <c r="K359" s="434">
        <f>SUMIFS(Таблица1[Столбец1],Таблица1[коэф],"1",Таблица1[р/р],"3/8",Таблица1[Ф. И. О.],B363)</f>
        <v>0</v>
      </c>
      <c r="L359" s="484">
        <f t="shared" si="95"/>
        <v>0</v>
      </c>
      <c r="M359" s="432"/>
      <c r="N359" s="434">
        <v>1</v>
      </c>
      <c r="O359" s="434">
        <f>SUMIFS(Data_Tech!$AM$3:$AM$67,Data_Tech!$E$3:$E$67,"1",Data_Tech!$G$3:$G$67,"4/12",Data_Tech!$F$3:$F$67,B363)</f>
        <v>0</v>
      </c>
      <c r="P359" s="434">
        <f>ROUND(M359*O359,2)</f>
        <v>0</v>
      </c>
      <c r="Q359" s="399">
        <f>база!$L$5</f>
        <v>231.45480000000001</v>
      </c>
      <c r="R359" s="390">
        <v>1</v>
      </c>
      <c r="S359" s="491">
        <f>SUMIFS(Таблица1[Столбец1],Таблица1[коэф],"1",Таблица1[р/р],"4/16",Таблица1[Ф. И. О.],B363)</f>
        <v>0</v>
      </c>
      <c r="T359" s="492">
        <f t="shared" si="96"/>
        <v>0</v>
      </c>
      <c r="U359" s="472">
        <f>база!$M$5</f>
        <v>247.41720000000001</v>
      </c>
      <c r="V359" s="390">
        <v>1</v>
      </c>
      <c r="W359" s="494">
        <f>SUMIFS(Таблица1[Столбец1],Таблица1[коэф],"1",Таблица1[р/р],"4/24",Таблица1[Ф. И. О.],B363)</f>
        <v>0</v>
      </c>
      <c r="X359" s="492">
        <f t="shared" si="97"/>
        <v>0</v>
      </c>
      <c r="Y359" s="764"/>
      <c r="Z359" s="766"/>
      <c r="AA359" s="756"/>
    </row>
    <row r="360" spans="1:29" ht="18.75">
      <c r="A360" s="756"/>
      <c r="B360" s="215"/>
      <c r="C360" s="759"/>
      <c r="D360" s="762"/>
      <c r="E360" s="393"/>
      <c r="F360" s="390"/>
      <c r="G360" s="400"/>
      <c r="H360" s="392">
        <f t="shared" si="94"/>
        <v>0</v>
      </c>
      <c r="I360" s="389"/>
      <c r="J360" s="390"/>
      <c r="K360" s="434"/>
      <c r="L360" s="484">
        <f t="shared" si="95"/>
        <v>0</v>
      </c>
      <c r="M360" s="432"/>
      <c r="N360" s="434"/>
      <c r="O360" s="434"/>
      <c r="P360" s="434"/>
      <c r="Q360" s="399">
        <f>база!$L$6</f>
        <v>261.04640000000001</v>
      </c>
      <c r="R360" s="390">
        <v>1</v>
      </c>
      <c r="S360" s="491">
        <f>SUMIFS(Таблица1[Столбец1],Таблица1[коэф],"1",Таблица1[р/р],"5/16",Таблица1[Ф. И. О.],B363)</f>
        <v>0</v>
      </c>
      <c r="T360" s="492">
        <f t="shared" si="96"/>
        <v>0</v>
      </c>
      <c r="U360" s="472">
        <f>база!$M$6</f>
        <v>279.0496</v>
      </c>
      <c r="V360" s="390">
        <v>1</v>
      </c>
      <c r="W360" s="494">
        <f>SUMIFS(Таблица1[Столбец1],Таблица1[коэф],"1",Таблица1[р/р],"5/24",Таблица1[Ф. И. О.],B363)</f>
        <v>0</v>
      </c>
      <c r="X360" s="492">
        <f t="shared" si="97"/>
        <v>0</v>
      </c>
      <c r="Y360" s="764"/>
      <c r="Z360" s="766"/>
      <c r="AA360" s="756"/>
    </row>
    <row r="361" spans="1:29" ht="18.75">
      <c r="A361" s="756"/>
      <c r="B361" s="215"/>
      <c r="C361" s="759"/>
      <c r="D361" s="762"/>
      <c r="E361" s="393"/>
      <c r="F361" s="390"/>
      <c r="G361" s="400"/>
      <c r="H361" s="392">
        <f t="shared" si="94"/>
        <v>0</v>
      </c>
      <c r="I361" s="389">
        <f>база!$J$5</f>
        <v>215.4924</v>
      </c>
      <c r="J361" s="390">
        <v>1.5</v>
      </c>
      <c r="K361" s="434">
        <f>SUMIFS(Таблица1[Столбец1],Таблица1[коэф],"1,5",Таблица1[р/р],"4/8",Таблица1[Ф. И. О.],B363)</f>
        <v>0</v>
      </c>
      <c r="L361" s="484">
        <f t="shared" si="95"/>
        <v>0</v>
      </c>
      <c r="M361" s="432"/>
      <c r="N361" s="434"/>
      <c r="O361" s="434"/>
      <c r="P361" s="434"/>
      <c r="Q361" s="399">
        <f>IF(D358&lt;=3,база!$L$4,
IF(D358=4,база!$L$5,
IF(D358=5,база!$L$6)))</f>
        <v>210.57480000000001</v>
      </c>
      <c r="R361" s="390">
        <v>1.2</v>
      </c>
      <c r="S361" s="491">
        <f>SUMIFS(Таблица1[Столбец1],Таблица1[коэф],"1,2",Таблица1[р/р],"3/16",Таблица1[Ф. И. О.],B363)</f>
        <v>0</v>
      </c>
      <c r="T361" s="492">
        <f t="shared" si="96"/>
        <v>0</v>
      </c>
      <c r="U361" s="472">
        <f>IF(D358&lt;=3,база!$M$4,
IF(D358=4,база!$M$5,
IF(D358=5,база!$M$6)))</f>
        <v>225.09719999999999</v>
      </c>
      <c r="V361" s="390">
        <v>1.2</v>
      </c>
      <c r="W361" s="494">
        <f>SUMIFS(Таблица1[Столбец1],Таблица1[коэф],"1,2",Таблица1[р/р],"3/24",Таблица1[Ф. И. О.],B363)</f>
        <v>0</v>
      </c>
      <c r="X361" s="492">
        <f t="shared" si="97"/>
        <v>0</v>
      </c>
      <c r="Y361" s="764"/>
      <c r="Z361" s="766"/>
      <c r="AA361" s="756"/>
    </row>
    <row r="362" spans="1:29" ht="18.75">
      <c r="A362" s="756"/>
      <c r="B362" s="215"/>
      <c r="C362" s="759"/>
      <c r="D362" s="762"/>
      <c r="E362" s="393"/>
      <c r="F362" s="390"/>
      <c r="G362" s="400"/>
      <c r="H362" s="392">
        <f t="shared" si="94"/>
        <v>0</v>
      </c>
      <c r="I362" s="389">
        <f>база!$J$6</f>
        <v>243.04319999999998</v>
      </c>
      <c r="J362" s="390">
        <v>1.5</v>
      </c>
      <c r="K362" s="434">
        <f>SUMIFS(Таблица1[Столбец1],Таблица1[коэф],"1,5",Таблица1[р/р],"5/8",Таблица1[Ф. И. О.],B363)</f>
        <v>0</v>
      </c>
      <c r="L362" s="484">
        <f t="shared" si="95"/>
        <v>0</v>
      </c>
      <c r="M362" s="432"/>
      <c r="N362" s="434"/>
      <c r="O362" s="434"/>
      <c r="P362" s="434"/>
      <c r="Q362" s="399">
        <f>база!$L$5</f>
        <v>231.45480000000001</v>
      </c>
      <c r="R362" s="390">
        <v>1.2</v>
      </c>
      <c r="S362" s="491">
        <f>SUMIFS(Таблица1[Столбец1],Таблица1[коэф],"1,2",Таблица1[р/р],"4/16",Таблица1[Ф. И. О.],B363)</f>
        <v>0</v>
      </c>
      <c r="T362" s="492">
        <f t="shared" si="96"/>
        <v>0</v>
      </c>
      <c r="U362" s="472">
        <f>база!$M$5</f>
        <v>247.41720000000001</v>
      </c>
      <c r="V362" s="390">
        <v>1.2</v>
      </c>
      <c r="W362" s="494">
        <f>SUMIFS(Таблица1[Столбец1],Таблица1[коэф],"1,2",Таблица1[р/р],"4/24",Таблица1[Ф. И. О.],B363)</f>
        <v>0</v>
      </c>
      <c r="X362" s="492">
        <f t="shared" si="97"/>
        <v>0</v>
      </c>
      <c r="Y362" s="764"/>
      <c r="Z362" s="766"/>
      <c r="AA362" s="756"/>
    </row>
    <row r="363" spans="1:29" ht="18" customHeight="1">
      <c r="A363" s="756"/>
      <c r="B363" s="215" t="str">
        <f>база!B34</f>
        <v>Кабанова Анастасия Евгеньевна</v>
      </c>
      <c r="C363" s="759"/>
      <c r="D363" s="762"/>
      <c r="E363" s="393"/>
      <c r="F363" s="390"/>
      <c r="G363" s="400"/>
      <c r="H363" s="392">
        <f t="shared" si="94"/>
        <v>0</v>
      </c>
      <c r="I363" s="389"/>
      <c r="J363" s="390"/>
      <c r="K363" s="434"/>
      <c r="L363" s="484">
        <f t="shared" si="95"/>
        <v>0</v>
      </c>
      <c r="M363" s="432"/>
      <c r="N363" s="434"/>
      <c r="O363" s="434"/>
      <c r="P363" s="434"/>
      <c r="Q363" s="399">
        <f>база!$L$6</f>
        <v>261.04640000000001</v>
      </c>
      <c r="R363" s="390">
        <v>1.2</v>
      </c>
      <c r="S363" s="491">
        <f>SUMIFS(Таблица1[Столбец1],Таблица1[коэф],"1,2",Таблица1[р/р],"5/16",Таблица1[Ф. И. О.],B363)</f>
        <v>0</v>
      </c>
      <c r="T363" s="492">
        <f t="shared" si="96"/>
        <v>0</v>
      </c>
      <c r="U363" s="472">
        <f>база!$M$6</f>
        <v>279.0496</v>
      </c>
      <c r="V363" s="390">
        <v>1.2</v>
      </c>
      <c r="W363" s="494">
        <f>SUMIFS(Таблица1[Столбец1],Таблица1[коэф],"1,2",Таблица1[р/р],"5/24",Таблица1[Ф. И. О.],B363)</f>
        <v>0</v>
      </c>
      <c r="X363" s="492">
        <f t="shared" si="97"/>
        <v>0</v>
      </c>
      <c r="Y363" s="764"/>
      <c r="Z363" s="766"/>
      <c r="AA363" s="756"/>
      <c r="AC363" s="712" t="str">
        <f>IF(SUMIFS(Таблица1[Столбец3],Таблица1[Ф. И. О.],B363)-Z358=0,"",SUMIFS(Таблица1[Столбец3],Таблица1[Ф. И. О.],B363)-Z358)</f>
        <v/>
      </c>
    </row>
    <row r="364" spans="1:29" ht="18.75">
      <c r="A364" s="756"/>
      <c r="B364" s="215"/>
      <c r="C364" s="759"/>
      <c r="D364" s="762"/>
      <c r="E364" s="393"/>
      <c r="F364" s="390"/>
      <c r="G364" s="400"/>
      <c r="H364" s="392">
        <f t="shared" si="94"/>
        <v>0</v>
      </c>
      <c r="I364" s="389"/>
      <c r="J364" s="390"/>
      <c r="K364" s="434"/>
      <c r="L364" s="484">
        <f t="shared" si="95"/>
        <v>0</v>
      </c>
      <c r="M364" s="432"/>
      <c r="N364" s="434"/>
      <c r="O364" s="434"/>
      <c r="P364" s="434"/>
      <c r="Q364" s="399">
        <f>IF(D358&lt;=3,база!$L$4,
IF(D358=4,база!$L$5,
IF(D358=5,база!$L$6)))</f>
        <v>210.57480000000001</v>
      </c>
      <c r="R364" s="390">
        <v>1.3</v>
      </c>
      <c r="S364" s="491">
        <f>SUMIFS(Таблица1[Столбец1],Таблица1[коэф],"1,3",Таблица1[р/р],"3/16",Таблица1[Ф. И. О.],B363)</f>
        <v>0</v>
      </c>
      <c r="T364" s="492">
        <f t="shared" si="96"/>
        <v>0</v>
      </c>
      <c r="U364" s="472">
        <f>IF(D358&lt;=3,база!$M$4,
IF(D358=4,база!$M$5,
IF(D358=5,база!$M$6)))</f>
        <v>225.09719999999999</v>
      </c>
      <c r="V364" s="390">
        <v>1.3</v>
      </c>
      <c r="W364" s="494">
        <f>SUMIFS(Таблица1[Столбец1],Таблица1[коэф],"1,3",Таблица1[р/р],"3/24",Таблица1[Ф. И. О.],B363)</f>
        <v>0</v>
      </c>
      <c r="X364" s="492">
        <f t="shared" si="97"/>
        <v>0</v>
      </c>
      <c r="Y364" s="764"/>
      <c r="Z364" s="766"/>
      <c r="AA364" s="756"/>
      <c r="AC364" s="712" t="str">
        <f>IF(SUMIFS(Таблица1[Столбец1],Таблица1[Ф. И. О.],B363)=Y358,"",B363&amp;"  часы не верны")</f>
        <v/>
      </c>
    </row>
    <row r="365" spans="1:29" ht="18.75">
      <c r="A365" s="756"/>
      <c r="B365" s="215"/>
      <c r="C365" s="759"/>
      <c r="D365" s="762"/>
      <c r="E365" s="393"/>
      <c r="F365" s="390"/>
      <c r="G365" s="400"/>
      <c r="H365" s="392">
        <f t="shared" si="94"/>
        <v>0</v>
      </c>
      <c r="I365" s="389"/>
      <c r="J365" s="390"/>
      <c r="K365" s="434"/>
      <c r="L365" s="484">
        <f t="shared" si="95"/>
        <v>0</v>
      </c>
      <c r="M365" s="432"/>
      <c r="N365" s="434"/>
      <c r="O365" s="434"/>
      <c r="P365" s="434"/>
      <c r="Q365" s="399">
        <f>база!$L$5</f>
        <v>231.45480000000001</v>
      </c>
      <c r="R365" s="390">
        <v>1.3</v>
      </c>
      <c r="S365" s="491">
        <f>SUMIFS(Таблица1[Столбец1],Таблица1[коэф],"1,3",Таблица1[р/р],"4/16",Таблица1[Ф. И. О.],B363)</f>
        <v>0</v>
      </c>
      <c r="T365" s="492">
        <f t="shared" si="96"/>
        <v>0</v>
      </c>
      <c r="U365" s="472">
        <f>база!$M$5</f>
        <v>247.41720000000001</v>
      </c>
      <c r="V365" s="390">
        <v>1.3</v>
      </c>
      <c r="W365" s="494">
        <f>SUMIFS(Таблица1[Столбец1],Таблица1[коэф],"1,3",Таблица1[р/р],"4/24",Таблица1[Ф. И. О.],B363)</f>
        <v>0</v>
      </c>
      <c r="X365" s="492">
        <f t="shared" si="97"/>
        <v>0</v>
      </c>
      <c r="Y365" s="764"/>
      <c r="Z365" s="766"/>
      <c r="AA365" s="756"/>
    </row>
    <row r="366" spans="1:29" ht="18.75">
      <c r="A366" s="756"/>
      <c r="B366" s="215"/>
      <c r="C366" s="759"/>
      <c r="D366" s="762"/>
      <c r="E366" s="393"/>
      <c r="F366" s="390"/>
      <c r="G366" s="400"/>
      <c r="H366" s="392">
        <f t="shared" si="94"/>
        <v>0</v>
      </c>
      <c r="I366" s="389"/>
      <c r="J366" s="390"/>
      <c r="K366" s="434"/>
      <c r="L366" s="484">
        <f t="shared" si="95"/>
        <v>0</v>
      </c>
      <c r="M366" s="432"/>
      <c r="N366" s="434"/>
      <c r="O366" s="434"/>
      <c r="P366" s="434"/>
      <c r="Q366" s="399">
        <f>IF(D358&lt;=3,база!$L$4,
IF(D358=4,база!$L$5,
IF(D358=5,база!$L$6)))</f>
        <v>210.57480000000001</v>
      </c>
      <c r="R366" s="390">
        <v>1.4</v>
      </c>
      <c r="S366" s="491">
        <f>SUMIFS(Таблица1[Столбец1],Таблица1[коэф],"1,4",Таблица1[р/р],"3/16",Таблица1[Ф. И. О.],B363)</f>
        <v>0</v>
      </c>
      <c r="T366" s="492">
        <f t="shared" si="96"/>
        <v>0</v>
      </c>
      <c r="U366" s="472">
        <f>IF(D358&lt;=3,база!$M$4,
IF(D358=4,база!$M$5,
IF(D358=5,база!$M$6)))</f>
        <v>225.09719999999999</v>
      </c>
      <c r="V366" s="390">
        <v>1.4</v>
      </c>
      <c r="W366" s="494">
        <f>SUMIFS(Таблица1[Столбец1],Таблица1[коэф],"1,4",Таблица1[р/р],"3/24",Таблица1[Ф. И. О.],B363)</f>
        <v>0</v>
      </c>
      <c r="X366" s="492">
        <f t="shared" si="97"/>
        <v>0</v>
      </c>
      <c r="Y366" s="764"/>
      <c r="Z366" s="766"/>
      <c r="AA366" s="756"/>
    </row>
    <row r="367" spans="1:29" ht="18.75">
      <c r="A367" s="756"/>
      <c r="B367" s="215"/>
      <c r="C367" s="759"/>
      <c r="D367" s="762"/>
      <c r="E367" s="393"/>
      <c r="F367" s="390"/>
      <c r="G367" s="400"/>
      <c r="H367" s="392">
        <f t="shared" si="94"/>
        <v>0</v>
      </c>
      <c r="I367" s="389"/>
      <c r="J367" s="390"/>
      <c r="K367" s="434"/>
      <c r="L367" s="395">
        <f t="shared" si="95"/>
        <v>0</v>
      </c>
      <c r="M367" s="432"/>
      <c r="N367" s="434"/>
      <c r="O367" s="434"/>
      <c r="P367" s="434"/>
      <c r="Q367" s="399">
        <f>база!$L$5</f>
        <v>231.45480000000001</v>
      </c>
      <c r="R367" s="390">
        <v>1.4</v>
      </c>
      <c r="S367" s="491">
        <f>SUMIFS(Таблица1[Столбец1],Таблица1[коэф],"1,4",Таблица1[р/р],"4/16",Таблица1[Ф. И. О.],B363)</f>
        <v>0</v>
      </c>
      <c r="T367" s="492">
        <f t="shared" si="96"/>
        <v>0</v>
      </c>
      <c r="U367" s="472">
        <f>база!$M$5</f>
        <v>247.41720000000001</v>
      </c>
      <c r="V367" s="390">
        <v>1.4</v>
      </c>
      <c r="W367" s="494">
        <f>SUMIFS(Таблица1[Столбец1],Таблица1[коэф],"1,4",Таблица1[р/р],"4/24",Таблица1[Ф. И. О.],B363)</f>
        <v>0</v>
      </c>
      <c r="X367" s="492">
        <f t="shared" si="97"/>
        <v>0</v>
      </c>
      <c r="Y367" s="764"/>
      <c r="Z367" s="766"/>
      <c r="AA367" s="756"/>
    </row>
    <row r="368" spans="1:29" ht="19.5" thickBot="1">
      <c r="A368" s="757"/>
      <c r="B368" s="202"/>
      <c r="C368" s="760"/>
      <c r="D368" s="763"/>
      <c r="E368" s="463"/>
      <c r="F368" s="464"/>
      <c r="G368" s="465"/>
      <c r="H368" s="468">
        <f t="shared" si="94"/>
        <v>0</v>
      </c>
      <c r="I368" s="473"/>
      <c r="J368" s="464"/>
      <c r="K368" s="457"/>
      <c r="L368" s="458">
        <f t="shared" si="95"/>
        <v>0</v>
      </c>
      <c r="M368" s="466"/>
      <c r="N368" s="457"/>
      <c r="O368" s="457"/>
      <c r="P368" s="457"/>
      <c r="Q368" s="467">
        <f>база!$L$6</f>
        <v>261.04640000000001</v>
      </c>
      <c r="R368" s="464">
        <v>1.4</v>
      </c>
      <c r="S368" s="512">
        <f>SUMIFS(Таблица1[Столбец1],Таблица1[коэф],"1,4",Таблица1[р/р],"5/16",Таблица1[Ф. И. О.],B363)</f>
        <v>0</v>
      </c>
      <c r="T368" s="513">
        <f t="shared" si="96"/>
        <v>0</v>
      </c>
      <c r="U368" s="474">
        <f>база!$M$6</f>
        <v>279.0496</v>
      </c>
      <c r="V368" s="464">
        <v>1.4</v>
      </c>
      <c r="W368" s="501">
        <f>SUMIFS(Таблица1[Столбец1],Таблица1[коэф],"1,4",Таблица1[р/р],"5/24",Таблица1[Ф. И. О.],B363)</f>
        <v>0</v>
      </c>
      <c r="X368" s="513">
        <f t="shared" si="97"/>
        <v>0</v>
      </c>
      <c r="Y368" s="765"/>
      <c r="Z368" s="767"/>
      <c r="AA368" s="757"/>
    </row>
    <row r="369" spans="1:29" ht="18.75" collapsed="1">
      <c r="A369" s="755">
        <v>34</v>
      </c>
      <c r="B369" s="235"/>
      <c r="C369" s="758">
        <f>INDEX(база!$E$2:$E$81, MATCH(B374,база!$B$2:$B$50,0))</f>
        <v>17282</v>
      </c>
      <c r="D369" s="761">
        <f>INDEX(база!$D$2:$D$89, MATCH(B374,база!$B$2:$B$50,0))</f>
        <v>3</v>
      </c>
      <c r="E369" s="451">
        <f>IF(D369&lt;=3,база!$I$4,
IF(D369=4,база!$I$5,
IF(D369=5,база!$I$6)))</f>
        <v>188.7912</v>
      </c>
      <c r="F369" s="417">
        <v>1</v>
      </c>
      <c r="G369" s="418">
        <f>SUMIFS(Таблица1[Столбец1],Таблица1[коэф],"1",Таблица1[р/р],"2/4",Таблица1[Ф. И. О.],B374)</f>
        <v>0</v>
      </c>
      <c r="H369" s="402">
        <f t="shared" ref="H369:H401" si="102">ROUND(E369*F369*G369*2,2)</f>
        <v>0</v>
      </c>
      <c r="I369" s="377">
        <f>IF(D369&lt;=3,база!$J$4,
IF(D369=4,база!$J$5,
IF(D369=5,база!$J$6)))</f>
        <v>196.05240000000001</v>
      </c>
      <c r="J369" s="378">
        <v>1</v>
      </c>
      <c r="K369" s="428">
        <f>SUMIFS(Таблица1[Столбец1],Таблица1[коэф],"1",Таблица1[р/р],"2/8",Таблица1[Ф. И. О.],B374)</f>
        <v>0</v>
      </c>
      <c r="L369" s="383">
        <f t="shared" ref="L369:L401" si="103">ROUND(I369*J369*K369*2,2)</f>
        <v>0</v>
      </c>
      <c r="M369" s="452"/>
      <c r="N369" s="453">
        <v>1</v>
      </c>
      <c r="O369" s="453">
        <f>SUMIFS(Data_Tech!$AM$3:$AM$67,Data_Tech!$E$3:$E$67,"1",Data_Tech!$G$3:$G$67,"3/12",Data_Tech!$F$3:$F$67,B374)</f>
        <v>0</v>
      </c>
      <c r="P369" s="453">
        <f>ROUND(M369*N369*O369,2)</f>
        <v>0</v>
      </c>
      <c r="Q369" s="416">
        <f>IF(D369&lt;=3,база!$L$4,
IF(D369=4,база!$L$5,
IF(D369=5,база!$L$6)))</f>
        <v>210.57480000000001</v>
      </c>
      <c r="R369" s="417">
        <v>1</v>
      </c>
      <c r="S369" s="495">
        <f>SUMIFS(Таблица1[Столбец1],Таблица1[коэф],"1",Таблица1[р/р],"3/16",Таблица1[Ф. И. О.],B374)</f>
        <v>0</v>
      </c>
      <c r="T369" s="490">
        <f t="shared" ref="T369:T401" si="104">ROUND(Q369*R369*S369*2,2)</f>
        <v>0</v>
      </c>
      <c r="U369" s="471">
        <f>IF(D369&lt;=3,база!$M$4,
IF(D369=4,база!$M$5,
IF(D369=5,база!$M$6)))</f>
        <v>225.09719999999999</v>
      </c>
      <c r="V369" s="378">
        <v>1</v>
      </c>
      <c r="W369" s="497">
        <f>SUMIFS(Таблица1[Столбец1],Таблица1[коэф],"1",Таблица1[р/р],"3/24",Таблица1[Ф. И. О.],B374)</f>
        <v>0</v>
      </c>
      <c r="X369" s="490">
        <f t="shared" ref="X369:X401" si="105">ROUND(U369*V369*W369*2,2)</f>
        <v>0</v>
      </c>
      <c r="Y369" s="764">
        <f t="shared" ref="Y369" si="106">SUM(G369:G379,K369:K379,O369:O379,S369:S379,W369:W379)</f>
        <v>0</v>
      </c>
      <c r="Z369" s="766">
        <f t="shared" ref="Z369" si="107">IFERROR(SUM(H369:H379,L369:L379,T369:T379,X369:X379),"")</f>
        <v>0</v>
      </c>
      <c r="AA369" s="756"/>
    </row>
    <row r="370" spans="1:29" ht="18.75">
      <c r="A370" s="756"/>
      <c r="B370" s="215"/>
      <c r="C370" s="759"/>
      <c r="D370" s="762"/>
      <c r="E370" s="393">
        <f>IF(D369&lt;=3,база!$I$4,
IF(D369=4,база!$I$5,
IF(D369=5,база!$I$6)))</f>
        <v>188.7912</v>
      </c>
      <c r="F370" s="390">
        <v>1</v>
      </c>
      <c r="G370" s="400">
        <f>SUMIFS(Таблица1[Столбец1],Таблица1[коэф],"1",Таблица1[р/р],"3/4",Таблица1[Ф. И. О.],B374)</f>
        <v>0</v>
      </c>
      <c r="H370" s="392">
        <f t="shared" si="102"/>
        <v>0</v>
      </c>
      <c r="I370" s="389">
        <f>IF(D369&lt;=3,база!$J$4,
IF(D369=4,база!$J$5,
IF(D369=5,база!$J$6)))</f>
        <v>196.05240000000001</v>
      </c>
      <c r="J370" s="390">
        <v>1</v>
      </c>
      <c r="K370" s="434">
        <f>SUMIFS(Таблица1[Столбец1],Таблица1[коэф],"1",Таблица1[р/р],"3/8",Таблица1[Ф. И. О.],B374)</f>
        <v>0</v>
      </c>
      <c r="L370" s="484">
        <f t="shared" si="103"/>
        <v>0</v>
      </c>
      <c r="M370" s="432"/>
      <c r="N370" s="434">
        <v>1</v>
      </c>
      <c r="O370" s="434">
        <f>SUMIFS(Data_Tech!$AM$3:$AM$67,Data_Tech!$E$3:$E$67,"1",Data_Tech!$G$3:$G$67,"4/12",Data_Tech!$F$3:$F$67,B374)</f>
        <v>0</v>
      </c>
      <c r="P370" s="434">
        <f>ROUND(M370*O370,2)</f>
        <v>0</v>
      </c>
      <c r="Q370" s="399">
        <f>база!$L$5</f>
        <v>231.45480000000001</v>
      </c>
      <c r="R370" s="390">
        <v>1</v>
      </c>
      <c r="S370" s="491">
        <f>SUMIFS(Таблица1[Столбец1],Таблица1[коэф],"1",Таблица1[р/р],"4/16",Таблица1[Ф. И. О.],B374)</f>
        <v>0</v>
      </c>
      <c r="T370" s="492">
        <f t="shared" si="104"/>
        <v>0</v>
      </c>
      <c r="U370" s="472">
        <f>база!$M$5</f>
        <v>247.41720000000001</v>
      </c>
      <c r="V370" s="390">
        <v>1</v>
      </c>
      <c r="W370" s="494">
        <f>SUMIFS(Таблица1[Столбец1],Таблица1[коэф],"1",Таблица1[р/р],"4/24",Таблица1[Ф. И. О.],B374)</f>
        <v>0</v>
      </c>
      <c r="X370" s="492">
        <f t="shared" si="105"/>
        <v>0</v>
      </c>
      <c r="Y370" s="764"/>
      <c r="Z370" s="766"/>
      <c r="AA370" s="756"/>
    </row>
    <row r="371" spans="1:29" ht="18.75">
      <c r="A371" s="756"/>
      <c r="B371" s="215"/>
      <c r="C371" s="759"/>
      <c r="D371" s="762"/>
      <c r="E371" s="393"/>
      <c r="F371" s="390"/>
      <c r="G371" s="400"/>
      <c r="H371" s="392">
        <f t="shared" si="102"/>
        <v>0</v>
      </c>
      <c r="I371" s="389"/>
      <c r="J371" s="390"/>
      <c r="K371" s="434"/>
      <c r="L371" s="484">
        <f t="shared" si="103"/>
        <v>0</v>
      </c>
      <c r="M371" s="432"/>
      <c r="N371" s="434"/>
      <c r="O371" s="434"/>
      <c r="P371" s="434"/>
      <c r="Q371" s="399">
        <f>база!$L$6</f>
        <v>261.04640000000001</v>
      </c>
      <c r="R371" s="390">
        <v>1</v>
      </c>
      <c r="S371" s="491">
        <f>SUMIFS(Таблица1[Столбец1],Таблица1[коэф],"1",Таблица1[р/р],"5/16",Таблица1[Ф. И. О.],B374)</f>
        <v>0</v>
      </c>
      <c r="T371" s="492">
        <f t="shared" si="104"/>
        <v>0</v>
      </c>
      <c r="U371" s="472">
        <f>база!$M$6</f>
        <v>279.0496</v>
      </c>
      <c r="V371" s="390">
        <v>1</v>
      </c>
      <c r="W371" s="494">
        <f>SUMIFS(Таблица1[Столбец1],Таблица1[коэф],"1",Таблица1[р/р],"5/24",Таблица1[Ф. И. О.],B374)</f>
        <v>0</v>
      </c>
      <c r="X371" s="492">
        <f t="shared" si="105"/>
        <v>0</v>
      </c>
      <c r="Y371" s="764"/>
      <c r="Z371" s="766"/>
      <c r="AA371" s="756"/>
    </row>
    <row r="372" spans="1:29" ht="18.75">
      <c r="A372" s="756"/>
      <c r="B372" s="215"/>
      <c r="C372" s="759"/>
      <c r="D372" s="762"/>
      <c r="E372" s="393"/>
      <c r="F372" s="390"/>
      <c r="G372" s="400"/>
      <c r="H372" s="392">
        <f t="shared" si="102"/>
        <v>0</v>
      </c>
      <c r="I372" s="389">
        <f>база!$J$5</f>
        <v>215.4924</v>
      </c>
      <c r="J372" s="390">
        <v>1.5</v>
      </c>
      <c r="K372" s="434">
        <f>SUMIFS(Таблица1[Столбец1],Таблица1[коэф],"1,5",Таблица1[р/р],"4/8",Таблица1[Ф. И. О.],B374)</f>
        <v>0</v>
      </c>
      <c r="L372" s="484">
        <f t="shared" si="103"/>
        <v>0</v>
      </c>
      <c r="M372" s="432"/>
      <c r="N372" s="434"/>
      <c r="O372" s="434"/>
      <c r="P372" s="434"/>
      <c r="Q372" s="399">
        <f>IF(D369&lt;=3,база!$L$4,
IF(D369=4,база!$L$5,
IF(D369=5,база!$L$6)))</f>
        <v>210.57480000000001</v>
      </c>
      <c r="R372" s="390">
        <v>1.2</v>
      </c>
      <c r="S372" s="491">
        <f>SUMIFS(Таблица1[Столбец1],Таблица1[коэф],"1,2",Таблица1[р/р],"3/16",Таблица1[Ф. И. О.],B374)</f>
        <v>0</v>
      </c>
      <c r="T372" s="492">
        <f t="shared" si="104"/>
        <v>0</v>
      </c>
      <c r="U372" s="472">
        <f>IF(D369&lt;=3,база!$M$4,
IF(D369=4,база!$M$5,
IF(D369=5,база!$M$6)))</f>
        <v>225.09719999999999</v>
      </c>
      <c r="V372" s="390">
        <v>1.2</v>
      </c>
      <c r="W372" s="494">
        <f>SUMIFS(Таблица1[Столбец1],Таблица1[коэф],"1,2",Таблица1[р/р],"3/24",Таблица1[Ф. И. О.],B374)</f>
        <v>0</v>
      </c>
      <c r="X372" s="492">
        <f t="shared" si="105"/>
        <v>0</v>
      </c>
      <c r="Y372" s="764"/>
      <c r="Z372" s="766"/>
      <c r="AA372" s="756"/>
    </row>
    <row r="373" spans="1:29" ht="18.75">
      <c r="A373" s="756"/>
      <c r="B373" s="215"/>
      <c r="C373" s="759"/>
      <c r="D373" s="762"/>
      <c r="E373" s="393"/>
      <c r="F373" s="390"/>
      <c r="G373" s="400"/>
      <c r="H373" s="392">
        <f t="shared" si="102"/>
        <v>0</v>
      </c>
      <c r="I373" s="389">
        <f>база!$J$6</f>
        <v>243.04319999999998</v>
      </c>
      <c r="J373" s="390">
        <v>1.5</v>
      </c>
      <c r="K373" s="434">
        <f>SUMIFS(Таблица1[Столбец1],Таблица1[коэф],"1,5",Таблица1[р/р],"5/8",Таблица1[Ф. И. О.],B374)</f>
        <v>0</v>
      </c>
      <c r="L373" s="484">
        <f t="shared" si="103"/>
        <v>0</v>
      </c>
      <c r="M373" s="432"/>
      <c r="N373" s="434"/>
      <c r="O373" s="434"/>
      <c r="P373" s="434"/>
      <c r="Q373" s="399">
        <f>база!$L$5</f>
        <v>231.45480000000001</v>
      </c>
      <c r="R373" s="390">
        <v>1.2</v>
      </c>
      <c r="S373" s="491">
        <f>SUMIFS(Таблица1[Столбец1],Таблица1[коэф],"1,2",Таблица1[р/р],"4/16",Таблица1[Ф. И. О.],B374)</f>
        <v>0</v>
      </c>
      <c r="T373" s="492">
        <f t="shared" si="104"/>
        <v>0</v>
      </c>
      <c r="U373" s="472">
        <f>база!$M$5</f>
        <v>247.41720000000001</v>
      </c>
      <c r="V373" s="390">
        <v>1.2</v>
      </c>
      <c r="W373" s="494">
        <f>SUMIFS(Таблица1[Столбец1],Таблица1[коэф],"1,2",Таблица1[р/р],"4/24",Таблица1[Ф. И. О.],B374)</f>
        <v>0</v>
      </c>
      <c r="X373" s="492">
        <f t="shared" si="105"/>
        <v>0</v>
      </c>
      <c r="Y373" s="764"/>
      <c r="Z373" s="766"/>
      <c r="AA373" s="756"/>
    </row>
    <row r="374" spans="1:29" ht="18" customHeight="1">
      <c r="A374" s="756"/>
      <c r="B374" s="215" t="str">
        <f>база!B35</f>
        <v>Кириллова Надежда Вячеславовна</v>
      </c>
      <c r="C374" s="759"/>
      <c r="D374" s="762"/>
      <c r="E374" s="393"/>
      <c r="F374" s="390"/>
      <c r="G374" s="400"/>
      <c r="H374" s="392">
        <f t="shared" si="102"/>
        <v>0</v>
      </c>
      <c r="I374" s="389"/>
      <c r="J374" s="390"/>
      <c r="K374" s="434"/>
      <c r="L374" s="484">
        <f t="shared" si="103"/>
        <v>0</v>
      </c>
      <c r="M374" s="432"/>
      <c r="N374" s="434"/>
      <c r="O374" s="434"/>
      <c r="P374" s="434"/>
      <c r="Q374" s="399">
        <f>база!$L$6</f>
        <v>261.04640000000001</v>
      </c>
      <c r="R374" s="390">
        <v>1.2</v>
      </c>
      <c r="S374" s="491">
        <f>SUMIFS(Таблица1[Столбец1],Таблица1[коэф],"1,2",Таблица1[р/р],"5/16",Таблица1[Ф. И. О.],B374)</f>
        <v>0</v>
      </c>
      <c r="T374" s="492">
        <f t="shared" si="104"/>
        <v>0</v>
      </c>
      <c r="U374" s="472">
        <f>база!$M$6</f>
        <v>279.0496</v>
      </c>
      <c r="V374" s="390">
        <v>1.2</v>
      </c>
      <c r="W374" s="494">
        <f>SUMIFS(Таблица1[Столбец1],Таблица1[коэф],"1,2",Таблица1[р/р],"5/24",Таблица1[Ф. И. О.],B374)</f>
        <v>0</v>
      </c>
      <c r="X374" s="492">
        <f t="shared" si="105"/>
        <v>0</v>
      </c>
      <c r="Y374" s="764"/>
      <c r="Z374" s="766"/>
      <c r="AA374" s="756"/>
      <c r="AC374" s="712" t="str">
        <f>IF(SUMIFS(Таблица1[Столбец3],Таблица1[Ф. И. О.],B374)-Z369=0,"",SUMIFS(Таблица1[Столбец3],Таблица1[Ф. И. О.],B374)-Z369)</f>
        <v/>
      </c>
    </row>
    <row r="375" spans="1:29" ht="18.75">
      <c r="A375" s="756"/>
      <c r="B375" s="215"/>
      <c r="C375" s="759"/>
      <c r="D375" s="762"/>
      <c r="E375" s="393"/>
      <c r="F375" s="390"/>
      <c r="G375" s="400"/>
      <c r="H375" s="392">
        <f t="shared" si="102"/>
        <v>0</v>
      </c>
      <c r="I375" s="389"/>
      <c r="J375" s="390"/>
      <c r="K375" s="434"/>
      <c r="L375" s="484">
        <f t="shared" si="103"/>
        <v>0</v>
      </c>
      <c r="M375" s="432"/>
      <c r="N375" s="434"/>
      <c r="O375" s="434"/>
      <c r="P375" s="434"/>
      <c r="Q375" s="399">
        <f>IF(D369&lt;=3,база!$L$4,
IF(D369=4,база!$L$5,
IF(D369=5,база!$L$6)))</f>
        <v>210.57480000000001</v>
      </c>
      <c r="R375" s="390">
        <v>1.3</v>
      </c>
      <c r="S375" s="491">
        <f>SUMIFS(Таблица1[Столбец1],Таблица1[коэф],"1,3",Таблица1[р/р],"3/16",Таблица1[Ф. И. О.],B374)</f>
        <v>0</v>
      </c>
      <c r="T375" s="492">
        <f t="shared" si="104"/>
        <v>0</v>
      </c>
      <c r="U375" s="472">
        <f>IF(D369&lt;=3,база!$M$4,
IF(D369=4,база!$M$5,
IF(D369=5,база!$M$6)))</f>
        <v>225.09719999999999</v>
      </c>
      <c r="V375" s="390">
        <v>1.3</v>
      </c>
      <c r="W375" s="494">
        <f>SUMIFS(Таблица1[Столбец1],Таблица1[коэф],"1,3",Таблица1[р/р],"3/24",Таблица1[Ф. И. О.],B374)</f>
        <v>0</v>
      </c>
      <c r="X375" s="492">
        <f t="shared" si="105"/>
        <v>0</v>
      </c>
      <c r="Y375" s="764"/>
      <c r="Z375" s="766"/>
      <c r="AA375" s="756"/>
      <c r="AC375" s="712" t="str">
        <f>IF(SUMIFS(Таблица1[Столбец1],Таблица1[Ф. И. О.],B374)=Y369,"",B374&amp;"  часы не верны")</f>
        <v/>
      </c>
    </row>
    <row r="376" spans="1:29" ht="18.75">
      <c r="A376" s="756"/>
      <c r="B376" s="215"/>
      <c r="C376" s="759"/>
      <c r="D376" s="762"/>
      <c r="E376" s="393"/>
      <c r="F376" s="390"/>
      <c r="G376" s="400"/>
      <c r="H376" s="392">
        <f t="shared" si="102"/>
        <v>0</v>
      </c>
      <c r="I376" s="389"/>
      <c r="J376" s="390"/>
      <c r="K376" s="434"/>
      <c r="L376" s="484">
        <f t="shared" si="103"/>
        <v>0</v>
      </c>
      <c r="M376" s="432"/>
      <c r="N376" s="434"/>
      <c r="O376" s="434"/>
      <c r="P376" s="434"/>
      <c r="Q376" s="399">
        <f>база!$L$5</f>
        <v>231.45480000000001</v>
      </c>
      <c r="R376" s="390">
        <v>1.3</v>
      </c>
      <c r="S376" s="491">
        <f>SUMIFS(Таблица1[Столбец1],Таблица1[коэф],"1,3",Таблица1[р/р],"4/16",Таблица1[Ф. И. О.],B374)</f>
        <v>0</v>
      </c>
      <c r="T376" s="492">
        <f t="shared" si="104"/>
        <v>0</v>
      </c>
      <c r="U376" s="472">
        <f>база!$M$5</f>
        <v>247.41720000000001</v>
      </c>
      <c r="V376" s="390">
        <v>1.3</v>
      </c>
      <c r="W376" s="494">
        <f>SUMIFS(Таблица1[Столбец1],Таблица1[коэф],"1,3",Таблица1[р/р],"4/24",Таблица1[Ф. И. О.],B374)</f>
        <v>0</v>
      </c>
      <c r="X376" s="492">
        <f t="shared" si="105"/>
        <v>0</v>
      </c>
      <c r="Y376" s="764"/>
      <c r="Z376" s="766"/>
      <c r="AA376" s="756"/>
    </row>
    <row r="377" spans="1:29" ht="18.75">
      <c r="A377" s="756"/>
      <c r="B377" s="215"/>
      <c r="C377" s="759"/>
      <c r="D377" s="762"/>
      <c r="E377" s="393"/>
      <c r="F377" s="390"/>
      <c r="G377" s="400"/>
      <c r="H377" s="392">
        <f t="shared" si="102"/>
        <v>0</v>
      </c>
      <c r="I377" s="389"/>
      <c r="J377" s="390"/>
      <c r="K377" s="434"/>
      <c r="L377" s="484">
        <f t="shared" si="103"/>
        <v>0</v>
      </c>
      <c r="M377" s="432"/>
      <c r="N377" s="434"/>
      <c r="O377" s="434"/>
      <c r="P377" s="434"/>
      <c r="Q377" s="399">
        <f>IF(D369&lt;=3,база!$L$4,
IF(D369=4,база!$L$5,
IF(D369=5,база!$L$6)))</f>
        <v>210.57480000000001</v>
      </c>
      <c r="R377" s="390">
        <v>1.4</v>
      </c>
      <c r="S377" s="491">
        <f>SUMIFS(Таблица1[Столбец1],Таблица1[коэф],"1,4",Таблица1[р/р],"3/16",Таблица1[Ф. И. О.],B374)</f>
        <v>0</v>
      </c>
      <c r="T377" s="492">
        <f t="shared" si="104"/>
        <v>0</v>
      </c>
      <c r="U377" s="472">
        <f>IF(D369&lt;=3,база!$M$4,
IF(D369=4,база!$M$5,
IF(D369=5,база!$M$6)))</f>
        <v>225.09719999999999</v>
      </c>
      <c r="V377" s="390">
        <v>1.4</v>
      </c>
      <c r="W377" s="494">
        <f>SUMIFS(Таблица1[Столбец1],Таблица1[коэф],"1,4",Таблица1[р/р],"3/24",Таблица1[Ф. И. О.],B374)</f>
        <v>0</v>
      </c>
      <c r="X377" s="492">
        <f t="shared" si="105"/>
        <v>0</v>
      </c>
      <c r="Y377" s="764"/>
      <c r="Z377" s="766"/>
      <c r="AA377" s="756"/>
    </row>
    <row r="378" spans="1:29" ht="18.75">
      <c r="A378" s="756"/>
      <c r="B378" s="215"/>
      <c r="C378" s="759"/>
      <c r="D378" s="762"/>
      <c r="E378" s="393"/>
      <c r="F378" s="390"/>
      <c r="G378" s="400"/>
      <c r="H378" s="392">
        <f t="shared" si="102"/>
        <v>0</v>
      </c>
      <c r="I378" s="389"/>
      <c r="J378" s="390"/>
      <c r="K378" s="434"/>
      <c r="L378" s="395">
        <f t="shared" si="103"/>
        <v>0</v>
      </c>
      <c r="M378" s="432"/>
      <c r="N378" s="434"/>
      <c r="O378" s="434"/>
      <c r="P378" s="434"/>
      <c r="Q378" s="399">
        <f>база!$L$5</f>
        <v>231.45480000000001</v>
      </c>
      <c r="R378" s="390">
        <v>1.4</v>
      </c>
      <c r="S378" s="491">
        <f>SUMIFS(Таблица1[Столбец1],Таблица1[коэф],"1,4",Таблица1[р/р],"4/16",Таблица1[Ф. И. О.],B374)</f>
        <v>0</v>
      </c>
      <c r="T378" s="492">
        <f t="shared" si="104"/>
        <v>0</v>
      </c>
      <c r="U378" s="472">
        <f>база!$M$5</f>
        <v>247.41720000000001</v>
      </c>
      <c r="V378" s="390">
        <v>1.4</v>
      </c>
      <c r="W378" s="494">
        <f>SUMIFS(Таблица1[Столбец1],Таблица1[коэф],"1,4",Таблица1[р/р],"4/24",Таблица1[Ф. И. О.],B374)</f>
        <v>0</v>
      </c>
      <c r="X378" s="492">
        <f t="shared" si="105"/>
        <v>0</v>
      </c>
      <c r="Y378" s="764"/>
      <c r="Z378" s="766"/>
      <c r="AA378" s="756"/>
    </row>
    <row r="379" spans="1:29" ht="19.5" thickBot="1">
      <c r="A379" s="757"/>
      <c r="B379" s="202"/>
      <c r="C379" s="760"/>
      <c r="D379" s="763"/>
      <c r="E379" s="463"/>
      <c r="F379" s="464"/>
      <c r="G379" s="465"/>
      <c r="H379" s="468">
        <f t="shared" si="102"/>
        <v>0</v>
      </c>
      <c r="I379" s="473"/>
      <c r="J379" s="464"/>
      <c r="K379" s="457"/>
      <c r="L379" s="458">
        <f t="shared" si="103"/>
        <v>0</v>
      </c>
      <c r="M379" s="466"/>
      <c r="N379" s="457"/>
      <c r="O379" s="457"/>
      <c r="P379" s="457"/>
      <c r="Q379" s="467">
        <f>база!$L$6</f>
        <v>261.04640000000001</v>
      </c>
      <c r="R379" s="464">
        <v>1.4</v>
      </c>
      <c r="S379" s="512">
        <f>SUMIFS(Таблица1[Столбец1],Таблица1[коэф],"1,4",Таблица1[р/р],"5/16",Таблица1[Ф. И. О.],B374)</f>
        <v>0</v>
      </c>
      <c r="T379" s="513">
        <f t="shared" si="104"/>
        <v>0</v>
      </c>
      <c r="U379" s="474">
        <f>база!$M$6</f>
        <v>279.0496</v>
      </c>
      <c r="V379" s="464">
        <v>1.4</v>
      </c>
      <c r="W379" s="501">
        <f>SUMIFS(Таблица1[Столбец1],Таблица1[коэф],"1,4",Таблица1[р/р],"5/24",Таблица1[Ф. И. О.],B374)</f>
        <v>0</v>
      </c>
      <c r="X379" s="513">
        <f t="shared" si="105"/>
        <v>0</v>
      </c>
      <c r="Y379" s="765"/>
      <c r="Z379" s="767"/>
      <c r="AA379" s="757"/>
    </row>
    <row r="380" spans="1:29" ht="18.75" collapsed="1">
      <c r="A380" s="755">
        <v>35</v>
      </c>
      <c r="B380" s="235"/>
      <c r="C380" s="758">
        <f>INDEX(база!$E$2:$E$81, MATCH(B385,база!$B$2:$B$50,0))</f>
        <v>15575</v>
      </c>
      <c r="D380" s="761">
        <f>INDEX(база!$D$2:$D$89, MATCH(B385,база!$B$2:$B$50,0))</f>
        <v>3</v>
      </c>
      <c r="E380" s="451">
        <f>IF(D380&lt;=3,база!$I$4,
IF(D380=4,база!$I$5,
IF(D380=5,база!$I$6)))</f>
        <v>188.7912</v>
      </c>
      <c r="F380" s="417">
        <v>1</v>
      </c>
      <c r="G380" s="418">
        <f>SUMIFS(Таблица1[Столбец1],Таблица1[коэф],"1",Таблица1[р/р],"2/4",Таблица1[Ф. И. О.],B385)</f>
        <v>0</v>
      </c>
      <c r="H380" s="402">
        <f t="shared" si="102"/>
        <v>0</v>
      </c>
      <c r="I380" s="377">
        <f>IF(D380&lt;=3,база!$J$4,
IF(D380=4,база!$J$5,
IF(D380=5,база!$J$6)))</f>
        <v>196.05240000000001</v>
      </c>
      <c r="J380" s="378">
        <v>1</v>
      </c>
      <c r="K380" s="428">
        <f>SUMIFS(Таблица1[Столбец1],Таблица1[коэф],"1",Таблица1[р/р],"2/8",Таблица1[Ф. И. О.],B385)</f>
        <v>0</v>
      </c>
      <c r="L380" s="383">
        <f t="shared" si="103"/>
        <v>0</v>
      </c>
      <c r="M380" s="452"/>
      <c r="N380" s="453">
        <v>1</v>
      </c>
      <c r="O380" s="453">
        <f>SUMIFS(Data_Tech!$AM$3:$AM$67,Data_Tech!$E$3:$E$67,"1",Data_Tech!$G$3:$G$67,"3/12",Data_Tech!$F$3:$F$67,B385)</f>
        <v>0</v>
      </c>
      <c r="P380" s="453">
        <f>ROUND(M380*N380*O380,2)</f>
        <v>0</v>
      </c>
      <c r="Q380" s="416">
        <f>IF(D380&lt;=3,база!$L$4,
IF(D380=4,база!$L$5,
IF(D380=5,база!$L$6)))</f>
        <v>210.57480000000001</v>
      </c>
      <c r="R380" s="417">
        <v>1</v>
      </c>
      <c r="S380" s="495">
        <f>SUMIFS(Таблица1[Столбец1],Таблица1[коэф],"1",Таблица1[р/р],"3/16",Таблица1[Ф. И. О.],B385)</f>
        <v>0</v>
      </c>
      <c r="T380" s="490">
        <f t="shared" si="104"/>
        <v>0</v>
      </c>
      <c r="U380" s="471">
        <f>IF(D380&lt;=3,база!$M$4,
IF(D380=4,база!$M$5,
IF(D380=5,база!$M$6)))</f>
        <v>225.09719999999999</v>
      </c>
      <c r="V380" s="378">
        <v>1</v>
      </c>
      <c r="W380" s="497">
        <f>SUMIFS(Таблица1[Столбец1],Таблица1[коэф],"1",Таблица1[р/р],"3/24",Таблица1[Ф. И. О.],B385)</f>
        <v>0</v>
      </c>
      <c r="X380" s="490">
        <f t="shared" si="105"/>
        <v>0</v>
      </c>
      <c r="Y380" s="764">
        <f t="shared" ref="Y380" si="108">SUM(G380:G390,K380:K390,O380:O390,S380:S390,W380:W390)</f>
        <v>0</v>
      </c>
      <c r="Z380" s="766">
        <f t="shared" ref="Z380" si="109">IFERROR(SUM(H380:H390,L380:L390,T380:T390,X380:X390),"")</f>
        <v>0</v>
      </c>
      <c r="AA380" s="756"/>
    </row>
    <row r="381" spans="1:29" ht="18.75">
      <c r="A381" s="756"/>
      <c r="B381" s="215"/>
      <c r="C381" s="759"/>
      <c r="D381" s="762"/>
      <c r="E381" s="393">
        <f>IF(D380&lt;=3,база!$I$4,
IF(D380=4,база!$I$5,
IF(D380=5,база!$I$6)))</f>
        <v>188.7912</v>
      </c>
      <c r="F381" s="390">
        <v>1</v>
      </c>
      <c r="G381" s="400">
        <f>SUMIFS(Таблица1[Столбец1],Таблица1[коэф],"1",Таблица1[р/р],"3/4",Таблица1[Ф. И. О.],B385)</f>
        <v>0</v>
      </c>
      <c r="H381" s="392">
        <f t="shared" si="102"/>
        <v>0</v>
      </c>
      <c r="I381" s="389">
        <f>IF(D380&lt;=3,база!$J$4,
IF(D380=4,база!$J$5,
IF(D380=5,база!$J$6)))</f>
        <v>196.05240000000001</v>
      </c>
      <c r="J381" s="390">
        <v>1</v>
      </c>
      <c r="K381" s="434">
        <f>SUMIFS(Таблица1[Столбец1],Таблица1[коэф],"1",Таблица1[р/р],"3/8",Таблица1[Ф. И. О.],B385)</f>
        <v>0</v>
      </c>
      <c r="L381" s="484">
        <f t="shared" si="103"/>
        <v>0</v>
      </c>
      <c r="M381" s="432"/>
      <c r="N381" s="434">
        <v>1</v>
      </c>
      <c r="O381" s="434">
        <f>SUMIFS(Data_Tech!$AM$3:$AM$67,Data_Tech!$E$3:$E$67,"1",Data_Tech!$G$3:$G$67,"4/12",Data_Tech!$F$3:$F$67,B385)</f>
        <v>0</v>
      </c>
      <c r="P381" s="434">
        <f>ROUND(M381*O381,2)</f>
        <v>0</v>
      </c>
      <c r="Q381" s="399">
        <f>база!$L$5</f>
        <v>231.45480000000001</v>
      </c>
      <c r="R381" s="390">
        <v>1</v>
      </c>
      <c r="S381" s="491">
        <f>SUMIFS(Таблица1[Столбец1],Таблица1[коэф],"1",Таблица1[р/р],"4/16",Таблица1[Ф. И. О.],B385)</f>
        <v>0</v>
      </c>
      <c r="T381" s="492">
        <f t="shared" si="104"/>
        <v>0</v>
      </c>
      <c r="U381" s="472">
        <f>база!$M$5</f>
        <v>247.41720000000001</v>
      </c>
      <c r="V381" s="390">
        <v>1</v>
      </c>
      <c r="W381" s="494">
        <f>SUMIFS(Таблица1[Столбец1],Таблица1[коэф],"1",Таблица1[р/р],"4/24",Таблица1[Ф. И. О.],B385)</f>
        <v>0</v>
      </c>
      <c r="X381" s="492">
        <f t="shared" si="105"/>
        <v>0</v>
      </c>
      <c r="Y381" s="764"/>
      <c r="Z381" s="766"/>
      <c r="AA381" s="756"/>
    </row>
    <row r="382" spans="1:29" ht="18.75">
      <c r="A382" s="756"/>
      <c r="B382" s="215"/>
      <c r="C382" s="759"/>
      <c r="D382" s="762"/>
      <c r="E382" s="393"/>
      <c r="F382" s="390"/>
      <c r="G382" s="400"/>
      <c r="H382" s="392">
        <f t="shared" si="102"/>
        <v>0</v>
      </c>
      <c r="I382" s="389"/>
      <c r="J382" s="390"/>
      <c r="K382" s="434"/>
      <c r="L382" s="484">
        <f t="shared" si="103"/>
        <v>0</v>
      </c>
      <c r="M382" s="432"/>
      <c r="N382" s="434"/>
      <c r="O382" s="434"/>
      <c r="P382" s="434"/>
      <c r="Q382" s="399">
        <f>база!$L$6</f>
        <v>261.04640000000001</v>
      </c>
      <c r="R382" s="390">
        <v>1</v>
      </c>
      <c r="S382" s="491">
        <f>SUMIFS(Таблица1[Столбец1],Таблица1[коэф],"1",Таблица1[р/р],"5/16",Таблица1[Ф. И. О.],B385)</f>
        <v>0</v>
      </c>
      <c r="T382" s="492">
        <f t="shared" si="104"/>
        <v>0</v>
      </c>
      <c r="U382" s="472">
        <f>база!$M$6</f>
        <v>279.0496</v>
      </c>
      <c r="V382" s="390">
        <v>1</v>
      </c>
      <c r="W382" s="494">
        <f>SUMIFS(Таблица1[Столбец1],Таблица1[коэф],"1",Таблица1[р/р],"5/24",Таблица1[Ф. И. О.],B385)</f>
        <v>0</v>
      </c>
      <c r="X382" s="492">
        <f t="shared" si="105"/>
        <v>0</v>
      </c>
      <c r="Y382" s="764"/>
      <c r="Z382" s="766"/>
      <c r="AA382" s="756"/>
    </row>
    <row r="383" spans="1:29" ht="18.75">
      <c r="A383" s="756"/>
      <c r="B383" s="215"/>
      <c r="C383" s="759"/>
      <c r="D383" s="762"/>
      <c r="E383" s="393"/>
      <c r="F383" s="390"/>
      <c r="G383" s="400"/>
      <c r="H383" s="392">
        <f t="shared" si="102"/>
        <v>0</v>
      </c>
      <c r="I383" s="389">
        <f>база!$J$5</f>
        <v>215.4924</v>
      </c>
      <c r="J383" s="390">
        <v>1.5</v>
      </c>
      <c r="K383" s="434">
        <f>SUMIFS(Таблица1[Столбец1],Таблица1[коэф],"1,5",Таблица1[р/р],"4/8",Таблица1[Ф. И. О.],B385)</f>
        <v>0</v>
      </c>
      <c r="L383" s="484">
        <f t="shared" si="103"/>
        <v>0</v>
      </c>
      <c r="M383" s="432"/>
      <c r="N383" s="434"/>
      <c r="O383" s="434"/>
      <c r="P383" s="434"/>
      <c r="Q383" s="399">
        <f>IF(D380&lt;=3,база!$L$4,
IF(D380=4,база!$L$5,
IF(D380=5,база!$L$6)))</f>
        <v>210.57480000000001</v>
      </c>
      <c r="R383" s="390">
        <v>1.2</v>
      </c>
      <c r="S383" s="491">
        <f>SUMIFS(Таблица1[Столбец1],Таблица1[коэф],"1,2",Таблица1[р/р],"3/16",Таблица1[Ф. И. О.],B385)</f>
        <v>0</v>
      </c>
      <c r="T383" s="492">
        <f t="shared" si="104"/>
        <v>0</v>
      </c>
      <c r="U383" s="472">
        <f>IF(D380&lt;=3,база!$M$4,
IF(D380=4,база!$M$5,
IF(D380=5,база!$M$6)))</f>
        <v>225.09719999999999</v>
      </c>
      <c r="V383" s="390">
        <v>1.2</v>
      </c>
      <c r="W383" s="494">
        <f>SUMIFS(Таблица1[Столбец1],Таблица1[коэф],"1,2",Таблица1[р/р],"3/24",Таблица1[Ф. И. О.],B385)</f>
        <v>0</v>
      </c>
      <c r="X383" s="492">
        <f t="shared" si="105"/>
        <v>0</v>
      </c>
      <c r="Y383" s="764"/>
      <c r="Z383" s="766"/>
      <c r="AA383" s="756"/>
    </row>
    <row r="384" spans="1:29" ht="18.75">
      <c r="A384" s="756"/>
      <c r="B384" s="215"/>
      <c r="C384" s="759"/>
      <c r="D384" s="762"/>
      <c r="E384" s="393"/>
      <c r="F384" s="390"/>
      <c r="G384" s="400"/>
      <c r="H384" s="392">
        <f t="shared" si="102"/>
        <v>0</v>
      </c>
      <c r="I384" s="389">
        <f>база!$J$6</f>
        <v>243.04319999999998</v>
      </c>
      <c r="J384" s="390">
        <v>1.5</v>
      </c>
      <c r="K384" s="434">
        <f>SUMIFS(Таблица1[Столбец1],Таблица1[коэф],"1,5",Таблица1[р/р],"5/8",Таблица1[Ф. И. О.],B385)</f>
        <v>0</v>
      </c>
      <c r="L384" s="484">
        <f t="shared" si="103"/>
        <v>0</v>
      </c>
      <c r="M384" s="432"/>
      <c r="N384" s="434"/>
      <c r="O384" s="434"/>
      <c r="P384" s="434"/>
      <c r="Q384" s="399">
        <f>база!$L$5</f>
        <v>231.45480000000001</v>
      </c>
      <c r="R384" s="390">
        <v>1.2</v>
      </c>
      <c r="S384" s="491">
        <f>SUMIFS(Таблица1[Столбец1],Таблица1[коэф],"1,2",Таблица1[р/р],"4/16",Таблица1[Ф. И. О.],B385)</f>
        <v>0</v>
      </c>
      <c r="T384" s="492">
        <f t="shared" si="104"/>
        <v>0</v>
      </c>
      <c r="U384" s="472">
        <f>база!$M$5</f>
        <v>247.41720000000001</v>
      </c>
      <c r="V384" s="390">
        <v>1.2</v>
      </c>
      <c r="W384" s="494">
        <f>SUMIFS(Таблица1[Столбец1],Таблица1[коэф],"1,2",Таблица1[р/р],"4/24",Таблица1[Ф. И. О.],B385)</f>
        <v>0</v>
      </c>
      <c r="X384" s="492">
        <f t="shared" si="105"/>
        <v>0</v>
      </c>
      <c r="Y384" s="764"/>
      <c r="Z384" s="766"/>
      <c r="AA384" s="756"/>
    </row>
    <row r="385" spans="1:29" ht="18" customHeight="1">
      <c r="A385" s="756"/>
      <c r="B385" s="215" t="str">
        <f>база!B36</f>
        <v>Киселёва Надежда Игоревна</v>
      </c>
      <c r="C385" s="759"/>
      <c r="D385" s="762"/>
      <c r="E385" s="393"/>
      <c r="F385" s="390"/>
      <c r="G385" s="400"/>
      <c r="H385" s="392">
        <f t="shared" si="102"/>
        <v>0</v>
      </c>
      <c r="I385" s="389"/>
      <c r="J385" s="390"/>
      <c r="K385" s="434"/>
      <c r="L385" s="484">
        <f t="shared" si="103"/>
        <v>0</v>
      </c>
      <c r="M385" s="432"/>
      <c r="N385" s="434"/>
      <c r="O385" s="434"/>
      <c r="P385" s="434"/>
      <c r="Q385" s="399">
        <f>база!$L$6</f>
        <v>261.04640000000001</v>
      </c>
      <c r="R385" s="390">
        <v>1.2</v>
      </c>
      <c r="S385" s="491">
        <f>SUMIFS(Таблица1[Столбец1],Таблица1[коэф],"1,2",Таблица1[р/р],"5/16",Таблица1[Ф. И. О.],B385)</f>
        <v>0</v>
      </c>
      <c r="T385" s="492">
        <f t="shared" si="104"/>
        <v>0</v>
      </c>
      <c r="U385" s="472">
        <f>база!$M$6</f>
        <v>279.0496</v>
      </c>
      <c r="V385" s="390">
        <v>1.2</v>
      </c>
      <c r="W385" s="494">
        <f>SUMIFS(Таблица1[Столбец1],Таблица1[коэф],"1,2",Таблица1[р/р],"5/24",Таблица1[Ф. И. О.],B385)</f>
        <v>0</v>
      </c>
      <c r="X385" s="492">
        <f t="shared" si="105"/>
        <v>0</v>
      </c>
      <c r="Y385" s="764"/>
      <c r="Z385" s="766"/>
      <c r="AA385" s="756"/>
      <c r="AC385" s="712" t="str">
        <f>IF(SUMIFS(Таблица1[Столбец3],Таблица1[Ф. И. О.],B385)-Z380=0,"",SUMIFS(Таблица1[Столбец3],Таблица1[Ф. И. О.],B385)-Z380)</f>
        <v/>
      </c>
    </row>
    <row r="386" spans="1:29" ht="18.75">
      <c r="A386" s="756"/>
      <c r="B386" s="215"/>
      <c r="C386" s="759"/>
      <c r="D386" s="762"/>
      <c r="E386" s="393"/>
      <c r="F386" s="390"/>
      <c r="G386" s="400"/>
      <c r="H386" s="392">
        <f t="shared" si="102"/>
        <v>0</v>
      </c>
      <c r="I386" s="389"/>
      <c r="J386" s="390"/>
      <c r="K386" s="434"/>
      <c r="L386" s="484">
        <f t="shared" si="103"/>
        <v>0</v>
      </c>
      <c r="M386" s="432"/>
      <c r="N386" s="434"/>
      <c r="O386" s="434"/>
      <c r="P386" s="434"/>
      <c r="Q386" s="399">
        <f>IF(D380&lt;=3,база!$L$4,
IF(D380=4,база!$L$5,
IF(D380=5,база!$L$6)))</f>
        <v>210.57480000000001</v>
      </c>
      <c r="R386" s="390">
        <v>1.3</v>
      </c>
      <c r="S386" s="491">
        <f>SUMIFS(Таблица1[Столбец1],Таблица1[коэф],"1,3",Таблица1[р/р],"3/16",Таблица1[Ф. И. О.],B385)</f>
        <v>0</v>
      </c>
      <c r="T386" s="492">
        <f t="shared" si="104"/>
        <v>0</v>
      </c>
      <c r="U386" s="472">
        <f>IF(D380&lt;=3,база!$M$4,
IF(D380=4,база!$M$5,
IF(D380=5,база!$M$6)))</f>
        <v>225.09719999999999</v>
      </c>
      <c r="V386" s="390">
        <v>1.3</v>
      </c>
      <c r="W386" s="494">
        <f>SUMIFS(Таблица1[Столбец1],Таблица1[коэф],"1,3",Таблица1[р/р],"3/24",Таблица1[Ф. И. О.],B385)</f>
        <v>0</v>
      </c>
      <c r="X386" s="492">
        <f t="shared" si="105"/>
        <v>0</v>
      </c>
      <c r="Y386" s="764"/>
      <c r="Z386" s="766"/>
      <c r="AA386" s="756"/>
      <c r="AC386" s="712" t="str">
        <f>IF(SUMIFS(Таблица1[Столбец1],Таблица1[Ф. И. О.],B385)=Y380,"",B385&amp;"  часы не верны")</f>
        <v/>
      </c>
    </row>
    <row r="387" spans="1:29" ht="18.75">
      <c r="A387" s="756"/>
      <c r="B387" s="215"/>
      <c r="C387" s="759"/>
      <c r="D387" s="762"/>
      <c r="E387" s="393"/>
      <c r="F387" s="390"/>
      <c r="G387" s="400"/>
      <c r="H387" s="392">
        <f t="shared" si="102"/>
        <v>0</v>
      </c>
      <c r="I387" s="389"/>
      <c r="J387" s="390"/>
      <c r="K387" s="434"/>
      <c r="L387" s="484">
        <f t="shared" si="103"/>
        <v>0</v>
      </c>
      <c r="M387" s="432"/>
      <c r="N387" s="434"/>
      <c r="O387" s="434"/>
      <c r="P387" s="434"/>
      <c r="Q387" s="399">
        <f>база!$L$5</f>
        <v>231.45480000000001</v>
      </c>
      <c r="R387" s="390">
        <v>1.3</v>
      </c>
      <c r="S387" s="491">
        <f>SUMIFS(Таблица1[Столбец1],Таблица1[коэф],"1,3",Таблица1[р/р],"4/16",Таблица1[Ф. И. О.],B385)</f>
        <v>0</v>
      </c>
      <c r="T387" s="492">
        <f t="shared" si="104"/>
        <v>0</v>
      </c>
      <c r="U387" s="472">
        <f>база!$M$5</f>
        <v>247.41720000000001</v>
      </c>
      <c r="V387" s="390">
        <v>1.3</v>
      </c>
      <c r="W387" s="494">
        <f>SUMIFS(Таблица1[Столбец1],Таблица1[коэф],"1,3",Таблица1[р/р],"4/24",Таблица1[Ф. И. О.],B385)</f>
        <v>0</v>
      </c>
      <c r="X387" s="492">
        <f t="shared" si="105"/>
        <v>0</v>
      </c>
      <c r="Y387" s="764"/>
      <c r="Z387" s="766"/>
      <c r="AA387" s="756"/>
    </row>
    <row r="388" spans="1:29" ht="18.75">
      <c r="A388" s="756"/>
      <c r="B388" s="215"/>
      <c r="C388" s="759"/>
      <c r="D388" s="762"/>
      <c r="E388" s="393"/>
      <c r="F388" s="390"/>
      <c r="G388" s="400"/>
      <c r="H388" s="392">
        <f t="shared" si="102"/>
        <v>0</v>
      </c>
      <c r="I388" s="389"/>
      <c r="J388" s="390"/>
      <c r="K388" s="434"/>
      <c r="L388" s="484">
        <f t="shared" si="103"/>
        <v>0</v>
      </c>
      <c r="M388" s="432"/>
      <c r="N388" s="434"/>
      <c r="O388" s="434"/>
      <c r="P388" s="434"/>
      <c r="Q388" s="399">
        <f>IF(D380&lt;=3,база!$L$4,
IF(D380=4,база!$L$5,
IF(D380=5,база!$L$6)))</f>
        <v>210.57480000000001</v>
      </c>
      <c r="R388" s="390">
        <v>1.4</v>
      </c>
      <c r="S388" s="491">
        <f>SUMIFS(Таблица1[Столбец1],Таблица1[коэф],"1,4",Таблица1[р/р],"3/16",Таблица1[Ф. И. О.],B385)</f>
        <v>0</v>
      </c>
      <c r="T388" s="492">
        <f t="shared" si="104"/>
        <v>0</v>
      </c>
      <c r="U388" s="472">
        <f>IF(D380&lt;=3,база!$M$4,
IF(D380=4,база!$M$5,
IF(D380=5,база!$M$6)))</f>
        <v>225.09719999999999</v>
      </c>
      <c r="V388" s="390">
        <v>1.4</v>
      </c>
      <c r="W388" s="494">
        <f>SUMIFS(Таблица1[Столбец1],Таблица1[коэф],"1,4",Таблица1[р/р],"3/24",Таблица1[Ф. И. О.],B385)</f>
        <v>0</v>
      </c>
      <c r="X388" s="492">
        <f t="shared" si="105"/>
        <v>0</v>
      </c>
      <c r="Y388" s="764"/>
      <c r="Z388" s="766"/>
      <c r="AA388" s="756"/>
    </row>
    <row r="389" spans="1:29" ht="18.75">
      <c r="A389" s="756"/>
      <c r="B389" s="215"/>
      <c r="C389" s="759"/>
      <c r="D389" s="762"/>
      <c r="E389" s="393"/>
      <c r="F389" s="390"/>
      <c r="G389" s="400"/>
      <c r="H389" s="392">
        <f t="shared" si="102"/>
        <v>0</v>
      </c>
      <c r="I389" s="389"/>
      <c r="J389" s="390"/>
      <c r="K389" s="434"/>
      <c r="L389" s="395">
        <f t="shared" si="103"/>
        <v>0</v>
      </c>
      <c r="M389" s="432"/>
      <c r="N389" s="434"/>
      <c r="O389" s="434"/>
      <c r="P389" s="434"/>
      <c r="Q389" s="399">
        <f>база!$L$5</f>
        <v>231.45480000000001</v>
      </c>
      <c r="R389" s="390">
        <v>1.4</v>
      </c>
      <c r="S389" s="491">
        <f>SUMIFS(Таблица1[Столбец1],Таблица1[коэф],"1,4",Таблица1[р/р],"4/16",Таблица1[Ф. И. О.],B385)</f>
        <v>0</v>
      </c>
      <c r="T389" s="492">
        <f t="shared" si="104"/>
        <v>0</v>
      </c>
      <c r="U389" s="472">
        <f>база!$M$5</f>
        <v>247.41720000000001</v>
      </c>
      <c r="V389" s="390">
        <v>1.4</v>
      </c>
      <c r="W389" s="494">
        <f>SUMIFS(Таблица1[Столбец1],Таблица1[коэф],"1,4",Таблица1[р/р],"4/24",Таблица1[Ф. И. О.],B385)</f>
        <v>0</v>
      </c>
      <c r="X389" s="492">
        <f t="shared" si="105"/>
        <v>0</v>
      </c>
      <c r="Y389" s="764"/>
      <c r="Z389" s="766"/>
      <c r="AA389" s="756"/>
    </row>
    <row r="390" spans="1:29" ht="19.5" thickBot="1">
      <c r="A390" s="757"/>
      <c r="B390" s="202"/>
      <c r="C390" s="760"/>
      <c r="D390" s="763"/>
      <c r="E390" s="463"/>
      <c r="F390" s="464"/>
      <c r="G390" s="465"/>
      <c r="H390" s="468">
        <f t="shared" si="102"/>
        <v>0</v>
      </c>
      <c r="I390" s="473"/>
      <c r="J390" s="464"/>
      <c r="K390" s="457"/>
      <c r="L390" s="458">
        <f t="shared" si="103"/>
        <v>0</v>
      </c>
      <c r="M390" s="466"/>
      <c r="N390" s="457"/>
      <c r="O390" s="457"/>
      <c r="P390" s="457"/>
      <c r="Q390" s="467">
        <f>база!$L$6</f>
        <v>261.04640000000001</v>
      </c>
      <c r="R390" s="464">
        <v>1.4</v>
      </c>
      <c r="S390" s="512">
        <f>SUMIFS(Таблица1[Столбец1],Таблица1[коэф],"1,4",Таблица1[р/р],"5/16",Таблица1[Ф. И. О.],B385)</f>
        <v>0</v>
      </c>
      <c r="T390" s="513">
        <f t="shared" si="104"/>
        <v>0</v>
      </c>
      <c r="U390" s="474">
        <f>база!$M$6</f>
        <v>279.0496</v>
      </c>
      <c r="V390" s="464">
        <v>1.4</v>
      </c>
      <c r="W390" s="501">
        <f>SUMIFS(Таблица1[Столбец1],Таблица1[коэф],"1,4",Таблица1[р/р],"5/24",Таблица1[Ф. И. О.],B385)</f>
        <v>0</v>
      </c>
      <c r="X390" s="513">
        <f t="shared" si="105"/>
        <v>0</v>
      </c>
      <c r="Y390" s="765"/>
      <c r="Z390" s="767"/>
      <c r="AA390" s="757"/>
    </row>
    <row r="391" spans="1:29" ht="17.25" customHeight="1" collapsed="1">
      <c r="A391" s="755">
        <v>36</v>
      </c>
      <c r="B391" s="235"/>
      <c r="C391" s="758">
        <f>INDEX(база!$E$2:$E$81, MATCH(B396,база!$B$2:$B$50,0))</f>
        <v>17188</v>
      </c>
      <c r="D391" s="761">
        <f>INDEX(база!$D$2:$D$89, MATCH(B396,база!$B$2:$B$50,0))</f>
        <v>3</v>
      </c>
      <c r="E391" s="451">
        <f>IF(D391&lt;=3,база!$I$4,
IF(D391=4,база!$I$5,
IF(D391=5,база!$I$6)))</f>
        <v>188.7912</v>
      </c>
      <c r="F391" s="417">
        <v>1</v>
      </c>
      <c r="G391" s="418">
        <f>SUMIFS(Таблица1[Столбец1],Таблица1[коэф],"1",Таблица1[р/р],"2/4",Таблица1[Ф. И. О.],B396)</f>
        <v>0</v>
      </c>
      <c r="H391" s="402">
        <f t="shared" si="102"/>
        <v>0</v>
      </c>
      <c r="I391" s="377">
        <f>IF(D391&lt;=3,база!$J$4,
IF(D391=4,база!$J$5,
IF(D391=5,база!$J$6)))</f>
        <v>196.05240000000001</v>
      </c>
      <c r="J391" s="378">
        <v>1</v>
      </c>
      <c r="K391" s="428">
        <f>SUMIFS(Таблица1[Столбец1],Таблица1[коэф],"1",Таблица1[р/р],"2/8",Таблица1[Ф. И. О.],B396)</f>
        <v>0</v>
      </c>
      <c r="L391" s="383">
        <f t="shared" si="103"/>
        <v>0</v>
      </c>
      <c r="M391" s="452"/>
      <c r="N391" s="453">
        <v>1</v>
      </c>
      <c r="O391" s="453">
        <f>SUMIFS(Data_Tech!$AM$3:$AM$67,Data_Tech!$E$3:$E$67,"1",Data_Tech!$G$3:$G$67,"3/12",Data_Tech!$F$3:$F$67,B396)</f>
        <v>0</v>
      </c>
      <c r="P391" s="453">
        <f>ROUND(M391*N391*O391,2)</f>
        <v>0</v>
      </c>
      <c r="Q391" s="416">
        <f>IF(D391&lt;=3,база!$L$4,
IF(D391=4,база!$L$5,
IF(D391=5,база!$L$6)))</f>
        <v>210.57480000000001</v>
      </c>
      <c r="R391" s="417">
        <v>1</v>
      </c>
      <c r="S391" s="495">
        <f>SUMIFS(Таблица1[Столбец1],Таблица1[коэф],"1",Таблица1[р/р],"3/16",Таблица1[Ф. И. О.],B396)</f>
        <v>0</v>
      </c>
      <c r="T391" s="490">
        <f t="shared" si="104"/>
        <v>0</v>
      </c>
      <c r="U391" s="471">
        <f>IF(D391&lt;=3,база!$M$4,
IF(D391=4,база!$M$5,
IF(D391=5,база!$M$6)))</f>
        <v>225.09719999999999</v>
      </c>
      <c r="V391" s="378">
        <v>1</v>
      </c>
      <c r="W391" s="497">
        <f>SUMIFS(Таблица1[Столбец1],Таблица1[коэф],"1",Таблица1[р/р],"3/24",Таблица1[Ф. И. О.],B396)</f>
        <v>0</v>
      </c>
      <c r="X391" s="490">
        <f t="shared" si="105"/>
        <v>0</v>
      </c>
      <c r="Y391" s="764">
        <f t="shared" ref="Y391" si="110">SUM(G391:G401,K391:K401,O391:O401,S391:S401,W391:W401)</f>
        <v>0</v>
      </c>
      <c r="Z391" s="766">
        <f t="shared" ref="Z391" si="111">IFERROR(SUM(H391:H401,L391:L401,T391:T401,X391:X401),"")</f>
        <v>0</v>
      </c>
      <c r="AA391" s="756"/>
    </row>
    <row r="392" spans="1:29" ht="17.25" customHeight="1">
      <c r="A392" s="756"/>
      <c r="B392" s="215"/>
      <c r="C392" s="759"/>
      <c r="D392" s="762"/>
      <c r="E392" s="393">
        <f>IF(D391&lt;=3,база!$I$4,
IF(D391=4,база!$I$5,
IF(D391=5,база!$I$6)))</f>
        <v>188.7912</v>
      </c>
      <c r="F392" s="390">
        <v>1</v>
      </c>
      <c r="G392" s="400">
        <f>SUMIFS(Таблица1[Столбец1],Таблица1[коэф],"1",Таблица1[р/р],"3/4",Таблица1[Ф. И. О.],B396)</f>
        <v>0</v>
      </c>
      <c r="H392" s="392">
        <f t="shared" si="102"/>
        <v>0</v>
      </c>
      <c r="I392" s="389">
        <f>IF(D391&lt;=3,база!$J$4,
IF(D391=4,база!$J$5,
IF(D391=5,база!$J$6)))</f>
        <v>196.05240000000001</v>
      </c>
      <c r="J392" s="390">
        <v>1</v>
      </c>
      <c r="K392" s="434">
        <f>SUMIFS(Таблица1[Столбец1],Таблица1[коэф],"1",Таблица1[р/р],"3/8",Таблица1[Ф. И. О.],B396)</f>
        <v>0</v>
      </c>
      <c r="L392" s="484">
        <f t="shared" si="103"/>
        <v>0</v>
      </c>
      <c r="M392" s="432"/>
      <c r="N392" s="434">
        <v>1</v>
      </c>
      <c r="O392" s="434">
        <f>SUMIFS(Data_Tech!$AM$3:$AM$67,Data_Tech!$E$3:$E$67,"1",Data_Tech!$G$3:$G$67,"4/12",Data_Tech!$F$3:$F$67,B396)</f>
        <v>0</v>
      </c>
      <c r="P392" s="434">
        <f>ROUND(M392*O392,2)</f>
        <v>0</v>
      </c>
      <c r="Q392" s="399">
        <f>база!$L$5</f>
        <v>231.45480000000001</v>
      </c>
      <c r="R392" s="390">
        <v>1</v>
      </c>
      <c r="S392" s="491">
        <f>SUMIFS(Таблица1[Столбец1],Таблица1[коэф],"1",Таблица1[р/р],"4/16",Таблица1[Ф. И. О.],B396)</f>
        <v>0</v>
      </c>
      <c r="T392" s="492">
        <f t="shared" si="104"/>
        <v>0</v>
      </c>
      <c r="U392" s="472">
        <f>база!$M$5</f>
        <v>247.41720000000001</v>
      </c>
      <c r="V392" s="390">
        <v>1</v>
      </c>
      <c r="W392" s="494">
        <f>SUMIFS(Таблица1[Столбец1],Таблица1[коэф],"1",Таблица1[р/р],"4/24",Таблица1[Ф. И. О.],B396)</f>
        <v>0</v>
      </c>
      <c r="X392" s="492">
        <f t="shared" si="105"/>
        <v>0</v>
      </c>
      <c r="Y392" s="764"/>
      <c r="Z392" s="766"/>
      <c r="AA392" s="756"/>
    </row>
    <row r="393" spans="1:29" ht="17.25" customHeight="1">
      <c r="A393" s="756"/>
      <c r="B393" s="215"/>
      <c r="C393" s="759"/>
      <c r="D393" s="762"/>
      <c r="E393" s="393"/>
      <c r="F393" s="390"/>
      <c r="G393" s="400"/>
      <c r="H393" s="392">
        <f t="shared" si="102"/>
        <v>0</v>
      </c>
      <c r="I393" s="389"/>
      <c r="J393" s="390"/>
      <c r="K393" s="434"/>
      <c r="L393" s="484">
        <f t="shared" si="103"/>
        <v>0</v>
      </c>
      <c r="M393" s="432"/>
      <c r="N393" s="434"/>
      <c r="O393" s="434"/>
      <c r="P393" s="434"/>
      <c r="Q393" s="399">
        <f>база!$L$6</f>
        <v>261.04640000000001</v>
      </c>
      <c r="R393" s="390">
        <v>1</v>
      </c>
      <c r="S393" s="491">
        <f>SUMIFS(Таблица1[Столбец1],Таблица1[коэф],"1",Таблица1[р/р],"5/16",Таблица1[Ф. И. О.],B396)</f>
        <v>0</v>
      </c>
      <c r="T393" s="492">
        <f t="shared" si="104"/>
        <v>0</v>
      </c>
      <c r="U393" s="472">
        <f>база!$M$6</f>
        <v>279.0496</v>
      </c>
      <c r="V393" s="390">
        <v>1</v>
      </c>
      <c r="W393" s="494">
        <f>SUMIFS(Таблица1[Столбец1],Таблица1[коэф],"1",Таблица1[р/р],"5/24",Таблица1[Ф. И. О.],B396)</f>
        <v>0</v>
      </c>
      <c r="X393" s="492">
        <f t="shared" si="105"/>
        <v>0</v>
      </c>
      <c r="Y393" s="764"/>
      <c r="Z393" s="766"/>
      <c r="AA393" s="756"/>
    </row>
    <row r="394" spans="1:29" ht="17.25" customHeight="1">
      <c r="A394" s="756"/>
      <c r="B394" s="215"/>
      <c r="C394" s="759"/>
      <c r="D394" s="762"/>
      <c r="E394" s="393"/>
      <c r="F394" s="390"/>
      <c r="G394" s="400"/>
      <c r="H394" s="392">
        <f t="shared" si="102"/>
        <v>0</v>
      </c>
      <c r="I394" s="389">
        <f>база!$J$5</f>
        <v>215.4924</v>
      </c>
      <c r="J394" s="390">
        <v>1.5</v>
      </c>
      <c r="K394" s="434">
        <f>SUMIFS(Таблица1[Столбец1],Таблица1[коэф],"1,5",Таблица1[р/р],"4/8",Таблица1[Ф. И. О.],B396)</f>
        <v>0</v>
      </c>
      <c r="L394" s="484">
        <f t="shared" si="103"/>
        <v>0</v>
      </c>
      <c r="M394" s="432"/>
      <c r="N394" s="434"/>
      <c r="O394" s="434"/>
      <c r="P394" s="434"/>
      <c r="Q394" s="399">
        <f>IF(D391&lt;=3,база!$L$4,
IF(D391=4,база!$L$5,
IF(D391=5,база!$L$6)))</f>
        <v>210.57480000000001</v>
      </c>
      <c r="R394" s="390">
        <v>1.2</v>
      </c>
      <c r="S394" s="491">
        <f>SUMIFS(Таблица1[Столбец1],Таблица1[коэф],"1,2",Таблица1[р/р],"3/16",Таблица1[Ф. И. О.],B396)</f>
        <v>0</v>
      </c>
      <c r="T394" s="492">
        <f t="shared" si="104"/>
        <v>0</v>
      </c>
      <c r="U394" s="472">
        <f>IF(D391&lt;=3,база!$M$4,
IF(D391=4,база!$M$5,
IF(D391=5,база!$M$6)))</f>
        <v>225.09719999999999</v>
      </c>
      <c r="V394" s="390">
        <v>1.2</v>
      </c>
      <c r="W394" s="494">
        <f>SUMIFS(Таблица1[Столбец1],Таблица1[коэф],"1,2",Таблица1[р/р],"3/24",Таблица1[Ф. И. О.],B396)</f>
        <v>0</v>
      </c>
      <c r="X394" s="492">
        <f t="shared" si="105"/>
        <v>0</v>
      </c>
      <c r="Y394" s="764"/>
      <c r="Z394" s="766"/>
      <c r="AA394" s="756"/>
    </row>
    <row r="395" spans="1:29" ht="17.25" customHeight="1">
      <c r="A395" s="756"/>
      <c r="B395" s="215"/>
      <c r="C395" s="759"/>
      <c r="D395" s="762"/>
      <c r="E395" s="393"/>
      <c r="F395" s="390"/>
      <c r="G395" s="400"/>
      <c r="H395" s="392">
        <f t="shared" si="102"/>
        <v>0</v>
      </c>
      <c r="I395" s="389">
        <f>база!$J$6</f>
        <v>243.04319999999998</v>
      </c>
      <c r="J395" s="390">
        <v>1.5</v>
      </c>
      <c r="K395" s="434">
        <f>SUMIFS(Таблица1[Столбец1],Таблица1[коэф],"1,5",Таблица1[р/р],"5/8",Таблица1[Ф. И. О.],B396)</f>
        <v>0</v>
      </c>
      <c r="L395" s="484">
        <f t="shared" si="103"/>
        <v>0</v>
      </c>
      <c r="M395" s="432"/>
      <c r="N395" s="434"/>
      <c r="O395" s="434"/>
      <c r="P395" s="434"/>
      <c r="Q395" s="399">
        <f>база!$L$5</f>
        <v>231.45480000000001</v>
      </c>
      <c r="R395" s="390">
        <v>1.2</v>
      </c>
      <c r="S395" s="491">
        <f>SUMIFS(Таблица1[Столбец1],Таблица1[коэф],"1,2",Таблица1[р/р],"4/16",Таблица1[Ф. И. О.],B396)</f>
        <v>0</v>
      </c>
      <c r="T395" s="492">
        <f t="shared" si="104"/>
        <v>0</v>
      </c>
      <c r="U395" s="472">
        <f>база!$M$5</f>
        <v>247.41720000000001</v>
      </c>
      <c r="V395" s="390">
        <v>1.2</v>
      </c>
      <c r="W395" s="494">
        <f>SUMIFS(Таблица1[Столбец1],Таблица1[коэф],"1,2",Таблица1[р/р],"4/24",Таблица1[Ф. И. О.],B396)</f>
        <v>0</v>
      </c>
      <c r="X395" s="492">
        <f t="shared" si="105"/>
        <v>0</v>
      </c>
      <c r="Y395" s="764"/>
      <c r="Z395" s="766"/>
      <c r="AA395" s="756"/>
    </row>
    <row r="396" spans="1:29" ht="17.25" customHeight="1">
      <c r="A396" s="756"/>
      <c r="B396" s="215" t="str">
        <f>база!B37</f>
        <v>Климонтович Янина Анатольевна</v>
      </c>
      <c r="C396" s="759"/>
      <c r="D396" s="762"/>
      <c r="E396" s="393"/>
      <c r="F396" s="390"/>
      <c r="G396" s="400"/>
      <c r="H396" s="392">
        <f t="shared" si="102"/>
        <v>0</v>
      </c>
      <c r="I396" s="389"/>
      <c r="J396" s="390"/>
      <c r="K396" s="434"/>
      <c r="L396" s="484">
        <f t="shared" si="103"/>
        <v>0</v>
      </c>
      <c r="M396" s="432"/>
      <c r="N396" s="434"/>
      <c r="O396" s="434"/>
      <c r="P396" s="434"/>
      <c r="Q396" s="399">
        <f>база!$L$6</f>
        <v>261.04640000000001</v>
      </c>
      <c r="R396" s="390">
        <v>1.2</v>
      </c>
      <c r="S396" s="491">
        <f>SUMIFS(Таблица1[Столбец1],Таблица1[коэф],"1,2",Таблица1[р/р],"5/16",Таблица1[Ф. И. О.],B396)</f>
        <v>0</v>
      </c>
      <c r="T396" s="492">
        <f t="shared" si="104"/>
        <v>0</v>
      </c>
      <c r="U396" s="472">
        <f>база!$M$6</f>
        <v>279.0496</v>
      </c>
      <c r="V396" s="390">
        <v>1.2</v>
      </c>
      <c r="W396" s="494">
        <f>SUMIFS(Таблица1[Столбец1],Таблица1[коэф],"1,2",Таблица1[р/р],"5/24",Таблица1[Ф. И. О.],B396)</f>
        <v>0</v>
      </c>
      <c r="X396" s="492">
        <f t="shared" si="105"/>
        <v>0</v>
      </c>
      <c r="Y396" s="764"/>
      <c r="Z396" s="766"/>
      <c r="AA396" s="756"/>
      <c r="AC396" s="712" t="str">
        <f>IF(SUMIFS(Таблица1[Столбец3],Таблица1[Ф. И. О.],B396)-Z391=0,"",SUMIFS(Таблица1[Столбец3],Таблица1[Ф. И. О.],B396)-Z391)</f>
        <v/>
      </c>
    </row>
    <row r="397" spans="1:29" ht="17.25" customHeight="1">
      <c r="A397" s="756"/>
      <c r="B397" s="215"/>
      <c r="C397" s="759"/>
      <c r="D397" s="762"/>
      <c r="E397" s="393"/>
      <c r="F397" s="390"/>
      <c r="G397" s="400"/>
      <c r="H397" s="392">
        <f t="shared" si="102"/>
        <v>0</v>
      </c>
      <c r="I397" s="389"/>
      <c r="J397" s="390"/>
      <c r="K397" s="434"/>
      <c r="L397" s="484">
        <f t="shared" si="103"/>
        <v>0</v>
      </c>
      <c r="M397" s="432"/>
      <c r="N397" s="434"/>
      <c r="O397" s="434"/>
      <c r="P397" s="434"/>
      <c r="Q397" s="399">
        <f>IF(D391&lt;=3,база!$L$4,
IF(D391=4,база!$L$5,
IF(D391=5,база!$L$6)))</f>
        <v>210.57480000000001</v>
      </c>
      <c r="R397" s="390">
        <v>1.3</v>
      </c>
      <c r="S397" s="491">
        <f>SUMIFS(Таблица1[Столбец1],Таблица1[коэф],"1,3",Таблица1[р/р],"3/16",Таблица1[Ф. И. О.],B396)</f>
        <v>0</v>
      </c>
      <c r="T397" s="492">
        <f t="shared" si="104"/>
        <v>0</v>
      </c>
      <c r="U397" s="472">
        <f>IF(D391&lt;=3,база!$M$4,
IF(D391=4,база!$M$5,
IF(D391=5,база!$M$6)))</f>
        <v>225.09719999999999</v>
      </c>
      <c r="V397" s="390">
        <v>1.3</v>
      </c>
      <c r="W397" s="494">
        <f>SUMIFS(Таблица1[Столбец1],Таблица1[коэф],"1,3",Таблица1[р/р],"3/24",Таблица1[Ф. И. О.],B396)</f>
        <v>0</v>
      </c>
      <c r="X397" s="492">
        <f t="shared" si="105"/>
        <v>0</v>
      </c>
      <c r="Y397" s="764"/>
      <c r="Z397" s="766"/>
      <c r="AA397" s="756"/>
      <c r="AC397" s="712" t="str">
        <f>IF(SUMIFS(Таблица1[Столбец1],Таблица1[Ф. И. О.],B396)=Y391,"",B396&amp;"  часы не верны")</f>
        <v/>
      </c>
    </row>
    <row r="398" spans="1:29" ht="17.25" customHeight="1">
      <c r="A398" s="756"/>
      <c r="B398" s="215"/>
      <c r="C398" s="759"/>
      <c r="D398" s="762"/>
      <c r="E398" s="393"/>
      <c r="F398" s="390"/>
      <c r="G398" s="400"/>
      <c r="H398" s="392">
        <f t="shared" si="102"/>
        <v>0</v>
      </c>
      <c r="I398" s="389"/>
      <c r="J398" s="390"/>
      <c r="K398" s="434"/>
      <c r="L398" s="484">
        <f t="shared" si="103"/>
        <v>0</v>
      </c>
      <c r="M398" s="432"/>
      <c r="N398" s="434"/>
      <c r="O398" s="434"/>
      <c r="P398" s="434"/>
      <c r="Q398" s="399">
        <f>база!$L$5</f>
        <v>231.45480000000001</v>
      </c>
      <c r="R398" s="390">
        <v>1.3</v>
      </c>
      <c r="S398" s="491">
        <f>SUMIFS(Таблица1[Столбец1],Таблица1[коэф],"1,3",Таблица1[р/р],"4/16",Таблица1[Ф. И. О.],B396)</f>
        <v>0</v>
      </c>
      <c r="T398" s="492">
        <f t="shared" si="104"/>
        <v>0</v>
      </c>
      <c r="U398" s="472">
        <f>база!$M$5</f>
        <v>247.41720000000001</v>
      </c>
      <c r="V398" s="390">
        <v>1.3</v>
      </c>
      <c r="W398" s="494">
        <f>SUMIFS(Таблица1[Столбец1],Таблица1[коэф],"1,3",Таблица1[р/р],"4/24",Таблица1[Ф. И. О.],B396)</f>
        <v>0</v>
      </c>
      <c r="X398" s="492">
        <f t="shared" si="105"/>
        <v>0</v>
      </c>
      <c r="Y398" s="764"/>
      <c r="Z398" s="766"/>
      <c r="AA398" s="756"/>
    </row>
    <row r="399" spans="1:29" ht="17.25" customHeight="1">
      <c r="A399" s="756"/>
      <c r="B399" s="215"/>
      <c r="C399" s="759"/>
      <c r="D399" s="762"/>
      <c r="E399" s="393"/>
      <c r="F399" s="390"/>
      <c r="G399" s="400"/>
      <c r="H399" s="392">
        <f t="shared" si="102"/>
        <v>0</v>
      </c>
      <c r="I399" s="389"/>
      <c r="J399" s="390"/>
      <c r="K399" s="434"/>
      <c r="L399" s="484">
        <f t="shared" si="103"/>
        <v>0</v>
      </c>
      <c r="M399" s="432"/>
      <c r="N399" s="434"/>
      <c r="O399" s="434"/>
      <c r="P399" s="434"/>
      <c r="Q399" s="399">
        <f>IF(D391&lt;=3,база!$L$4,
IF(D391=4,база!$L$5,
IF(D391=5,база!$L$6)))</f>
        <v>210.57480000000001</v>
      </c>
      <c r="R399" s="390">
        <v>1.4</v>
      </c>
      <c r="S399" s="491">
        <f>SUMIFS(Таблица1[Столбец1],Таблица1[коэф],"1,4",Таблица1[р/р],"3/16",Таблица1[Ф. И. О.],B396)</f>
        <v>0</v>
      </c>
      <c r="T399" s="492">
        <f t="shared" si="104"/>
        <v>0</v>
      </c>
      <c r="U399" s="472">
        <f>IF(D391&lt;=3,база!$M$4,
IF(D391=4,база!$M$5,
IF(D391=5,база!$M$6)))</f>
        <v>225.09719999999999</v>
      </c>
      <c r="V399" s="390">
        <v>1.4</v>
      </c>
      <c r="W399" s="494">
        <f>SUMIFS(Таблица1[Столбец1],Таблица1[коэф],"1,4",Таблица1[р/р],"3/24",Таблица1[Ф. И. О.],B396)</f>
        <v>0</v>
      </c>
      <c r="X399" s="492">
        <f t="shared" si="105"/>
        <v>0</v>
      </c>
      <c r="Y399" s="764"/>
      <c r="Z399" s="766"/>
      <c r="AA399" s="756"/>
    </row>
    <row r="400" spans="1:29" ht="17.25" customHeight="1">
      <c r="A400" s="756"/>
      <c r="B400" s="215"/>
      <c r="C400" s="759"/>
      <c r="D400" s="762"/>
      <c r="E400" s="393"/>
      <c r="F400" s="390"/>
      <c r="G400" s="400"/>
      <c r="H400" s="392">
        <f t="shared" si="102"/>
        <v>0</v>
      </c>
      <c r="I400" s="389"/>
      <c r="J400" s="390"/>
      <c r="K400" s="434"/>
      <c r="L400" s="395">
        <f t="shared" si="103"/>
        <v>0</v>
      </c>
      <c r="M400" s="432"/>
      <c r="N400" s="434"/>
      <c r="O400" s="434"/>
      <c r="P400" s="434"/>
      <c r="Q400" s="399">
        <f>база!$L$5</f>
        <v>231.45480000000001</v>
      </c>
      <c r="R400" s="390">
        <v>1.4</v>
      </c>
      <c r="S400" s="491">
        <f>SUMIFS(Таблица1[Столбец1],Таблица1[коэф],"1,4",Таблица1[р/р],"4/16",Таблица1[Ф. И. О.],B396)</f>
        <v>0</v>
      </c>
      <c r="T400" s="492">
        <f t="shared" si="104"/>
        <v>0</v>
      </c>
      <c r="U400" s="472">
        <f>база!$M$5</f>
        <v>247.41720000000001</v>
      </c>
      <c r="V400" s="390">
        <v>1.4</v>
      </c>
      <c r="W400" s="494">
        <f>SUMIFS(Таблица1[Столбец1],Таблица1[коэф],"1,4",Таблица1[р/р],"4/24",Таблица1[Ф. И. О.],B396)</f>
        <v>0</v>
      </c>
      <c r="X400" s="492">
        <f t="shared" si="105"/>
        <v>0</v>
      </c>
      <c r="Y400" s="764"/>
      <c r="Z400" s="766"/>
      <c r="AA400" s="756"/>
    </row>
    <row r="401" spans="1:29" ht="17.25" customHeight="1" thickBot="1">
      <c r="A401" s="757"/>
      <c r="B401" s="202"/>
      <c r="C401" s="760"/>
      <c r="D401" s="763"/>
      <c r="E401" s="463"/>
      <c r="F401" s="464"/>
      <c r="G401" s="465"/>
      <c r="H401" s="468">
        <f t="shared" si="102"/>
        <v>0</v>
      </c>
      <c r="I401" s="473"/>
      <c r="J401" s="464"/>
      <c r="K401" s="457"/>
      <c r="L401" s="458">
        <f t="shared" si="103"/>
        <v>0</v>
      </c>
      <c r="M401" s="466"/>
      <c r="N401" s="457"/>
      <c r="O401" s="457"/>
      <c r="P401" s="457"/>
      <c r="Q401" s="467">
        <f>база!$L$6</f>
        <v>261.04640000000001</v>
      </c>
      <c r="R401" s="464">
        <v>1.4</v>
      </c>
      <c r="S401" s="512">
        <f>SUMIFS(Таблица1[Столбец1],Таблица1[коэф],"1,4",Таблица1[р/р],"5/16",Таблица1[Ф. И. О.],B396)</f>
        <v>0</v>
      </c>
      <c r="T401" s="513">
        <f t="shared" si="104"/>
        <v>0</v>
      </c>
      <c r="U401" s="474">
        <f>база!$M$6</f>
        <v>279.0496</v>
      </c>
      <c r="V401" s="464">
        <v>1.4</v>
      </c>
      <c r="W401" s="501">
        <f>SUMIFS(Таблица1[Столбец1],Таблица1[коэф],"1,4",Таблица1[р/р],"5/24",Таблица1[Ф. И. О.],B396)</f>
        <v>0</v>
      </c>
      <c r="X401" s="513">
        <f t="shared" si="105"/>
        <v>0</v>
      </c>
      <c r="Y401" s="765"/>
      <c r="Z401" s="767"/>
      <c r="AA401" s="757"/>
    </row>
    <row r="402" spans="1:29" ht="18.75" collapsed="1">
      <c r="A402" s="755">
        <v>37</v>
      </c>
      <c r="B402" s="235"/>
      <c r="C402" s="758">
        <f>INDEX(база!$E$2:$E$81, MATCH(B407,база!$B$2:$B$50,0))</f>
        <v>15888</v>
      </c>
      <c r="D402" s="761">
        <f>INDEX(база!$D$2:$D$89, MATCH(B407,база!$B$2:$B$50,0))</f>
        <v>3</v>
      </c>
      <c r="E402" s="451">
        <f>IF(D402&lt;=3,база!$I$4,
IF(D402=4,база!$I$5,
IF(D402=5,база!$I$6)))</f>
        <v>188.7912</v>
      </c>
      <c r="F402" s="417">
        <v>1</v>
      </c>
      <c r="G402" s="418">
        <f>SUMIFS(Таблица1[Столбец1],Таблица1[коэф],"1",Таблица1[р/р],"2/4",Таблица1[Ф. И. О.],B407)</f>
        <v>0</v>
      </c>
      <c r="H402" s="402">
        <f t="shared" ref="H402:H423" si="112">ROUND(E402*F402*G402*2,2)</f>
        <v>0</v>
      </c>
      <c r="I402" s="377">
        <f>IF(D402&lt;=3,база!$J$4,
IF(D402=4,база!$J$5,
IF(D402=5,база!$J$6)))</f>
        <v>196.05240000000001</v>
      </c>
      <c r="J402" s="378">
        <v>1</v>
      </c>
      <c r="K402" s="428">
        <f>SUMIFS(Таблица1[Столбец1],Таблица1[коэф],"1",Таблица1[р/р],"2/8",Таблица1[Ф. И. О.],B407)</f>
        <v>0</v>
      </c>
      <c r="L402" s="383">
        <f t="shared" ref="L402:L423" si="113">ROUND(I402*J402*K402*2,2)</f>
        <v>0</v>
      </c>
      <c r="M402" s="452"/>
      <c r="N402" s="453">
        <v>1</v>
      </c>
      <c r="O402" s="453">
        <f>SUMIFS(Data_Tech!$AM$3:$AM$67,Data_Tech!$E$3:$E$67,"1",Data_Tech!$G$3:$G$67,"3/12",Data_Tech!$F$3:$F$67,B407)</f>
        <v>0</v>
      </c>
      <c r="P402" s="453">
        <f>ROUND(M402*N402*O402,2)</f>
        <v>0</v>
      </c>
      <c r="Q402" s="416">
        <f>IF(D402&lt;=3,база!$L$4,
IF(D402=4,база!$L$5,
IF(D402=5,база!$L$6)))</f>
        <v>210.57480000000001</v>
      </c>
      <c r="R402" s="417">
        <v>1</v>
      </c>
      <c r="S402" s="495">
        <f>SUMIFS(Таблица1[Столбец1],Таблица1[коэф],"1",Таблица1[р/р],"3/16",Таблица1[Ф. И. О.],B407)</f>
        <v>0</v>
      </c>
      <c r="T402" s="490">
        <f t="shared" ref="T402:T423" si="114">ROUND(Q402*R402*S402*2,2)</f>
        <v>0</v>
      </c>
      <c r="U402" s="471">
        <f>IF(D402&lt;=3,база!$M$4,
IF(D402=4,база!$M$5,
IF(D402=5,база!$M$6)))</f>
        <v>225.09719999999999</v>
      </c>
      <c r="V402" s="378">
        <v>1</v>
      </c>
      <c r="W402" s="497">
        <f>SUMIFS(Таблица1[Столбец1],Таблица1[коэф],"1",Таблица1[р/р],"3/24",Таблица1[Ф. И. О.],B407)</f>
        <v>0</v>
      </c>
      <c r="X402" s="490">
        <f t="shared" ref="X402:X423" si="115">ROUND(U402*V402*W402*2,2)</f>
        <v>0</v>
      </c>
      <c r="Y402" s="764">
        <f t="shared" ref="Y402" si="116">SUM(G402:G412,K402:K412,O402:O412,S402:S412,W402:W412)</f>
        <v>0</v>
      </c>
      <c r="Z402" s="766">
        <f t="shared" ref="Z402" si="117">IFERROR(SUM(H402:H412,L402:L412,T402:T412,X402:X412),"")</f>
        <v>0</v>
      </c>
      <c r="AA402" s="756"/>
    </row>
    <row r="403" spans="1:29" ht="18.75">
      <c r="A403" s="756"/>
      <c r="B403" s="215"/>
      <c r="C403" s="759"/>
      <c r="D403" s="762"/>
      <c r="E403" s="393">
        <f>IF(D402&lt;=3,база!$I$4,
IF(D402=4,база!$I$5,
IF(D402=5,база!$I$6)))</f>
        <v>188.7912</v>
      </c>
      <c r="F403" s="390">
        <v>1</v>
      </c>
      <c r="G403" s="400">
        <f>SUMIFS(Таблица1[Столбец1],Таблица1[коэф],"1",Таблица1[р/р],"3/4",Таблица1[Ф. И. О.],B407)</f>
        <v>0</v>
      </c>
      <c r="H403" s="392">
        <f t="shared" si="112"/>
        <v>0</v>
      </c>
      <c r="I403" s="389">
        <f>IF(D402&lt;=3,база!$J$4,
IF(D402=4,база!$J$5,
IF(D402=5,база!$J$6)))</f>
        <v>196.05240000000001</v>
      </c>
      <c r="J403" s="390">
        <v>1</v>
      </c>
      <c r="K403" s="434">
        <f>SUMIFS(Таблица1[Столбец1],Таблица1[коэф],"1",Таблица1[р/р],"3/8",Таблица1[Ф. И. О.],B407)</f>
        <v>0</v>
      </c>
      <c r="L403" s="484">
        <f t="shared" si="113"/>
        <v>0</v>
      </c>
      <c r="M403" s="432"/>
      <c r="N403" s="434">
        <v>1</v>
      </c>
      <c r="O403" s="434">
        <f>SUMIFS(Data_Tech!$AM$3:$AM$67,Data_Tech!$E$3:$E$67,"1",Data_Tech!$G$3:$G$67,"4/12",Data_Tech!$F$3:$F$67,B407)</f>
        <v>0</v>
      </c>
      <c r="P403" s="434">
        <f>ROUND(M403*O403,2)</f>
        <v>0</v>
      </c>
      <c r="Q403" s="399">
        <f>база!$L$5</f>
        <v>231.45480000000001</v>
      </c>
      <c r="R403" s="390">
        <v>1</v>
      </c>
      <c r="S403" s="491">
        <f>SUMIFS(Таблица1[Столбец1],Таблица1[коэф],"1",Таблица1[р/р],"4/16",Таблица1[Ф. И. О.],B407)</f>
        <v>0</v>
      </c>
      <c r="T403" s="492">
        <f t="shared" si="114"/>
        <v>0</v>
      </c>
      <c r="U403" s="472">
        <f>база!$M$5</f>
        <v>247.41720000000001</v>
      </c>
      <c r="V403" s="390">
        <v>1</v>
      </c>
      <c r="W403" s="494">
        <f>SUMIFS(Таблица1[Столбец1],Таблица1[коэф],"1",Таблица1[р/р],"4/24",Таблица1[Ф. И. О.],B407)</f>
        <v>0</v>
      </c>
      <c r="X403" s="492">
        <f t="shared" si="115"/>
        <v>0</v>
      </c>
      <c r="Y403" s="764"/>
      <c r="Z403" s="766"/>
      <c r="AA403" s="756"/>
    </row>
    <row r="404" spans="1:29" ht="18.75">
      <c r="A404" s="756"/>
      <c r="B404" s="215"/>
      <c r="C404" s="759"/>
      <c r="D404" s="762"/>
      <c r="E404" s="393"/>
      <c r="F404" s="390"/>
      <c r="G404" s="400"/>
      <c r="H404" s="392">
        <f t="shared" si="112"/>
        <v>0</v>
      </c>
      <c r="I404" s="389"/>
      <c r="J404" s="390"/>
      <c r="K404" s="434"/>
      <c r="L404" s="484">
        <f t="shared" si="113"/>
        <v>0</v>
      </c>
      <c r="M404" s="432"/>
      <c r="N404" s="434"/>
      <c r="O404" s="434"/>
      <c r="P404" s="434"/>
      <c r="Q404" s="399">
        <f>база!$L$6</f>
        <v>261.04640000000001</v>
      </c>
      <c r="R404" s="390">
        <v>1</v>
      </c>
      <c r="S404" s="491">
        <f>SUMIFS(Таблица1[Столбец1],Таблица1[коэф],"1",Таблица1[р/р],"5/16",Таблица1[Ф. И. О.],B407)</f>
        <v>0</v>
      </c>
      <c r="T404" s="492">
        <f t="shared" si="114"/>
        <v>0</v>
      </c>
      <c r="U404" s="472">
        <f>база!$M$6</f>
        <v>279.0496</v>
      </c>
      <c r="V404" s="390">
        <v>1</v>
      </c>
      <c r="W404" s="494">
        <f>SUMIFS(Таблица1[Столбец1],Таблица1[коэф],"1",Таблица1[р/р],"5/24",Таблица1[Ф. И. О.],B407)</f>
        <v>0</v>
      </c>
      <c r="X404" s="492">
        <f t="shared" si="115"/>
        <v>0</v>
      </c>
      <c r="Y404" s="764"/>
      <c r="Z404" s="766"/>
      <c r="AA404" s="756"/>
    </row>
    <row r="405" spans="1:29" ht="18.75">
      <c r="A405" s="756"/>
      <c r="B405" s="215"/>
      <c r="C405" s="759"/>
      <c r="D405" s="762"/>
      <c r="E405" s="393"/>
      <c r="F405" s="390"/>
      <c r="G405" s="400"/>
      <c r="H405" s="392">
        <f t="shared" si="112"/>
        <v>0</v>
      </c>
      <c r="I405" s="389">
        <f>база!$J$5</f>
        <v>215.4924</v>
      </c>
      <c r="J405" s="390">
        <v>1.5</v>
      </c>
      <c r="K405" s="434">
        <f>SUMIFS(Таблица1[Столбец1],Таблица1[коэф],"1,5",Таблица1[р/р],"4/8",Таблица1[Ф. И. О.],B407)</f>
        <v>0</v>
      </c>
      <c r="L405" s="484">
        <f t="shared" si="113"/>
        <v>0</v>
      </c>
      <c r="M405" s="432"/>
      <c r="N405" s="434"/>
      <c r="O405" s="434"/>
      <c r="P405" s="434"/>
      <c r="Q405" s="399">
        <f>IF(D402&lt;=3,база!$L$4,
IF(D402=4,база!$L$5,
IF(D402=5,база!$L$6)))</f>
        <v>210.57480000000001</v>
      </c>
      <c r="R405" s="390">
        <v>1.2</v>
      </c>
      <c r="S405" s="491">
        <f>SUMIFS(Таблица1[Столбец1],Таблица1[коэф],"1,2",Таблица1[р/р],"3/16",Таблица1[Ф. И. О.],B407)</f>
        <v>0</v>
      </c>
      <c r="T405" s="492">
        <f t="shared" si="114"/>
        <v>0</v>
      </c>
      <c r="U405" s="472">
        <f>IF(D402&lt;=3,база!$M$4,
IF(D402=4,база!$M$5,
IF(D402=5,база!$M$6)))</f>
        <v>225.09719999999999</v>
      </c>
      <c r="V405" s="390">
        <v>1.2</v>
      </c>
      <c r="W405" s="494">
        <f>SUMIFS(Таблица1[Столбец1],Таблица1[коэф],"1,2",Таблица1[р/р],"3/24",Таблица1[Ф. И. О.],B407)</f>
        <v>0</v>
      </c>
      <c r="X405" s="492">
        <f t="shared" si="115"/>
        <v>0</v>
      </c>
      <c r="Y405" s="764"/>
      <c r="Z405" s="766"/>
      <c r="AA405" s="756"/>
    </row>
    <row r="406" spans="1:29" ht="18.75">
      <c r="A406" s="756"/>
      <c r="B406" s="215"/>
      <c r="C406" s="759"/>
      <c r="D406" s="762"/>
      <c r="E406" s="393"/>
      <c r="F406" s="390"/>
      <c r="G406" s="400"/>
      <c r="H406" s="392">
        <f t="shared" si="112"/>
        <v>0</v>
      </c>
      <c r="I406" s="389">
        <f>база!$J$6</f>
        <v>243.04319999999998</v>
      </c>
      <c r="J406" s="390">
        <v>1.5</v>
      </c>
      <c r="K406" s="434">
        <f>SUMIFS(Таблица1[Столбец1],Таблица1[коэф],"1,5",Таблица1[р/р],"5/8",Таблица1[Ф. И. О.],B407)</f>
        <v>0</v>
      </c>
      <c r="L406" s="484">
        <f t="shared" si="113"/>
        <v>0</v>
      </c>
      <c r="M406" s="432"/>
      <c r="N406" s="434"/>
      <c r="O406" s="434"/>
      <c r="P406" s="434"/>
      <c r="Q406" s="399">
        <f>база!$L$5</f>
        <v>231.45480000000001</v>
      </c>
      <c r="R406" s="390">
        <v>1.2</v>
      </c>
      <c r="S406" s="491">
        <f>SUMIFS(Таблица1[Столбец1],Таблица1[коэф],"1,2",Таблица1[р/р],"4/16",Таблица1[Ф. И. О.],B407)</f>
        <v>0</v>
      </c>
      <c r="T406" s="492">
        <f t="shared" si="114"/>
        <v>0</v>
      </c>
      <c r="U406" s="472">
        <f>база!$M$5</f>
        <v>247.41720000000001</v>
      </c>
      <c r="V406" s="390">
        <v>1.2</v>
      </c>
      <c r="W406" s="494">
        <f>SUMIFS(Таблица1[Столбец1],Таблица1[коэф],"1,2",Таблица1[р/р],"4/24",Таблица1[Ф. И. О.],B407)</f>
        <v>0</v>
      </c>
      <c r="X406" s="492">
        <f t="shared" si="115"/>
        <v>0</v>
      </c>
      <c r="Y406" s="764"/>
      <c r="Z406" s="766"/>
      <c r="AA406" s="756"/>
    </row>
    <row r="407" spans="1:29" ht="18" customHeight="1">
      <c r="A407" s="756"/>
      <c r="B407" s="215" t="str">
        <f>база!B38</f>
        <v>Коричева Юлия Владимировна</v>
      </c>
      <c r="C407" s="759"/>
      <c r="D407" s="762"/>
      <c r="E407" s="393"/>
      <c r="F407" s="390"/>
      <c r="G407" s="400"/>
      <c r="H407" s="392">
        <f t="shared" si="112"/>
        <v>0</v>
      </c>
      <c r="I407" s="389"/>
      <c r="J407" s="390"/>
      <c r="K407" s="434"/>
      <c r="L407" s="484">
        <f t="shared" si="113"/>
        <v>0</v>
      </c>
      <c r="M407" s="432"/>
      <c r="N407" s="434"/>
      <c r="O407" s="434"/>
      <c r="P407" s="434"/>
      <c r="Q407" s="399">
        <f>база!$L$6</f>
        <v>261.04640000000001</v>
      </c>
      <c r="R407" s="390">
        <v>1.2</v>
      </c>
      <c r="S407" s="491">
        <f>SUMIFS(Таблица1[Столбец1],Таблица1[коэф],"1,2",Таблица1[р/р],"5/16",Таблица1[Ф. И. О.],B407)</f>
        <v>0</v>
      </c>
      <c r="T407" s="492">
        <f t="shared" si="114"/>
        <v>0</v>
      </c>
      <c r="U407" s="472">
        <f>база!$M$6</f>
        <v>279.0496</v>
      </c>
      <c r="V407" s="390">
        <v>1.2</v>
      </c>
      <c r="W407" s="494">
        <f>SUMIFS(Таблица1[Столбец1],Таблица1[коэф],"1,2",Таблица1[р/р],"5/24",Таблица1[Ф. И. О.],B407)</f>
        <v>0</v>
      </c>
      <c r="X407" s="492">
        <f t="shared" si="115"/>
        <v>0</v>
      </c>
      <c r="Y407" s="764"/>
      <c r="Z407" s="766"/>
      <c r="AA407" s="756"/>
      <c r="AC407" s="712" t="str">
        <f>IF(SUMIFS(Таблица1[Столбец3],Таблица1[Ф. И. О.],B407)-Z402=0,"",SUMIFS(Таблица1[Столбец3],Таблица1[Ф. И. О.],B407)-Z402)</f>
        <v/>
      </c>
    </row>
    <row r="408" spans="1:29" ht="18.75">
      <c r="A408" s="756"/>
      <c r="B408" s="215"/>
      <c r="C408" s="759"/>
      <c r="D408" s="762"/>
      <c r="E408" s="393"/>
      <c r="F408" s="390"/>
      <c r="G408" s="400"/>
      <c r="H408" s="392">
        <f t="shared" si="112"/>
        <v>0</v>
      </c>
      <c r="I408" s="389"/>
      <c r="J408" s="390"/>
      <c r="K408" s="434"/>
      <c r="L408" s="484">
        <f t="shared" si="113"/>
        <v>0</v>
      </c>
      <c r="M408" s="432"/>
      <c r="N408" s="434"/>
      <c r="O408" s="434"/>
      <c r="P408" s="434"/>
      <c r="Q408" s="399">
        <f>IF(D402&lt;=3,база!$L$4,
IF(D402=4,база!$L$5,
IF(D402=5,база!$L$6)))</f>
        <v>210.57480000000001</v>
      </c>
      <c r="R408" s="390">
        <v>1.3</v>
      </c>
      <c r="S408" s="491">
        <f>SUMIFS(Таблица1[Столбец1],Таблица1[коэф],"1,3",Таблица1[р/р],"3/16",Таблица1[Ф. И. О.],B407)</f>
        <v>0</v>
      </c>
      <c r="T408" s="492">
        <f t="shared" si="114"/>
        <v>0</v>
      </c>
      <c r="U408" s="472">
        <f>IF(D402&lt;=3,база!$M$4,
IF(D402=4,база!$M$5,
IF(D402=5,база!$M$6)))</f>
        <v>225.09719999999999</v>
      </c>
      <c r="V408" s="390">
        <v>1.3</v>
      </c>
      <c r="W408" s="494">
        <f>SUMIFS(Таблица1[Столбец1],Таблица1[коэф],"1,3",Таблица1[р/р],"3/24",Таблица1[Ф. И. О.],B407)</f>
        <v>0</v>
      </c>
      <c r="X408" s="492">
        <f t="shared" si="115"/>
        <v>0</v>
      </c>
      <c r="Y408" s="764"/>
      <c r="Z408" s="766"/>
      <c r="AA408" s="756"/>
      <c r="AC408" s="712" t="str">
        <f>IF(SUMIFS(Таблица1[Столбец1],Таблица1[Ф. И. О.],B407)=Y402,"",B407&amp;"  часы не верны")</f>
        <v/>
      </c>
    </row>
    <row r="409" spans="1:29" ht="18.75">
      <c r="A409" s="756"/>
      <c r="B409" s="215"/>
      <c r="C409" s="759"/>
      <c r="D409" s="762"/>
      <c r="E409" s="393"/>
      <c r="F409" s="390"/>
      <c r="G409" s="400"/>
      <c r="H409" s="392">
        <f t="shared" si="112"/>
        <v>0</v>
      </c>
      <c r="I409" s="389"/>
      <c r="J409" s="390"/>
      <c r="K409" s="434"/>
      <c r="L409" s="484">
        <f t="shared" si="113"/>
        <v>0</v>
      </c>
      <c r="M409" s="432"/>
      <c r="N409" s="434"/>
      <c r="O409" s="434"/>
      <c r="P409" s="434"/>
      <c r="Q409" s="399">
        <f>база!$L$5</f>
        <v>231.45480000000001</v>
      </c>
      <c r="R409" s="390">
        <v>1.3</v>
      </c>
      <c r="S409" s="491">
        <f>SUMIFS(Таблица1[Столбец1],Таблица1[коэф],"1,3",Таблица1[р/р],"4/16",Таблица1[Ф. И. О.],B407)</f>
        <v>0</v>
      </c>
      <c r="T409" s="492">
        <f t="shared" si="114"/>
        <v>0</v>
      </c>
      <c r="U409" s="472">
        <f>база!$M$5</f>
        <v>247.41720000000001</v>
      </c>
      <c r="V409" s="390">
        <v>1.3</v>
      </c>
      <c r="W409" s="494">
        <f>SUMIFS(Таблица1[Столбец1],Таблица1[коэф],"1,3",Таблица1[р/р],"4/24",Таблица1[Ф. И. О.],B407)</f>
        <v>0</v>
      </c>
      <c r="X409" s="492">
        <f t="shared" si="115"/>
        <v>0</v>
      </c>
      <c r="Y409" s="764"/>
      <c r="Z409" s="766"/>
      <c r="AA409" s="756"/>
    </row>
    <row r="410" spans="1:29" ht="18.75">
      <c r="A410" s="756"/>
      <c r="B410" s="215"/>
      <c r="C410" s="759"/>
      <c r="D410" s="762"/>
      <c r="E410" s="393"/>
      <c r="F410" s="390"/>
      <c r="G410" s="400"/>
      <c r="H410" s="392">
        <f t="shared" si="112"/>
        <v>0</v>
      </c>
      <c r="I410" s="389"/>
      <c r="J410" s="390"/>
      <c r="K410" s="434"/>
      <c r="L410" s="484">
        <f t="shared" si="113"/>
        <v>0</v>
      </c>
      <c r="M410" s="432"/>
      <c r="N410" s="434"/>
      <c r="O410" s="434"/>
      <c r="P410" s="434"/>
      <c r="Q410" s="399">
        <f>IF(D402&lt;=3,база!$L$4,
IF(D402=4,база!$L$5,
IF(D402=5,база!$L$6)))</f>
        <v>210.57480000000001</v>
      </c>
      <c r="R410" s="390">
        <v>1.4</v>
      </c>
      <c r="S410" s="491">
        <f>SUMIFS(Таблица1[Столбец1],Таблица1[коэф],"1,4",Таблица1[р/р],"3/16",Таблица1[Ф. И. О.],B407)</f>
        <v>0</v>
      </c>
      <c r="T410" s="492">
        <f t="shared" si="114"/>
        <v>0</v>
      </c>
      <c r="U410" s="472">
        <f>IF(D402&lt;=3,база!$M$4,
IF(D402=4,база!$M$5,
IF(D402=5,база!$M$6)))</f>
        <v>225.09719999999999</v>
      </c>
      <c r="V410" s="390">
        <v>1.4</v>
      </c>
      <c r="W410" s="494">
        <f>SUMIFS(Таблица1[Столбец1],Таблица1[коэф],"1,4",Таблица1[р/р],"3/24",Таблица1[Ф. И. О.],B407)</f>
        <v>0</v>
      </c>
      <c r="X410" s="492">
        <f t="shared" si="115"/>
        <v>0</v>
      </c>
      <c r="Y410" s="764"/>
      <c r="Z410" s="766"/>
      <c r="AA410" s="756"/>
    </row>
    <row r="411" spans="1:29" ht="18.75">
      <c r="A411" s="756"/>
      <c r="B411" s="215"/>
      <c r="C411" s="759"/>
      <c r="D411" s="762"/>
      <c r="E411" s="393"/>
      <c r="F411" s="390"/>
      <c r="G411" s="400"/>
      <c r="H411" s="392">
        <f t="shared" si="112"/>
        <v>0</v>
      </c>
      <c r="I411" s="389"/>
      <c r="J411" s="390"/>
      <c r="K411" s="434"/>
      <c r="L411" s="395">
        <f t="shared" si="113"/>
        <v>0</v>
      </c>
      <c r="M411" s="432"/>
      <c r="N411" s="434"/>
      <c r="O411" s="434"/>
      <c r="P411" s="434"/>
      <c r="Q411" s="399">
        <f>база!$L$5</f>
        <v>231.45480000000001</v>
      </c>
      <c r="R411" s="390">
        <v>1.4</v>
      </c>
      <c r="S411" s="491">
        <f>SUMIFS(Таблица1[Столбец1],Таблица1[коэф],"1,4",Таблица1[р/р],"4/16",Таблица1[Ф. И. О.],B407)</f>
        <v>0</v>
      </c>
      <c r="T411" s="492">
        <f t="shared" si="114"/>
        <v>0</v>
      </c>
      <c r="U411" s="472">
        <f>база!$M$5</f>
        <v>247.41720000000001</v>
      </c>
      <c r="V411" s="390">
        <v>1.4</v>
      </c>
      <c r="W411" s="494">
        <f>SUMIFS(Таблица1[Столбец1],Таблица1[коэф],"1,4",Таблица1[р/р],"4/24",Таблица1[Ф. И. О.],B407)</f>
        <v>0</v>
      </c>
      <c r="X411" s="492">
        <f t="shared" si="115"/>
        <v>0</v>
      </c>
      <c r="Y411" s="764"/>
      <c r="Z411" s="766"/>
      <c r="AA411" s="756"/>
    </row>
    <row r="412" spans="1:29" ht="19.5" thickBot="1">
      <c r="A412" s="757"/>
      <c r="B412" s="202"/>
      <c r="C412" s="760"/>
      <c r="D412" s="763"/>
      <c r="E412" s="463"/>
      <c r="F412" s="464"/>
      <c r="G412" s="465"/>
      <c r="H412" s="468">
        <f t="shared" si="112"/>
        <v>0</v>
      </c>
      <c r="I412" s="473"/>
      <c r="J412" s="464"/>
      <c r="K412" s="457"/>
      <c r="L412" s="458">
        <f t="shared" si="113"/>
        <v>0</v>
      </c>
      <c r="M412" s="466"/>
      <c r="N412" s="457"/>
      <c r="O412" s="457"/>
      <c r="P412" s="457"/>
      <c r="Q412" s="467">
        <f>база!$L$6</f>
        <v>261.04640000000001</v>
      </c>
      <c r="R412" s="464">
        <v>1.4</v>
      </c>
      <c r="S412" s="512">
        <f>SUMIFS(Таблица1[Столбец1],Таблица1[коэф],"1,4",Таблица1[р/р],"5/16",Таблица1[Ф. И. О.],B407)</f>
        <v>0</v>
      </c>
      <c r="T412" s="513">
        <f t="shared" si="114"/>
        <v>0</v>
      </c>
      <c r="U412" s="474">
        <f>база!$M$6</f>
        <v>279.0496</v>
      </c>
      <c r="V412" s="464">
        <v>1.4</v>
      </c>
      <c r="W412" s="501">
        <f>SUMIFS(Таблица1[Столбец1],Таблица1[коэф],"1,4",Таблица1[р/р],"5/24",Таблица1[Ф. И. О.],B407)</f>
        <v>0</v>
      </c>
      <c r="X412" s="513">
        <f t="shared" si="115"/>
        <v>0</v>
      </c>
      <c r="Y412" s="765"/>
      <c r="Z412" s="767"/>
      <c r="AA412" s="757"/>
    </row>
    <row r="413" spans="1:29" ht="18.75" collapsed="1">
      <c r="A413" s="755">
        <v>38</v>
      </c>
      <c r="B413" s="235"/>
      <c r="C413" s="758">
        <f>INDEX(база!$E$2:$E$81, MATCH(B418,база!$B$2:$B$50,0))</f>
        <v>17271</v>
      </c>
      <c r="D413" s="761">
        <f>INDEX(база!$D$2:$D$89, MATCH(B418,база!$B$2:$B$50,0))</f>
        <v>3</v>
      </c>
      <c r="E413" s="451">
        <f>IF(D413&lt;=3,база!$I$4,
IF(D413=4,база!$I$5,
IF(D413=5,база!$I$6)))</f>
        <v>188.7912</v>
      </c>
      <c r="F413" s="417">
        <v>1</v>
      </c>
      <c r="G413" s="418">
        <f>SUMIFS(Таблица1[Столбец1],Таблица1[коэф],"1",Таблица1[р/р],"2/4",Таблица1[Ф. И. О.],B418)</f>
        <v>0</v>
      </c>
      <c r="H413" s="402">
        <f t="shared" si="112"/>
        <v>0</v>
      </c>
      <c r="I413" s="377">
        <f>IF(D413&lt;=3,база!$J$4,
IF(D413=4,база!$J$5,
IF(D413=5,база!$J$6)))</f>
        <v>196.05240000000001</v>
      </c>
      <c r="J413" s="378">
        <v>1</v>
      </c>
      <c r="K413" s="428">
        <f>SUMIFS(Таблица1[Столбец1],Таблица1[коэф],"1",Таблица1[р/р],"2/8",Таблица1[Ф. И. О.],B418)</f>
        <v>0</v>
      </c>
      <c r="L413" s="383">
        <f t="shared" si="113"/>
        <v>0</v>
      </c>
      <c r="M413" s="452"/>
      <c r="N413" s="453">
        <v>1</v>
      </c>
      <c r="O413" s="453">
        <f>SUMIFS(Data_Tech!$AM$3:$AM$67,Data_Tech!$E$3:$E$67,"1",Data_Tech!$G$3:$G$67,"3/12",Data_Tech!$F$3:$F$67,B418)</f>
        <v>0</v>
      </c>
      <c r="P413" s="453">
        <f>ROUND(M413*N413*O413,2)</f>
        <v>0</v>
      </c>
      <c r="Q413" s="416">
        <f>IF(D413&lt;=3,база!$L$4,
IF(D413=4,база!$L$5,
IF(D413=5,база!$L$6)))</f>
        <v>210.57480000000001</v>
      </c>
      <c r="R413" s="417">
        <v>1</v>
      </c>
      <c r="S413" s="495">
        <f>SUMIFS(Таблица1[Столбец1],Таблица1[коэф],"1",Таблица1[р/р],"3/16",Таблица1[Ф. И. О.],B418)</f>
        <v>0</v>
      </c>
      <c r="T413" s="490">
        <f t="shared" si="114"/>
        <v>0</v>
      </c>
      <c r="U413" s="471">
        <f>IF(D413&lt;=3,база!$M$4,
IF(D413=4,база!$M$5,
IF(D413=5,база!$M$6)))</f>
        <v>225.09719999999999</v>
      </c>
      <c r="V413" s="378">
        <v>1</v>
      </c>
      <c r="W413" s="497">
        <f>SUMIFS(Таблица1[Столбец1],Таблица1[коэф],"1",Таблица1[р/р],"3/24",Таблица1[Ф. И. О.],B418)</f>
        <v>0</v>
      </c>
      <c r="X413" s="490">
        <f t="shared" si="115"/>
        <v>0</v>
      </c>
      <c r="Y413" s="764">
        <f t="shared" ref="Y413" si="118">SUM(G413:G423,K413:K423,O413:O423,S413:S423,W413:W423)</f>
        <v>0</v>
      </c>
      <c r="Z413" s="766">
        <f t="shared" ref="Z413" si="119">IFERROR(SUM(H413:H423,L413:L423,T413:T423,X413:X423),"")</f>
        <v>0</v>
      </c>
      <c r="AA413" s="756"/>
    </row>
    <row r="414" spans="1:29" ht="18.75">
      <c r="A414" s="756"/>
      <c r="B414" s="215"/>
      <c r="C414" s="759"/>
      <c r="D414" s="762"/>
      <c r="E414" s="393">
        <f>IF(D413&lt;=3,база!$I$4,
IF(D413=4,база!$I$5,
IF(D413=5,база!$I$6)))</f>
        <v>188.7912</v>
      </c>
      <c r="F414" s="390">
        <v>1</v>
      </c>
      <c r="G414" s="400">
        <f>SUMIFS(Таблица1[Столбец1],Таблица1[коэф],"1",Таблица1[р/р],"3/4",Таблица1[Ф. И. О.],B418)</f>
        <v>0</v>
      </c>
      <c r="H414" s="392">
        <f t="shared" si="112"/>
        <v>0</v>
      </c>
      <c r="I414" s="389">
        <f>IF(D413&lt;=3,база!$J$4,
IF(D413=4,база!$J$5,
IF(D413=5,база!$J$6)))</f>
        <v>196.05240000000001</v>
      </c>
      <c r="J414" s="390">
        <v>1</v>
      </c>
      <c r="K414" s="434">
        <f>SUMIFS(Таблица1[Столбец1],Таблица1[коэф],"1",Таблица1[р/р],"3/8",Таблица1[Ф. И. О.],B418)</f>
        <v>0</v>
      </c>
      <c r="L414" s="484">
        <f t="shared" si="113"/>
        <v>0</v>
      </c>
      <c r="M414" s="432"/>
      <c r="N414" s="434">
        <v>1</v>
      </c>
      <c r="O414" s="434">
        <f>SUMIFS(Data_Tech!$AM$3:$AM$67,Data_Tech!$E$3:$E$67,"1",Data_Tech!$G$3:$G$67,"4/12",Data_Tech!$F$3:$F$67,B418)</f>
        <v>0</v>
      </c>
      <c r="P414" s="434">
        <f>ROUND(M414*O414,2)</f>
        <v>0</v>
      </c>
      <c r="Q414" s="399">
        <f>база!$L$5</f>
        <v>231.45480000000001</v>
      </c>
      <c r="R414" s="390">
        <v>1</v>
      </c>
      <c r="S414" s="491">
        <f>SUMIFS(Таблица1[Столбец1],Таблица1[коэф],"1",Таблица1[р/р],"4/16",Таблица1[Ф. И. О.],B418)</f>
        <v>0</v>
      </c>
      <c r="T414" s="492">
        <f t="shared" si="114"/>
        <v>0</v>
      </c>
      <c r="U414" s="472">
        <f>база!$M$5</f>
        <v>247.41720000000001</v>
      </c>
      <c r="V414" s="390">
        <v>1</v>
      </c>
      <c r="W414" s="494">
        <f>SUMIFS(Таблица1[Столбец1],Таблица1[коэф],"1",Таблица1[р/р],"4/24",Таблица1[Ф. И. О.],B418)</f>
        <v>0</v>
      </c>
      <c r="X414" s="492">
        <f t="shared" si="115"/>
        <v>0</v>
      </c>
      <c r="Y414" s="764"/>
      <c r="Z414" s="766"/>
      <c r="AA414" s="756"/>
    </row>
    <row r="415" spans="1:29" ht="18.75">
      <c r="A415" s="756"/>
      <c r="B415" s="215"/>
      <c r="C415" s="759"/>
      <c r="D415" s="762"/>
      <c r="E415" s="393"/>
      <c r="F415" s="390"/>
      <c r="G415" s="400"/>
      <c r="H415" s="392">
        <f t="shared" si="112"/>
        <v>0</v>
      </c>
      <c r="I415" s="389"/>
      <c r="J415" s="390"/>
      <c r="K415" s="434"/>
      <c r="L415" s="484">
        <f t="shared" si="113"/>
        <v>0</v>
      </c>
      <c r="M415" s="432"/>
      <c r="N415" s="434"/>
      <c r="O415" s="434"/>
      <c r="P415" s="434"/>
      <c r="Q415" s="399">
        <f>база!$L$6</f>
        <v>261.04640000000001</v>
      </c>
      <c r="R415" s="390">
        <v>1</v>
      </c>
      <c r="S415" s="491">
        <f>SUMIFS(Таблица1[Столбец1],Таблица1[коэф],"1",Таблица1[р/р],"5/16",Таблица1[Ф. И. О.],B418)</f>
        <v>0</v>
      </c>
      <c r="T415" s="492">
        <f t="shared" si="114"/>
        <v>0</v>
      </c>
      <c r="U415" s="472">
        <f>база!$M$6</f>
        <v>279.0496</v>
      </c>
      <c r="V415" s="390">
        <v>1</v>
      </c>
      <c r="W415" s="494">
        <f>SUMIFS(Таблица1[Столбец1],Таблица1[коэф],"1",Таблица1[р/р],"5/24",Таблица1[Ф. И. О.],B418)</f>
        <v>0</v>
      </c>
      <c r="X415" s="492">
        <f t="shared" si="115"/>
        <v>0</v>
      </c>
      <c r="Y415" s="764"/>
      <c r="Z415" s="766"/>
      <c r="AA415" s="756"/>
    </row>
    <row r="416" spans="1:29" ht="18.75">
      <c r="A416" s="756"/>
      <c r="B416" s="215"/>
      <c r="C416" s="759"/>
      <c r="D416" s="762"/>
      <c r="E416" s="393"/>
      <c r="F416" s="390"/>
      <c r="G416" s="400"/>
      <c r="H416" s="392">
        <f t="shared" si="112"/>
        <v>0</v>
      </c>
      <c r="I416" s="389">
        <f>база!$J$5</f>
        <v>215.4924</v>
      </c>
      <c r="J416" s="390">
        <v>1.5</v>
      </c>
      <c r="K416" s="434">
        <f>SUMIFS(Таблица1[Столбец1],Таблица1[коэф],"1,5",Таблица1[р/р],"4/8",Таблица1[Ф. И. О.],B418)</f>
        <v>0</v>
      </c>
      <c r="L416" s="484">
        <f t="shared" si="113"/>
        <v>0</v>
      </c>
      <c r="M416" s="432"/>
      <c r="N416" s="434"/>
      <c r="O416" s="434"/>
      <c r="P416" s="434"/>
      <c r="Q416" s="399">
        <f>IF(D413&lt;=3,база!$L$4,
IF(D413=4,база!$L$5,
IF(D413=5,база!$L$6)))</f>
        <v>210.57480000000001</v>
      </c>
      <c r="R416" s="390">
        <v>1.2</v>
      </c>
      <c r="S416" s="491">
        <f>SUMIFS(Таблица1[Столбец1],Таблица1[коэф],"1,2",Таблица1[р/р],"3/16",Таблица1[Ф. И. О.],B418)</f>
        <v>0</v>
      </c>
      <c r="T416" s="492">
        <f t="shared" si="114"/>
        <v>0</v>
      </c>
      <c r="U416" s="472">
        <f>IF(D413&lt;=3,база!$M$4,
IF(D413=4,база!$M$5,
IF(D413=5,база!$M$6)))</f>
        <v>225.09719999999999</v>
      </c>
      <c r="V416" s="390">
        <v>1.2</v>
      </c>
      <c r="W416" s="494">
        <f>SUMIFS(Таблица1[Столбец1],Таблица1[коэф],"1,2",Таблица1[р/р],"3/24",Таблица1[Ф. И. О.],B418)</f>
        <v>0</v>
      </c>
      <c r="X416" s="492">
        <f t="shared" si="115"/>
        <v>0</v>
      </c>
      <c r="Y416" s="764"/>
      <c r="Z416" s="766"/>
      <c r="AA416" s="756"/>
    </row>
    <row r="417" spans="1:29" ht="18.75">
      <c r="A417" s="756"/>
      <c r="B417" s="215"/>
      <c r="C417" s="759"/>
      <c r="D417" s="762"/>
      <c r="E417" s="393"/>
      <c r="F417" s="390"/>
      <c r="G417" s="400"/>
      <c r="H417" s="392">
        <f t="shared" si="112"/>
        <v>0</v>
      </c>
      <c r="I417" s="389">
        <f>база!$J$6</f>
        <v>243.04319999999998</v>
      </c>
      <c r="J417" s="390">
        <v>1.5</v>
      </c>
      <c r="K417" s="434">
        <f>SUMIFS(Таблица1[Столбец1],Таблица1[коэф],"1,5",Таблица1[р/р],"5/8",Таблица1[Ф. И. О.],B418)</f>
        <v>0</v>
      </c>
      <c r="L417" s="484">
        <f t="shared" si="113"/>
        <v>0</v>
      </c>
      <c r="M417" s="432"/>
      <c r="N417" s="434"/>
      <c r="O417" s="434"/>
      <c r="P417" s="434"/>
      <c r="Q417" s="399">
        <f>база!$L$5</f>
        <v>231.45480000000001</v>
      </c>
      <c r="R417" s="390">
        <v>1.2</v>
      </c>
      <c r="S417" s="491">
        <f>SUMIFS(Таблица1[Столбец1],Таблица1[коэф],"1,2",Таблица1[р/р],"4/16",Таблица1[Ф. И. О.],B418)</f>
        <v>0</v>
      </c>
      <c r="T417" s="492">
        <f t="shared" si="114"/>
        <v>0</v>
      </c>
      <c r="U417" s="472">
        <f>база!$M$5</f>
        <v>247.41720000000001</v>
      </c>
      <c r="V417" s="390">
        <v>1.2</v>
      </c>
      <c r="W417" s="494">
        <f>SUMIFS(Таблица1[Столбец1],Таблица1[коэф],"1,2",Таблица1[р/р],"4/24",Таблица1[Ф. И. О.],B418)</f>
        <v>0</v>
      </c>
      <c r="X417" s="492">
        <f t="shared" si="115"/>
        <v>0</v>
      </c>
      <c r="Y417" s="764"/>
      <c r="Z417" s="766"/>
      <c r="AA417" s="756"/>
    </row>
    <row r="418" spans="1:29" ht="18" customHeight="1">
      <c r="A418" s="756"/>
      <c r="B418" s="215" t="str">
        <f>база!B39</f>
        <v>Кочеткова Мария Андреевна</v>
      </c>
      <c r="C418" s="759"/>
      <c r="D418" s="762"/>
      <c r="E418" s="393"/>
      <c r="F418" s="390"/>
      <c r="G418" s="400"/>
      <c r="H418" s="392">
        <f t="shared" si="112"/>
        <v>0</v>
      </c>
      <c r="I418" s="389"/>
      <c r="J418" s="390"/>
      <c r="K418" s="434"/>
      <c r="L418" s="484">
        <f t="shared" si="113"/>
        <v>0</v>
      </c>
      <c r="M418" s="432"/>
      <c r="N418" s="434"/>
      <c r="O418" s="434"/>
      <c r="P418" s="434"/>
      <c r="Q418" s="399">
        <f>база!$L$6</f>
        <v>261.04640000000001</v>
      </c>
      <c r="R418" s="390">
        <v>1.2</v>
      </c>
      <c r="S418" s="491">
        <f>SUMIFS(Таблица1[Столбец1],Таблица1[коэф],"1,2",Таблица1[р/р],"5/16",Таблица1[Ф. И. О.],B418)</f>
        <v>0</v>
      </c>
      <c r="T418" s="492">
        <f t="shared" si="114"/>
        <v>0</v>
      </c>
      <c r="U418" s="472">
        <f>база!$M$6</f>
        <v>279.0496</v>
      </c>
      <c r="V418" s="390">
        <v>1.2</v>
      </c>
      <c r="W418" s="494">
        <f>SUMIFS(Таблица1[Столбец1],Таблица1[коэф],"1,2",Таблица1[р/р],"5/24",Таблица1[Ф. И. О.],B418)</f>
        <v>0</v>
      </c>
      <c r="X418" s="492">
        <f t="shared" si="115"/>
        <v>0</v>
      </c>
      <c r="Y418" s="764"/>
      <c r="Z418" s="766"/>
      <c r="AA418" s="756"/>
      <c r="AC418" s="712" t="str">
        <f>IF(SUMIFS(Таблица1[Столбец3],Таблица1[Ф. И. О.],B418)-Z413=0,"",SUMIFS(Таблица1[Столбец3],Таблица1[Ф. И. О.],B418)-Z413)</f>
        <v/>
      </c>
    </row>
    <row r="419" spans="1:29" ht="18.75">
      <c r="A419" s="756"/>
      <c r="B419" s="215"/>
      <c r="C419" s="759"/>
      <c r="D419" s="762"/>
      <c r="E419" s="393"/>
      <c r="F419" s="390"/>
      <c r="G419" s="400"/>
      <c r="H419" s="392">
        <f t="shared" si="112"/>
        <v>0</v>
      </c>
      <c r="I419" s="389"/>
      <c r="J419" s="390"/>
      <c r="K419" s="434"/>
      <c r="L419" s="484">
        <f t="shared" si="113"/>
        <v>0</v>
      </c>
      <c r="M419" s="432"/>
      <c r="N419" s="434"/>
      <c r="O419" s="434"/>
      <c r="P419" s="434"/>
      <c r="Q419" s="399">
        <f>IF(D413&lt;=3,база!$L$4,
IF(D413=4,база!$L$5,
IF(D413=5,база!$L$6)))</f>
        <v>210.57480000000001</v>
      </c>
      <c r="R419" s="390">
        <v>1.3</v>
      </c>
      <c r="S419" s="491">
        <f>SUMIFS(Таблица1[Столбец1],Таблица1[коэф],"1,3",Таблица1[р/р],"3/16",Таблица1[Ф. И. О.],B418)</f>
        <v>0</v>
      </c>
      <c r="T419" s="492">
        <f t="shared" si="114"/>
        <v>0</v>
      </c>
      <c r="U419" s="472">
        <f>IF(D413&lt;=3,база!$M$4,
IF(D413=4,база!$M$5,
IF(D413=5,база!$M$6)))</f>
        <v>225.09719999999999</v>
      </c>
      <c r="V419" s="390">
        <v>1.3</v>
      </c>
      <c r="W419" s="494">
        <f>SUMIFS(Таблица1[Столбец1],Таблица1[коэф],"1,3",Таблица1[р/р],"3/24",Таблица1[Ф. И. О.],B418)</f>
        <v>0</v>
      </c>
      <c r="X419" s="492">
        <f t="shared" si="115"/>
        <v>0</v>
      </c>
      <c r="Y419" s="764"/>
      <c r="Z419" s="766"/>
      <c r="AA419" s="756"/>
      <c r="AC419" s="712" t="str">
        <f>IF(SUMIFS(Таблица1[Столбец1],Таблица1[Ф. И. О.],B418)=Y413,"",B418&amp;"  часы не верны")</f>
        <v/>
      </c>
    </row>
    <row r="420" spans="1:29" ht="18.75">
      <c r="A420" s="756"/>
      <c r="B420" s="215"/>
      <c r="C420" s="759"/>
      <c r="D420" s="762"/>
      <c r="E420" s="393"/>
      <c r="F420" s="390"/>
      <c r="G420" s="400"/>
      <c r="H420" s="392">
        <f t="shared" si="112"/>
        <v>0</v>
      </c>
      <c r="I420" s="389"/>
      <c r="J420" s="390"/>
      <c r="K420" s="434"/>
      <c r="L420" s="484">
        <f t="shared" si="113"/>
        <v>0</v>
      </c>
      <c r="M420" s="432"/>
      <c r="N420" s="434"/>
      <c r="O420" s="434"/>
      <c r="P420" s="434"/>
      <c r="Q420" s="399">
        <f>база!$L$5</f>
        <v>231.45480000000001</v>
      </c>
      <c r="R420" s="390">
        <v>1.3</v>
      </c>
      <c r="S420" s="491">
        <f>SUMIFS(Таблица1[Столбец1],Таблица1[коэф],"1,3",Таблица1[р/р],"4/16",Таблица1[Ф. И. О.],B418)</f>
        <v>0</v>
      </c>
      <c r="T420" s="492">
        <f t="shared" si="114"/>
        <v>0</v>
      </c>
      <c r="U420" s="472">
        <f>база!$M$5</f>
        <v>247.41720000000001</v>
      </c>
      <c r="V420" s="390">
        <v>1.3</v>
      </c>
      <c r="W420" s="494">
        <f>SUMIFS(Таблица1[Столбец1],Таблица1[коэф],"1,3",Таблица1[р/р],"4/24",Таблица1[Ф. И. О.],B418)</f>
        <v>0</v>
      </c>
      <c r="X420" s="492">
        <f t="shared" si="115"/>
        <v>0</v>
      </c>
      <c r="Y420" s="764"/>
      <c r="Z420" s="766"/>
      <c r="AA420" s="756"/>
    </row>
    <row r="421" spans="1:29" ht="18.75">
      <c r="A421" s="756"/>
      <c r="B421" s="215"/>
      <c r="C421" s="759"/>
      <c r="D421" s="762"/>
      <c r="E421" s="393"/>
      <c r="F421" s="390"/>
      <c r="G421" s="400"/>
      <c r="H421" s="392">
        <f t="shared" si="112"/>
        <v>0</v>
      </c>
      <c r="I421" s="389"/>
      <c r="J421" s="390"/>
      <c r="K421" s="434"/>
      <c r="L421" s="484">
        <f t="shared" si="113"/>
        <v>0</v>
      </c>
      <c r="M421" s="432"/>
      <c r="N421" s="434"/>
      <c r="O421" s="434"/>
      <c r="P421" s="434"/>
      <c r="Q421" s="399">
        <f>IF(D413&lt;=3,база!$L$4,
IF(D413=4,база!$L$5,
IF(D413=5,база!$L$6)))</f>
        <v>210.57480000000001</v>
      </c>
      <c r="R421" s="390">
        <v>1.4</v>
      </c>
      <c r="S421" s="491">
        <f>SUMIFS(Таблица1[Столбец1],Таблица1[коэф],"1,4",Таблица1[р/р],"3/16",Таблица1[Ф. И. О.],B418)</f>
        <v>0</v>
      </c>
      <c r="T421" s="492">
        <f t="shared" si="114"/>
        <v>0</v>
      </c>
      <c r="U421" s="472">
        <f>IF(D413&lt;=3,база!$M$4,
IF(D413=4,база!$M$5,
IF(D413=5,база!$M$6)))</f>
        <v>225.09719999999999</v>
      </c>
      <c r="V421" s="390">
        <v>1.4</v>
      </c>
      <c r="W421" s="494">
        <f>SUMIFS(Таблица1[Столбец1],Таблица1[коэф],"1,4",Таблица1[р/р],"3/24",Таблица1[Ф. И. О.],B418)</f>
        <v>0</v>
      </c>
      <c r="X421" s="492">
        <f t="shared" si="115"/>
        <v>0</v>
      </c>
      <c r="Y421" s="764"/>
      <c r="Z421" s="766"/>
      <c r="AA421" s="756"/>
    </row>
    <row r="422" spans="1:29" ht="18.75">
      <c r="A422" s="756"/>
      <c r="B422" s="215"/>
      <c r="C422" s="759"/>
      <c r="D422" s="762"/>
      <c r="E422" s="393"/>
      <c r="F422" s="390"/>
      <c r="G422" s="400"/>
      <c r="H422" s="392">
        <f t="shared" si="112"/>
        <v>0</v>
      </c>
      <c r="I422" s="389"/>
      <c r="J422" s="390"/>
      <c r="K422" s="434"/>
      <c r="L422" s="395">
        <f t="shared" si="113"/>
        <v>0</v>
      </c>
      <c r="M422" s="432"/>
      <c r="N422" s="434"/>
      <c r="O422" s="434"/>
      <c r="P422" s="434"/>
      <c r="Q422" s="399">
        <f>база!$L$5</f>
        <v>231.45480000000001</v>
      </c>
      <c r="R422" s="390">
        <v>1.4</v>
      </c>
      <c r="S422" s="491">
        <f>SUMIFS(Таблица1[Столбец1],Таблица1[коэф],"1,4",Таблица1[р/р],"4/16",Таблица1[Ф. И. О.],B418)</f>
        <v>0</v>
      </c>
      <c r="T422" s="492">
        <f t="shared" si="114"/>
        <v>0</v>
      </c>
      <c r="U422" s="472">
        <f>база!$M$5</f>
        <v>247.41720000000001</v>
      </c>
      <c r="V422" s="390">
        <v>1.4</v>
      </c>
      <c r="W422" s="494">
        <f>SUMIFS(Таблица1[Столбец1],Таблица1[коэф],"1,4",Таблица1[р/р],"4/24",Таблица1[Ф. И. О.],B418)</f>
        <v>0</v>
      </c>
      <c r="X422" s="492">
        <f t="shared" si="115"/>
        <v>0</v>
      </c>
      <c r="Y422" s="764"/>
      <c r="Z422" s="766"/>
      <c r="AA422" s="756"/>
    </row>
    <row r="423" spans="1:29" ht="19.5" thickBot="1">
      <c r="A423" s="757"/>
      <c r="B423" s="202"/>
      <c r="C423" s="760"/>
      <c r="D423" s="763"/>
      <c r="E423" s="463"/>
      <c r="F423" s="464"/>
      <c r="G423" s="465"/>
      <c r="H423" s="468">
        <f t="shared" si="112"/>
        <v>0</v>
      </c>
      <c r="I423" s="473"/>
      <c r="J423" s="464"/>
      <c r="K423" s="457"/>
      <c r="L423" s="458">
        <f t="shared" si="113"/>
        <v>0</v>
      </c>
      <c r="M423" s="466"/>
      <c r="N423" s="457"/>
      <c r="O423" s="457"/>
      <c r="P423" s="457"/>
      <c r="Q423" s="467">
        <f>база!$L$6</f>
        <v>261.04640000000001</v>
      </c>
      <c r="R423" s="464">
        <v>1.4</v>
      </c>
      <c r="S423" s="512">
        <f>SUMIFS(Таблица1[Столбец1],Таблица1[коэф],"1,4",Таблица1[р/р],"5/16",Таблица1[Ф. И. О.],B418)</f>
        <v>0</v>
      </c>
      <c r="T423" s="513">
        <f t="shared" si="114"/>
        <v>0</v>
      </c>
      <c r="U423" s="474">
        <f>база!$M$6</f>
        <v>279.0496</v>
      </c>
      <c r="V423" s="464">
        <v>1.4</v>
      </c>
      <c r="W423" s="501">
        <f>SUMIFS(Таблица1[Столбец1],Таблица1[коэф],"1,4",Таблица1[р/р],"5/24",Таблица1[Ф. И. О.],B418)</f>
        <v>0</v>
      </c>
      <c r="X423" s="513">
        <f t="shared" si="115"/>
        <v>0</v>
      </c>
      <c r="Y423" s="765"/>
      <c r="Z423" s="767"/>
      <c r="AA423" s="757"/>
    </row>
    <row r="424" spans="1:29" ht="18.75" collapsed="1">
      <c r="A424" s="755">
        <v>39</v>
      </c>
      <c r="B424" s="235"/>
      <c r="C424" s="758">
        <f>INDEX(база!$E$2:$E$81, MATCH(B429,база!$B$2:$B$50,0))</f>
        <v>16944</v>
      </c>
      <c r="D424" s="761">
        <f>INDEX(база!$D$2:$D$89, MATCH(B429,база!$B$2:$B$50,0))</f>
        <v>3</v>
      </c>
      <c r="E424" s="451">
        <f>IF(D424&lt;=3,база!$I$4,
IF(D424=4,база!$I$5,
IF(D424=5,база!$I$6)))</f>
        <v>188.7912</v>
      </c>
      <c r="F424" s="417">
        <v>1</v>
      </c>
      <c r="G424" s="418">
        <f>SUMIFS(Таблица1[Столбец1],Таблица1[коэф],"1",Таблица1[р/р],"2/4",Таблица1[Ф. И. О.],B429)</f>
        <v>0</v>
      </c>
      <c r="H424" s="402">
        <f t="shared" ref="H424:H434" si="120">ROUND(E424*F424*G424*2,2)</f>
        <v>0</v>
      </c>
      <c r="I424" s="377">
        <f>IF(D424&lt;=3,база!$J$4,
IF(D424=4,база!$J$5,
IF(D424=5,база!$J$6)))</f>
        <v>196.05240000000001</v>
      </c>
      <c r="J424" s="378">
        <v>1</v>
      </c>
      <c r="K424" s="428">
        <f>SUMIFS(Таблица1[Столбец1],Таблица1[коэф],"1",Таблица1[р/р],"2/8",Таблица1[Ф. И. О.],B429)</f>
        <v>0</v>
      </c>
      <c r="L424" s="383">
        <f t="shared" ref="L424:L434" si="121">ROUND(I424*J424*K424*2,2)</f>
        <v>0</v>
      </c>
      <c r="M424" s="452"/>
      <c r="N424" s="453">
        <v>1</v>
      </c>
      <c r="O424" s="453">
        <f>SUMIFS(Data_Tech!$AM$3:$AM$67,Data_Tech!$E$3:$E$67,"1",Data_Tech!$G$3:$G$67,"3/12",Data_Tech!$F$3:$F$67,B429)</f>
        <v>0</v>
      </c>
      <c r="P424" s="453">
        <f>ROUND(M424*N424*O424,2)</f>
        <v>0</v>
      </c>
      <c r="Q424" s="416">
        <f>IF(D424&lt;=3,база!$L$4,
IF(D424=4,база!$L$5,
IF(D424=5,база!$L$6)))</f>
        <v>210.57480000000001</v>
      </c>
      <c r="R424" s="417">
        <v>1</v>
      </c>
      <c r="S424" s="495">
        <f>SUMIFS(Таблица1[Столбец1],Таблица1[коэф],"1",Таблица1[р/р],"3/16",Таблица1[Ф. И. О.],B429)</f>
        <v>0</v>
      </c>
      <c r="T424" s="490">
        <f t="shared" ref="T424:T434" si="122">ROUND(Q424*R424*S424*2,2)</f>
        <v>0</v>
      </c>
      <c r="U424" s="471">
        <f>IF(D424&lt;=3,база!$M$4,
IF(D424=4,база!$M$5,
IF(D424=5,база!$M$6)))</f>
        <v>225.09719999999999</v>
      </c>
      <c r="V424" s="378">
        <v>1</v>
      </c>
      <c r="W424" s="497">
        <f>SUMIFS(Таблица1[Столбец1],Таблица1[коэф],"1",Таблица1[р/р],"3/24",Таблица1[Ф. И. О.],B429)</f>
        <v>0</v>
      </c>
      <c r="X424" s="490">
        <f t="shared" ref="X424:X434" si="123">ROUND(U424*V424*W424*2,2)</f>
        <v>0</v>
      </c>
      <c r="Y424" s="764">
        <f t="shared" ref="Y424" si="124">SUM(G424:G434,K424:K434,O424:O434,S424:S434,W424:W434)</f>
        <v>0</v>
      </c>
      <c r="Z424" s="766">
        <f t="shared" ref="Z424" si="125">IFERROR(SUM(H424:H434,L424:L434,T424:T434,X424:X434),"")</f>
        <v>0</v>
      </c>
      <c r="AA424" s="756"/>
    </row>
    <row r="425" spans="1:29" ht="18.75">
      <c r="A425" s="756"/>
      <c r="B425" s="215"/>
      <c r="C425" s="759"/>
      <c r="D425" s="762"/>
      <c r="E425" s="393">
        <f>IF(D424&lt;=3,база!$I$4,
IF(D424=4,база!$I$5,
IF(D424=5,база!$I$6)))</f>
        <v>188.7912</v>
      </c>
      <c r="F425" s="390">
        <v>1</v>
      </c>
      <c r="G425" s="400">
        <f>SUMIFS(Таблица1[Столбец1],Таблица1[коэф],"1",Таблица1[р/р],"3/4",Таблица1[Ф. И. О.],B429)</f>
        <v>0</v>
      </c>
      <c r="H425" s="392">
        <f t="shared" si="120"/>
        <v>0</v>
      </c>
      <c r="I425" s="389">
        <f>IF(D424&lt;=3,база!$J$4,
IF(D424=4,база!$J$5,
IF(D424=5,база!$J$6)))</f>
        <v>196.05240000000001</v>
      </c>
      <c r="J425" s="390">
        <v>1</v>
      </c>
      <c r="K425" s="434">
        <f>SUMIFS(Таблица1[Столбец1],Таблица1[коэф],"1",Таблица1[р/р],"3/8",Таблица1[Ф. И. О.],B429)</f>
        <v>0</v>
      </c>
      <c r="L425" s="484">
        <f t="shared" si="121"/>
        <v>0</v>
      </c>
      <c r="M425" s="432"/>
      <c r="N425" s="434">
        <v>1</v>
      </c>
      <c r="O425" s="434">
        <f>SUMIFS(Data_Tech!$AM$3:$AM$67,Data_Tech!$E$3:$E$67,"1",Data_Tech!$G$3:$G$67,"4/12",Data_Tech!$F$3:$F$67,B429)</f>
        <v>0</v>
      </c>
      <c r="P425" s="434">
        <f>ROUND(M425*O425,2)</f>
        <v>0</v>
      </c>
      <c r="Q425" s="399">
        <f>база!$L$5</f>
        <v>231.45480000000001</v>
      </c>
      <c r="R425" s="390">
        <v>1</v>
      </c>
      <c r="S425" s="491">
        <f>SUMIFS(Таблица1[Столбец1],Таблица1[коэф],"1",Таблица1[р/р],"4/16",Таблица1[Ф. И. О.],B429)</f>
        <v>0</v>
      </c>
      <c r="T425" s="492">
        <f t="shared" si="122"/>
        <v>0</v>
      </c>
      <c r="U425" s="472">
        <f>база!$M$5</f>
        <v>247.41720000000001</v>
      </c>
      <c r="V425" s="390">
        <v>1</v>
      </c>
      <c r="W425" s="494">
        <f>SUMIFS(Таблица1[Столбец1],Таблица1[коэф],"1",Таблица1[р/р],"4/24",Таблица1[Ф. И. О.],B429)</f>
        <v>0</v>
      </c>
      <c r="X425" s="492">
        <f t="shared" si="123"/>
        <v>0</v>
      </c>
      <c r="Y425" s="764"/>
      <c r="Z425" s="766"/>
      <c r="AA425" s="756"/>
    </row>
    <row r="426" spans="1:29" ht="18.75">
      <c r="A426" s="756"/>
      <c r="B426" s="215"/>
      <c r="C426" s="759"/>
      <c r="D426" s="762"/>
      <c r="E426" s="393"/>
      <c r="F426" s="390"/>
      <c r="G426" s="400"/>
      <c r="H426" s="392">
        <f t="shared" si="120"/>
        <v>0</v>
      </c>
      <c r="I426" s="389"/>
      <c r="J426" s="390"/>
      <c r="K426" s="434"/>
      <c r="L426" s="484">
        <f t="shared" si="121"/>
        <v>0</v>
      </c>
      <c r="M426" s="432"/>
      <c r="N426" s="434"/>
      <c r="O426" s="434"/>
      <c r="P426" s="434"/>
      <c r="Q426" s="399">
        <f>база!$L$6</f>
        <v>261.04640000000001</v>
      </c>
      <c r="R426" s="390">
        <v>1</v>
      </c>
      <c r="S426" s="491">
        <f>SUMIFS(Таблица1[Столбец1],Таблица1[коэф],"1",Таблица1[р/р],"5/16",Таблица1[Ф. И. О.],B429)</f>
        <v>0</v>
      </c>
      <c r="T426" s="492">
        <f t="shared" si="122"/>
        <v>0</v>
      </c>
      <c r="U426" s="472">
        <f>база!$M$6</f>
        <v>279.0496</v>
      </c>
      <c r="V426" s="390">
        <v>1</v>
      </c>
      <c r="W426" s="494">
        <f>SUMIFS(Таблица1[Столбец1],Таблица1[коэф],"1",Таблица1[р/р],"5/24",Таблица1[Ф. И. О.],B429)</f>
        <v>0</v>
      </c>
      <c r="X426" s="492">
        <f t="shared" si="123"/>
        <v>0</v>
      </c>
      <c r="Y426" s="764"/>
      <c r="Z426" s="766"/>
      <c r="AA426" s="756"/>
    </row>
    <row r="427" spans="1:29" ht="18.75">
      <c r="A427" s="756"/>
      <c r="B427" s="215"/>
      <c r="C427" s="759"/>
      <c r="D427" s="762"/>
      <c r="E427" s="393"/>
      <c r="F427" s="390"/>
      <c r="G427" s="400"/>
      <c r="H427" s="392">
        <f t="shared" si="120"/>
        <v>0</v>
      </c>
      <c r="I427" s="389">
        <f>база!$J$5</f>
        <v>215.4924</v>
      </c>
      <c r="J427" s="390">
        <v>1.5</v>
      </c>
      <c r="K427" s="434">
        <f>SUMIFS(Таблица1[Столбец1],Таблица1[коэф],"1,5",Таблица1[р/р],"4/8",Таблица1[Ф. И. О.],B429)</f>
        <v>0</v>
      </c>
      <c r="L427" s="484">
        <f t="shared" si="121"/>
        <v>0</v>
      </c>
      <c r="M427" s="432"/>
      <c r="N427" s="434"/>
      <c r="O427" s="434"/>
      <c r="P427" s="434"/>
      <c r="Q427" s="399">
        <f>IF(D424&lt;=3,база!$L$4,
IF(D424=4,база!$L$5,
IF(D424=5,база!$L$6)))</f>
        <v>210.57480000000001</v>
      </c>
      <c r="R427" s="390">
        <v>1.2</v>
      </c>
      <c r="S427" s="491">
        <f>SUMIFS(Таблица1[Столбец1],Таблица1[коэф],"1,2",Таблица1[р/р],"3/16",Таблица1[Ф. И. О.],B429)</f>
        <v>0</v>
      </c>
      <c r="T427" s="492">
        <f t="shared" si="122"/>
        <v>0</v>
      </c>
      <c r="U427" s="472">
        <f>IF(D424&lt;=3,база!$M$4,
IF(D424=4,база!$M$5,
IF(D424=5,база!$M$6)))</f>
        <v>225.09719999999999</v>
      </c>
      <c r="V427" s="390">
        <v>1.2</v>
      </c>
      <c r="W427" s="494">
        <f>SUMIFS(Таблица1[Столбец1],Таблица1[коэф],"1,2",Таблица1[р/р],"3/24",Таблица1[Ф. И. О.],B429)</f>
        <v>0</v>
      </c>
      <c r="X427" s="492">
        <f t="shared" si="123"/>
        <v>0</v>
      </c>
      <c r="Y427" s="764"/>
      <c r="Z427" s="766"/>
      <c r="AA427" s="756"/>
    </row>
    <row r="428" spans="1:29" ht="18.75">
      <c r="A428" s="756"/>
      <c r="B428" s="215"/>
      <c r="C428" s="759"/>
      <c r="D428" s="762"/>
      <c r="E428" s="393"/>
      <c r="F428" s="390"/>
      <c r="G428" s="400"/>
      <c r="H428" s="392">
        <f t="shared" si="120"/>
        <v>0</v>
      </c>
      <c r="I428" s="389">
        <f>база!$J$6</f>
        <v>243.04319999999998</v>
      </c>
      <c r="J428" s="390">
        <v>1.5</v>
      </c>
      <c r="K428" s="434">
        <f>SUMIFS(Таблица1[Столбец1],Таблица1[коэф],"1,5",Таблица1[р/р],"5/8",Таблица1[Ф. И. О.],B429)</f>
        <v>0</v>
      </c>
      <c r="L428" s="484">
        <f t="shared" si="121"/>
        <v>0</v>
      </c>
      <c r="M428" s="432"/>
      <c r="N428" s="434"/>
      <c r="O428" s="434"/>
      <c r="P428" s="434"/>
      <c r="Q428" s="399">
        <f>база!$L$5</f>
        <v>231.45480000000001</v>
      </c>
      <c r="R428" s="390">
        <v>1.2</v>
      </c>
      <c r="S428" s="491">
        <f>SUMIFS(Таблица1[Столбец1],Таблица1[коэф],"1,2",Таблица1[р/р],"4/16",Таблица1[Ф. И. О.],B429)</f>
        <v>0</v>
      </c>
      <c r="T428" s="492">
        <f t="shared" si="122"/>
        <v>0</v>
      </c>
      <c r="U428" s="472">
        <f>база!$M$5</f>
        <v>247.41720000000001</v>
      </c>
      <c r="V428" s="390">
        <v>1.2</v>
      </c>
      <c r="W428" s="494">
        <f>SUMIFS(Таблица1[Столбец1],Таблица1[коэф],"1,2",Таблица1[р/р],"4/24",Таблица1[Ф. И. О.],B429)</f>
        <v>0</v>
      </c>
      <c r="X428" s="492">
        <f t="shared" si="123"/>
        <v>0</v>
      </c>
      <c r="Y428" s="764"/>
      <c r="Z428" s="766"/>
      <c r="AA428" s="756"/>
    </row>
    <row r="429" spans="1:29" ht="18" customHeight="1">
      <c r="A429" s="756"/>
      <c r="B429" s="215" t="str">
        <f>база!B40</f>
        <v>Кравченко Светлана Александровна</v>
      </c>
      <c r="C429" s="759"/>
      <c r="D429" s="762"/>
      <c r="E429" s="393"/>
      <c r="F429" s="390"/>
      <c r="G429" s="400"/>
      <c r="H429" s="392">
        <f t="shared" si="120"/>
        <v>0</v>
      </c>
      <c r="I429" s="389"/>
      <c r="J429" s="390"/>
      <c r="K429" s="434"/>
      <c r="L429" s="484">
        <f t="shared" si="121"/>
        <v>0</v>
      </c>
      <c r="M429" s="432"/>
      <c r="N429" s="434"/>
      <c r="O429" s="434"/>
      <c r="P429" s="434"/>
      <c r="Q429" s="399">
        <f>база!$L$6</f>
        <v>261.04640000000001</v>
      </c>
      <c r="R429" s="390">
        <v>1.2</v>
      </c>
      <c r="S429" s="491">
        <f>SUMIFS(Таблица1[Столбец1],Таблица1[коэф],"1,2",Таблица1[р/р],"5/16",Таблица1[Ф. И. О.],B429)</f>
        <v>0</v>
      </c>
      <c r="T429" s="492">
        <f t="shared" si="122"/>
        <v>0</v>
      </c>
      <c r="U429" s="472">
        <f>база!$M$6</f>
        <v>279.0496</v>
      </c>
      <c r="V429" s="390">
        <v>1.2</v>
      </c>
      <c r="W429" s="494">
        <f>SUMIFS(Таблица1[Столбец1],Таблица1[коэф],"1,2",Таблица1[р/р],"5/24",Таблица1[Ф. И. О.],B429)</f>
        <v>0</v>
      </c>
      <c r="X429" s="492">
        <f t="shared" si="123"/>
        <v>0</v>
      </c>
      <c r="Y429" s="764"/>
      <c r="Z429" s="766"/>
      <c r="AA429" s="756"/>
      <c r="AC429" s="712" t="str">
        <f>IF(SUMIFS(Таблица1[Столбец3],Таблица1[Ф. И. О.],B429)-Z424=0,"",SUMIFS(Таблица1[Столбец3],Таблица1[Ф. И. О.],B429)-Z424)</f>
        <v/>
      </c>
    </row>
    <row r="430" spans="1:29" ht="18.75">
      <c r="A430" s="756"/>
      <c r="B430" s="215"/>
      <c r="C430" s="759"/>
      <c r="D430" s="762"/>
      <c r="E430" s="393"/>
      <c r="F430" s="390"/>
      <c r="G430" s="400"/>
      <c r="H430" s="392">
        <f t="shared" si="120"/>
        <v>0</v>
      </c>
      <c r="I430" s="389"/>
      <c r="J430" s="390"/>
      <c r="K430" s="434"/>
      <c r="L430" s="484">
        <f t="shared" si="121"/>
        <v>0</v>
      </c>
      <c r="M430" s="432"/>
      <c r="N430" s="434"/>
      <c r="O430" s="434"/>
      <c r="P430" s="434"/>
      <c r="Q430" s="399">
        <f>IF(D424&lt;=3,база!$L$4,
IF(D424=4,база!$L$5,
IF(D424=5,база!$L$6)))</f>
        <v>210.57480000000001</v>
      </c>
      <c r="R430" s="390">
        <v>1.3</v>
      </c>
      <c r="S430" s="491">
        <f>SUMIFS(Таблица1[Столбец1],Таблица1[коэф],"1,3",Таблица1[р/р],"3/16",Таблица1[Ф. И. О.],B429)</f>
        <v>0</v>
      </c>
      <c r="T430" s="492">
        <f t="shared" si="122"/>
        <v>0</v>
      </c>
      <c r="U430" s="472">
        <f>IF(D424&lt;=3,база!$M$4,
IF(D424=4,база!$M$5,
IF(D424=5,база!$M$6)))</f>
        <v>225.09719999999999</v>
      </c>
      <c r="V430" s="390">
        <v>1.3</v>
      </c>
      <c r="W430" s="494">
        <f>SUMIFS(Таблица1[Столбец1],Таблица1[коэф],"1,3",Таблица1[р/р],"3/24",Таблица1[Ф. И. О.],B429)</f>
        <v>0</v>
      </c>
      <c r="X430" s="492">
        <f t="shared" si="123"/>
        <v>0</v>
      </c>
      <c r="Y430" s="764"/>
      <c r="Z430" s="766"/>
      <c r="AA430" s="756"/>
      <c r="AC430" s="712" t="str">
        <f>IF(SUMIFS(Таблица1[Столбец1],Таблица1[Ф. И. О.],B429)=Y424,"",B429&amp;"  часы не верны")</f>
        <v/>
      </c>
    </row>
    <row r="431" spans="1:29" ht="18.75">
      <c r="A431" s="756"/>
      <c r="B431" s="215"/>
      <c r="C431" s="759"/>
      <c r="D431" s="762"/>
      <c r="E431" s="393"/>
      <c r="F431" s="390"/>
      <c r="G431" s="400"/>
      <c r="H431" s="392">
        <f t="shared" si="120"/>
        <v>0</v>
      </c>
      <c r="I431" s="389"/>
      <c r="J431" s="390"/>
      <c r="K431" s="434"/>
      <c r="L431" s="484">
        <f t="shared" si="121"/>
        <v>0</v>
      </c>
      <c r="M431" s="432"/>
      <c r="N431" s="434"/>
      <c r="O431" s="434"/>
      <c r="P431" s="434"/>
      <c r="Q431" s="399">
        <f>база!$L$5</f>
        <v>231.45480000000001</v>
      </c>
      <c r="R431" s="390">
        <v>1.3</v>
      </c>
      <c r="S431" s="491">
        <f>SUMIFS(Таблица1[Столбец1],Таблица1[коэф],"1,3",Таблица1[р/р],"4/16",Таблица1[Ф. И. О.],B429)</f>
        <v>0</v>
      </c>
      <c r="T431" s="492">
        <f t="shared" si="122"/>
        <v>0</v>
      </c>
      <c r="U431" s="472">
        <f>база!$M$5</f>
        <v>247.41720000000001</v>
      </c>
      <c r="V431" s="390">
        <v>1.3</v>
      </c>
      <c r="W431" s="494">
        <f>SUMIFS(Таблица1[Столбец1],Таблица1[коэф],"1,3",Таблица1[р/р],"4/24",Таблица1[Ф. И. О.],B429)</f>
        <v>0</v>
      </c>
      <c r="X431" s="492">
        <f t="shared" si="123"/>
        <v>0</v>
      </c>
      <c r="Y431" s="764"/>
      <c r="Z431" s="766"/>
      <c r="AA431" s="756"/>
    </row>
    <row r="432" spans="1:29" ht="18.75">
      <c r="A432" s="756"/>
      <c r="B432" s="215"/>
      <c r="C432" s="759"/>
      <c r="D432" s="762"/>
      <c r="E432" s="393"/>
      <c r="F432" s="390"/>
      <c r="G432" s="400"/>
      <c r="H432" s="392">
        <f t="shared" si="120"/>
        <v>0</v>
      </c>
      <c r="I432" s="389"/>
      <c r="J432" s="390"/>
      <c r="K432" s="434"/>
      <c r="L432" s="484">
        <f t="shared" si="121"/>
        <v>0</v>
      </c>
      <c r="M432" s="432"/>
      <c r="N432" s="434"/>
      <c r="O432" s="434"/>
      <c r="P432" s="434"/>
      <c r="Q432" s="399">
        <f>IF(D424&lt;=3,база!$L$4,
IF(D424=4,база!$L$5,
IF(D424=5,база!$L$6)))</f>
        <v>210.57480000000001</v>
      </c>
      <c r="R432" s="390">
        <v>1.4</v>
      </c>
      <c r="S432" s="491">
        <f>SUMIFS(Таблица1[Столбец1],Таблица1[коэф],"1,4",Таблица1[р/р],"3/16",Таблица1[Ф. И. О.],B429)</f>
        <v>0</v>
      </c>
      <c r="T432" s="492">
        <f t="shared" si="122"/>
        <v>0</v>
      </c>
      <c r="U432" s="472">
        <f>IF(D424&lt;=3,база!$M$4,
IF(D424=4,база!$M$5,
IF(D424=5,база!$M$6)))</f>
        <v>225.09719999999999</v>
      </c>
      <c r="V432" s="390">
        <v>1.4</v>
      </c>
      <c r="W432" s="494">
        <f>SUMIFS(Таблица1[Столбец1],Таблица1[коэф],"1,4",Таблица1[р/р],"3/24",Таблица1[Ф. И. О.],B429)</f>
        <v>0</v>
      </c>
      <c r="X432" s="492">
        <f t="shared" si="123"/>
        <v>0</v>
      </c>
      <c r="Y432" s="764"/>
      <c r="Z432" s="766"/>
      <c r="AA432" s="756"/>
    </row>
    <row r="433" spans="1:29" ht="18.75">
      <c r="A433" s="756"/>
      <c r="B433" s="215"/>
      <c r="C433" s="759"/>
      <c r="D433" s="762"/>
      <c r="E433" s="393"/>
      <c r="F433" s="390"/>
      <c r="G433" s="400"/>
      <c r="H433" s="392">
        <f t="shared" si="120"/>
        <v>0</v>
      </c>
      <c r="I433" s="389"/>
      <c r="J433" s="390"/>
      <c r="K433" s="434"/>
      <c r="L433" s="395">
        <f t="shared" si="121"/>
        <v>0</v>
      </c>
      <c r="M433" s="432"/>
      <c r="N433" s="434"/>
      <c r="O433" s="434"/>
      <c r="P433" s="434"/>
      <c r="Q433" s="399">
        <f>база!$L$5</f>
        <v>231.45480000000001</v>
      </c>
      <c r="R433" s="390">
        <v>1.4</v>
      </c>
      <c r="S433" s="491">
        <f>SUMIFS(Таблица1[Столбец1],Таблица1[коэф],"1,4",Таблица1[р/р],"4/16",Таблица1[Ф. И. О.],B429)</f>
        <v>0</v>
      </c>
      <c r="T433" s="492">
        <f t="shared" si="122"/>
        <v>0</v>
      </c>
      <c r="U433" s="472">
        <f>база!$M$5</f>
        <v>247.41720000000001</v>
      </c>
      <c r="V433" s="390">
        <v>1.4</v>
      </c>
      <c r="W433" s="494">
        <f>SUMIFS(Таблица1[Столбец1],Таблица1[коэф],"1,4",Таблица1[р/р],"4/24",Таблица1[Ф. И. О.],B429)</f>
        <v>0</v>
      </c>
      <c r="X433" s="492">
        <f t="shared" si="123"/>
        <v>0</v>
      </c>
      <c r="Y433" s="764"/>
      <c r="Z433" s="766"/>
      <c r="AA433" s="756"/>
    </row>
    <row r="434" spans="1:29" ht="19.5" thickBot="1">
      <c r="A434" s="757"/>
      <c r="B434" s="202"/>
      <c r="C434" s="760"/>
      <c r="D434" s="763"/>
      <c r="E434" s="463"/>
      <c r="F434" s="464"/>
      <c r="G434" s="465"/>
      <c r="H434" s="468">
        <f t="shared" si="120"/>
        <v>0</v>
      </c>
      <c r="I434" s="473"/>
      <c r="J434" s="464"/>
      <c r="K434" s="457"/>
      <c r="L434" s="458">
        <f t="shared" si="121"/>
        <v>0</v>
      </c>
      <c r="M434" s="466"/>
      <c r="N434" s="457"/>
      <c r="O434" s="457"/>
      <c r="P434" s="457"/>
      <c r="Q434" s="467">
        <f>база!$L$6</f>
        <v>261.04640000000001</v>
      </c>
      <c r="R434" s="464">
        <v>1.4</v>
      </c>
      <c r="S434" s="512">
        <f>SUMIFS(Таблица1[Столбец1],Таблица1[коэф],"1,4",Таблица1[р/р],"5/16",Таблица1[Ф. И. О.],B429)</f>
        <v>0</v>
      </c>
      <c r="T434" s="513">
        <f t="shared" si="122"/>
        <v>0</v>
      </c>
      <c r="U434" s="474">
        <f>база!$M$6</f>
        <v>279.0496</v>
      </c>
      <c r="V434" s="464">
        <v>1.4</v>
      </c>
      <c r="W434" s="501">
        <f>SUMIFS(Таблица1[Столбец1],Таблица1[коэф],"1,4",Таблица1[р/р],"5/24",Таблица1[Ф. И. О.],B429)</f>
        <v>0</v>
      </c>
      <c r="X434" s="513">
        <f t="shared" si="123"/>
        <v>0</v>
      </c>
      <c r="Y434" s="765"/>
      <c r="Z434" s="767"/>
      <c r="AA434" s="757"/>
    </row>
    <row r="435" spans="1:29" ht="18.75" collapsed="1">
      <c r="A435" s="755">
        <v>40</v>
      </c>
      <c r="B435" s="235"/>
      <c r="C435" s="758">
        <f>INDEX(база!$E$2:$E$81, MATCH(B440,база!$B$2:$B$50,0))</f>
        <v>17281</v>
      </c>
      <c r="D435" s="761">
        <f>INDEX(база!$D$2:$D$89, MATCH(B440,база!$B$2:$B$50,0))</f>
        <v>3</v>
      </c>
      <c r="E435" s="451">
        <f>IF(D435&lt;=3,база!$I$4,
IF(D435=4,база!$I$5,
IF(D435=5,база!$I$6)))</f>
        <v>188.7912</v>
      </c>
      <c r="F435" s="417">
        <v>1</v>
      </c>
      <c r="G435" s="418">
        <f>SUMIFS(Таблица1[Столбец1],Таблица1[коэф],"1",Таблица1[р/р],"2/4",Таблица1[Ф. И. О.],B440)</f>
        <v>0</v>
      </c>
      <c r="H435" s="402">
        <f t="shared" ref="H435:H445" si="126">ROUND(E435*F435*G435*2,2)</f>
        <v>0</v>
      </c>
      <c r="I435" s="377">
        <f>IF(D435&lt;=3,база!$J$4,
IF(D435=4,база!$J$5,
IF(D435=5,база!$J$6)))</f>
        <v>196.05240000000001</v>
      </c>
      <c r="J435" s="378">
        <v>1</v>
      </c>
      <c r="K435" s="428">
        <f>SUMIFS(Таблица1[Столбец1],Таблица1[коэф],"1",Таблица1[р/р],"2/8",Таблица1[Ф. И. О.],B440)</f>
        <v>0</v>
      </c>
      <c r="L435" s="383">
        <f t="shared" ref="L435:L445" si="127">ROUND(I435*J435*K435*2,2)</f>
        <v>0</v>
      </c>
      <c r="M435" s="452"/>
      <c r="N435" s="453">
        <v>1</v>
      </c>
      <c r="O435" s="453">
        <f>SUMIFS(Data_Tech!$AM$3:$AM$67,Data_Tech!$E$3:$E$67,"1",Data_Tech!$G$3:$G$67,"3/12",Data_Tech!$F$3:$F$67,B440)</f>
        <v>0</v>
      </c>
      <c r="P435" s="453">
        <f>ROUND(M435*N435*O435,2)</f>
        <v>0</v>
      </c>
      <c r="Q435" s="416">
        <f>IF(D435&lt;=3,база!$L$4,
IF(D435=4,база!$L$5,
IF(D435=5,база!$L$6)))</f>
        <v>210.57480000000001</v>
      </c>
      <c r="R435" s="417">
        <v>1</v>
      </c>
      <c r="S435" s="495">
        <f>SUMIFS(Таблица1[Столбец1],Таблица1[коэф],"1",Таблица1[р/р],"3/16",Таблица1[Ф. И. О.],B440)</f>
        <v>0</v>
      </c>
      <c r="T435" s="490">
        <f t="shared" ref="T435:T445" si="128">ROUND(Q435*R435*S435*2,2)</f>
        <v>0</v>
      </c>
      <c r="U435" s="471">
        <f>IF(D435&lt;=3,база!$M$4,
IF(D435=4,база!$M$5,
IF(D435=5,база!$M$6)))</f>
        <v>225.09719999999999</v>
      </c>
      <c r="V435" s="378">
        <v>1</v>
      </c>
      <c r="W435" s="497">
        <f>SUMIFS(Таблица1[Столбец1],Таблица1[коэф],"1",Таблица1[р/р],"3/24",Таблица1[Ф. И. О.],B440)</f>
        <v>0</v>
      </c>
      <c r="X435" s="490">
        <f t="shared" ref="X435:X445" si="129">ROUND(U435*V435*W435*2,2)</f>
        <v>0</v>
      </c>
      <c r="Y435" s="764">
        <f t="shared" ref="Y435" si="130">SUM(G435:G445,K435:K445,O435:O445,S435:S445,W435:W445)</f>
        <v>0</v>
      </c>
      <c r="Z435" s="766">
        <f t="shared" ref="Z435" si="131">IFERROR(SUM(H435:H445,L435:L445,T435:T445,X435:X445),"")</f>
        <v>0</v>
      </c>
      <c r="AA435" s="756"/>
    </row>
    <row r="436" spans="1:29" ht="18.75">
      <c r="A436" s="756"/>
      <c r="B436" s="215"/>
      <c r="C436" s="759"/>
      <c r="D436" s="762"/>
      <c r="E436" s="393">
        <f>IF(D435&lt;=3,база!$I$4,
IF(D435=4,база!$I$5,
IF(D435=5,база!$I$6)))</f>
        <v>188.7912</v>
      </c>
      <c r="F436" s="390">
        <v>1</v>
      </c>
      <c r="G436" s="400">
        <f>SUMIFS(Таблица1[Столбец1],Таблица1[коэф],"1",Таблица1[р/р],"3/4",Таблица1[Ф. И. О.],B440)</f>
        <v>0</v>
      </c>
      <c r="H436" s="392">
        <f t="shared" si="126"/>
        <v>0</v>
      </c>
      <c r="I436" s="389">
        <f>IF(D435&lt;=3,база!$J$4,
IF(D435=4,база!$J$5,
IF(D435=5,база!$J$6)))</f>
        <v>196.05240000000001</v>
      </c>
      <c r="J436" s="390">
        <v>1</v>
      </c>
      <c r="K436" s="434">
        <f>SUMIFS(Таблица1[Столбец1],Таблица1[коэф],"1",Таблица1[р/р],"3/8",Таблица1[Ф. И. О.],B440)</f>
        <v>0</v>
      </c>
      <c r="L436" s="484">
        <f t="shared" si="127"/>
        <v>0</v>
      </c>
      <c r="M436" s="432"/>
      <c r="N436" s="434">
        <v>1</v>
      </c>
      <c r="O436" s="434">
        <f>SUMIFS(Data_Tech!$AM$3:$AM$67,Data_Tech!$E$3:$E$67,"1",Data_Tech!$G$3:$G$67,"4/12",Data_Tech!$F$3:$F$67,B440)</f>
        <v>0</v>
      </c>
      <c r="P436" s="434">
        <f>ROUND(M436*O436,2)</f>
        <v>0</v>
      </c>
      <c r="Q436" s="399">
        <f>база!$L$5</f>
        <v>231.45480000000001</v>
      </c>
      <c r="R436" s="390">
        <v>1</v>
      </c>
      <c r="S436" s="491">
        <f>SUMIFS(Таблица1[Столбец1],Таблица1[коэф],"1",Таблица1[р/р],"4/16",Таблица1[Ф. И. О.],B440)</f>
        <v>0</v>
      </c>
      <c r="T436" s="492">
        <f t="shared" si="128"/>
        <v>0</v>
      </c>
      <c r="U436" s="472">
        <f>база!$M$5</f>
        <v>247.41720000000001</v>
      </c>
      <c r="V436" s="390">
        <v>1</v>
      </c>
      <c r="W436" s="494">
        <f>SUMIFS(Таблица1[Столбец1],Таблица1[коэф],"1",Таблица1[р/р],"4/24",Таблица1[Ф. И. О.],B440)</f>
        <v>0</v>
      </c>
      <c r="X436" s="492">
        <f t="shared" si="129"/>
        <v>0</v>
      </c>
      <c r="Y436" s="764"/>
      <c r="Z436" s="766"/>
      <c r="AA436" s="756"/>
    </row>
    <row r="437" spans="1:29" ht="18.75">
      <c r="A437" s="756"/>
      <c r="B437" s="215"/>
      <c r="C437" s="759"/>
      <c r="D437" s="762"/>
      <c r="E437" s="393"/>
      <c r="F437" s="390"/>
      <c r="G437" s="400"/>
      <c r="H437" s="392">
        <f t="shared" si="126"/>
        <v>0</v>
      </c>
      <c r="I437" s="389"/>
      <c r="J437" s="390"/>
      <c r="K437" s="434"/>
      <c r="L437" s="484">
        <f t="shared" si="127"/>
        <v>0</v>
      </c>
      <c r="M437" s="432"/>
      <c r="N437" s="434"/>
      <c r="O437" s="434"/>
      <c r="P437" s="434"/>
      <c r="Q437" s="399">
        <f>база!$L$6</f>
        <v>261.04640000000001</v>
      </c>
      <c r="R437" s="390">
        <v>1</v>
      </c>
      <c r="S437" s="491">
        <f>SUMIFS(Таблица1[Столбец1],Таблица1[коэф],"1",Таблица1[р/р],"5/16",Таблица1[Ф. И. О.],B440)</f>
        <v>0</v>
      </c>
      <c r="T437" s="492">
        <f t="shared" si="128"/>
        <v>0</v>
      </c>
      <c r="U437" s="472">
        <f>база!$M$6</f>
        <v>279.0496</v>
      </c>
      <c r="V437" s="390">
        <v>1</v>
      </c>
      <c r="W437" s="494">
        <f>SUMIFS(Таблица1[Столбец1],Таблица1[коэф],"1",Таблица1[р/р],"5/24",Таблица1[Ф. И. О.],B440)</f>
        <v>0</v>
      </c>
      <c r="X437" s="492">
        <f t="shared" si="129"/>
        <v>0</v>
      </c>
      <c r="Y437" s="764"/>
      <c r="Z437" s="766"/>
      <c r="AA437" s="756"/>
    </row>
    <row r="438" spans="1:29" ht="18.75">
      <c r="A438" s="756"/>
      <c r="B438" s="215"/>
      <c r="C438" s="759"/>
      <c r="D438" s="762"/>
      <c r="E438" s="393"/>
      <c r="F438" s="390"/>
      <c r="G438" s="400"/>
      <c r="H438" s="392">
        <f t="shared" si="126"/>
        <v>0</v>
      </c>
      <c r="I438" s="389">
        <f>база!$J$5</f>
        <v>215.4924</v>
      </c>
      <c r="J438" s="390">
        <v>1.5</v>
      </c>
      <c r="K438" s="434">
        <f>SUMIFS(Таблица1[Столбец1],Таблица1[коэф],"1,5",Таблица1[р/р],"4/8",Таблица1[Ф. И. О.],B440)</f>
        <v>0</v>
      </c>
      <c r="L438" s="484">
        <f t="shared" si="127"/>
        <v>0</v>
      </c>
      <c r="M438" s="432"/>
      <c r="N438" s="434"/>
      <c r="O438" s="434"/>
      <c r="P438" s="434"/>
      <c r="Q438" s="399">
        <f>IF(D435&lt;=3,база!$L$4,
IF(D435=4,база!$L$5,
IF(D435=5,база!$L$6)))</f>
        <v>210.57480000000001</v>
      </c>
      <c r="R438" s="390">
        <v>1.2</v>
      </c>
      <c r="S438" s="491">
        <f>SUMIFS(Таблица1[Столбец1],Таблица1[коэф],"1,2",Таблица1[р/р],"3/16",Таблица1[Ф. И. О.],B440)</f>
        <v>0</v>
      </c>
      <c r="T438" s="492">
        <f t="shared" si="128"/>
        <v>0</v>
      </c>
      <c r="U438" s="472">
        <f>IF(D435&lt;=3,база!$M$4,
IF(D435=4,база!$M$5,
IF(D435=5,база!$M$6)))</f>
        <v>225.09719999999999</v>
      </c>
      <c r="V438" s="390">
        <v>1.2</v>
      </c>
      <c r="W438" s="494">
        <f>SUMIFS(Таблица1[Столбец1],Таблица1[коэф],"1,2",Таблица1[р/р],"3/24",Таблица1[Ф. И. О.],B440)</f>
        <v>0</v>
      </c>
      <c r="X438" s="492">
        <f t="shared" si="129"/>
        <v>0</v>
      </c>
      <c r="Y438" s="764"/>
      <c r="Z438" s="766"/>
      <c r="AA438" s="756"/>
    </row>
    <row r="439" spans="1:29" ht="18.75">
      <c r="A439" s="756"/>
      <c r="B439" s="215"/>
      <c r="C439" s="759"/>
      <c r="D439" s="762"/>
      <c r="E439" s="393"/>
      <c r="F439" s="390"/>
      <c r="G439" s="400"/>
      <c r="H439" s="392">
        <f t="shared" si="126"/>
        <v>0</v>
      </c>
      <c r="I439" s="389">
        <f>база!$J$6</f>
        <v>243.04319999999998</v>
      </c>
      <c r="J439" s="390">
        <v>1.5</v>
      </c>
      <c r="K439" s="434">
        <f>SUMIFS(Таблица1[Столбец1],Таблица1[коэф],"1,5",Таблица1[р/р],"5/8",Таблица1[Ф. И. О.],B440)</f>
        <v>0</v>
      </c>
      <c r="L439" s="484">
        <f t="shared" si="127"/>
        <v>0</v>
      </c>
      <c r="M439" s="432"/>
      <c r="N439" s="434"/>
      <c r="O439" s="434"/>
      <c r="P439" s="434"/>
      <c r="Q439" s="399">
        <f>база!$L$5</f>
        <v>231.45480000000001</v>
      </c>
      <c r="R439" s="390">
        <v>1.2</v>
      </c>
      <c r="S439" s="491">
        <f>SUMIFS(Таблица1[Столбец1],Таблица1[коэф],"1,2",Таблица1[р/р],"4/16",Таблица1[Ф. И. О.],B440)</f>
        <v>0</v>
      </c>
      <c r="T439" s="492">
        <f t="shared" si="128"/>
        <v>0</v>
      </c>
      <c r="U439" s="472">
        <f>база!$M$5</f>
        <v>247.41720000000001</v>
      </c>
      <c r="V439" s="390">
        <v>1.2</v>
      </c>
      <c r="W439" s="494">
        <f>SUMIFS(Таблица1[Столбец1],Таблица1[коэф],"1,2",Таблица1[р/р],"4/24",Таблица1[Ф. И. О.],B440)</f>
        <v>0</v>
      </c>
      <c r="X439" s="492">
        <f t="shared" si="129"/>
        <v>0</v>
      </c>
      <c r="Y439" s="764"/>
      <c r="Z439" s="766"/>
      <c r="AA439" s="756"/>
    </row>
    <row r="440" spans="1:29" ht="18" customHeight="1">
      <c r="A440" s="756"/>
      <c r="B440" s="215" t="str">
        <f>база!B41</f>
        <v>Лапина Елена Сергеевна</v>
      </c>
      <c r="C440" s="759"/>
      <c r="D440" s="762"/>
      <c r="E440" s="393"/>
      <c r="F440" s="390"/>
      <c r="G440" s="400"/>
      <c r="H440" s="392">
        <f t="shared" si="126"/>
        <v>0</v>
      </c>
      <c r="I440" s="389"/>
      <c r="J440" s="390"/>
      <c r="K440" s="434"/>
      <c r="L440" s="484">
        <f t="shared" si="127"/>
        <v>0</v>
      </c>
      <c r="M440" s="432"/>
      <c r="N440" s="434"/>
      <c r="O440" s="434"/>
      <c r="P440" s="434"/>
      <c r="Q440" s="399">
        <f>база!$L$6</f>
        <v>261.04640000000001</v>
      </c>
      <c r="R440" s="390">
        <v>1.2</v>
      </c>
      <c r="S440" s="491">
        <f>SUMIFS(Таблица1[Столбец1],Таблица1[коэф],"1,2",Таблица1[р/р],"5/16",Таблица1[Ф. И. О.],B440)</f>
        <v>0</v>
      </c>
      <c r="T440" s="492">
        <f t="shared" si="128"/>
        <v>0</v>
      </c>
      <c r="U440" s="472">
        <f>база!$M$6</f>
        <v>279.0496</v>
      </c>
      <c r="V440" s="390">
        <v>1.2</v>
      </c>
      <c r="W440" s="494">
        <f>SUMIFS(Таблица1[Столбец1],Таблица1[коэф],"1,2",Таблица1[р/р],"5/24",Таблица1[Ф. И. О.],B440)</f>
        <v>0</v>
      </c>
      <c r="X440" s="492">
        <f t="shared" si="129"/>
        <v>0</v>
      </c>
      <c r="Y440" s="764"/>
      <c r="Z440" s="766"/>
      <c r="AA440" s="756"/>
      <c r="AC440" s="712" t="str">
        <f>IF(SUMIFS(Таблица1[Столбец3],Таблица1[Ф. И. О.],B440)-Z435=0,"",SUMIFS(Таблица1[Столбец3],Таблица1[Ф. И. О.],B440)-Z435)</f>
        <v/>
      </c>
    </row>
    <row r="441" spans="1:29" ht="18.75">
      <c r="A441" s="756"/>
      <c r="B441" s="215"/>
      <c r="C441" s="759"/>
      <c r="D441" s="762"/>
      <c r="E441" s="393"/>
      <c r="F441" s="390"/>
      <c r="G441" s="400"/>
      <c r="H441" s="392">
        <f t="shared" si="126"/>
        <v>0</v>
      </c>
      <c r="I441" s="389"/>
      <c r="J441" s="390"/>
      <c r="K441" s="434"/>
      <c r="L441" s="484">
        <f t="shared" si="127"/>
        <v>0</v>
      </c>
      <c r="M441" s="432"/>
      <c r="N441" s="434"/>
      <c r="O441" s="434"/>
      <c r="P441" s="434"/>
      <c r="Q441" s="399">
        <f>IF(D435&lt;=3,база!$L$4,
IF(D435=4,база!$L$5,
IF(D435=5,база!$L$6)))</f>
        <v>210.57480000000001</v>
      </c>
      <c r="R441" s="390">
        <v>1.3</v>
      </c>
      <c r="S441" s="491">
        <f>SUMIFS(Таблица1[Столбец1],Таблица1[коэф],"1,3",Таблица1[р/р],"3/16",Таблица1[Ф. И. О.],B440)</f>
        <v>0</v>
      </c>
      <c r="T441" s="492">
        <f t="shared" si="128"/>
        <v>0</v>
      </c>
      <c r="U441" s="472">
        <f>IF(D435&lt;=3,база!$M$4,
IF(D435=4,база!$M$5,
IF(D435=5,база!$M$6)))</f>
        <v>225.09719999999999</v>
      </c>
      <c r="V441" s="390">
        <v>1.3</v>
      </c>
      <c r="W441" s="494">
        <f>SUMIFS(Таблица1[Столбец1],Таблица1[коэф],"1,3",Таблица1[р/р],"3/24",Таблица1[Ф. И. О.],B440)</f>
        <v>0</v>
      </c>
      <c r="X441" s="492">
        <f t="shared" si="129"/>
        <v>0</v>
      </c>
      <c r="Y441" s="764"/>
      <c r="Z441" s="766"/>
      <c r="AA441" s="756"/>
      <c r="AC441" s="712" t="str">
        <f>IF(SUMIFS(Таблица1[Столбец1],Таблица1[Ф. И. О.],B440)=Y435,"",B440&amp;"  часы не верны")</f>
        <v/>
      </c>
    </row>
    <row r="442" spans="1:29" ht="18.75">
      <c r="A442" s="756"/>
      <c r="B442" s="215"/>
      <c r="C442" s="759"/>
      <c r="D442" s="762"/>
      <c r="E442" s="393"/>
      <c r="F442" s="390"/>
      <c r="G442" s="400"/>
      <c r="H442" s="392">
        <f t="shared" si="126"/>
        <v>0</v>
      </c>
      <c r="I442" s="389"/>
      <c r="J442" s="390"/>
      <c r="K442" s="434"/>
      <c r="L442" s="484">
        <f t="shared" si="127"/>
        <v>0</v>
      </c>
      <c r="M442" s="432"/>
      <c r="N442" s="434"/>
      <c r="O442" s="434"/>
      <c r="P442" s="434"/>
      <c r="Q442" s="399">
        <f>база!$L$5</f>
        <v>231.45480000000001</v>
      </c>
      <c r="R442" s="390">
        <v>1.3</v>
      </c>
      <c r="S442" s="491">
        <f>SUMIFS(Таблица1[Столбец1],Таблица1[коэф],"1,3",Таблица1[р/р],"4/16",Таблица1[Ф. И. О.],B440)</f>
        <v>0</v>
      </c>
      <c r="T442" s="492">
        <f t="shared" si="128"/>
        <v>0</v>
      </c>
      <c r="U442" s="472">
        <f>база!$M$5</f>
        <v>247.41720000000001</v>
      </c>
      <c r="V442" s="390">
        <v>1.3</v>
      </c>
      <c r="W442" s="494">
        <f>SUMIFS(Таблица1[Столбец1],Таблица1[коэф],"1,3",Таблица1[р/р],"4/24",Таблица1[Ф. И. О.],B440)</f>
        <v>0</v>
      </c>
      <c r="X442" s="492">
        <f t="shared" si="129"/>
        <v>0</v>
      </c>
      <c r="Y442" s="764"/>
      <c r="Z442" s="766"/>
      <c r="AA442" s="756"/>
    </row>
    <row r="443" spans="1:29" ht="18.75">
      <c r="A443" s="756"/>
      <c r="B443" s="215"/>
      <c r="C443" s="759"/>
      <c r="D443" s="762"/>
      <c r="E443" s="393"/>
      <c r="F443" s="390"/>
      <c r="G443" s="400"/>
      <c r="H443" s="392">
        <f t="shared" si="126"/>
        <v>0</v>
      </c>
      <c r="I443" s="389"/>
      <c r="J443" s="390"/>
      <c r="K443" s="434"/>
      <c r="L443" s="484">
        <f t="shared" si="127"/>
        <v>0</v>
      </c>
      <c r="M443" s="432"/>
      <c r="N443" s="434"/>
      <c r="O443" s="434"/>
      <c r="P443" s="434"/>
      <c r="Q443" s="399">
        <f>IF(D435&lt;=3,база!$L$4,
IF(D435=4,база!$L$5,
IF(D435=5,база!$L$6)))</f>
        <v>210.57480000000001</v>
      </c>
      <c r="R443" s="390">
        <v>1.4</v>
      </c>
      <c r="S443" s="491">
        <f>SUMIFS(Таблица1[Столбец1],Таблица1[коэф],"1,4",Таблица1[р/р],"3/16",Таблица1[Ф. И. О.],B440)</f>
        <v>0</v>
      </c>
      <c r="T443" s="492">
        <f t="shared" si="128"/>
        <v>0</v>
      </c>
      <c r="U443" s="472">
        <f>IF(D435&lt;=3,база!$M$4,
IF(D435=4,база!$M$5,
IF(D435=5,база!$M$6)))</f>
        <v>225.09719999999999</v>
      </c>
      <c r="V443" s="390">
        <v>1.4</v>
      </c>
      <c r="W443" s="494">
        <f>SUMIFS(Таблица1[Столбец1],Таблица1[коэф],"1,4",Таблица1[р/р],"3/24",Таблица1[Ф. И. О.],B440)</f>
        <v>0</v>
      </c>
      <c r="X443" s="492">
        <f t="shared" si="129"/>
        <v>0</v>
      </c>
      <c r="Y443" s="764"/>
      <c r="Z443" s="766"/>
      <c r="AA443" s="756"/>
    </row>
    <row r="444" spans="1:29" ht="18.75">
      <c r="A444" s="756"/>
      <c r="B444" s="215"/>
      <c r="C444" s="759"/>
      <c r="D444" s="762"/>
      <c r="E444" s="393"/>
      <c r="F444" s="390"/>
      <c r="G444" s="400"/>
      <c r="H444" s="392">
        <f t="shared" si="126"/>
        <v>0</v>
      </c>
      <c r="I444" s="389"/>
      <c r="J444" s="390"/>
      <c r="K444" s="434"/>
      <c r="L444" s="395">
        <f t="shared" si="127"/>
        <v>0</v>
      </c>
      <c r="M444" s="432"/>
      <c r="N444" s="434"/>
      <c r="O444" s="434"/>
      <c r="P444" s="434"/>
      <c r="Q444" s="399">
        <f>база!$L$5</f>
        <v>231.45480000000001</v>
      </c>
      <c r="R444" s="390">
        <v>1.4</v>
      </c>
      <c r="S444" s="491">
        <f>SUMIFS(Таблица1[Столбец1],Таблица1[коэф],"1,4",Таблица1[р/р],"4/16",Таблица1[Ф. И. О.],B440)</f>
        <v>0</v>
      </c>
      <c r="T444" s="492">
        <f t="shared" si="128"/>
        <v>0</v>
      </c>
      <c r="U444" s="472">
        <f>база!$M$5</f>
        <v>247.41720000000001</v>
      </c>
      <c r="V444" s="390">
        <v>1.4</v>
      </c>
      <c r="W444" s="494">
        <f>SUMIFS(Таблица1[Столбец1],Таблица1[коэф],"1,4",Таблица1[р/р],"4/24",Таблица1[Ф. И. О.],B440)</f>
        <v>0</v>
      </c>
      <c r="X444" s="492">
        <f t="shared" si="129"/>
        <v>0</v>
      </c>
      <c r="Y444" s="764"/>
      <c r="Z444" s="766"/>
      <c r="AA444" s="756"/>
    </row>
    <row r="445" spans="1:29" ht="19.5" thickBot="1">
      <c r="A445" s="757"/>
      <c r="B445" s="202"/>
      <c r="C445" s="760"/>
      <c r="D445" s="763"/>
      <c r="E445" s="463"/>
      <c r="F445" s="464"/>
      <c r="G445" s="465"/>
      <c r="H445" s="468">
        <f t="shared" si="126"/>
        <v>0</v>
      </c>
      <c r="I445" s="473"/>
      <c r="J445" s="464"/>
      <c r="K445" s="457"/>
      <c r="L445" s="458">
        <f t="shared" si="127"/>
        <v>0</v>
      </c>
      <c r="M445" s="466"/>
      <c r="N445" s="457"/>
      <c r="O445" s="457"/>
      <c r="P445" s="457"/>
      <c r="Q445" s="467">
        <f>база!$L$6</f>
        <v>261.04640000000001</v>
      </c>
      <c r="R445" s="464">
        <v>1.4</v>
      </c>
      <c r="S445" s="512">
        <f>SUMIFS(Таблица1[Столбец1],Таблица1[коэф],"1,4",Таблица1[р/р],"5/16",Таблица1[Ф. И. О.],B440)</f>
        <v>0</v>
      </c>
      <c r="T445" s="513">
        <f t="shared" si="128"/>
        <v>0</v>
      </c>
      <c r="U445" s="474">
        <f>база!$M$6</f>
        <v>279.0496</v>
      </c>
      <c r="V445" s="464">
        <v>1.4</v>
      </c>
      <c r="W445" s="501">
        <f>SUMIFS(Таблица1[Столбец1],Таблица1[коэф],"1,4",Таблица1[р/р],"5/24",Таблица1[Ф. И. О.],B440)</f>
        <v>0</v>
      </c>
      <c r="X445" s="513">
        <f t="shared" si="129"/>
        <v>0</v>
      </c>
      <c r="Y445" s="765"/>
      <c r="Z445" s="767"/>
      <c r="AA445" s="757"/>
    </row>
    <row r="446" spans="1:29" ht="16.5" customHeight="1" collapsed="1">
      <c r="A446" s="755">
        <v>41</v>
      </c>
      <c r="B446" s="235"/>
      <c r="C446" s="758">
        <f>INDEX(база!$E$2:$E$81, MATCH(B451,база!$B$2:$B$50,0))</f>
        <v>17303</v>
      </c>
      <c r="D446" s="761">
        <f>INDEX(база!$D$2:$D$89, MATCH(B451,база!$B$2:$B$50,0))</f>
        <v>3</v>
      </c>
      <c r="E446" s="451">
        <f>IF(D446&lt;=3,база!$I$4,
IF(D446=4,база!$I$5,
IF(D446=5,база!$I$6)))</f>
        <v>188.7912</v>
      </c>
      <c r="F446" s="417">
        <v>1</v>
      </c>
      <c r="G446" s="418">
        <f>SUMIFS(Таблица1[Столбец1],Таблица1[коэф],"1",Таблица1[р/р],"2/4",Таблица1[Ф. И. О.],B451)</f>
        <v>0</v>
      </c>
      <c r="H446" s="402">
        <f t="shared" ref="H446:H456" si="132">ROUND(E446*F446*G446*2,2)</f>
        <v>0</v>
      </c>
      <c r="I446" s="377">
        <f>IF(D446&lt;=3,база!$J$4,
IF(D446=4,база!$J$5,
IF(D446=5,база!$J$6)))</f>
        <v>196.05240000000001</v>
      </c>
      <c r="J446" s="378">
        <v>1</v>
      </c>
      <c r="K446" s="428">
        <f>SUMIFS(Таблица1[Столбец1],Таблица1[коэф],"1",Таблица1[р/р],"2/8",Таблица1[Ф. И. О.],B451)</f>
        <v>0</v>
      </c>
      <c r="L446" s="383">
        <f t="shared" ref="L446:L456" si="133">ROUND(I446*J446*K446*2,2)</f>
        <v>0</v>
      </c>
      <c r="M446" s="452"/>
      <c r="N446" s="453">
        <v>1</v>
      </c>
      <c r="O446" s="453">
        <f>SUMIFS(Data_Tech!$AM$3:$AM$67,Data_Tech!$E$3:$E$67,"1",Data_Tech!$G$3:$G$67,"3/12",Data_Tech!$F$3:$F$67,B451)</f>
        <v>0</v>
      </c>
      <c r="P446" s="453">
        <f>ROUND(M446*N446*O446,2)</f>
        <v>0</v>
      </c>
      <c r="Q446" s="416">
        <f>IF(D446&lt;=3,база!$L$4,
IF(D446=4,база!$L$5,
IF(D446=5,база!$L$6)))</f>
        <v>210.57480000000001</v>
      </c>
      <c r="R446" s="417">
        <v>1</v>
      </c>
      <c r="S446" s="495">
        <f>SUMIFS(Таблица1[Столбец1],Таблица1[коэф],"1",Таблица1[р/р],"3/16",Таблица1[Ф. И. О.],B451)</f>
        <v>0</v>
      </c>
      <c r="T446" s="490">
        <f t="shared" ref="T446:T456" si="134">ROUND(Q446*R446*S446*2,2)</f>
        <v>0</v>
      </c>
      <c r="U446" s="471">
        <f>IF(D446&lt;=3,база!$M$4,
IF(D446=4,база!$M$5,
IF(D446=5,база!$M$6)))</f>
        <v>225.09719999999999</v>
      </c>
      <c r="V446" s="378">
        <v>1</v>
      </c>
      <c r="W446" s="497">
        <f>SUMIFS(Таблица1[Столбец1],Таблица1[коэф],"1",Таблица1[р/р],"3/24",Таблица1[Ф. И. О.],B451)</f>
        <v>0</v>
      </c>
      <c r="X446" s="490">
        <f t="shared" ref="X446:X456" si="135">ROUND(U446*V446*W446*2,2)</f>
        <v>0</v>
      </c>
      <c r="Y446" s="764">
        <f t="shared" ref="Y446" si="136">SUM(G446:G456,K446:K456,O446:O456,S446:S456,W446:W456)</f>
        <v>0</v>
      </c>
      <c r="Z446" s="766">
        <f t="shared" ref="Z446" si="137">IFERROR(SUM(H446:H456,L446:L456,T446:T456,X446:X456),"")</f>
        <v>0</v>
      </c>
      <c r="AA446" s="756"/>
    </row>
    <row r="447" spans="1:29" ht="16.5" customHeight="1">
      <c r="A447" s="756"/>
      <c r="B447" s="215"/>
      <c r="C447" s="759"/>
      <c r="D447" s="762"/>
      <c r="E447" s="393">
        <f>IF(D446&lt;=3,база!$I$4,
IF(D446=4,база!$I$5,
IF(D446=5,база!$I$6)))</f>
        <v>188.7912</v>
      </c>
      <c r="F447" s="390">
        <v>1</v>
      </c>
      <c r="G447" s="400">
        <f>SUMIFS(Таблица1[Столбец1],Таблица1[коэф],"1",Таблица1[р/р],"3/4",Таблица1[Ф. И. О.],B451)</f>
        <v>0</v>
      </c>
      <c r="H447" s="392">
        <f t="shared" si="132"/>
        <v>0</v>
      </c>
      <c r="I447" s="389">
        <f>IF(D446&lt;=3,база!$J$4,
IF(D446=4,база!$J$5,
IF(D446=5,база!$J$6)))</f>
        <v>196.05240000000001</v>
      </c>
      <c r="J447" s="390">
        <v>1</v>
      </c>
      <c r="K447" s="434">
        <f>SUMIFS(Таблица1[Столбец1],Таблица1[коэф],"1",Таблица1[р/р],"3/8",Таблица1[Ф. И. О.],B451)</f>
        <v>0</v>
      </c>
      <c r="L447" s="484">
        <f t="shared" si="133"/>
        <v>0</v>
      </c>
      <c r="M447" s="432"/>
      <c r="N447" s="434">
        <v>1</v>
      </c>
      <c r="O447" s="434">
        <f>SUMIFS(Data_Tech!$AM$3:$AM$67,Data_Tech!$E$3:$E$67,"1",Data_Tech!$G$3:$G$67,"4/12",Data_Tech!$F$3:$F$67,B451)</f>
        <v>0</v>
      </c>
      <c r="P447" s="434">
        <f>ROUND(M447*O447,2)</f>
        <v>0</v>
      </c>
      <c r="Q447" s="399">
        <f>база!$L$5</f>
        <v>231.45480000000001</v>
      </c>
      <c r="R447" s="390">
        <v>1</v>
      </c>
      <c r="S447" s="491">
        <f>SUMIFS(Таблица1[Столбец1],Таблица1[коэф],"1",Таблица1[р/р],"4/16",Таблица1[Ф. И. О.],B451)</f>
        <v>0</v>
      </c>
      <c r="T447" s="492">
        <f t="shared" si="134"/>
        <v>0</v>
      </c>
      <c r="U447" s="472">
        <f>база!$M$5</f>
        <v>247.41720000000001</v>
      </c>
      <c r="V447" s="390">
        <v>1</v>
      </c>
      <c r="W447" s="494">
        <f>SUMIFS(Таблица1[Столбец1],Таблица1[коэф],"1",Таблица1[р/р],"4/24",Таблица1[Ф. И. О.],B451)</f>
        <v>0</v>
      </c>
      <c r="X447" s="492">
        <f t="shared" si="135"/>
        <v>0</v>
      </c>
      <c r="Y447" s="764"/>
      <c r="Z447" s="766"/>
      <c r="AA447" s="756"/>
    </row>
    <row r="448" spans="1:29" ht="16.5" customHeight="1">
      <c r="A448" s="756"/>
      <c r="B448" s="215"/>
      <c r="C448" s="759"/>
      <c r="D448" s="762"/>
      <c r="E448" s="393"/>
      <c r="F448" s="390"/>
      <c r="G448" s="400"/>
      <c r="H448" s="392">
        <f t="shared" si="132"/>
        <v>0</v>
      </c>
      <c r="I448" s="389"/>
      <c r="J448" s="390"/>
      <c r="K448" s="434"/>
      <c r="L448" s="484">
        <f t="shared" si="133"/>
        <v>0</v>
      </c>
      <c r="M448" s="432"/>
      <c r="N448" s="434"/>
      <c r="O448" s="434"/>
      <c r="P448" s="434"/>
      <c r="Q448" s="399">
        <f>база!$L$6</f>
        <v>261.04640000000001</v>
      </c>
      <c r="R448" s="390">
        <v>1</v>
      </c>
      <c r="S448" s="491">
        <f>SUMIFS(Таблица1[Столбец1],Таблица1[коэф],"1",Таблица1[р/р],"5/16",Таблица1[Ф. И. О.],B451)</f>
        <v>0</v>
      </c>
      <c r="T448" s="492">
        <f t="shared" si="134"/>
        <v>0</v>
      </c>
      <c r="U448" s="472">
        <f>база!$M$6</f>
        <v>279.0496</v>
      </c>
      <c r="V448" s="390">
        <v>1</v>
      </c>
      <c r="W448" s="494">
        <f>SUMIFS(Таблица1[Столбец1],Таблица1[коэф],"1",Таблица1[р/р],"5/24",Таблица1[Ф. И. О.],B451)</f>
        <v>0</v>
      </c>
      <c r="X448" s="492">
        <f t="shared" si="135"/>
        <v>0</v>
      </c>
      <c r="Y448" s="764"/>
      <c r="Z448" s="766"/>
      <c r="AA448" s="756"/>
    </row>
    <row r="449" spans="1:29" ht="16.5" customHeight="1">
      <c r="A449" s="756"/>
      <c r="B449" s="215"/>
      <c r="C449" s="759"/>
      <c r="D449" s="762"/>
      <c r="E449" s="393"/>
      <c r="F449" s="390"/>
      <c r="G449" s="400"/>
      <c r="H449" s="392">
        <f t="shared" si="132"/>
        <v>0</v>
      </c>
      <c r="I449" s="389">
        <f>база!$J$5</f>
        <v>215.4924</v>
      </c>
      <c r="J449" s="390">
        <v>1.5</v>
      </c>
      <c r="K449" s="434">
        <f>SUMIFS(Таблица1[Столбец1],Таблица1[коэф],"1,5",Таблица1[р/р],"4/8",Таблица1[Ф. И. О.],B451)</f>
        <v>0</v>
      </c>
      <c r="L449" s="484">
        <f t="shared" si="133"/>
        <v>0</v>
      </c>
      <c r="M449" s="432"/>
      <c r="N449" s="434"/>
      <c r="O449" s="434"/>
      <c r="P449" s="434"/>
      <c r="Q449" s="399">
        <f>IF(D446&lt;=3,база!$L$4,
IF(D446=4,база!$L$5,
IF(D446=5,база!$L$6)))</f>
        <v>210.57480000000001</v>
      </c>
      <c r="R449" s="390">
        <v>1.2</v>
      </c>
      <c r="S449" s="491">
        <f>SUMIFS(Таблица1[Столбец1],Таблица1[коэф],"1,2",Таблица1[р/р],"3/16",Таблица1[Ф. И. О.],B451)</f>
        <v>0</v>
      </c>
      <c r="T449" s="492">
        <f t="shared" si="134"/>
        <v>0</v>
      </c>
      <c r="U449" s="472">
        <f>IF(D446&lt;=3,база!$M$4,
IF(D446=4,база!$M$5,
IF(D446=5,база!$M$6)))</f>
        <v>225.09719999999999</v>
      </c>
      <c r="V449" s="390">
        <v>1.2</v>
      </c>
      <c r="W449" s="494">
        <f>SUMIFS(Таблица1[Столбец1],Таблица1[коэф],"1,2",Таблица1[р/р],"3/24",Таблица1[Ф. И. О.],B451)</f>
        <v>0</v>
      </c>
      <c r="X449" s="492">
        <f t="shared" si="135"/>
        <v>0</v>
      </c>
      <c r="Y449" s="764"/>
      <c r="Z449" s="766"/>
      <c r="AA449" s="756"/>
    </row>
    <row r="450" spans="1:29" ht="16.5" customHeight="1">
      <c r="A450" s="756"/>
      <c r="B450" s="215"/>
      <c r="C450" s="759"/>
      <c r="D450" s="762"/>
      <c r="E450" s="393"/>
      <c r="F450" s="390"/>
      <c r="G450" s="400"/>
      <c r="H450" s="392">
        <f t="shared" si="132"/>
        <v>0</v>
      </c>
      <c r="I450" s="389">
        <f>база!$J$6</f>
        <v>243.04319999999998</v>
      </c>
      <c r="J450" s="390">
        <v>1.5</v>
      </c>
      <c r="K450" s="434">
        <f>SUMIFS(Таблица1[Столбец1],Таблица1[коэф],"1,5",Таблица1[р/р],"5/8",Таблица1[Ф. И. О.],B451)</f>
        <v>0</v>
      </c>
      <c r="L450" s="484">
        <f t="shared" si="133"/>
        <v>0</v>
      </c>
      <c r="M450" s="432"/>
      <c r="N450" s="434"/>
      <c r="O450" s="434"/>
      <c r="P450" s="434"/>
      <c r="Q450" s="399">
        <f>база!$L$5</f>
        <v>231.45480000000001</v>
      </c>
      <c r="R450" s="390">
        <v>1.2</v>
      </c>
      <c r="S450" s="491">
        <f>SUMIFS(Таблица1[Столбец1],Таблица1[коэф],"1,2",Таблица1[р/р],"4/16",Таблица1[Ф. И. О.],B451)</f>
        <v>0</v>
      </c>
      <c r="T450" s="492">
        <f t="shared" si="134"/>
        <v>0</v>
      </c>
      <c r="U450" s="472">
        <f>база!$M$5</f>
        <v>247.41720000000001</v>
      </c>
      <c r="V450" s="390">
        <v>1.2</v>
      </c>
      <c r="W450" s="494">
        <f>SUMIFS(Таблица1[Столбец1],Таблица1[коэф],"1,2",Таблица1[р/р],"4/24",Таблица1[Ф. И. О.],B451)</f>
        <v>0</v>
      </c>
      <c r="X450" s="492">
        <f t="shared" si="135"/>
        <v>0</v>
      </c>
      <c r="Y450" s="764"/>
      <c r="Z450" s="766"/>
      <c r="AA450" s="756"/>
    </row>
    <row r="451" spans="1:29" ht="16.5" customHeight="1">
      <c r="A451" s="756"/>
      <c r="B451" s="215" t="str">
        <f>база!B42</f>
        <v>Лезина Анастасия Юрьевна</v>
      </c>
      <c r="C451" s="759"/>
      <c r="D451" s="762"/>
      <c r="E451" s="393"/>
      <c r="F451" s="390"/>
      <c r="G451" s="400"/>
      <c r="H451" s="392">
        <f t="shared" si="132"/>
        <v>0</v>
      </c>
      <c r="I451" s="389"/>
      <c r="J451" s="390"/>
      <c r="K451" s="434"/>
      <c r="L451" s="484">
        <f t="shared" si="133"/>
        <v>0</v>
      </c>
      <c r="M451" s="432"/>
      <c r="N451" s="434"/>
      <c r="O451" s="434"/>
      <c r="P451" s="434"/>
      <c r="Q451" s="399">
        <f>база!$L$6</f>
        <v>261.04640000000001</v>
      </c>
      <c r="R451" s="390">
        <v>1.2</v>
      </c>
      <c r="S451" s="491">
        <f>SUMIFS(Таблица1[Столбец1],Таблица1[коэф],"1,2",Таблица1[р/р],"5/16",Таблица1[Ф. И. О.],B451)</f>
        <v>0</v>
      </c>
      <c r="T451" s="492">
        <f t="shared" si="134"/>
        <v>0</v>
      </c>
      <c r="U451" s="472">
        <f>база!$M$6</f>
        <v>279.0496</v>
      </c>
      <c r="V451" s="390">
        <v>1.2</v>
      </c>
      <c r="W451" s="494">
        <f>SUMIFS(Таблица1[Столбец1],Таблица1[коэф],"1,2",Таблица1[р/р],"5/24",Таблица1[Ф. И. О.],B451)</f>
        <v>0</v>
      </c>
      <c r="X451" s="492">
        <f t="shared" si="135"/>
        <v>0</v>
      </c>
      <c r="Y451" s="764"/>
      <c r="Z451" s="766"/>
      <c r="AA451" s="756"/>
      <c r="AC451" s="712" t="str">
        <f>IF(SUMIFS(Таблица1[Столбец3],Таблица1[Ф. И. О.],B451)-Z446=0,"",SUMIFS(Таблица1[Столбец3],Таблица1[Ф. И. О.],B451)-Z446)</f>
        <v/>
      </c>
    </row>
    <row r="452" spans="1:29" ht="16.5" customHeight="1">
      <c r="A452" s="756"/>
      <c r="B452" s="215"/>
      <c r="C452" s="759"/>
      <c r="D452" s="762"/>
      <c r="E452" s="393"/>
      <c r="F452" s="390"/>
      <c r="G452" s="400"/>
      <c r="H452" s="392">
        <f t="shared" si="132"/>
        <v>0</v>
      </c>
      <c r="I452" s="389"/>
      <c r="J452" s="390"/>
      <c r="K452" s="434"/>
      <c r="L452" s="484">
        <f t="shared" si="133"/>
        <v>0</v>
      </c>
      <c r="M452" s="432"/>
      <c r="N452" s="434"/>
      <c r="O452" s="434"/>
      <c r="P452" s="434"/>
      <c r="Q452" s="399">
        <f>IF(D446&lt;=3,база!$L$4,
IF(D446=4,база!$L$5,
IF(D446=5,база!$L$6)))</f>
        <v>210.57480000000001</v>
      </c>
      <c r="R452" s="390">
        <v>1.3</v>
      </c>
      <c r="S452" s="491">
        <f>SUMIFS(Таблица1[Столбец1],Таблица1[коэф],"1,3",Таблица1[р/р],"3/16",Таблица1[Ф. И. О.],B451)</f>
        <v>0</v>
      </c>
      <c r="T452" s="492">
        <f t="shared" si="134"/>
        <v>0</v>
      </c>
      <c r="U452" s="472">
        <f>IF(D446&lt;=3,база!$M$4,
IF(D446=4,база!$M$5,
IF(D446=5,база!$M$6)))</f>
        <v>225.09719999999999</v>
      </c>
      <c r="V452" s="390">
        <v>1.3</v>
      </c>
      <c r="W452" s="494">
        <f>SUMIFS(Таблица1[Столбец1],Таблица1[коэф],"1,3",Таблица1[р/р],"3/24",Таблица1[Ф. И. О.],B451)</f>
        <v>0</v>
      </c>
      <c r="X452" s="492">
        <f t="shared" si="135"/>
        <v>0</v>
      </c>
      <c r="Y452" s="764"/>
      <c r="Z452" s="766"/>
      <c r="AA452" s="756"/>
      <c r="AC452" s="712" t="str">
        <f>IF(SUMIFS(Таблица1[Столбец1],Таблица1[Ф. И. О.],B451)=Y446,"",B451&amp;"  часы не верны")</f>
        <v/>
      </c>
    </row>
    <row r="453" spans="1:29" ht="16.5" customHeight="1">
      <c r="A453" s="756"/>
      <c r="B453" s="215"/>
      <c r="C453" s="759"/>
      <c r="D453" s="762"/>
      <c r="E453" s="393"/>
      <c r="F453" s="390"/>
      <c r="G453" s="400"/>
      <c r="H453" s="392">
        <f t="shared" si="132"/>
        <v>0</v>
      </c>
      <c r="I453" s="389"/>
      <c r="J453" s="390"/>
      <c r="K453" s="434"/>
      <c r="L453" s="484">
        <f t="shared" si="133"/>
        <v>0</v>
      </c>
      <c r="M453" s="432"/>
      <c r="N453" s="434"/>
      <c r="O453" s="434"/>
      <c r="P453" s="434"/>
      <c r="Q453" s="399">
        <f>база!$L$5</f>
        <v>231.45480000000001</v>
      </c>
      <c r="R453" s="390">
        <v>1.3</v>
      </c>
      <c r="S453" s="491">
        <f>SUMIFS(Таблица1[Столбец1],Таблица1[коэф],"1,3",Таблица1[р/р],"4/16",Таблица1[Ф. И. О.],B451)</f>
        <v>0</v>
      </c>
      <c r="T453" s="492">
        <f t="shared" si="134"/>
        <v>0</v>
      </c>
      <c r="U453" s="472">
        <f>база!$M$5</f>
        <v>247.41720000000001</v>
      </c>
      <c r="V453" s="390">
        <v>1.3</v>
      </c>
      <c r="W453" s="494">
        <f>SUMIFS(Таблица1[Столбец1],Таблица1[коэф],"1,3",Таблица1[р/р],"4/24",Таблица1[Ф. И. О.],B451)</f>
        <v>0</v>
      </c>
      <c r="X453" s="492">
        <f t="shared" si="135"/>
        <v>0</v>
      </c>
      <c r="Y453" s="764"/>
      <c r="Z453" s="766"/>
      <c r="AA453" s="756"/>
    </row>
    <row r="454" spans="1:29" ht="16.5" customHeight="1">
      <c r="A454" s="756"/>
      <c r="B454" s="215"/>
      <c r="C454" s="759"/>
      <c r="D454" s="762"/>
      <c r="E454" s="393"/>
      <c r="F454" s="390"/>
      <c r="G454" s="400"/>
      <c r="H454" s="392">
        <f t="shared" si="132"/>
        <v>0</v>
      </c>
      <c r="I454" s="389"/>
      <c r="J454" s="390"/>
      <c r="K454" s="434"/>
      <c r="L454" s="484">
        <f t="shared" si="133"/>
        <v>0</v>
      </c>
      <c r="M454" s="432"/>
      <c r="N454" s="434"/>
      <c r="O454" s="434"/>
      <c r="P454" s="434"/>
      <c r="Q454" s="399">
        <f>IF(D446&lt;=3,база!$L$4,
IF(D446=4,база!$L$5,
IF(D446=5,база!$L$6)))</f>
        <v>210.57480000000001</v>
      </c>
      <c r="R454" s="390">
        <v>1.4</v>
      </c>
      <c r="S454" s="491">
        <f>SUMIFS(Таблица1[Столбец1],Таблица1[коэф],"1,4",Таблица1[р/р],"3/16",Таблица1[Ф. И. О.],B451)</f>
        <v>0</v>
      </c>
      <c r="T454" s="492">
        <f t="shared" si="134"/>
        <v>0</v>
      </c>
      <c r="U454" s="472">
        <f>IF(D446&lt;=3,база!$M$4,
IF(D446=4,база!$M$5,
IF(D446=5,база!$M$6)))</f>
        <v>225.09719999999999</v>
      </c>
      <c r="V454" s="390">
        <v>1.4</v>
      </c>
      <c r="W454" s="494">
        <f>SUMIFS(Таблица1[Столбец1],Таблица1[коэф],"1,4",Таблица1[р/р],"3/24",Таблица1[Ф. И. О.],B451)</f>
        <v>0</v>
      </c>
      <c r="X454" s="492">
        <f t="shared" si="135"/>
        <v>0</v>
      </c>
      <c r="Y454" s="764"/>
      <c r="Z454" s="766"/>
      <c r="AA454" s="756"/>
    </row>
    <row r="455" spans="1:29" ht="16.5" customHeight="1">
      <c r="A455" s="756"/>
      <c r="B455" s="215"/>
      <c r="C455" s="759"/>
      <c r="D455" s="762"/>
      <c r="E455" s="393"/>
      <c r="F455" s="390"/>
      <c r="G455" s="400"/>
      <c r="H455" s="392">
        <f t="shared" si="132"/>
        <v>0</v>
      </c>
      <c r="I455" s="389"/>
      <c r="J455" s="390"/>
      <c r="K455" s="434"/>
      <c r="L455" s="395">
        <f t="shared" si="133"/>
        <v>0</v>
      </c>
      <c r="M455" s="432"/>
      <c r="N455" s="434"/>
      <c r="O455" s="434"/>
      <c r="P455" s="434"/>
      <c r="Q455" s="399">
        <f>база!$L$5</f>
        <v>231.45480000000001</v>
      </c>
      <c r="R455" s="390">
        <v>1.4</v>
      </c>
      <c r="S455" s="491">
        <f>SUMIFS(Таблица1[Столбец1],Таблица1[коэф],"1,4",Таблица1[р/р],"4/16",Таблица1[Ф. И. О.],B451)</f>
        <v>0</v>
      </c>
      <c r="T455" s="492">
        <f t="shared" si="134"/>
        <v>0</v>
      </c>
      <c r="U455" s="472">
        <f>база!$M$5</f>
        <v>247.41720000000001</v>
      </c>
      <c r="V455" s="390">
        <v>1.4</v>
      </c>
      <c r="W455" s="494">
        <f>SUMIFS(Таблица1[Столбец1],Таблица1[коэф],"1,4",Таблица1[р/р],"4/24",Таблица1[Ф. И. О.],B451)</f>
        <v>0</v>
      </c>
      <c r="X455" s="492">
        <f t="shared" si="135"/>
        <v>0</v>
      </c>
      <c r="Y455" s="764"/>
      <c r="Z455" s="766"/>
      <c r="AA455" s="756"/>
    </row>
    <row r="456" spans="1:29" ht="16.5" customHeight="1" thickBot="1">
      <c r="A456" s="757"/>
      <c r="B456" s="202"/>
      <c r="C456" s="760"/>
      <c r="D456" s="763"/>
      <c r="E456" s="463"/>
      <c r="F456" s="464"/>
      <c r="G456" s="465"/>
      <c r="H456" s="468">
        <f t="shared" si="132"/>
        <v>0</v>
      </c>
      <c r="I456" s="473"/>
      <c r="J456" s="464"/>
      <c r="K456" s="457"/>
      <c r="L456" s="458">
        <f t="shared" si="133"/>
        <v>0</v>
      </c>
      <c r="M456" s="466"/>
      <c r="N456" s="457"/>
      <c r="O456" s="457"/>
      <c r="P456" s="457"/>
      <c r="Q456" s="467">
        <f>база!$L$6</f>
        <v>261.04640000000001</v>
      </c>
      <c r="R456" s="464">
        <v>1.4</v>
      </c>
      <c r="S456" s="512">
        <f>SUMIFS(Таблица1[Столбец1],Таблица1[коэф],"1,4",Таблица1[р/р],"5/16",Таблица1[Ф. И. О.],B451)</f>
        <v>0</v>
      </c>
      <c r="T456" s="513">
        <f t="shared" si="134"/>
        <v>0</v>
      </c>
      <c r="U456" s="474">
        <f>база!$M$6</f>
        <v>279.0496</v>
      </c>
      <c r="V456" s="464">
        <v>1.4</v>
      </c>
      <c r="W456" s="501">
        <f>SUMIFS(Таблица1[Столбец1],Таблица1[коэф],"1,4",Таблица1[р/р],"5/24",Таблица1[Ф. И. О.],B451)</f>
        <v>0</v>
      </c>
      <c r="X456" s="513">
        <f t="shared" si="135"/>
        <v>0</v>
      </c>
      <c r="Y456" s="765"/>
      <c r="Z456" s="767"/>
      <c r="AA456" s="757"/>
    </row>
    <row r="457" spans="1:29" ht="16.5" customHeight="1" collapsed="1">
      <c r="A457" s="755">
        <v>42</v>
      </c>
      <c r="B457" s="235"/>
      <c r="C457" s="758">
        <f>INDEX(база!$E$2:$E$81, MATCH(B462,база!$B$2:$B$50,0))</f>
        <v>17321</v>
      </c>
      <c r="D457" s="761">
        <f>INDEX(база!$D$2:$D$89, MATCH(B462,база!$B$2:$B$50,0))</f>
        <v>3</v>
      </c>
      <c r="E457" s="451">
        <f>IF(D457&lt;=3,база!$I$4,
IF(D457=4,база!$I$5,
IF(D457=5,база!$I$6)))</f>
        <v>188.7912</v>
      </c>
      <c r="F457" s="417">
        <v>1</v>
      </c>
      <c r="G457" s="418">
        <f>SUMIFS(Таблица1[Столбец1],Таблица1[коэф],"1",Таблица1[р/р],"2/4",Таблица1[Ф. И. О.],B462)</f>
        <v>0</v>
      </c>
      <c r="H457" s="402">
        <f t="shared" ref="H457:H467" si="138">ROUND(E457*F457*G457*2,2)</f>
        <v>0</v>
      </c>
      <c r="I457" s="377">
        <f>IF(D457&lt;=3,база!$J$4,
IF(D457=4,база!$J$5,
IF(D457=5,база!$J$6)))</f>
        <v>196.05240000000001</v>
      </c>
      <c r="J457" s="378">
        <v>1</v>
      </c>
      <c r="K457" s="428">
        <f>SUMIFS(Таблица1[Столбец1],Таблица1[коэф],"1",Таблица1[р/р],"2/8",Таблица1[Ф. И. О.],B462)</f>
        <v>0</v>
      </c>
      <c r="L457" s="383">
        <f t="shared" ref="L457:L467" si="139">ROUND(I457*J457*K457*2,2)</f>
        <v>0</v>
      </c>
      <c r="M457" s="452"/>
      <c r="N457" s="453">
        <v>1</v>
      </c>
      <c r="O457" s="453">
        <f>SUMIFS(Data_Tech!$AM$3:$AM$67,Data_Tech!$E$3:$E$67,"1",Data_Tech!$G$3:$G$67,"3/12",Data_Tech!$F$3:$F$67,B462)</f>
        <v>0</v>
      </c>
      <c r="P457" s="453">
        <f>ROUND(M457*N457*O457,2)</f>
        <v>0</v>
      </c>
      <c r="Q457" s="416">
        <f>IF(D457&lt;=3,база!$L$4,
IF(D457=4,база!$L$5,
IF(D457=5,база!$L$6)))</f>
        <v>210.57480000000001</v>
      </c>
      <c r="R457" s="417">
        <v>1</v>
      </c>
      <c r="S457" s="495">
        <f>SUMIFS(Таблица1[Столбец1],Таблица1[коэф],"1",Таблица1[р/р],"3/16",Таблица1[Ф. И. О.],B462)</f>
        <v>0</v>
      </c>
      <c r="T457" s="490">
        <f t="shared" ref="T457:T467" si="140">ROUND(Q457*R457*S457*2,2)</f>
        <v>0</v>
      </c>
      <c r="U457" s="471">
        <f>IF(D457&lt;=3,база!$M$4,
IF(D457=4,база!$M$5,
IF(D457=5,база!$M$6)))</f>
        <v>225.09719999999999</v>
      </c>
      <c r="V457" s="378">
        <v>1</v>
      </c>
      <c r="W457" s="497">
        <f>SUMIFS(Таблица1[Столбец1],Таблица1[коэф],"1",Таблица1[р/р],"3/24",Таблица1[Ф. И. О.],B462)</f>
        <v>0</v>
      </c>
      <c r="X457" s="490">
        <f t="shared" ref="X457:X467" si="141">ROUND(U457*V457*W457*2,2)</f>
        <v>0</v>
      </c>
      <c r="Y457" s="764">
        <f t="shared" ref="Y457" si="142">SUM(G457:G467,K457:K467,O457:O467,S457:S467,W457:W467)</f>
        <v>0</v>
      </c>
      <c r="Z457" s="766">
        <f t="shared" ref="Z457" si="143">IFERROR(SUM(H457:H467,L457:L467,T457:T467,X457:X467),"")</f>
        <v>0</v>
      </c>
      <c r="AA457" s="756"/>
    </row>
    <row r="458" spans="1:29" ht="16.5" customHeight="1">
      <c r="A458" s="756"/>
      <c r="B458" s="215"/>
      <c r="C458" s="759"/>
      <c r="D458" s="762"/>
      <c r="E458" s="393">
        <f>IF(D457&lt;=3,база!$I$4,
IF(D457=4,база!$I$5,
IF(D457=5,база!$I$6)))</f>
        <v>188.7912</v>
      </c>
      <c r="F458" s="390">
        <v>1</v>
      </c>
      <c r="G458" s="400">
        <f>SUMIFS(Таблица1[Столбец1],Таблица1[коэф],"1",Таблица1[р/р],"3/4",Таблица1[Ф. И. О.],B462)</f>
        <v>0</v>
      </c>
      <c r="H458" s="392">
        <f t="shared" si="138"/>
        <v>0</v>
      </c>
      <c r="I458" s="389">
        <f>IF(D457&lt;=3,база!$J$4,
IF(D457=4,база!$J$5,
IF(D457=5,база!$J$6)))</f>
        <v>196.05240000000001</v>
      </c>
      <c r="J458" s="390">
        <v>1</v>
      </c>
      <c r="K458" s="434">
        <f>SUMIFS(Таблица1[Столбец1],Таблица1[коэф],"1",Таблица1[р/р],"3/8",Таблица1[Ф. И. О.],B462)</f>
        <v>0</v>
      </c>
      <c r="L458" s="484">
        <f t="shared" si="139"/>
        <v>0</v>
      </c>
      <c r="M458" s="432"/>
      <c r="N458" s="434">
        <v>1</v>
      </c>
      <c r="O458" s="434">
        <f>SUMIFS(Data_Tech!$AM$3:$AM$67,Data_Tech!$E$3:$E$67,"1",Data_Tech!$G$3:$G$67,"4/12",Data_Tech!$F$3:$F$67,B462)</f>
        <v>0</v>
      </c>
      <c r="P458" s="434">
        <f>ROUND(M458*O458,2)</f>
        <v>0</v>
      </c>
      <c r="Q458" s="399">
        <f>база!$L$5</f>
        <v>231.45480000000001</v>
      </c>
      <c r="R458" s="390">
        <v>1</v>
      </c>
      <c r="S458" s="491">
        <f>SUMIFS(Таблица1[Столбец1],Таблица1[коэф],"1",Таблица1[р/р],"4/16",Таблица1[Ф. И. О.],B462)</f>
        <v>0</v>
      </c>
      <c r="T458" s="492">
        <f t="shared" si="140"/>
        <v>0</v>
      </c>
      <c r="U458" s="472">
        <f>база!$M$5</f>
        <v>247.41720000000001</v>
      </c>
      <c r="V458" s="390">
        <v>1</v>
      </c>
      <c r="W458" s="494">
        <f>SUMIFS(Таблица1[Столбец1],Таблица1[коэф],"1",Таблица1[р/р],"4/24",Таблица1[Ф. И. О.],B462)</f>
        <v>0</v>
      </c>
      <c r="X458" s="492">
        <f t="shared" si="141"/>
        <v>0</v>
      </c>
      <c r="Y458" s="764"/>
      <c r="Z458" s="766"/>
      <c r="AA458" s="756"/>
    </row>
    <row r="459" spans="1:29" ht="16.5" customHeight="1">
      <c r="A459" s="756"/>
      <c r="B459" s="215"/>
      <c r="C459" s="759"/>
      <c r="D459" s="762"/>
      <c r="E459" s="393"/>
      <c r="F459" s="390"/>
      <c r="G459" s="400"/>
      <c r="H459" s="392">
        <f t="shared" si="138"/>
        <v>0</v>
      </c>
      <c r="I459" s="389"/>
      <c r="J459" s="390"/>
      <c r="K459" s="434"/>
      <c r="L459" s="484">
        <f t="shared" si="139"/>
        <v>0</v>
      </c>
      <c r="M459" s="432"/>
      <c r="N459" s="434"/>
      <c r="O459" s="434"/>
      <c r="P459" s="434"/>
      <c r="Q459" s="399">
        <f>база!$L$6</f>
        <v>261.04640000000001</v>
      </c>
      <c r="R459" s="390">
        <v>1</v>
      </c>
      <c r="S459" s="491">
        <f>SUMIFS(Таблица1[Столбец1],Таблица1[коэф],"1",Таблица1[р/р],"5/16",Таблица1[Ф. И. О.],B462)</f>
        <v>0</v>
      </c>
      <c r="T459" s="492">
        <f t="shared" si="140"/>
        <v>0</v>
      </c>
      <c r="U459" s="472">
        <f>база!$M$6</f>
        <v>279.0496</v>
      </c>
      <c r="V459" s="390">
        <v>1</v>
      </c>
      <c r="W459" s="494">
        <f>SUMIFS(Таблица1[Столбец1],Таблица1[коэф],"1",Таблица1[р/р],"5/24",Таблица1[Ф. И. О.],B462)</f>
        <v>0</v>
      </c>
      <c r="X459" s="492">
        <f t="shared" si="141"/>
        <v>0</v>
      </c>
      <c r="Y459" s="764"/>
      <c r="Z459" s="766"/>
      <c r="AA459" s="756"/>
    </row>
    <row r="460" spans="1:29" ht="16.5" customHeight="1">
      <c r="A460" s="756"/>
      <c r="B460" s="215"/>
      <c r="C460" s="759"/>
      <c r="D460" s="762"/>
      <c r="E460" s="393"/>
      <c r="F460" s="390"/>
      <c r="G460" s="400"/>
      <c r="H460" s="392">
        <f t="shared" si="138"/>
        <v>0</v>
      </c>
      <c r="I460" s="389">
        <f>база!$J$5</f>
        <v>215.4924</v>
      </c>
      <c r="J460" s="390">
        <v>1.5</v>
      </c>
      <c r="K460" s="434">
        <f>SUMIFS(Таблица1[Столбец1],Таблица1[коэф],"1,5",Таблица1[р/р],"4/8",Таблица1[Ф. И. О.],B462)</f>
        <v>0</v>
      </c>
      <c r="L460" s="484">
        <f t="shared" si="139"/>
        <v>0</v>
      </c>
      <c r="M460" s="432"/>
      <c r="N460" s="434"/>
      <c r="O460" s="434"/>
      <c r="P460" s="434"/>
      <c r="Q460" s="399">
        <f>IF(D457&lt;=3,база!$L$4,
IF(D457=4,база!$L$5,
IF(D457=5,база!$L$6)))</f>
        <v>210.57480000000001</v>
      </c>
      <c r="R460" s="390">
        <v>1.2</v>
      </c>
      <c r="S460" s="491">
        <f>SUMIFS(Таблица1[Столбец1],Таблица1[коэф],"1,2",Таблица1[р/р],"3/16",Таблица1[Ф. И. О.],B462)</f>
        <v>0</v>
      </c>
      <c r="T460" s="492">
        <f t="shared" si="140"/>
        <v>0</v>
      </c>
      <c r="U460" s="472">
        <f>IF(D457&lt;=3,база!$M$4,
IF(D457=4,база!$M$5,
IF(D457=5,база!$M$6)))</f>
        <v>225.09719999999999</v>
      </c>
      <c r="V460" s="390">
        <v>1.2</v>
      </c>
      <c r="W460" s="494">
        <f>SUMIFS(Таблица1[Столбец1],Таблица1[коэф],"1,2",Таблица1[р/р],"3/24",Таблица1[Ф. И. О.],B462)</f>
        <v>0</v>
      </c>
      <c r="X460" s="492">
        <f t="shared" si="141"/>
        <v>0</v>
      </c>
      <c r="Y460" s="764"/>
      <c r="Z460" s="766"/>
      <c r="AA460" s="756"/>
    </row>
    <row r="461" spans="1:29" ht="16.5" customHeight="1">
      <c r="A461" s="756"/>
      <c r="B461" s="215"/>
      <c r="C461" s="759"/>
      <c r="D461" s="762"/>
      <c r="E461" s="393"/>
      <c r="F461" s="390"/>
      <c r="G461" s="400"/>
      <c r="H461" s="392">
        <f t="shared" si="138"/>
        <v>0</v>
      </c>
      <c r="I461" s="389">
        <f>база!$J$6</f>
        <v>243.04319999999998</v>
      </c>
      <c r="J461" s="390">
        <v>1.5</v>
      </c>
      <c r="K461" s="434">
        <f>SUMIFS(Таблица1[Столбец1],Таблица1[коэф],"1,5",Таблица1[р/р],"5/8",Таблица1[Ф. И. О.],B462)</f>
        <v>0</v>
      </c>
      <c r="L461" s="484">
        <f t="shared" si="139"/>
        <v>0</v>
      </c>
      <c r="M461" s="432"/>
      <c r="N461" s="434"/>
      <c r="O461" s="434"/>
      <c r="P461" s="434"/>
      <c r="Q461" s="399">
        <f>база!$L$5</f>
        <v>231.45480000000001</v>
      </c>
      <c r="R461" s="390">
        <v>1.2</v>
      </c>
      <c r="S461" s="491">
        <f>SUMIFS(Таблица1[Столбец1],Таблица1[коэф],"1,2",Таблица1[р/р],"4/16",Таблица1[Ф. И. О.],B462)</f>
        <v>0</v>
      </c>
      <c r="T461" s="492">
        <f t="shared" si="140"/>
        <v>0</v>
      </c>
      <c r="U461" s="472">
        <f>база!$M$5</f>
        <v>247.41720000000001</v>
      </c>
      <c r="V461" s="390">
        <v>1.2</v>
      </c>
      <c r="W461" s="494">
        <f>SUMIFS(Таблица1[Столбец1],Таблица1[коэф],"1,2",Таблица1[р/р],"4/24",Таблица1[Ф. И. О.],B462)</f>
        <v>0</v>
      </c>
      <c r="X461" s="492">
        <f t="shared" si="141"/>
        <v>0</v>
      </c>
      <c r="Y461" s="764"/>
      <c r="Z461" s="766"/>
      <c r="AA461" s="756"/>
    </row>
    <row r="462" spans="1:29" ht="16.5" customHeight="1">
      <c r="A462" s="756"/>
      <c r="B462" s="215" t="str">
        <f>база!B43</f>
        <v>Малышева Анна Евгеньевна</v>
      </c>
      <c r="C462" s="759"/>
      <c r="D462" s="762"/>
      <c r="E462" s="393"/>
      <c r="F462" s="390"/>
      <c r="G462" s="400"/>
      <c r="H462" s="392">
        <f t="shared" si="138"/>
        <v>0</v>
      </c>
      <c r="I462" s="389"/>
      <c r="J462" s="390"/>
      <c r="K462" s="434"/>
      <c r="L462" s="484">
        <f t="shared" si="139"/>
        <v>0</v>
      </c>
      <c r="M462" s="432"/>
      <c r="N462" s="434"/>
      <c r="O462" s="434"/>
      <c r="P462" s="434"/>
      <c r="Q462" s="399">
        <f>база!$L$6</f>
        <v>261.04640000000001</v>
      </c>
      <c r="R462" s="390">
        <v>1.2</v>
      </c>
      <c r="S462" s="491">
        <f>SUMIFS(Таблица1[Столбец1],Таблица1[коэф],"1,2",Таблица1[р/р],"5/16",Таблица1[Ф. И. О.],B462)</f>
        <v>0</v>
      </c>
      <c r="T462" s="492">
        <f t="shared" si="140"/>
        <v>0</v>
      </c>
      <c r="U462" s="472">
        <f>база!$M$6</f>
        <v>279.0496</v>
      </c>
      <c r="V462" s="390">
        <v>1.2</v>
      </c>
      <c r="W462" s="494">
        <f>SUMIFS(Таблица1[Столбец1],Таблица1[коэф],"1,2",Таблица1[р/р],"5/24",Таблица1[Ф. И. О.],B462)</f>
        <v>0</v>
      </c>
      <c r="X462" s="492">
        <f t="shared" si="141"/>
        <v>0</v>
      </c>
      <c r="Y462" s="764"/>
      <c r="Z462" s="766"/>
      <c r="AA462" s="756"/>
      <c r="AC462" s="712" t="str">
        <f>IF(SUMIFS(Таблица1[Столбец3],Таблица1[Ф. И. О.],B462)-Z457=0,"",SUMIFS(Таблица1[Столбец3],Таблица1[Ф. И. О.],B462)-Z457)</f>
        <v/>
      </c>
    </row>
    <row r="463" spans="1:29" ht="16.5" customHeight="1">
      <c r="A463" s="756"/>
      <c r="B463" s="215"/>
      <c r="C463" s="759"/>
      <c r="D463" s="762"/>
      <c r="E463" s="393"/>
      <c r="F463" s="390"/>
      <c r="G463" s="400"/>
      <c r="H463" s="392">
        <f t="shared" si="138"/>
        <v>0</v>
      </c>
      <c r="I463" s="389"/>
      <c r="J463" s="390"/>
      <c r="K463" s="434"/>
      <c r="L463" s="484">
        <f t="shared" si="139"/>
        <v>0</v>
      </c>
      <c r="M463" s="432"/>
      <c r="N463" s="434"/>
      <c r="O463" s="434"/>
      <c r="P463" s="434"/>
      <c r="Q463" s="399">
        <f>IF(D457&lt;=3,база!$L$4,
IF(D457=4,база!$L$5,
IF(D457=5,база!$L$6)))</f>
        <v>210.57480000000001</v>
      </c>
      <c r="R463" s="390">
        <v>1.3</v>
      </c>
      <c r="S463" s="491">
        <f>SUMIFS(Таблица1[Столбец1],Таблица1[коэф],"1,3",Таблица1[р/р],"3/16",Таблица1[Ф. И. О.],B462)</f>
        <v>0</v>
      </c>
      <c r="T463" s="492">
        <f t="shared" si="140"/>
        <v>0</v>
      </c>
      <c r="U463" s="472">
        <f>IF(D457&lt;=3,база!$M$4,
IF(D457=4,база!$M$5,
IF(D457=5,база!$M$6)))</f>
        <v>225.09719999999999</v>
      </c>
      <c r="V463" s="390">
        <v>1.3</v>
      </c>
      <c r="W463" s="494">
        <f>SUMIFS(Таблица1[Столбец1],Таблица1[коэф],"1,3",Таблица1[р/р],"3/24",Таблица1[Ф. И. О.],B462)</f>
        <v>0</v>
      </c>
      <c r="X463" s="492">
        <f t="shared" si="141"/>
        <v>0</v>
      </c>
      <c r="Y463" s="764"/>
      <c r="Z463" s="766"/>
      <c r="AA463" s="756"/>
      <c r="AC463" s="712" t="str">
        <f>IF(SUMIFS(Таблица1[Столбец1],Таблица1[Ф. И. О.],B462)=Y457,"",B462&amp;"  часы не верны")</f>
        <v/>
      </c>
    </row>
    <row r="464" spans="1:29" ht="16.5" customHeight="1">
      <c r="A464" s="756"/>
      <c r="B464" s="215"/>
      <c r="C464" s="759"/>
      <c r="D464" s="762"/>
      <c r="E464" s="393"/>
      <c r="F464" s="390"/>
      <c r="G464" s="400"/>
      <c r="H464" s="392">
        <f t="shared" si="138"/>
        <v>0</v>
      </c>
      <c r="I464" s="389"/>
      <c r="J464" s="390"/>
      <c r="K464" s="434"/>
      <c r="L464" s="484">
        <f t="shared" si="139"/>
        <v>0</v>
      </c>
      <c r="M464" s="432"/>
      <c r="N464" s="434"/>
      <c r="O464" s="434"/>
      <c r="P464" s="434"/>
      <c r="Q464" s="399">
        <f>база!$L$5</f>
        <v>231.45480000000001</v>
      </c>
      <c r="R464" s="390">
        <v>1.3</v>
      </c>
      <c r="S464" s="491">
        <f>SUMIFS(Таблица1[Столбец1],Таблица1[коэф],"1,3",Таблица1[р/р],"4/16",Таблица1[Ф. И. О.],B462)</f>
        <v>0</v>
      </c>
      <c r="T464" s="492">
        <f t="shared" si="140"/>
        <v>0</v>
      </c>
      <c r="U464" s="472">
        <f>база!$M$5</f>
        <v>247.41720000000001</v>
      </c>
      <c r="V464" s="390">
        <v>1.3</v>
      </c>
      <c r="W464" s="494">
        <f>SUMIFS(Таблица1[Столбец1],Таблица1[коэф],"1,3",Таблица1[р/р],"4/24",Таблица1[Ф. И. О.],B462)</f>
        <v>0</v>
      </c>
      <c r="X464" s="492">
        <f t="shared" si="141"/>
        <v>0</v>
      </c>
      <c r="Y464" s="764"/>
      <c r="Z464" s="766"/>
      <c r="AA464" s="756"/>
    </row>
    <row r="465" spans="1:29" ht="16.5" customHeight="1">
      <c r="A465" s="756"/>
      <c r="B465" s="215"/>
      <c r="C465" s="759"/>
      <c r="D465" s="762"/>
      <c r="E465" s="393"/>
      <c r="F465" s="390"/>
      <c r="G465" s="400"/>
      <c r="H465" s="392">
        <f t="shared" si="138"/>
        <v>0</v>
      </c>
      <c r="I465" s="389"/>
      <c r="J465" s="390"/>
      <c r="K465" s="434"/>
      <c r="L465" s="484">
        <f t="shared" si="139"/>
        <v>0</v>
      </c>
      <c r="M465" s="432"/>
      <c r="N465" s="434"/>
      <c r="O465" s="434"/>
      <c r="P465" s="434"/>
      <c r="Q465" s="399">
        <f>IF(D457&lt;=3,база!$L$4,
IF(D457=4,база!$L$5,
IF(D457=5,база!$L$6)))</f>
        <v>210.57480000000001</v>
      </c>
      <c r="R465" s="390">
        <v>1.4</v>
      </c>
      <c r="S465" s="491">
        <f>SUMIFS(Таблица1[Столбец1],Таблица1[коэф],"1,4",Таблица1[р/р],"3/16",Таблица1[Ф. И. О.],B462)</f>
        <v>0</v>
      </c>
      <c r="T465" s="492">
        <f t="shared" si="140"/>
        <v>0</v>
      </c>
      <c r="U465" s="472">
        <f>IF(D457&lt;=3,база!$M$4,
IF(D457=4,база!$M$5,
IF(D457=5,база!$M$6)))</f>
        <v>225.09719999999999</v>
      </c>
      <c r="V465" s="390">
        <v>1.4</v>
      </c>
      <c r="W465" s="494">
        <f>SUMIFS(Таблица1[Столбец1],Таблица1[коэф],"1,4",Таблица1[р/р],"3/24",Таблица1[Ф. И. О.],B462)</f>
        <v>0</v>
      </c>
      <c r="X465" s="492">
        <f t="shared" si="141"/>
        <v>0</v>
      </c>
      <c r="Y465" s="764"/>
      <c r="Z465" s="766"/>
      <c r="AA465" s="756"/>
    </row>
    <row r="466" spans="1:29" ht="16.5" customHeight="1">
      <c r="A466" s="756"/>
      <c r="B466" s="215"/>
      <c r="C466" s="759"/>
      <c r="D466" s="762"/>
      <c r="E466" s="393"/>
      <c r="F466" s="390"/>
      <c r="G466" s="400"/>
      <c r="H466" s="392">
        <f t="shared" si="138"/>
        <v>0</v>
      </c>
      <c r="I466" s="389"/>
      <c r="J466" s="390"/>
      <c r="K466" s="434"/>
      <c r="L466" s="395">
        <f t="shared" si="139"/>
        <v>0</v>
      </c>
      <c r="M466" s="432"/>
      <c r="N466" s="434"/>
      <c r="O466" s="434"/>
      <c r="P466" s="434"/>
      <c r="Q466" s="399">
        <f>база!$L$5</f>
        <v>231.45480000000001</v>
      </c>
      <c r="R466" s="390">
        <v>1.4</v>
      </c>
      <c r="S466" s="491">
        <f>SUMIFS(Таблица1[Столбец1],Таблица1[коэф],"1,4",Таблица1[р/р],"4/16",Таблица1[Ф. И. О.],B462)</f>
        <v>0</v>
      </c>
      <c r="T466" s="492">
        <f t="shared" si="140"/>
        <v>0</v>
      </c>
      <c r="U466" s="472">
        <f>база!$M$5</f>
        <v>247.41720000000001</v>
      </c>
      <c r="V466" s="390">
        <v>1.4</v>
      </c>
      <c r="W466" s="494">
        <f>SUMIFS(Таблица1[Столбец1],Таблица1[коэф],"1,4",Таблица1[р/р],"4/24",Таблица1[Ф. И. О.],B462)</f>
        <v>0</v>
      </c>
      <c r="X466" s="492">
        <f t="shared" si="141"/>
        <v>0</v>
      </c>
      <c r="Y466" s="764"/>
      <c r="Z466" s="766"/>
      <c r="AA466" s="756"/>
    </row>
    <row r="467" spans="1:29" ht="16.5" customHeight="1" thickBot="1">
      <c r="A467" s="757"/>
      <c r="B467" s="202"/>
      <c r="C467" s="760"/>
      <c r="D467" s="763"/>
      <c r="E467" s="463"/>
      <c r="F467" s="464"/>
      <c r="G467" s="465"/>
      <c r="H467" s="468">
        <f t="shared" si="138"/>
        <v>0</v>
      </c>
      <c r="I467" s="473"/>
      <c r="J467" s="464"/>
      <c r="K467" s="457"/>
      <c r="L467" s="458">
        <f t="shared" si="139"/>
        <v>0</v>
      </c>
      <c r="M467" s="466"/>
      <c r="N467" s="457"/>
      <c r="O467" s="457"/>
      <c r="P467" s="457"/>
      <c r="Q467" s="467">
        <f>база!$L$6</f>
        <v>261.04640000000001</v>
      </c>
      <c r="R467" s="464">
        <v>1.4</v>
      </c>
      <c r="S467" s="512">
        <f>SUMIFS(Таблица1[Столбец1],Таблица1[коэф],"1,4",Таблица1[р/р],"5/16",Таблица1[Ф. И. О.],B462)</f>
        <v>0</v>
      </c>
      <c r="T467" s="513">
        <f t="shared" si="140"/>
        <v>0</v>
      </c>
      <c r="U467" s="474">
        <f>база!$M$6</f>
        <v>279.0496</v>
      </c>
      <c r="V467" s="464">
        <v>1.4</v>
      </c>
      <c r="W467" s="501">
        <f>SUMIFS(Таблица1[Столбец1],Таблица1[коэф],"1,4",Таблица1[р/р],"5/24",Таблица1[Ф. И. О.],B462)</f>
        <v>0</v>
      </c>
      <c r="X467" s="513">
        <f t="shared" si="141"/>
        <v>0</v>
      </c>
      <c r="Y467" s="765"/>
      <c r="Z467" s="767"/>
      <c r="AA467" s="757"/>
    </row>
    <row r="468" spans="1:29" ht="16.5" customHeight="1" collapsed="1">
      <c r="A468" s="755">
        <v>43</v>
      </c>
      <c r="B468" s="235"/>
      <c r="C468" s="758">
        <f>INDEX(база!$E$2:$E$81, MATCH(B473,база!$B$2:$B$50,0))</f>
        <v>17136</v>
      </c>
      <c r="D468" s="761">
        <f>INDEX(база!$D$2:$D$89, MATCH(B473,база!$B$2:$B$50,0))</f>
        <v>3</v>
      </c>
      <c r="E468" s="451">
        <f>IF(D468&lt;=3,база!$I$4,
IF(D468=4,база!$I$5,
IF(D468=5,база!$I$6)))</f>
        <v>188.7912</v>
      </c>
      <c r="F468" s="417">
        <v>1</v>
      </c>
      <c r="G468" s="418">
        <f>SUMIFS(Таблица1[Столбец1],Таблица1[коэф],"1",Таблица1[р/р],"2/4",Таблица1[Ф. И. О.],B473)</f>
        <v>0</v>
      </c>
      <c r="H468" s="402">
        <f t="shared" ref="H468:H478" si="144">ROUND(E468*F468*G468*2,2)</f>
        <v>0</v>
      </c>
      <c r="I468" s="377">
        <f>IF(D468&lt;=3,база!$J$4,
IF(D468=4,база!$J$5,
IF(D468=5,база!$J$6)))</f>
        <v>196.05240000000001</v>
      </c>
      <c r="J468" s="378">
        <v>1</v>
      </c>
      <c r="K468" s="428">
        <f>SUMIFS(Таблица1[Столбец1],Таблица1[коэф],"1",Таблица1[р/р],"2/8",Таблица1[Ф. И. О.],B473)</f>
        <v>0</v>
      </c>
      <c r="L468" s="383">
        <f t="shared" ref="L468:L478" si="145">ROUND(I468*J468*K468*2,2)</f>
        <v>0</v>
      </c>
      <c r="M468" s="452"/>
      <c r="N468" s="453">
        <v>1</v>
      </c>
      <c r="O468" s="453">
        <f>SUMIFS(Data_Tech!$AM$3:$AM$67,Data_Tech!$E$3:$E$67,"1",Data_Tech!$G$3:$G$67,"3/12",Data_Tech!$F$3:$F$67,B473)</f>
        <v>0</v>
      </c>
      <c r="P468" s="453">
        <f>ROUND(M468*N468*O468,2)</f>
        <v>0</v>
      </c>
      <c r="Q468" s="416">
        <f>IF(D468&lt;=3,база!$L$4,
IF(D468=4,база!$L$5,
IF(D468=5,база!$L$6)))</f>
        <v>210.57480000000001</v>
      </c>
      <c r="R468" s="417">
        <v>1</v>
      </c>
      <c r="S468" s="495">
        <f>SUMIFS(Таблица1[Столбец1],Таблица1[коэф],"1",Таблица1[р/р],"3/16",Таблица1[Ф. И. О.],B473)</f>
        <v>0</v>
      </c>
      <c r="T468" s="490">
        <f t="shared" ref="T468:T478" si="146">ROUND(Q468*R468*S468*2,2)</f>
        <v>0</v>
      </c>
      <c r="U468" s="471">
        <f>IF(D468&lt;=3,база!$M$4,
IF(D468=4,база!$M$5,
IF(D468=5,база!$M$6)))</f>
        <v>225.09719999999999</v>
      </c>
      <c r="V468" s="378">
        <v>1</v>
      </c>
      <c r="W468" s="497">
        <f>SUMIFS(Таблица1[Столбец1],Таблица1[коэф],"1",Таблица1[р/р],"3/24",Таблица1[Ф. И. О.],B473)</f>
        <v>0</v>
      </c>
      <c r="X468" s="490">
        <f t="shared" ref="X468:X478" si="147">ROUND(U468*V468*W468*2,2)</f>
        <v>0</v>
      </c>
      <c r="Y468" s="764">
        <f t="shared" ref="Y468" si="148">SUM(G468:G478,K468:K478,O468:O478,S468:S478,W468:W478)</f>
        <v>0</v>
      </c>
      <c r="Z468" s="766">
        <f t="shared" ref="Z468" si="149">IFERROR(SUM(H468:H478,L468:L478,T468:T478,X468:X478),"")</f>
        <v>0</v>
      </c>
      <c r="AA468" s="756"/>
    </row>
    <row r="469" spans="1:29" ht="16.5" customHeight="1">
      <c r="A469" s="756"/>
      <c r="B469" s="215"/>
      <c r="C469" s="759"/>
      <c r="D469" s="762"/>
      <c r="E469" s="393">
        <f>IF(D468&lt;=3,база!$I$4,
IF(D468=4,база!$I$5,
IF(D468=5,база!$I$6)))</f>
        <v>188.7912</v>
      </c>
      <c r="F469" s="390">
        <v>1</v>
      </c>
      <c r="G469" s="400">
        <f>SUMIFS(Таблица1[Столбец1],Таблица1[коэф],"1",Таблица1[р/р],"3/4",Таблица1[Ф. И. О.],B473)</f>
        <v>0</v>
      </c>
      <c r="H469" s="392">
        <f t="shared" si="144"/>
        <v>0</v>
      </c>
      <c r="I469" s="389">
        <f>IF(D468&lt;=3,база!$J$4,
IF(D468=4,база!$J$5,
IF(D468=5,база!$J$6)))</f>
        <v>196.05240000000001</v>
      </c>
      <c r="J469" s="390">
        <v>1</v>
      </c>
      <c r="K469" s="434">
        <f>SUMIFS(Таблица1[Столбец1],Таблица1[коэф],"1",Таблица1[р/р],"3/8",Таблица1[Ф. И. О.],B473)</f>
        <v>0</v>
      </c>
      <c r="L469" s="484">
        <f t="shared" si="145"/>
        <v>0</v>
      </c>
      <c r="M469" s="432"/>
      <c r="N469" s="434">
        <v>1</v>
      </c>
      <c r="O469" s="434">
        <f>SUMIFS(Data_Tech!$AM$3:$AM$67,Data_Tech!$E$3:$E$67,"1",Data_Tech!$G$3:$G$67,"4/12",Data_Tech!$F$3:$F$67,B473)</f>
        <v>0</v>
      </c>
      <c r="P469" s="434">
        <f>ROUND(M469*O469,2)</f>
        <v>0</v>
      </c>
      <c r="Q469" s="399">
        <f>база!$L$5</f>
        <v>231.45480000000001</v>
      </c>
      <c r="R469" s="390">
        <v>1</v>
      </c>
      <c r="S469" s="491">
        <f>SUMIFS(Таблица1[Столбец1],Таблица1[коэф],"1",Таблица1[р/р],"4/16",Таблица1[Ф. И. О.],B473)</f>
        <v>0</v>
      </c>
      <c r="T469" s="492">
        <f t="shared" si="146"/>
        <v>0</v>
      </c>
      <c r="U469" s="472">
        <f>база!$M$5</f>
        <v>247.41720000000001</v>
      </c>
      <c r="V469" s="390">
        <v>1</v>
      </c>
      <c r="W469" s="494">
        <f>SUMIFS(Таблица1[Столбец1],Таблица1[коэф],"1",Таблица1[р/р],"4/24",Таблица1[Ф. И. О.],B473)</f>
        <v>0</v>
      </c>
      <c r="X469" s="492">
        <f t="shared" si="147"/>
        <v>0</v>
      </c>
      <c r="Y469" s="764"/>
      <c r="Z469" s="766"/>
      <c r="AA469" s="756"/>
    </row>
    <row r="470" spans="1:29" ht="16.5" customHeight="1">
      <c r="A470" s="756"/>
      <c r="B470" s="215"/>
      <c r="C470" s="759"/>
      <c r="D470" s="762"/>
      <c r="E470" s="393"/>
      <c r="F470" s="390"/>
      <c r="G470" s="400"/>
      <c r="H470" s="392">
        <f t="shared" si="144"/>
        <v>0</v>
      </c>
      <c r="I470" s="389"/>
      <c r="J470" s="390"/>
      <c r="K470" s="434"/>
      <c r="L470" s="484">
        <f t="shared" si="145"/>
        <v>0</v>
      </c>
      <c r="M470" s="432"/>
      <c r="N470" s="434"/>
      <c r="O470" s="434"/>
      <c r="P470" s="434"/>
      <c r="Q470" s="399">
        <f>база!$L$6</f>
        <v>261.04640000000001</v>
      </c>
      <c r="R470" s="390">
        <v>1</v>
      </c>
      <c r="S470" s="491">
        <f>SUMIFS(Таблица1[Столбец1],Таблица1[коэф],"1",Таблица1[р/р],"5/16",Таблица1[Ф. И. О.],B473)</f>
        <v>0</v>
      </c>
      <c r="T470" s="492">
        <f t="shared" si="146"/>
        <v>0</v>
      </c>
      <c r="U470" s="472">
        <f>база!$M$6</f>
        <v>279.0496</v>
      </c>
      <c r="V470" s="390">
        <v>1</v>
      </c>
      <c r="W470" s="494">
        <f>SUMIFS(Таблица1[Столбец1],Таблица1[коэф],"1",Таблица1[р/р],"5/24",Таблица1[Ф. И. О.],B473)</f>
        <v>0</v>
      </c>
      <c r="X470" s="492">
        <f t="shared" si="147"/>
        <v>0</v>
      </c>
      <c r="Y470" s="764"/>
      <c r="Z470" s="766"/>
      <c r="AA470" s="756"/>
    </row>
    <row r="471" spans="1:29" ht="16.5" customHeight="1">
      <c r="A471" s="756"/>
      <c r="B471" s="215"/>
      <c r="C471" s="759"/>
      <c r="D471" s="762"/>
      <c r="E471" s="393"/>
      <c r="F471" s="390"/>
      <c r="G471" s="400"/>
      <c r="H471" s="392">
        <f t="shared" si="144"/>
        <v>0</v>
      </c>
      <c r="I471" s="389">
        <f>база!$J$5</f>
        <v>215.4924</v>
      </c>
      <c r="J471" s="390">
        <v>1.5</v>
      </c>
      <c r="K471" s="434">
        <f>SUMIFS(Таблица1[Столбец1],Таблица1[коэф],"1,5",Таблица1[р/р],"4/8",Таблица1[Ф. И. О.],B473)</f>
        <v>0</v>
      </c>
      <c r="L471" s="484">
        <f t="shared" si="145"/>
        <v>0</v>
      </c>
      <c r="M471" s="432"/>
      <c r="N471" s="434"/>
      <c r="O471" s="434"/>
      <c r="P471" s="434"/>
      <c r="Q471" s="399">
        <f>IF(D468&lt;=3,база!$L$4,
IF(D468=4,база!$L$5,
IF(D468=5,база!$L$6)))</f>
        <v>210.57480000000001</v>
      </c>
      <c r="R471" s="390">
        <v>1.2</v>
      </c>
      <c r="S471" s="491">
        <f>SUMIFS(Таблица1[Столбец1],Таблица1[коэф],"1,2",Таблица1[р/р],"3/16",Таблица1[Ф. И. О.],B473)</f>
        <v>0</v>
      </c>
      <c r="T471" s="492">
        <f t="shared" si="146"/>
        <v>0</v>
      </c>
      <c r="U471" s="472">
        <f>IF(D468&lt;=3,база!$M$4,
IF(D468=4,база!$M$5,
IF(D468=5,база!$M$6)))</f>
        <v>225.09719999999999</v>
      </c>
      <c r="V471" s="390">
        <v>1.2</v>
      </c>
      <c r="W471" s="494">
        <f>SUMIFS(Таблица1[Столбец1],Таблица1[коэф],"1,2",Таблица1[р/р],"3/24",Таблица1[Ф. И. О.],B473)</f>
        <v>0</v>
      </c>
      <c r="X471" s="492">
        <f t="shared" si="147"/>
        <v>0</v>
      </c>
      <c r="Y471" s="764"/>
      <c r="Z471" s="766"/>
      <c r="AA471" s="756"/>
    </row>
    <row r="472" spans="1:29" ht="16.5" customHeight="1">
      <c r="A472" s="756"/>
      <c r="B472" s="215"/>
      <c r="C472" s="759"/>
      <c r="D472" s="762"/>
      <c r="E472" s="393"/>
      <c r="F472" s="390"/>
      <c r="G472" s="400"/>
      <c r="H472" s="392">
        <f t="shared" si="144"/>
        <v>0</v>
      </c>
      <c r="I472" s="389">
        <f>база!$J$6</f>
        <v>243.04319999999998</v>
      </c>
      <c r="J472" s="390">
        <v>1.5</v>
      </c>
      <c r="K472" s="434">
        <f>SUMIFS(Таблица1[Столбец1],Таблица1[коэф],"1,5",Таблица1[р/р],"5/8",Таблица1[Ф. И. О.],B473)</f>
        <v>0</v>
      </c>
      <c r="L472" s="484">
        <f t="shared" si="145"/>
        <v>0</v>
      </c>
      <c r="M472" s="432"/>
      <c r="N472" s="434"/>
      <c r="O472" s="434"/>
      <c r="P472" s="434"/>
      <c r="Q472" s="399">
        <f>база!$L$5</f>
        <v>231.45480000000001</v>
      </c>
      <c r="R472" s="390">
        <v>1.2</v>
      </c>
      <c r="S472" s="491">
        <f>SUMIFS(Таблица1[Столбец1],Таблица1[коэф],"1,2",Таблица1[р/р],"4/16",Таблица1[Ф. И. О.],B473)</f>
        <v>0</v>
      </c>
      <c r="T472" s="492">
        <f t="shared" si="146"/>
        <v>0</v>
      </c>
      <c r="U472" s="472">
        <f>база!$M$5</f>
        <v>247.41720000000001</v>
      </c>
      <c r="V472" s="390">
        <v>1.2</v>
      </c>
      <c r="W472" s="494">
        <f>SUMIFS(Таблица1[Столбец1],Таблица1[коэф],"1,2",Таблица1[р/р],"4/24",Таблица1[Ф. И. О.],B473)</f>
        <v>0</v>
      </c>
      <c r="X472" s="492">
        <f t="shared" si="147"/>
        <v>0</v>
      </c>
      <c r="Y472" s="764"/>
      <c r="Z472" s="766"/>
      <c r="AA472" s="756"/>
    </row>
    <row r="473" spans="1:29" ht="16.5" customHeight="1">
      <c r="A473" s="756"/>
      <c r="B473" s="215" t="str">
        <f>база!B44</f>
        <v>Маргиева Фатима Александровна</v>
      </c>
      <c r="C473" s="759"/>
      <c r="D473" s="762"/>
      <c r="E473" s="393"/>
      <c r="F473" s="390"/>
      <c r="G473" s="400"/>
      <c r="H473" s="392">
        <f t="shared" si="144"/>
        <v>0</v>
      </c>
      <c r="I473" s="389"/>
      <c r="J473" s="390"/>
      <c r="K473" s="434"/>
      <c r="L473" s="484">
        <f t="shared" si="145"/>
        <v>0</v>
      </c>
      <c r="M473" s="432"/>
      <c r="N473" s="434"/>
      <c r="O473" s="434"/>
      <c r="P473" s="434"/>
      <c r="Q473" s="399">
        <f>база!$L$6</f>
        <v>261.04640000000001</v>
      </c>
      <c r="R473" s="390">
        <v>1.2</v>
      </c>
      <c r="S473" s="491">
        <f>SUMIFS(Таблица1[Столбец1],Таблица1[коэф],"1,2",Таблица1[р/р],"5/16",Таблица1[Ф. И. О.],B473)</f>
        <v>0</v>
      </c>
      <c r="T473" s="492">
        <f t="shared" si="146"/>
        <v>0</v>
      </c>
      <c r="U473" s="472">
        <f>база!$M$6</f>
        <v>279.0496</v>
      </c>
      <c r="V473" s="390">
        <v>1.2</v>
      </c>
      <c r="W473" s="494">
        <f>SUMIFS(Таблица1[Столбец1],Таблица1[коэф],"1,2",Таблица1[р/р],"5/24",Таблица1[Ф. И. О.],B473)</f>
        <v>0</v>
      </c>
      <c r="X473" s="492">
        <f t="shared" si="147"/>
        <v>0</v>
      </c>
      <c r="Y473" s="764"/>
      <c r="Z473" s="766"/>
      <c r="AA473" s="756"/>
      <c r="AC473" s="712" t="str">
        <f>IF(SUMIFS(Таблица1[Столбец3],Таблица1[Ф. И. О.],B473)-Z468=0,"",SUMIFS(Таблица1[Столбец3],Таблица1[Ф. И. О.],B473)-Z468)</f>
        <v/>
      </c>
    </row>
    <row r="474" spans="1:29" ht="16.5" customHeight="1">
      <c r="A474" s="756"/>
      <c r="B474" s="215"/>
      <c r="C474" s="759"/>
      <c r="D474" s="762"/>
      <c r="E474" s="393"/>
      <c r="F474" s="390"/>
      <c r="G474" s="400"/>
      <c r="H474" s="392">
        <f t="shared" si="144"/>
        <v>0</v>
      </c>
      <c r="I474" s="389"/>
      <c r="J474" s="390"/>
      <c r="K474" s="434"/>
      <c r="L474" s="484">
        <f t="shared" si="145"/>
        <v>0</v>
      </c>
      <c r="M474" s="432"/>
      <c r="N474" s="434"/>
      <c r="O474" s="434"/>
      <c r="P474" s="434"/>
      <c r="Q474" s="399">
        <f>IF(D468&lt;=3,база!$L$4,
IF(D468=4,база!$L$5,
IF(D468=5,база!$L$6)))</f>
        <v>210.57480000000001</v>
      </c>
      <c r="R474" s="390">
        <v>1.3</v>
      </c>
      <c r="S474" s="491">
        <f>SUMIFS(Таблица1[Столбец1],Таблица1[коэф],"1,3",Таблица1[р/р],"3/16",Таблица1[Ф. И. О.],B473)</f>
        <v>0</v>
      </c>
      <c r="T474" s="492">
        <f t="shared" si="146"/>
        <v>0</v>
      </c>
      <c r="U474" s="472">
        <f>IF(D468&lt;=3,база!$M$4,
IF(D468=4,база!$M$5,
IF(D468=5,база!$M$6)))</f>
        <v>225.09719999999999</v>
      </c>
      <c r="V474" s="390">
        <v>1.3</v>
      </c>
      <c r="W474" s="494">
        <f>SUMIFS(Таблица1[Столбец1],Таблица1[коэф],"1,3",Таблица1[р/р],"3/24",Таблица1[Ф. И. О.],B473)</f>
        <v>0</v>
      </c>
      <c r="X474" s="492">
        <f t="shared" si="147"/>
        <v>0</v>
      </c>
      <c r="Y474" s="764"/>
      <c r="Z474" s="766"/>
      <c r="AA474" s="756"/>
      <c r="AC474" s="712" t="str">
        <f>IF(SUMIFS(Таблица1[Столбец1],Таблица1[Ф. И. О.],B473)=Y468,"",B473&amp;"  часы не верны")</f>
        <v/>
      </c>
    </row>
    <row r="475" spans="1:29" ht="16.5" customHeight="1">
      <c r="A475" s="756"/>
      <c r="B475" s="215"/>
      <c r="C475" s="759"/>
      <c r="D475" s="762"/>
      <c r="E475" s="393"/>
      <c r="F475" s="390"/>
      <c r="G475" s="400"/>
      <c r="H475" s="392">
        <f t="shared" si="144"/>
        <v>0</v>
      </c>
      <c r="I475" s="389"/>
      <c r="J475" s="390"/>
      <c r="K475" s="434"/>
      <c r="L475" s="484">
        <f t="shared" si="145"/>
        <v>0</v>
      </c>
      <c r="M475" s="432"/>
      <c r="N475" s="434"/>
      <c r="O475" s="434"/>
      <c r="P475" s="434"/>
      <c r="Q475" s="399">
        <f>база!$L$5</f>
        <v>231.45480000000001</v>
      </c>
      <c r="R475" s="390">
        <v>1.3</v>
      </c>
      <c r="S475" s="491">
        <f>SUMIFS(Таблица1[Столбец1],Таблица1[коэф],"1,3",Таблица1[р/р],"4/16",Таблица1[Ф. И. О.],B473)</f>
        <v>0</v>
      </c>
      <c r="T475" s="492">
        <f t="shared" si="146"/>
        <v>0</v>
      </c>
      <c r="U475" s="472">
        <f>база!$M$5</f>
        <v>247.41720000000001</v>
      </c>
      <c r="V475" s="390">
        <v>1.3</v>
      </c>
      <c r="W475" s="494">
        <f>SUMIFS(Таблица1[Столбец1],Таблица1[коэф],"1,3",Таблица1[р/р],"4/24",Таблица1[Ф. И. О.],B473)</f>
        <v>0</v>
      </c>
      <c r="X475" s="492">
        <f t="shared" si="147"/>
        <v>0</v>
      </c>
      <c r="Y475" s="764"/>
      <c r="Z475" s="766"/>
      <c r="AA475" s="756"/>
    </row>
    <row r="476" spans="1:29" ht="16.5" customHeight="1">
      <c r="A476" s="756"/>
      <c r="B476" s="215"/>
      <c r="C476" s="759"/>
      <c r="D476" s="762"/>
      <c r="E476" s="393"/>
      <c r="F476" s="390"/>
      <c r="G476" s="400"/>
      <c r="H476" s="392">
        <f t="shared" si="144"/>
        <v>0</v>
      </c>
      <c r="I476" s="389"/>
      <c r="J476" s="390"/>
      <c r="K476" s="434"/>
      <c r="L476" s="484">
        <f t="shared" si="145"/>
        <v>0</v>
      </c>
      <c r="M476" s="432"/>
      <c r="N476" s="434"/>
      <c r="O476" s="434"/>
      <c r="P476" s="434"/>
      <c r="Q476" s="399">
        <f>IF(D468&lt;=3,база!$L$4,
IF(D468=4,база!$L$5,
IF(D468=5,база!$L$6)))</f>
        <v>210.57480000000001</v>
      </c>
      <c r="R476" s="390">
        <v>1.4</v>
      </c>
      <c r="S476" s="491">
        <f>SUMIFS(Таблица1[Столбец1],Таблица1[коэф],"1,4",Таблица1[р/р],"3/16",Таблица1[Ф. И. О.],B473)</f>
        <v>0</v>
      </c>
      <c r="T476" s="492">
        <f t="shared" si="146"/>
        <v>0</v>
      </c>
      <c r="U476" s="472">
        <f>IF(D468&lt;=3,база!$M$4,
IF(D468=4,база!$M$5,
IF(D468=5,база!$M$6)))</f>
        <v>225.09719999999999</v>
      </c>
      <c r="V476" s="390">
        <v>1.4</v>
      </c>
      <c r="W476" s="494">
        <f>SUMIFS(Таблица1[Столбец1],Таблица1[коэф],"1,4",Таблица1[р/р],"3/24",Таблица1[Ф. И. О.],B473)</f>
        <v>0</v>
      </c>
      <c r="X476" s="492">
        <f t="shared" si="147"/>
        <v>0</v>
      </c>
      <c r="Y476" s="764"/>
      <c r="Z476" s="766"/>
      <c r="AA476" s="756"/>
    </row>
    <row r="477" spans="1:29" ht="16.5" customHeight="1">
      <c r="A477" s="756"/>
      <c r="B477" s="215"/>
      <c r="C477" s="759"/>
      <c r="D477" s="762"/>
      <c r="E477" s="393"/>
      <c r="F477" s="390"/>
      <c r="G477" s="400"/>
      <c r="H477" s="392">
        <f t="shared" si="144"/>
        <v>0</v>
      </c>
      <c r="I477" s="389"/>
      <c r="J477" s="390"/>
      <c r="K477" s="434"/>
      <c r="L477" s="395">
        <f t="shared" si="145"/>
        <v>0</v>
      </c>
      <c r="M477" s="432"/>
      <c r="N477" s="434"/>
      <c r="O477" s="434"/>
      <c r="P477" s="434"/>
      <c r="Q477" s="399">
        <f>база!$L$5</f>
        <v>231.45480000000001</v>
      </c>
      <c r="R477" s="390">
        <v>1.4</v>
      </c>
      <c r="S477" s="491">
        <f>SUMIFS(Таблица1[Столбец1],Таблица1[коэф],"1,4",Таблица1[р/р],"4/16",Таблица1[Ф. И. О.],B473)</f>
        <v>0</v>
      </c>
      <c r="T477" s="492">
        <f t="shared" si="146"/>
        <v>0</v>
      </c>
      <c r="U477" s="472">
        <f>база!$M$5</f>
        <v>247.41720000000001</v>
      </c>
      <c r="V477" s="390">
        <v>1.4</v>
      </c>
      <c r="W477" s="494">
        <f>SUMIFS(Таблица1[Столбец1],Таблица1[коэф],"1,4",Таблица1[р/р],"4/24",Таблица1[Ф. И. О.],B473)</f>
        <v>0</v>
      </c>
      <c r="X477" s="492">
        <f t="shared" si="147"/>
        <v>0</v>
      </c>
      <c r="Y477" s="764"/>
      <c r="Z477" s="766"/>
      <c r="AA477" s="756"/>
    </row>
    <row r="478" spans="1:29" ht="16.5" customHeight="1" thickBot="1">
      <c r="A478" s="757"/>
      <c r="B478" s="202"/>
      <c r="C478" s="760"/>
      <c r="D478" s="763"/>
      <c r="E478" s="463"/>
      <c r="F478" s="464"/>
      <c r="G478" s="465"/>
      <c r="H478" s="468">
        <f t="shared" si="144"/>
        <v>0</v>
      </c>
      <c r="I478" s="473"/>
      <c r="J478" s="464"/>
      <c r="K478" s="457"/>
      <c r="L478" s="458">
        <f t="shared" si="145"/>
        <v>0</v>
      </c>
      <c r="M478" s="466"/>
      <c r="N478" s="457"/>
      <c r="O478" s="457"/>
      <c r="P478" s="457"/>
      <c r="Q478" s="467">
        <f>база!$L$6</f>
        <v>261.04640000000001</v>
      </c>
      <c r="R478" s="464">
        <v>1.4</v>
      </c>
      <c r="S478" s="512">
        <f>SUMIFS(Таблица1[Столбец1],Таблица1[коэф],"1,4",Таблица1[р/р],"5/16",Таблица1[Ф. И. О.],B473)</f>
        <v>0</v>
      </c>
      <c r="T478" s="513">
        <f t="shared" si="146"/>
        <v>0</v>
      </c>
      <c r="U478" s="474">
        <f>база!$M$6</f>
        <v>279.0496</v>
      </c>
      <c r="V478" s="464">
        <v>1.4</v>
      </c>
      <c r="W478" s="501">
        <f>SUMIFS(Таблица1[Столбец1],Таблица1[коэф],"1,4",Таблица1[р/р],"5/24",Таблица1[Ф. И. О.],B473)</f>
        <v>0</v>
      </c>
      <c r="X478" s="513">
        <f t="shared" si="147"/>
        <v>0</v>
      </c>
      <c r="Y478" s="765"/>
      <c r="Z478" s="767"/>
      <c r="AA478" s="757"/>
    </row>
    <row r="479" spans="1:29" ht="16.5" customHeight="1" collapsed="1">
      <c r="A479" s="755">
        <v>44</v>
      </c>
      <c r="B479" s="235"/>
      <c r="C479" s="758">
        <f>INDEX(база!$E$2:$E$81, MATCH(B484,база!$B$2:$B$50,0))</f>
        <v>16779</v>
      </c>
      <c r="D479" s="761">
        <f>INDEX(база!$D$2:$D$89, MATCH(B484,база!$B$2:$B$50,0))</f>
        <v>3</v>
      </c>
      <c r="E479" s="451">
        <f>IF(D479&lt;=3,база!$I$4,
IF(D479=4,база!$I$5,
IF(D479=5,база!$I$6)))</f>
        <v>188.7912</v>
      </c>
      <c r="F479" s="417">
        <v>1</v>
      </c>
      <c r="G479" s="418">
        <f>SUMIFS(Таблица1[Столбец1],Таблица1[коэф],"1",Таблица1[р/р],"2/4",Таблица1[Ф. И. О.],B484)</f>
        <v>0</v>
      </c>
      <c r="H479" s="402">
        <f t="shared" ref="H479:H489" si="150">ROUND(E479*F479*G479*2,2)</f>
        <v>0</v>
      </c>
      <c r="I479" s="377">
        <f>IF(D479&lt;=3,база!$J$4,
IF(D479=4,база!$J$5,
IF(D479=5,база!$J$6)))</f>
        <v>196.05240000000001</v>
      </c>
      <c r="J479" s="378">
        <v>1</v>
      </c>
      <c r="K479" s="428">
        <f>SUMIFS(Таблица1[Столбец1],Таблица1[коэф],"1",Таблица1[р/р],"2/8",Таблица1[Ф. И. О.],B484)</f>
        <v>0</v>
      </c>
      <c r="L479" s="383">
        <f t="shared" ref="L479:L489" si="151">ROUND(I479*J479*K479*2,2)</f>
        <v>0</v>
      </c>
      <c r="M479" s="452"/>
      <c r="N479" s="453">
        <v>1</v>
      </c>
      <c r="O479" s="453">
        <f>SUMIFS(Data_Tech!$AM$3:$AM$67,Data_Tech!$E$3:$E$67,"1",Data_Tech!$G$3:$G$67,"3/12",Data_Tech!$F$3:$F$67,B484)</f>
        <v>0</v>
      </c>
      <c r="P479" s="453">
        <f>ROUND(M479*N479*O479,2)</f>
        <v>0</v>
      </c>
      <c r="Q479" s="416">
        <f>IF(D479&lt;=3,база!$L$4,
IF(D479=4,база!$L$5,
IF(D479=5,база!$L$6)))</f>
        <v>210.57480000000001</v>
      </c>
      <c r="R479" s="417">
        <v>1</v>
      </c>
      <c r="S479" s="495">
        <f>SUMIFS(Таблица1[Столбец1],Таблица1[коэф],"1",Таблица1[р/р],"3/16",Таблица1[Ф. И. О.],B484)</f>
        <v>0</v>
      </c>
      <c r="T479" s="490">
        <f t="shared" ref="T479:T489" si="152">ROUND(Q479*R479*S479*2,2)</f>
        <v>0</v>
      </c>
      <c r="U479" s="471">
        <f>IF(D479&lt;=3,база!$M$4,
IF(D479=4,база!$M$5,
IF(D479=5,база!$M$6)))</f>
        <v>225.09719999999999</v>
      </c>
      <c r="V479" s="378">
        <v>1</v>
      </c>
      <c r="W479" s="497">
        <f>SUMIFS(Таблица1[Столбец1],Таблица1[коэф],"1",Таблица1[р/р],"3/24",Таблица1[Ф. И. О.],B484)</f>
        <v>0</v>
      </c>
      <c r="X479" s="490">
        <f t="shared" ref="X479:X489" si="153">ROUND(U479*V479*W479*2,2)</f>
        <v>0</v>
      </c>
      <c r="Y479" s="764">
        <f t="shared" ref="Y479" si="154">SUM(G479:G489,K479:K489,O479:O489,S479:S489,W479:W489)</f>
        <v>0</v>
      </c>
      <c r="Z479" s="766">
        <f t="shared" ref="Z479" si="155">IFERROR(SUM(H479:H489,L479:L489,T479:T489,X479:X489),"")</f>
        <v>0</v>
      </c>
      <c r="AA479" s="756"/>
    </row>
    <row r="480" spans="1:29" ht="16.5" customHeight="1">
      <c r="A480" s="756"/>
      <c r="B480" s="215"/>
      <c r="C480" s="759"/>
      <c r="D480" s="762"/>
      <c r="E480" s="393">
        <f>IF(D479&lt;=3,база!$I$4,
IF(D479=4,база!$I$5,
IF(D479=5,база!$I$6)))</f>
        <v>188.7912</v>
      </c>
      <c r="F480" s="390">
        <v>1</v>
      </c>
      <c r="G480" s="400">
        <f>SUMIFS(Таблица1[Столбец1],Таблица1[коэф],"1",Таблица1[р/р],"3/4",Таблица1[Ф. И. О.],B484)</f>
        <v>0</v>
      </c>
      <c r="H480" s="392">
        <f t="shared" si="150"/>
        <v>0</v>
      </c>
      <c r="I480" s="389">
        <f>IF(D479&lt;=3,база!$J$4,
IF(D479=4,база!$J$5,
IF(D479=5,база!$J$6)))</f>
        <v>196.05240000000001</v>
      </c>
      <c r="J480" s="390">
        <v>1</v>
      </c>
      <c r="K480" s="434">
        <f>SUMIFS(Таблица1[Столбец1],Таблица1[коэф],"1",Таблица1[р/р],"3/8",Таблица1[Ф. И. О.],B484)</f>
        <v>0</v>
      </c>
      <c r="L480" s="484">
        <f t="shared" si="151"/>
        <v>0</v>
      </c>
      <c r="M480" s="432"/>
      <c r="N480" s="434">
        <v>1</v>
      </c>
      <c r="O480" s="434">
        <f>SUMIFS(Data_Tech!$AM$3:$AM$67,Data_Tech!$E$3:$E$67,"1",Data_Tech!$G$3:$G$67,"4/12",Data_Tech!$F$3:$F$67,B484)</f>
        <v>0</v>
      </c>
      <c r="P480" s="434">
        <f>ROUND(M480*O480,2)</f>
        <v>0</v>
      </c>
      <c r="Q480" s="399">
        <f>база!$L$5</f>
        <v>231.45480000000001</v>
      </c>
      <c r="R480" s="390">
        <v>1</v>
      </c>
      <c r="S480" s="491">
        <f>SUMIFS(Таблица1[Столбец1],Таблица1[коэф],"1",Таблица1[р/р],"4/16",Таблица1[Ф. И. О.],B484)</f>
        <v>0</v>
      </c>
      <c r="T480" s="492">
        <f t="shared" si="152"/>
        <v>0</v>
      </c>
      <c r="U480" s="472">
        <f>база!$M$5</f>
        <v>247.41720000000001</v>
      </c>
      <c r="V480" s="390">
        <v>1</v>
      </c>
      <c r="W480" s="494">
        <f>SUMIFS(Таблица1[Столбец1],Таблица1[коэф],"1",Таблица1[р/р],"4/24",Таблица1[Ф. И. О.],B484)</f>
        <v>0</v>
      </c>
      <c r="X480" s="492">
        <f t="shared" si="153"/>
        <v>0</v>
      </c>
      <c r="Y480" s="764"/>
      <c r="Z480" s="766"/>
      <c r="AA480" s="756"/>
    </row>
    <row r="481" spans="1:29" ht="16.5" customHeight="1">
      <c r="A481" s="756"/>
      <c r="B481" s="215"/>
      <c r="C481" s="759"/>
      <c r="D481" s="762"/>
      <c r="E481" s="393"/>
      <c r="F481" s="390"/>
      <c r="G481" s="400"/>
      <c r="H481" s="392">
        <f t="shared" si="150"/>
        <v>0</v>
      </c>
      <c r="I481" s="389"/>
      <c r="J481" s="390"/>
      <c r="K481" s="434"/>
      <c r="L481" s="484">
        <f t="shared" si="151"/>
        <v>0</v>
      </c>
      <c r="M481" s="432"/>
      <c r="N481" s="434"/>
      <c r="O481" s="434"/>
      <c r="P481" s="434"/>
      <c r="Q481" s="399">
        <f>база!$L$6</f>
        <v>261.04640000000001</v>
      </c>
      <c r="R481" s="390">
        <v>1</v>
      </c>
      <c r="S481" s="491">
        <f>SUMIFS(Таблица1[Столбец1],Таблица1[коэф],"1",Таблица1[р/р],"5/16",Таблица1[Ф. И. О.],B484)</f>
        <v>0</v>
      </c>
      <c r="T481" s="492">
        <f t="shared" si="152"/>
        <v>0</v>
      </c>
      <c r="U481" s="472">
        <f>база!$M$6</f>
        <v>279.0496</v>
      </c>
      <c r="V481" s="390">
        <v>1</v>
      </c>
      <c r="W481" s="494">
        <f>SUMIFS(Таблица1[Столбец1],Таблица1[коэф],"1",Таблица1[р/р],"5/24",Таблица1[Ф. И. О.],B484)</f>
        <v>0</v>
      </c>
      <c r="X481" s="492">
        <f t="shared" si="153"/>
        <v>0</v>
      </c>
      <c r="Y481" s="764"/>
      <c r="Z481" s="766"/>
      <c r="AA481" s="756"/>
    </row>
    <row r="482" spans="1:29" ht="16.5" customHeight="1">
      <c r="A482" s="756"/>
      <c r="B482" s="215"/>
      <c r="C482" s="759"/>
      <c r="D482" s="762"/>
      <c r="E482" s="393"/>
      <c r="F482" s="390"/>
      <c r="G482" s="400"/>
      <c r="H482" s="392">
        <f t="shared" si="150"/>
        <v>0</v>
      </c>
      <c r="I482" s="389">
        <f>база!$J$5</f>
        <v>215.4924</v>
      </c>
      <c r="J482" s="390">
        <v>1.5</v>
      </c>
      <c r="K482" s="434">
        <f>SUMIFS(Таблица1[Столбец1],Таблица1[коэф],"1,5",Таблица1[р/р],"4/8",Таблица1[Ф. И. О.],B484)</f>
        <v>0</v>
      </c>
      <c r="L482" s="484">
        <f t="shared" si="151"/>
        <v>0</v>
      </c>
      <c r="M482" s="432"/>
      <c r="N482" s="434"/>
      <c r="O482" s="434"/>
      <c r="P482" s="434"/>
      <c r="Q482" s="399">
        <f>IF(D479&lt;=3,база!$L$4,
IF(D479=4,база!$L$5,
IF(D479=5,база!$L$6)))</f>
        <v>210.57480000000001</v>
      </c>
      <c r="R482" s="390">
        <v>1.2</v>
      </c>
      <c r="S482" s="491">
        <f>SUMIFS(Таблица1[Столбец1],Таблица1[коэф],"1,2",Таблица1[р/р],"3/16",Таблица1[Ф. И. О.],B484)</f>
        <v>0</v>
      </c>
      <c r="T482" s="492">
        <f t="shared" si="152"/>
        <v>0</v>
      </c>
      <c r="U482" s="472">
        <f>IF(D479&lt;=3,база!$M$4,
IF(D479=4,база!$M$5,
IF(D479=5,база!$M$6)))</f>
        <v>225.09719999999999</v>
      </c>
      <c r="V482" s="390">
        <v>1.2</v>
      </c>
      <c r="W482" s="494">
        <f>SUMIFS(Таблица1[Столбец1],Таблица1[коэф],"1,2",Таблица1[р/р],"3/24",Таблица1[Ф. И. О.],B484)</f>
        <v>0</v>
      </c>
      <c r="X482" s="492">
        <f t="shared" si="153"/>
        <v>0</v>
      </c>
      <c r="Y482" s="764"/>
      <c r="Z482" s="766"/>
      <c r="AA482" s="756"/>
    </row>
    <row r="483" spans="1:29" ht="16.5" customHeight="1">
      <c r="A483" s="756"/>
      <c r="B483" s="215"/>
      <c r="C483" s="759"/>
      <c r="D483" s="762"/>
      <c r="E483" s="393"/>
      <c r="F483" s="390"/>
      <c r="G483" s="400"/>
      <c r="H483" s="392">
        <f t="shared" si="150"/>
        <v>0</v>
      </c>
      <c r="I483" s="389">
        <f>база!$J$6</f>
        <v>243.04319999999998</v>
      </c>
      <c r="J483" s="390">
        <v>1.5</v>
      </c>
      <c r="K483" s="434">
        <f>SUMIFS(Таблица1[Столбец1],Таблица1[коэф],"1,5",Таблица1[р/р],"5/8",Таблица1[Ф. И. О.],B484)</f>
        <v>0</v>
      </c>
      <c r="L483" s="484">
        <f t="shared" si="151"/>
        <v>0</v>
      </c>
      <c r="M483" s="432"/>
      <c r="N483" s="434"/>
      <c r="O483" s="434"/>
      <c r="P483" s="434"/>
      <c r="Q483" s="399">
        <f>база!$L$5</f>
        <v>231.45480000000001</v>
      </c>
      <c r="R483" s="390">
        <v>1.2</v>
      </c>
      <c r="S483" s="491">
        <f>SUMIFS(Таблица1[Столбец1],Таблица1[коэф],"1,2",Таблица1[р/р],"4/16",Таблица1[Ф. И. О.],B484)</f>
        <v>0</v>
      </c>
      <c r="T483" s="492">
        <f t="shared" si="152"/>
        <v>0</v>
      </c>
      <c r="U483" s="472">
        <f>база!$M$5</f>
        <v>247.41720000000001</v>
      </c>
      <c r="V483" s="390">
        <v>1.2</v>
      </c>
      <c r="W483" s="494">
        <f>SUMIFS(Таблица1[Столбец1],Таблица1[коэф],"1,2",Таблица1[р/р],"4/24",Таблица1[Ф. И. О.],B484)</f>
        <v>0</v>
      </c>
      <c r="X483" s="492">
        <f t="shared" si="153"/>
        <v>0</v>
      </c>
      <c r="Y483" s="764"/>
      <c r="Z483" s="766"/>
      <c r="AA483" s="756"/>
    </row>
    <row r="484" spans="1:29" ht="16.5" customHeight="1">
      <c r="A484" s="756"/>
      <c r="B484" s="215" t="str">
        <f>база!B45</f>
        <v>Маркова Ольга Евгеньевна</v>
      </c>
      <c r="C484" s="759"/>
      <c r="D484" s="762"/>
      <c r="E484" s="393"/>
      <c r="F484" s="390"/>
      <c r="G484" s="400"/>
      <c r="H484" s="392">
        <f t="shared" si="150"/>
        <v>0</v>
      </c>
      <c r="I484" s="389"/>
      <c r="J484" s="390"/>
      <c r="K484" s="434"/>
      <c r="L484" s="484">
        <f t="shared" si="151"/>
        <v>0</v>
      </c>
      <c r="M484" s="432"/>
      <c r="N484" s="434"/>
      <c r="O484" s="434"/>
      <c r="P484" s="434"/>
      <c r="Q484" s="399">
        <f>база!$L$6</f>
        <v>261.04640000000001</v>
      </c>
      <c r="R484" s="390">
        <v>1.2</v>
      </c>
      <c r="S484" s="491">
        <f>SUMIFS(Таблица1[Столбец1],Таблица1[коэф],"1,2",Таблица1[р/р],"5/16",Таблица1[Ф. И. О.],B484)</f>
        <v>0</v>
      </c>
      <c r="T484" s="492">
        <f t="shared" si="152"/>
        <v>0</v>
      </c>
      <c r="U484" s="472">
        <f>база!$M$6</f>
        <v>279.0496</v>
      </c>
      <c r="V484" s="390">
        <v>1.2</v>
      </c>
      <c r="W484" s="494">
        <f>SUMIFS(Таблица1[Столбец1],Таблица1[коэф],"1,2",Таблица1[р/р],"5/24",Таблица1[Ф. И. О.],B484)</f>
        <v>0</v>
      </c>
      <c r="X484" s="492">
        <f t="shared" si="153"/>
        <v>0</v>
      </c>
      <c r="Y484" s="764"/>
      <c r="Z484" s="766"/>
      <c r="AA484" s="756"/>
      <c r="AC484" s="712" t="str">
        <f>IF(SUMIFS(Таблица1[Столбец3],Таблица1[Ф. И. О.],B484)-Z479=0,"",SUMIFS(Таблица1[Столбец3],Таблица1[Ф. И. О.],B484)-Z479)</f>
        <v/>
      </c>
    </row>
    <row r="485" spans="1:29" ht="16.5" customHeight="1">
      <c r="A485" s="756"/>
      <c r="B485" s="215"/>
      <c r="C485" s="759"/>
      <c r="D485" s="762"/>
      <c r="E485" s="393"/>
      <c r="F485" s="390"/>
      <c r="G485" s="400"/>
      <c r="H485" s="392">
        <f t="shared" si="150"/>
        <v>0</v>
      </c>
      <c r="I485" s="389"/>
      <c r="J485" s="390"/>
      <c r="K485" s="434"/>
      <c r="L485" s="484">
        <f t="shared" si="151"/>
        <v>0</v>
      </c>
      <c r="M485" s="432"/>
      <c r="N485" s="434"/>
      <c r="O485" s="434"/>
      <c r="P485" s="434"/>
      <c r="Q485" s="399">
        <f>IF(D479&lt;=3,база!$L$4,
IF(D479=4,база!$L$5,
IF(D479=5,база!$L$6)))</f>
        <v>210.57480000000001</v>
      </c>
      <c r="R485" s="390">
        <v>1.3</v>
      </c>
      <c r="S485" s="491">
        <f>SUMIFS(Таблица1[Столбец1],Таблица1[коэф],"1,3",Таблица1[р/р],"3/16",Таблица1[Ф. И. О.],B484)</f>
        <v>0</v>
      </c>
      <c r="T485" s="492">
        <f t="shared" si="152"/>
        <v>0</v>
      </c>
      <c r="U485" s="472">
        <f>IF(D479&lt;=3,база!$M$4,
IF(D479=4,база!$M$5,
IF(D479=5,база!$M$6)))</f>
        <v>225.09719999999999</v>
      </c>
      <c r="V485" s="390">
        <v>1.3</v>
      </c>
      <c r="W485" s="494">
        <f>SUMIFS(Таблица1[Столбец1],Таблица1[коэф],"1,3",Таблица1[р/р],"3/24",Таблица1[Ф. И. О.],B484)</f>
        <v>0</v>
      </c>
      <c r="X485" s="492">
        <f t="shared" si="153"/>
        <v>0</v>
      </c>
      <c r="Y485" s="764"/>
      <c r="Z485" s="766"/>
      <c r="AA485" s="756"/>
      <c r="AC485" s="712" t="str">
        <f>IF(SUMIFS(Таблица1[Столбец1],Таблица1[Ф. И. О.],B484)=Y479,"",B484&amp;"  часы не верны")</f>
        <v/>
      </c>
    </row>
    <row r="486" spans="1:29" ht="16.5" customHeight="1">
      <c r="A486" s="756"/>
      <c r="B486" s="215"/>
      <c r="C486" s="759"/>
      <c r="D486" s="762"/>
      <c r="E486" s="393"/>
      <c r="F486" s="390"/>
      <c r="G486" s="400"/>
      <c r="H486" s="392">
        <f t="shared" si="150"/>
        <v>0</v>
      </c>
      <c r="I486" s="389"/>
      <c r="J486" s="390"/>
      <c r="K486" s="434"/>
      <c r="L486" s="484">
        <f t="shared" si="151"/>
        <v>0</v>
      </c>
      <c r="M486" s="432"/>
      <c r="N486" s="434"/>
      <c r="O486" s="434"/>
      <c r="P486" s="434"/>
      <c r="Q486" s="399">
        <f>база!$L$5</f>
        <v>231.45480000000001</v>
      </c>
      <c r="R486" s="390">
        <v>1.3</v>
      </c>
      <c r="S486" s="491">
        <f>SUMIFS(Таблица1[Столбец1],Таблица1[коэф],"1,3",Таблица1[р/р],"4/16",Таблица1[Ф. И. О.],B484)</f>
        <v>0</v>
      </c>
      <c r="T486" s="492">
        <f t="shared" si="152"/>
        <v>0</v>
      </c>
      <c r="U486" s="472">
        <f>база!$M$5</f>
        <v>247.41720000000001</v>
      </c>
      <c r="V486" s="390">
        <v>1.3</v>
      </c>
      <c r="W486" s="494">
        <f>SUMIFS(Таблица1[Столбец1],Таблица1[коэф],"1,3",Таблица1[р/р],"4/24",Таблица1[Ф. И. О.],B484)</f>
        <v>0</v>
      </c>
      <c r="X486" s="492">
        <f t="shared" si="153"/>
        <v>0</v>
      </c>
      <c r="Y486" s="764"/>
      <c r="Z486" s="766"/>
      <c r="AA486" s="756"/>
    </row>
    <row r="487" spans="1:29" ht="16.5" customHeight="1">
      <c r="A487" s="756"/>
      <c r="B487" s="215"/>
      <c r="C487" s="759"/>
      <c r="D487" s="762"/>
      <c r="E487" s="393"/>
      <c r="F487" s="390"/>
      <c r="G487" s="400"/>
      <c r="H487" s="392">
        <f t="shared" si="150"/>
        <v>0</v>
      </c>
      <c r="I487" s="389"/>
      <c r="J487" s="390"/>
      <c r="K487" s="434"/>
      <c r="L487" s="484">
        <f t="shared" si="151"/>
        <v>0</v>
      </c>
      <c r="M487" s="432"/>
      <c r="N487" s="434"/>
      <c r="O487" s="434"/>
      <c r="P487" s="434"/>
      <c r="Q487" s="399">
        <f>IF(D479&lt;=3,база!$L$4,
IF(D479=4,база!$L$5,
IF(D479=5,база!$L$6)))</f>
        <v>210.57480000000001</v>
      </c>
      <c r="R487" s="390">
        <v>1.4</v>
      </c>
      <c r="S487" s="491">
        <f>SUMIFS(Таблица1[Столбец1],Таблица1[коэф],"1,4",Таблица1[р/р],"3/16",Таблица1[Ф. И. О.],B484)</f>
        <v>0</v>
      </c>
      <c r="T487" s="492">
        <f t="shared" si="152"/>
        <v>0</v>
      </c>
      <c r="U487" s="472">
        <f>IF(D479&lt;=3,база!$M$4,
IF(D479=4,база!$M$5,
IF(D479=5,база!$M$6)))</f>
        <v>225.09719999999999</v>
      </c>
      <c r="V487" s="390">
        <v>1.4</v>
      </c>
      <c r="W487" s="494">
        <f>SUMIFS(Таблица1[Столбец1],Таблица1[коэф],"1,4",Таблица1[р/р],"3/24",Таблица1[Ф. И. О.],B484)</f>
        <v>0</v>
      </c>
      <c r="X487" s="492">
        <f t="shared" si="153"/>
        <v>0</v>
      </c>
      <c r="Y487" s="764"/>
      <c r="Z487" s="766"/>
      <c r="AA487" s="756"/>
    </row>
    <row r="488" spans="1:29" ht="16.5" customHeight="1">
      <c r="A488" s="756"/>
      <c r="B488" s="215"/>
      <c r="C488" s="759"/>
      <c r="D488" s="762"/>
      <c r="E488" s="393"/>
      <c r="F488" s="390"/>
      <c r="G488" s="400"/>
      <c r="H488" s="392">
        <f t="shared" si="150"/>
        <v>0</v>
      </c>
      <c r="I488" s="389"/>
      <c r="J488" s="390"/>
      <c r="K488" s="434"/>
      <c r="L488" s="395">
        <f t="shared" si="151"/>
        <v>0</v>
      </c>
      <c r="M488" s="432"/>
      <c r="N488" s="434"/>
      <c r="O488" s="434"/>
      <c r="P488" s="434"/>
      <c r="Q488" s="399">
        <f>база!$L$5</f>
        <v>231.45480000000001</v>
      </c>
      <c r="R488" s="390">
        <v>1.4</v>
      </c>
      <c r="S488" s="491">
        <f>SUMIFS(Таблица1[Столбец1],Таблица1[коэф],"1,4",Таблица1[р/р],"4/16",Таблица1[Ф. И. О.],B484)</f>
        <v>0</v>
      </c>
      <c r="T488" s="492">
        <f t="shared" si="152"/>
        <v>0</v>
      </c>
      <c r="U488" s="472">
        <f>база!$M$5</f>
        <v>247.41720000000001</v>
      </c>
      <c r="V488" s="390">
        <v>1.4</v>
      </c>
      <c r="W488" s="494">
        <f>SUMIFS(Таблица1[Столбец1],Таблица1[коэф],"1,4",Таблица1[р/р],"4/24",Таблица1[Ф. И. О.],B484)</f>
        <v>0</v>
      </c>
      <c r="X488" s="492">
        <f t="shared" si="153"/>
        <v>0</v>
      </c>
      <c r="Y488" s="764"/>
      <c r="Z488" s="766"/>
      <c r="AA488" s="756"/>
    </row>
    <row r="489" spans="1:29" ht="16.5" customHeight="1" thickBot="1">
      <c r="A489" s="757"/>
      <c r="B489" s="202"/>
      <c r="C489" s="760"/>
      <c r="D489" s="763"/>
      <c r="E489" s="463"/>
      <c r="F489" s="464"/>
      <c r="G489" s="465"/>
      <c r="H489" s="468">
        <f t="shared" si="150"/>
        <v>0</v>
      </c>
      <c r="I489" s="473"/>
      <c r="J489" s="464"/>
      <c r="K489" s="457"/>
      <c r="L489" s="458">
        <f t="shared" si="151"/>
        <v>0</v>
      </c>
      <c r="M489" s="466"/>
      <c r="N489" s="457"/>
      <c r="O489" s="457"/>
      <c r="P489" s="457"/>
      <c r="Q489" s="467">
        <f>база!$L$6</f>
        <v>261.04640000000001</v>
      </c>
      <c r="R489" s="464">
        <v>1.4</v>
      </c>
      <c r="S489" s="512">
        <f>SUMIFS(Таблица1[Столбец1],Таблица1[коэф],"1,4",Таблица1[р/р],"5/16",Таблица1[Ф. И. О.],B484)</f>
        <v>0</v>
      </c>
      <c r="T489" s="513">
        <f t="shared" si="152"/>
        <v>0</v>
      </c>
      <c r="U489" s="474">
        <f>база!$M$6</f>
        <v>279.0496</v>
      </c>
      <c r="V489" s="464">
        <v>1.4</v>
      </c>
      <c r="W489" s="501">
        <f>SUMIFS(Таблица1[Столбец1],Таблица1[коэф],"1,4",Таблица1[р/р],"5/24",Таблица1[Ф. И. О.],B484)</f>
        <v>0</v>
      </c>
      <c r="X489" s="513">
        <f t="shared" si="153"/>
        <v>0</v>
      </c>
      <c r="Y489" s="765"/>
      <c r="Z489" s="767"/>
      <c r="AA489" s="757"/>
    </row>
    <row r="490" spans="1:29" ht="18.75" collapsed="1">
      <c r="A490" s="755">
        <v>45</v>
      </c>
      <c r="B490" s="215"/>
      <c r="C490" s="758">
        <f>INDEX(база!$E$2:$E$81, MATCH(B495,база!$B$2:$B$50,0))</f>
        <v>16872</v>
      </c>
      <c r="D490" s="761">
        <f>INDEX(база!$D$2:$D$89, MATCH(B495,база!$B$2:$B$50,0))</f>
        <v>3</v>
      </c>
      <c r="E490" s="451">
        <f>IF(D490&lt;=3,база!$I$4,
IF(D490=4,база!$I$5,
IF(D490=5,база!$I$6)))</f>
        <v>188.7912</v>
      </c>
      <c r="F490" s="417">
        <v>1</v>
      </c>
      <c r="G490" s="418">
        <f>SUMIFS(Таблица1[Столбец1],Таблица1[коэф],"1",Таблица1[р/р],"2/4",Таблица1[Ф. И. О.],B495)</f>
        <v>0</v>
      </c>
      <c r="H490" s="402">
        <f t="shared" ref="H490:H500" si="156">ROUND(E490*F490*G490*2,2)</f>
        <v>0</v>
      </c>
      <c r="I490" s="377">
        <f>IF(D490&lt;=3,база!$J$4,
IF(D490=4,база!$J$5,
IF(D490=5,база!$J$6)))</f>
        <v>196.05240000000001</v>
      </c>
      <c r="J490" s="378">
        <v>1</v>
      </c>
      <c r="K490" s="428">
        <f>SUMIFS(Таблица1[Столбец1],Таблица1[коэф],"1",Таблица1[р/р],"2/8",Таблица1[Ф. И. О.],B495)</f>
        <v>0</v>
      </c>
      <c r="L490" s="383">
        <f t="shared" ref="L490:L500" si="157">ROUND(I490*J490*K490*2,2)</f>
        <v>0</v>
      </c>
      <c r="M490" s="452"/>
      <c r="N490" s="453">
        <v>1</v>
      </c>
      <c r="O490" s="453">
        <f>SUMIFS(Data_Tech!$AM$3:$AM$67,Data_Tech!$E$3:$E$67,"1",Data_Tech!$G$3:$G$67,"3/12",Data_Tech!$F$3:$F$67,B495)</f>
        <v>0</v>
      </c>
      <c r="P490" s="453">
        <f>ROUND(M490*N490*O490,2)</f>
        <v>0</v>
      </c>
      <c r="Q490" s="416">
        <f>IF(D490&lt;=3,база!$L$4,
IF(D490=4,база!$L$5,
IF(D490=5,база!$L$6)))</f>
        <v>210.57480000000001</v>
      </c>
      <c r="R490" s="417">
        <v>1</v>
      </c>
      <c r="S490" s="495">
        <f>SUMIFS(Таблица1[Столбец1],Таблица1[коэф],"1",Таблица1[р/р],"3/16",Таблица1[Ф. И. О.],B495)</f>
        <v>0</v>
      </c>
      <c r="T490" s="490">
        <f t="shared" ref="T490:T500" si="158">ROUND(Q490*R490*S490*2,2)</f>
        <v>0</v>
      </c>
      <c r="U490" s="471">
        <f>IF(D490&lt;=3,база!$M$4,
IF(D490=4,база!$M$5,
IF(D490=5,база!$M$6)))</f>
        <v>225.09719999999999</v>
      </c>
      <c r="V490" s="378">
        <v>1</v>
      </c>
      <c r="W490" s="497">
        <f>SUMIFS(Таблица1[Столбец1],Таблица1[коэф],"1",Таблица1[р/р],"3/24",Таблица1[Ф. И. О.],B495)</f>
        <v>0</v>
      </c>
      <c r="X490" s="490">
        <f t="shared" ref="X490:X500" si="159">ROUND(U490*V490*W490*2,2)</f>
        <v>0</v>
      </c>
      <c r="Y490" s="764">
        <f t="shared" ref="Y490" si="160">SUM(G490:G500,K490:K500,O490:O500,S490:S500,W490:W500)</f>
        <v>0</v>
      </c>
      <c r="Z490" s="766">
        <f t="shared" ref="Z490" si="161">IFERROR(SUM(H490:H500,L490:L500,T490:T500,X490:X500),"")</f>
        <v>0</v>
      </c>
      <c r="AA490" s="756"/>
    </row>
    <row r="491" spans="1:29" ht="18.75">
      <c r="A491" s="756"/>
      <c r="B491" s="215"/>
      <c r="C491" s="759"/>
      <c r="D491" s="762"/>
      <c r="E491" s="393">
        <f>IF(D490&lt;=3,база!$I$4,
IF(D490=4,база!$I$5,
IF(D490=5,база!$I$6)))</f>
        <v>188.7912</v>
      </c>
      <c r="F491" s="390">
        <v>1</v>
      </c>
      <c r="G491" s="400">
        <f>SUMIFS(Таблица1[Столбец1],Таблица1[коэф],"1",Таблица1[р/р],"3/4",Таблица1[Ф. И. О.],B495)</f>
        <v>0</v>
      </c>
      <c r="H491" s="392">
        <f t="shared" si="156"/>
        <v>0</v>
      </c>
      <c r="I491" s="389">
        <f>IF(D490&lt;=3,база!$J$4,
IF(D490=4,база!$J$5,
IF(D490=5,база!$J$6)))</f>
        <v>196.05240000000001</v>
      </c>
      <c r="J491" s="390">
        <v>1</v>
      </c>
      <c r="K491" s="434">
        <f>SUMIFS(Таблица1[Столбец1],Таблица1[коэф],"1",Таблица1[р/р],"3/8",Таблица1[Ф. И. О.],B495)</f>
        <v>0</v>
      </c>
      <c r="L491" s="484">
        <f t="shared" si="157"/>
        <v>0</v>
      </c>
      <c r="M491" s="432"/>
      <c r="N491" s="434">
        <v>1</v>
      </c>
      <c r="O491" s="434">
        <f>SUMIFS(Data_Tech!$AM$3:$AM$67,Data_Tech!$E$3:$E$67,"1",Data_Tech!$G$3:$G$67,"4/12",Data_Tech!$F$3:$F$67,B495)</f>
        <v>0</v>
      </c>
      <c r="P491" s="434">
        <f>ROUND(M491*O491,2)</f>
        <v>0</v>
      </c>
      <c r="Q491" s="399">
        <f>база!$L$5</f>
        <v>231.45480000000001</v>
      </c>
      <c r="R491" s="390">
        <v>1</v>
      </c>
      <c r="S491" s="491">
        <f>SUMIFS(Таблица1[Столбец1],Таблица1[коэф],"1",Таблица1[р/р],"4/16",Таблица1[Ф. И. О.],B495)</f>
        <v>0</v>
      </c>
      <c r="T491" s="492">
        <f t="shared" si="158"/>
        <v>0</v>
      </c>
      <c r="U491" s="472">
        <f>база!$M$5</f>
        <v>247.41720000000001</v>
      </c>
      <c r="V491" s="390">
        <v>1</v>
      </c>
      <c r="W491" s="494">
        <f>SUMIFS(Таблица1[Столбец1],Таблица1[коэф],"1",Таблица1[р/р],"4/24",Таблица1[Ф. И. О.],B495)</f>
        <v>0</v>
      </c>
      <c r="X491" s="492">
        <f t="shared" si="159"/>
        <v>0</v>
      </c>
      <c r="Y491" s="764"/>
      <c r="Z491" s="766"/>
      <c r="AA491" s="756"/>
    </row>
    <row r="492" spans="1:29" ht="18.75">
      <c r="A492" s="756"/>
      <c r="B492" s="215"/>
      <c r="C492" s="759"/>
      <c r="D492" s="762"/>
      <c r="E492" s="393"/>
      <c r="F492" s="390"/>
      <c r="G492" s="400"/>
      <c r="H492" s="392">
        <f t="shared" si="156"/>
        <v>0</v>
      </c>
      <c r="I492" s="389"/>
      <c r="J492" s="390"/>
      <c r="K492" s="434"/>
      <c r="L492" s="484">
        <f t="shared" si="157"/>
        <v>0</v>
      </c>
      <c r="M492" s="432"/>
      <c r="N492" s="434"/>
      <c r="O492" s="434"/>
      <c r="P492" s="434"/>
      <c r="Q492" s="399">
        <f>база!$L$6</f>
        <v>261.04640000000001</v>
      </c>
      <c r="R492" s="390">
        <v>1</v>
      </c>
      <c r="S492" s="491">
        <f>SUMIFS(Таблица1[Столбец1],Таблица1[коэф],"1",Таблица1[р/р],"5/16",Таблица1[Ф. И. О.],B495)</f>
        <v>0</v>
      </c>
      <c r="T492" s="492">
        <f t="shared" si="158"/>
        <v>0</v>
      </c>
      <c r="U492" s="472">
        <f>база!$M$6</f>
        <v>279.0496</v>
      </c>
      <c r="V492" s="390">
        <v>1</v>
      </c>
      <c r="W492" s="494">
        <f>SUMIFS(Таблица1[Столбец1],Таблица1[коэф],"1",Таблица1[р/р],"5/24",Таблица1[Ф. И. О.],B495)</f>
        <v>0</v>
      </c>
      <c r="X492" s="492">
        <f t="shared" si="159"/>
        <v>0</v>
      </c>
      <c r="Y492" s="764"/>
      <c r="Z492" s="766"/>
      <c r="AA492" s="756"/>
    </row>
    <row r="493" spans="1:29" ht="18.75">
      <c r="A493" s="756"/>
      <c r="B493" s="215"/>
      <c r="C493" s="759"/>
      <c r="D493" s="762"/>
      <c r="E493" s="393"/>
      <c r="F493" s="390"/>
      <c r="G493" s="400"/>
      <c r="H493" s="392">
        <f t="shared" si="156"/>
        <v>0</v>
      </c>
      <c r="I493" s="389">
        <f>база!$J$5</f>
        <v>215.4924</v>
      </c>
      <c r="J493" s="390">
        <v>1.5</v>
      </c>
      <c r="K493" s="434">
        <f>SUMIFS(Таблица1[Столбец1],Таблица1[коэф],"1,5",Таблица1[р/р],"4/8",Таблица1[Ф. И. О.],B495)</f>
        <v>0</v>
      </c>
      <c r="L493" s="484">
        <f t="shared" si="157"/>
        <v>0</v>
      </c>
      <c r="M493" s="432"/>
      <c r="N493" s="434"/>
      <c r="O493" s="434"/>
      <c r="P493" s="434"/>
      <c r="Q493" s="399">
        <f>IF(D490&lt;=3,база!$L$4,
IF(D490=4,база!$L$5,
IF(D490=5,база!$L$6)))</f>
        <v>210.57480000000001</v>
      </c>
      <c r="R493" s="390">
        <v>1.2</v>
      </c>
      <c r="S493" s="491">
        <f>SUMIFS(Таблица1[Столбец1],Таблица1[коэф],"1,2",Таблица1[р/р],"3/16",Таблица1[Ф. И. О.],B495)</f>
        <v>0</v>
      </c>
      <c r="T493" s="492">
        <f t="shared" si="158"/>
        <v>0</v>
      </c>
      <c r="U493" s="472">
        <f>IF(D490&lt;=3,база!$M$4,
IF(D490=4,база!$M$5,
IF(D490=5,база!$M$6)))</f>
        <v>225.09719999999999</v>
      </c>
      <c r="V493" s="390">
        <v>1.2</v>
      </c>
      <c r="W493" s="494">
        <f>SUMIFS(Таблица1[Столбец1],Таблица1[коэф],"1,2",Таблица1[р/р],"3/24",Таблица1[Ф. И. О.],B495)</f>
        <v>0</v>
      </c>
      <c r="X493" s="492">
        <f t="shared" si="159"/>
        <v>0</v>
      </c>
      <c r="Y493" s="764"/>
      <c r="Z493" s="766"/>
      <c r="AA493" s="756"/>
    </row>
    <row r="494" spans="1:29" ht="18.75">
      <c r="A494" s="756"/>
      <c r="B494" s="215"/>
      <c r="C494" s="759"/>
      <c r="D494" s="762"/>
      <c r="E494" s="393"/>
      <c r="F494" s="390"/>
      <c r="G494" s="400"/>
      <c r="H494" s="392">
        <f t="shared" si="156"/>
        <v>0</v>
      </c>
      <c r="I494" s="389">
        <f>база!$J$6</f>
        <v>243.04319999999998</v>
      </c>
      <c r="J494" s="390">
        <v>1.5</v>
      </c>
      <c r="K494" s="434">
        <f>SUMIFS(Таблица1[Столбец1],Таблица1[коэф],"1,5",Таблица1[р/р],"5/8",Таблица1[Ф. И. О.],B495)</f>
        <v>0</v>
      </c>
      <c r="L494" s="484">
        <f t="shared" si="157"/>
        <v>0</v>
      </c>
      <c r="M494" s="432"/>
      <c r="N494" s="434"/>
      <c r="O494" s="434"/>
      <c r="P494" s="434"/>
      <c r="Q494" s="399">
        <f>база!$L$5</f>
        <v>231.45480000000001</v>
      </c>
      <c r="R494" s="390">
        <v>1.2</v>
      </c>
      <c r="S494" s="491">
        <f>SUMIFS(Таблица1[Столбец1],Таблица1[коэф],"1,2",Таблица1[р/р],"4/16",Таблица1[Ф. И. О.],B495)</f>
        <v>0</v>
      </c>
      <c r="T494" s="492">
        <f t="shared" si="158"/>
        <v>0</v>
      </c>
      <c r="U494" s="472">
        <f>база!$M$5</f>
        <v>247.41720000000001</v>
      </c>
      <c r="V494" s="390">
        <v>1.2</v>
      </c>
      <c r="W494" s="494">
        <f>SUMIFS(Таблица1[Столбец1],Таблица1[коэф],"1,2",Таблица1[р/р],"4/24",Таблица1[Ф. И. О.],B495)</f>
        <v>0</v>
      </c>
      <c r="X494" s="492">
        <f t="shared" si="159"/>
        <v>0</v>
      </c>
      <c r="Y494" s="764"/>
      <c r="Z494" s="766"/>
      <c r="AA494" s="756"/>
    </row>
    <row r="495" spans="1:29" ht="18" customHeight="1">
      <c r="A495" s="756"/>
      <c r="B495" s="215" t="str">
        <f>база!B46</f>
        <v>Марченко Ирина Вячеславовна</v>
      </c>
      <c r="C495" s="759"/>
      <c r="D495" s="762"/>
      <c r="E495" s="393"/>
      <c r="F495" s="390"/>
      <c r="G495" s="400"/>
      <c r="H495" s="392">
        <f t="shared" si="156"/>
        <v>0</v>
      </c>
      <c r="I495" s="389"/>
      <c r="J495" s="390"/>
      <c r="K495" s="434"/>
      <c r="L495" s="484">
        <f t="shared" si="157"/>
        <v>0</v>
      </c>
      <c r="M495" s="432"/>
      <c r="N495" s="434"/>
      <c r="O495" s="434"/>
      <c r="P495" s="434"/>
      <c r="Q495" s="399">
        <f>база!$L$6</f>
        <v>261.04640000000001</v>
      </c>
      <c r="R495" s="390">
        <v>1.2</v>
      </c>
      <c r="S495" s="491">
        <f>SUMIFS(Таблица1[Столбец1],Таблица1[коэф],"1,2",Таблица1[р/р],"5/16",Таблица1[Ф. И. О.],B495)</f>
        <v>0</v>
      </c>
      <c r="T495" s="492">
        <f t="shared" si="158"/>
        <v>0</v>
      </c>
      <c r="U495" s="472">
        <f>база!$M$6</f>
        <v>279.0496</v>
      </c>
      <c r="V495" s="390">
        <v>1.2</v>
      </c>
      <c r="W495" s="494">
        <f>SUMIFS(Таблица1[Столбец1],Таблица1[коэф],"1,2",Таблица1[р/р],"5/24",Таблица1[Ф. И. О.],B495)</f>
        <v>0</v>
      </c>
      <c r="X495" s="492">
        <f t="shared" si="159"/>
        <v>0</v>
      </c>
      <c r="Y495" s="764"/>
      <c r="Z495" s="766"/>
      <c r="AA495" s="756"/>
      <c r="AC495" s="712" t="str">
        <f>IF(SUMIFS(Таблица1[Столбец3],Таблица1[Ф. И. О.],B495)-Z490=0,"",SUMIFS(Таблица1[Столбец3],Таблица1[Ф. И. О.],B495)-Z490)</f>
        <v/>
      </c>
    </row>
    <row r="496" spans="1:29" ht="18.75">
      <c r="A496" s="756"/>
      <c r="B496" s="215"/>
      <c r="C496" s="759"/>
      <c r="D496" s="762"/>
      <c r="E496" s="393"/>
      <c r="F496" s="390"/>
      <c r="G496" s="400"/>
      <c r="H496" s="392">
        <f t="shared" si="156"/>
        <v>0</v>
      </c>
      <c r="I496" s="389"/>
      <c r="J496" s="390"/>
      <c r="K496" s="434"/>
      <c r="L496" s="484">
        <f t="shared" si="157"/>
        <v>0</v>
      </c>
      <c r="M496" s="432"/>
      <c r="N496" s="434"/>
      <c r="O496" s="434"/>
      <c r="P496" s="434"/>
      <c r="Q496" s="399">
        <f>IF(D490&lt;=3,база!$L$4,
IF(D490=4,база!$L$5,
IF(D490=5,база!$L$6)))</f>
        <v>210.57480000000001</v>
      </c>
      <c r="R496" s="390">
        <v>1.3</v>
      </c>
      <c r="S496" s="491">
        <f>SUMIFS(Таблица1[Столбец1],Таблица1[коэф],"1,3",Таблица1[р/р],"3/16",Таблица1[Ф. И. О.],B495)</f>
        <v>0</v>
      </c>
      <c r="T496" s="492">
        <f t="shared" si="158"/>
        <v>0</v>
      </c>
      <c r="U496" s="472">
        <f>IF(D490&lt;=3,база!$M$4,
IF(D490=4,база!$M$5,
IF(D490=5,база!$M$6)))</f>
        <v>225.09719999999999</v>
      </c>
      <c r="V496" s="390">
        <v>1.3</v>
      </c>
      <c r="W496" s="494">
        <f>SUMIFS(Таблица1[Столбец1],Таблица1[коэф],"1,3",Таблица1[р/р],"3/24",Таблица1[Ф. И. О.],B495)</f>
        <v>0</v>
      </c>
      <c r="X496" s="492">
        <f t="shared" si="159"/>
        <v>0</v>
      </c>
      <c r="Y496" s="764"/>
      <c r="Z496" s="766"/>
      <c r="AA496" s="756"/>
      <c r="AC496" s="712" t="str">
        <f>IF(SUMIFS(Таблица1[Столбец1],Таблица1[Ф. И. О.],B495)=Y490,"",B495&amp;"  часы не верны")</f>
        <v/>
      </c>
    </row>
    <row r="497" spans="1:29" ht="18.75">
      <c r="A497" s="756"/>
      <c r="B497" s="215"/>
      <c r="C497" s="759"/>
      <c r="D497" s="762"/>
      <c r="E497" s="393"/>
      <c r="F497" s="390"/>
      <c r="G497" s="400"/>
      <c r="H497" s="392">
        <f t="shared" si="156"/>
        <v>0</v>
      </c>
      <c r="I497" s="389"/>
      <c r="J497" s="390"/>
      <c r="K497" s="434"/>
      <c r="L497" s="484">
        <f t="shared" si="157"/>
        <v>0</v>
      </c>
      <c r="M497" s="432"/>
      <c r="N497" s="434"/>
      <c r="O497" s="434"/>
      <c r="P497" s="434"/>
      <c r="Q497" s="399">
        <f>база!$L$5</f>
        <v>231.45480000000001</v>
      </c>
      <c r="R497" s="390">
        <v>1.3</v>
      </c>
      <c r="S497" s="491">
        <f>SUMIFS(Таблица1[Столбец1],Таблица1[коэф],"1,3",Таблица1[р/р],"4/16",Таблица1[Ф. И. О.],B495)</f>
        <v>0</v>
      </c>
      <c r="T497" s="492">
        <f t="shared" si="158"/>
        <v>0</v>
      </c>
      <c r="U497" s="472">
        <f>база!$M$5</f>
        <v>247.41720000000001</v>
      </c>
      <c r="V497" s="390">
        <v>1.3</v>
      </c>
      <c r="W497" s="494">
        <f>SUMIFS(Таблица1[Столбец1],Таблица1[коэф],"1,3",Таблица1[р/р],"4/24",Таблица1[Ф. И. О.],B495)</f>
        <v>0</v>
      </c>
      <c r="X497" s="492">
        <f t="shared" si="159"/>
        <v>0</v>
      </c>
      <c r="Y497" s="764"/>
      <c r="Z497" s="766"/>
      <c r="AA497" s="756"/>
    </row>
    <row r="498" spans="1:29" ht="18.75">
      <c r="A498" s="756"/>
      <c r="B498" s="215"/>
      <c r="C498" s="759"/>
      <c r="D498" s="762"/>
      <c r="E498" s="393"/>
      <c r="F498" s="390"/>
      <c r="G498" s="400"/>
      <c r="H498" s="392">
        <f t="shared" si="156"/>
        <v>0</v>
      </c>
      <c r="I498" s="389"/>
      <c r="J498" s="390"/>
      <c r="K498" s="434"/>
      <c r="L498" s="484">
        <f t="shared" si="157"/>
        <v>0</v>
      </c>
      <c r="M498" s="432"/>
      <c r="N498" s="434"/>
      <c r="O498" s="434"/>
      <c r="P498" s="434"/>
      <c r="Q498" s="399">
        <f>IF(D490&lt;=3,база!$L$4,
IF(D490=4,база!$L$5,
IF(D490=5,база!$L$6)))</f>
        <v>210.57480000000001</v>
      </c>
      <c r="R498" s="390">
        <v>1.4</v>
      </c>
      <c r="S498" s="491">
        <f>SUMIFS(Таблица1[Столбец1],Таблица1[коэф],"1,4",Таблица1[р/р],"3/16",Таблица1[Ф. И. О.],B495)</f>
        <v>0</v>
      </c>
      <c r="T498" s="492">
        <f t="shared" si="158"/>
        <v>0</v>
      </c>
      <c r="U498" s="472">
        <f>IF(D490&lt;=3,база!$M$4,
IF(D490=4,база!$M$5,
IF(D490=5,база!$M$6)))</f>
        <v>225.09719999999999</v>
      </c>
      <c r="V498" s="390">
        <v>1.4</v>
      </c>
      <c r="W498" s="494">
        <f>SUMIFS(Таблица1[Столбец1],Таблица1[коэф],"1,4",Таблица1[р/р],"3/24",Таблица1[Ф. И. О.],B495)</f>
        <v>0</v>
      </c>
      <c r="X498" s="492">
        <f t="shared" si="159"/>
        <v>0</v>
      </c>
      <c r="Y498" s="764"/>
      <c r="Z498" s="766"/>
      <c r="AA498" s="756"/>
    </row>
    <row r="499" spans="1:29" ht="18.75">
      <c r="A499" s="756"/>
      <c r="B499" s="215"/>
      <c r="C499" s="759"/>
      <c r="D499" s="762"/>
      <c r="E499" s="393"/>
      <c r="F499" s="390"/>
      <c r="G499" s="400"/>
      <c r="H499" s="392">
        <f t="shared" si="156"/>
        <v>0</v>
      </c>
      <c r="I499" s="389"/>
      <c r="J499" s="390"/>
      <c r="K499" s="434"/>
      <c r="L499" s="395">
        <f t="shared" si="157"/>
        <v>0</v>
      </c>
      <c r="M499" s="432"/>
      <c r="N499" s="434"/>
      <c r="O499" s="434"/>
      <c r="P499" s="434"/>
      <c r="Q499" s="399">
        <f>база!$L$5</f>
        <v>231.45480000000001</v>
      </c>
      <c r="R499" s="390">
        <v>1.4</v>
      </c>
      <c r="S499" s="491">
        <f>SUMIFS(Таблица1[Столбец1],Таблица1[коэф],"1,4",Таблица1[р/р],"4/16",Таблица1[Ф. И. О.],B495)</f>
        <v>0</v>
      </c>
      <c r="T499" s="492">
        <f t="shared" si="158"/>
        <v>0</v>
      </c>
      <c r="U499" s="472">
        <f>база!$M$5</f>
        <v>247.41720000000001</v>
      </c>
      <c r="V499" s="390">
        <v>1.4</v>
      </c>
      <c r="W499" s="494">
        <f>SUMIFS(Таблица1[Столбец1],Таблица1[коэф],"1,4",Таблица1[р/р],"4/24",Таблица1[Ф. И. О.],B495)</f>
        <v>0</v>
      </c>
      <c r="X499" s="492">
        <f t="shared" si="159"/>
        <v>0</v>
      </c>
      <c r="Y499" s="764"/>
      <c r="Z499" s="766"/>
      <c r="AA499" s="756"/>
    </row>
    <row r="500" spans="1:29" ht="19.5" thickBot="1">
      <c r="A500" s="757"/>
      <c r="B500" s="352"/>
      <c r="C500" s="760"/>
      <c r="D500" s="763"/>
      <c r="E500" s="463"/>
      <c r="F500" s="464"/>
      <c r="G500" s="465"/>
      <c r="H500" s="468">
        <f t="shared" si="156"/>
        <v>0</v>
      </c>
      <c r="I500" s="473"/>
      <c r="J500" s="464"/>
      <c r="K500" s="457"/>
      <c r="L500" s="458">
        <f t="shared" si="157"/>
        <v>0</v>
      </c>
      <c r="M500" s="466"/>
      <c r="N500" s="457"/>
      <c r="O500" s="457"/>
      <c r="P500" s="457"/>
      <c r="Q500" s="467">
        <f>база!$L$6</f>
        <v>261.04640000000001</v>
      </c>
      <c r="R500" s="464">
        <v>1.4</v>
      </c>
      <c r="S500" s="512">
        <f>SUMIFS(Таблица1[Столбец1],Таблица1[коэф],"1,4",Таблица1[р/р],"5/16",Таблица1[Ф. И. О.],B495)</f>
        <v>0</v>
      </c>
      <c r="T500" s="513">
        <f t="shared" si="158"/>
        <v>0</v>
      </c>
      <c r="U500" s="474">
        <f>база!$M$6</f>
        <v>279.0496</v>
      </c>
      <c r="V500" s="464">
        <v>1.4</v>
      </c>
      <c r="W500" s="501">
        <f>SUMIFS(Таблица1[Столбец1],Таблица1[коэф],"1,4",Таблица1[р/р],"5/24",Таблица1[Ф. И. О.],B495)</f>
        <v>0</v>
      </c>
      <c r="X500" s="513">
        <f t="shared" si="159"/>
        <v>0</v>
      </c>
      <c r="Y500" s="765"/>
      <c r="Z500" s="767"/>
      <c r="AA500" s="757"/>
    </row>
    <row r="501" spans="1:29" ht="18.75">
      <c r="A501" s="755">
        <v>46</v>
      </c>
      <c r="B501" s="235"/>
      <c r="C501" s="758">
        <f>INDEX(база!$E$2:$E$81, MATCH(B506,база!$B$2:$B$60,0))</f>
        <v>15082</v>
      </c>
      <c r="D501" s="761">
        <f>INDEX(база!$D$2:$D$89, MATCH(B506,база!$B$2:$B$60,0))</f>
        <v>3</v>
      </c>
      <c r="E501" s="377">
        <f>IF(D501&lt;=3,база!$I$4,
IF(D501=4,база!$I$5,
IF(D501=5,база!$I$6)))</f>
        <v>188.7912</v>
      </c>
      <c r="F501" s="378">
        <v>1</v>
      </c>
      <c r="G501" s="387">
        <f>SUMIFS(Таблица1[Столбец1],Таблица1[коэф],"1",Таблица1[р/р],"2/4",Таблица1[Ф. И. О.],B506)</f>
        <v>0</v>
      </c>
      <c r="H501" s="402">
        <f t="shared" si="32"/>
        <v>0</v>
      </c>
      <c r="I501" s="426">
        <f>IF(D501&lt;=3,база!$J$4,
IF(D501=4,база!$J$5,
IF(D501=5,база!$J$6)))</f>
        <v>196.05240000000001</v>
      </c>
      <c r="J501" s="427">
        <v>1</v>
      </c>
      <c r="K501" s="428">
        <f>SUMIFS(Таблица1[Столбец1],Таблица1[коэф],"1",Таблица1[р/р],"2/8",Таблица1[Ф. И. О.],B506)</f>
        <v>0</v>
      </c>
      <c r="L501" s="383">
        <f t="shared" si="33"/>
        <v>0</v>
      </c>
      <c r="M501" s="428"/>
      <c r="N501" s="428">
        <v>1</v>
      </c>
      <c r="O501" s="428">
        <f>SUMIFS(Data_Tech!$AM$3:$AM$67,Data_Tech!$E$3:$E$67,"1",Data_Tech!$G$3:$G$67,"3/12",Data_Tech!$F$3:$F$67,B506)</f>
        <v>0</v>
      </c>
      <c r="P501" s="385">
        <f>ROUND(M501*N501*O501,2)</f>
        <v>0</v>
      </c>
      <c r="Q501" s="377">
        <f>IF(D501&lt;=3,база!$L$4,
IF(D501=4,база!$L$5,
IF(D501=5,база!$L$6)))</f>
        <v>210.57480000000001</v>
      </c>
      <c r="R501" s="378">
        <v>1</v>
      </c>
      <c r="S501" s="387">
        <f>SUMIFS(Таблица1[Столбец1],Таблица1[коэф],"1",Таблица1[р/р],"3/16",Таблица1[Ф. И. О.],B506)</f>
        <v>0</v>
      </c>
      <c r="T501" s="490">
        <f t="shared" si="34"/>
        <v>0</v>
      </c>
      <c r="U501" s="477">
        <f>IF(D501&lt;=3,база!$M$4,
IF(D501=4,база!$M$5,
IF(D501=5,база!$M$6)))</f>
        <v>225.09719999999999</v>
      </c>
      <c r="V501" s="378">
        <v>1</v>
      </c>
      <c r="W501" s="430">
        <f>SUMIFS(Таблица1[Столбец1],Таблица1[коэф],"1",Таблица1[р/р],"3/24",Таблица1[Ф. И. О.],B506)</f>
        <v>0</v>
      </c>
      <c r="X501" s="490">
        <f t="shared" si="35"/>
        <v>0</v>
      </c>
      <c r="Y501" s="764">
        <f t="shared" ref="Y501" si="162">SUM(G501:G511,K501:K511,O501:O511,S501:S511,W501:W511)</f>
        <v>0</v>
      </c>
      <c r="Z501" s="766">
        <f t="shared" ref="Z501" si="163">IFERROR(SUM(H501:H511,L501:L511,T501:T511,X501:X511),"")</f>
        <v>0</v>
      </c>
      <c r="AA501" s="756"/>
    </row>
    <row r="502" spans="1:29" ht="18.75">
      <c r="A502" s="756"/>
      <c r="B502" s="215"/>
      <c r="C502" s="759"/>
      <c r="D502" s="762"/>
      <c r="E502" s="389">
        <f>IF(D501&lt;=3,база!$I$4,
IF(D501=4,база!$I$5,
IF(D501=5,база!$I$6)))</f>
        <v>188.7912</v>
      </c>
      <c r="F502" s="390">
        <v>1</v>
      </c>
      <c r="G502" s="400">
        <f>SUMIFS(Таблица1[Столбец1],Таблица1[коэф],"1",Таблица1[р/р],"3/4",Таблица1[Ф. И. О.],B506)</f>
        <v>0</v>
      </c>
      <c r="H502" s="392">
        <f t="shared" si="32"/>
        <v>0</v>
      </c>
      <c r="I502" s="432">
        <f>IF(D501&lt;=3,база!$J$4,
IF(D501=4,база!$J$5,
IF(D501=5,база!$J$6)))</f>
        <v>196.05240000000001</v>
      </c>
      <c r="J502" s="433">
        <v>1</v>
      </c>
      <c r="K502" s="434">
        <f>SUMIFS(Таблица1[Столбец1],Таблица1[коэф],"1",Таблица1[р/р],"3/8",Таблица1[Ф. И. О.],B506)</f>
        <v>0</v>
      </c>
      <c r="L502" s="484">
        <f t="shared" si="33"/>
        <v>0</v>
      </c>
      <c r="M502" s="434"/>
      <c r="N502" s="434">
        <v>1</v>
      </c>
      <c r="O502" s="434">
        <f>SUMIFS(Data_Tech!$AM$3:$AM$67,Data_Tech!$E$3:$E$67,"1",Data_Tech!$G$3:$G$67,"4/12",Data_Tech!$F$3:$F$67,B506)</f>
        <v>0</v>
      </c>
      <c r="P502" s="406">
        <f>ROUND(M502*O502,2)</f>
        <v>0</v>
      </c>
      <c r="Q502" s="389">
        <f>база!$L$5</f>
        <v>231.45480000000001</v>
      </c>
      <c r="R502" s="390">
        <v>1</v>
      </c>
      <c r="S502" s="400">
        <f>SUMIFS(Таблица1[Столбец1],Таблица1[коэф],"1",Таблица1[р/р],"4/16",Таблица1[Ф. И. О.],B506)</f>
        <v>0</v>
      </c>
      <c r="T502" s="492">
        <f t="shared" si="34"/>
        <v>0</v>
      </c>
      <c r="U502" s="478">
        <f>база!$M$5</f>
        <v>247.41720000000001</v>
      </c>
      <c r="V502" s="390">
        <v>1</v>
      </c>
      <c r="W502" s="412">
        <f>SUMIFS(Таблица1[Столбец1],Таблица1[коэф],"1",Таблица1[р/р],"4/24",Таблица1[Ф. И. О.],B506)</f>
        <v>0</v>
      </c>
      <c r="X502" s="492">
        <f t="shared" si="35"/>
        <v>0</v>
      </c>
      <c r="Y502" s="764"/>
      <c r="Z502" s="766"/>
      <c r="AA502" s="756"/>
    </row>
    <row r="503" spans="1:29" ht="18.75">
      <c r="A503" s="756"/>
      <c r="B503" s="215"/>
      <c r="C503" s="759"/>
      <c r="D503" s="762"/>
      <c r="E503" s="389"/>
      <c r="F503" s="390"/>
      <c r="G503" s="400"/>
      <c r="H503" s="392">
        <f t="shared" si="32"/>
        <v>0</v>
      </c>
      <c r="I503" s="432"/>
      <c r="J503" s="433"/>
      <c r="K503" s="434"/>
      <c r="L503" s="484">
        <f t="shared" si="33"/>
        <v>0</v>
      </c>
      <c r="M503" s="434"/>
      <c r="N503" s="434"/>
      <c r="O503" s="434"/>
      <c r="P503" s="406"/>
      <c r="Q503" s="389">
        <f>база!$L$6</f>
        <v>261.04640000000001</v>
      </c>
      <c r="R503" s="390">
        <v>1</v>
      </c>
      <c r="S503" s="400">
        <f>SUMIFS(Таблица1[Столбец1],Таблица1[коэф],"1",Таблица1[р/р],"5/16",Таблица1[Ф. И. О.],B506)</f>
        <v>0</v>
      </c>
      <c r="T503" s="492">
        <f t="shared" si="34"/>
        <v>0</v>
      </c>
      <c r="U503" s="478">
        <f>база!$M$6</f>
        <v>279.0496</v>
      </c>
      <c r="V503" s="390">
        <v>1</v>
      </c>
      <c r="W503" s="412">
        <f>SUMIFS(Таблица1[Столбец1],Таблица1[коэф],"1",Таблица1[р/р],"5/24",Таблица1[Ф. И. О.],B506)</f>
        <v>0</v>
      </c>
      <c r="X503" s="492">
        <f t="shared" si="35"/>
        <v>0</v>
      </c>
      <c r="Y503" s="764"/>
      <c r="Z503" s="766"/>
      <c r="AA503" s="756"/>
    </row>
    <row r="504" spans="1:29" ht="18.75">
      <c r="A504" s="756"/>
      <c r="B504" s="215"/>
      <c r="C504" s="759"/>
      <c r="D504" s="762"/>
      <c r="E504" s="389"/>
      <c r="F504" s="390"/>
      <c r="G504" s="400"/>
      <c r="H504" s="392">
        <f t="shared" si="32"/>
        <v>0</v>
      </c>
      <c r="I504" s="432">
        <f>база!$J$5</f>
        <v>215.4924</v>
      </c>
      <c r="J504" s="433">
        <v>1.5</v>
      </c>
      <c r="K504" s="434">
        <f>SUMIFS(Таблица1[Столбец1],Таблица1[коэф],"1,5",Таблица1[р/р],"4/8",Таблица1[Ф. И. О.],B506)</f>
        <v>0</v>
      </c>
      <c r="L504" s="484">
        <f t="shared" si="33"/>
        <v>0</v>
      </c>
      <c r="M504" s="434"/>
      <c r="N504" s="434"/>
      <c r="O504" s="434"/>
      <c r="P504" s="406"/>
      <c r="Q504" s="389">
        <f>IF(D501&lt;=3,база!$L$4,
IF(D501=4,база!$L$5,
IF(D501=5,база!$L$6)))</f>
        <v>210.57480000000001</v>
      </c>
      <c r="R504" s="390">
        <v>1.2</v>
      </c>
      <c r="S504" s="400">
        <f>SUMIFS(Таблица1[Столбец1],Таблица1[коэф],"1,2",Таблица1[р/р],"3/16",Таблица1[Ф. И. О.],B506)</f>
        <v>0</v>
      </c>
      <c r="T504" s="492">
        <f t="shared" si="34"/>
        <v>0</v>
      </c>
      <c r="U504" s="478">
        <f>IF(D501&lt;=3,база!$M$4,
IF(D501=4,база!$M$5,
IF(D501=5,база!$M$6)))</f>
        <v>225.09719999999999</v>
      </c>
      <c r="V504" s="390">
        <v>1.2</v>
      </c>
      <c r="W504" s="412">
        <f>SUMIFS(Таблица1[Столбец1],Таблица1[коэф],"1,2",Таблица1[р/р],"3/24",Таблица1[Ф. И. О.],B506)</f>
        <v>0</v>
      </c>
      <c r="X504" s="492">
        <f t="shared" si="35"/>
        <v>0</v>
      </c>
      <c r="Y504" s="764"/>
      <c r="Z504" s="766"/>
      <c r="AA504" s="756"/>
    </row>
    <row r="505" spans="1:29" ht="18.75">
      <c r="A505" s="756"/>
      <c r="B505" s="215"/>
      <c r="C505" s="759"/>
      <c r="D505" s="762"/>
      <c r="E505" s="389"/>
      <c r="F505" s="390"/>
      <c r="G505" s="400"/>
      <c r="H505" s="392">
        <f t="shared" si="32"/>
        <v>0</v>
      </c>
      <c r="I505" s="432">
        <f>база!$J$6</f>
        <v>243.04319999999998</v>
      </c>
      <c r="J505" s="433">
        <v>1.5</v>
      </c>
      <c r="K505" s="434">
        <f>SUMIFS(Таблица1[Столбец1],Таблица1[коэф],"1,5",Таблица1[р/р],"5/8",Таблица1[Ф. И. О.],B506)</f>
        <v>0</v>
      </c>
      <c r="L505" s="484">
        <f t="shared" si="33"/>
        <v>0</v>
      </c>
      <c r="M505" s="434"/>
      <c r="N505" s="434"/>
      <c r="O505" s="434"/>
      <c r="P505" s="406"/>
      <c r="Q505" s="389">
        <f>база!$L$5</f>
        <v>231.45480000000001</v>
      </c>
      <c r="R505" s="390">
        <v>1.2</v>
      </c>
      <c r="S505" s="400">
        <f>SUMIFS(Таблица1[Столбец1],Таблица1[коэф],"1,2",Таблица1[р/р],"4/16",Таблица1[Ф. И. О.],B506)</f>
        <v>0</v>
      </c>
      <c r="T505" s="492">
        <f t="shared" si="34"/>
        <v>0</v>
      </c>
      <c r="U505" s="478">
        <f>база!$M$5</f>
        <v>247.41720000000001</v>
      </c>
      <c r="V505" s="390">
        <v>1.2</v>
      </c>
      <c r="W505" s="412">
        <f>SUMIFS(Таблица1[Столбец1],Таблица1[коэф],"1,2",Таблица1[р/р],"4/24",Таблица1[Ф. И. О.],B506)</f>
        <v>0</v>
      </c>
      <c r="X505" s="492">
        <f t="shared" si="35"/>
        <v>0</v>
      </c>
      <c r="Y505" s="764"/>
      <c r="Z505" s="766"/>
      <c r="AA505" s="756"/>
    </row>
    <row r="506" spans="1:29" ht="18.75">
      <c r="A506" s="756"/>
      <c r="B506" s="215" t="str">
        <f>база!B47</f>
        <v>Матыгулина Наталья Энвировна</v>
      </c>
      <c r="C506" s="759"/>
      <c r="D506" s="762"/>
      <c r="E506" s="389"/>
      <c r="F506" s="390"/>
      <c r="G506" s="400"/>
      <c r="H506" s="392">
        <f t="shared" si="32"/>
        <v>0</v>
      </c>
      <c r="I506" s="432"/>
      <c r="J506" s="433"/>
      <c r="K506" s="434"/>
      <c r="L506" s="484">
        <f t="shared" si="33"/>
        <v>0</v>
      </c>
      <c r="M506" s="434"/>
      <c r="N506" s="434"/>
      <c r="O506" s="434"/>
      <c r="P506" s="406"/>
      <c r="Q506" s="389">
        <f>база!$L$6</f>
        <v>261.04640000000001</v>
      </c>
      <c r="R506" s="390">
        <v>1.2</v>
      </c>
      <c r="S506" s="400">
        <f>SUMIFS(Таблица1[Столбец1],Таблица1[коэф],"1,2",Таблица1[р/р],"5/16",Таблица1[Ф. И. О.],B506)</f>
        <v>0</v>
      </c>
      <c r="T506" s="492">
        <f t="shared" si="34"/>
        <v>0</v>
      </c>
      <c r="U506" s="478">
        <f>база!$M$6</f>
        <v>279.0496</v>
      </c>
      <c r="V506" s="390">
        <v>1.2</v>
      </c>
      <c r="W506" s="412">
        <f>SUMIFS(Таблица1[Столбец1],Таблица1[коэф],"1,2",Таблица1[р/р],"5/24",Таблица1[Ф. И. О.],B506)</f>
        <v>0</v>
      </c>
      <c r="X506" s="492">
        <f t="shared" si="35"/>
        <v>0</v>
      </c>
      <c r="Y506" s="764"/>
      <c r="Z506" s="766"/>
      <c r="AA506" s="756"/>
      <c r="AC506" s="712" t="str">
        <f>IF(SUMIFS(Таблица1[Столбец3],Таблица1[Ф. И. О.],B506)-Z501=0,"",SUMIFS(Таблица1[Столбец3],Таблица1[Ф. И. О.],B506)-Z501)</f>
        <v/>
      </c>
    </row>
    <row r="507" spans="1:29" ht="18.75">
      <c r="A507" s="756"/>
      <c r="B507" s="215"/>
      <c r="C507" s="759"/>
      <c r="D507" s="762"/>
      <c r="E507" s="389"/>
      <c r="F507" s="390"/>
      <c r="G507" s="400"/>
      <c r="H507" s="392">
        <f t="shared" si="32"/>
        <v>0</v>
      </c>
      <c r="I507" s="432"/>
      <c r="J507" s="433"/>
      <c r="K507" s="434"/>
      <c r="L507" s="484">
        <f t="shared" si="33"/>
        <v>0</v>
      </c>
      <c r="M507" s="434"/>
      <c r="N507" s="434"/>
      <c r="O507" s="434"/>
      <c r="P507" s="406"/>
      <c r="Q507" s="389">
        <f>IF($D$6&lt;=3,база!$L$4,
IF($D$6=4,база!$L$5,
IF($D$6=5,база!$L$6)))</f>
        <v>231.45480000000001</v>
      </c>
      <c r="R507" s="390">
        <v>1.3</v>
      </c>
      <c r="S507" s="400">
        <f>SUMIFS(Таблица1[Столбец1],Таблица1[коэф],"1,3",Таблица1[р/р],"3/16",Таблица1[Ф. И. О.],B506)</f>
        <v>0</v>
      </c>
      <c r="T507" s="492">
        <f t="shared" si="34"/>
        <v>0</v>
      </c>
      <c r="U507" s="478">
        <f>IF(D501&lt;=3,база!$M$4,
IF(D501=4,база!$M$5,
IF(D501=5,база!$M$6)))</f>
        <v>225.09719999999999</v>
      </c>
      <c r="V507" s="390">
        <v>1.3</v>
      </c>
      <c r="W507" s="412">
        <f>SUMIFS(Таблица1[Столбец1],Таблица1[коэф],"1,3",Таблица1[р/р],"3/24",Таблица1[Ф. И. О.],B506)</f>
        <v>0</v>
      </c>
      <c r="X507" s="492">
        <f t="shared" si="35"/>
        <v>0</v>
      </c>
      <c r="Y507" s="764"/>
      <c r="Z507" s="766"/>
      <c r="AA507" s="756"/>
      <c r="AC507" s="712" t="str">
        <f>IF(SUMIFS(Таблица1[Столбец1],Таблица1[Ф. И. О.],B506)=Y501,"",B506&amp;"  часы не верны")</f>
        <v/>
      </c>
    </row>
    <row r="508" spans="1:29" ht="18.75">
      <c r="A508" s="756"/>
      <c r="B508" s="215"/>
      <c r="C508" s="759"/>
      <c r="D508" s="762"/>
      <c r="E508" s="389"/>
      <c r="F508" s="390"/>
      <c r="G508" s="400"/>
      <c r="H508" s="392">
        <f t="shared" si="32"/>
        <v>0</v>
      </c>
      <c r="I508" s="432"/>
      <c r="J508" s="433"/>
      <c r="K508" s="434"/>
      <c r="L508" s="484">
        <f t="shared" si="33"/>
        <v>0</v>
      </c>
      <c r="M508" s="434"/>
      <c r="N508" s="434"/>
      <c r="O508" s="434"/>
      <c r="P508" s="406"/>
      <c r="Q508" s="389">
        <f>база!$L$5</f>
        <v>231.45480000000001</v>
      </c>
      <c r="R508" s="390">
        <v>1.3</v>
      </c>
      <c r="S508" s="400">
        <f>SUMIFS(Таблица1[Столбец1],Таблица1[коэф],"1,3",Таблица1[р/р],"4/16",Таблица1[Ф. И. О.],B506)</f>
        <v>0</v>
      </c>
      <c r="T508" s="492">
        <f t="shared" si="34"/>
        <v>0</v>
      </c>
      <c r="U508" s="478">
        <f>база!$M$5</f>
        <v>247.41720000000001</v>
      </c>
      <c r="V508" s="390">
        <v>1.3</v>
      </c>
      <c r="W508" s="412">
        <f>SUMIFS(Таблица1[Столбец1],Таблица1[коэф],"1,3",Таблица1[р/р],"4/24",Таблица1[Ф. И. О.],B506)</f>
        <v>0</v>
      </c>
      <c r="X508" s="492">
        <f t="shared" si="35"/>
        <v>0</v>
      </c>
      <c r="Y508" s="764"/>
      <c r="Z508" s="766"/>
      <c r="AA508" s="756"/>
    </row>
    <row r="509" spans="1:29" ht="18.75">
      <c r="A509" s="756"/>
      <c r="B509" s="215"/>
      <c r="C509" s="759"/>
      <c r="D509" s="762"/>
      <c r="E509" s="389"/>
      <c r="F509" s="390"/>
      <c r="G509" s="400"/>
      <c r="H509" s="392">
        <f t="shared" si="32"/>
        <v>0</v>
      </c>
      <c r="I509" s="432"/>
      <c r="J509" s="433"/>
      <c r="K509" s="434"/>
      <c r="L509" s="484">
        <f t="shared" si="33"/>
        <v>0</v>
      </c>
      <c r="M509" s="434"/>
      <c r="N509" s="434"/>
      <c r="O509" s="434"/>
      <c r="P509" s="406"/>
      <c r="Q509" s="389">
        <f>IF(D501&lt;=3,база!$L$4,
IF(D501=4,база!$L$5,
IF(D501=5,база!$L$6)))</f>
        <v>210.57480000000001</v>
      </c>
      <c r="R509" s="390">
        <v>1.4</v>
      </c>
      <c r="S509" s="400">
        <f>SUMIFS(Таблица1[Столбец1],Таблица1[коэф],"1,4",Таблица1[р/р],"3/16",Таблица1[Ф. И. О.],B506)</f>
        <v>0</v>
      </c>
      <c r="T509" s="492">
        <f t="shared" si="34"/>
        <v>0</v>
      </c>
      <c r="U509" s="478">
        <f>IF(D501&lt;=3,база!$M$4,
IF(D501=4,база!$M$5,
IF(D501=5,база!$M$6)))</f>
        <v>225.09719999999999</v>
      </c>
      <c r="V509" s="390">
        <v>1.4</v>
      </c>
      <c r="W509" s="412">
        <f>SUMIFS(Таблица1[Столбец1],Таблица1[коэф],"1,4",Таблица1[р/р],"3/24",Таблица1[Ф. И. О.],B506)</f>
        <v>0</v>
      </c>
      <c r="X509" s="492">
        <f t="shared" si="35"/>
        <v>0</v>
      </c>
      <c r="Y509" s="764"/>
      <c r="Z509" s="766"/>
      <c r="AA509" s="756"/>
    </row>
    <row r="510" spans="1:29" ht="18.75">
      <c r="A510" s="756"/>
      <c r="B510" s="215"/>
      <c r="C510" s="759"/>
      <c r="D510" s="762"/>
      <c r="E510" s="389"/>
      <c r="F510" s="390"/>
      <c r="G510" s="400"/>
      <c r="H510" s="392">
        <f t="shared" si="32"/>
        <v>0</v>
      </c>
      <c r="I510" s="432"/>
      <c r="J510" s="433"/>
      <c r="K510" s="434"/>
      <c r="L510" s="484">
        <f t="shared" si="33"/>
        <v>0</v>
      </c>
      <c r="M510" s="434"/>
      <c r="N510" s="434"/>
      <c r="O510" s="434"/>
      <c r="P510" s="406"/>
      <c r="Q510" s="389">
        <f>база!$L$5</f>
        <v>231.45480000000001</v>
      </c>
      <c r="R510" s="390">
        <v>1.4</v>
      </c>
      <c r="S510" s="400">
        <f>SUMIFS(Таблица1[Столбец1],Таблица1[коэф],"1,4",Таблица1[р/р],"4/16",Таблица1[Ф. И. О.],B506)</f>
        <v>0</v>
      </c>
      <c r="T510" s="492">
        <f t="shared" si="34"/>
        <v>0</v>
      </c>
      <c r="U510" s="478">
        <f>база!$M$5</f>
        <v>247.41720000000001</v>
      </c>
      <c r="V510" s="390">
        <v>1.4</v>
      </c>
      <c r="W510" s="412">
        <f>SUMIFS(Таблица1[Столбец1],Таблица1[коэф],"1,4",Таблица1[р/р],"4/24",Таблица1[Ф. И. О.],B506)</f>
        <v>0</v>
      </c>
      <c r="X510" s="492">
        <f t="shared" si="35"/>
        <v>0</v>
      </c>
      <c r="Y510" s="764"/>
      <c r="Z510" s="766"/>
      <c r="AA510" s="756"/>
    </row>
    <row r="511" spans="1:29" ht="19.5" thickBot="1">
      <c r="A511" s="757"/>
      <c r="B511" s="202"/>
      <c r="C511" s="760"/>
      <c r="D511" s="763"/>
      <c r="E511" s="473"/>
      <c r="F511" s="464"/>
      <c r="G511" s="465"/>
      <c r="H511" s="440">
        <f t="shared" si="32"/>
        <v>0</v>
      </c>
      <c r="I511" s="466"/>
      <c r="J511" s="456"/>
      <c r="K511" s="457"/>
      <c r="L511" s="484">
        <f t="shared" si="33"/>
        <v>0</v>
      </c>
      <c r="M511" s="457"/>
      <c r="N511" s="457"/>
      <c r="O511" s="457"/>
      <c r="P511" s="476"/>
      <c r="Q511" s="473">
        <f>база!$L$6</f>
        <v>261.04640000000001</v>
      </c>
      <c r="R511" s="464">
        <v>1.4</v>
      </c>
      <c r="S511" s="465">
        <f>SUMIFS(Таблица1[Столбец1],Таблица1[коэф],"1,4",Таблица1[р/р],"5/16",Таблица1[Ф. И. О.],B506)</f>
        <v>0</v>
      </c>
      <c r="T511" s="492">
        <f t="shared" si="34"/>
        <v>0</v>
      </c>
      <c r="U511" s="480">
        <f>база!$M$6</f>
        <v>279.0496</v>
      </c>
      <c r="V511" s="464">
        <v>1.4</v>
      </c>
      <c r="W511" s="470">
        <f>SUMIFS(Таблица1[Столбец1],Таблица1[коэф],"1,4",Таблица1[р/р],"5/24",Таблица1[Ф. И. О.],B506)</f>
        <v>0</v>
      </c>
      <c r="X511" s="492">
        <f t="shared" si="35"/>
        <v>0</v>
      </c>
      <c r="Y511" s="765"/>
      <c r="Z511" s="767"/>
      <c r="AA511" s="757"/>
    </row>
    <row r="512" spans="1:29" ht="18.75">
      <c r="A512" s="755">
        <v>47</v>
      </c>
      <c r="B512" s="235"/>
      <c r="C512" s="758">
        <f>INDEX(база!$E$2:$E$81, MATCH(B517,база!$B$2:$B$60,0))</f>
        <v>17341</v>
      </c>
      <c r="D512" s="761">
        <f>INDEX(база!$D$2:$D$89, MATCH(B517,база!$B$2:$B$60,0))</f>
        <v>3</v>
      </c>
      <c r="E512" s="377">
        <f>IF(D512&lt;=3,база!$I$4,
IF(D512=4,база!$I$5,
IF(D512=5,база!$I$6)))</f>
        <v>188.7912</v>
      </c>
      <c r="F512" s="378">
        <v>1</v>
      </c>
      <c r="G512" s="387">
        <f>SUMIFS(Таблица1[Столбец1],Таблица1[коэф],"1",Таблица1[р/р],"2/4",Таблица1[Ф. И. О.],B517)</f>
        <v>0</v>
      </c>
      <c r="H512" s="380">
        <f t="shared" ref="H512:H522" si="164">ROUND(E512*F512*G512*2,2)</f>
        <v>0</v>
      </c>
      <c r="I512" s="426">
        <f>IF(D512&lt;=3,база!$J$4,
IF(D512=4,база!$J$5,
IF(D512=5,база!$J$6)))</f>
        <v>196.05240000000001</v>
      </c>
      <c r="J512" s="427">
        <v>1</v>
      </c>
      <c r="K512" s="428">
        <f>SUMIFS(Таблица1[Столбец1],Таблица1[коэф],"1",Таблица1[р/р],"2/8",Таблица1[Ф. И. О.],B517)</f>
        <v>0</v>
      </c>
      <c r="L512" s="383">
        <f t="shared" ref="L512:L522" si="165">ROUND(I512*J512*K512*2,2)</f>
        <v>0</v>
      </c>
      <c r="M512" s="428"/>
      <c r="N512" s="428">
        <v>1</v>
      </c>
      <c r="O512" s="428">
        <f>SUMIFS(Data_Tech!$AM$3:$AM$67,Data_Tech!$E$3:$E$67,"1",Data_Tech!$G$3:$G$67,"3/12",Data_Tech!$F$3:$F$67,B517)</f>
        <v>0</v>
      </c>
      <c r="P512" s="385">
        <f>ROUND(M512*N512*O512,2)</f>
        <v>0</v>
      </c>
      <c r="Q512" s="377">
        <f>IF(D512&lt;=3,база!$L$4,
IF(D512=4,база!$L$5,
IF(D512=5,база!$L$6)))</f>
        <v>210.57480000000001</v>
      </c>
      <c r="R512" s="378">
        <v>1</v>
      </c>
      <c r="S512" s="387">
        <f>SUMIFS(Таблица1[Столбец1],Таблица1[коэф],"1",Таблица1[р/р],"3/16",Таблица1[Ф. И. О.],B517)</f>
        <v>0</v>
      </c>
      <c r="T512" s="490">
        <f t="shared" ref="T512:T522" si="166">ROUND(Q512*R512*S512*2,2)</f>
        <v>0</v>
      </c>
      <c r="U512" s="477">
        <f>IF(D512&lt;=3,база!$M$4,
IF(D512=4,база!$M$5,
IF(D512=5,база!$M$6)))</f>
        <v>225.09719999999999</v>
      </c>
      <c r="V512" s="378">
        <v>1</v>
      </c>
      <c r="W512" s="430">
        <f>SUMIFS(Таблица1[Столбец1],Таблица1[коэф],"1",Таблица1[р/р],"3/24",Таблица1[Ф. И. О.],B517)</f>
        <v>0</v>
      </c>
      <c r="X512" s="490">
        <f t="shared" ref="X512:X522" si="167">ROUND(U512*V512*W512*2,2)</f>
        <v>0</v>
      </c>
      <c r="Y512" s="764">
        <f t="shared" ref="Y512" si="168">SUM(G512:G522,K512:K522,O512:O522,S512:S522,W512:W522)</f>
        <v>0</v>
      </c>
      <c r="Z512" s="766">
        <f t="shared" ref="Z512" si="169">IFERROR(SUM(H512:H522,L512:L522,T512:T522,X512:X522),"")</f>
        <v>0</v>
      </c>
      <c r="AA512" s="756"/>
    </row>
    <row r="513" spans="1:29" ht="18.75">
      <c r="A513" s="756"/>
      <c r="B513" s="215"/>
      <c r="C513" s="759"/>
      <c r="D513" s="762"/>
      <c r="E513" s="389">
        <f>IF(D512&lt;=3,база!$I$4,
IF(D512=4,база!$I$5,
IF(D512=5,база!$I$6)))</f>
        <v>188.7912</v>
      </c>
      <c r="F513" s="390">
        <v>1</v>
      </c>
      <c r="G513" s="400">
        <f>SUMIFS(Таблица1[Столбец1],Таблица1[коэф],"1",Таблица1[р/р],"3/4",Таблица1[Ф. И. О.],B517)</f>
        <v>0</v>
      </c>
      <c r="H513" s="392">
        <f t="shared" si="164"/>
        <v>0</v>
      </c>
      <c r="I513" s="432">
        <f>IF(D512&lt;=3,база!$J$4,
IF(D512=4,база!$J$5,
IF(D512=5,база!$J$6)))</f>
        <v>196.05240000000001</v>
      </c>
      <c r="J513" s="433">
        <v>1</v>
      </c>
      <c r="K513" s="434">
        <f>SUMIFS(Таблица1[Столбец1],Таблица1[коэф],"1",Таблица1[р/р],"3/8",Таблица1[Ф. И. О.],B517)</f>
        <v>0</v>
      </c>
      <c r="L513" s="484">
        <f t="shared" si="165"/>
        <v>0</v>
      </c>
      <c r="M513" s="434"/>
      <c r="N513" s="434">
        <v>1</v>
      </c>
      <c r="O513" s="434">
        <f>SUMIFS(Data_Tech!$AM$3:$AM$67,Data_Tech!$E$3:$E$67,"1",Data_Tech!$G$3:$G$67,"4/12",Data_Tech!$F$3:$F$67,B517)</f>
        <v>0</v>
      </c>
      <c r="P513" s="406">
        <f>ROUND(M513*O513,2)</f>
        <v>0</v>
      </c>
      <c r="Q513" s="389">
        <f>база!$L$5</f>
        <v>231.45480000000001</v>
      </c>
      <c r="R513" s="390">
        <v>1</v>
      </c>
      <c r="S513" s="400">
        <f>SUMIFS(Таблица1[Столбец1],Таблица1[коэф],"1",Таблица1[р/р],"4/16",Таблица1[Ф. И. О.],B517)</f>
        <v>0</v>
      </c>
      <c r="T513" s="492">
        <f t="shared" si="166"/>
        <v>0</v>
      </c>
      <c r="U513" s="478">
        <f>база!$M$5</f>
        <v>247.41720000000001</v>
      </c>
      <c r="V513" s="390">
        <v>1</v>
      </c>
      <c r="W513" s="412">
        <f>SUMIFS(Таблица1[Столбец1],Таблица1[коэф],"1",Таблица1[р/р],"4/24",Таблица1[Ф. И. О.],B517)</f>
        <v>0</v>
      </c>
      <c r="X513" s="492">
        <f t="shared" si="167"/>
        <v>0</v>
      </c>
      <c r="Y513" s="764"/>
      <c r="Z513" s="766"/>
      <c r="AA513" s="756"/>
    </row>
    <row r="514" spans="1:29" ht="18.75">
      <c r="A514" s="756"/>
      <c r="B514" s="215"/>
      <c r="C514" s="759"/>
      <c r="D514" s="762"/>
      <c r="E514" s="389"/>
      <c r="F514" s="390"/>
      <c r="G514" s="400"/>
      <c r="H514" s="392">
        <f t="shared" si="164"/>
        <v>0</v>
      </c>
      <c r="I514" s="432"/>
      <c r="J514" s="433"/>
      <c r="K514" s="434"/>
      <c r="L514" s="484">
        <f t="shared" si="165"/>
        <v>0</v>
      </c>
      <c r="M514" s="434"/>
      <c r="N514" s="434"/>
      <c r="O514" s="434"/>
      <c r="P514" s="406"/>
      <c r="Q514" s="389">
        <f>база!$L$6</f>
        <v>261.04640000000001</v>
      </c>
      <c r="R514" s="390">
        <v>1</v>
      </c>
      <c r="S514" s="400">
        <f>SUMIFS(Таблица1[Столбец1],Таблица1[коэф],"1",Таблица1[р/р],"5/16",Таблица1[Ф. И. О.],B517)</f>
        <v>0</v>
      </c>
      <c r="T514" s="492">
        <f t="shared" si="166"/>
        <v>0</v>
      </c>
      <c r="U514" s="478">
        <f>база!$M$6</f>
        <v>279.0496</v>
      </c>
      <c r="V514" s="390">
        <v>1</v>
      </c>
      <c r="W514" s="412">
        <f>SUMIFS(Таблица1[Столбец1],Таблица1[коэф],"1",Таблица1[р/р],"5/24",Таблица1[Ф. И. О.],B517)</f>
        <v>0</v>
      </c>
      <c r="X514" s="492">
        <f t="shared" si="167"/>
        <v>0</v>
      </c>
      <c r="Y514" s="764"/>
      <c r="Z514" s="766"/>
      <c r="AA514" s="756"/>
    </row>
    <row r="515" spans="1:29" ht="18.75">
      <c r="A515" s="756"/>
      <c r="B515" s="215"/>
      <c r="C515" s="759"/>
      <c r="D515" s="762"/>
      <c r="E515" s="389"/>
      <c r="F515" s="390"/>
      <c r="G515" s="400"/>
      <c r="H515" s="392">
        <f t="shared" si="164"/>
        <v>0</v>
      </c>
      <c r="I515" s="432">
        <f>база!$J$5</f>
        <v>215.4924</v>
      </c>
      <c r="J515" s="433">
        <v>1.5</v>
      </c>
      <c r="K515" s="434">
        <f>SUMIFS(Таблица1[Столбец1],Таблица1[коэф],"1,5",Таблица1[р/р],"4/8",Таблица1[Ф. И. О.],B517)</f>
        <v>0</v>
      </c>
      <c r="L515" s="484">
        <f t="shared" si="165"/>
        <v>0</v>
      </c>
      <c r="M515" s="434"/>
      <c r="N515" s="434"/>
      <c r="O515" s="434"/>
      <c r="P515" s="406"/>
      <c r="Q515" s="389">
        <f>IF(D512&lt;=3,база!$L$4,
IF(D512=4,база!$L$5,
IF(D512=5,база!$L$6)))</f>
        <v>210.57480000000001</v>
      </c>
      <c r="R515" s="390">
        <v>1.2</v>
      </c>
      <c r="S515" s="400">
        <f>SUMIFS(Таблица1[Столбец1],Таблица1[коэф],"1,2",Таблица1[р/р],"3/16",Таблица1[Ф. И. О.],B517)</f>
        <v>0</v>
      </c>
      <c r="T515" s="492">
        <f t="shared" si="166"/>
        <v>0</v>
      </c>
      <c r="U515" s="478">
        <f>IF(D512&lt;=3,база!$M$4,
IF(D512=4,база!$M$5,
IF(D512=5,база!$M$6)))</f>
        <v>225.09719999999999</v>
      </c>
      <c r="V515" s="390">
        <v>1.2</v>
      </c>
      <c r="W515" s="412">
        <f>SUMIFS(Таблица1[Столбец1],Таблица1[коэф],"1,2",Таблица1[р/р],"3/24",Таблица1[Ф. И. О.],B517)</f>
        <v>0</v>
      </c>
      <c r="X515" s="492">
        <f t="shared" si="167"/>
        <v>0</v>
      </c>
      <c r="Y515" s="764"/>
      <c r="Z515" s="766"/>
      <c r="AA515" s="756"/>
    </row>
    <row r="516" spans="1:29" ht="18.75">
      <c r="A516" s="756"/>
      <c r="B516" s="215"/>
      <c r="C516" s="759"/>
      <c r="D516" s="762"/>
      <c r="E516" s="389"/>
      <c r="F516" s="390"/>
      <c r="G516" s="400"/>
      <c r="H516" s="392">
        <f t="shared" si="164"/>
        <v>0</v>
      </c>
      <c r="I516" s="432">
        <f>база!$J$6</f>
        <v>243.04319999999998</v>
      </c>
      <c r="J516" s="433">
        <v>1.5</v>
      </c>
      <c r="K516" s="434">
        <f>SUMIFS(Таблица1[Столбец1],Таблица1[коэф],"1,5",Таблица1[р/р],"5/8",Таблица1[Ф. И. О.],B517)</f>
        <v>0</v>
      </c>
      <c r="L516" s="484">
        <f t="shared" si="165"/>
        <v>0</v>
      </c>
      <c r="M516" s="434"/>
      <c r="N516" s="434"/>
      <c r="O516" s="434"/>
      <c r="P516" s="406"/>
      <c r="Q516" s="389">
        <f>база!$L$5</f>
        <v>231.45480000000001</v>
      </c>
      <c r="R516" s="390">
        <v>1.2</v>
      </c>
      <c r="S516" s="400">
        <f>SUMIFS(Таблица1[Столбец1],Таблица1[коэф],"1,2",Таблица1[р/р],"4/16",Таблица1[Ф. И. О.],B517)</f>
        <v>0</v>
      </c>
      <c r="T516" s="492">
        <f t="shared" si="166"/>
        <v>0</v>
      </c>
      <c r="U516" s="478">
        <f>база!$M$5</f>
        <v>247.41720000000001</v>
      </c>
      <c r="V516" s="390">
        <v>1.2</v>
      </c>
      <c r="W516" s="412">
        <f>SUMIFS(Таблица1[Столбец1],Таблица1[коэф],"1,2",Таблица1[р/р],"4/24",Таблица1[Ф. И. О.],B517)</f>
        <v>0</v>
      </c>
      <c r="X516" s="492">
        <f t="shared" si="167"/>
        <v>0</v>
      </c>
      <c r="Y516" s="764"/>
      <c r="Z516" s="766"/>
      <c r="AA516" s="756"/>
    </row>
    <row r="517" spans="1:29" ht="18.75">
      <c r="A517" s="756"/>
      <c r="B517" s="215" t="str">
        <f>база!B48</f>
        <v>Машталяр Анна Сергеевна</v>
      </c>
      <c r="C517" s="759"/>
      <c r="D517" s="762"/>
      <c r="E517" s="389"/>
      <c r="F517" s="390"/>
      <c r="G517" s="400"/>
      <c r="H517" s="392">
        <f t="shared" si="164"/>
        <v>0</v>
      </c>
      <c r="I517" s="432"/>
      <c r="J517" s="433"/>
      <c r="K517" s="434"/>
      <c r="L517" s="484">
        <f t="shared" si="165"/>
        <v>0</v>
      </c>
      <c r="M517" s="434"/>
      <c r="N517" s="434"/>
      <c r="O517" s="434"/>
      <c r="P517" s="406"/>
      <c r="Q517" s="389">
        <f>база!$L$6</f>
        <v>261.04640000000001</v>
      </c>
      <c r="R517" s="390">
        <v>1.2</v>
      </c>
      <c r="S517" s="400">
        <f>SUMIFS(Таблица1[Столбец1],Таблица1[коэф],"1,2",Таблица1[р/р],"5/16",Таблица1[Ф. И. О.],B517)</f>
        <v>0</v>
      </c>
      <c r="T517" s="492">
        <f t="shared" si="166"/>
        <v>0</v>
      </c>
      <c r="U517" s="478">
        <f>база!$M$6</f>
        <v>279.0496</v>
      </c>
      <c r="V517" s="390">
        <v>1.2</v>
      </c>
      <c r="W517" s="412">
        <f>SUMIFS(Таблица1[Столбец1],Таблица1[коэф],"1,2",Таблица1[р/р],"5/24",Таблица1[Ф. И. О.],B517)</f>
        <v>0</v>
      </c>
      <c r="X517" s="492">
        <f t="shared" si="167"/>
        <v>0</v>
      </c>
      <c r="Y517" s="764"/>
      <c r="Z517" s="766"/>
      <c r="AA517" s="756"/>
      <c r="AC517" s="712" t="str">
        <f>IF(SUMIFS(Таблица1[Столбец3],Таблица1[Ф. И. О.],B517)-Z512=0,"",SUMIFS(Таблица1[Столбец3],Таблица1[Ф. И. О.],B517)-Z512)</f>
        <v/>
      </c>
    </row>
    <row r="518" spans="1:29" ht="18.75">
      <c r="A518" s="756"/>
      <c r="B518" s="215"/>
      <c r="C518" s="759"/>
      <c r="D518" s="762"/>
      <c r="E518" s="389"/>
      <c r="F518" s="390"/>
      <c r="G518" s="400"/>
      <c r="H518" s="392">
        <f t="shared" si="164"/>
        <v>0</v>
      </c>
      <c r="I518" s="432"/>
      <c r="J518" s="433"/>
      <c r="K518" s="434"/>
      <c r="L518" s="484">
        <f t="shared" si="165"/>
        <v>0</v>
      </c>
      <c r="M518" s="434"/>
      <c r="N518" s="434"/>
      <c r="O518" s="434"/>
      <c r="P518" s="406"/>
      <c r="Q518" s="389">
        <f>IF($D$6&lt;=3,база!$L$4,
IF($D$6=4,база!$L$5,
IF($D$6=5,база!$L$6)))</f>
        <v>231.45480000000001</v>
      </c>
      <c r="R518" s="390">
        <v>1.3</v>
      </c>
      <c r="S518" s="400">
        <f>SUMIFS(Таблица1[Столбец1],Таблица1[коэф],"1,3",Таблица1[р/р],"3/16",Таблица1[Ф. И. О.],B517)</f>
        <v>0</v>
      </c>
      <c r="T518" s="492">
        <f t="shared" si="166"/>
        <v>0</v>
      </c>
      <c r="U518" s="478">
        <f>IF(D512&lt;=3,база!$M$4,
IF(D512=4,база!$M$5,
IF(D512=5,база!$M$6)))</f>
        <v>225.09719999999999</v>
      </c>
      <c r="V518" s="390">
        <v>1.3</v>
      </c>
      <c r="W518" s="412">
        <f>SUMIFS(Таблица1[Столбец1],Таблица1[коэф],"1,3",Таблица1[р/р],"3/24",Таблица1[Ф. И. О.],B517)</f>
        <v>0</v>
      </c>
      <c r="X518" s="492">
        <f t="shared" si="167"/>
        <v>0</v>
      </c>
      <c r="Y518" s="764"/>
      <c r="Z518" s="766"/>
      <c r="AA518" s="756"/>
      <c r="AC518" s="712" t="str">
        <f>IF(SUMIFS(Таблица1[Столбец1],Таблица1[Ф. И. О.],B517)=Y512,"",B517&amp;"  часы не верны")</f>
        <v/>
      </c>
    </row>
    <row r="519" spans="1:29" ht="18.75">
      <c r="A519" s="756"/>
      <c r="B519" s="215"/>
      <c r="C519" s="759"/>
      <c r="D519" s="762"/>
      <c r="E519" s="389"/>
      <c r="F519" s="390"/>
      <c r="G519" s="400"/>
      <c r="H519" s="392">
        <f t="shared" si="164"/>
        <v>0</v>
      </c>
      <c r="I519" s="432"/>
      <c r="J519" s="433"/>
      <c r="K519" s="434"/>
      <c r="L519" s="484">
        <f t="shared" si="165"/>
        <v>0</v>
      </c>
      <c r="M519" s="434"/>
      <c r="N519" s="434"/>
      <c r="O519" s="434"/>
      <c r="P519" s="406"/>
      <c r="Q519" s="389">
        <f>база!$L$5</f>
        <v>231.45480000000001</v>
      </c>
      <c r="R519" s="390">
        <v>1.3</v>
      </c>
      <c r="S519" s="400">
        <f>SUMIFS(Таблица1[Столбец1],Таблица1[коэф],"1,3",Таблица1[р/р],"4/16",Таблица1[Ф. И. О.],B517)</f>
        <v>0</v>
      </c>
      <c r="T519" s="492">
        <f t="shared" si="166"/>
        <v>0</v>
      </c>
      <c r="U519" s="478">
        <f>база!$M$5</f>
        <v>247.41720000000001</v>
      </c>
      <c r="V519" s="390">
        <v>1.3</v>
      </c>
      <c r="W519" s="412">
        <f>SUMIFS(Таблица1[Столбец1],Таблица1[коэф],"1,3",Таблица1[р/р],"4/24",Таблица1[Ф. И. О.],B517)</f>
        <v>0</v>
      </c>
      <c r="X519" s="492">
        <f t="shared" si="167"/>
        <v>0</v>
      </c>
      <c r="Y519" s="764"/>
      <c r="Z519" s="766"/>
      <c r="AA519" s="756"/>
    </row>
    <row r="520" spans="1:29" ht="18.75">
      <c r="A520" s="756"/>
      <c r="B520" s="215"/>
      <c r="C520" s="759"/>
      <c r="D520" s="762"/>
      <c r="E520" s="389"/>
      <c r="F520" s="390"/>
      <c r="G520" s="400"/>
      <c r="H520" s="392">
        <f t="shared" si="164"/>
        <v>0</v>
      </c>
      <c r="I520" s="432"/>
      <c r="J520" s="433"/>
      <c r="K520" s="434"/>
      <c r="L520" s="484">
        <f t="shared" si="165"/>
        <v>0</v>
      </c>
      <c r="M520" s="434"/>
      <c r="N520" s="434"/>
      <c r="O520" s="434"/>
      <c r="P520" s="406"/>
      <c r="Q520" s="389">
        <f>IF(D512&lt;=3,база!$L$4,
IF(D512=4,база!$L$5,
IF(D512=5,база!$L$6)))</f>
        <v>210.57480000000001</v>
      </c>
      <c r="R520" s="390">
        <v>1.4</v>
      </c>
      <c r="S520" s="400">
        <f>SUMIFS(Таблица1[Столбец1],Таблица1[коэф],"1,4",Таблица1[р/р],"3/16",Таблица1[Ф. И. О.],B517)</f>
        <v>0</v>
      </c>
      <c r="T520" s="492">
        <f t="shared" si="166"/>
        <v>0</v>
      </c>
      <c r="U520" s="478">
        <f>IF(D512&lt;=3,база!$M$4,
IF(D512=4,база!$M$5,
IF(D512=5,база!$M$6)))</f>
        <v>225.09719999999999</v>
      </c>
      <c r="V520" s="390">
        <v>1.4</v>
      </c>
      <c r="W520" s="412">
        <f>SUMIFS(Таблица1[Столбец1],Таблица1[коэф],"1,4",Таблица1[р/р],"3/24",Таблица1[Ф. И. О.],B517)</f>
        <v>0</v>
      </c>
      <c r="X520" s="492">
        <f t="shared" si="167"/>
        <v>0</v>
      </c>
      <c r="Y520" s="764"/>
      <c r="Z520" s="766"/>
      <c r="AA520" s="756"/>
    </row>
    <row r="521" spans="1:29" ht="18.75">
      <c r="A521" s="756"/>
      <c r="B521" s="215"/>
      <c r="C521" s="759"/>
      <c r="D521" s="762"/>
      <c r="E521" s="389"/>
      <c r="F521" s="390"/>
      <c r="G521" s="400"/>
      <c r="H521" s="392">
        <f t="shared" si="164"/>
        <v>0</v>
      </c>
      <c r="I521" s="432"/>
      <c r="J521" s="433"/>
      <c r="K521" s="434"/>
      <c r="L521" s="484">
        <f t="shared" si="165"/>
        <v>0</v>
      </c>
      <c r="M521" s="434"/>
      <c r="N521" s="434"/>
      <c r="O521" s="434"/>
      <c r="P521" s="406"/>
      <c r="Q521" s="389">
        <f>база!$L$5</f>
        <v>231.45480000000001</v>
      </c>
      <c r="R521" s="390">
        <v>1.4</v>
      </c>
      <c r="S521" s="400">
        <f>SUMIFS(Таблица1[Столбец1],Таблица1[коэф],"1,4",Таблица1[р/р],"4/16",Таблица1[Ф. И. О.],B517)</f>
        <v>0</v>
      </c>
      <c r="T521" s="492">
        <f t="shared" si="166"/>
        <v>0</v>
      </c>
      <c r="U521" s="478">
        <f>база!$M$5</f>
        <v>247.41720000000001</v>
      </c>
      <c r="V521" s="390">
        <v>1.4</v>
      </c>
      <c r="W521" s="412">
        <f>SUMIFS(Таблица1[Столбец1],Таблица1[коэф],"1,4",Таблица1[р/р],"4/24",Таблица1[Ф. И. О.],B517)</f>
        <v>0</v>
      </c>
      <c r="X521" s="492">
        <f t="shared" si="167"/>
        <v>0</v>
      </c>
      <c r="Y521" s="764"/>
      <c r="Z521" s="766"/>
      <c r="AA521" s="756"/>
    </row>
    <row r="522" spans="1:29" ht="19.5" thickBot="1">
      <c r="A522" s="757"/>
      <c r="B522" s="202"/>
      <c r="C522" s="760"/>
      <c r="D522" s="763"/>
      <c r="E522" s="473"/>
      <c r="F522" s="464"/>
      <c r="G522" s="465"/>
      <c r="H522" s="468">
        <f t="shared" si="164"/>
        <v>0</v>
      </c>
      <c r="I522" s="466"/>
      <c r="J522" s="456"/>
      <c r="K522" s="457"/>
      <c r="L522" s="484">
        <f t="shared" si="165"/>
        <v>0</v>
      </c>
      <c r="M522" s="457"/>
      <c r="N522" s="457"/>
      <c r="O522" s="457"/>
      <c r="P522" s="476"/>
      <c r="Q522" s="473">
        <f>база!$L$6</f>
        <v>261.04640000000001</v>
      </c>
      <c r="R522" s="464">
        <v>1.4</v>
      </c>
      <c r="S522" s="465">
        <f>SUMIFS(Таблица1[Столбец1],Таблица1[коэф],"1,4",Таблица1[р/р],"5/16",Таблица1[Ф. И. О.],B517)</f>
        <v>0</v>
      </c>
      <c r="T522" s="492">
        <f t="shared" si="166"/>
        <v>0</v>
      </c>
      <c r="U522" s="480">
        <f>база!$M$6</f>
        <v>279.0496</v>
      </c>
      <c r="V522" s="464">
        <v>1.4</v>
      </c>
      <c r="W522" s="470">
        <f>SUMIFS(Таблица1[Столбец1],Таблица1[коэф],"1,4",Таблица1[р/р],"5/24",Таблица1[Ф. И. О.],B517)</f>
        <v>0</v>
      </c>
      <c r="X522" s="492">
        <f t="shared" si="167"/>
        <v>0</v>
      </c>
      <c r="Y522" s="765"/>
      <c r="Z522" s="767"/>
      <c r="AA522" s="757"/>
    </row>
    <row r="523" spans="1:29" ht="18.75">
      <c r="A523" s="755">
        <v>48</v>
      </c>
      <c r="B523" s="235"/>
      <c r="C523" s="758">
        <f>INDEX(база!$E$2:$E$81, MATCH(B528,база!$B$2:$B$60,0))</f>
        <v>17121</v>
      </c>
      <c r="D523" s="761">
        <f>INDEX(база!$D$2:$D$89, MATCH(B528,база!$B$2:$B$60,0))</f>
        <v>3</v>
      </c>
      <c r="E523" s="377">
        <f>IF(D523&lt;=3,база!$I$4,
IF(D523=4,база!$I$5,
IF(D523=5,база!$I$6)))</f>
        <v>188.7912</v>
      </c>
      <c r="F523" s="378">
        <v>1</v>
      </c>
      <c r="G523" s="387">
        <f>SUMIFS(Таблица1[Столбец1],Таблица1[коэф],"1",Таблица1[р/р],"2/4",Таблица1[Ф. И. О.],B528)</f>
        <v>0</v>
      </c>
      <c r="H523" s="402">
        <f t="shared" ref="H523:H533" si="170">ROUND(E523*F523*G523*2,2)</f>
        <v>0</v>
      </c>
      <c r="I523" s="426">
        <f>IF(D523&lt;=3,база!$J$4,
IF(D523=4,база!$J$5,
IF(D523=5,база!$J$6)))</f>
        <v>196.05240000000001</v>
      </c>
      <c r="J523" s="427">
        <v>1</v>
      </c>
      <c r="K523" s="428">
        <f>SUMIFS(Таблица1[Столбец1],Таблица1[коэф],"1",Таблица1[р/р],"2/8",Таблица1[Ф. И. О.],B528)</f>
        <v>0</v>
      </c>
      <c r="L523" s="383">
        <f t="shared" ref="L523:L533" si="171">ROUND(I523*J523*K523*2,2)</f>
        <v>0</v>
      </c>
      <c r="M523" s="428"/>
      <c r="N523" s="428">
        <v>1</v>
      </c>
      <c r="O523" s="428">
        <f>SUMIFS(Data_Tech!$AM$3:$AM$67,Data_Tech!$E$3:$E$67,"1",Data_Tech!$G$3:$G$67,"3/12",Data_Tech!$F$3:$F$67,B528)</f>
        <v>0</v>
      </c>
      <c r="P523" s="385">
        <f>ROUND(M523*N523*O523,2)</f>
        <v>0</v>
      </c>
      <c r="Q523" s="377">
        <f>IF(D523&lt;=3,база!$L$4,
IF(D523=4,база!$L$5,
IF(D523=5,база!$L$6)))</f>
        <v>210.57480000000001</v>
      </c>
      <c r="R523" s="378">
        <v>1</v>
      </c>
      <c r="S523" s="387">
        <f>SUMIFS(Таблица1[Столбец1],Таблица1[коэф],"1",Таблица1[р/р],"3/16",Таблица1[Ф. И. О.],B528)</f>
        <v>0</v>
      </c>
      <c r="T523" s="490">
        <f t="shared" ref="T523:T533" si="172">ROUND(Q523*R523*S523*2,2)</f>
        <v>0</v>
      </c>
      <c r="U523" s="477">
        <f>IF(D523&lt;=3,база!$M$4,
IF(D523=4,база!$M$5,
IF(D523=5,база!$M$6)))</f>
        <v>225.09719999999999</v>
      </c>
      <c r="V523" s="378">
        <v>1</v>
      </c>
      <c r="W523" s="430">
        <f>SUMIFS(Таблица1[Столбец1],Таблица1[коэф],"1",Таблица1[р/р],"3/24",Таблица1[Ф. И. О.],B528)</f>
        <v>0</v>
      </c>
      <c r="X523" s="490">
        <f t="shared" ref="X523:X533" si="173">ROUND(U523*V523*W523*2,2)</f>
        <v>0</v>
      </c>
      <c r="Y523" s="764">
        <f t="shared" ref="Y523" si="174">SUM(G523:G533,K523:K533,O523:O533,S523:S533,W523:W533)</f>
        <v>0</v>
      </c>
      <c r="Z523" s="766">
        <f t="shared" ref="Z523" si="175">IFERROR(SUM(H523:H533,L523:L533,T523:T533,X523:X533),"")</f>
        <v>0</v>
      </c>
      <c r="AA523" s="756"/>
    </row>
    <row r="524" spans="1:29" ht="18.75">
      <c r="A524" s="756"/>
      <c r="B524" s="215"/>
      <c r="C524" s="759"/>
      <c r="D524" s="762"/>
      <c r="E524" s="389">
        <f>IF(D523&lt;=3,база!$I$4,
IF(D523=4,база!$I$5,
IF(D523=5,база!$I$6)))</f>
        <v>188.7912</v>
      </c>
      <c r="F524" s="390">
        <v>1</v>
      </c>
      <c r="G524" s="400">
        <f>SUMIFS(Таблица1[Столбец1],Таблица1[коэф],"1",Таблица1[р/р],"3/4",Таблица1[Ф. И. О.],B528)</f>
        <v>0</v>
      </c>
      <c r="H524" s="392">
        <f t="shared" si="170"/>
        <v>0</v>
      </c>
      <c r="I524" s="432">
        <f>IF(D523&lt;=3,база!$J$4,
IF(D523=4,база!$J$5,
IF(D523=5,база!$J$6)))</f>
        <v>196.05240000000001</v>
      </c>
      <c r="J524" s="433">
        <v>1</v>
      </c>
      <c r="K524" s="434">
        <f>SUMIFS(Таблица1[Столбец1],Таблица1[коэф],"1",Таблица1[р/р],"3/8",Таблица1[Ф. И. О.],B528)</f>
        <v>0</v>
      </c>
      <c r="L524" s="484">
        <f t="shared" si="171"/>
        <v>0</v>
      </c>
      <c r="M524" s="434"/>
      <c r="N524" s="434">
        <v>1</v>
      </c>
      <c r="O524" s="434">
        <f>SUMIFS(Data_Tech!$AM$3:$AM$67,Data_Tech!$E$3:$E$67,"1",Data_Tech!$G$3:$G$67,"4/12",Data_Tech!$F$3:$F$67,B528)</f>
        <v>0</v>
      </c>
      <c r="P524" s="406">
        <f>ROUND(M524*O524,2)</f>
        <v>0</v>
      </c>
      <c r="Q524" s="389">
        <f>база!$L$5</f>
        <v>231.45480000000001</v>
      </c>
      <c r="R524" s="390">
        <v>1</v>
      </c>
      <c r="S524" s="400">
        <f>SUMIFS(Таблица1[Столбец1],Таблица1[коэф],"1",Таблица1[р/р],"4/16",Таблица1[Ф. И. О.],B528)</f>
        <v>0</v>
      </c>
      <c r="T524" s="492">
        <f t="shared" si="172"/>
        <v>0</v>
      </c>
      <c r="U524" s="478">
        <f>база!$M$5</f>
        <v>247.41720000000001</v>
      </c>
      <c r="V524" s="390">
        <v>1</v>
      </c>
      <c r="W524" s="412">
        <f>SUMIFS(Таблица1[Столбец1],Таблица1[коэф],"1",Таблица1[р/р],"4/24",Таблица1[Ф. И. О.],B528)</f>
        <v>0</v>
      </c>
      <c r="X524" s="492">
        <f t="shared" si="173"/>
        <v>0</v>
      </c>
      <c r="Y524" s="764"/>
      <c r="Z524" s="766"/>
      <c r="AA524" s="756"/>
    </row>
    <row r="525" spans="1:29" ht="18.75">
      <c r="A525" s="756"/>
      <c r="B525" s="215"/>
      <c r="C525" s="759"/>
      <c r="D525" s="762"/>
      <c r="E525" s="389"/>
      <c r="F525" s="390"/>
      <c r="G525" s="400"/>
      <c r="H525" s="392">
        <f t="shared" si="170"/>
        <v>0</v>
      </c>
      <c r="I525" s="432"/>
      <c r="J525" s="433"/>
      <c r="K525" s="434"/>
      <c r="L525" s="484">
        <f t="shared" si="171"/>
        <v>0</v>
      </c>
      <c r="M525" s="434"/>
      <c r="N525" s="434"/>
      <c r="O525" s="434"/>
      <c r="P525" s="406"/>
      <c r="Q525" s="389">
        <f>база!$L$6</f>
        <v>261.04640000000001</v>
      </c>
      <c r="R525" s="390">
        <v>1</v>
      </c>
      <c r="S525" s="400">
        <f>SUMIFS(Таблица1[Столбец1],Таблица1[коэф],"1",Таблица1[р/р],"5/16",Таблица1[Ф. И. О.],B528)</f>
        <v>0</v>
      </c>
      <c r="T525" s="492">
        <f t="shared" si="172"/>
        <v>0</v>
      </c>
      <c r="U525" s="478">
        <f>база!$M$6</f>
        <v>279.0496</v>
      </c>
      <c r="V525" s="390">
        <v>1</v>
      </c>
      <c r="W525" s="412">
        <f>SUMIFS(Таблица1[Столбец1],Таблица1[коэф],"1",Таблица1[р/р],"5/24",Таблица1[Ф. И. О.],B528)</f>
        <v>0</v>
      </c>
      <c r="X525" s="492">
        <f t="shared" si="173"/>
        <v>0</v>
      </c>
      <c r="Y525" s="764"/>
      <c r="Z525" s="766"/>
      <c r="AA525" s="756"/>
    </row>
    <row r="526" spans="1:29" ht="18.75">
      <c r="A526" s="756"/>
      <c r="B526" s="215"/>
      <c r="C526" s="759"/>
      <c r="D526" s="762"/>
      <c r="E526" s="389"/>
      <c r="F526" s="390"/>
      <c r="G526" s="400"/>
      <c r="H526" s="392">
        <f t="shared" si="170"/>
        <v>0</v>
      </c>
      <c r="I526" s="432">
        <f>база!$J$5</f>
        <v>215.4924</v>
      </c>
      <c r="J526" s="433">
        <v>1.5</v>
      </c>
      <c r="K526" s="434">
        <f>SUMIFS(Таблица1[Столбец1],Таблица1[коэф],"1,5",Таблица1[р/р],"4/8",Таблица1[Ф. И. О.],B528)</f>
        <v>0</v>
      </c>
      <c r="L526" s="484">
        <f t="shared" si="171"/>
        <v>0</v>
      </c>
      <c r="M526" s="434"/>
      <c r="N526" s="434"/>
      <c r="O526" s="434"/>
      <c r="P526" s="406"/>
      <c r="Q526" s="389">
        <f>IF(D523&lt;=3,база!$L$4,
IF(D523=4,база!$L$5,
IF(D523=5,база!$L$6)))</f>
        <v>210.57480000000001</v>
      </c>
      <c r="R526" s="390">
        <v>1.2</v>
      </c>
      <c r="S526" s="400">
        <f>SUMIFS(Таблица1[Столбец1],Таблица1[коэф],"1,2",Таблица1[р/р],"3/16",Таблица1[Ф. И. О.],B528)</f>
        <v>0</v>
      </c>
      <c r="T526" s="492">
        <f t="shared" si="172"/>
        <v>0</v>
      </c>
      <c r="U526" s="478">
        <f>IF(D523&lt;=3,база!$M$4,
IF(D523=4,база!$M$5,
IF(D523=5,база!$M$6)))</f>
        <v>225.09719999999999</v>
      </c>
      <c r="V526" s="390">
        <v>1.2</v>
      </c>
      <c r="W526" s="412">
        <f>SUMIFS(Таблица1[Столбец1],Таблица1[коэф],"1,2",Таблица1[р/р],"3/24",Таблица1[Ф. И. О.],B528)</f>
        <v>0</v>
      </c>
      <c r="X526" s="492">
        <f t="shared" si="173"/>
        <v>0</v>
      </c>
      <c r="Y526" s="764"/>
      <c r="Z526" s="766"/>
      <c r="AA526" s="756"/>
    </row>
    <row r="527" spans="1:29" ht="18.75">
      <c r="A527" s="756"/>
      <c r="B527" s="215"/>
      <c r="C527" s="759"/>
      <c r="D527" s="762"/>
      <c r="E527" s="389"/>
      <c r="F527" s="390"/>
      <c r="G527" s="400"/>
      <c r="H527" s="392">
        <f t="shared" si="170"/>
        <v>0</v>
      </c>
      <c r="I527" s="432">
        <f>база!$J$6</f>
        <v>243.04319999999998</v>
      </c>
      <c r="J527" s="433">
        <v>1.5</v>
      </c>
      <c r="K527" s="434">
        <f>SUMIFS(Таблица1[Столбец1],Таблица1[коэф],"1,5",Таблица1[р/р],"5/8",Таблица1[Ф. И. О.],B528)</f>
        <v>0</v>
      </c>
      <c r="L527" s="484">
        <f t="shared" si="171"/>
        <v>0</v>
      </c>
      <c r="M527" s="434"/>
      <c r="N527" s="434"/>
      <c r="O527" s="434"/>
      <c r="P527" s="406"/>
      <c r="Q527" s="389">
        <f>база!$L$5</f>
        <v>231.45480000000001</v>
      </c>
      <c r="R527" s="390">
        <v>1.2</v>
      </c>
      <c r="S527" s="400">
        <f>SUMIFS(Таблица1[Столбец1],Таблица1[коэф],"1,2",Таблица1[р/р],"4/16",Таблица1[Ф. И. О.],B528)</f>
        <v>0</v>
      </c>
      <c r="T527" s="492">
        <f t="shared" si="172"/>
        <v>0</v>
      </c>
      <c r="U527" s="478">
        <f>база!$M$5</f>
        <v>247.41720000000001</v>
      </c>
      <c r="V527" s="390">
        <v>1.2</v>
      </c>
      <c r="W527" s="412">
        <f>SUMIFS(Таблица1[Столбец1],Таблица1[коэф],"1,2",Таблица1[р/р],"4/24",Таблица1[Ф. И. О.],B528)</f>
        <v>0</v>
      </c>
      <c r="X527" s="492">
        <f t="shared" si="173"/>
        <v>0</v>
      </c>
      <c r="Y527" s="764"/>
      <c r="Z527" s="766"/>
      <c r="AA527" s="756"/>
    </row>
    <row r="528" spans="1:29" ht="18.75">
      <c r="A528" s="756"/>
      <c r="B528" s="215" t="str">
        <f>база!B49</f>
        <v>Мельникова Анна Юрьевна</v>
      </c>
      <c r="C528" s="759"/>
      <c r="D528" s="762"/>
      <c r="E528" s="389"/>
      <c r="F528" s="390"/>
      <c r="G528" s="400"/>
      <c r="H528" s="392">
        <f t="shared" si="170"/>
        <v>0</v>
      </c>
      <c r="I528" s="432"/>
      <c r="J528" s="433"/>
      <c r="K528" s="434"/>
      <c r="L528" s="484">
        <f t="shared" si="171"/>
        <v>0</v>
      </c>
      <c r="M528" s="434"/>
      <c r="N528" s="434"/>
      <c r="O528" s="434"/>
      <c r="P528" s="406"/>
      <c r="Q528" s="389">
        <f>база!$L$6</f>
        <v>261.04640000000001</v>
      </c>
      <c r="R528" s="390">
        <v>1.2</v>
      </c>
      <c r="S528" s="400">
        <f>SUMIFS(Таблица1[Столбец1],Таблица1[коэф],"1,2",Таблица1[р/р],"5/16",Таблица1[Ф. И. О.],B528)</f>
        <v>0</v>
      </c>
      <c r="T528" s="492">
        <f t="shared" si="172"/>
        <v>0</v>
      </c>
      <c r="U528" s="478">
        <f>база!$M$6</f>
        <v>279.0496</v>
      </c>
      <c r="V528" s="390">
        <v>1.2</v>
      </c>
      <c r="W528" s="412">
        <f>SUMIFS(Таблица1[Столбец1],Таблица1[коэф],"1,2",Таблица1[р/р],"5/24",Таблица1[Ф. И. О.],B528)</f>
        <v>0</v>
      </c>
      <c r="X528" s="492">
        <f t="shared" si="173"/>
        <v>0</v>
      </c>
      <c r="Y528" s="764"/>
      <c r="Z528" s="766"/>
      <c r="AA528" s="756"/>
      <c r="AC528" s="712" t="str">
        <f>IF(SUMIFS(Таблица1[Столбец3],Таблица1[Ф. И. О.],B528)-Z523=0,"",SUMIFS(Таблица1[Столбец3],Таблица1[Ф. И. О.],B528)-Z523)</f>
        <v/>
      </c>
    </row>
    <row r="529" spans="1:29" ht="18.75">
      <c r="A529" s="756"/>
      <c r="B529" s="215"/>
      <c r="C529" s="759"/>
      <c r="D529" s="762"/>
      <c r="E529" s="389"/>
      <c r="F529" s="390"/>
      <c r="G529" s="400"/>
      <c r="H529" s="392">
        <f t="shared" si="170"/>
        <v>0</v>
      </c>
      <c r="I529" s="432"/>
      <c r="J529" s="433"/>
      <c r="K529" s="434"/>
      <c r="L529" s="484">
        <f t="shared" si="171"/>
        <v>0</v>
      </c>
      <c r="M529" s="434"/>
      <c r="N529" s="434"/>
      <c r="O529" s="434"/>
      <c r="P529" s="406"/>
      <c r="Q529" s="389">
        <f>IF($D$6&lt;=3,база!$L$4,
IF($D$6=4,база!$L$5,
IF($D$6=5,база!$L$6)))</f>
        <v>231.45480000000001</v>
      </c>
      <c r="R529" s="390">
        <v>1.3</v>
      </c>
      <c r="S529" s="400">
        <f>SUMIFS(Таблица1[Столбец1],Таблица1[коэф],"1,3",Таблица1[р/р],"3/16",Таблица1[Ф. И. О.],B528)</f>
        <v>0</v>
      </c>
      <c r="T529" s="492">
        <f t="shared" si="172"/>
        <v>0</v>
      </c>
      <c r="U529" s="478">
        <f>IF(D523&lt;=3,база!$M$4,
IF(D523=4,база!$M$5,
IF(D523=5,база!$M$6)))</f>
        <v>225.09719999999999</v>
      </c>
      <c r="V529" s="390">
        <v>1.3</v>
      </c>
      <c r="W529" s="412">
        <f>SUMIFS(Таблица1[Столбец1],Таблица1[коэф],"1,3",Таблица1[р/р],"3/24",Таблица1[Ф. И. О.],B528)</f>
        <v>0</v>
      </c>
      <c r="X529" s="492">
        <f t="shared" si="173"/>
        <v>0</v>
      </c>
      <c r="Y529" s="764"/>
      <c r="Z529" s="766"/>
      <c r="AA529" s="756"/>
      <c r="AC529" s="712" t="str">
        <f>IF(SUMIFS(Таблица1[Столбец1],Таблица1[Ф. И. О.],B528)=Y523,"",B528&amp;"  часы не верны")</f>
        <v/>
      </c>
    </row>
    <row r="530" spans="1:29" ht="18.75">
      <c r="A530" s="756"/>
      <c r="B530" s="215"/>
      <c r="C530" s="759"/>
      <c r="D530" s="762"/>
      <c r="E530" s="389"/>
      <c r="F530" s="390"/>
      <c r="G530" s="400"/>
      <c r="H530" s="392">
        <f t="shared" si="170"/>
        <v>0</v>
      </c>
      <c r="I530" s="432"/>
      <c r="J530" s="433"/>
      <c r="K530" s="434"/>
      <c r="L530" s="484">
        <f t="shared" si="171"/>
        <v>0</v>
      </c>
      <c r="M530" s="434"/>
      <c r="N530" s="434"/>
      <c r="O530" s="434"/>
      <c r="P530" s="406"/>
      <c r="Q530" s="389">
        <f>база!$L$5</f>
        <v>231.45480000000001</v>
      </c>
      <c r="R530" s="390">
        <v>1.3</v>
      </c>
      <c r="S530" s="400">
        <f>SUMIFS(Таблица1[Столбец1],Таблица1[коэф],"1,3",Таблица1[р/р],"4/16",Таблица1[Ф. И. О.],B528)</f>
        <v>0</v>
      </c>
      <c r="T530" s="492">
        <f t="shared" si="172"/>
        <v>0</v>
      </c>
      <c r="U530" s="478">
        <f>база!$M$5</f>
        <v>247.41720000000001</v>
      </c>
      <c r="V530" s="390">
        <v>1.3</v>
      </c>
      <c r="W530" s="412">
        <f>SUMIFS(Таблица1[Столбец1],Таблица1[коэф],"1,3",Таблица1[р/р],"4/24",Таблица1[Ф. И. О.],B528)</f>
        <v>0</v>
      </c>
      <c r="X530" s="492">
        <f t="shared" si="173"/>
        <v>0</v>
      </c>
      <c r="Y530" s="764"/>
      <c r="Z530" s="766"/>
      <c r="AA530" s="756"/>
    </row>
    <row r="531" spans="1:29" ht="18.75">
      <c r="A531" s="756"/>
      <c r="B531" s="215"/>
      <c r="C531" s="759"/>
      <c r="D531" s="762"/>
      <c r="E531" s="389"/>
      <c r="F531" s="390"/>
      <c r="G531" s="400"/>
      <c r="H531" s="392">
        <f t="shared" si="170"/>
        <v>0</v>
      </c>
      <c r="I531" s="432"/>
      <c r="J531" s="433"/>
      <c r="K531" s="434"/>
      <c r="L531" s="484">
        <f t="shared" si="171"/>
        <v>0</v>
      </c>
      <c r="M531" s="434"/>
      <c r="N531" s="434"/>
      <c r="O531" s="434"/>
      <c r="P531" s="406"/>
      <c r="Q531" s="389">
        <f>IF(D523&lt;=3,база!$L$4,
IF(D523=4,база!$L$5,
IF(D523=5,база!$L$6)))</f>
        <v>210.57480000000001</v>
      </c>
      <c r="R531" s="390">
        <v>1.4</v>
      </c>
      <c r="S531" s="400">
        <f>SUMIFS(Таблица1[Столбец1],Таблица1[коэф],"1,4",Таблица1[р/р],"3/16",Таблица1[Ф. И. О.],B528)</f>
        <v>0</v>
      </c>
      <c r="T531" s="492">
        <f t="shared" si="172"/>
        <v>0</v>
      </c>
      <c r="U531" s="478">
        <f>IF(D523&lt;=3,база!$M$4,
IF(D523=4,база!$M$5,
IF(D523=5,база!$M$6)))</f>
        <v>225.09719999999999</v>
      </c>
      <c r="V531" s="390">
        <v>1.4</v>
      </c>
      <c r="W531" s="412">
        <f>SUMIFS(Таблица1[Столбец1],Таблица1[коэф],"1,4",Таблица1[р/р],"3/24",Таблица1[Ф. И. О.],B528)</f>
        <v>0</v>
      </c>
      <c r="X531" s="492">
        <f t="shared" si="173"/>
        <v>0</v>
      </c>
      <c r="Y531" s="764"/>
      <c r="Z531" s="766"/>
      <c r="AA531" s="756"/>
    </row>
    <row r="532" spans="1:29" ht="18.75">
      <c r="A532" s="756"/>
      <c r="B532" s="215"/>
      <c r="C532" s="759"/>
      <c r="D532" s="762"/>
      <c r="E532" s="389"/>
      <c r="F532" s="390"/>
      <c r="G532" s="400"/>
      <c r="H532" s="392">
        <f t="shared" si="170"/>
        <v>0</v>
      </c>
      <c r="I532" s="432"/>
      <c r="J532" s="433"/>
      <c r="K532" s="434"/>
      <c r="L532" s="484">
        <f t="shared" si="171"/>
        <v>0</v>
      </c>
      <c r="M532" s="434"/>
      <c r="N532" s="434"/>
      <c r="O532" s="434"/>
      <c r="P532" s="406"/>
      <c r="Q532" s="389">
        <f>база!$L$5</f>
        <v>231.45480000000001</v>
      </c>
      <c r="R532" s="390">
        <v>1.4</v>
      </c>
      <c r="S532" s="400">
        <f>SUMIFS(Таблица1[Столбец1],Таблица1[коэф],"1,4",Таблица1[р/р],"4/16",Таблица1[Ф. И. О.],B528)</f>
        <v>0</v>
      </c>
      <c r="T532" s="492">
        <f t="shared" si="172"/>
        <v>0</v>
      </c>
      <c r="U532" s="478">
        <f>база!$M$5</f>
        <v>247.41720000000001</v>
      </c>
      <c r="V532" s="390">
        <v>1.4</v>
      </c>
      <c r="W532" s="412">
        <f>SUMIFS(Таблица1[Столбец1],Таблица1[коэф],"1,4",Таблица1[р/р],"4/24",Таблица1[Ф. И. О.],B528)</f>
        <v>0</v>
      </c>
      <c r="X532" s="492">
        <f t="shared" si="173"/>
        <v>0</v>
      </c>
      <c r="Y532" s="764"/>
      <c r="Z532" s="766"/>
      <c r="AA532" s="756"/>
    </row>
    <row r="533" spans="1:29" ht="19.5" thickBot="1">
      <c r="A533" s="757"/>
      <c r="B533" s="202"/>
      <c r="C533" s="760"/>
      <c r="D533" s="763"/>
      <c r="E533" s="473"/>
      <c r="F533" s="464"/>
      <c r="G533" s="465"/>
      <c r="H533" s="468">
        <f t="shared" si="170"/>
        <v>0</v>
      </c>
      <c r="I533" s="466"/>
      <c r="J533" s="456"/>
      <c r="K533" s="457"/>
      <c r="L533" s="484">
        <f t="shared" si="171"/>
        <v>0</v>
      </c>
      <c r="M533" s="457"/>
      <c r="N533" s="457"/>
      <c r="O533" s="457"/>
      <c r="P533" s="476"/>
      <c r="Q533" s="473">
        <f>база!$L$6</f>
        <v>261.04640000000001</v>
      </c>
      <c r="R533" s="464">
        <v>1.4</v>
      </c>
      <c r="S533" s="465">
        <f>SUMIFS(Таблица1[Столбец1],Таблица1[коэф],"1,4",Таблица1[р/р],"5/16",Таблица1[Ф. И. О.],B528)</f>
        <v>0</v>
      </c>
      <c r="T533" s="492">
        <f t="shared" si="172"/>
        <v>0</v>
      </c>
      <c r="U533" s="480">
        <f>база!$M$6</f>
        <v>279.0496</v>
      </c>
      <c r="V533" s="464">
        <v>1.4</v>
      </c>
      <c r="W533" s="470">
        <f>SUMIFS(Таблица1[Столбец1],Таблица1[коэф],"1,4",Таблица1[р/р],"5/24",Таблица1[Ф. И. О.],B528)</f>
        <v>0</v>
      </c>
      <c r="X533" s="492">
        <f t="shared" si="173"/>
        <v>0</v>
      </c>
      <c r="Y533" s="765"/>
      <c r="Z533" s="767"/>
      <c r="AA533" s="757"/>
    </row>
    <row r="534" spans="1:29" ht="18.75">
      <c r="A534" s="755">
        <v>49</v>
      </c>
      <c r="B534" s="235"/>
      <c r="C534" s="758">
        <f>INDEX(база!$E$2:$E$81, MATCH(B539,база!$B$2:$B$60,0))</f>
        <v>14883</v>
      </c>
      <c r="D534" s="761">
        <f>INDEX(база!$D$2:$D$89, MATCH(B539,база!$B$2:$B$60,0))</f>
        <v>4</v>
      </c>
      <c r="E534" s="377">
        <f>IF(D534&lt;=3,база!$I$4,
IF(D534=4,база!$I$5,
IF(D534=5,база!$I$6)))</f>
        <v>207.5112</v>
      </c>
      <c r="F534" s="378">
        <v>1</v>
      </c>
      <c r="G534" s="387">
        <f>SUMIFS(Таблица1[Столбец1],Таблица1[коэф],"1",Таблица1[р/р],"2/4",Таблица1[Ф. И. О.],B539)</f>
        <v>0</v>
      </c>
      <c r="H534" s="402">
        <f t="shared" ref="H534:H544" si="176">ROUND(E534*F534*G534*2,2)</f>
        <v>0</v>
      </c>
      <c r="I534" s="426">
        <f>IF(D534&lt;=3,база!$J$4,
IF(D534=4,база!$J$5,
IF(D534=5,база!$J$6)))</f>
        <v>215.4924</v>
      </c>
      <c r="J534" s="427">
        <v>1</v>
      </c>
      <c r="K534" s="428">
        <f>SUMIFS(Таблица1[Столбец1],Таблица1[коэф],"1",Таблица1[р/р],"2/8",Таблица1[Ф. И. О.],B539)</f>
        <v>0</v>
      </c>
      <c r="L534" s="383">
        <f t="shared" ref="L534:L544" si="177">ROUND(I534*J534*K534*2,2)</f>
        <v>0</v>
      </c>
      <c r="M534" s="428"/>
      <c r="N534" s="428">
        <v>1</v>
      </c>
      <c r="O534" s="428">
        <f>SUMIFS(Data_Tech!$AM$3:$AM$67,Data_Tech!$E$3:$E$67,"1",Data_Tech!$G$3:$G$67,"3/12",Data_Tech!$F$3:$F$67,B539)</f>
        <v>0</v>
      </c>
      <c r="P534" s="385">
        <f>ROUND(M534*N534*O534,2)</f>
        <v>0</v>
      </c>
      <c r="Q534" s="377">
        <f>IF(D534&lt;=3,база!$L$4,
IF(D534=4,база!$L$5,
IF(D534=5,база!$L$6)))</f>
        <v>231.45480000000001</v>
      </c>
      <c r="R534" s="378">
        <v>1</v>
      </c>
      <c r="S534" s="387">
        <f>SUMIFS(Таблица1[Столбец1],Таблица1[коэф],"1",Таблица1[р/р],"3/16",Таблица1[Ф. И. О.],B539)</f>
        <v>0</v>
      </c>
      <c r="T534" s="490">
        <f t="shared" ref="T534:T544" si="178">ROUND(Q534*R534*S534*2,2)</f>
        <v>0</v>
      </c>
      <c r="U534" s="477">
        <f>IF(D534&lt;=3,база!$M$4,
IF(D534=4,база!$M$5,
IF(D534=5,база!$M$6)))</f>
        <v>247.41720000000001</v>
      </c>
      <c r="V534" s="378">
        <v>1</v>
      </c>
      <c r="W534" s="430">
        <f>SUMIFS(Таблица1[Столбец1],Таблица1[коэф],"1",Таблица1[р/р],"3/24",Таблица1[Ф. И. О.],B539)</f>
        <v>0</v>
      </c>
      <c r="X534" s="490">
        <f t="shared" ref="X534:X544" si="179">ROUND(U534*V534*W534*2,2)</f>
        <v>0</v>
      </c>
      <c r="Y534" s="764">
        <f t="shared" ref="Y534" si="180">SUM(G534:G544,K534:K544,O534:O544,S534:S544,W534:W544)</f>
        <v>0</v>
      </c>
      <c r="Z534" s="766">
        <f t="shared" ref="Z534" si="181">IFERROR(SUM(H534:H544,L534:L544,T534:T544,X534:X544),"")</f>
        <v>0</v>
      </c>
      <c r="AA534" s="756"/>
    </row>
    <row r="535" spans="1:29" ht="18.75">
      <c r="A535" s="756"/>
      <c r="B535" s="215"/>
      <c r="C535" s="759"/>
      <c r="D535" s="762"/>
      <c r="E535" s="389">
        <f>IF(D534&lt;=3,база!$I$4,
IF(D534=4,база!$I$5,
IF(D534=5,база!$I$6)))</f>
        <v>207.5112</v>
      </c>
      <c r="F535" s="390">
        <v>1</v>
      </c>
      <c r="G535" s="400">
        <f>SUMIFS(Таблица1[Столбец1],Таблица1[коэф],"1",Таблица1[р/р],"3/4",Таблица1[Ф. И. О.],B539)</f>
        <v>0</v>
      </c>
      <c r="H535" s="392">
        <f t="shared" si="176"/>
        <v>0</v>
      </c>
      <c r="I535" s="432">
        <f>IF(D534&lt;=3,база!$J$4,
IF(D534=4,база!$J$5,
IF(D534=5,база!$J$6)))</f>
        <v>215.4924</v>
      </c>
      <c r="J535" s="433">
        <v>1</v>
      </c>
      <c r="K535" s="434">
        <f>SUMIFS(Таблица1[Столбец1],Таблица1[коэф],"1",Таблица1[р/р],"3/8",Таблица1[Ф. И. О.],B539)</f>
        <v>0</v>
      </c>
      <c r="L535" s="484">
        <f t="shared" si="177"/>
        <v>0</v>
      </c>
      <c r="M535" s="434"/>
      <c r="N535" s="434">
        <v>1</v>
      </c>
      <c r="O535" s="434">
        <f>SUMIFS(Data_Tech!$AM$3:$AM$67,Data_Tech!$E$3:$E$67,"1",Data_Tech!$G$3:$G$67,"4/12",Data_Tech!$F$3:$F$67,B539)</f>
        <v>0</v>
      </c>
      <c r="P535" s="406">
        <f>ROUND(M535*O535,2)</f>
        <v>0</v>
      </c>
      <c r="Q535" s="389">
        <f>база!$L$5</f>
        <v>231.45480000000001</v>
      </c>
      <c r="R535" s="390">
        <v>1</v>
      </c>
      <c r="S535" s="400">
        <f>SUMIFS(Таблица1[Столбец1],Таблица1[коэф],"1",Таблица1[р/р],"4/16",Таблица1[Ф. И. О.],B539)</f>
        <v>0</v>
      </c>
      <c r="T535" s="492">
        <f t="shared" si="178"/>
        <v>0</v>
      </c>
      <c r="U535" s="478">
        <f>база!$M$5</f>
        <v>247.41720000000001</v>
      </c>
      <c r="V535" s="390">
        <v>1</v>
      </c>
      <c r="W535" s="412">
        <f>SUMIFS(Таблица1[Столбец1],Таблица1[коэф],"1",Таблица1[р/р],"4/24",Таблица1[Ф. И. О.],B539)</f>
        <v>0</v>
      </c>
      <c r="X535" s="492">
        <f t="shared" si="179"/>
        <v>0</v>
      </c>
      <c r="Y535" s="764"/>
      <c r="Z535" s="766"/>
      <c r="AA535" s="756"/>
    </row>
    <row r="536" spans="1:29" ht="18.75">
      <c r="A536" s="756"/>
      <c r="B536" s="215"/>
      <c r="C536" s="759"/>
      <c r="D536" s="762"/>
      <c r="E536" s="389"/>
      <c r="F536" s="390"/>
      <c r="G536" s="400"/>
      <c r="H536" s="392">
        <f t="shared" si="176"/>
        <v>0</v>
      </c>
      <c r="I536" s="432"/>
      <c r="J536" s="433"/>
      <c r="K536" s="434"/>
      <c r="L536" s="484">
        <f t="shared" si="177"/>
        <v>0</v>
      </c>
      <c r="M536" s="434"/>
      <c r="N536" s="434"/>
      <c r="O536" s="434"/>
      <c r="P536" s="406"/>
      <c r="Q536" s="389">
        <f>база!$L$6</f>
        <v>261.04640000000001</v>
      </c>
      <c r="R536" s="390">
        <v>1</v>
      </c>
      <c r="S536" s="400">
        <f>SUMIFS(Таблица1[Столбец1],Таблица1[коэф],"1",Таблица1[р/р],"5/16",Таблица1[Ф. И. О.],B539)</f>
        <v>0</v>
      </c>
      <c r="T536" s="492">
        <f t="shared" si="178"/>
        <v>0</v>
      </c>
      <c r="U536" s="478">
        <f>база!$M$6</f>
        <v>279.0496</v>
      </c>
      <c r="V536" s="390">
        <v>1</v>
      </c>
      <c r="W536" s="412">
        <f>SUMIFS(Таблица1[Столбец1],Таблица1[коэф],"1",Таблица1[р/р],"5/24",Таблица1[Ф. И. О.],B539)</f>
        <v>0</v>
      </c>
      <c r="X536" s="492">
        <f t="shared" si="179"/>
        <v>0</v>
      </c>
      <c r="Y536" s="764"/>
      <c r="Z536" s="766"/>
      <c r="AA536" s="756"/>
    </row>
    <row r="537" spans="1:29" ht="18.75">
      <c r="A537" s="756"/>
      <c r="B537" s="215"/>
      <c r="C537" s="759"/>
      <c r="D537" s="762"/>
      <c r="E537" s="389"/>
      <c r="F537" s="390"/>
      <c r="G537" s="400"/>
      <c r="H537" s="392">
        <f t="shared" si="176"/>
        <v>0</v>
      </c>
      <c r="I537" s="432">
        <f>база!$J$5</f>
        <v>215.4924</v>
      </c>
      <c r="J537" s="433">
        <v>1.5</v>
      </c>
      <c r="K537" s="434">
        <f>SUMIFS(Таблица1[Столбец1],Таблица1[коэф],"1,5",Таблица1[р/р],"4/8",Таблица1[Ф. И. О.],B539)</f>
        <v>0</v>
      </c>
      <c r="L537" s="484">
        <f t="shared" si="177"/>
        <v>0</v>
      </c>
      <c r="M537" s="434"/>
      <c r="N537" s="434"/>
      <c r="O537" s="434"/>
      <c r="P537" s="406"/>
      <c r="Q537" s="389">
        <f>IF(D534&lt;=3,база!$L$4,
IF(D534=4,база!$L$5,
IF(D534=5,база!$L$6)))</f>
        <v>231.45480000000001</v>
      </c>
      <c r="R537" s="390">
        <v>1.2</v>
      </c>
      <c r="S537" s="400">
        <f>SUMIFS(Таблица1[Столбец1],Таблица1[коэф],"1,2",Таблица1[р/р],"3/16",Таблица1[Ф. И. О.],B539)</f>
        <v>0</v>
      </c>
      <c r="T537" s="492">
        <f t="shared" si="178"/>
        <v>0</v>
      </c>
      <c r="U537" s="478">
        <f>IF(D534&lt;=3,база!$M$4,
IF(D534=4,база!$M$5,
IF(D534=5,база!$M$6)))</f>
        <v>247.41720000000001</v>
      </c>
      <c r="V537" s="390">
        <v>1.2</v>
      </c>
      <c r="W537" s="412">
        <f>SUMIFS(Таблица1[Столбец1],Таблица1[коэф],"1,2",Таблица1[р/р],"3/24",Таблица1[Ф. И. О.],B539)</f>
        <v>0</v>
      </c>
      <c r="X537" s="492">
        <f t="shared" si="179"/>
        <v>0</v>
      </c>
      <c r="Y537" s="764"/>
      <c r="Z537" s="766"/>
      <c r="AA537" s="756"/>
    </row>
    <row r="538" spans="1:29" ht="18.75">
      <c r="A538" s="756"/>
      <c r="B538" s="215"/>
      <c r="C538" s="759"/>
      <c r="D538" s="762"/>
      <c r="E538" s="389"/>
      <c r="F538" s="390"/>
      <c r="G538" s="400"/>
      <c r="H538" s="392">
        <f t="shared" si="176"/>
        <v>0</v>
      </c>
      <c r="I538" s="432">
        <f>база!$J$6</f>
        <v>243.04319999999998</v>
      </c>
      <c r="J538" s="433">
        <v>1.5</v>
      </c>
      <c r="K538" s="434">
        <f>SUMIFS(Таблица1[Столбец1],Таблица1[коэф],"1,5",Таблица1[р/р],"5/8",Таблица1[Ф. И. О.],B539)</f>
        <v>0</v>
      </c>
      <c r="L538" s="484">
        <f t="shared" si="177"/>
        <v>0</v>
      </c>
      <c r="M538" s="434"/>
      <c r="N538" s="434"/>
      <c r="O538" s="434"/>
      <c r="P538" s="406"/>
      <c r="Q538" s="389">
        <f>база!$L$5</f>
        <v>231.45480000000001</v>
      </c>
      <c r="R538" s="390">
        <v>1.2</v>
      </c>
      <c r="S538" s="400">
        <f>SUMIFS(Таблица1[Столбец1],Таблица1[коэф],"1,2",Таблица1[р/р],"4/16",Таблица1[Ф. И. О.],B539)</f>
        <v>0</v>
      </c>
      <c r="T538" s="492">
        <f t="shared" si="178"/>
        <v>0</v>
      </c>
      <c r="U538" s="478">
        <f>база!$M$5</f>
        <v>247.41720000000001</v>
      </c>
      <c r="V538" s="390">
        <v>1.2</v>
      </c>
      <c r="W538" s="412">
        <f>SUMIFS(Таблица1[Столбец1],Таблица1[коэф],"1,2",Таблица1[р/р],"4/24",Таблица1[Ф. И. О.],B539)</f>
        <v>0</v>
      </c>
      <c r="X538" s="492">
        <f t="shared" si="179"/>
        <v>0</v>
      </c>
      <c r="Y538" s="764"/>
      <c r="Z538" s="766"/>
      <c r="AA538" s="756"/>
    </row>
    <row r="539" spans="1:29" ht="18.75">
      <c r="A539" s="756"/>
      <c r="B539" s="215" t="str">
        <f>база!B50</f>
        <v>Минко Елена Анатольевна</v>
      </c>
      <c r="C539" s="759"/>
      <c r="D539" s="762"/>
      <c r="E539" s="389"/>
      <c r="F539" s="390"/>
      <c r="G539" s="400"/>
      <c r="H539" s="392">
        <f t="shared" si="176"/>
        <v>0</v>
      </c>
      <c r="I539" s="432"/>
      <c r="J539" s="433"/>
      <c r="K539" s="434"/>
      <c r="L539" s="484">
        <f t="shared" si="177"/>
        <v>0</v>
      </c>
      <c r="M539" s="434"/>
      <c r="N539" s="434"/>
      <c r="O539" s="434"/>
      <c r="P539" s="406"/>
      <c r="Q539" s="389">
        <f>база!$L$6</f>
        <v>261.04640000000001</v>
      </c>
      <c r="R539" s="390">
        <v>1.2</v>
      </c>
      <c r="S539" s="400">
        <f>SUMIFS(Таблица1[Столбец1],Таблица1[коэф],"1,2",Таблица1[р/р],"5/16",Таблица1[Ф. И. О.],B539)</f>
        <v>0</v>
      </c>
      <c r="T539" s="492">
        <f t="shared" si="178"/>
        <v>0</v>
      </c>
      <c r="U539" s="478">
        <f>база!$M$6</f>
        <v>279.0496</v>
      </c>
      <c r="V539" s="390">
        <v>1.2</v>
      </c>
      <c r="W539" s="412">
        <f>SUMIFS(Таблица1[Столбец1],Таблица1[коэф],"1,2",Таблица1[р/р],"5/24",Таблица1[Ф. И. О.],B539)</f>
        <v>0</v>
      </c>
      <c r="X539" s="492">
        <f t="shared" si="179"/>
        <v>0</v>
      </c>
      <c r="Y539" s="764"/>
      <c r="Z539" s="766"/>
      <c r="AA539" s="756"/>
      <c r="AC539" s="712" t="str">
        <f>IF(SUMIFS(Таблица1[Столбец3],Таблица1[Ф. И. О.],B539)-Z534=0,"",SUMIFS(Таблица1[Столбец3],Таблица1[Ф. И. О.],B539)-Z534)</f>
        <v/>
      </c>
    </row>
    <row r="540" spans="1:29" ht="18.75">
      <c r="A540" s="756"/>
      <c r="B540" s="215"/>
      <c r="C540" s="759"/>
      <c r="D540" s="762"/>
      <c r="E540" s="389"/>
      <c r="F540" s="390"/>
      <c r="G540" s="400"/>
      <c r="H540" s="392">
        <f t="shared" si="176"/>
        <v>0</v>
      </c>
      <c r="I540" s="432"/>
      <c r="J540" s="433"/>
      <c r="K540" s="434"/>
      <c r="L540" s="484">
        <f t="shared" si="177"/>
        <v>0</v>
      </c>
      <c r="M540" s="434"/>
      <c r="N540" s="434"/>
      <c r="O540" s="434"/>
      <c r="P540" s="406"/>
      <c r="Q540" s="389">
        <f>IF($D$6&lt;=3,база!$L$4,
IF($D$6=4,база!$L$5,
IF($D$6=5,база!$L$6)))</f>
        <v>231.45480000000001</v>
      </c>
      <c r="R540" s="390">
        <v>1.3</v>
      </c>
      <c r="S540" s="400">
        <f>SUMIFS(Таблица1[Столбец1],Таблица1[коэф],"1,3",Таблица1[р/р],"3/16",Таблица1[Ф. И. О.],B539)</f>
        <v>0</v>
      </c>
      <c r="T540" s="492">
        <f t="shared" si="178"/>
        <v>0</v>
      </c>
      <c r="U540" s="478">
        <f>IF(D534&lt;=3,база!$M$4,
IF(D534=4,база!$M$5,
IF(D534=5,база!$M$6)))</f>
        <v>247.41720000000001</v>
      </c>
      <c r="V540" s="390">
        <v>1.3</v>
      </c>
      <c r="W540" s="412">
        <f>SUMIFS(Таблица1[Столбец1],Таблица1[коэф],"1,3",Таблица1[р/р],"3/24",Таблица1[Ф. И. О.],B539)</f>
        <v>0</v>
      </c>
      <c r="X540" s="492">
        <f t="shared" si="179"/>
        <v>0</v>
      </c>
      <c r="Y540" s="764"/>
      <c r="Z540" s="766"/>
      <c r="AA540" s="756"/>
      <c r="AC540" s="712" t="str">
        <f>IF(SUMIFS(Таблица1[Столбец1],Таблица1[Ф. И. О.],B539)=Y534,"",B539&amp;"  часы не верны")</f>
        <v/>
      </c>
    </row>
    <row r="541" spans="1:29" ht="18.75">
      <c r="A541" s="756"/>
      <c r="B541" s="215"/>
      <c r="C541" s="759"/>
      <c r="D541" s="762"/>
      <c r="E541" s="389"/>
      <c r="F541" s="390"/>
      <c r="G541" s="400"/>
      <c r="H541" s="392">
        <f t="shared" si="176"/>
        <v>0</v>
      </c>
      <c r="I541" s="432"/>
      <c r="J541" s="433"/>
      <c r="K541" s="434"/>
      <c r="L541" s="484">
        <f t="shared" si="177"/>
        <v>0</v>
      </c>
      <c r="M541" s="434"/>
      <c r="N541" s="434"/>
      <c r="O541" s="434"/>
      <c r="P541" s="406"/>
      <c r="Q541" s="389">
        <f>база!$L$5</f>
        <v>231.45480000000001</v>
      </c>
      <c r="R541" s="390">
        <v>1.3</v>
      </c>
      <c r="S541" s="400">
        <f>SUMIFS(Таблица1[Столбец1],Таблица1[коэф],"1,3",Таблица1[р/р],"4/16",Таблица1[Ф. И. О.],B539)</f>
        <v>0</v>
      </c>
      <c r="T541" s="492">
        <f t="shared" si="178"/>
        <v>0</v>
      </c>
      <c r="U541" s="478">
        <f>база!$M$5</f>
        <v>247.41720000000001</v>
      </c>
      <c r="V541" s="390">
        <v>1.3</v>
      </c>
      <c r="W541" s="412">
        <f>SUMIFS(Таблица1[Столбец1],Таблица1[коэф],"1,3",Таблица1[р/р],"4/24",Таблица1[Ф. И. О.],B539)</f>
        <v>0</v>
      </c>
      <c r="X541" s="492">
        <f t="shared" si="179"/>
        <v>0</v>
      </c>
      <c r="Y541" s="764"/>
      <c r="Z541" s="766"/>
      <c r="AA541" s="756"/>
    </row>
    <row r="542" spans="1:29" ht="18.75">
      <c r="A542" s="756"/>
      <c r="B542" s="215"/>
      <c r="C542" s="759"/>
      <c r="D542" s="762"/>
      <c r="E542" s="389"/>
      <c r="F542" s="390"/>
      <c r="G542" s="400"/>
      <c r="H542" s="392">
        <f t="shared" si="176"/>
        <v>0</v>
      </c>
      <c r="I542" s="432"/>
      <c r="J542" s="433"/>
      <c r="K542" s="434"/>
      <c r="L542" s="484">
        <f t="shared" si="177"/>
        <v>0</v>
      </c>
      <c r="M542" s="434"/>
      <c r="N542" s="434"/>
      <c r="O542" s="434"/>
      <c r="P542" s="406"/>
      <c r="Q542" s="389">
        <f>IF(D534&lt;=3,база!$L$4,
IF(D534=4,база!$L$5,
IF(D534=5,база!$L$6)))</f>
        <v>231.45480000000001</v>
      </c>
      <c r="R542" s="390">
        <v>1.4</v>
      </c>
      <c r="S542" s="400">
        <f>SUMIFS(Таблица1[Столбец1],Таблица1[коэф],"1,4",Таблица1[р/р],"3/16",Таблица1[Ф. И. О.],B539)</f>
        <v>0</v>
      </c>
      <c r="T542" s="492">
        <f t="shared" si="178"/>
        <v>0</v>
      </c>
      <c r="U542" s="478">
        <f>IF(D534&lt;=3,база!$M$4,
IF(D534=4,база!$M$5,
IF(D534=5,база!$M$6)))</f>
        <v>247.41720000000001</v>
      </c>
      <c r="V542" s="390">
        <v>1.4</v>
      </c>
      <c r="W542" s="412">
        <f>SUMIFS(Таблица1[Столбец1],Таблица1[коэф],"1,4",Таблица1[р/р],"3/24",Таблица1[Ф. И. О.],B539)</f>
        <v>0</v>
      </c>
      <c r="X542" s="492">
        <f t="shared" si="179"/>
        <v>0</v>
      </c>
      <c r="Y542" s="764"/>
      <c r="Z542" s="766"/>
      <c r="AA542" s="756"/>
    </row>
    <row r="543" spans="1:29" ht="18.75">
      <c r="A543" s="756"/>
      <c r="B543" s="215"/>
      <c r="C543" s="759"/>
      <c r="D543" s="762"/>
      <c r="E543" s="389"/>
      <c r="F543" s="390"/>
      <c r="G543" s="400"/>
      <c r="H543" s="392">
        <f t="shared" si="176"/>
        <v>0</v>
      </c>
      <c r="I543" s="432"/>
      <c r="J543" s="433"/>
      <c r="K543" s="434"/>
      <c r="L543" s="484">
        <f t="shared" si="177"/>
        <v>0</v>
      </c>
      <c r="M543" s="434"/>
      <c r="N543" s="434"/>
      <c r="O543" s="434"/>
      <c r="P543" s="406"/>
      <c r="Q543" s="389">
        <f>база!$L$5</f>
        <v>231.45480000000001</v>
      </c>
      <c r="R543" s="390">
        <v>1.4</v>
      </c>
      <c r="S543" s="400">
        <f>SUMIFS(Таблица1[Столбец1],Таблица1[коэф],"1,4",Таблица1[р/р],"4/16",Таблица1[Ф. И. О.],B539)</f>
        <v>0</v>
      </c>
      <c r="T543" s="492">
        <f t="shared" si="178"/>
        <v>0</v>
      </c>
      <c r="U543" s="478">
        <f>база!$M$5</f>
        <v>247.41720000000001</v>
      </c>
      <c r="V543" s="390">
        <v>1.4</v>
      </c>
      <c r="W543" s="412">
        <f>SUMIFS(Таблица1[Столбец1],Таблица1[коэф],"1,4",Таблица1[р/р],"4/24",Таблица1[Ф. И. О.],B539)</f>
        <v>0</v>
      </c>
      <c r="X543" s="492">
        <f t="shared" si="179"/>
        <v>0</v>
      </c>
      <c r="Y543" s="764"/>
      <c r="Z543" s="766"/>
      <c r="AA543" s="756"/>
    </row>
    <row r="544" spans="1:29" ht="19.5" thickBot="1">
      <c r="A544" s="757"/>
      <c r="B544" s="202"/>
      <c r="C544" s="760"/>
      <c r="D544" s="763"/>
      <c r="E544" s="473"/>
      <c r="F544" s="464"/>
      <c r="G544" s="465"/>
      <c r="H544" s="440">
        <f t="shared" si="176"/>
        <v>0</v>
      </c>
      <c r="I544" s="466"/>
      <c r="J544" s="456"/>
      <c r="K544" s="457"/>
      <c r="L544" s="484">
        <f t="shared" si="177"/>
        <v>0</v>
      </c>
      <c r="M544" s="457"/>
      <c r="N544" s="457"/>
      <c r="O544" s="457"/>
      <c r="P544" s="476"/>
      <c r="Q544" s="473">
        <f>база!$L$6</f>
        <v>261.04640000000001</v>
      </c>
      <c r="R544" s="464">
        <v>1.4</v>
      </c>
      <c r="S544" s="465">
        <f>SUMIFS(Таблица1[Столбец1],Таблица1[коэф],"1,4",Таблица1[р/р],"5/16",Таблица1[Ф. И. О.],B539)</f>
        <v>0</v>
      </c>
      <c r="T544" s="492">
        <f t="shared" si="178"/>
        <v>0</v>
      </c>
      <c r="U544" s="480">
        <f>база!$M$6</f>
        <v>279.0496</v>
      </c>
      <c r="V544" s="464">
        <v>1.4</v>
      </c>
      <c r="W544" s="470">
        <f>SUMIFS(Таблица1[Столбец1],Таблица1[коэф],"1,4",Таблица1[р/р],"5/24",Таблица1[Ф. И. О.],B539)</f>
        <v>0</v>
      </c>
      <c r="X544" s="492">
        <f t="shared" si="179"/>
        <v>0</v>
      </c>
      <c r="Y544" s="765"/>
      <c r="Z544" s="767"/>
      <c r="AA544" s="757"/>
    </row>
    <row r="545" spans="1:29" ht="18.75">
      <c r="A545" s="755">
        <v>50</v>
      </c>
      <c r="B545" s="235"/>
      <c r="C545" s="758">
        <f>INDEX(база!$E$2:$E$81, MATCH(B550,база!$B$2:$B$60,0))</f>
        <v>17312</v>
      </c>
      <c r="D545" s="761">
        <f>INDEX(база!$D$2:$D$89, MATCH(B550,база!$B$2:$B$60,0))</f>
        <v>3</v>
      </c>
      <c r="E545" s="377">
        <f>IF(D545&lt;=3,база!$I$4,
IF(D545=4,база!$I$5,
IF(D545=5,база!$I$6)))</f>
        <v>188.7912</v>
      </c>
      <c r="F545" s="378">
        <v>1</v>
      </c>
      <c r="G545" s="387">
        <f>SUMIFS(Таблица1[Столбец1],Таблица1[коэф],"1",Таблица1[р/р],"2/4",Таблица1[Ф. И. О.],B550)</f>
        <v>0</v>
      </c>
      <c r="H545" s="380">
        <f t="shared" ref="H545:H555" si="182">ROUND(E545*F545*G545*2,2)</f>
        <v>0</v>
      </c>
      <c r="I545" s="426">
        <f>IF(D545&lt;=3,база!$J$4,
IF(D545=4,база!$J$5,
IF(D545=5,база!$J$6)))</f>
        <v>196.05240000000001</v>
      </c>
      <c r="J545" s="427">
        <v>1</v>
      </c>
      <c r="K545" s="428">
        <f>SUMIFS(Таблица1[Столбец1],Таблица1[коэф],"1",Таблица1[р/р],"2/8",Таблица1[Ф. И. О.],B550)</f>
        <v>0</v>
      </c>
      <c r="L545" s="383">
        <f t="shared" ref="L545:L555" si="183">ROUND(I545*J545*K545*2,2)</f>
        <v>0</v>
      </c>
      <c r="M545" s="428"/>
      <c r="N545" s="428">
        <v>1</v>
      </c>
      <c r="O545" s="428">
        <f>SUMIFS(Data_Tech!$AM$3:$AM$67,Data_Tech!$E$3:$E$67,"1",Data_Tech!$G$3:$G$67,"3/12",Data_Tech!$F$3:$F$67,B550)</f>
        <v>0</v>
      </c>
      <c r="P545" s="385">
        <f>ROUND(M545*N545*O545,2)</f>
        <v>0</v>
      </c>
      <c r="Q545" s="377">
        <f>IF(D545&lt;=3,база!$L$4,
IF(D545=4,база!$L$5,
IF(D545=5,база!$L$6)))</f>
        <v>210.57480000000001</v>
      </c>
      <c r="R545" s="378">
        <v>1</v>
      </c>
      <c r="S545" s="387">
        <f>SUMIFS(Таблица1[Столбец1],Таблица1[коэф],"1",Таблица1[р/р],"3/16",Таблица1[Ф. И. О.],B550)</f>
        <v>0</v>
      </c>
      <c r="T545" s="490">
        <f t="shared" ref="T545:T555" si="184">ROUND(Q545*R545*S545*2,2)</f>
        <v>0</v>
      </c>
      <c r="U545" s="477">
        <f>IF(D545&lt;=3,база!$M$4,
IF(D545=4,база!$M$5,
IF(D545=5,база!$M$6)))</f>
        <v>225.09719999999999</v>
      </c>
      <c r="V545" s="378">
        <v>1</v>
      </c>
      <c r="W545" s="430">
        <f>SUMIFS(Таблица1[Столбец1],Таблица1[коэф],"1",Таблица1[р/р],"3/24",Таблица1[Ф. И. О.],B550)</f>
        <v>0</v>
      </c>
      <c r="X545" s="490">
        <f t="shared" ref="X545:X555" si="185">ROUND(U545*V545*W545*2,2)</f>
        <v>0</v>
      </c>
      <c r="Y545" s="764">
        <f t="shared" ref="Y545" si="186">SUM(G545:G555,K545:K555,O545:O555,S545:S555,W545:W555)</f>
        <v>0</v>
      </c>
      <c r="Z545" s="766">
        <f t="shared" ref="Z545" si="187">IFERROR(SUM(H545:H555,L545:L555,T545:T555,X545:X555),"")</f>
        <v>0</v>
      </c>
      <c r="AA545" s="756"/>
    </row>
    <row r="546" spans="1:29" ht="18.75">
      <c r="A546" s="756"/>
      <c r="B546" s="215"/>
      <c r="C546" s="759"/>
      <c r="D546" s="762"/>
      <c r="E546" s="389">
        <f>IF(D545&lt;=3,база!$I$4,
IF(D545=4,база!$I$5,
IF(D545=5,база!$I$6)))</f>
        <v>188.7912</v>
      </c>
      <c r="F546" s="390">
        <v>1</v>
      </c>
      <c r="G546" s="400">
        <f>SUMIFS(Таблица1[Столбец1],Таблица1[коэф],"1",Таблица1[р/р],"3/4",Таблица1[Ф. И. О.],B550)</f>
        <v>0</v>
      </c>
      <c r="H546" s="392">
        <f t="shared" si="182"/>
        <v>0</v>
      </c>
      <c r="I546" s="432">
        <f>IF(D545&lt;=3,база!$J$4,
IF(D545=4,база!$J$5,
IF(D545=5,база!$J$6)))</f>
        <v>196.05240000000001</v>
      </c>
      <c r="J546" s="433">
        <v>1</v>
      </c>
      <c r="K546" s="434">
        <f>SUMIFS(Таблица1[Столбец1],Таблица1[коэф],"1",Таблица1[р/р],"3/8",Таблица1[Ф. И. О.],B550)</f>
        <v>0</v>
      </c>
      <c r="L546" s="484">
        <f t="shared" si="183"/>
        <v>0</v>
      </c>
      <c r="M546" s="434"/>
      <c r="N546" s="434">
        <v>1</v>
      </c>
      <c r="O546" s="434">
        <f>SUMIFS(Data_Tech!$AM$3:$AM$67,Data_Tech!$E$3:$E$67,"1",Data_Tech!$G$3:$G$67,"4/12",Data_Tech!$F$3:$F$67,B550)</f>
        <v>0</v>
      </c>
      <c r="P546" s="406">
        <f>ROUND(M546*O546,2)</f>
        <v>0</v>
      </c>
      <c r="Q546" s="389">
        <f>база!$L$5</f>
        <v>231.45480000000001</v>
      </c>
      <c r="R546" s="390">
        <v>1</v>
      </c>
      <c r="S546" s="400">
        <f>SUMIFS(Таблица1[Столбец1],Таблица1[коэф],"1",Таблица1[р/р],"4/16",Таблица1[Ф. И. О.],B550)</f>
        <v>0</v>
      </c>
      <c r="T546" s="492">
        <f t="shared" si="184"/>
        <v>0</v>
      </c>
      <c r="U546" s="478">
        <f>база!$M$5</f>
        <v>247.41720000000001</v>
      </c>
      <c r="V546" s="390">
        <v>1</v>
      </c>
      <c r="W546" s="412">
        <f>SUMIFS(Таблица1[Столбец1],Таблица1[коэф],"1",Таблица1[р/р],"4/24",Таблица1[Ф. И. О.],B550)</f>
        <v>0</v>
      </c>
      <c r="X546" s="492">
        <f t="shared" si="185"/>
        <v>0</v>
      </c>
      <c r="Y546" s="764"/>
      <c r="Z546" s="766"/>
      <c r="AA546" s="756"/>
    </row>
    <row r="547" spans="1:29" ht="18.75">
      <c r="A547" s="756"/>
      <c r="B547" s="215"/>
      <c r="C547" s="759"/>
      <c r="D547" s="762"/>
      <c r="E547" s="389"/>
      <c r="F547" s="390"/>
      <c r="G547" s="400"/>
      <c r="H547" s="392">
        <f t="shared" si="182"/>
        <v>0</v>
      </c>
      <c r="I547" s="432"/>
      <c r="J547" s="433"/>
      <c r="K547" s="434"/>
      <c r="L547" s="484">
        <f t="shared" si="183"/>
        <v>0</v>
      </c>
      <c r="M547" s="434"/>
      <c r="N547" s="434"/>
      <c r="O547" s="434"/>
      <c r="P547" s="406"/>
      <c r="Q547" s="389">
        <f>база!$L$6</f>
        <v>261.04640000000001</v>
      </c>
      <c r="R547" s="390">
        <v>1</v>
      </c>
      <c r="S547" s="400">
        <f>SUMIFS(Таблица1[Столбец1],Таблица1[коэф],"1",Таблица1[р/р],"5/16",Таблица1[Ф. И. О.],B550)</f>
        <v>0</v>
      </c>
      <c r="T547" s="492">
        <f t="shared" si="184"/>
        <v>0</v>
      </c>
      <c r="U547" s="478">
        <f>база!$M$6</f>
        <v>279.0496</v>
      </c>
      <c r="V547" s="390">
        <v>1</v>
      </c>
      <c r="W547" s="412">
        <f>SUMIFS(Таблица1[Столбец1],Таблица1[коэф],"1",Таблица1[р/р],"5/24",Таблица1[Ф. И. О.],B550)</f>
        <v>0</v>
      </c>
      <c r="X547" s="492">
        <f t="shared" si="185"/>
        <v>0</v>
      </c>
      <c r="Y547" s="764"/>
      <c r="Z547" s="766"/>
      <c r="AA547" s="756"/>
    </row>
    <row r="548" spans="1:29" ht="18.75">
      <c r="A548" s="756"/>
      <c r="B548" s="215"/>
      <c r="C548" s="759"/>
      <c r="D548" s="762"/>
      <c r="E548" s="389"/>
      <c r="F548" s="390"/>
      <c r="G548" s="400"/>
      <c r="H548" s="392">
        <f t="shared" si="182"/>
        <v>0</v>
      </c>
      <c r="I548" s="432">
        <f>база!$J$5</f>
        <v>215.4924</v>
      </c>
      <c r="J548" s="433">
        <v>1.5</v>
      </c>
      <c r="K548" s="434">
        <f>SUMIFS(Таблица1[Столбец1],Таблица1[коэф],"1,5",Таблица1[р/р],"4/8",Таблица1[Ф. И. О.],B550)</f>
        <v>0</v>
      </c>
      <c r="L548" s="484">
        <f t="shared" si="183"/>
        <v>0</v>
      </c>
      <c r="M548" s="434"/>
      <c r="N548" s="434"/>
      <c r="O548" s="434"/>
      <c r="P548" s="406"/>
      <c r="Q548" s="389">
        <f>IF(D545&lt;=3,база!$L$4,
IF(D545=4,база!$L$5,
IF(D545=5,база!$L$6)))</f>
        <v>210.57480000000001</v>
      </c>
      <c r="R548" s="390">
        <v>1.2</v>
      </c>
      <c r="S548" s="400">
        <f>SUMIFS(Таблица1[Столбец1],Таблица1[коэф],"1,2",Таблица1[р/р],"3/16",Таблица1[Ф. И. О.],B550)</f>
        <v>0</v>
      </c>
      <c r="T548" s="492">
        <f t="shared" si="184"/>
        <v>0</v>
      </c>
      <c r="U548" s="478">
        <f>IF(D545&lt;=3,база!$M$4,
IF(D545=4,база!$M$5,
IF(D545=5,база!$M$6)))</f>
        <v>225.09719999999999</v>
      </c>
      <c r="V548" s="390">
        <v>1.2</v>
      </c>
      <c r="W548" s="412">
        <f>SUMIFS(Таблица1[Столбец1],Таблица1[коэф],"1,2",Таблица1[р/р],"3/24",Таблица1[Ф. И. О.],B550)</f>
        <v>0</v>
      </c>
      <c r="X548" s="492">
        <f t="shared" si="185"/>
        <v>0</v>
      </c>
      <c r="Y548" s="764"/>
      <c r="Z548" s="766"/>
      <c r="AA548" s="756"/>
    </row>
    <row r="549" spans="1:29" ht="18.75">
      <c r="A549" s="756"/>
      <c r="B549" s="215"/>
      <c r="C549" s="759"/>
      <c r="D549" s="762"/>
      <c r="E549" s="389"/>
      <c r="F549" s="390"/>
      <c r="G549" s="400"/>
      <c r="H549" s="392">
        <f t="shared" si="182"/>
        <v>0</v>
      </c>
      <c r="I549" s="432">
        <f>база!$J$6</f>
        <v>243.04319999999998</v>
      </c>
      <c r="J549" s="433">
        <v>1.5</v>
      </c>
      <c r="K549" s="434">
        <f>SUMIFS(Таблица1[Столбец1],Таблица1[коэф],"1,5",Таблица1[р/р],"5/8",Таблица1[Ф. И. О.],B550)</f>
        <v>0</v>
      </c>
      <c r="L549" s="484">
        <f t="shared" si="183"/>
        <v>0</v>
      </c>
      <c r="M549" s="434"/>
      <c r="N549" s="434"/>
      <c r="O549" s="434"/>
      <c r="P549" s="406"/>
      <c r="Q549" s="389">
        <f>база!$L$5</f>
        <v>231.45480000000001</v>
      </c>
      <c r="R549" s="390">
        <v>1.2</v>
      </c>
      <c r="S549" s="400">
        <f>SUMIFS(Таблица1[Столбец1],Таблица1[коэф],"1,2",Таблица1[р/р],"4/16",Таблица1[Ф. И. О.],B550)</f>
        <v>0</v>
      </c>
      <c r="T549" s="492">
        <f t="shared" si="184"/>
        <v>0</v>
      </c>
      <c r="U549" s="478">
        <f>база!$M$5</f>
        <v>247.41720000000001</v>
      </c>
      <c r="V549" s="390">
        <v>1.2</v>
      </c>
      <c r="W549" s="412">
        <f>SUMIFS(Таблица1[Столбец1],Таблица1[коэф],"1,2",Таблица1[р/р],"4/24",Таблица1[Ф. И. О.],B550)</f>
        <v>0</v>
      </c>
      <c r="X549" s="492">
        <f t="shared" si="185"/>
        <v>0</v>
      </c>
      <c r="Y549" s="764"/>
      <c r="Z549" s="766"/>
      <c r="AA549" s="756"/>
    </row>
    <row r="550" spans="1:29" ht="18.75">
      <c r="A550" s="756"/>
      <c r="B550" s="215" t="str">
        <f>база!B51</f>
        <v>Михалочкина Наталья Ивановна</v>
      </c>
      <c r="C550" s="759"/>
      <c r="D550" s="762"/>
      <c r="E550" s="389"/>
      <c r="F550" s="390"/>
      <c r="G550" s="400"/>
      <c r="H550" s="392">
        <f t="shared" si="182"/>
        <v>0</v>
      </c>
      <c r="I550" s="432"/>
      <c r="J550" s="433"/>
      <c r="K550" s="434"/>
      <c r="L550" s="484">
        <f t="shared" si="183"/>
        <v>0</v>
      </c>
      <c r="M550" s="434"/>
      <c r="N550" s="434"/>
      <c r="O550" s="434"/>
      <c r="P550" s="406"/>
      <c r="Q550" s="389">
        <f>база!$L$6</f>
        <v>261.04640000000001</v>
      </c>
      <c r="R550" s="390">
        <v>1.2</v>
      </c>
      <c r="S550" s="400">
        <f>SUMIFS(Таблица1[Столбец1],Таблица1[коэф],"1,2",Таблица1[р/р],"5/16",Таблица1[Ф. И. О.],B550)</f>
        <v>0</v>
      </c>
      <c r="T550" s="492">
        <f t="shared" si="184"/>
        <v>0</v>
      </c>
      <c r="U550" s="478">
        <f>база!$M$6</f>
        <v>279.0496</v>
      </c>
      <c r="V550" s="390">
        <v>1.2</v>
      </c>
      <c r="W550" s="412">
        <f>SUMIFS(Таблица1[Столбец1],Таблица1[коэф],"1,2",Таблица1[р/р],"5/24",Таблица1[Ф. И. О.],B550)</f>
        <v>0</v>
      </c>
      <c r="X550" s="492">
        <f t="shared" si="185"/>
        <v>0</v>
      </c>
      <c r="Y550" s="764"/>
      <c r="Z550" s="766"/>
      <c r="AA550" s="756"/>
      <c r="AC550" s="712" t="str">
        <f>IF(SUMIFS(Таблица1[Столбец3],Таблица1[Ф. И. О.],B550)-Z545=0,"",SUMIFS(Таблица1[Столбец3],Таблица1[Ф. И. О.],B550)-Z545)</f>
        <v/>
      </c>
    </row>
    <row r="551" spans="1:29" ht="18.75">
      <c r="A551" s="756"/>
      <c r="B551" s="215"/>
      <c r="C551" s="759"/>
      <c r="D551" s="762"/>
      <c r="E551" s="389"/>
      <c r="F551" s="390"/>
      <c r="G551" s="400"/>
      <c r="H551" s="392">
        <f t="shared" si="182"/>
        <v>0</v>
      </c>
      <c r="I551" s="432"/>
      <c r="J551" s="433"/>
      <c r="K551" s="434"/>
      <c r="L551" s="484">
        <f t="shared" si="183"/>
        <v>0</v>
      </c>
      <c r="M551" s="434"/>
      <c r="N551" s="434"/>
      <c r="O551" s="434"/>
      <c r="P551" s="406"/>
      <c r="Q551" s="389">
        <f>IF($D$6&lt;=3,база!$L$4,
IF($D$6=4,база!$L$5,
IF($D$6=5,база!$L$6)))</f>
        <v>231.45480000000001</v>
      </c>
      <c r="R551" s="390">
        <v>1.3</v>
      </c>
      <c r="S551" s="400">
        <f>SUMIFS(Таблица1[Столбец1],Таблица1[коэф],"1,3",Таблица1[р/р],"3/16",Таблица1[Ф. И. О.],B550)</f>
        <v>0</v>
      </c>
      <c r="T551" s="492">
        <f t="shared" si="184"/>
        <v>0</v>
      </c>
      <c r="U551" s="478">
        <f>IF(D545&lt;=3,база!$M$4,
IF(D545=4,база!$M$5,
IF(D545=5,база!$M$6)))</f>
        <v>225.09719999999999</v>
      </c>
      <c r="V551" s="390">
        <v>1.3</v>
      </c>
      <c r="W551" s="412">
        <f>SUMIFS(Таблица1[Столбец1],Таблица1[коэф],"1,3",Таблица1[р/р],"3/24",Таблица1[Ф. И. О.],B550)</f>
        <v>0</v>
      </c>
      <c r="X551" s="492">
        <f t="shared" si="185"/>
        <v>0</v>
      </c>
      <c r="Y551" s="764"/>
      <c r="Z551" s="766"/>
      <c r="AA551" s="756"/>
      <c r="AC551" s="712" t="str">
        <f>IF(SUMIFS(Таблица1[Столбец1],Таблица1[Ф. И. О.],B550)=Y545,"",B550&amp;"  часы не верны")</f>
        <v/>
      </c>
    </row>
    <row r="552" spans="1:29" ht="18.75">
      <c r="A552" s="756"/>
      <c r="B552" s="215"/>
      <c r="C552" s="759"/>
      <c r="D552" s="762"/>
      <c r="E552" s="389"/>
      <c r="F552" s="390"/>
      <c r="G552" s="400"/>
      <c r="H552" s="392">
        <f t="shared" si="182"/>
        <v>0</v>
      </c>
      <c r="I552" s="432"/>
      <c r="J552" s="433"/>
      <c r="K552" s="434"/>
      <c r="L552" s="484">
        <f t="shared" si="183"/>
        <v>0</v>
      </c>
      <c r="M552" s="434"/>
      <c r="N552" s="434"/>
      <c r="O552" s="434"/>
      <c r="P552" s="406"/>
      <c r="Q552" s="389">
        <f>база!$L$5</f>
        <v>231.45480000000001</v>
      </c>
      <c r="R552" s="390">
        <v>1.3</v>
      </c>
      <c r="S552" s="400">
        <f>SUMIFS(Таблица1[Столбец1],Таблица1[коэф],"1,3",Таблица1[р/р],"4/16",Таблица1[Ф. И. О.],B550)</f>
        <v>0</v>
      </c>
      <c r="T552" s="492">
        <f t="shared" si="184"/>
        <v>0</v>
      </c>
      <c r="U552" s="478">
        <f>база!$M$5</f>
        <v>247.41720000000001</v>
      </c>
      <c r="V552" s="390">
        <v>1.3</v>
      </c>
      <c r="W552" s="412">
        <f>SUMIFS(Таблица1[Столбец1],Таблица1[коэф],"1,3",Таблица1[р/р],"4/24",Таблица1[Ф. И. О.],B550)</f>
        <v>0</v>
      </c>
      <c r="X552" s="492">
        <f t="shared" si="185"/>
        <v>0</v>
      </c>
      <c r="Y552" s="764"/>
      <c r="Z552" s="766"/>
      <c r="AA552" s="756"/>
    </row>
    <row r="553" spans="1:29" ht="18.75">
      <c r="A553" s="756"/>
      <c r="B553" s="215"/>
      <c r="C553" s="759"/>
      <c r="D553" s="762"/>
      <c r="E553" s="389"/>
      <c r="F553" s="390"/>
      <c r="G553" s="400"/>
      <c r="H553" s="392">
        <f t="shared" si="182"/>
        <v>0</v>
      </c>
      <c r="I553" s="432"/>
      <c r="J553" s="433"/>
      <c r="K553" s="434"/>
      <c r="L553" s="484">
        <f t="shared" si="183"/>
        <v>0</v>
      </c>
      <c r="M553" s="434"/>
      <c r="N553" s="434"/>
      <c r="O553" s="434"/>
      <c r="P553" s="406"/>
      <c r="Q553" s="389">
        <f>IF(D545&lt;=3,база!$L$4,
IF(D545=4,база!$L$5,
IF(D545=5,база!$L$6)))</f>
        <v>210.57480000000001</v>
      </c>
      <c r="R553" s="390">
        <v>1.4</v>
      </c>
      <c r="S553" s="400">
        <f>SUMIFS(Таблица1[Столбец1],Таблица1[коэф],"1,4",Таблица1[р/р],"3/16",Таблица1[Ф. И. О.],B550)</f>
        <v>0</v>
      </c>
      <c r="T553" s="492">
        <f t="shared" si="184"/>
        <v>0</v>
      </c>
      <c r="U553" s="478">
        <f>IF(D545&lt;=3,база!$M$4,
IF(D545=4,база!$M$5,
IF(D545=5,база!$M$6)))</f>
        <v>225.09719999999999</v>
      </c>
      <c r="V553" s="390">
        <v>1.4</v>
      </c>
      <c r="W553" s="412">
        <f>SUMIFS(Таблица1[Столбец1],Таблица1[коэф],"1,4",Таблица1[р/р],"3/24",Таблица1[Ф. И. О.],B550)</f>
        <v>0</v>
      </c>
      <c r="X553" s="492">
        <f t="shared" si="185"/>
        <v>0</v>
      </c>
      <c r="Y553" s="764"/>
      <c r="Z553" s="766"/>
      <c r="AA553" s="756"/>
    </row>
    <row r="554" spans="1:29" ht="18.75">
      <c r="A554" s="756"/>
      <c r="B554" s="215"/>
      <c r="C554" s="759"/>
      <c r="D554" s="762"/>
      <c r="E554" s="389"/>
      <c r="F554" s="390"/>
      <c r="G554" s="400"/>
      <c r="H554" s="392">
        <f t="shared" si="182"/>
        <v>0</v>
      </c>
      <c r="I554" s="432"/>
      <c r="J554" s="433"/>
      <c r="K554" s="434"/>
      <c r="L554" s="484">
        <f t="shared" si="183"/>
        <v>0</v>
      </c>
      <c r="M554" s="434"/>
      <c r="N554" s="434"/>
      <c r="O554" s="434"/>
      <c r="P554" s="406"/>
      <c r="Q554" s="389">
        <f>база!$L$5</f>
        <v>231.45480000000001</v>
      </c>
      <c r="R554" s="390">
        <v>1.4</v>
      </c>
      <c r="S554" s="400">
        <f>SUMIFS(Таблица1[Столбец1],Таблица1[коэф],"1,4",Таблица1[р/р],"4/16",Таблица1[Ф. И. О.],B550)</f>
        <v>0</v>
      </c>
      <c r="T554" s="492">
        <f t="shared" si="184"/>
        <v>0</v>
      </c>
      <c r="U554" s="478">
        <f>база!$M$5</f>
        <v>247.41720000000001</v>
      </c>
      <c r="V554" s="390">
        <v>1.4</v>
      </c>
      <c r="W554" s="412">
        <f>SUMIFS(Таблица1[Столбец1],Таблица1[коэф],"1,4",Таблица1[р/р],"4/24",Таблица1[Ф. И. О.],B550)</f>
        <v>0</v>
      </c>
      <c r="X554" s="492">
        <f t="shared" si="185"/>
        <v>0</v>
      </c>
      <c r="Y554" s="764"/>
      <c r="Z554" s="766"/>
      <c r="AA554" s="756"/>
    </row>
    <row r="555" spans="1:29" ht="19.5" thickBot="1">
      <c r="A555" s="757"/>
      <c r="B555" s="202"/>
      <c r="C555" s="760"/>
      <c r="D555" s="763"/>
      <c r="E555" s="473"/>
      <c r="F555" s="464"/>
      <c r="G555" s="465"/>
      <c r="H555" s="440">
        <f t="shared" si="182"/>
        <v>0</v>
      </c>
      <c r="I555" s="466"/>
      <c r="J555" s="456"/>
      <c r="K555" s="457"/>
      <c r="L555" s="484">
        <f t="shared" si="183"/>
        <v>0</v>
      </c>
      <c r="M555" s="457"/>
      <c r="N555" s="457"/>
      <c r="O555" s="457"/>
      <c r="P555" s="476"/>
      <c r="Q555" s="473">
        <f>база!$L$6</f>
        <v>261.04640000000001</v>
      </c>
      <c r="R555" s="464">
        <v>1.4</v>
      </c>
      <c r="S555" s="465">
        <f>SUMIFS(Таблица1[Столбец1],Таблица1[коэф],"1,4",Таблица1[р/р],"5/16",Таблица1[Ф. И. О.],B550)</f>
        <v>0</v>
      </c>
      <c r="T555" s="492">
        <f t="shared" si="184"/>
        <v>0</v>
      </c>
      <c r="U555" s="480">
        <f>база!$M$6</f>
        <v>279.0496</v>
      </c>
      <c r="V555" s="464">
        <v>1.4</v>
      </c>
      <c r="W555" s="470">
        <f>SUMIFS(Таблица1[Столбец1],Таблица1[коэф],"1,4",Таблица1[р/р],"5/24",Таблица1[Ф. И. О.],B550)</f>
        <v>0</v>
      </c>
      <c r="X555" s="492">
        <f t="shared" si="185"/>
        <v>0</v>
      </c>
      <c r="Y555" s="765"/>
      <c r="Z555" s="767"/>
      <c r="AA555" s="757"/>
    </row>
    <row r="556" spans="1:29" ht="18.75">
      <c r="A556" s="755">
        <v>51</v>
      </c>
      <c r="B556" s="235"/>
      <c r="C556" s="758">
        <f>INDEX(база!$E$2:$E$81, MATCH(B561,база!$B$2:$B$60,0))</f>
        <v>15239</v>
      </c>
      <c r="D556" s="761">
        <f>INDEX(база!$D$2:$D$89, MATCH(B561,база!$B$2:$B$60,0))</f>
        <v>3</v>
      </c>
      <c r="E556" s="377">
        <f>IF(D556&lt;=3,база!$I$4,
IF(D556=4,база!$I$5,
IF(D556=5,база!$I$6)))</f>
        <v>188.7912</v>
      </c>
      <c r="F556" s="378">
        <v>1</v>
      </c>
      <c r="G556" s="387">
        <f>SUMIFS(Таблица1[Столбец1],Таблица1[коэф],"1",Таблица1[р/р],"2/4",Таблица1[Ф. И. О.],B561)</f>
        <v>0</v>
      </c>
      <c r="H556" s="380">
        <f t="shared" ref="H556:H566" si="188">ROUND(E556*F556*G556*2,2)</f>
        <v>0</v>
      </c>
      <c r="I556" s="426">
        <f>IF(D556&lt;=3,база!$J$4,
IF(D556=4,база!$J$5,
IF(D556=5,база!$J$6)))</f>
        <v>196.05240000000001</v>
      </c>
      <c r="J556" s="427">
        <v>1</v>
      </c>
      <c r="K556" s="428">
        <f>SUMIFS(Таблица1[Столбец1],Таблица1[коэф],"1",Таблица1[р/р],"2/8",Таблица1[Ф. И. О.],B561)</f>
        <v>0</v>
      </c>
      <c r="L556" s="383">
        <f t="shared" ref="L556:L566" si="189">ROUND(I556*J556*K556*2,2)</f>
        <v>0</v>
      </c>
      <c r="M556" s="428"/>
      <c r="N556" s="428">
        <v>1</v>
      </c>
      <c r="O556" s="428">
        <f>SUMIFS(Data_Tech!$AM$3:$AM$67,Data_Tech!$E$3:$E$67,"1",Data_Tech!$G$3:$G$67,"3/12",Data_Tech!$F$3:$F$67,B561)</f>
        <v>0</v>
      </c>
      <c r="P556" s="385">
        <f>ROUND(M556*N556*O556,2)</f>
        <v>0</v>
      </c>
      <c r="Q556" s="377">
        <f>IF(D556&lt;=3,база!$L$4,
IF(D556=4,база!$L$5,
IF(D556=5,база!$L$6)))</f>
        <v>210.57480000000001</v>
      </c>
      <c r="R556" s="378">
        <v>1</v>
      </c>
      <c r="S556" s="387">
        <f>SUMIFS(Таблица1[Столбец1],Таблица1[коэф],"1",Таблица1[р/р],"3/16",Таблица1[Ф. И. О.],B561)</f>
        <v>0</v>
      </c>
      <c r="T556" s="490">
        <f t="shared" ref="T556:T566" si="190">ROUND(Q556*R556*S556*2,2)</f>
        <v>0</v>
      </c>
      <c r="U556" s="477">
        <f>IF(D556&lt;=3,база!$M$4,
IF(D556=4,база!$M$5,
IF(D556=5,база!$M$6)))</f>
        <v>225.09719999999999</v>
      </c>
      <c r="V556" s="378">
        <v>1</v>
      </c>
      <c r="W556" s="430">
        <f>SUMIFS(Таблица1[Столбец1],Таблица1[коэф],"1",Таблица1[р/р],"3/24",Таблица1[Ф. И. О.],B561)</f>
        <v>0</v>
      </c>
      <c r="X556" s="490">
        <f t="shared" ref="X556:X566" si="191">ROUND(U556*V556*W556*2,2)</f>
        <v>0</v>
      </c>
      <c r="Y556" s="764">
        <f t="shared" ref="Y556" si="192">SUM(G556:G566,K556:K566,O556:O566,S556:S566,W556:W566)</f>
        <v>0</v>
      </c>
      <c r="Z556" s="766">
        <f t="shared" ref="Z556" si="193">IFERROR(SUM(H556:H566,L556:L566,T556:T566,X556:X566),"")</f>
        <v>0</v>
      </c>
      <c r="AA556" s="756"/>
    </row>
    <row r="557" spans="1:29" ht="18.75">
      <c r="A557" s="756"/>
      <c r="B557" s="215"/>
      <c r="C557" s="759"/>
      <c r="D557" s="762"/>
      <c r="E557" s="389">
        <f>IF(D556&lt;=3,база!$I$4,
IF(D556=4,база!$I$5,
IF(D556=5,база!$I$6)))</f>
        <v>188.7912</v>
      </c>
      <c r="F557" s="390">
        <v>1</v>
      </c>
      <c r="G557" s="400">
        <f>SUMIFS(Таблица1[Столбец1],Таблица1[коэф],"1",Таблица1[р/р],"3/4",Таблица1[Ф. И. О.],B561)</f>
        <v>0</v>
      </c>
      <c r="H557" s="392">
        <f t="shared" si="188"/>
        <v>0</v>
      </c>
      <c r="I557" s="432">
        <f>IF(D556&lt;=3,база!$J$4,
IF(D556=4,база!$J$5,
IF(D556=5,база!$J$6)))</f>
        <v>196.05240000000001</v>
      </c>
      <c r="J557" s="433">
        <v>1</v>
      </c>
      <c r="K557" s="434">
        <f>SUMIFS(Таблица1[Столбец1],Таблица1[коэф],"1",Таблица1[р/р],"3/8",Таблица1[Ф. И. О.],B561)</f>
        <v>0</v>
      </c>
      <c r="L557" s="484">
        <f t="shared" si="189"/>
        <v>0</v>
      </c>
      <c r="M557" s="434"/>
      <c r="N557" s="434">
        <v>1</v>
      </c>
      <c r="O557" s="434">
        <f>SUMIFS(Data_Tech!$AM$3:$AM$67,Data_Tech!$E$3:$E$67,"1",Data_Tech!$G$3:$G$67,"4/12",Data_Tech!$F$3:$F$67,B561)</f>
        <v>0</v>
      </c>
      <c r="P557" s="406">
        <f>ROUND(M557*O557,2)</f>
        <v>0</v>
      </c>
      <c r="Q557" s="389">
        <f>база!$L$5</f>
        <v>231.45480000000001</v>
      </c>
      <c r="R557" s="390">
        <v>1</v>
      </c>
      <c r="S557" s="400">
        <f>SUMIFS(Таблица1[Столбец1],Таблица1[коэф],"1",Таблица1[р/р],"4/16",Таблица1[Ф. И. О.],B561)</f>
        <v>0</v>
      </c>
      <c r="T557" s="492">
        <f t="shared" si="190"/>
        <v>0</v>
      </c>
      <c r="U557" s="478">
        <f>база!$M$5</f>
        <v>247.41720000000001</v>
      </c>
      <c r="V557" s="390">
        <v>1</v>
      </c>
      <c r="W557" s="412">
        <f>SUMIFS(Таблица1[Столбец1],Таблица1[коэф],"1",Таблица1[р/р],"4/24",Таблица1[Ф. И. О.],B561)</f>
        <v>0</v>
      </c>
      <c r="X557" s="492">
        <f t="shared" si="191"/>
        <v>0</v>
      </c>
      <c r="Y557" s="764"/>
      <c r="Z557" s="766"/>
      <c r="AA557" s="756"/>
    </row>
    <row r="558" spans="1:29" ht="18.75">
      <c r="A558" s="756"/>
      <c r="B558" s="215"/>
      <c r="C558" s="759"/>
      <c r="D558" s="762"/>
      <c r="E558" s="389"/>
      <c r="F558" s="390"/>
      <c r="G558" s="400"/>
      <c r="H558" s="392">
        <f t="shared" si="188"/>
        <v>0</v>
      </c>
      <c r="I558" s="432"/>
      <c r="J558" s="433"/>
      <c r="K558" s="434"/>
      <c r="L558" s="484">
        <f t="shared" si="189"/>
        <v>0</v>
      </c>
      <c r="M558" s="434"/>
      <c r="N558" s="434"/>
      <c r="O558" s="434"/>
      <c r="P558" s="406"/>
      <c r="Q558" s="389">
        <f>база!$L$6</f>
        <v>261.04640000000001</v>
      </c>
      <c r="R558" s="390">
        <v>1</v>
      </c>
      <c r="S558" s="400">
        <f>SUMIFS(Таблица1[Столбец1],Таблица1[коэф],"1",Таблица1[р/р],"5/16",Таблица1[Ф. И. О.],B561)</f>
        <v>0</v>
      </c>
      <c r="T558" s="492">
        <f t="shared" si="190"/>
        <v>0</v>
      </c>
      <c r="U558" s="478">
        <f>база!$M$6</f>
        <v>279.0496</v>
      </c>
      <c r="V558" s="390">
        <v>1</v>
      </c>
      <c r="W558" s="412">
        <f>SUMIFS(Таблица1[Столбец1],Таблица1[коэф],"1",Таблица1[р/р],"5/24",Таблица1[Ф. И. О.],B561)</f>
        <v>0</v>
      </c>
      <c r="X558" s="492">
        <f t="shared" si="191"/>
        <v>0</v>
      </c>
      <c r="Y558" s="764"/>
      <c r="Z558" s="766"/>
      <c r="AA558" s="756"/>
    </row>
    <row r="559" spans="1:29" ht="18.75">
      <c r="A559" s="756"/>
      <c r="B559" s="215"/>
      <c r="C559" s="759"/>
      <c r="D559" s="762"/>
      <c r="E559" s="389"/>
      <c r="F559" s="390"/>
      <c r="G559" s="400"/>
      <c r="H559" s="392">
        <f t="shared" si="188"/>
        <v>0</v>
      </c>
      <c r="I559" s="432">
        <f>база!$J$5</f>
        <v>215.4924</v>
      </c>
      <c r="J559" s="433">
        <v>1.5</v>
      </c>
      <c r="K559" s="434">
        <f>SUMIFS(Таблица1[Столбец1],Таблица1[коэф],"1,5",Таблица1[р/р],"4/8",Таблица1[Ф. И. О.],B561)</f>
        <v>0</v>
      </c>
      <c r="L559" s="484">
        <f t="shared" si="189"/>
        <v>0</v>
      </c>
      <c r="M559" s="434"/>
      <c r="N559" s="434"/>
      <c r="O559" s="434"/>
      <c r="P559" s="406"/>
      <c r="Q559" s="389">
        <f>IF(D556&lt;=3,база!$L$4,
IF(D556=4,база!$L$5,
IF(D556=5,база!$L$6)))</f>
        <v>210.57480000000001</v>
      </c>
      <c r="R559" s="390">
        <v>1.2</v>
      </c>
      <c r="S559" s="400">
        <f>SUMIFS(Таблица1[Столбец1],Таблица1[коэф],"1,2",Таблица1[р/р],"3/16",Таблица1[Ф. И. О.],B561)</f>
        <v>0</v>
      </c>
      <c r="T559" s="492">
        <f t="shared" si="190"/>
        <v>0</v>
      </c>
      <c r="U559" s="478">
        <f>IF(D556&lt;=3,база!$M$4,
IF(D556=4,база!$M$5,
IF(D556=5,база!$M$6)))</f>
        <v>225.09719999999999</v>
      </c>
      <c r="V559" s="390">
        <v>1.2</v>
      </c>
      <c r="W559" s="412">
        <f>SUMIFS(Таблица1[Столбец1],Таблица1[коэф],"1,2",Таблица1[р/р],"3/24",Таблица1[Ф. И. О.],B561)</f>
        <v>0</v>
      </c>
      <c r="X559" s="492">
        <f t="shared" si="191"/>
        <v>0</v>
      </c>
      <c r="Y559" s="764"/>
      <c r="Z559" s="766"/>
      <c r="AA559" s="756"/>
    </row>
    <row r="560" spans="1:29" ht="18.75">
      <c r="A560" s="756"/>
      <c r="B560" s="215"/>
      <c r="C560" s="759"/>
      <c r="D560" s="762"/>
      <c r="E560" s="389"/>
      <c r="F560" s="390"/>
      <c r="G560" s="400"/>
      <c r="H560" s="392">
        <f t="shared" si="188"/>
        <v>0</v>
      </c>
      <c r="I560" s="432">
        <f>база!$J$6</f>
        <v>243.04319999999998</v>
      </c>
      <c r="J560" s="433">
        <v>1.5</v>
      </c>
      <c r="K560" s="434">
        <f>SUMIFS(Таблица1[Столбец1],Таблица1[коэф],"1,5",Таблица1[р/р],"5/8",Таблица1[Ф. И. О.],B561)</f>
        <v>0</v>
      </c>
      <c r="L560" s="484">
        <f t="shared" si="189"/>
        <v>0</v>
      </c>
      <c r="M560" s="434"/>
      <c r="N560" s="434"/>
      <c r="O560" s="434"/>
      <c r="P560" s="406"/>
      <c r="Q560" s="389">
        <f>база!$L$5</f>
        <v>231.45480000000001</v>
      </c>
      <c r="R560" s="390">
        <v>1.2</v>
      </c>
      <c r="S560" s="400">
        <f>SUMIFS(Таблица1[Столбец1],Таблица1[коэф],"1,2",Таблица1[р/р],"4/16",Таблица1[Ф. И. О.],B561)</f>
        <v>0</v>
      </c>
      <c r="T560" s="492">
        <f t="shared" si="190"/>
        <v>0</v>
      </c>
      <c r="U560" s="478">
        <f>база!$M$5</f>
        <v>247.41720000000001</v>
      </c>
      <c r="V560" s="390">
        <v>1.2</v>
      </c>
      <c r="W560" s="412">
        <f>SUMIFS(Таблица1[Столбец1],Таблица1[коэф],"1,2",Таблица1[р/р],"4/24",Таблица1[Ф. И. О.],B561)</f>
        <v>0</v>
      </c>
      <c r="X560" s="492">
        <f t="shared" si="191"/>
        <v>0</v>
      </c>
      <c r="Y560" s="764"/>
      <c r="Z560" s="766"/>
      <c r="AA560" s="756"/>
    </row>
    <row r="561" spans="1:29" ht="18.75">
      <c r="A561" s="756"/>
      <c r="B561" s="215" t="str">
        <f>база!B52</f>
        <v>Михно Татьяна Николаевна</v>
      </c>
      <c r="C561" s="759"/>
      <c r="D561" s="762"/>
      <c r="E561" s="389"/>
      <c r="F561" s="390"/>
      <c r="G561" s="400"/>
      <c r="H561" s="392">
        <f t="shared" si="188"/>
        <v>0</v>
      </c>
      <c r="I561" s="432"/>
      <c r="J561" s="433"/>
      <c r="K561" s="434"/>
      <c r="L561" s="484">
        <f t="shared" si="189"/>
        <v>0</v>
      </c>
      <c r="M561" s="434"/>
      <c r="N561" s="434"/>
      <c r="O561" s="434"/>
      <c r="P561" s="406"/>
      <c r="Q561" s="389">
        <f>база!$L$6</f>
        <v>261.04640000000001</v>
      </c>
      <c r="R561" s="390">
        <v>1.2</v>
      </c>
      <c r="S561" s="400">
        <f>SUMIFS(Таблица1[Столбец1],Таблица1[коэф],"1,2",Таблица1[р/р],"5/16",Таблица1[Ф. И. О.],B561)</f>
        <v>0</v>
      </c>
      <c r="T561" s="492">
        <f t="shared" si="190"/>
        <v>0</v>
      </c>
      <c r="U561" s="478">
        <f>база!$M$6</f>
        <v>279.0496</v>
      </c>
      <c r="V561" s="390">
        <v>1.2</v>
      </c>
      <c r="W561" s="412">
        <f>SUMIFS(Таблица1[Столбец1],Таблица1[коэф],"1,2",Таблица1[р/р],"5/24",Таблица1[Ф. И. О.],B561)</f>
        <v>0</v>
      </c>
      <c r="X561" s="492">
        <f t="shared" si="191"/>
        <v>0</v>
      </c>
      <c r="Y561" s="764"/>
      <c r="Z561" s="766"/>
      <c r="AA561" s="756"/>
      <c r="AC561" s="712" t="str">
        <f>IF(SUMIFS(Таблица1[Столбец3],Таблица1[Ф. И. О.],B561)-Z556=0,"",SUMIFS(Таблица1[Столбец3],Таблица1[Ф. И. О.],B561)-Z556)</f>
        <v/>
      </c>
    </row>
    <row r="562" spans="1:29" ht="18.75">
      <c r="A562" s="756"/>
      <c r="B562" s="215"/>
      <c r="C562" s="759"/>
      <c r="D562" s="762"/>
      <c r="E562" s="389"/>
      <c r="F562" s="390"/>
      <c r="G562" s="400"/>
      <c r="H562" s="392">
        <f t="shared" si="188"/>
        <v>0</v>
      </c>
      <c r="I562" s="432"/>
      <c r="J562" s="433"/>
      <c r="K562" s="434"/>
      <c r="L562" s="484">
        <f t="shared" si="189"/>
        <v>0</v>
      </c>
      <c r="M562" s="434"/>
      <c r="N562" s="434"/>
      <c r="O562" s="434"/>
      <c r="P562" s="406"/>
      <c r="Q562" s="389">
        <f>IF($D$6&lt;=3,база!$L$4,
IF($D$6=4,база!$L$5,
IF($D$6=5,база!$L$6)))</f>
        <v>231.45480000000001</v>
      </c>
      <c r="R562" s="390">
        <v>1.3</v>
      </c>
      <c r="S562" s="400">
        <f>SUMIFS(Таблица1[Столбец1],Таблица1[коэф],"1,3",Таблица1[р/р],"3/16",Таблица1[Ф. И. О.],B561)</f>
        <v>0</v>
      </c>
      <c r="T562" s="492">
        <f t="shared" si="190"/>
        <v>0</v>
      </c>
      <c r="U562" s="478">
        <f>IF(D556&lt;=3,база!$M$4,
IF(D556=4,база!$M$5,
IF(D556=5,база!$M$6)))</f>
        <v>225.09719999999999</v>
      </c>
      <c r="V562" s="390">
        <v>1.3</v>
      </c>
      <c r="W562" s="412">
        <f>SUMIFS(Таблица1[Столбец1],Таблица1[коэф],"1,3",Таблица1[р/р],"3/24",Таблица1[Ф. И. О.],B561)</f>
        <v>0</v>
      </c>
      <c r="X562" s="492">
        <f t="shared" si="191"/>
        <v>0</v>
      </c>
      <c r="Y562" s="764"/>
      <c r="Z562" s="766"/>
      <c r="AA562" s="756"/>
      <c r="AC562" s="712" t="str">
        <f>IF(SUMIFS(Таблица1[Столбец1],Таблица1[Ф. И. О.],B561)=Y556,"",B561&amp;"  часы не верны")</f>
        <v/>
      </c>
    </row>
    <row r="563" spans="1:29" ht="18.75">
      <c r="A563" s="756"/>
      <c r="B563" s="215"/>
      <c r="C563" s="759"/>
      <c r="D563" s="762"/>
      <c r="E563" s="389"/>
      <c r="F563" s="390"/>
      <c r="G563" s="400"/>
      <c r="H563" s="392">
        <f t="shared" si="188"/>
        <v>0</v>
      </c>
      <c r="I563" s="432"/>
      <c r="J563" s="433"/>
      <c r="K563" s="434"/>
      <c r="L563" s="484">
        <f t="shared" si="189"/>
        <v>0</v>
      </c>
      <c r="M563" s="434"/>
      <c r="N563" s="434"/>
      <c r="O563" s="434"/>
      <c r="P563" s="406"/>
      <c r="Q563" s="389">
        <f>база!$L$5</f>
        <v>231.45480000000001</v>
      </c>
      <c r="R563" s="390">
        <v>1.3</v>
      </c>
      <c r="S563" s="400">
        <f>SUMIFS(Таблица1[Столбец1],Таблица1[коэф],"1,3",Таблица1[р/р],"4/16",Таблица1[Ф. И. О.],B561)</f>
        <v>0</v>
      </c>
      <c r="T563" s="492">
        <f t="shared" si="190"/>
        <v>0</v>
      </c>
      <c r="U563" s="478">
        <f>база!$M$5</f>
        <v>247.41720000000001</v>
      </c>
      <c r="V563" s="390">
        <v>1.3</v>
      </c>
      <c r="W563" s="412">
        <f>SUMIFS(Таблица1[Столбец1],Таблица1[коэф],"1,3",Таблица1[р/р],"4/24",Таблица1[Ф. И. О.],B561)</f>
        <v>0</v>
      </c>
      <c r="X563" s="492">
        <f t="shared" si="191"/>
        <v>0</v>
      </c>
      <c r="Y563" s="764"/>
      <c r="Z563" s="766"/>
      <c r="AA563" s="756"/>
    </row>
    <row r="564" spans="1:29" ht="18.75">
      <c r="A564" s="756"/>
      <c r="B564" s="215"/>
      <c r="C564" s="759"/>
      <c r="D564" s="762"/>
      <c r="E564" s="389"/>
      <c r="F564" s="390"/>
      <c r="G564" s="400"/>
      <c r="H564" s="392">
        <f t="shared" si="188"/>
        <v>0</v>
      </c>
      <c r="I564" s="432"/>
      <c r="J564" s="433"/>
      <c r="K564" s="434"/>
      <c r="L564" s="484">
        <f t="shared" si="189"/>
        <v>0</v>
      </c>
      <c r="M564" s="434"/>
      <c r="N564" s="434"/>
      <c r="O564" s="434"/>
      <c r="P564" s="406"/>
      <c r="Q564" s="389">
        <f>IF(D556&lt;=3,база!$L$4,
IF(D556=4,база!$L$5,
IF(D556=5,база!$L$6)))</f>
        <v>210.57480000000001</v>
      </c>
      <c r="R564" s="390">
        <v>1.4</v>
      </c>
      <c r="S564" s="400">
        <f>SUMIFS(Таблица1[Столбец1],Таблица1[коэф],"1,4",Таблица1[р/р],"3/16",Таблица1[Ф. И. О.],B561)</f>
        <v>0</v>
      </c>
      <c r="T564" s="492">
        <f t="shared" si="190"/>
        <v>0</v>
      </c>
      <c r="U564" s="478">
        <f>IF(D556&lt;=3,база!$M$4,
IF(D556=4,база!$M$5,
IF(D556=5,база!$M$6)))</f>
        <v>225.09719999999999</v>
      </c>
      <c r="V564" s="390">
        <v>1.4</v>
      </c>
      <c r="W564" s="412">
        <f>SUMIFS(Таблица1[Столбец1],Таблица1[коэф],"1,4",Таблица1[р/р],"3/24",Таблица1[Ф. И. О.],B561)</f>
        <v>0</v>
      </c>
      <c r="X564" s="492">
        <f t="shared" si="191"/>
        <v>0</v>
      </c>
      <c r="Y564" s="764"/>
      <c r="Z564" s="766"/>
      <c r="AA564" s="756"/>
    </row>
    <row r="565" spans="1:29" ht="18.75">
      <c r="A565" s="756"/>
      <c r="B565" s="215"/>
      <c r="C565" s="759"/>
      <c r="D565" s="762"/>
      <c r="E565" s="389"/>
      <c r="F565" s="390"/>
      <c r="G565" s="400"/>
      <c r="H565" s="392">
        <f t="shared" si="188"/>
        <v>0</v>
      </c>
      <c r="I565" s="432"/>
      <c r="J565" s="433"/>
      <c r="K565" s="434"/>
      <c r="L565" s="484">
        <f t="shared" si="189"/>
        <v>0</v>
      </c>
      <c r="M565" s="434"/>
      <c r="N565" s="434"/>
      <c r="O565" s="434"/>
      <c r="P565" s="406"/>
      <c r="Q565" s="389">
        <f>база!$L$5</f>
        <v>231.45480000000001</v>
      </c>
      <c r="R565" s="390">
        <v>1.4</v>
      </c>
      <c r="S565" s="400">
        <f>SUMIFS(Таблица1[Столбец1],Таблица1[коэф],"1,4",Таблица1[р/р],"4/16",Таблица1[Ф. И. О.],B561)</f>
        <v>0</v>
      </c>
      <c r="T565" s="492">
        <f t="shared" si="190"/>
        <v>0</v>
      </c>
      <c r="U565" s="478">
        <f>база!$M$5</f>
        <v>247.41720000000001</v>
      </c>
      <c r="V565" s="390">
        <v>1.4</v>
      </c>
      <c r="W565" s="412">
        <f>SUMIFS(Таблица1[Столбец1],Таблица1[коэф],"1,4",Таблица1[р/р],"4/24",Таблица1[Ф. И. О.],B561)</f>
        <v>0</v>
      </c>
      <c r="X565" s="492">
        <f t="shared" si="191"/>
        <v>0</v>
      </c>
      <c r="Y565" s="764"/>
      <c r="Z565" s="766"/>
      <c r="AA565" s="756"/>
    </row>
    <row r="566" spans="1:29" ht="19.5" thickBot="1">
      <c r="A566" s="757"/>
      <c r="B566" s="202"/>
      <c r="C566" s="760"/>
      <c r="D566" s="763"/>
      <c r="E566" s="473"/>
      <c r="F566" s="464"/>
      <c r="G566" s="465"/>
      <c r="H566" s="468">
        <f t="shared" si="188"/>
        <v>0</v>
      </c>
      <c r="I566" s="466"/>
      <c r="J566" s="456"/>
      <c r="K566" s="457"/>
      <c r="L566" s="484">
        <f t="shared" si="189"/>
        <v>0</v>
      </c>
      <c r="M566" s="457"/>
      <c r="N566" s="457"/>
      <c r="O566" s="457"/>
      <c r="P566" s="476"/>
      <c r="Q566" s="473">
        <f>база!$L$6</f>
        <v>261.04640000000001</v>
      </c>
      <c r="R566" s="464">
        <v>1.4</v>
      </c>
      <c r="S566" s="465">
        <f>SUMIFS(Таблица1[Столбец1],Таблица1[коэф],"1,4",Таблица1[р/р],"5/16",Таблица1[Ф. И. О.],B561)</f>
        <v>0</v>
      </c>
      <c r="T566" s="492">
        <f t="shared" si="190"/>
        <v>0</v>
      </c>
      <c r="U566" s="480">
        <f>база!$M$6</f>
        <v>279.0496</v>
      </c>
      <c r="V566" s="464">
        <v>1.4</v>
      </c>
      <c r="W566" s="470">
        <f>SUMIFS(Таблица1[Столбец1],Таблица1[коэф],"1,4",Таблица1[р/р],"5/24",Таблица1[Ф. И. О.],B561)</f>
        <v>0</v>
      </c>
      <c r="X566" s="492">
        <f t="shared" si="191"/>
        <v>0</v>
      </c>
      <c r="Y566" s="765"/>
      <c r="Z566" s="767"/>
      <c r="AA566" s="757"/>
    </row>
    <row r="567" spans="1:29" ht="18.75">
      <c r="A567" s="755">
        <v>52</v>
      </c>
      <c r="B567" s="235"/>
      <c r="C567" s="758">
        <f>INDEX(база!$E$2:$E$81, MATCH(B572,база!$B$2:$B$60,0))</f>
        <v>15041</v>
      </c>
      <c r="D567" s="761">
        <f>INDEX(база!$D$2:$D$89, MATCH(B572,база!$B$2:$B$60,0))</f>
        <v>3</v>
      </c>
      <c r="E567" s="377">
        <f>IF(D567&lt;=3,база!$I$4,
IF(D567=4,база!$I$5,
IF(D567=5,база!$I$6)))</f>
        <v>188.7912</v>
      </c>
      <c r="F567" s="378">
        <v>1</v>
      </c>
      <c r="G567" s="387">
        <f>SUMIFS(Таблица1[Столбец1],Таблица1[коэф],"1",Таблица1[р/р],"2/4",Таблица1[Ф. И. О.],B572)</f>
        <v>0</v>
      </c>
      <c r="H567" s="402">
        <f t="shared" ref="H567:H577" si="194">ROUND(E567*F567*G567*2,2)</f>
        <v>0</v>
      </c>
      <c r="I567" s="426">
        <f>IF(D567&lt;=3,база!$J$4,
IF(D567=4,база!$J$5,
IF(D567=5,база!$J$6)))</f>
        <v>196.05240000000001</v>
      </c>
      <c r="J567" s="427">
        <v>1</v>
      </c>
      <c r="K567" s="428">
        <f>SUMIFS(Таблица1[Столбец1],Таблица1[коэф],"1",Таблица1[р/р],"2/8",Таблица1[Ф. И. О.],B572)</f>
        <v>0</v>
      </c>
      <c r="L567" s="383">
        <f t="shared" ref="L567:L577" si="195">ROUND(I567*J567*K567*2,2)</f>
        <v>0</v>
      </c>
      <c r="M567" s="428"/>
      <c r="N567" s="428">
        <v>1</v>
      </c>
      <c r="O567" s="428">
        <f>SUMIFS(Data_Tech!$AM$3:$AM$67,Data_Tech!$E$3:$E$67,"1",Data_Tech!$G$3:$G$67,"3/12",Data_Tech!$F$3:$F$67,B572)</f>
        <v>0</v>
      </c>
      <c r="P567" s="385">
        <f>ROUND(M567*N567*O567,2)</f>
        <v>0</v>
      </c>
      <c r="Q567" s="377">
        <f>IF(D567&lt;=3,база!$L$4,
IF(D567=4,база!$L$5,
IF(D567=5,база!$L$6)))</f>
        <v>210.57480000000001</v>
      </c>
      <c r="R567" s="378">
        <v>1</v>
      </c>
      <c r="S567" s="387">
        <f>SUMIFS(Таблица1[Столбец1],Таблица1[коэф],"1",Таблица1[р/р],"3/16",Таблица1[Ф. И. О.],B572)</f>
        <v>0</v>
      </c>
      <c r="T567" s="490">
        <f t="shared" ref="T567:T577" si="196">ROUND(Q567*R567*S567*2,2)</f>
        <v>0</v>
      </c>
      <c r="U567" s="477">
        <f>IF(D567&lt;=3,база!$M$4,
IF(D567=4,база!$M$5,
IF(D567=5,база!$M$6)))</f>
        <v>225.09719999999999</v>
      </c>
      <c r="V567" s="378">
        <v>1</v>
      </c>
      <c r="W567" s="430">
        <f>SUMIFS(Таблица1[Столбец1],Таблица1[коэф],"1",Таблица1[р/р],"3/24",Таблица1[Ф. И. О.],B572)</f>
        <v>0</v>
      </c>
      <c r="X567" s="490">
        <f t="shared" ref="X567:X577" si="197">ROUND(U567*V567*W567*2,2)</f>
        <v>0</v>
      </c>
      <c r="Y567" s="764">
        <f t="shared" ref="Y567" si="198">SUM(G567:G577,K567:K577,O567:O577,S567:S577,W567:W577)</f>
        <v>0</v>
      </c>
      <c r="Z567" s="766">
        <f t="shared" ref="Z567" si="199">IFERROR(SUM(H567:H577,L567:L577,T567:T577,X567:X577),"")</f>
        <v>0</v>
      </c>
      <c r="AA567" s="756"/>
    </row>
    <row r="568" spans="1:29" ht="18.75">
      <c r="A568" s="756"/>
      <c r="B568" s="215"/>
      <c r="C568" s="759"/>
      <c r="D568" s="762"/>
      <c r="E568" s="389">
        <f>IF(D567&lt;=3,база!$I$4,
IF(D567=4,база!$I$5,
IF(D567=5,база!$I$6)))</f>
        <v>188.7912</v>
      </c>
      <c r="F568" s="390">
        <v>1</v>
      </c>
      <c r="G568" s="400">
        <f>SUMIFS(Таблица1[Столбец1],Таблица1[коэф],"1",Таблица1[р/р],"3/4",Таблица1[Ф. И. О.],B572)</f>
        <v>0</v>
      </c>
      <c r="H568" s="392">
        <f t="shared" si="194"/>
        <v>0</v>
      </c>
      <c r="I568" s="432">
        <f>IF(D567&lt;=3,база!$J$4,
IF(D567=4,база!$J$5,
IF(D567=5,база!$J$6)))</f>
        <v>196.05240000000001</v>
      </c>
      <c r="J568" s="433">
        <v>1</v>
      </c>
      <c r="K568" s="434">
        <f>SUMIFS(Таблица1[Столбец1],Таблица1[коэф],"1",Таблица1[р/р],"3/8",Таблица1[Ф. И. О.],B572)</f>
        <v>0</v>
      </c>
      <c r="L568" s="484">
        <f t="shared" si="195"/>
        <v>0</v>
      </c>
      <c r="M568" s="434"/>
      <c r="N568" s="434">
        <v>1</v>
      </c>
      <c r="O568" s="434">
        <f>SUMIFS(Data_Tech!$AM$3:$AM$67,Data_Tech!$E$3:$E$67,"1",Data_Tech!$G$3:$G$67,"4/12",Data_Tech!$F$3:$F$67,B572)</f>
        <v>0</v>
      </c>
      <c r="P568" s="406">
        <f>ROUND(M568*O568,2)</f>
        <v>0</v>
      </c>
      <c r="Q568" s="389">
        <f>база!$L$5</f>
        <v>231.45480000000001</v>
      </c>
      <c r="R568" s="390">
        <v>1</v>
      </c>
      <c r="S568" s="400">
        <f>SUMIFS(Таблица1[Столбец1],Таблица1[коэф],"1",Таблица1[р/р],"4/16",Таблица1[Ф. И. О.],B572)</f>
        <v>0</v>
      </c>
      <c r="T568" s="492">
        <f t="shared" si="196"/>
        <v>0</v>
      </c>
      <c r="U568" s="478">
        <f>база!$M$5</f>
        <v>247.41720000000001</v>
      </c>
      <c r="V568" s="390">
        <v>1</v>
      </c>
      <c r="W568" s="412">
        <f>SUMIFS(Таблица1[Столбец1],Таблица1[коэф],"1",Таблица1[р/р],"4/24",Таблица1[Ф. И. О.],B572)</f>
        <v>0</v>
      </c>
      <c r="X568" s="492">
        <f t="shared" si="197"/>
        <v>0</v>
      </c>
      <c r="Y568" s="764"/>
      <c r="Z568" s="766"/>
      <c r="AA568" s="756"/>
    </row>
    <row r="569" spans="1:29" ht="18.75">
      <c r="A569" s="756"/>
      <c r="B569" s="215"/>
      <c r="C569" s="759"/>
      <c r="D569" s="762"/>
      <c r="E569" s="389"/>
      <c r="F569" s="390"/>
      <c r="G569" s="400"/>
      <c r="H569" s="392">
        <f t="shared" si="194"/>
        <v>0</v>
      </c>
      <c r="I569" s="432"/>
      <c r="J569" s="433"/>
      <c r="K569" s="434"/>
      <c r="L569" s="484">
        <f t="shared" si="195"/>
        <v>0</v>
      </c>
      <c r="M569" s="434"/>
      <c r="N569" s="434"/>
      <c r="O569" s="434"/>
      <c r="P569" s="406"/>
      <c r="Q569" s="389">
        <f>база!$L$6</f>
        <v>261.04640000000001</v>
      </c>
      <c r="R569" s="390">
        <v>1</v>
      </c>
      <c r="S569" s="400">
        <f>SUMIFS(Таблица1[Столбец1],Таблица1[коэф],"1",Таблица1[р/р],"5/16",Таблица1[Ф. И. О.],B572)</f>
        <v>0</v>
      </c>
      <c r="T569" s="492">
        <f t="shared" si="196"/>
        <v>0</v>
      </c>
      <c r="U569" s="478">
        <f>база!$M$6</f>
        <v>279.0496</v>
      </c>
      <c r="V569" s="390">
        <v>1</v>
      </c>
      <c r="W569" s="412">
        <f>SUMIFS(Таблица1[Столбец1],Таблица1[коэф],"1",Таблица1[р/р],"5/24",Таблица1[Ф. И. О.],B572)</f>
        <v>0</v>
      </c>
      <c r="X569" s="492">
        <f t="shared" si="197"/>
        <v>0</v>
      </c>
      <c r="Y569" s="764"/>
      <c r="Z569" s="766"/>
      <c r="AA569" s="756"/>
    </row>
    <row r="570" spans="1:29" ht="18.75">
      <c r="A570" s="756"/>
      <c r="B570" s="215"/>
      <c r="C570" s="759"/>
      <c r="D570" s="762"/>
      <c r="E570" s="389"/>
      <c r="F570" s="390"/>
      <c r="G570" s="400"/>
      <c r="H570" s="392">
        <f t="shared" si="194"/>
        <v>0</v>
      </c>
      <c r="I570" s="432">
        <f>база!$J$5</f>
        <v>215.4924</v>
      </c>
      <c r="J570" s="433">
        <v>1.5</v>
      </c>
      <c r="K570" s="434">
        <f>SUMIFS(Таблица1[Столбец1],Таблица1[коэф],"1,5",Таблица1[р/р],"4/8",Таблица1[Ф. И. О.],B572)</f>
        <v>0</v>
      </c>
      <c r="L570" s="484">
        <f t="shared" si="195"/>
        <v>0</v>
      </c>
      <c r="M570" s="434"/>
      <c r="N570" s="434"/>
      <c r="O570" s="434"/>
      <c r="P570" s="406"/>
      <c r="Q570" s="389">
        <f>IF(D567&lt;=3,база!$L$4,
IF(D567=4,база!$L$5,
IF(D567=5,база!$L$6)))</f>
        <v>210.57480000000001</v>
      </c>
      <c r="R570" s="390">
        <v>1.2</v>
      </c>
      <c r="S570" s="400">
        <f>SUMIFS(Таблица1[Столбец1],Таблица1[коэф],"1,2",Таблица1[р/р],"3/16",Таблица1[Ф. И. О.],B572)</f>
        <v>0</v>
      </c>
      <c r="T570" s="492">
        <f t="shared" si="196"/>
        <v>0</v>
      </c>
      <c r="U570" s="478">
        <f>IF(D567&lt;=3,база!$M$4,
IF(D567=4,база!$M$5,
IF(D567=5,база!$M$6)))</f>
        <v>225.09719999999999</v>
      </c>
      <c r="V570" s="390">
        <v>1.2</v>
      </c>
      <c r="W570" s="412">
        <f>SUMIFS(Таблица1[Столбец1],Таблица1[коэф],"1,2",Таблица1[р/р],"3/24",Таблица1[Ф. И. О.],B572)</f>
        <v>0</v>
      </c>
      <c r="X570" s="492">
        <f t="shared" si="197"/>
        <v>0</v>
      </c>
      <c r="Y570" s="764"/>
      <c r="Z570" s="766"/>
      <c r="AA570" s="756"/>
    </row>
    <row r="571" spans="1:29" ht="18.75">
      <c r="A571" s="756"/>
      <c r="B571" s="215"/>
      <c r="C571" s="759"/>
      <c r="D571" s="762"/>
      <c r="E571" s="389"/>
      <c r="F571" s="390"/>
      <c r="G571" s="400"/>
      <c r="H571" s="392">
        <f t="shared" si="194"/>
        <v>0</v>
      </c>
      <c r="I571" s="432">
        <f>база!$J$6</f>
        <v>243.04319999999998</v>
      </c>
      <c r="J571" s="433">
        <v>1.5</v>
      </c>
      <c r="K571" s="434">
        <f>SUMIFS(Таблица1[Столбец1],Таблица1[коэф],"1,5",Таблица1[р/р],"5/8",Таблица1[Ф. И. О.],B572)</f>
        <v>0</v>
      </c>
      <c r="L571" s="484">
        <f t="shared" si="195"/>
        <v>0</v>
      </c>
      <c r="M571" s="434"/>
      <c r="N571" s="434"/>
      <c r="O571" s="434"/>
      <c r="P571" s="406"/>
      <c r="Q571" s="389">
        <f>база!$L$5</f>
        <v>231.45480000000001</v>
      </c>
      <c r="R571" s="390">
        <v>1.2</v>
      </c>
      <c r="S571" s="400">
        <f>SUMIFS(Таблица1[Столбец1],Таблица1[коэф],"1,2",Таблица1[р/р],"4/16",Таблица1[Ф. И. О.],B572)</f>
        <v>0</v>
      </c>
      <c r="T571" s="492">
        <f t="shared" si="196"/>
        <v>0</v>
      </c>
      <c r="U571" s="478">
        <f>база!$M$5</f>
        <v>247.41720000000001</v>
      </c>
      <c r="V571" s="390">
        <v>1.2</v>
      </c>
      <c r="W571" s="412">
        <f>SUMIFS(Таблица1[Столбец1],Таблица1[коэф],"1,2",Таблица1[р/р],"4/24",Таблица1[Ф. И. О.],B572)</f>
        <v>0</v>
      </c>
      <c r="X571" s="492">
        <f t="shared" si="197"/>
        <v>0</v>
      </c>
      <c r="Y571" s="764"/>
      <c r="Z571" s="766"/>
      <c r="AA571" s="756"/>
    </row>
    <row r="572" spans="1:29" ht="18.75">
      <c r="A572" s="756"/>
      <c r="B572" s="215" t="str">
        <f>база!B53</f>
        <v>Набойченко Седа Хамидовна</v>
      </c>
      <c r="C572" s="759"/>
      <c r="D572" s="762"/>
      <c r="E572" s="389"/>
      <c r="F572" s="390"/>
      <c r="G572" s="400"/>
      <c r="H572" s="392">
        <f t="shared" si="194"/>
        <v>0</v>
      </c>
      <c r="I572" s="432"/>
      <c r="J572" s="433"/>
      <c r="K572" s="434"/>
      <c r="L572" s="484">
        <f t="shared" si="195"/>
        <v>0</v>
      </c>
      <c r="M572" s="434"/>
      <c r="N572" s="434"/>
      <c r="O572" s="434"/>
      <c r="P572" s="406"/>
      <c r="Q572" s="389">
        <f>база!$L$6</f>
        <v>261.04640000000001</v>
      </c>
      <c r="R572" s="390">
        <v>1.2</v>
      </c>
      <c r="S572" s="400">
        <f>SUMIFS(Таблица1[Столбец1],Таблица1[коэф],"1,2",Таблица1[р/р],"5/16",Таблица1[Ф. И. О.],B572)</f>
        <v>0</v>
      </c>
      <c r="T572" s="492">
        <f t="shared" si="196"/>
        <v>0</v>
      </c>
      <c r="U572" s="478">
        <f>база!$M$6</f>
        <v>279.0496</v>
      </c>
      <c r="V572" s="390">
        <v>1.2</v>
      </c>
      <c r="W572" s="412">
        <f>SUMIFS(Таблица1[Столбец1],Таблица1[коэф],"1,2",Таблица1[р/р],"5/24",Таблица1[Ф. И. О.],B572)</f>
        <v>0</v>
      </c>
      <c r="X572" s="492">
        <f t="shared" si="197"/>
        <v>0</v>
      </c>
      <c r="Y572" s="764"/>
      <c r="Z572" s="766"/>
      <c r="AA572" s="756"/>
      <c r="AC572" s="712" t="str">
        <f>IF(SUMIFS(Таблица1[Столбец3],Таблица1[Ф. И. О.],B572)-Z567=0,"",SUMIFS(Таблица1[Столбец3],Таблица1[Ф. И. О.],B572)-Z567)</f>
        <v/>
      </c>
    </row>
    <row r="573" spans="1:29" ht="18.75">
      <c r="A573" s="756"/>
      <c r="B573" s="215"/>
      <c r="C573" s="759"/>
      <c r="D573" s="762"/>
      <c r="E573" s="389"/>
      <c r="F573" s="390"/>
      <c r="G573" s="400"/>
      <c r="H573" s="392">
        <f t="shared" si="194"/>
        <v>0</v>
      </c>
      <c r="I573" s="432"/>
      <c r="J573" s="433"/>
      <c r="K573" s="434"/>
      <c r="L573" s="484">
        <f t="shared" si="195"/>
        <v>0</v>
      </c>
      <c r="M573" s="434"/>
      <c r="N573" s="434"/>
      <c r="O573" s="434"/>
      <c r="P573" s="406"/>
      <c r="Q573" s="389">
        <f>IF($D$6&lt;=3,база!$L$4,
IF($D$6=4,база!$L$5,
IF($D$6=5,база!$L$6)))</f>
        <v>231.45480000000001</v>
      </c>
      <c r="R573" s="390">
        <v>1.3</v>
      </c>
      <c r="S573" s="400">
        <f>SUMIFS(Таблица1[Столбец1],Таблица1[коэф],"1,3",Таблица1[р/р],"3/16",Таблица1[Ф. И. О.],B572)</f>
        <v>0</v>
      </c>
      <c r="T573" s="492">
        <f t="shared" si="196"/>
        <v>0</v>
      </c>
      <c r="U573" s="478">
        <f>IF(D567&lt;=3,база!$M$4,
IF(D567=4,база!$M$5,
IF(D567=5,база!$M$6)))</f>
        <v>225.09719999999999</v>
      </c>
      <c r="V573" s="390">
        <v>1.3</v>
      </c>
      <c r="W573" s="412">
        <f>SUMIFS(Таблица1[Столбец1],Таблица1[коэф],"1,3",Таблица1[р/р],"3/24",Таблица1[Ф. И. О.],B572)</f>
        <v>0</v>
      </c>
      <c r="X573" s="492">
        <f t="shared" si="197"/>
        <v>0</v>
      </c>
      <c r="Y573" s="764"/>
      <c r="Z573" s="766"/>
      <c r="AA573" s="756"/>
      <c r="AC573" s="712" t="str">
        <f>IF(SUMIFS(Таблица1[Столбец1],Таблица1[Ф. И. О.],B572)=Y567,"",B572&amp;"  часы не верны")</f>
        <v/>
      </c>
    </row>
    <row r="574" spans="1:29" ht="18.75">
      <c r="A574" s="756"/>
      <c r="B574" s="215"/>
      <c r="C574" s="759"/>
      <c r="D574" s="762"/>
      <c r="E574" s="389"/>
      <c r="F574" s="390"/>
      <c r="G574" s="400"/>
      <c r="H574" s="392">
        <f t="shared" si="194"/>
        <v>0</v>
      </c>
      <c r="I574" s="432"/>
      <c r="J574" s="433"/>
      <c r="K574" s="434"/>
      <c r="L574" s="484">
        <f t="shared" si="195"/>
        <v>0</v>
      </c>
      <c r="M574" s="434"/>
      <c r="N574" s="434"/>
      <c r="O574" s="434"/>
      <c r="P574" s="406"/>
      <c r="Q574" s="389">
        <f>база!$L$5</f>
        <v>231.45480000000001</v>
      </c>
      <c r="R574" s="390">
        <v>1.3</v>
      </c>
      <c r="S574" s="400">
        <f>SUMIFS(Таблица1[Столбец1],Таблица1[коэф],"1,3",Таблица1[р/р],"4/16",Таблица1[Ф. И. О.],B572)</f>
        <v>0</v>
      </c>
      <c r="T574" s="492">
        <f t="shared" si="196"/>
        <v>0</v>
      </c>
      <c r="U574" s="478">
        <f>база!$M$5</f>
        <v>247.41720000000001</v>
      </c>
      <c r="V574" s="390">
        <v>1.3</v>
      </c>
      <c r="W574" s="412">
        <f>SUMIFS(Таблица1[Столбец1],Таблица1[коэф],"1,3",Таблица1[р/р],"4/24",Таблица1[Ф. И. О.],B572)</f>
        <v>0</v>
      </c>
      <c r="X574" s="492">
        <f t="shared" si="197"/>
        <v>0</v>
      </c>
      <c r="Y574" s="764"/>
      <c r="Z574" s="766"/>
      <c r="AA574" s="756"/>
    </row>
    <row r="575" spans="1:29" ht="18.75">
      <c r="A575" s="756"/>
      <c r="B575" s="215"/>
      <c r="C575" s="759"/>
      <c r="D575" s="762"/>
      <c r="E575" s="389"/>
      <c r="F575" s="390"/>
      <c r="G575" s="400"/>
      <c r="H575" s="392">
        <f t="shared" si="194"/>
        <v>0</v>
      </c>
      <c r="I575" s="432"/>
      <c r="J575" s="433"/>
      <c r="K575" s="434"/>
      <c r="L575" s="484">
        <f t="shared" si="195"/>
        <v>0</v>
      </c>
      <c r="M575" s="434"/>
      <c r="N575" s="434"/>
      <c r="O575" s="434"/>
      <c r="P575" s="406"/>
      <c r="Q575" s="389">
        <f>IF(D567&lt;=3,база!$L$4,
IF(D567=4,база!$L$5,
IF(D567=5,база!$L$6)))</f>
        <v>210.57480000000001</v>
      </c>
      <c r="R575" s="390">
        <v>1.4</v>
      </c>
      <c r="S575" s="400">
        <f>SUMIFS(Таблица1[Столбец1],Таблица1[коэф],"1,4",Таблица1[р/р],"3/16",Таблица1[Ф. И. О.],B572)</f>
        <v>0</v>
      </c>
      <c r="T575" s="492">
        <f t="shared" si="196"/>
        <v>0</v>
      </c>
      <c r="U575" s="478">
        <f>IF(D567&lt;=3,база!$M$4,
IF(D567=4,база!$M$5,
IF(D567=5,база!$M$6)))</f>
        <v>225.09719999999999</v>
      </c>
      <c r="V575" s="390">
        <v>1.4</v>
      </c>
      <c r="W575" s="412">
        <f>SUMIFS(Таблица1[Столбец1],Таблица1[коэф],"1,4",Таблица1[р/р],"3/24",Таблица1[Ф. И. О.],B572)</f>
        <v>0</v>
      </c>
      <c r="X575" s="492">
        <f t="shared" si="197"/>
        <v>0</v>
      </c>
      <c r="Y575" s="764"/>
      <c r="Z575" s="766"/>
      <c r="AA575" s="756"/>
    </row>
    <row r="576" spans="1:29" ht="18.75">
      <c r="A576" s="756"/>
      <c r="B576" s="215"/>
      <c r="C576" s="759"/>
      <c r="D576" s="762"/>
      <c r="E576" s="389"/>
      <c r="F576" s="390"/>
      <c r="G576" s="400"/>
      <c r="H576" s="392">
        <f t="shared" si="194"/>
        <v>0</v>
      </c>
      <c r="I576" s="432"/>
      <c r="J576" s="433"/>
      <c r="K576" s="434"/>
      <c r="L576" s="484">
        <f t="shared" si="195"/>
        <v>0</v>
      </c>
      <c r="M576" s="434"/>
      <c r="N576" s="434"/>
      <c r="O576" s="434"/>
      <c r="P576" s="406"/>
      <c r="Q576" s="389">
        <f>база!$L$5</f>
        <v>231.45480000000001</v>
      </c>
      <c r="R576" s="390">
        <v>1.4</v>
      </c>
      <c r="S576" s="400">
        <f>SUMIFS(Таблица1[Столбец1],Таблица1[коэф],"1,4",Таблица1[р/р],"4/16",Таблица1[Ф. И. О.],B572)</f>
        <v>0</v>
      </c>
      <c r="T576" s="492">
        <f t="shared" si="196"/>
        <v>0</v>
      </c>
      <c r="U576" s="478">
        <f>база!$M$5</f>
        <v>247.41720000000001</v>
      </c>
      <c r="V576" s="390">
        <v>1.4</v>
      </c>
      <c r="W576" s="412">
        <f>SUMIFS(Таблица1[Столбец1],Таблица1[коэф],"1,4",Таблица1[р/р],"4/24",Таблица1[Ф. И. О.],B572)</f>
        <v>0</v>
      </c>
      <c r="X576" s="492">
        <f t="shared" si="197"/>
        <v>0</v>
      </c>
      <c r="Y576" s="764"/>
      <c r="Z576" s="766"/>
      <c r="AA576" s="756"/>
    </row>
    <row r="577" spans="1:29" ht="19.5" thickBot="1">
      <c r="A577" s="757"/>
      <c r="B577" s="202"/>
      <c r="C577" s="760"/>
      <c r="D577" s="763"/>
      <c r="E577" s="473"/>
      <c r="F577" s="464"/>
      <c r="G577" s="465"/>
      <c r="H577" s="468">
        <f t="shared" si="194"/>
        <v>0</v>
      </c>
      <c r="I577" s="466"/>
      <c r="J577" s="456"/>
      <c r="K577" s="457"/>
      <c r="L577" s="484">
        <f t="shared" si="195"/>
        <v>0</v>
      </c>
      <c r="M577" s="457"/>
      <c r="N577" s="457"/>
      <c r="O577" s="457"/>
      <c r="P577" s="476"/>
      <c r="Q577" s="473">
        <f>база!$L$6</f>
        <v>261.04640000000001</v>
      </c>
      <c r="R577" s="464">
        <v>1.4</v>
      </c>
      <c r="S577" s="465">
        <f>SUMIFS(Таблица1[Столбец1],Таблица1[коэф],"1,4",Таблица1[р/р],"5/16",Таблица1[Ф. И. О.],B572)</f>
        <v>0</v>
      </c>
      <c r="T577" s="492">
        <f t="shared" si="196"/>
        <v>0</v>
      </c>
      <c r="U577" s="480">
        <f>база!$M$6</f>
        <v>279.0496</v>
      </c>
      <c r="V577" s="464">
        <v>1.4</v>
      </c>
      <c r="W577" s="470">
        <f>SUMIFS(Таблица1[Столбец1],Таблица1[коэф],"1,4",Таблица1[р/р],"5/24",Таблица1[Ф. И. О.],B572)</f>
        <v>0</v>
      </c>
      <c r="X577" s="492">
        <f t="shared" si="197"/>
        <v>0</v>
      </c>
      <c r="Y577" s="765"/>
      <c r="Z577" s="767"/>
      <c r="AA577" s="757"/>
    </row>
    <row r="578" spans="1:29" ht="18.75">
      <c r="A578" s="755">
        <v>53</v>
      </c>
      <c r="B578" s="235"/>
      <c r="C578" s="758">
        <f>INDEX(база!$E$2:$E$81, MATCH(B583,база!$B$2:$B$60,0))</f>
        <v>16303</v>
      </c>
      <c r="D578" s="761">
        <f>INDEX(база!$D$2:$D$89, MATCH(B583,база!$B$2:$B$60,0))</f>
        <v>3</v>
      </c>
      <c r="E578" s="377">
        <f>IF(D578&lt;=3,база!$I$4,
IF(D578=4,база!$I$5,
IF(D578=5,база!$I$6)))</f>
        <v>188.7912</v>
      </c>
      <c r="F578" s="378">
        <v>1</v>
      </c>
      <c r="G578" s="387">
        <f>SUMIFS(Таблица1[Столбец1],Таблица1[коэф],"1",Таблица1[р/р],"2/4",Таблица1[Ф. И. О.],B583)</f>
        <v>0</v>
      </c>
      <c r="H578" s="402">
        <f t="shared" ref="H578:H588" si="200">ROUND(E578*F578*G578*2,2)</f>
        <v>0</v>
      </c>
      <c r="I578" s="426">
        <f>IF(D578&lt;=3,база!$J$4,
IF(D578=4,база!$J$5,
IF(D578=5,база!$J$6)))</f>
        <v>196.05240000000001</v>
      </c>
      <c r="J578" s="427">
        <v>1</v>
      </c>
      <c r="K578" s="428">
        <f>SUMIFS(Таблица1[Столбец1],Таблица1[коэф],"1",Таблица1[р/р],"2/8",Таблица1[Ф. И. О.],B583)</f>
        <v>0</v>
      </c>
      <c r="L578" s="383">
        <f t="shared" ref="L578:L588" si="201">ROUND(I578*J578*K578*2,2)</f>
        <v>0</v>
      </c>
      <c r="M578" s="428"/>
      <c r="N578" s="428">
        <v>1</v>
      </c>
      <c r="O578" s="428">
        <f>SUMIFS(Data_Tech!$AM$3:$AM$67,Data_Tech!$E$3:$E$67,"1",Data_Tech!$G$3:$G$67,"3/12",Data_Tech!$F$3:$F$67,B583)</f>
        <v>0</v>
      </c>
      <c r="P578" s="385">
        <f>ROUND(M578*N578*O578,2)</f>
        <v>0</v>
      </c>
      <c r="Q578" s="377">
        <f>IF(D578&lt;=3,база!$L$4,
IF(D578=4,база!$L$5,
IF(D578=5,база!$L$6)))</f>
        <v>210.57480000000001</v>
      </c>
      <c r="R578" s="378">
        <v>1</v>
      </c>
      <c r="S578" s="387">
        <f>SUMIFS(Таблица1[Столбец1],Таблица1[коэф],"1",Таблица1[р/р],"3/16",Таблица1[Ф. И. О.],B583)</f>
        <v>0</v>
      </c>
      <c r="T578" s="490">
        <f t="shared" ref="T578:T588" si="202">ROUND(Q578*R578*S578*2,2)</f>
        <v>0</v>
      </c>
      <c r="U578" s="477">
        <f>IF(D578&lt;=3,база!$M$4,
IF(D578=4,база!$M$5,
IF(D578=5,база!$M$6)))</f>
        <v>225.09719999999999</v>
      </c>
      <c r="V578" s="378">
        <v>1</v>
      </c>
      <c r="W578" s="430">
        <f>SUMIFS(Таблица1[Столбец1],Таблица1[коэф],"1",Таблица1[р/р],"3/24",Таблица1[Ф. И. О.],B583)</f>
        <v>0</v>
      </c>
      <c r="X578" s="490">
        <f t="shared" ref="X578:X588" si="203">ROUND(U578*V578*W578*2,2)</f>
        <v>0</v>
      </c>
      <c r="Y578" s="764">
        <f t="shared" ref="Y578" si="204">SUM(G578:G588,K578:K588,O578:O588,S578:S588,W578:W588)</f>
        <v>0</v>
      </c>
      <c r="Z578" s="766">
        <f t="shared" ref="Z578" si="205">IFERROR(SUM(H578:H588,L578:L588,T578:T588,X578:X588),"")</f>
        <v>0</v>
      </c>
      <c r="AA578" s="756"/>
    </row>
    <row r="579" spans="1:29" ht="18.75">
      <c r="A579" s="756"/>
      <c r="B579" s="215"/>
      <c r="C579" s="759"/>
      <c r="D579" s="762"/>
      <c r="E579" s="389">
        <f>IF(D578&lt;=3,база!$I$4,
IF(D578=4,база!$I$5,
IF(D578=5,база!$I$6)))</f>
        <v>188.7912</v>
      </c>
      <c r="F579" s="390">
        <v>1</v>
      </c>
      <c r="G579" s="400">
        <f>SUMIFS(Таблица1[Столбец1],Таблица1[коэф],"1",Таблица1[р/р],"3/4",Таблица1[Ф. И. О.],B583)</f>
        <v>0</v>
      </c>
      <c r="H579" s="392">
        <f t="shared" si="200"/>
        <v>0</v>
      </c>
      <c r="I579" s="432">
        <f>IF(D578&lt;=3,база!$J$4,
IF(D578=4,база!$J$5,
IF(D578=5,база!$J$6)))</f>
        <v>196.05240000000001</v>
      </c>
      <c r="J579" s="433">
        <v>1</v>
      </c>
      <c r="K579" s="434">
        <f>SUMIFS(Таблица1[Столбец1],Таблица1[коэф],"1",Таблица1[р/р],"3/8",Таблица1[Ф. И. О.],B583)</f>
        <v>0</v>
      </c>
      <c r="L579" s="484">
        <f t="shared" si="201"/>
        <v>0</v>
      </c>
      <c r="M579" s="434"/>
      <c r="N579" s="434">
        <v>1</v>
      </c>
      <c r="O579" s="434">
        <f>SUMIFS(Data_Tech!$AM$3:$AM$67,Data_Tech!$E$3:$E$67,"1",Data_Tech!$G$3:$G$67,"4/12",Data_Tech!$F$3:$F$67,B583)</f>
        <v>0</v>
      </c>
      <c r="P579" s="406">
        <f>ROUND(M579*O579,2)</f>
        <v>0</v>
      </c>
      <c r="Q579" s="389">
        <f>база!$L$5</f>
        <v>231.45480000000001</v>
      </c>
      <c r="R579" s="390">
        <v>1</v>
      </c>
      <c r="S579" s="400">
        <f>SUMIFS(Таблица1[Столбец1],Таблица1[коэф],"1",Таблица1[р/р],"4/16",Таблица1[Ф. И. О.],B583)</f>
        <v>0</v>
      </c>
      <c r="T579" s="492">
        <f t="shared" si="202"/>
        <v>0</v>
      </c>
      <c r="U579" s="478">
        <f>база!$M$5</f>
        <v>247.41720000000001</v>
      </c>
      <c r="V579" s="390">
        <v>1</v>
      </c>
      <c r="W579" s="412">
        <f>SUMIFS(Таблица1[Столбец1],Таблица1[коэф],"1",Таблица1[р/р],"4/24",Таблица1[Ф. И. О.],B583)</f>
        <v>0</v>
      </c>
      <c r="X579" s="492">
        <f t="shared" si="203"/>
        <v>0</v>
      </c>
      <c r="Y579" s="764"/>
      <c r="Z579" s="766"/>
      <c r="AA579" s="756"/>
    </row>
    <row r="580" spans="1:29" ht="18.75">
      <c r="A580" s="756"/>
      <c r="B580" s="215"/>
      <c r="C580" s="759"/>
      <c r="D580" s="762"/>
      <c r="E580" s="389"/>
      <c r="F580" s="390"/>
      <c r="G580" s="400"/>
      <c r="H580" s="392">
        <f t="shared" si="200"/>
        <v>0</v>
      </c>
      <c r="I580" s="432"/>
      <c r="J580" s="433"/>
      <c r="K580" s="434"/>
      <c r="L580" s="484">
        <f t="shared" si="201"/>
        <v>0</v>
      </c>
      <c r="M580" s="434"/>
      <c r="N580" s="434"/>
      <c r="O580" s="434"/>
      <c r="P580" s="406"/>
      <c r="Q580" s="389">
        <f>база!$L$6</f>
        <v>261.04640000000001</v>
      </c>
      <c r="R580" s="390">
        <v>1</v>
      </c>
      <c r="S580" s="400">
        <f>SUMIFS(Таблица1[Столбец1],Таблица1[коэф],"1",Таблица1[р/р],"5/16",Таблица1[Ф. И. О.],B583)</f>
        <v>0</v>
      </c>
      <c r="T580" s="492">
        <f t="shared" si="202"/>
        <v>0</v>
      </c>
      <c r="U580" s="478">
        <f>база!$M$6</f>
        <v>279.0496</v>
      </c>
      <c r="V580" s="390">
        <v>1</v>
      </c>
      <c r="W580" s="412">
        <f>SUMIFS(Таблица1[Столбец1],Таблица1[коэф],"1",Таблица1[р/р],"5/24",Таблица1[Ф. И. О.],B583)</f>
        <v>0</v>
      </c>
      <c r="X580" s="492">
        <f t="shared" si="203"/>
        <v>0</v>
      </c>
      <c r="Y580" s="764"/>
      <c r="Z580" s="766"/>
      <c r="AA580" s="756"/>
    </row>
    <row r="581" spans="1:29" ht="18.75">
      <c r="A581" s="756"/>
      <c r="B581" s="215"/>
      <c r="C581" s="759"/>
      <c r="D581" s="762"/>
      <c r="E581" s="389"/>
      <c r="F581" s="390"/>
      <c r="G581" s="400"/>
      <c r="H581" s="392">
        <f t="shared" si="200"/>
        <v>0</v>
      </c>
      <c r="I581" s="432">
        <f>база!$J$5</f>
        <v>215.4924</v>
      </c>
      <c r="J581" s="433">
        <v>1.5</v>
      </c>
      <c r="K581" s="434">
        <f>SUMIFS(Таблица1[Столбец1],Таблица1[коэф],"1,5",Таблица1[р/р],"4/8",Таблица1[Ф. И. О.],B583)</f>
        <v>0</v>
      </c>
      <c r="L581" s="484">
        <f t="shared" si="201"/>
        <v>0</v>
      </c>
      <c r="M581" s="434"/>
      <c r="N581" s="434"/>
      <c r="O581" s="434"/>
      <c r="P581" s="406"/>
      <c r="Q581" s="389">
        <f>IF(D578&lt;=3,база!$L$4,
IF(D578=4,база!$L$5,
IF(D578=5,база!$L$6)))</f>
        <v>210.57480000000001</v>
      </c>
      <c r="R581" s="390">
        <v>1.2</v>
      </c>
      <c r="S581" s="400">
        <f>SUMIFS(Таблица1[Столбец1],Таблица1[коэф],"1,2",Таблица1[р/р],"3/16",Таблица1[Ф. И. О.],B583)</f>
        <v>0</v>
      </c>
      <c r="T581" s="492">
        <f t="shared" si="202"/>
        <v>0</v>
      </c>
      <c r="U581" s="478">
        <f>IF(D578&lt;=3,база!$M$4,
IF(D578=4,база!$M$5,
IF(D578=5,база!$M$6)))</f>
        <v>225.09719999999999</v>
      </c>
      <c r="V581" s="390">
        <v>1.2</v>
      </c>
      <c r="W581" s="412">
        <f>SUMIFS(Таблица1[Столбец1],Таблица1[коэф],"1,2",Таблица1[р/р],"3/24",Таблица1[Ф. И. О.],B583)</f>
        <v>0</v>
      </c>
      <c r="X581" s="492">
        <f t="shared" si="203"/>
        <v>0</v>
      </c>
      <c r="Y581" s="764"/>
      <c r="Z581" s="766"/>
      <c r="AA581" s="756"/>
    </row>
    <row r="582" spans="1:29" ht="18.75">
      <c r="A582" s="756"/>
      <c r="B582" s="215"/>
      <c r="C582" s="759"/>
      <c r="D582" s="762"/>
      <c r="E582" s="389"/>
      <c r="F582" s="390"/>
      <c r="G582" s="400"/>
      <c r="H582" s="392">
        <f t="shared" si="200"/>
        <v>0</v>
      </c>
      <c r="I582" s="432">
        <f>база!$J$6</f>
        <v>243.04319999999998</v>
      </c>
      <c r="J582" s="433">
        <v>1.5</v>
      </c>
      <c r="K582" s="434">
        <f>SUMIFS(Таблица1[Столбец1],Таблица1[коэф],"1,5",Таблица1[р/р],"5/8",Таблица1[Ф. И. О.],B583)</f>
        <v>0</v>
      </c>
      <c r="L582" s="484">
        <f t="shared" si="201"/>
        <v>0</v>
      </c>
      <c r="M582" s="434"/>
      <c r="N582" s="434"/>
      <c r="O582" s="434"/>
      <c r="P582" s="406"/>
      <c r="Q582" s="389">
        <f>база!$L$5</f>
        <v>231.45480000000001</v>
      </c>
      <c r="R582" s="390">
        <v>1.2</v>
      </c>
      <c r="S582" s="400">
        <f>SUMIFS(Таблица1[Столбец1],Таблица1[коэф],"1,2",Таблица1[р/р],"4/16",Таблица1[Ф. И. О.],B583)</f>
        <v>0</v>
      </c>
      <c r="T582" s="492">
        <f t="shared" si="202"/>
        <v>0</v>
      </c>
      <c r="U582" s="478">
        <f>база!$M$5</f>
        <v>247.41720000000001</v>
      </c>
      <c r="V582" s="390">
        <v>1.2</v>
      </c>
      <c r="W582" s="412">
        <f>SUMIFS(Таблица1[Столбец1],Таблица1[коэф],"1,2",Таблица1[р/р],"4/24",Таблица1[Ф. И. О.],B583)</f>
        <v>0</v>
      </c>
      <c r="X582" s="492">
        <f t="shared" si="203"/>
        <v>0</v>
      </c>
      <c r="Y582" s="764"/>
      <c r="Z582" s="766"/>
      <c r="AA582" s="756"/>
    </row>
    <row r="583" spans="1:29" ht="18.75">
      <c r="A583" s="756"/>
      <c r="B583" s="215" t="str">
        <f>база!B54</f>
        <v>Нагловская Наталья Анатольевна</v>
      </c>
      <c r="C583" s="759"/>
      <c r="D583" s="762"/>
      <c r="E583" s="389"/>
      <c r="F583" s="390"/>
      <c r="G583" s="400"/>
      <c r="H583" s="392">
        <f t="shared" si="200"/>
        <v>0</v>
      </c>
      <c r="I583" s="432"/>
      <c r="J583" s="433"/>
      <c r="K583" s="434"/>
      <c r="L583" s="484">
        <f t="shared" si="201"/>
        <v>0</v>
      </c>
      <c r="M583" s="434"/>
      <c r="N583" s="434"/>
      <c r="O583" s="434"/>
      <c r="P583" s="406"/>
      <c r="Q583" s="389">
        <f>база!$L$6</f>
        <v>261.04640000000001</v>
      </c>
      <c r="R583" s="390">
        <v>1.2</v>
      </c>
      <c r="S583" s="400">
        <f>SUMIFS(Таблица1[Столбец1],Таблица1[коэф],"1,2",Таблица1[р/р],"5/16",Таблица1[Ф. И. О.],B583)</f>
        <v>0</v>
      </c>
      <c r="T583" s="492">
        <f t="shared" si="202"/>
        <v>0</v>
      </c>
      <c r="U583" s="478">
        <f>база!$M$6</f>
        <v>279.0496</v>
      </c>
      <c r="V583" s="390">
        <v>1.2</v>
      </c>
      <c r="W583" s="412">
        <f>SUMIFS(Таблица1[Столбец1],Таблица1[коэф],"1,2",Таблица1[р/р],"5/24",Таблица1[Ф. И. О.],B583)</f>
        <v>0</v>
      </c>
      <c r="X583" s="492">
        <f t="shared" si="203"/>
        <v>0</v>
      </c>
      <c r="Y583" s="764"/>
      <c r="Z583" s="766"/>
      <c r="AA583" s="756"/>
      <c r="AC583" s="712" t="str">
        <f>IF(SUMIFS(Таблица1[Столбец3],Таблица1[Ф. И. О.],B583)-Z578=0,"",SUMIFS(Таблица1[Столбец3],Таблица1[Ф. И. О.],B583)-Z578)</f>
        <v/>
      </c>
    </row>
    <row r="584" spans="1:29" ht="18.75">
      <c r="A584" s="756"/>
      <c r="B584" s="215"/>
      <c r="C584" s="759"/>
      <c r="D584" s="762"/>
      <c r="E584" s="389"/>
      <c r="F584" s="390"/>
      <c r="G584" s="400"/>
      <c r="H584" s="392">
        <f t="shared" si="200"/>
        <v>0</v>
      </c>
      <c r="I584" s="432"/>
      <c r="J584" s="433"/>
      <c r="K584" s="434"/>
      <c r="L584" s="484">
        <f t="shared" si="201"/>
        <v>0</v>
      </c>
      <c r="M584" s="434"/>
      <c r="N584" s="434"/>
      <c r="O584" s="434"/>
      <c r="P584" s="406"/>
      <c r="Q584" s="389">
        <f>IF($D$6&lt;=3,база!$L$4,
IF($D$6=4,база!$L$5,
IF($D$6=5,база!$L$6)))</f>
        <v>231.45480000000001</v>
      </c>
      <c r="R584" s="390">
        <v>1.3</v>
      </c>
      <c r="S584" s="400">
        <f>SUMIFS(Таблица1[Столбец1],Таблица1[коэф],"1,3",Таблица1[р/р],"3/16",Таблица1[Ф. И. О.],B583)</f>
        <v>0</v>
      </c>
      <c r="T584" s="492">
        <f t="shared" si="202"/>
        <v>0</v>
      </c>
      <c r="U584" s="478">
        <f>IF(D578&lt;=3,база!$M$4,
IF(D578=4,база!$M$5,
IF(D578=5,база!$M$6)))</f>
        <v>225.09719999999999</v>
      </c>
      <c r="V584" s="390">
        <v>1.3</v>
      </c>
      <c r="W584" s="412">
        <f>SUMIFS(Таблица1[Столбец1],Таблица1[коэф],"1,3",Таблица1[р/р],"3/24",Таблица1[Ф. И. О.],B583)</f>
        <v>0</v>
      </c>
      <c r="X584" s="492">
        <f t="shared" si="203"/>
        <v>0</v>
      </c>
      <c r="Y584" s="764"/>
      <c r="Z584" s="766"/>
      <c r="AA584" s="756"/>
      <c r="AC584" s="712" t="str">
        <f>IF(SUMIFS(Таблица1[Столбец1],Таблица1[Ф. И. О.],B583)=Y578,"",B583&amp;"  часы не верны")</f>
        <v/>
      </c>
    </row>
    <row r="585" spans="1:29" ht="18.75">
      <c r="A585" s="756"/>
      <c r="B585" s="215"/>
      <c r="C585" s="759"/>
      <c r="D585" s="762"/>
      <c r="E585" s="389"/>
      <c r="F585" s="390"/>
      <c r="G585" s="400"/>
      <c r="H585" s="392">
        <f t="shared" si="200"/>
        <v>0</v>
      </c>
      <c r="I585" s="432"/>
      <c r="J585" s="433"/>
      <c r="K585" s="434"/>
      <c r="L585" s="484">
        <f t="shared" si="201"/>
        <v>0</v>
      </c>
      <c r="M585" s="434"/>
      <c r="N585" s="434"/>
      <c r="O585" s="434"/>
      <c r="P585" s="406"/>
      <c r="Q585" s="389">
        <f>база!$L$5</f>
        <v>231.45480000000001</v>
      </c>
      <c r="R585" s="390">
        <v>1.3</v>
      </c>
      <c r="S585" s="400">
        <f>SUMIFS(Таблица1[Столбец1],Таблица1[коэф],"1,3",Таблица1[р/р],"4/16",Таблица1[Ф. И. О.],B583)</f>
        <v>0</v>
      </c>
      <c r="T585" s="492">
        <f t="shared" si="202"/>
        <v>0</v>
      </c>
      <c r="U585" s="478">
        <f>база!$M$5</f>
        <v>247.41720000000001</v>
      </c>
      <c r="V585" s="390">
        <v>1.3</v>
      </c>
      <c r="W585" s="412">
        <f>SUMIFS(Таблица1[Столбец1],Таблица1[коэф],"1,3",Таблица1[р/р],"4/24",Таблица1[Ф. И. О.],B583)</f>
        <v>0</v>
      </c>
      <c r="X585" s="492">
        <f t="shared" si="203"/>
        <v>0</v>
      </c>
      <c r="Y585" s="764"/>
      <c r="Z585" s="766"/>
      <c r="AA585" s="756"/>
    </row>
    <row r="586" spans="1:29" ht="18.75">
      <c r="A586" s="756"/>
      <c r="B586" s="215"/>
      <c r="C586" s="759"/>
      <c r="D586" s="762"/>
      <c r="E586" s="389"/>
      <c r="F586" s="390"/>
      <c r="G586" s="400"/>
      <c r="H586" s="392">
        <f t="shared" si="200"/>
        <v>0</v>
      </c>
      <c r="I586" s="432"/>
      <c r="J586" s="433"/>
      <c r="K586" s="434"/>
      <c r="L586" s="484">
        <f t="shared" si="201"/>
        <v>0</v>
      </c>
      <c r="M586" s="434"/>
      <c r="N586" s="434"/>
      <c r="O586" s="434"/>
      <c r="P586" s="406"/>
      <c r="Q586" s="389">
        <f>IF(D578&lt;=3,база!$L$4,
IF(D578=4,база!$L$5,
IF(D578=5,база!$L$6)))</f>
        <v>210.57480000000001</v>
      </c>
      <c r="R586" s="390">
        <v>1.4</v>
      </c>
      <c r="S586" s="400">
        <f>SUMIFS(Таблица1[Столбец1],Таблица1[коэф],"1,4",Таблица1[р/р],"3/16",Таблица1[Ф. И. О.],B583)</f>
        <v>0</v>
      </c>
      <c r="T586" s="492">
        <f t="shared" si="202"/>
        <v>0</v>
      </c>
      <c r="U586" s="478">
        <f>IF(D578&lt;=3,база!$M$4,
IF(D578=4,база!$M$5,
IF(D578=5,база!$M$6)))</f>
        <v>225.09719999999999</v>
      </c>
      <c r="V586" s="390">
        <v>1.4</v>
      </c>
      <c r="W586" s="412">
        <f>SUMIFS(Таблица1[Столбец1],Таблица1[коэф],"1,4",Таблица1[р/р],"3/24",Таблица1[Ф. И. О.],B583)</f>
        <v>0</v>
      </c>
      <c r="X586" s="492">
        <f t="shared" si="203"/>
        <v>0</v>
      </c>
      <c r="Y586" s="764"/>
      <c r="Z586" s="766"/>
      <c r="AA586" s="756"/>
    </row>
    <row r="587" spans="1:29" ht="18.75">
      <c r="A587" s="756"/>
      <c r="B587" s="215"/>
      <c r="C587" s="759"/>
      <c r="D587" s="762"/>
      <c r="E587" s="389"/>
      <c r="F587" s="390"/>
      <c r="G587" s="400"/>
      <c r="H587" s="392">
        <f t="shared" si="200"/>
        <v>0</v>
      </c>
      <c r="I587" s="432"/>
      <c r="J587" s="433"/>
      <c r="K587" s="434"/>
      <c r="L587" s="484">
        <f t="shared" si="201"/>
        <v>0</v>
      </c>
      <c r="M587" s="434"/>
      <c r="N587" s="434"/>
      <c r="O587" s="434"/>
      <c r="P587" s="406"/>
      <c r="Q587" s="389">
        <f>база!$L$5</f>
        <v>231.45480000000001</v>
      </c>
      <c r="R587" s="390">
        <v>1.4</v>
      </c>
      <c r="S587" s="400">
        <f>SUMIFS(Таблица1[Столбец1],Таблица1[коэф],"1,4",Таблица1[р/р],"4/16",Таблица1[Ф. И. О.],B583)</f>
        <v>0</v>
      </c>
      <c r="T587" s="492">
        <f t="shared" si="202"/>
        <v>0</v>
      </c>
      <c r="U587" s="478">
        <f>база!$M$5</f>
        <v>247.41720000000001</v>
      </c>
      <c r="V587" s="390">
        <v>1.4</v>
      </c>
      <c r="W587" s="412">
        <f>SUMIFS(Таблица1[Столбец1],Таблица1[коэф],"1,4",Таблица1[р/р],"4/24",Таблица1[Ф. И. О.],B583)</f>
        <v>0</v>
      </c>
      <c r="X587" s="492">
        <f t="shared" si="203"/>
        <v>0</v>
      </c>
      <c r="Y587" s="764"/>
      <c r="Z587" s="766"/>
      <c r="AA587" s="756"/>
    </row>
    <row r="588" spans="1:29" ht="19.5" thickBot="1">
      <c r="A588" s="757"/>
      <c r="B588" s="202"/>
      <c r="C588" s="760"/>
      <c r="D588" s="763"/>
      <c r="E588" s="473"/>
      <c r="F588" s="464"/>
      <c r="G588" s="465"/>
      <c r="H588" s="468">
        <f t="shared" si="200"/>
        <v>0</v>
      </c>
      <c r="I588" s="466"/>
      <c r="J588" s="456"/>
      <c r="K588" s="457"/>
      <c r="L588" s="484">
        <f t="shared" si="201"/>
        <v>0</v>
      </c>
      <c r="M588" s="457"/>
      <c r="N588" s="457"/>
      <c r="O588" s="457"/>
      <c r="P588" s="476"/>
      <c r="Q588" s="473">
        <f>база!$L$6</f>
        <v>261.04640000000001</v>
      </c>
      <c r="R588" s="464">
        <v>1.4</v>
      </c>
      <c r="S588" s="465">
        <f>SUMIFS(Таблица1[Столбец1],Таблица1[коэф],"1,4",Таблица1[р/р],"5/16",Таблица1[Ф. И. О.],B583)</f>
        <v>0</v>
      </c>
      <c r="T588" s="492">
        <f t="shared" si="202"/>
        <v>0</v>
      </c>
      <c r="U588" s="480">
        <f>база!$M$6</f>
        <v>279.0496</v>
      </c>
      <c r="V588" s="464">
        <v>1.4</v>
      </c>
      <c r="W588" s="470">
        <f>SUMIFS(Таблица1[Столбец1],Таблица1[коэф],"1,4",Таблица1[р/р],"5/24",Таблица1[Ф. И. О.],B583)</f>
        <v>0</v>
      </c>
      <c r="X588" s="492">
        <f t="shared" si="203"/>
        <v>0</v>
      </c>
      <c r="Y588" s="765"/>
      <c r="Z588" s="767"/>
      <c r="AA588" s="757"/>
    </row>
    <row r="589" spans="1:29" ht="18.75">
      <c r="A589" s="755">
        <v>54</v>
      </c>
      <c r="B589" s="235"/>
      <c r="C589" s="758">
        <f>INDEX(база!$E$2:$E$81, MATCH(B594,база!$B$2:$B$60,0))</f>
        <v>17164</v>
      </c>
      <c r="D589" s="761">
        <f>INDEX(база!$D$2:$D$89, MATCH(B594,база!$B$2:$B$60,0))</f>
        <v>3</v>
      </c>
      <c r="E589" s="377">
        <f>IF(D589&lt;=3,база!$I$4,
IF(D589=4,база!$I$5,
IF(D589=5,база!$I$6)))</f>
        <v>188.7912</v>
      </c>
      <c r="F589" s="378">
        <v>1</v>
      </c>
      <c r="G589" s="387">
        <f>SUMIFS(Таблица1[Столбец1],Таблица1[коэф],"1",Таблица1[р/р],"2/4",Таблица1[Ф. И. О.],B594)</f>
        <v>0</v>
      </c>
      <c r="H589" s="402">
        <f t="shared" ref="H589:H599" si="206">ROUND(E589*F589*G589*2,2)</f>
        <v>0</v>
      </c>
      <c r="I589" s="426">
        <f>IF(D589&lt;=3,база!$J$4,
IF(D589=4,база!$J$5,
IF(D589=5,база!$J$6)))</f>
        <v>196.05240000000001</v>
      </c>
      <c r="J589" s="427">
        <v>1</v>
      </c>
      <c r="K589" s="428">
        <f>SUMIFS(Таблица1[Столбец1],Таблица1[коэф],"1",Таблица1[р/р],"2/8",Таблица1[Ф. И. О.],B594)</f>
        <v>0</v>
      </c>
      <c r="L589" s="383">
        <f t="shared" ref="L589:L599" si="207">ROUND(I589*J589*K589*2,2)</f>
        <v>0</v>
      </c>
      <c r="M589" s="428"/>
      <c r="N589" s="428">
        <v>1</v>
      </c>
      <c r="O589" s="428">
        <f>SUMIFS(Data_Tech!$AM$3:$AM$67,Data_Tech!$E$3:$E$67,"1",Data_Tech!$G$3:$G$67,"3/12",Data_Tech!$F$3:$F$67,B594)</f>
        <v>0</v>
      </c>
      <c r="P589" s="385">
        <f>ROUND(M589*N589*O589,2)</f>
        <v>0</v>
      </c>
      <c r="Q589" s="377">
        <f>IF(D589&lt;=3,база!$L$4,
IF(D589=4,база!$L$5,
IF(D589=5,база!$L$6)))</f>
        <v>210.57480000000001</v>
      </c>
      <c r="R589" s="378">
        <v>1</v>
      </c>
      <c r="S589" s="387">
        <f>SUMIFS(Таблица1[Столбец1],Таблица1[коэф],"1",Таблица1[р/р],"3/16",Таблица1[Ф. И. О.],B594)</f>
        <v>0</v>
      </c>
      <c r="T589" s="490">
        <f t="shared" ref="T589:T599" si="208">ROUND(Q589*R589*S589*2,2)</f>
        <v>0</v>
      </c>
      <c r="U589" s="477">
        <f>IF(D589&lt;=3,база!$M$4,
IF(D589=4,база!$M$5,
IF(D589=5,база!$M$6)))</f>
        <v>225.09719999999999</v>
      </c>
      <c r="V589" s="378">
        <v>1</v>
      </c>
      <c r="W589" s="430">
        <f>SUMIFS(Таблица1[Столбец1],Таблица1[коэф],"1",Таблица1[р/р],"3/24",Таблица1[Ф. И. О.],B594)</f>
        <v>0</v>
      </c>
      <c r="X589" s="490">
        <f t="shared" ref="X589:X599" si="209">ROUND(U589*V589*W589*2,2)</f>
        <v>0</v>
      </c>
      <c r="Y589" s="764">
        <f t="shared" ref="Y589" si="210">SUM(G589:G599,K589:K599,O589:O599,S589:S599,W589:W599)</f>
        <v>0</v>
      </c>
      <c r="Z589" s="766">
        <f t="shared" ref="Z589" si="211">IFERROR(SUM(H589:H599,L589:L599,T589:T599,X589:X599),"")</f>
        <v>0</v>
      </c>
      <c r="AA589" s="756"/>
    </row>
    <row r="590" spans="1:29" ht="18.75">
      <c r="A590" s="756"/>
      <c r="B590" s="215"/>
      <c r="C590" s="759"/>
      <c r="D590" s="762"/>
      <c r="E590" s="389">
        <f>IF(D589&lt;=3,база!$I$4,
IF(D589=4,база!$I$5,
IF(D589=5,база!$I$6)))</f>
        <v>188.7912</v>
      </c>
      <c r="F590" s="390">
        <v>1</v>
      </c>
      <c r="G590" s="400">
        <f>SUMIFS(Таблица1[Столбец1],Таблица1[коэф],"1",Таблица1[р/р],"3/4",Таблица1[Ф. И. О.],B594)</f>
        <v>0</v>
      </c>
      <c r="H590" s="392">
        <f t="shared" si="206"/>
        <v>0</v>
      </c>
      <c r="I590" s="432">
        <f>IF(D589&lt;=3,база!$J$4,
IF(D589=4,база!$J$5,
IF(D589=5,база!$J$6)))</f>
        <v>196.05240000000001</v>
      </c>
      <c r="J590" s="433">
        <v>1</v>
      </c>
      <c r="K590" s="434">
        <f>SUMIFS(Таблица1[Столбец1],Таблица1[коэф],"1",Таблица1[р/р],"3/8",Таблица1[Ф. И. О.],B594)</f>
        <v>0</v>
      </c>
      <c r="L590" s="484">
        <f t="shared" si="207"/>
        <v>0</v>
      </c>
      <c r="M590" s="434"/>
      <c r="N590" s="434">
        <v>1</v>
      </c>
      <c r="O590" s="434">
        <f>SUMIFS(Data_Tech!$AM$3:$AM$67,Data_Tech!$E$3:$E$67,"1",Data_Tech!$G$3:$G$67,"4/12",Data_Tech!$F$3:$F$67,B594)</f>
        <v>0</v>
      </c>
      <c r="P590" s="406">
        <f>ROUND(M590*O590,2)</f>
        <v>0</v>
      </c>
      <c r="Q590" s="389">
        <f>база!$L$5</f>
        <v>231.45480000000001</v>
      </c>
      <c r="R590" s="390">
        <v>1</v>
      </c>
      <c r="S590" s="400">
        <f>SUMIFS(Таблица1[Столбец1],Таблица1[коэф],"1",Таблица1[р/р],"4/16",Таблица1[Ф. И. О.],B594)</f>
        <v>0</v>
      </c>
      <c r="T590" s="492">
        <f t="shared" si="208"/>
        <v>0</v>
      </c>
      <c r="U590" s="478">
        <f>база!$M$5</f>
        <v>247.41720000000001</v>
      </c>
      <c r="V590" s="390">
        <v>1</v>
      </c>
      <c r="W590" s="412">
        <f>SUMIFS(Таблица1[Столбец1],Таблица1[коэф],"1",Таблица1[р/р],"4/24",Таблица1[Ф. И. О.],B594)</f>
        <v>0</v>
      </c>
      <c r="X590" s="492">
        <f t="shared" si="209"/>
        <v>0</v>
      </c>
      <c r="Y590" s="764"/>
      <c r="Z590" s="766"/>
      <c r="AA590" s="756"/>
    </row>
    <row r="591" spans="1:29" ht="18.75">
      <c r="A591" s="756"/>
      <c r="B591" s="215"/>
      <c r="C591" s="759"/>
      <c r="D591" s="762"/>
      <c r="E591" s="389"/>
      <c r="F591" s="390"/>
      <c r="G591" s="400"/>
      <c r="H591" s="392">
        <f t="shared" si="206"/>
        <v>0</v>
      </c>
      <c r="I591" s="432"/>
      <c r="J591" s="433"/>
      <c r="K591" s="434"/>
      <c r="L591" s="484">
        <f t="shared" si="207"/>
        <v>0</v>
      </c>
      <c r="M591" s="434"/>
      <c r="N591" s="434"/>
      <c r="O591" s="434"/>
      <c r="P591" s="406"/>
      <c r="Q591" s="389">
        <f>база!$L$6</f>
        <v>261.04640000000001</v>
      </c>
      <c r="R591" s="390">
        <v>1</v>
      </c>
      <c r="S591" s="400">
        <f>SUMIFS(Таблица1[Столбец1],Таблица1[коэф],"1",Таблица1[р/р],"5/16",Таблица1[Ф. И. О.],B594)</f>
        <v>0</v>
      </c>
      <c r="T591" s="492">
        <f t="shared" si="208"/>
        <v>0</v>
      </c>
      <c r="U591" s="478">
        <f>база!$M$6</f>
        <v>279.0496</v>
      </c>
      <c r="V591" s="390">
        <v>1</v>
      </c>
      <c r="W591" s="412">
        <f>SUMIFS(Таблица1[Столбец1],Таблица1[коэф],"1",Таблица1[р/р],"5/24",Таблица1[Ф. И. О.],B594)</f>
        <v>0</v>
      </c>
      <c r="X591" s="492">
        <f t="shared" si="209"/>
        <v>0</v>
      </c>
      <c r="Y591" s="764"/>
      <c r="Z591" s="766"/>
      <c r="AA591" s="756"/>
    </row>
    <row r="592" spans="1:29" ht="18.75">
      <c r="A592" s="756"/>
      <c r="B592" s="215"/>
      <c r="C592" s="759"/>
      <c r="D592" s="762"/>
      <c r="E592" s="389"/>
      <c r="F592" s="390"/>
      <c r="G592" s="400"/>
      <c r="H592" s="392">
        <f t="shared" si="206"/>
        <v>0</v>
      </c>
      <c r="I592" s="432">
        <f>база!$J$5</f>
        <v>215.4924</v>
      </c>
      <c r="J592" s="433">
        <v>1.5</v>
      </c>
      <c r="K592" s="434">
        <f>SUMIFS(Таблица1[Столбец1],Таблица1[коэф],"1,5",Таблица1[р/р],"4/8",Таблица1[Ф. И. О.],B594)</f>
        <v>0</v>
      </c>
      <c r="L592" s="484">
        <f t="shared" si="207"/>
        <v>0</v>
      </c>
      <c r="M592" s="434"/>
      <c r="N592" s="434"/>
      <c r="O592" s="434"/>
      <c r="P592" s="406"/>
      <c r="Q592" s="389">
        <f>IF(D589&lt;=3,база!$L$4,
IF(D589=4,база!$L$5,
IF(D589=5,база!$L$6)))</f>
        <v>210.57480000000001</v>
      </c>
      <c r="R592" s="390">
        <v>1.2</v>
      </c>
      <c r="S592" s="400">
        <f>SUMIFS(Таблица1[Столбец1],Таблица1[коэф],"1,2",Таблица1[р/р],"3/16",Таблица1[Ф. И. О.],B594)</f>
        <v>0</v>
      </c>
      <c r="T592" s="492">
        <f t="shared" si="208"/>
        <v>0</v>
      </c>
      <c r="U592" s="478">
        <f>IF(D589&lt;=3,база!$M$4,
IF(D589=4,база!$M$5,
IF(D589=5,база!$M$6)))</f>
        <v>225.09719999999999</v>
      </c>
      <c r="V592" s="390">
        <v>1.2</v>
      </c>
      <c r="W592" s="412">
        <f>SUMIFS(Таблица1[Столбец1],Таблица1[коэф],"1,2",Таблица1[р/р],"3/24",Таблица1[Ф. И. О.],B594)</f>
        <v>0</v>
      </c>
      <c r="X592" s="492">
        <f t="shared" si="209"/>
        <v>0</v>
      </c>
      <c r="Y592" s="764"/>
      <c r="Z592" s="766"/>
      <c r="AA592" s="756"/>
    </row>
    <row r="593" spans="1:29" ht="18.75">
      <c r="A593" s="756"/>
      <c r="B593" s="215"/>
      <c r="C593" s="759"/>
      <c r="D593" s="762"/>
      <c r="E593" s="389"/>
      <c r="F593" s="390"/>
      <c r="G593" s="400"/>
      <c r="H593" s="392">
        <f t="shared" si="206"/>
        <v>0</v>
      </c>
      <c r="I593" s="432">
        <f>база!$J$6</f>
        <v>243.04319999999998</v>
      </c>
      <c r="J593" s="433">
        <v>1.5</v>
      </c>
      <c r="K593" s="434">
        <f>SUMIFS(Таблица1[Столбец1],Таблица1[коэф],"1,5",Таблица1[р/р],"5/8",Таблица1[Ф. И. О.],B594)</f>
        <v>0</v>
      </c>
      <c r="L593" s="484">
        <f t="shared" si="207"/>
        <v>0</v>
      </c>
      <c r="M593" s="434"/>
      <c r="N593" s="434"/>
      <c r="O593" s="434"/>
      <c r="P593" s="406"/>
      <c r="Q593" s="389">
        <f>база!$L$5</f>
        <v>231.45480000000001</v>
      </c>
      <c r="R593" s="390">
        <v>1.2</v>
      </c>
      <c r="S593" s="400">
        <f>SUMIFS(Таблица1[Столбец1],Таблица1[коэф],"1,2",Таблица1[р/р],"4/16",Таблица1[Ф. И. О.],B594)</f>
        <v>0</v>
      </c>
      <c r="T593" s="492">
        <f t="shared" si="208"/>
        <v>0</v>
      </c>
      <c r="U593" s="478">
        <f>база!$M$5</f>
        <v>247.41720000000001</v>
      </c>
      <c r="V593" s="390">
        <v>1.2</v>
      </c>
      <c r="W593" s="412">
        <f>SUMIFS(Таблица1[Столбец1],Таблица1[коэф],"1,2",Таблица1[р/р],"4/24",Таблица1[Ф. И. О.],B594)</f>
        <v>0</v>
      </c>
      <c r="X593" s="492">
        <f t="shared" si="209"/>
        <v>0</v>
      </c>
      <c r="Y593" s="764"/>
      <c r="Z593" s="766"/>
      <c r="AA593" s="756"/>
    </row>
    <row r="594" spans="1:29" ht="18.75">
      <c r="A594" s="756"/>
      <c r="B594" s="215" t="str">
        <f>база!B55</f>
        <v>Никифорова Юлия Анатольевна</v>
      </c>
      <c r="C594" s="759"/>
      <c r="D594" s="762"/>
      <c r="E594" s="389"/>
      <c r="F594" s="390"/>
      <c r="G594" s="400"/>
      <c r="H594" s="392">
        <f t="shared" si="206"/>
        <v>0</v>
      </c>
      <c r="I594" s="432"/>
      <c r="J594" s="433"/>
      <c r="K594" s="434"/>
      <c r="L594" s="484">
        <f t="shared" si="207"/>
        <v>0</v>
      </c>
      <c r="M594" s="434"/>
      <c r="N594" s="434"/>
      <c r="O594" s="434"/>
      <c r="P594" s="406"/>
      <c r="Q594" s="389">
        <f>база!$L$6</f>
        <v>261.04640000000001</v>
      </c>
      <c r="R594" s="390">
        <v>1.2</v>
      </c>
      <c r="S594" s="400">
        <f>SUMIFS(Таблица1[Столбец1],Таблица1[коэф],"1,2",Таблица1[р/р],"5/16",Таблица1[Ф. И. О.],B594)</f>
        <v>0</v>
      </c>
      <c r="T594" s="492">
        <f t="shared" si="208"/>
        <v>0</v>
      </c>
      <c r="U594" s="478">
        <f>база!$M$6</f>
        <v>279.0496</v>
      </c>
      <c r="V594" s="390">
        <v>1.2</v>
      </c>
      <c r="W594" s="412">
        <f>SUMIFS(Таблица1[Столбец1],Таблица1[коэф],"1,2",Таблица1[р/р],"5/24",Таблица1[Ф. И. О.],B594)</f>
        <v>0</v>
      </c>
      <c r="X594" s="492">
        <f t="shared" si="209"/>
        <v>0</v>
      </c>
      <c r="Y594" s="764"/>
      <c r="Z594" s="766"/>
      <c r="AA594" s="756"/>
      <c r="AC594" s="712" t="str">
        <f>IF(SUMIFS(Таблица1[Столбец3],Таблица1[Ф. И. О.],B594)-Z589=0,"",SUMIFS(Таблица1[Столбец3],Таблица1[Ф. И. О.],B594)-Z589)</f>
        <v/>
      </c>
    </row>
    <row r="595" spans="1:29" ht="18.75">
      <c r="A595" s="756"/>
      <c r="B595" s="215"/>
      <c r="C595" s="759"/>
      <c r="D595" s="762"/>
      <c r="E595" s="389"/>
      <c r="F595" s="390"/>
      <c r="G595" s="400"/>
      <c r="H595" s="392">
        <f t="shared" si="206"/>
        <v>0</v>
      </c>
      <c r="I595" s="432"/>
      <c r="J595" s="433"/>
      <c r="K595" s="434"/>
      <c r="L595" s="484">
        <f t="shared" si="207"/>
        <v>0</v>
      </c>
      <c r="M595" s="434"/>
      <c r="N595" s="434"/>
      <c r="O595" s="434"/>
      <c r="P595" s="406"/>
      <c r="Q595" s="389">
        <f>IF($D$6&lt;=3,база!$L$4,
IF($D$6=4,база!$L$5,
IF($D$6=5,база!$L$6)))</f>
        <v>231.45480000000001</v>
      </c>
      <c r="R595" s="390">
        <v>1.3</v>
      </c>
      <c r="S595" s="400">
        <f>SUMIFS(Таблица1[Столбец1],Таблица1[коэф],"1,3",Таблица1[р/р],"3/16",Таблица1[Ф. И. О.],B594)</f>
        <v>0</v>
      </c>
      <c r="T595" s="492">
        <f t="shared" si="208"/>
        <v>0</v>
      </c>
      <c r="U595" s="478">
        <f>IF(D589&lt;=3,база!$M$4,
IF(D589=4,база!$M$5,
IF(D589=5,база!$M$6)))</f>
        <v>225.09719999999999</v>
      </c>
      <c r="V595" s="390">
        <v>1.3</v>
      </c>
      <c r="W595" s="412">
        <f>SUMIFS(Таблица1[Столбец1],Таблица1[коэф],"1,3",Таблица1[р/р],"3/24",Таблица1[Ф. И. О.],B594)</f>
        <v>0</v>
      </c>
      <c r="X595" s="492">
        <f t="shared" si="209"/>
        <v>0</v>
      </c>
      <c r="Y595" s="764"/>
      <c r="Z595" s="766"/>
      <c r="AA595" s="756"/>
      <c r="AC595" s="712" t="str">
        <f>IF(SUMIFS(Таблица1[Столбец1],Таблица1[Ф. И. О.],B594)=Y589,"",B594&amp;"  часы не верны")</f>
        <v/>
      </c>
    </row>
    <row r="596" spans="1:29" ht="18.75">
      <c r="A596" s="756"/>
      <c r="B596" s="215"/>
      <c r="C596" s="759"/>
      <c r="D596" s="762"/>
      <c r="E596" s="389"/>
      <c r="F596" s="390"/>
      <c r="G596" s="400"/>
      <c r="H596" s="392">
        <f t="shared" si="206"/>
        <v>0</v>
      </c>
      <c r="I596" s="432"/>
      <c r="J596" s="433"/>
      <c r="K596" s="434"/>
      <c r="L596" s="484">
        <f t="shared" si="207"/>
        <v>0</v>
      </c>
      <c r="M596" s="434"/>
      <c r="N596" s="434"/>
      <c r="O596" s="434"/>
      <c r="P596" s="406"/>
      <c r="Q596" s="389">
        <f>база!$L$5</f>
        <v>231.45480000000001</v>
      </c>
      <c r="R596" s="390">
        <v>1.3</v>
      </c>
      <c r="S596" s="400">
        <f>SUMIFS(Таблица1[Столбец1],Таблица1[коэф],"1,3",Таблица1[р/р],"4/16",Таблица1[Ф. И. О.],B594)</f>
        <v>0</v>
      </c>
      <c r="T596" s="492">
        <f t="shared" si="208"/>
        <v>0</v>
      </c>
      <c r="U596" s="478">
        <f>база!$M$5</f>
        <v>247.41720000000001</v>
      </c>
      <c r="V596" s="390">
        <v>1.3</v>
      </c>
      <c r="W596" s="412">
        <f>SUMIFS(Таблица1[Столбец1],Таблица1[коэф],"1,3",Таблица1[р/р],"4/24",Таблица1[Ф. И. О.],B594)</f>
        <v>0</v>
      </c>
      <c r="X596" s="492">
        <f t="shared" si="209"/>
        <v>0</v>
      </c>
      <c r="Y596" s="764"/>
      <c r="Z596" s="766"/>
      <c r="AA596" s="756"/>
    </row>
    <row r="597" spans="1:29" ht="18.75">
      <c r="A597" s="756"/>
      <c r="B597" s="215"/>
      <c r="C597" s="759"/>
      <c r="D597" s="762"/>
      <c r="E597" s="389"/>
      <c r="F597" s="390"/>
      <c r="G597" s="400"/>
      <c r="H597" s="392">
        <f t="shared" si="206"/>
        <v>0</v>
      </c>
      <c r="I597" s="432"/>
      <c r="J597" s="433"/>
      <c r="K597" s="434"/>
      <c r="L597" s="484">
        <f t="shared" si="207"/>
        <v>0</v>
      </c>
      <c r="M597" s="434"/>
      <c r="N597" s="434"/>
      <c r="O597" s="434"/>
      <c r="P597" s="406"/>
      <c r="Q597" s="389">
        <f>IF(D589&lt;=3,база!$L$4,
IF(D589=4,база!$L$5,
IF(D589=5,база!$L$6)))</f>
        <v>210.57480000000001</v>
      </c>
      <c r="R597" s="390">
        <v>1.4</v>
      </c>
      <c r="S597" s="400">
        <f>SUMIFS(Таблица1[Столбец1],Таблица1[коэф],"1,4",Таблица1[р/р],"3/16",Таблица1[Ф. И. О.],B594)</f>
        <v>0</v>
      </c>
      <c r="T597" s="492">
        <f t="shared" si="208"/>
        <v>0</v>
      </c>
      <c r="U597" s="478">
        <f>IF(D589&lt;=3,база!$M$4,
IF(D589=4,база!$M$5,
IF(D589=5,база!$M$6)))</f>
        <v>225.09719999999999</v>
      </c>
      <c r="V597" s="390">
        <v>1.4</v>
      </c>
      <c r="W597" s="412">
        <f>SUMIFS(Таблица1[Столбец1],Таблица1[коэф],"1,4",Таблица1[р/р],"3/24",Таблица1[Ф. И. О.],B594)</f>
        <v>0</v>
      </c>
      <c r="X597" s="492">
        <f t="shared" si="209"/>
        <v>0</v>
      </c>
      <c r="Y597" s="764"/>
      <c r="Z597" s="766"/>
      <c r="AA597" s="756"/>
    </row>
    <row r="598" spans="1:29" ht="18.75">
      <c r="A598" s="756"/>
      <c r="B598" s="215"/>
      <c r="C598" s="759"/>
      <c r="D598" s="762"/>
      <c r="E598" s="389"/>
      <c r="F598" s="390"/>
      <c r="G598" s="400"/>
      <c r="H598" s="392">
        <f t="shared" si="206"/>
        <v>0</v>
      </c>
      <c r="I598" s="432"/>
      <c r="J598" s="433"/>
      <c r="K598" s="434"/>
      <c r="L598" s="484">
        <f t="shared" si="207"/>
        <v>0</v>
      </c>
      <c r="M598" s="434"/>
      <c r="N598" s="434"/>
      <c r="O598" s="434"/>
      <c r="P598" s="406"/>
      <c r="Q598" s="389">
        <f>база!$L$5</f>
        <v>231.45480000000001</v>
      </c>
      <c r="R598" s="390">
        <v>1.4</v>
      </c>
      <c r="S598" s="400">
        <f>SUMIFS(Таблица1[Столбец1],Таблица1[коэф],"1,4",Таблица1[р/р],"4/16",Таблица1[Ф. И. О.],B594)</f>
        <v>0</v>
      </c>
      <c r="T598" s="492">
        <f t="shared" si="208"/>
        <v>0</v>
      </c>
      <c r="U598" s="478">
        <f>база!$M$5</f>
        <v>247.41720000000001</v>
      </c>
      <c r="V598" s="390">
        <v>1.4</v>
      </c>
      <c r="W598" s="412">
        <f>SUMIFS(Таблица1[Столбец1],Таблица1[коэф],"1,4",Таблица1[р/р],"4/24",Таблица1[Ф. И. О.],B594)</f>
        <v>0</v>
      </c>
      <c r="X598" s="492">
        <f t="shared" si="209"/>
        <v>0</v>
      </c>
      <c r="Y598" s="764"/>
      <c r="Z598" s="766"/>
      <c r="AA598" s="756"/>
    </row>
    <row r="599" spans="1:29" ht="19.5" thickBot="1">
      <c r="A599" s="757"/>
      <c r="B599" s="202"/>
      <c r="C599" s="760"/>
      <c r="D599" s="763"/>
      <c r="E599" s="473"/>
      <c r="F599" s="464"/>
      <c r="G599" s="465"/>
      <c r="H599" s="440">
        <f t="shared" si="206"/>
        <v>0</v>
      </c>
      <c r="I599" s="466"/>
      <c r="J599" s="456"/>
      <c r="K599" s="457"/>
      <c r="L599" s="484">
        <f t="shared" si="207"/>
        <v>0</v>
      </c>
      <c r="M599" s="457"/>
      <c r="N599" s="457"/>
      <c r="O599" s="457"/>
      <c r="P599" s="476"/>
      <c r="Q599" s="473">
        <f>база!$L$6</f>
        <v>261.04640000000001</v>
      </c>
      <c r="R599" s="464">
        <v>1.4</v>
      </c>
      <c r="S599" s="465">
        <f>SUMIFS(Таблица1[Столбец1],Таблица1[коэф],"1,4",Таблица1[р/р],"5/16",Таблица1[Ф. И. О.],B594)</f>
        <v>0</v>
      </c>
      <c r="T599" s="492">
        <f t="shared" si="208"/>
        <v>0</v>
      </c>
      <c r="U599" s="480">
        <f>база!$M$6</f>
        <v>279.0496</v>
      </c>
      <c r="V599" s="464">
        <v>1.4</v>
      </c>
      <c r="W599" s="470">
        <f>SUMIFS(Таблица1[Столбец1],Таблица1[коэф],"1,4",Таблица1[р/р],"5/24",Таблица1[Ф. И. О.],B594)</f>
        <v>0</v>
      </c>
      <c r="X599" s="492">
        <f t="shared" si="209"/>
        <v>0</v>
      </c>
      <c r="Y599" s="765"/>
      <c r="Z599" s="767"/>
      <c r="AA599" s="757"/>
    </row>
    <row r="600" spans="1:29" ht="18.75">
      <c r="A600" s="755">
        <v>55</v>
      </c>
      <c r="B600" s="235"/>
      <c r="C600" s="758">
        <f>INDEX(база!$E$2:$E$81, MATCH(B605,база!$B$2:$B$60,0))</f>
        <v>17307</v>
      </c>
      <c r="D600" s="761">
        <f>INDEX(база!$D$2:$D$89, MATCH(B605,база!$B$2:$B$60,0))</f>
        <v>3</v>
      </c>
      <c r="E600" s="377">
        <f>IF(D600&lt;=3,база!$I$4,
IF(D600=4,база!$I$5,
IF(D600=5,база!$I$6)))</f>
        <v>188.7912</v>
      </c>
      <c r="F600" s="378">
        <v>1</v>
      </c>
      <c r="G600" s="387">
        <f>SUMIFS(Таблица1[Столбец1],Таблица1[коэф],"1",Таблица1[р/р],"2/4",Таблица1[Ф. И. О.],B605)</f>
        <v>0</v>
      </c>
      <c r="H600" s="380">
        <f t="shared" ref="H600:H610" si="212">ROUND(E600*F600*G600*2,2)</f>
        <v>0</v>
      </c>
      <c r="I600" s="426">
        <f>IF(D600&lt;=3,база!$J$4,
IF(D600=4,база!$J$5,
IF(D600=5,база!$J$6)))</f>
        <v>196.05240000000001</v>
      </c>
      <c r="J600" s="427">
        <v>1</v>
      </c>
      <c r="K600" s="428">
        <f>SUMIFS(Таблица1[Столбец1],Таблица1[коэф],"1",Таблица1[р/р],"2/8",Таблица1[Ф. И. О.],B605)</f>
        <v>0</v>
      </c>
      <c r="L600" s="383">
        <f t="shared" ref="L600:L610" si="213">ROUND(I600*J600*K600*2,2)</f>
        <v>0</v>
      </c>
      <c r="M600" s="428"/>
      <c r="N600" s="428">
        <v>1</v>
      </c>
      <c r="O600" s="428">
        <f>SUMIFS(Data_Tech!$AM$3:$AM$67,Data_Tech!$E$3:$E$67,"1",Data_Tech!$G$3:$G$67,"3/12",Data_Tech!$F$3:$F$67,B605)</f>
        <v>0</v>
      </c>
      <c r="P600" s="385">
        <f>ROUND(M600*N600*O600,2)</f>
        <v>0</v>
      </c>
      <c r="Q600" s="377">
        <f>IF(D600&lt;=3,база!$L$4,
IF(D600=4,база!$L$5,
IF(D600=5,база!$L$6)))</f>
        <v>210.57480000000001</v>
      </c>
      <c r="R600" s="378">
        <v>1</v>
      </c>
      <c r="S600" s="387">
        <f>SUMIFS(Таблица1[Столбец1],Таблица1[коэф],"1",Таблица1[р/р],"3/16",Таблица1[Ф. И. О.],B605)</f>
        <v>0</v>
      </c>
      <c r="T600" s="490">
        <f t="shared" ref="T600:T610" si="214">ROUND(Q600*R600*S600*2,2)</f>
        <v>0</v>
      </c>
      <c r="U600" s="477">
        <f>IF(D600&lt;=3,база!$M$4,
IF(D600=4,база!$M$5,
IF(D600=5,база!$M$6)))</f>
        <v>225.09719999999999</v>
      </c>
      <c r="V600" s="378">
        <v>1</v>
      </c>
      <c r="W600" s="430">
        <f>SUMIFS(Таблица1[Столбец1],Таблица1[коэф],"1",Таблица1[р/р],"3/24",Таблица1[Ф. И. О.],B605)</f>
        <v>0</v>
      </c>
      <c r="X600" s="490">
        <f t="shared" ref="X600:X610" si="215">ROUND(U600*V600*W600*2,2)</f>
        <v>0</v>
      </c>
      <c r="Y600" s="764">
        <f t="shared" ref="Y600" si="216">SUM(G600:G610,K600:K610,O600:O610,S600:S610,W600:W610)</f>
        <v>0</v>
      </c>
      <c r="Z600" s="766">
        <f t="shared" ref="Z600" si="217">IFERROR(SUM(H600:H610,L600:L610,T600:T610,X600:X610),"")</f>
        <v>0</v>
      </c>
      <c r="AA600" s="756"/>
    </row>
    <row r="601" spans="1:29" ht="18.75">
      <c r="A601" s="756"/>
      <c r="B601" s="215"/>
      <c r="C601" s="759"/>
      <c r="D601" s="762"/>
      <c r="E601" s="389">
        <f>IF(D600&lt;=3,база!$I$4,
IF(D600=4,база!$I$5,
IF(D600=5,база!$I$6)))</f>
        <v>188.7912</v>
      </c>
      <c r="F601" s="390">
        <v>1</v>
      </c>
      <c r="G601" s="400">
        <f>SUMIFS(Таблица1[Столбец1],Таблица1[коэф],"1",Таблица1[р/р],"3/4",Таблица1[Ф. И. О.],B605)</f>
        <v>0</v>
      </c>
      <c r="H601" s="392">
        <f t="shared" si="212"/>
        <v>0</v>
      </c>
      <c r="I601" s="432">
        <f>IF(D600&lt;=3,база!$J$4,
IF(D600=4,база!$J$5,
IF(D600=5,база!$J$6)))</f>
        <v>196.05240000000001</v>
      </c>
      <c r="J601" s="433">
        <v>1</v>
      </c>
      <c r="K601" s="434">
        <f>SUMIFS(Таблица1[Столбец1],Таблица1[коэф],"1",Таблица1[р/р],"3/8",Таблица1[Ф. И. О.],B605)</f>
        <v>0</v>
      </c>
      <c r="L601" s="484">
        <f t="shared" si="213"/>
        <v>0</v>
      </c>
      <c r="M601" s="434"/>
      <c r="N601" s="434">
        <v>1</v>
      </c>
      <c r="O601" s="434">
        <f>SUMIFS(Data_Tech!$AM$3:$AM$67,Data_Tech!$E$3:$E$67,"1",Data_Tech!$G$3:$G$67,"4/12",Data_Tech!$F$3:$F$67,B605)</f>
        <v>0</v>
      </c>
      <c r="P601" s="406">
        <f>ROUND(M601*O601,2)</f>
        <v>0</v>
      </c>
      <c r="Q601" s="389">
        <f>база!$L$5</f>
        <v>231.45480000000001</v>
      </c>
      <c r="R601" s="390">
        <v>1</v>
      </c>
      <c r="S601" s="400">
        <f>SUMIFS(Таблица1[Столбец1],Таблица1[коэф],"1",Таблица1[р/р],"4/16",Таблица1[Ф. И. О.],B605)</f>
        <v>0</v>
      </c>
      <c r="T601" s="492">
        <f t="shared" si="214"/>
        <v>0</v>
      </c>
      <c r="U601" s="478">
        <f>база!$M$5</f>
        <v>247.41720000000001</v>
      </c>
      <c r="V601" s="390">
        <v>1</v>
      </c>
      <c r="W601" s="412">
        <f>SUMIFS(Таблица1[Столбец1],Таблица1[коэф],"1",Таблица1[р/р],"4/24",Таблица1[Ф. И. О.],B605)</f>
        <v>0</v>
      </c>
      <c r="X601" s="492">
        <f t="shared" si="215"/>
        <v>0</v>
      </c>
      <c r="Y601" s="764"/>
      <c r="Z601" s="766"/>
      <c r="AA601" s="756"/>
    </row>
    <row r="602" spans="1:29" ht="18.75">
      <c r="A602" s="756"/>
      <c r="B602" s="215"/>
      <c r="C602" s="759"/>
      <c r="D602" s="762"/>
      <c r="E602" s="389"/>
      <c r="F602" s="390"/>
      <c r="G602" s="400"/>
      <c r="H602" s="392">
        <f t="shared" si="212"/>
        <v>0</v>
      </c>
      <c r="I602" s="432"/>
      <c r="J602" s="433"/>
      <c r="K602" s="434"/>
      <c r="L602" s="484">
        <f t="shared" si="213"/>
        <v>0</v>
      </c>
      <c r="M602" s="434"/>
      <c r="N602" s="434"/>
      <c r="O602" s="434"/>
      <c r="P602" s="406"/>
      <c r="Q602" s="389">
        <f>база!$L$6</f>
        <v>261.04640000000001</v>
      </c>
      <c r="R602" s="390">
        <v>1</v>
      </c>
      <c r="S602" s="400">
        <f>SUMIFS(Таблица1[Столбец1],Таблица1[коэф],"1",Таблица1[р/р],"5/16",Таблица1[Ф. И. О.],B605)</f>
        <v>0</v>
      </c>
      <c r="T602" s="492">
        <f t="shared" si="214"/>
        <v>0</v>
      </c>
      <c r="U602" s="478">
        <f>база!$M$6</f>
        <v>279.0496</v>
      </c>
      <c r="V602" s="390">
        <v>1</v>
      </c>
      <c r="W602" s="412">
        <f>SUMIFS(Таблица1[Столбец1],Таблица1[коэф],"1",Таблица1[р/р],"5/24",Таблица1[Ф. И. О.],B605)</f>
        <v>0</v>
      </c>
      <c r="X602" s="492">
        <f t="shared" si="215"/>
        <v>0</v>
      </c>
      <c r="Y602" s="764"/>
      <c r="Z602" s="766"/>
      <c r="AA602" s="756"/>
    </row>
    <row r="603" spans="1:29" ht="18.75">
      <c r="A603" s="756"/>
      <c r="B603" s="215"/>
      <c r="C603" s="759"/>
      <c r="D603" s="762"/>
      <c r="E603" s="389"/>
      <c r="F603" s="390"/>
      <c r="G603" s="400"/>
      <c r="H603" s="392">
        <f t="shared" si="212"/>
        <v>0</v>
      </c>
      <c r="I603" s="432">
        <f>база!$J$5</f>
        <v>215.4924</v>
      </c>
      <c r="J603" s="433">
        <v>1.5</v>
      </c>
      <c r="K603" s="434">
        <f>SUMIFS(Таблица1[Столбец1],Таблица1[коэф],"1,5",Таблица1[р/р],"4/8",Таблица1[Ф. И. О.],B605)</f>
        <v>0</v>
      </c>
      <c r="L603" s="484">
        <f t="shared" si="213"/>
        <v>0</v>
      </c>
      <c r="M603" s="434"/>
      <c r="N603" s="434"/>
      <c r="O603" s="434"/>
      <c r="P603" s="406"/>
      <c r="Q603" s="389">
        <f>IF(D600&lt;=3,база!$L$4,
IF(D600=4,база!$L$5,
IF(D600=5,база!$L$6)))</f>
        <v>210.57480000000001</v>
      </c>
      <c r="R603" s="390">
        <v>1.2</v>
      </c>
      <c r="S603" s="400">
        <f>SUMIFS(Таблица1[Столбец1],Таблица1[коэф],"1,2",Таблица1[р/р],"3/16",Таблица1[Ф. И. О.],B605)</f>
        <v>0</v>
      </c>
      <c r="T603" s="492">
        <f t="shared" si="214"/>
        <v>0</v>
      </c>
      <c r="U603" s="478">
        <f>IF(D600&lt;=3,база!$M$4,
IF(D600=4,база!$M$5,
IF(D600=5,база!$M$6)))</f>
        <v>225.09719999999999</v>
      </c>
      <c r="V603" s="390">
        <v>1.2</v>
      </c>
      <c r="W603" s="412">
        <f>SUMIFS(Таблица1[Столбец1],Таблица1[коэф],"1,2",Таблица1[р/р],"3/24",Таблица1[Ф. И. О.],B605)</f>
        <v>0</v>
      </c>
      <c r="X603" s="492">
        <f t="shared" si="215"/>
        <v>0</v>
      </c>
      <c r="Y603" s="764"/>
      <c r="Z603" s="766"/>
      <c r="AA603" s="756"/>
    </row>
    <row r="604" spans="1:29" ht="18.75">
      <c r="A604" s="756"/>
      <c r="B604" s="215"/>
      <c r="C604" s="759"/>
      <c r="D604" s="762"/>
      <c r="E604" s="389"/>
      <c r="F604" s="390"/>
      <c r="G604" s="400"/>
      <c r="H604" s="392">
        <f t="shared" si="212"/>
        <v>0</v>
      </c>
      <c r="I604" s="432">
        <f>база!$J$6</f>
        <v>243.04319999999998</v>
      </c>
      <c r="J604" s="433">
        <v>1.5</v>
      </c>
      <c r="K604" s="434">
        <f>SUMIFS(Таблица1[Столбец1],Таблица1[коэф],"1,5",Таблица1[р/р],"5/8",Таблица1[Ф. И. О.],B605)</f>
        <v>0</v>
      </c>
      <c r="L604" s="484">
        <f t="shared" si="213"/>
        <v>0</v>
      </c>
      <c r="M604" s="434"/>
      <c r="N604" s="434"/>
      <c r="O604" s="434"/>
      <c r="P604" s="406"/>
      <c r="Q604" s="389">
        <f>база!$L$5</f>
        <v>231.45480000000001</v>
      </c>
      <c r="R604" s="390">
        <v>1.2</v>
      </c>
      <c r="S604" s="400">
        <f>SUMIFS(Таблица1[Столбец1],Таблица1[коэф],"1,2",Таблица1[р/р],"4/16",Таблица1[Ф. И. О.],B605)</f>
        <v>0</v>
      </c>
      <c r="T604" s="492">
        <f t="shared" si="214"/>
        <v>0</v>
      </c>
      <c r="U604" s="478">
        <f>база!$M$5</f>
        <v>247.41720000000001</v>
      </c>
      <c r="V604" s="390">
        <v>1.2</v>
      </c>
      <c r="W604" s="412">
        <f>SUMIFS(Таблица1[Столбец1],Таблица1[коэф],"1,2",Таблица1[р/р],"4/24",Таблица1[Ф. И. О.],B605)</f>
        <v>0</v>
      </c>
      <c r="X604" s="492">
        <f t="shared" si="215"/>
        <v>0</v>
      </c>
      <c r="Y604" s="764"/>
      <c r="Z604" s="766"/>
      <c r="AA604" s="756"/>
    </row>
    <row r="605" spans="1:29" ht="18.75">
      <c r="A605" s="756"/>
      <c r="B605" s="215" t="str">
        <f>база!B56</f>
        <v>Новикова Александра Владимировна</v>
      </c>
      <c r="C605" s="759"/>
      <c r="D605" s="762"/>
      <c r="E605" s="389"/>
      <c r="F605" s="390"/>
      <c r="G605" s="400"/>
      <c r="H605" s="392">
        <f t="shared" si="212"/>
        <v>0</v>
      </c>
      <c r="I605" s="432"/>
      <c r="J605" s="433"/>
      <c r="K605" s="434"/>
      <c r="L605" s="484">
        <f t="shared" si="213"/>
        <v>0</v>
      </c>
      <c r="M605" s="434"/>
      <c r="N605" s="434"/>
      <c r="O605" s="434"/>
      <c r="P605" s="406"/>
      <c r="Q605" s="389">
        <f>база!$L$6</f>
        <v>261.04640000000001</v>
      </c>
      <c r="R605" s="390">
        <v>1.2</v>
      </c>
      <c r="S605" s="400">
        <f>SUMIFS(Таблица1[Столбец1],Таблица1[коэф],"1,2",Таблица1[р/р],"5/16",Таблица1[Ф. И. О.],B605)</f>
        <v>0</v>
      </c>
      <c r="T605" s="492">
        <f t="shared" si="214"/>
        <v>0</v>
      </c>
      <c r="U605" s="478">
        <f>база!$M$6</f>
        <v>279.0496</v>
      </c>
      <c r="V605" s="390">
        <v>1.2</v>
      </c>
      <c r="W605" s="412">
        <f>SUMIFS(Таблица1[Столбец1],Таблица1[коэф],"1,2",Таблица1[р/р],"5/24",Таблица1[Ф. И. О.],B605)</f>
        <v>0</v>
      </c>
      <c r="X605" s="492">
        <f t="shared" si="215"/>
        <v>0</v>
      </c>
      <c r="Y605" s="764"/>
      <c r="Z605" s="766"/>
      <c r="AA605" s="756"/>
      <c r="AC605" s="712" t="str">
        <f>IF(SUMIFS(Таблица1[Столбец3],Таблица1[Ф. И. О.],B605)-Z600=0,"",SUMIFS(Таблица1[Столбец3],Таблица1[Ф. И. О.],B605)-Z600)</f>
        <v/>
      </c>
    </row>
    <row r="606" spans="1:29" ht="18.75">
      <c r="A606" s="756"/>
      <c r="B606" s="215"/>
      <c r="C606" s="759"/>
      <c r="D606" s="762"/>
      <c r="E606" s="389"/>
      <c r="F606" s="390"/>
      <c r="G606" s="400"/>
      <c r="H606" s="392">
        <f t="shared" si="212"/>
        <v>0</v>
      </c>
      <c r="I606" s="432"/>
      <c r="J606" s="433"/>
      <c r="K606" s="434"/>
      <c r="L606" s="484">
        <f t="shared" si="213"/>
        <v>0</v>
      </c>
      <c r="M606" s="434"/>
      <c r="N606" s="434"/>
      <c r="O606" s="434"/>
      <c r="P606" s="406"/>
      <c r="Q606" s="389">
        <f>IF($D$6&lt;=3,база!$L$4,
IF($D$6=4,база!$L$5,
IF($D$6=5,база!$L$6)))</f>
        <v>231.45480000000001</v>
      </c>
      <c r="R606" s="390">
        <v>1.3</v>
      </c>
      <c r="S606" s="400">
        <f>SUMIFS(Таблица1[Столбец1],Таблица1[коэф],"1,3",Таблица1[р/р],"3/16",Таблица1[Ф. И. О.],B605)</f>
        <v>0</v>
      </c>
      <c r="T606" s="492">
        <f t="shared" si="214"/>
        <v>0</v>
      </c>
      <c r="U606" s="478">
        <f>IF(D600&lt;=3,база!$M$4,
IF(D600=4,база!$M$5,
IF(D600=5,база!$M$6)))</f>
        <v>225.09719999999999</v>
      </c>
      <c r="V606" s="390">
        <v>1.3</v>
      </c>
      <c r="W606" s="412">
        <f>SUMIFS(Таблица1[Столбец1],Таблица1[коэф],"1,3",Таблица1[р/р],"3/24",Таблица1[Ф. И. О.],B605)</f>
        <v>0</v>
      </c>
      <c r="X606" s="492">
        <f t="shared" si="215"/>
        <v>0</v>
      </c>
      <c r="Y606" s="764"/>
      <c r="Z606" s="766"/>
      <c r="AA606" s="756"/>
      <c r="AC606" s="712" t="str">
        <f>IF(SUMIFS(Таблица1[Столбец1],Таблица1[Ф. И. О.],B605)=Y600,"",B605&amp;"  часы не верны")</f>
        <v/>
      </c>
    </row>
    <row r="607" spans="1:29" ht="18.75">
      <c r="A607" s="756"/>
      <c r="B607" s="215"/>
      <c r="C607" s="759"/>
      <c r="D607" s="762"/>
      <c r="E607" s="389"/>
      <c r="F607" s="390"/>
      <c r="G607" s="400"/>
      <c r="H607" s="392">
        <f t="shared" si="212"/>
        <v>0</v>
      </c>
      <c r="I607" s="432"/>
      <c r="J607" s="433"/>
      <c r="K607" s="434"/>
      <c r="L607" s="484">
        <f t="shared" si="213"/>
        <v>0</v>
      </c>
      <c r="M607" s="434"/>
      <c r="N607" s="434"/>
      <c r="O607" s="434"/>
      <c r="P607" s="406"/>
      <c r="Q607" s="389">
        <f>база!$L$5</f>
        <v>231.45480000000001</v>
      </c>
      <c r="R607" s="390">
        <v>1.3</v>
      </c>
      <c r="S607" s="400">
        <f>SUMIFS(Таблица1[Столбец1],Таблица1[коэф],"1,3",Таблица1[р/р],"4/16",Таблица1[Ф. И. О.],B605)</f>
        <v>0</v>
      </c>
      <c r="T607" s="492">
        <f t="shared" si="214"/>
        <v>0</v>
      </c>
      <c r="U607" s="478">
        <f>база!$M$5</f>
        <v>247.41720000000001</v>
      </c>
      <c r="V607" s="390">
        <v>1.3</v>
      </c>
      <c r="W607" s="412">
        <f>SUMIFS(Таблица1[Столбец1],Таблица1[коэф],"1,3",Таблица1[р/р],"4/24",Таблица1[Ф. И. О.],B605)</f>
        <v>0</v>
      </c>
      <c r="X607" s="492">
        <f t="shared" si="215"/>
        <v>0</v>
      </c>
      <c r="Y607" s="764"/>
      <c r="Z607" s="766"/>
      <c r="AA607" s="756"/>
    </row>
    <row r="608" spans="1:29" ht="18.75">
      <c r="A608" s="756"/>
      <c r="B608" s="215"/>
      <c r="C608" s="759"/>
      <c r="D608" s="762"/>
      <c r="E608" s="389"/>
      <c r="F608" s="390"/>
      <c r="G608" s="400"/>
      <c r="H608" s="392">
        <f t="shared" si="212"/>
        <v>0</v>
      </c>
      <c r="I608" s="432"/>
      <c r="J608" s="433"/>
      <c r="K608" s="434"/>
      <c r="L608" s="484">
        <f t="shared" si="213"/>
        <v>0</v>
      </c>
      <c r="M608" s="434"/>
      <c r="N608" s="434"/>
      <c r="O608" s="434"/>
      <c r="P608" s="406"/>
      <c r="Q608" s="389">
        <f>IF(D600&lt;=3,база!$L$4,
IF(D600=4,база!$L$5,
IF(D600=5,база!$L$6)))</f>
        <v>210.57480000000001</v>
      </c>
      <c r="R608" s="390">
        <v>1.4</v>
      </c>
      <c r="S608" s="400">
        <f>SUMIFS(Таблица1[Столбец1],Таблица1[коэф],"1,4",Таблица1[р/р],"3/16",Таблица1[Ф. И. О.],B605)</f>
        <v>0</v>
      </c>
      <c r="T608" s="492">
        <f t="shared" si="214"/>
        <v>0</v>
      </c>
      <c r="U608" s="478">
        <f>IF(D600&lt;=3,база!$M$4,
IF(D600=4,база!$M$5,
IF(D600=5,база!$M$6)))</f>
        <v>225.09719999999999</v>
      </c>
      <c r="V608" s="390">
        <v>1.4</v>
      </c>
      <c r="W608" s="412">
        <f>SUMIFS(Таблица1[Столбец1],Таблица1[коэф],"1,4",Таблица1[р/р],"3/24",Таблица1[Ф. И. О.],B605)</f>
        <v>0</v>
      </c>
      <c r="X608" s="492">
        <f t="shared" si="215"/>
        <v>0</v>
      </c>
      <c r="Y608" s="764"/>
      <c r="Z608" s="766"/>
      <c r="AA608" s="756"/>
    </row>
    <row r="609" spans="1:29" ht="18.75">
      <c r="A609" s="756"/>
      <c r="B609" s="215"/>
      <c r="C609" s="759"/>
      <c r="D609" s="762"/>
      <c r="E609" s="389"/>
      <c r="F609" s="390"/>
      <c r="G609" s="400"/>
      <c r="H609" s="392">
        <f t="shared" si="212"/>
        <v>0</v>
      </c>
      <c r="I609" s="432"/>
      <c r="J609" s="433"/>
      <c r="K609" s="434"/>
      <c r="L609" s="484">
        <f t="shared" si="213"/>
        <v>0</v>
      </c>
      <c r="M609" s="434"/>
      <c r="N609" s="434"/>
      <c r="O609" s="434"/>
      <c r="P609" s="406"/>
      <c r="Q609" s="389">
        <f>база!$L$5</f>
        <v>231.45480000000001</v>
      </c>
      <c r="R609" s="390">
        <v>1.4</v>
      </c>
      <c r="S609" s="400">
        <f>SUMIFS(Таблица1[Столбец1],Таблица1[коэф],"1,4",Таблица1[р/р],"4/16",Таблица1[Ф. И. О.],B605)</f>
        <v>0</v>
      </c>
      <c r="T609" s="492">
        <f t="shared" si="214"/>
        <v>0</v>
      </c>
      <c r="U609" s="478">
        <f>база!$M$5</f>
        <v>247.41720000000001</v>
      </c>
      <c r="V609" s="390">
        <v>1.4</v>
      </c>
      <c r="W609" s="412">
        <f>SUMIFS(Таблица1[Столбец1],Таблица1[коэф],"1,4",Таблица1[р/р],"4/24",Таблица1[Ф. И. О.],B605)</f>
        <v>0</v>
      </c>
      <c r="X609" s="492">
        <f t="shared" si="215"/>
        <v>0</v>
      </c>
      <c r="Y609" s="764"/>
      <c r="Z609" s="766"/>
      <c r="AA609" s="756"/>
    </row>
    <row r="610" spans="1:29" ht="19.5" thickBot="1">
      <c r="A610" s="757"/>
      <c r="B610" s="202"/>
      <c r="C610" s="760"/>
      <c r="D610" s="763"/>
      <c r="E610" s="473"/>
      <c r="F610" s="464"/>
      <c r="G610" s="465"/>
      <c r="H610" s="402">
        <f t="shared" si="212"/>
        <v>0</v>
      </c>
      <c r="I610" s="466"/>
      <c r="J610" s="456"/>
      <c r="K610" s="457"/>
      <c r="L610" s="484">
        <f t="shared" si="213"/>
        <v>0</v>
      </c>
      <c r="M610" s="457"/>
      <c r="N610" s="457"/>
      <c r="O610" s="457"/>
      <c r="P610" s="476"/>
      <c r="Q610" s="473">
        <f>база!$L$6</f>
        <v>261.04640000000001</v>
      </c>
      <c r="R610" s="464">
        <v>1.4</v>
      </c>
      <c r="S610" s="465">
        <f>SUMIFS(Таблица1[Столбец1],Таблица1[коэф],"1,4",Таблица1[р/р],"5/16",Таблица1[Ф. И. О.],B605)</f>
        <v>0</v>
      </c>
      <c r="T610" s="492">
        <f t="shared" si="214"/>
        <v>0</v>
      </c>
      <c r="U610" s="480">
        <f>база!$M$6</f>
        <v>279.0496</v>
      </c>
      <c r="V610" s="464">
        <v>1.4</v>
      </c>
      <c r="W610" s="470">
        <f>SUMIFS(Таблица1[Столбец1],Таблица1[коэф],"1,4",Таблица1[р/р],"5/24",Таблица1[Ф. И. О.],B605)</f>
        <v>0</v>
      </c>
      <c r="X610" s="492">
        <f t="shared" si="215"/>
        <v>0</v>
      </c>
      <c r="Y610" s="765"/>
      <c r="Z610" s="767"/>
      <c r="AA610" s="757"/>
    </row>
    <row r="611" spans="1:29" ht="18.75">
      <c r="A611" s="755">
        <v>56</v>
      </c>
      <c r="B611" s="235"/>
      <c r="C611" s="758">
        <f>INDEX(база!$E$2:$E$81, MATCH(B616,база!$B$2:$B$60,0))</f>
        <v>16950</v>
      </c>
      <c r="D611" s="761">
        <f>INDEX(база!$D$2:$D$89, MATCH(B616,база!$B$2:$B$60,0))</f>
        <v>3</v>
      </c>
      <c r="E611" s="377">
        <f>IF(D611&lt;=3,база!$I$4,
IF(D611=4,база!$I$5,
IF(D611=5,база!$I$6)))</f>
        <v>188.7912</v>
      </c>
      <c r="F611" s="378">
        <v>1</v>
      </c>
      <c r="G611" s="387">
        <f>SUMIFS(Таблица1[Столбец1],Таблица1[коэф],"1",Таблица1[р/р],"2/4",Таблица1[Ф. И. О.],B616)</f>
        <v>0</v>
      </c>
      <c r="H611" s="402">
        <f t="shared" ref="H611:H621" si="218">ROUND(E611*F611*G611*2,2)</f>
        <v>0</v>
      </c>
      <c r="I611" s="426">
        <f>IF(D611&lt;=3,база!$J$4,
IF(D611=4,база!$J$5,
IF(D611=5,база!$J$6)))</f>
        <v>196.05240000000001</v>
      </c>
      <c r="J611" s="427">
        <v>1</v>
      </c>
      <c r="K611" s="428">
        <f>SUMIFS(Таблица1[Столбец1],Таблица1[коэф],"1",Таблица1[р/р],"2/8",Таблица1[Ф. И. О.],B616)</f>
        <v>0</v>
      </c>
      <c r="L611" s="383">
        <f t="shared" ref="L611:L621" si="219">ROUND(I611*J611*K611*2,2)</f>
        <v>0</v>
      </c>
      <c r="M611" s="428"/>
      <c r="N611" s="428">
        <v>1</v>
      </c>
      <c r="O611" s="428">
        <f>SUMIFS(Data_Tech!$AM$3:$AM$67,Data_Tech!$E$3:$E$67,"1",Data_Tech!$G$3:$G$67,"3/12",Data_Tech!$F$3:$F$67,B616)</f>
        <v>0</v>
      </c>
      <c r="P611" s="385">
        <f>ROUND(M611*N611*O611,2)</f>
        <v>0</v>
      </c>
      <c r="Q611" s="377">
        <f>IF(D611&lt;=3,база!$L$4,
IF(D611=4,база!$L$5,
IF(D611=5,база!$L$6)))</f>
        <v>210.57480000000001</v>
      </c>
      <c r="R611" s="378">
        <v>1</v>
      </c>
      <c r="S611" s="387">
        <f>SUMIFS(Таблица1[Столбец1],Таблица1[коэф],"1",Таблица1[р/р],"3/16",Таблица1[Ф. И. О.],B616)</f>
        <v>0</v>
      </c>
      <c r="T611" s="490">
        <f t="shared" ref="T611:T621" si="220">ROUND(Q611*R611*S611*2,2)</f>
        <v>0</v>
      </c>
      <c r="U611" s="477">
        <f>IF(D611&lt;=3,база!$M$4,
IF(D611=4,база!$M$5,
IF(D611=5,база!$M$6)))</f>
        <v>225.09719999999999</v>
      </c>
      <c r="V611" s="378">
        <v>1</v>
      </c>
      <c r="W611" s="430">
        <f>SUMIFS(Таблица1[Столбец1],Таблица1[коэф],"1",Таблица1[р/р],"3/24",Таблица1[Ф. И. О.],B616)</f>
        <v>0</v>
      </c>
      <c r="X611" s="490">
        <f t="shared" ref="X611:X621" si="221">ROUND(U611*V611*W611*2,2)</f>
        <v>0</v>
      </c>
      <c r="Y611" s="764">
        <f t="shared" ref="Y611" si="222">SUM(G611:G621,K611:K621,O611:O621,S611:S621,W611:W621)</f>
        <v>0</v>
      </c>
      <c r="Z611" s="766">
        <f t="shared" ref="Z611" si="223">IFERROR(SUM(H611:H621,L611:L621,T611:T621,X611:X621),"")</f>
        <v>0</v>
      </c>
      <c r="AA611" s="756"/>
    </row>
    <row r="612" spans="1:29" ht="18.75">
      <c r="A612" s="756"/>
      <c r="B612" s="215"/>
      <c r="C612" s="759"/>
      <c r="D612" s="762"/>
      <c r="E612" s="389">
        <f>IF(D611&lt;=3,база!$I$4,
IF(D611=4,база!$I$5,
IF(D611=5,база!$I$6)))</f>
        <v>188.7912</v>
      </c>
      <c r="F612" s="390">
        <v>1</v>
      </c>
      <c r="G612" s="400">
        <f>SUMIFS(Таблица1[Столбец1],Таблица1[коэф],"1",Таблица1[р/р],"3/4",Таблица1[Ф. И. О.],B616)</f>
        <v>0</v>
      </c>
      <c r="H612" s="392">
        <f t="shared" si="218"/>
        <v>0</v>
      </c>
      <c r="I612" s="432">
        <f>IF(D611&lt;=3,база!$J$4,
IF(D611=4,база!$J$5,
IF(D611=5,база!$J$6)))</f>
        <v>196.05240000000001</v>
      </c>
      <c r="J612" s="433">
        <v>1</v>
      </c>
      <c r="K612" s="434">
        <f>SUMIFS(Таблица1[Столбец1],Таблица1[коэф],"1",Таблица1[р/р],"3/8",Таблица1[Ф. И. О.],B616)</f>
        <v>0</v>
      </c>
      <c r="L612" s="484">
        <f t="shared" si="219"/>
        <v>0</v>
      </c>
      <c r="M612" s="434"/>
      <c r="N612" s="434">
        <v>1</v>
      </c>
      <c r="O612" s="434">
        <f>SUMIFS(Data_Tech!$AM$3:$AM$67,Data_Tech!$E$3:$E$67,"1",Data_Tech!$G$3:$G$67,"4/12",Data_Tech!$F$3:$F$67,B616)</f>
        <v>0</v>
      </c>
      <c r="P612" s="406">
        <f>ROUND(M612*O612,2)</f>
        <v>0</v>
      </c>
      <c r="Q612" s="389">
        <f>база!$L$5</f>
        <v>231.45480000000001</v>
      </c>
      <c r="R612" s="390">
        <v>1</v>
      </c>
      <c r="S612" s="400">
        <f>SUMIFS(Таблица1[Столбец1],Таблица1[коэф],"1",Таблица1[р/р],"4/16",Таблица1[Ф. И. О.],B616)</f>
        <v>0</v>
      </c>
      <c r="T612" s="492">
        <f t="shared" si="220"/>
        <v>0</v>
      </c>
      <c r="U612" s="478">
        <f>база!$M$5</f>
        <v>247.41720000000001</v>
      </c>
      <c r="V612" s="390">
        <v>1</v>
      </c>
      <c r="W612" s="412">
        <f>SUMIFS(Таблица1[Столбец1],Таблица1[коэф],"1",Таблица1[р/р],"4/24",Таблица1[Ф. И. О.],B616)</f>
        <v>0</v>
      </c>
      <c r="X612" s="492">
        <f t="shared" si="221"/>
        <v>0</v>
      </c>
      <c r="Y612" s="764"/>
      <c r="Z612" s="766"/>
      <c r="AA612" s="756"/>
    </row>
    <row r="613" spans="1:29" ht="18.75">
      <c r="A613" s="756"/>
      <c r="B613" s="215"/>
      <c r="C613" s="759"/>
      <c r="D613" s="762"/>
      <c r="E613" s="389"/>
      <c r="F613" s="390"/>
      <c r="G613" s="400"/>
      <c r="H613" s="392">
        <f t="shared" si="218"/>
        <v>0</v>
      </c>
      <c r="I613" s="432"/>
      <c r="J613" s="433"/>
      <c r="K613" s="434"/>
      <c r="L613" s="484">
        <f t="shared" si="219"/>
        <v>0</v>
      </c>
      <c r="M613" s="434"/>
      <c r="N613" s="434"/>
      <c r="O613" s="434"/>
      <c r="P613" s="406"/>
      <c r="Q613" s="389">
        <f>база!$L$6</f>
        <v>261.04640000000001</v>
      </c>
      <c r="R613" s="390">
        <v>1</v>
      </c>
      <c r="S613" s="400">
        <f>SUMIFS(Таблица1[Столбец1],Таблица1[коэф],"1",Таблица1[р/р],"5/16",Таблица1[Ф. И. О.],B616)</f>
        <v>0</v>
      </c>
      <c r="T613" s="492">
        <f t="shared" si="220"/>
        <v>0</v>
      </c>
      <c r="U613" s="478">
        <f>база!$M$6</f>
        <v>279.0496</v>
      </c>
      <c r="V613" s="390">
        <v>1</v>
      </c>
      <c r="W613" s="412">
        <f>SUMIFS(Таблица1[Столбец1],Таблица1[коэф],"1",Таблица1[р/р],"5/24",Таблица1[Ф. И. О.],B616)</f>
        <v>0</v>
      </c>
      <c r="X613" s="492">
        <f t="shared" si="221"/>
        <v>0</v>
      </c>
      <c r="Y613" s="764"/>
      <c r="Z613" s="766"/>
      <c r="AA613" s="756"/>
    </row>
    <row r="614" spans="1:29" ht="18.75">
      <c r="A614" s="756"/>
      <c r="B614" s="215"/>
      <c r="C614" s="759"/>
      <c r="D614" s="762"/>
      <c r="E614" s="389"/>
      <c r="F614" s="390"/>
      <c r="G614" s="400"/>
      <c r="H614" s="392">
        <f t="shared" si="218"/>
        <v>0</v>
      </c>
      <c r="I614" s="432">
        <f>база!$J$5</f>
        <v>215.4924</v>
      </c>
      <c r="J614" s="433">
        <v>1.5</v>
      </c>
      <c r="K614" s="434">
        <f>SUMIFS(Таблица1[Столбец1],Таблица1[коэф],"1,5",Таблица1[р/р],"4/8",Таблица1[Ф. И. О.],B616)</f>
        <v>0</v>
      </c>
      <c r="L614" s="484">
        <f t="shared" si="219"/>
        <v>0</v>
      </c>
      <c r="M614" s="434"/>
      <c r="N614" s="434"/>
      <c r="O614" s="434"/>
      <c r="P614" s="406"/>
      <c r="Q614" s="389">
        <f>IF(D611&lt;=3,база!$L$4,
IF(D611=4,база!$L$5,
IF(D611=5,база!$L$6)))</f>
        <v>210.57480000000001</v>
      </c>
      <c r="R614" s="390">
        <v>1.2</v>
      </c>
      <c r="S614" s="400">
        <f>SUMIFS(Таблица1[Столбец1],Таблица1[коэф],"1,2",Таблица1[р/р],"3/16",Таблица1[Ф. И. О.],B616)</f>
        <v>0</v>
      </c>
      <c r="T614" s="492">
        <f t="shared" si="220"/>
        <v>0</v>
      </c>
      <c r="U614" s="478">
        <f>IF(D611&lt;=3,база!$M$4,
IF(D611=4,база!$M$5,
IF(D611=5,база!$M$6)))</f>
        <v>225.09719999999999</v>
      </c>
      <c r="V614" s="390">
        <v>1.2</v>
      </c>
      <c r="W614" s="412">
        <f>SUMIFS(Таблица1[Столбец1],Таблица1[коэф],"1,2",Таблица1[р/р],"3/24",Таблица1[Ф. И. О.],B616)</f>
        <v>0</v>
      </c>
      <c r="X614" s="492">
        <f t="shared" si="221"/>
        <v>0</v>
      </c>
      <c r="Y614" s="764"/>
      <c r="Z614" s="766"/>
      <c r="AA614" s="756"/>
    </row>
    <row r="615" spans="1:29" ht="18.75">
      <c r="A615" s="756"/>
      <c r="B615" s="215"/>
      <c r="C615" s="759"/>
      <c r="D615" s="762"/>
      <c r="E615" s="389"/>
      <c r="F615" s="390"/>
      <c r="G615" s="400"/>
      <c r="H615" s="392">
        <f t="shared" si="218"/>
        <v>0</v>
      </c>
      <c r="I615" s="432">
        <f>база!$J$6</f>
        <v>243.04319999999998</v>
      </c>
      <c r="J615" s="433">
        <v>1.5</v>
      </c>
      <c r="K615" s="434">
        <f>SUMIFS(Таблица1[Столбец1],Таблица1[коэф],"1,5",Таблица1[р/р],"5/8",Таблица1[Ф. И. О.],B616)</f>
        <v>0</v>
      </c>
      <c r="L615" s="484">
        <f t="shared" si="219"/>
        <v>0</v>
      </c>
      <c r="M615" s="434"/>
      <c r="N615" s="434"/>
      <c r="O615" s="434"/>
      <c r="P615" s="406"/>
      <c r="Q615" s="389">
        <f>база!$L$5</f>
        <v>231.45480000000001</v>
      </c>
      <c r="R615" s="390">
        <v>1.2</v>
      </c>
      <c r="S615" s="400">
        <f>SUMIFS(Таблица1[Столбец1],Таблица1[коэф],"1,2",Таблица1[р/р],"4/16",Таблица1[Ф. И. О.],B616)</f>
        <v>0</v>
      </c>
      <c r="T615" s="492">
        <f t="shared" si="220"/>
        <v>0</v>
      </c>
      <c r="U615" s="478">
        <f>база!$M$5</f>
        <v>247.41720000000001</v>
      </c>
      <c r="V615" s="390">
        <v>1.2</v>
      </c>
      <c r="W615" s="412">
        <f>SUMIFS(Таблица1[Столбец1],Таблица1[коэф],"1,2",Таблица1[р/р],"4/24",Таблица1[Ф. И. О.],B616)</f>
        <v>0</v>
      </c>
      <c r="X615" s="492">
        <f t="shared" si="221"/>
        <v>0</v>
      </c>
      <c r="Y615" s="764"/>
      <c r="Z615" s="766"/>
      <c r="AA615" s="756"/>
    </row>
    <row r="616" spans="1:29" ht="18.75">
      <c r="A616" s="756"/>
      <c r="B616" s="215" t="str">
        <f>база!B57</f>
        <v>Овчинников Глеб Эдуардович</v>
      </c>
      <c r="C616" s="759"/>
      <c r="D616" s="762"/>
      <c r="E616" s="389"/>
      <c r="F616" s="390"/>
      <c r="G616" s="400"/>
      <c r="H616" s="392">
        <f t="shared" si="218"/>
        <v>0</v>
      </c>
      <c r="I616" s="432"/>
      <c r="J616" s="433"/>
      <c r="K616" s="434"/>
      <c r="L616" s="484">
        <f t="shared" si="219"/>
        <v>0</v>
      </c>
      <c r="M616" s="434"/>
      <c r="N616" s="434"/>
      <c r="O616" s="434"/>
      <c r="P616" s="406"/>
      <c r="Q616" s="389">
        <f>база!$L$6</f>
        <v>261.04640000000001</v>
      </c>
      <c r="R616" s="390">
        <v>1.2</v>
      </c>
      <c r="S616" s="400">
        <f>SUMIFS(Таблица1[Столбец1],Таблица1[коэф],"1,2",Таблица1[р/р],"5/16",Таблица1[Ф. И. О.],B616)</f>
        <v>0</v>
      </c>
      <c r="T616" s="492">
        <f t="shared" si="220"/>
        <v>0</v>
      </c>
      <c r="U616" s="478">
        <f>база!$M$6</f>
        <v>279.0496</v>
      </c>
      <c r="V616" s="390">
        <v>1.2</v>
      </c>
      <c r="W616" s="412">
        <f>SUMIFS(Таблица1[Столбец1],Таблица1[коэф],"1,2",Таблица1[р/р],"5/24",Таблица1[Ф. И. О.],B616)</f>
        <v>0</v>
      </c>
      <c r="X616" s="492">
        <f t="shared" si="221"/>
        <v>0</v>
      </c>
      <c r="Y616" s="764"/>
      <c r="Z616" s="766"/>
      <c r="AA616" s="756"/>
      <c r="AC616" s="712" t="str">
        <f>IF(SUMIFS(Таблица1[Столбец3],Таблица1[Ф. И. О.],B616)-Z611=0,"",SUMIFS(Таблица1[Столбец3],Таблица1[Ф. И. О.],B616)-Z611)</f>
        <v/>
      </c>
    </row>
    <row r="617" spans="1:29" ht="18.75">
      <c r="A617" s="756"/>
      <c r="B617" s="215"/>
      <c r="C617" s="759"/>
      <c r="D617" s="762"/>
      <c r="E617" s="389"/>
      <c r="F617" s="390"/>
      <c r="G617" s="400"/>
      <c r="H617" s="392">
        <f t="shared" si="218"/>
        <v>0</v>
      </c>
      <c r="I617" s="432"/>
      <c r="J617" s="433"/>
      <c r="K617" s="434"/>
      <c r="L617" s="484">
        <f t="shared" si="219"/>
        <v>0</v>
      </c>
      <c r="M617" s="434"/>
      <c r="N617" s="434"/>
      <c r="O617" s="434"/>
      <c r="P617" s="406"/>
      <c r="Q617" s="389">
        <f>IF($D$6&lt;=3,база!$L$4,
IF($D$6=4,база!$L$5,
IF($D$6=5,база!$L$6)))</f>
        <v>231.45480000000001</v>
      </c>
      <c r="R617" s="390">
        <v>1.3</v>
      </c>
      <c r="S617" s="400">
        <f>SUMIFS(Таблица1[Столбец1],Таблица1[коэф],"1,3",Таблица1[р/р],"3/16",Таблица1[Ф. И. О.],B616)</f>
        <v>0</v>
      </c>
      <c r="T617" s="492">
        <f t="shared" si="220"/>
        <v>0</v>
      </c>
      <c r="U617" s="478">
        <f>IF(D611&lt;=3,база!$M$4,
IF(D611=4,база!$M$5,
IF(D611=5,база!$M$6)))</f>
        <v>225.09719999999999</v>
      </c>
      <c r="V617" s="390">
        <v>1.3</v>
      </c>
      <c r="W617" s="412">
        <f>SUMIFS(Таблица1[Столбец1],Таблица1[коэф],"1,3",Таблица1[р/р],"3/24",Таблица1[Ф. И. О.],B616)</f>
        <v>0</v>
      </c>
      <c r="X617" s="492">
        <f t="shared" si="221"/>
        <v>0</v>
      </c>
      <c r="Y617" s="764"/>
      <c r="Z617" s="766"/>
      <c r="AA617" s="756"/>
      <c r="AC617" s="712" t="str">
        <f>IF(SUMIFS(Таблица1[Столбец1],Таблица1[Ф. И. О.],B616)=Y611,"",B616&amp;"  часы не верны")</f>
        <v/>
      </c>
    </row>
    <row r="618" spans="1:29" ht="18.75">
      <c r="A618" s="756"/>
      <c r="B618" s="215"/>
      <c r="C618" s="759"/>
      <c r="D618" s="762"/>
      <c r="E618" s="389"/>
      <c r="F618" s="390"/>
      <c r="G618" s="400"/>
      <c r="H618" s="392">
        <f t="shared" si="218"/>
        <v>0</v>
      </c>
      <c r="I618" s="432"/>
      <c r="J618" s="433"/>
      <c r="K618" s="434"/>
      <c r="L618" s="484">
        <f t="shared" si="219"/>
        <v>0</v>
      </c>
      <c r="M618" s="434"/>
      <c r="N618" s="434"/>
      <c r="O618" s="434"/>
      <c r="P618" s="406"/>
      <c r="Q618" s="389">
        <f>база!$L$5</f>
        <v>231.45480000000001</v>
      </c>
      <c r="R618" s="390">
        <v>1.3</v>
      </c>
      <c r="S618" s="400">
        <f>SUMIFS(Таблица1[Столбец1],Таблица1[коэф],"1,3",Таблица1[р/р],"4/16",Таблица1[Ф. И. О.],B616)</f>
        <v>0</v>
      </c>
      <c r="T618" s="492">
        <f t="shared" si="220"/>
        <v>0</v>
      </c>
      <c r="U618" s="478">
        <f>база!$M$5</f>
        <v>247.41720000000001</v>
      </c>
      <c r="V618" s="390">
        <v>1.3</v>
      </c>
      <c r="W618" s="412">
        <f>SUMIFS(Таблица1[Столбец1],Таблица1[коэф],"1,3",Таблица1[р/р],"4/24",Таблица1[Ф. И. О.],B616)</f>
        <v>0</v>
      </c>
      <c r="X618" s="492">
        <f t="shared" si="221"/>
        <v>0</v>
      </c>
      <c r="Y618" s="764"/>
      <c r="Z618" s="766"/>
      <c r="AA618" s="756"/>
    </row>
    <row r="619" spans="1:29" ht="18.75">
      <c r="A619" s="756"/>
      <c r="B619" s="215"/>
      <c r="C619" s="759"/>
      <c r="D619" s="762"/>
      <c r="E619" s="389"/>
      <c r="F619" s="390"/>
      <c r="G619" s="400"/>
      <c r="H619" s="392">
        <f t="shared" si="218"/>
        <v>0</v>
      </c>
      <c r="I619" s="432"/>
      <c r="J619" s="433"/>
      <c r="K619" s="434"/>
      <c r="L619" s="484">
        <f t="shared" si="219"/>
        <v>0</v>
      </c>
      <c r="M619" s="434"/>
      <c r="N619" s="434"/>
      <c r="O619" s="434"/>
      <c r="P619" s="406"/>
      <c r="Q619" s="389">
        <f>IF(D611&lt;=3,база!$L$4,
IF(D611=4,база!$L$5,
IF(D611=5,база!$L$6)))</f>
        <v>210.57480000000001</v>
      </c>
      <c r="R619" s="390">
        <v>1.4</v>
      </c>
      <c r="S619" s="400">
        <f>SUMIFS(Таблица1[Столбец1],Таблица1[коэф],"1,4",Таблица1[р/р],"3/16",Таблица1[Ф. И. О.],B616)</f>
        <v>0</v>
      </c>
      <c r="T619" s="492">
        <f t="shared" si="220"/>
        <v>0</v>
      </c>
      <c r="U619" s="478">
        <f>IF(D611&lt;=3,база!$M$4,
IF(D611=4,база!$M$5,
IF(D611=5,база!$M$6)))</f>
        <v>225.09719999999999</v>
      </c>
      <c r="V619" s="390">
        <v>1.4</v>
      </c>
      <c r="W619" s="412">
        <f>SUMIFS(Таблица1[Столбец1],Таблица1[коэф],"1,4",Таблица1[р/р],"3/24",Таблица1[Ф. И. О.],B616)</f>
        <v>0</v>
      </c>
      <c r="X619" s="492">
        <f t="shared" si="221"/>
        <v>0</v>
      </c>
      <c r="Y619" s="764"/>
      <c r="Z619" s="766"/>
      <c r="AA619" s="756"/>
    </row>
    <row r="620" spans="1:29" ht="18.75">
      <c r="A620" s="756"/>
      <c r="B620" s="215"/>
      <c r="C620" s="759"/>
      <c r="D620" s="762"/>
      <c r="E620" s="389"/>
      <c r="F620" s="390"/>
      <c r="G620" s="400"/>
      <c r="H620" s="392">
        <f t="shared" si="218"/>
        <v>0</v>
      </c>
      <c r="I620" s="432"/>
      <c r="J620" s="433"/>
      <c r="K620" s="434"/>
      <c r="L620" s="484">
        <f t="shared" si="219"/>
        <v>0</v>
      </c>
      <c r="M620" s="434"/>
      <c r="N620" s="434"/>
      <c r="O620" s="434"/>
      <c r="P620" s="406"/>
      <c r="Q620" s="389">
        <f>база!$L$5</f>
        <v>231.45480000000001</v>
      </c>
      <c r="R620" s="390">
        <v>1.4</v>
      </c>
      <c r="S620" s="400">
        <f>SUMIFS(Таблица1[Столбец1],Таблица1[коэф],"1,4",Таблица1[р/р],"4/16",Таблица1[Ф. И. О.],B616)</f>
        <v>0</v>
      </c>
      <c r="T620" s="492">
        <f t="shared" si="220"/>
        <v>0</v>
      </c>
      <c r="U620" s="478">
        <f>база!$M$5</f>
        <v>247.41720000000001</v>
      </c>
      <c r="V620" s="390">
        <v>1.4</v>
      </c>
      <c r="W620" s="412">
        <f>SUMIFS(Таблица1[Столбец1],Таблица1[коэф],"1,4",Таблица1[р/р],"4/24",Таблица1[Ф. И. О.],B616)</f>
        <v>0</v>
      </c>
      <c r="X620" s="492">
        <f t="shared" si="221"/>
        <v>0</v>
      </c>
      <c r="Y620" s="764"/>
      <c r="Z620" s="766"/>
      <c r="AA620" s="756"/>
    </row>
    <row r="621" spans="1:29" ht="19.5" thickBot="1">
      <c r="A621" s="757"/>
      <c r="B621" s="202"/>
      <c r="C621" s="760"/>
      <c r="D621" s="763"/>
      <c r="E621" s="473"/>
      <c r="F621" s="464"/>
      <c r="G621" s="465"/>
      <c r="H621" s="440">
        <f t="shared" si="218"/>
        <v>0</v>
      </c>
      <c r="I621" s="466"/>
      <c r="J621" s="456"/>
      <c r="K621" s="457"/>
      <c r="L621" s="484">
        <f t="shared" si="219"/>
        <v>0</v>
      </c>
      <c r="M621" s="457"/>
      <c r="N621" s="457"/>
      <c r="O621" s="457"/>
      <c r="P621" s="476"/>
      <c r="Q621" s="473">
        <f>база!$L$6</f>
        <v>261.04640000000001</v>
      </c>
      <c r="R621" s="464">
        <v>1.4</v>
      </c>
      <c r="S621" s="465">
        <f>SUMIFS(Таблица1[Столбец1],Таблица1[коэф],"1,4",Таблица1[р/р],"5/16",Таблица1[Ф. И. О.],B616)</f>
        <v>0</v>
      </c>
      <c r="T621" s="492">
        <f t="shared" si="220"/>
        <v>0</v>
      </c>
      <c r="U621" s="480">
        <f>база!$M$6</f>
        <v>279.0496</v>
      </c>
      <c r="V621" s="464">
        <v>1.4</v>
      </c>
      <c r="W621" s="470">
        <f>SUMIFS(Таблица1[Столбец1],Таблица1[коэф],"1,4",Таблица1[р/р],"5/24",Таблица1[Ф. И. О.],B616)</f>
        <v>0</v>
      </c>
      <c r="X621" s="492">
        <f t="shared" si="221"/>
        <v>0</v>
      </c>
      <c r="Y621" s="765"/>
      <c r="Z621" s="767"/>
      <c r="AA621" s="757"/>
    </row>
    <row r="622" spans="1:29" ht="18.75">
      <c r="A622" s="755">
        <v>57</v>
      </c>
      <c r="B622" s="235"/>
      <c r="C622" s="758">
        <f>INDEX(база!$E$2:$E$81, MATCH(B627,база!$B$2:$B$60,0))</f>
        <v>16311</v>
      </c>
      <c r="D622" s="761">
        <f>INDEX(база!$D$2:$D$89, MATCH(B627,база!$B$2:$B$60,0))</f>
        <v>3</v>
      </c>
      <c r="E622" s="377">
        <f>IF(D622&lt;=3,база!$I$4,
IF(D622=4,база!$I$5,
IF(D622=5,база!$I$6)))</f>
        <v>188.7912</v>
      </c>
      <c r="F622" s="378">
        <v>1</v>
      </c>
      <c r="G622" s="387">
        <f>SUMIFS(Таблица1[Столбец1],Таблица1[коэф],"1",Таблица1[р/р],"2/4",Таблица1[Ф. И. О.],B627)</f>
        <v>0</v>
      </c>
      <c r="H622" s="380">
        <f t="shared" ref="H622:H632" si="224">ROUND(E622*F622*G622*2,2)</f>
        <v>0</v>
      </c>
      <c r="I622" s="426">
        <f>IF(D622&lt;=3,база!$J$4,
IF(D622=4,база!$J$5,
IF(D622=5,база!$J$6)))</f>
        <v>196.05240000000001</v>
      </c>
      <c r="J622" s="427">
        <v>1</v>
      </c>
      <c r="K622" s="428">
        <f>SUMIFS(Таблица1[Столбец1],Таблица1[коэф],"1",Таблица1[р/р],"2/8",Таблица1[Ф. И. О.],B627)</f>
        <v>0</v>
      </c>
      <c r="L622" s="383">
        <f t="shared" ref="L622:L632" si="225">ROUND(I622*J622*K622*2,2)</f>
        <v>0</v>
      </c>
      <c r="M622" s="428"/>
      <c r="N622" s="428">
        <v>1</v>
      </c>
      <c r="O622" s="428">
        <f>SUMIFS(Data_Tech!$AM$3:$AM$67,Data_Tech!$E$3:$E$67,"1",Data_Tech!$G$3:$G$67,"3/12",Data_Tech!$F$3:$F$67,B627)</f>
        <v>0</v>
      </c>
      <c r="P622" s="385">
        <f>ROUND(M622*N622*O622,2)</f>
        <v>0</v>
      </c>
      <c r="Q622" s="377">
        <f>IF(D622&lt;=3,база!$L$4,
IF(D622=4,база!$L$5,
IF(D622=5,база!$L$6)))</f>
        <v>210.57480000000001</v>
      </c>
      <c r="R622" s="378">
        <v>1</v>
      </c>
      <c r="S622" s="387">
        <f>SUMIFS(Таблица1[Столбец1],Таблица1[коэф],"1",Таблица1[р/р],"3/16",Таблица1[Ф. И. О.],B627)</f>
        <v>0</v>
      </c>
      <c r="T622" s="490">
        <f t="shared" ref="T622:T632" si="226">ROUND(Q622*R622*S622*2,2)</f>
        <v>0</v>
      </c>
      <c r="U622" s="477">
        <f>IF(D622&lt;=3,база!$M$4,
IF(D622=4,база!$M$5,
IF(D622=5,база!$M$6)))</f>
        <v>225.09719999999999</v>
      </c>
      <c r="V622" s="378">
        <v>1</v>
      </c>
      <c r="W622" s="430">
        <f>SUMIFS(Таблица1[Столбец1],Таблица1[коэф],"1",Таблица1[р/р],"3/24",Таблица1[Ф. И. О.],B627)</f>
        <v>0</v>
      </c>
      <c r="X622" s="490">
        <f t="shared" ref="X622:X632" si="227">ROUND(U622*V622*W622*2,2)</f>
        <v>0</v>
      </c>
      <c r="Y622" s="764">
        <f t="shared" ref="Y622" si="228">SUM(G622:G632,K622:K632,O622:O632,S622:S632,W622:W632)</f>
        <v>0</v>
      </c>
      <c r="Z622" s="766">
        <f t="shared" ref="Z622" si="229">IFERROR(SUM(H622:H632,L622:L632,T622:T632,X622:X632),"")</f>
        <v>0</v>
      </c>
      <c r="AA622" s="756"/>
    </row>
    <row r="623" spans="1:29" ht="18.75">
      <c r="A623" s="756"/>
      <c r="B623" s="215"/>
      <c r="C623" s="759"/>
      <c r="D623" s="762"/>
      <c r="E623" s="389">
        <f>IF(D622&lt;=3,база!$I$4,
IF(D622=4,база!$I$5,
IF(D622=5,база!$I$6)))</f>
        <v>188.7912</v>
      </c>
      <c r="F623" s="390">
        <v>1</v>
      </c>
      <c r="G623" s="400">
        <f>SUMIFS(Таблица1[Столбец1],Таблица1[коэф],"1",Таблица1[р/р],"3/4",Таблица1[Ф. И. О.],B627)</f>
        <v>0</v>
      </c>
      <c r="H623" s="392">
        <f t="shared" si="224"/>
        <v>0</v>
      </c>
      <c r="I623" s="432">
        <f>IF(D622&lt;=3,база!$J$4,
IF(D622=4,база!$J$5,
IF(D622=5,база!$J$6)))</f>
        <v>196.05240000000001</v>
      </c>
      <c r="J623" s="433">
        <v>1</v>
      </c>
      <c r="K623" s="434">
        <f>SUMIFS(Таблица1[Столбец1],Таблица1[коэф],"1",Таблица1[р/р],"3/8",Таблица1[Ф. И. О.],B627)</f>
        <v>0</v>
      </c>
      <c r="L623" s="484">
        <f t="shared" si="225"/>
        <v>0</v>
      </c>
      <c r="M623" s="434"/>
      <c r="N623" s="434">
        <v>1</v>
      </c>
      <c r="O623" s="434">
        <f>SUMIFS(Data_Tech!$AM$3:$AM$67,Data_Tech!$E$3:$E$67,"1",Data_Tech!$G$3:$G$67,"4/12",Data_Tech!$F$3:$F$67,B627)</f>
        <v>0</v>
      </c>
      <c r="P623" s="406">
        <f>ROUND(M623*O623,2)</f>
        <v>0</v>
      </c>
      <c r="Q623" s="389">
        <f>база!$L$5</f>
        <v>231.45480000000001</v>
      </c>
      <c r="R623" s="390">
        <v>1</v>
      </c>
      <c r="S623" s="400">
        <f>SUMIFS(Таблица1[Столбец1],Таблица1[коэф],"1",Таблица1[р/р],"4/16",Таблица1[Ф. И. О.],B627)</f>
        <v>0</v>
      </c>
      <c r="T623" s="492">
        <f t="shared" si="226"/>
        <v>0</v>
      </c>
      <c r="U623" s="478">
        <f>база!$M$5</f>
        <v>247.41720000000001</v>
      </c>
      <c r="V623" s="390">
        <v>1</v>
      </c>
      <c r="W623" s="412">
        <f>SUMIFS(Таблица1[Столбец1],Таблица1[коэф],"1",Таблица1[р/р],"4/24",Таблица1[Ф. И. О.],B627)</f>
        <v>0</v>
      </c>
      <c r="X623" s="492">
        <f t="shared" si="227"/>
        <v>0</v>
      </c>
      <c r="Y623" s="764"/>
      <c r="Z623" s="766"/>
      <c r="AA623" s="756"/>
    </row>
    <row r="624" spans="1:29" ht="18.75">
      <c r="A624" s="756"/>
      <c r="B624" s="215"/>
      <c r="C624" s="759"/>
      <c r="D624" s="762"/>
      <c r="E624" s="389"/>
      <c r="F624" s="390"/>
      <c r="G624" s="400"/>
      <c r="H624" s="392">
        <f t="shared" si="224"/>
        <v>0</v>
      </c>
      <c r="I624" s="432"/>
      <c r="J624" s="433"/>
      <c r="K624" s="434"/>
      <c r="L624" s="484">
        <f t="shared" si="225"/>
        <v>0</v>
      </c>
      <c r="M624" s="434"/>
      <c r="N624" s="434"/>
      <c r="O624" s="434"/>
      <c r="P624" s="406"/>
      <c r="Q624" s="389">
        <f>база!$L$6</f>
        <v>261.04640000000001</v>
      </c>
      <c r="R624" s="390">
        <v>1</v>
      </c>
      <c r="S624" s="400">
        <f>SUMIFS(Таблица1[Столбец1],Таблица1[коэф],"1",Таблица1[р/р],"5/16",Таблица1[Ф. И. О.],B627)</f>
        <v>0</v>
      </c>
      <c r="T624" s="492">
        <f t="shared" si="226"/>
        <v>0</v>
      </c>
      <c r="U624" s="478">
        <f>база!$M$6</f>
        <v>279.0496</v>
      </c>
      <c r="V624" s="390">
        <v>1</v>
      </c>
      <c r="W624" s="412">
        <f>SUMIFS(Таблица1[Столбец1],Таблица1[коэф],"1",Таблица1[р/р],"5/24",Таблица1[Ф. И. О.],B627)</f>
        <v>0</v>
      </c>
      <c r="X624" s="492">
        <f t="shared" si="227"/>
        <v>0</v>
      </c>
      <c r="Y624" s="764"/>
      <c r="Z624" s="766"/>
      <c r="AA624" s="756"/>
    </row>
    <row r="625" spans="1:29" ht="18.75">
      <c r="A625" s="756"/>
      <c r="B625" s="215"/>
      <c r="C625" s="759"/>
      <c r="D625" s="762"/>
      <c r="E625" s="389"/>
      <c r="F625" s="390"/>
      <c r="G625" s="400"/>
      <c r="H625" s="392">
        <f t="shared" si="224"/>
        <v>0</v>
      </c>
      <c r="I625" s="432">
        <f>база!$J$5</f>
        <v>215.4924</v>
      </c>
      <c r="J625" s="433">
        <v>1.5</v>
      </c>
      <c r="K625" s="434">
        <f>SUMIFS(Таблица1[Столбец1],Таблица1[коэф],"1,5",Таблица1[р/р],"4/8",Таблица1[Ф. И. О.],B627)</f>
        <v>0</v>
      </c>
      <c r="L625" s="484">
        <f t="shared" si="225"/>
        <v>0</v>
      </c>
      <c r="M625" s="434"/>
      <c r="N625" s="434"/>
      <c r="O625" s="434"/>
      <c r="P625" s="406"/>
      <c r="Q625" s="389">
        <f>IF(D622&lt;=3,база!$L$4,
IF(D622=4,база!$L$5,
IF(D622=5,база!$L$6)))</f>
        <v>210.57480000000001</v>
      </c>
      <c r="R625" s="390">
        <v>1.2</v>
      </c>
      <c r="S625" s="400">
        <f>SUMIFS(Таблица1[Столбец1],Таблица1[коэф],"1,2",Таблица1[р/р],"3/16",Таблица1[Ф. И. О.],B627)</f>
        <v>0</v>
      </c>
      <c r="T625" s="492">
        <f t="shared" si="226"/>
        <v>0</v>
      </c>
      <c r="U625" s="478">
        <f>IF(D622&lt;=3,база!$M$4,
IF(D622=4,база!$M$5,
IF(D622=5,база!$M$6)))</f>
        <v>225.09719999999999</v>
      </c>
      <c r="V625" s="390">
        <v>1.2</v>
      </c>
      <c r="W625" s="412">
        <f>SUMIFS(Таблица1[Столбец1],Таблица1[коэф],"1,2",Таблица1[р/р],"3/24",Таблица1[Ф. И. О.],B627)</f>
        <v>0</v>
      </c>
      <c r="X625" s="492">
        <f t="shared" si="227"/>
        <v>0</v>
      </c>
      <c r="Y625" s="764"/>
      <c r="Z625" s="766"/>
      <c r="AA625" s="756"/>
    </row>
    <row r="626" spans="1:29" ht="18.75">
      <c r="A626" s="756"/>
      <c r="B626" s="215"/>
      <c r="C626" s="759"/>
      <c r="D626" s="762"/>
      <c r="E626" s="389"/>
      <c r="F626" s="390"/>
      <c r="G626" s="400"/>
      <c r="H626" s="392">
        <f t="shared" si="224"/>
        <v>0</v>
      </c>
      <c r="I626" s="432">
        <f>база!$J$6</f>
        <v>243.04319999999998</v>
      </c>
      <c r="J626" s="433">
        <v>1.5</v>
      </c>
      <c r="K626" s="434">
        <f>SUMIFS(Таблица1[Столбец1],Таблица1[коэф],"1,5",Таблица1[р/р],"5/8",Таблица1[Ф. И. О.],B627)</f>
        <v>0</v>
      </c>
      <c r="L626" s="484">
        <f t="shared" si="225"/>
        <v>0</v>
      </c>
      <c r="M626" s="434"/>
      <c r="N626" s="434"/>
      <c r="O626" s="434"/>
      <c r="P626" s="406"/>
      <c r="Q626" s="389">
        <f>база!$L$5</f>
        <v>231.45480000000001</v>
      </c>
      <c r="R626" s="390">
        <v>1.2</v>
      </c>
      <c r="S626" s="400">
        <f>SUMIFS(Таблица1[Столбец1],Таблица1[коэф],"1,2",Таблица1[р/р],"4/16",Таблица1[Ф. И. О.],B627)</f>
        <v>0</v>
      </c>
      <c r="T626" s="492">
        <f t="shared" si="226"/>
        <v>0</v>
      </c>
      <c r="U626" s="478">
        <f>база!$M$5</f>
        <v>247.41720000000001</v>
      </c>
      <c r="V626" s="390">
        <v>1.2</v>
      </c>
      <c r="W626" s="412">
        <f>SUMIFS(Таблица1[Столбец1],Таблица1[коэф],"1,2",Таблица1[р/р],"4/24",Таблица1[Ф. И. О.],B627)</f>
        <v>0</v>
      </c>
      <c r="X626" s="492">
        <f t="shared" si="227"/>
        <v>0</v>
      </c>
      <c r="Y626" s="764"/>
      <c r="Z626" s="766"/>
      <c r="AA626" s="756"/>
    </row>
    <row r="627" spans="1:29" ht="18.75">
      <c r="A627" s="756"/>
      <c r="B627" s="215" t="str">
        <f>база!B58</f>
        <v>Оленева Анна Викторовна</v>
      </c>
      <c r="C627" s="759"/>
      <c r="D627" s="762"/>
      <c r="E627" s="389"/>
      <c r="F627" s="390"/>
      <c r="G627" s="400"/>
      <c r="H627" s="392">
        <f t="shared" si="224"/>
        <v>0</v>
      </c>
      <c r="I627" s="432"/>
      <c r="J627" s="433"/>
      <c r="K627" s="434"/>
      <c r="L627" s="484">
        <f t="shared" si="225"/>
        <v>0</v>
      </c>
      <c r="M627" s="434"/>
      <c r="N627" s="434"/>
      <c r="O627" s="434"/>
      <c r="P627" s="406"/>
      <c r="Q627" s="389">
        <f>база!$L$6</f>
        <v>261.04640000000001</v>
      </c>
      <c r="R627" s="390">
        <v>1.2</v>
      </c>
      <c r="S627" s="400">
        <f>SUMIFS(Таблица1[Столбец1],Таблица1[коэф],"1,2",Таблица1[р/р],"5/16",Таблица1[Ф. И. О.],B627)</f>
        <v>0</v>
      </c>
      <c r="T627" s="492">
        <f t="shared" si="226"/>
        <v>0</v>
      </c>
      <c r="U627" s="478">
        <f>база!$M$6</f>
        <v>279.0496</v>
      </c>
      <c r="V627" s="390">
        <v>1.2</v>
      </c>
      <c r="W627" s="412">
        <f>SUMIFS(Таблица1[Столбец1],Таблица1[коэф],"1,2",Таблица1[р/р],"5/24",Таблица1[Ф. И. О.],B627)</f>
        <v>0</v>
      </c>
      <c r="X627" s="492">
        <f t="shared" si="227"/>
        <v>0</v>
      </c>
      <c r="Y627" s="764"/>
      <c r="Z627" s="766"/>
      <c r="AA627" s="756"/>
      <c r="AC627" s="712" t="str">
        <f>IF(SUMIFS(Таблица1[Столбец3],Таблица1[Ф. И. О.],B627)-Z622=0,"",SUMIFS(Таблица1[Столбец3],Таблица1[Ф. И. О.],B627)-Z622)</f>
        <v/>
      </c>
    </row>
    <row r="628" spans="1:29" ht="18.75">
      <c r="A628" s="756"/>
      <c r="B628" s="215"/>
      <c r="C628" s="759"/>
      <c r="D628" s="762"/>
      <c r="E628" s="389"/>
      <c r="F628" s="390"/>
      <c r="G628" s="400"/>
      <c r="H628" s="392">
        <f t="shared" si="224"/>
        <v>0</v>
      </c>
      <c r="I628" s="432"/>
      <c r="J628" s="433"/>
      <c r="K628" s="434"/>
      <c r="L628" s="484">
        <f t="shared" si="225"/>
        <v>0</v>
      </c>
      <c r="M628" s="434"/>
      <c r="N628" s="434"/>
      <c r="O628" s="434"/>
      <c r="P628" s="406"/>
      <c r="Q628" s="389">
        <f>IF($D$6&lt;=3,база!$L$4,
IF($D$6=4,база!$L$5,
IF($D$6=5,база!$L$6)))</f>
        <v>231.45480000000001</v>
      </c>
      <c r="R628" s="390">
        <v>1.3</v>
      </c>
      <c r="S628" s="400">
        <f>SUMIFS(Таблица1[Столбец1],Таблица1[коэф],"1,3",Таблица1[р/р],"3/16",Таблица1[Ф. И. О.],B627)</f>
        <v>0</v>
      </c>
      <c r="T628" s="492">
        <f t="shared" si="226"/>
        <v>0</v>
      </c>
      <c r="U628" s="478">
        <f>IF(D622&lt;=3,база!$M$4,
IF(D622=4,база!$M$5,
IF(D622=5,база!$M$6)))</f>
        <v>225.09719999999999</v>
      </c>
      <c r="V628" s="390">
        <v>1.3</v>
      </c>
      <c r="W628" s="412">
        <f>SUMIFS(Таблица1[Столбец1],Таблица1[коэф],"1,3",Таблица1[р/р],"3/24",Таблица1[Ф. И. О.],B627)</f>
        <v>0</v>
      </c>
      <c r="X628" s="492">
        <f t="shared" si="227"/>
        <v>0</v>
      </c>
      <c r="Y628" s="764"/>
      <c r="Z628" s="766"/>
      <c r="AA628" s="756"/>
      <c r="AC628" s="712" t="str">
        <f>IF(SUMIFS(Таблица1[Столбец1],Таблица1[Ф. И. О.],B627)=Y622,"",B627&amp;"  часы не верны")</f>
        <v/>
      </c>
    </row>
    <row r="629" spans="1:29" ht="18.75">
      <c r="A629" s="756"/>
      <c r="B629" s="215"/>
      <c r="C629" s="759"/>
      <c r="D629" s="762"/>
      <c r="E629" s="389"/>
      <c r="F629" s="390"/>
      <c r="G629" s="400"/>
      <c r="H629" s="392">
        <f t="shared" si="224"/>
        <v>0</v>
      </c>
      <c r="I629" s="432"/>
      <c r="J629" s="433"/>
      <c r="K629" s="434"/>
      <c r="L629" s="484">
        <f t="shared" si="225"/>
        <v>0</v>
      </c>
      <c r="M629" s="434"/>
      <c r="N629" s="434"/>
      <c r="O629" s="434"/>
      <c r="P629" s="406"/>
      <c r="Q629" s="389">
        <f>база!$L$5</f>
        <v>231.45480000000001</v>
      </c>
      <c r="R629" s="390">
        <v>1.3</v>
      </c>
      <c r="S629" s="400">
        <f>SUMIFS(Таблица1[Столбец1],Таблица1[коэф],"1,3",Таблица1[р/р],"4/16",Таблица1[Ф. И. О.],B627)</f>
        <v>0</v>
      </c>
      <c r="T629" s="492">
        <f t="shared" si="226"/>
        <v>0</v>
      </c>
      <c r="U629" s="478">
        <f>база!$M$5</f>
        <v>247.41720000000001</v>
      </c>
      <c r="V629" s="390">
        <v>1.3</v>
      </c>
      <c r="W629" s="412">
        <f>SUMIFS(Таблица1[Столбец1],Таблица1[коэф],"1,3",Таблица1[р/р],"4/24",Таблица1[Ф. И. О.],B627)</f>
        <v>0</v>
      </c>
      <c r="X629" s="492">
        <f t="shared" si="227"/>
        <v>0</v>
      </c>
      <c r="Y629" s="764"/>
      <c r="Z629" s="766"/>
      <c r="AA629" s="756"/>
    </row>
    <row r="630" spans="1:29" ht="18.75">
      <c r="A630" s="756"/>
      <c r="B630" s="215"/>
      <c r="C630" s="759"/>
      <c r="D630" s="762"/>
      <c r="E630" s="389"/>
      <c r="F630" s="390"/>
      <c r="G630" s="400"/>
      <c r="H630" s="392">
        <f t="shared" si="224"/>
        <v>0</v>
      </c>
      <c r="I630" s="432"/>
      <c r="J630" s="433"/>
      <c r="K630" s="434"/>
      <c r="L630" s="484">
        <f t="shared" si="225"/>
        <v>0</v>
      </c>
      <c r="M630" s="434"/>
      <c r="N630" s="434"/>
      <c r="O630" s="434"/>
      <c r="P630" s="406"/>
      <c r="Q630" s="389">
        <f>IF(D622&lt;=3,база!$L$4,
IF(D622=4,база!$L$5,
IF(D622=5,база!$L$6)))</f>
        <v>210.57480000000001</v>
      </c>
      <c r="R630" s="390">
        <v>1.4</v>
      </c>
      <c r="S630" s="400">
        <f>SUMIFS(Таблица1[Столбец1],Таблица1[коэф],"1,4",Таблица1[р/р],"3/16",Таблица1[Ф. И. О.],B627)</f>
        <v>0</v>
      </c>
      <c r="T630" s="492">
        <f t="shared" si="226"/>
        <v>0</v>
      </c>
      <c r="U630" s="478">
        <f>IF(D622&lt;=3,база!$M$4,
IF(D622=4,база!$M$5,
IF(D622=5,база!$M$6)))</f>
        <v>225.09719999999999</v>
      </c>
      <c r="V630" s="390">
        <v>1.4</v>
      </c>
      <c r="W630" s="412">
        <f>SUMIFS(Таблица1[Столбец1],Таблица1[коэф],"1,4",Таблица1[р/р],"3/24",Таблица1[Ф. И. О.],B627)</f>
        <v>0</v>
      </c>
      <c r="X630" s="492">
        <f t="shared" si="227"/>
        <v>0</v>
      </c>
      <c r="Y630" s="764"/>
      <c r="Z630" s="766"/>
      <c r="AA630" s="756"/>
    </row>
    <row r="631" spans="1:29" ht="18.75">
      <c r="A631" s="756"/>
      <c r="B631" s="215"/>
      <c r="C631" s="759"/>
      <c r="D631" s="762"/>
      <c r="E631" s="389"/>
      <c r="F631" s="390"/>
      <c r="G631" s="400"/>
      <c r="H631" s="392">
        <f t="shared" si="224"/>
        <v>0</v>
      </c>
      <c r="I631" s="432"/>
      <c r="J631" s="433"/>
      <c r="K631" s="434"/>
      <c r="L631" s="484">
        <f t="shared" si="225"/>
        <v>0</v>
      </c>
      <c r="M631" s="434"/>
      <c r="N631" s="434"/>
      <c r="O631" s="434"/>
      <c r="P631" s="406"/>
      <c r="Q631" s="389">
        <f>база!$L$5</f>
        <v>231.45480000000001</v>
      </c>
      <c r="R631" s="390">
        <v>1.4</v>
      </c>
      <c r="S631" s="400">
        <f>SUMIFS(Таблица1[Столбец1],Таблица1[коэф],"1,4",Таблица1[р/р],"4/16",Таблица1[Ф. И. О.],B627)</f>
        <v>0</v>
      </c>
      <c r="T631" s="492">
        <f t="shared" si="226"/>
        <v>0</v>
      </c>
      <c r="U631" s="478">
        <f>база!$M$5</f>
        <v>247.41720000000001</v>
      </c>
      <c r="V631" s="390">
        <v>1.4</v>
      </c>
      <c r="W631" s="412">
        <f>SUMIFS(Таблица1[Столбец1],Таблица1[коэф],"1,4",Таблица1[р/р],"4/24",Таблица1[Ф. И. О.],B627)</f>
        <v>0</v>
      </c>
      <c r="X631" s="492">
        <f t="shared" si="227"/>
        <v>0</v>
      </c>
      <c r="Y631" s="764"/>
      <c r="Z631" s="766"/>
      <c r="AA631" s="756"/>
    </row>
    <row r="632" spans="1:29" ht="19.5" thickBot="1">
      <c r="A632" s="757"/>
      <c r="B632" s="202"/>
      <c r="C632" s="760"/>
      <c r="D632" s="763"/>
      <c r="E632" s="473"/>
      <c r="F632" s="464"/>
      <c r="G632" s="465"/>
      <c r="H632" s="468">
        <f t="shared" si="224"/>
        <v>0</v>
      </c>
      <c r="I632" s="466"/>
      <c r="J632" s="456"/>
      <c r="K632" s="457"/>
      <c r="L632" s="484">
        <f t="shared" si="225"/>
        <v>0</v>
      </c>
      <c r="M632" s="457"/>
      <c r="N632" s="457"/>
      <c r="O632" s="457"/>
      <c r="P632" s="476"/>
      <c r="Q632" s="473">
        <f>база!$L$6</f>
        <v>261.04640000000001</v>
      </c>
      <c r="R632" s="464">
        <v>1.4</v>
      </c>
      <c r="S632" s="465">
        <f>SUMIFS(Таблица1[Столбец1],Таблица1[коэф],"1,4",Таблица1[р/р],"5/16",Таблица1[Ф. И. О.],B627)</f>
        <v>0</v>
      </c>
      <c r="T632" s="492">
        <f t="shared" si="226"/>
        <v>0</v>
      </c>
      <c r="U632" s="480">
        <f>база!$M$6</f>
        <v>279.0496</v>
      </c>
      <c r="V632" s="464">
        <v>1.4</v>
      </c>
      <c r="W632" s="470">
        <f>SUMIFS(Таблица1[Столбец1],Таблица1[коэф],"1,4",Таблица1[р/р],"5/24",Таблица1[Ф. И. О.],B627)</f>
        <v>0</v>
      </c>
      <c r="X632" s="492">
        <f t="shared" si="227"/>
        <v>0</v>
      </c>
      <c r="Y632" s="765"/>
      <c r="Z632" s="767"/>
      <c r="AA632" s="757"/>
    </row>
    <row r="633" spans="1:29" ht="18.75">
      <c r="A633" s="755">
        <v>58</v>
      </c>
      <c r="B633" s="235"/>
      <c r="C633" s="758">
        <f>INDEX(база!$E$2:$E$81, MATCH(B638,база!$B$2:$B$60,0))</f>
        <v>0</v>
      </c>
      <c r="D633" s="761">
        <f>INDEX(база!$D$2:$D$89, MATCH(B638,база!$B$2:$B$60,0))</f>
        <v>3</v>
      </c>
      <c r="E633" s="377">
        <f>IF(D633&lt;=3,база!$I$4,
IF(D633=4,база!$I$5,
IF(D633=5,база!$I$6)))</f>
        <v>188.7912</v>
      </c>
      <c r="F633" s="378">
        <v>1</v>
      </c>
      <c r="G633" s="387">
        <f>SUMIFS(Таблица1[Столбец1],Таблица1[коэф],"1",Таблица1[р/р],"2/4",Таблица1[Ф. И. О.],B638)</f>
        <v>0</v>
      </c>
      <c r="H633" s="402">
        <f t="shared" ref="H633:H696" si="230">ROUND(E633*F633*G633*2,2)</f>
        <v>0</v>
      </c>
      <c r="I633" s="426">
        <f>IF(D633&lt;=3,база!$J$4,
IF(D633=4,база!$J$5,
IF(D633=5,база!$J$6)))</f>
        <v>196.05240000000001</v>
      </c>
      <c r="J633" s="427">
        <v>1</v>
      </c>
      <c r="K633" s="428">
        <f>SUMIFS(Таблица1[Столбец1],Таблица1[коэф],"1",Таблица1[р/р],"2/8",Таблица1[Ф. И. О.],B638)</f>
        <v>0</v>
      </c>
      <c r="L633" s="383">
        <f t="shared" ref="L633:L696" si="231">ROUND(I633*J633*K633*2,2)</f>
        <v>0</v>
      </c>
      <c r="M633" s="428"/>
      <c r="N633" s="428">
        <v>1</v>
      </c>
      <c r="O633" s="428">
        <f>SUMIFS(Data_Tech!$AM$3:$AM$67,Data_Tech!$E$3:$E$67,"1",Data_Tech!$G$3:$G$67,"3/12",Data_Tech!$F$3:$F$67,B638)</f>
        <v>0</v>
      </c>
      <c r="P633" s="385">
        <f>ROUND(M633*N633*O633,2)</f>
        <v>0</v>
      </c>
      <c r="Q633" s="377">
        <f>IF(D633&lt;=3,база!$L$4,
IF(D633=4,база!$L$5,
IF(D633=5,база!$L$6)))</f>
        <v>210.57480000000001</v>
      </c>
      <c r="R633" s="378">
        <v>1</v>
      </c>
      <c r="S633" s="387">
        <f>SUMIFS(Таблица1[Столбец1],Таблица1[коэф],"1",Таблица1[р/р],"3/16",Таблица1[Ф. И. О.],B638)</f>
        <v>0</v>
      </c>
      <c r="T633" s="490">
        <f t="shared" ref="T633:T696" si="232">ROUND(Q633*R633*S633*2,2)</f>
        <v>0</v>
      </c>
      <c r="U633" s="477">
        <f>IF(D633&lt;=3,база!$M$4,
IF(D633=4,база!$M$5,
IF(D633=5,база!$M$6)))</f>
        <v>225.09719999999999</v>
      </c>
      <c r="V633" s="378">
        <v>1</v>
      </c>
      <c r="W633" s="430">
        <f>SUMIFS(Таблица1[Столбец1],Таблица1[коэф],"1",Таблица1[р/р],"3/24",Таблица1[Ф. И. О.],B638)</f>
        <v>0</v>
      </c>
      <c r="X633" s="490">
        <f t="shared" ref="X633:X696" si="233">ROUND(U633*V633*W633*2,2)</f>
        <v>0</v>
      </c>
      <c r="Y633" s="764">
        <f t="shared" ref="Y633" si="234">SUM(G633:G643,K633:K643,O633:O643,S633:S643,W633:W643)</f>
        <v>0</v>
      </c>
      <c r="Z633" s="766">
        <f t="shared" ref="Z633" si="235">IFERROR(SUM(H633:H643,L633:L643,T633:T643,X633:X643),"")</f>
        <v>0</v>
      </c>
      <c r="AA633" s="756"/>
    </row>
    <row r="634" spans="1:29" ht="18.75">
      <c r="A634" s="756"/>
      <c r="B634" s="215"/>
      <c r="C634" s="759"/>
      <c r="D634" s="762"/>
      <c r="E634" s="389">
        <f>IF(D633&lt;=3,база!$I$4,
IF(D633=4,база!$I$5,
IF(D633=5,база!$I$6)))</f>
        <v>188.7912</v>
      </c>
      <c r="F634" s="390">
        <v>1</v>
      </c>
      <c r="G634" s="400">
        <f>SUMIFS(Таблица1[Столбец1],Таблица1[коэф],"1",Таблица1[р/р],"3/4",Таблица1[Ф. И. О.],B638)</f>
        <v>0</v>
      </c>
      <c r="H634" s="392">
        <f t="shared" si="230"/>
        <v>0</v>
      </c>
      <c r="I634" s="432">
        <f>IF(D633&lt;=3,база!$J$4,
IF(D633=4,база!$J$5,
IF(D633=5,база!$J$6)))</f>
        <v>196.05240000000001</v>
      </c>
      <c r="J634" s="433">
        <v>1</v>
      </c>
      <c r="K634" s="434">
        <f>SUMIFS(Таблица1[Столбец1],Таблица1[коэф],"1",Таблица1[р/р],"3/8",Таблица1[Ф. И. О.],B638)</f>
        <v>0</v>
      </c>
      <c r="L634" s="484">
        <f t="shared" si="231"/>
        <v>0</v>
      </c>
      <c r="M634" s="434"/>
      <c r="N634" s="434">
        <v>1</v>
      </c>
      <c r="O634" s="434">
        <f>SUMIFS(Data_Tech!$AM$3:$AM$67,Data_Tech!$E$3:$E$67,"1",Data_Tech!$G$3:$G$67,"4/12",Data_Tech!$F$3:$F$67,B638)</f>
        <v>0</v>
      </c>
      <c r="P634" s="406">
        <f>ROUND(M634*O634,2)</f>
        <v>0</v>
      </c>
      <c r="Q634" s="389">
        <f>база!$L$5</f>
        <v>231.45480000000001</v>
      </c>
      <c r="R634" s="390">
        <v>1</v>
      </c>
      <c r="S634" s="400">
        <f>SUMIFS(Таблица1[Столбец1],Таблица1[коэф],"1",Таблица1[р/р],"4/16",Таблица1[Ф. И. О.],B638)</f>
        <v>0</v>
      </c>
      <c r="T634" s="492">
        <f t="shared" si="232"/>
        <v>0</v>
      </c>
      <c r="U634" s="478">
        <f>база!$M$5</f>
        <v>247.41720000000001</v>
      </c>
      <c r="V634" s="390">
        <v>1</v>
      </c>
      <c r="W634" s="412">
        <f>SUMIFS(Таблица1[Столбец1],Таблица1[коэф],"1",Таблица1[р/р],"4/24",Таблица1[Ф. И. О.],B638)</f>
        <v>0</v>
      </c>
      <c r="X634" s="492">
        <f t="shared" si="233"/>
        <v>0</v>
      </c>
      <c r="Y634" s="764"/>
      <c r="Z634" s="766"/>
      <c r="AA634" s="756"/>
    </row>
    <row r="635" spans="1:29" ht="18.75">
      <c r="A635" s="756"/>
      <c r="B635" s="215"/>
      <c r="C635" s="759"/>
      <c r="D635" s="762"/>
      <c r="E635" s="389"/>
      <c r="F635" s="390"/>
      <c r="G635" s="400"/>
      <c r="H635" s="392">
        <f t="shared" si="230"/>
        <v>0</v>
      </c>
      <c r="I635" s="432"/>
      <c r="J635" s="433"/>
      <c r="K635" s="434"/>
      <c r="L635" s="484">
        <f t="shared" si="231"/>
        <v>0</v>
      </c>
      <c r="M635" s="434"/>
      <c r="N635" s="434"/>
      <c r="O635" s="434"/>
      <c r="P635" s="406"/>
      <c r="Q635" s="389">
        <f>база!$L$6</f>
        <v>261.04640000000001</v>
      </c>
      <c r="R635" s="390">
        <v>1</v>
      </c>
      <c r="S635" s="400">
        <f>SUMIFS(Таблица1[Столбец1],Таблица1[коэф],"1",Таблица1[р/р],"5/16",Таблица1[Ф. И. О.],B638)</f>
        <v>0</v>
      </c>
      <c r="T635" s="492">
        <f t="shared" si="232"/>
        <v>0</v>
      </c>
      <c r="U635" s="478">
        <f>база!$M$6</f>
        <v>279.0496</v>
      </c>
      <c r="V635" s="390">
        <v>1</v>
      </c>
      <c r="W635" s="412">
        <f>SUMIFS(Таблица1[Столбец1],Таблица1[коэф],"1",Таблица1[р/р],"5/24",Таблица1[Ф. И. О.],B638)</f>
        <v>0</v>
      </c>
      <c r="X635" s="492">
        <f t="shared" si="233"/>
        <v>0</v>
      </c>
      <c r="Y635" s="764"/>
      <c r="Z635" s="766"/>
      <c r="AA635" s="756"/>
    </row>
    <row r="636" spans="1:29" ht="18.75">
      <c r="A636" s="756"/>
      <c r="B636" s="215"/>
      <c r="C636" s="759"/>
      <c r="D636" s="762"/>
      <c r="E636" s="389"/>
      <c r="F636" s="390"/>
      <c r="G636" s="400"/>
      <c r="H636" s="392">
        <f t="shared" si="230"/>
        <v>0</v>
      </c>
      <c r="I636" s="432">
        <f>база!$J$5</f>
        <v>215.4924</v>
      </c>
      <c r="J636" s="433">
        <v>1.5</v>
      </c>
      <c r="K636" s="434">
        <f>SUMIFS(Таблица1[Столбец1],Таблица1[коэф],"1,5",Таблица1[р/р],"4/8",Таблица1[Ф. И. О.],B638)</f>
        <v>0</v>
      </c>
      <c r="L636" s="484">
        <f t="shared" si="231"/>
        <v>0</v>
      </c>
      <c r="M636" s="434"/>
      <c r="N636" s="434"/>
      <c r="O636" s="434"/>
      <c r="P636" s="406"/>
      <c r="Q636" s="389">
        <f>IF(D633&lt;=3,база!$L$4,
IF(D633=4,база!$L$5,
IF(D633=5,база!$L$6)))</f>
        <v>210.57480000000001</v>
      </c>
      <c r="R636" s="390">
        <v>1.2</v>
      </c>
      <c r="S636" s="400">
        <f>SUMIFS(Таблица1[Столбец1],Таблица1[коэф],"1,2",Таблица1[р/р],"3/16",Таблица1[Ф. И. О.],B638)</f>
        <v>0</v>
      </c>
      <c r="T636" s="492">
        <f t="shared" si="232"/>
        <v>0</v>
      </c>
      <c r="U636" s="478">
        <f>IF(D633&lt;=3,база!$M$4,
IF(D633=4,база!$M$5,
IF(D633=5,база!$M$6)))</f>
        <v>225.09719999999999</v>
      </c>
      <c r="V636" s="390">
        <v>1.2</v>
      </c>
      <c r="W636" s="412">
        <f>SUMIFS(Таблица1[Столбец1],Таблица1[коэф],"1,2",Таблица1[р/р],"3/24",Таблица1[Ф. И. О.],B638)</f>
        <v>0</v>
      </c>
      <c r="X636" s="492">
        <f t="shared" si="233"/>
        <v>0</v>
      </c>
      <c r="Y636" s="764"/>
      <c r="Z636" s="766"/>
      <c r="AA636" s="756"/>
    </row>
    <row r="637" spans="1:29" ht="18.75">
      <c r="A637" s="756"/>
      <c r="B637" s="215"/>
      <c r="C637" s="759"/>
      <c r="D637" s="762"/>
      <c r="E637" s="389"/>
      <c r="F637" s="390"/>
      <c r="G637" s="400"/>
      <c r="H637" s="392">
        <f t="shared" si="230"/>
        <v>0</v>
      </c>
      <c r="I637" s="432">
        <f>база!$J$6</f>
        <v>243.04319999999998</v>
      </c>
      <c r="J637" s="433">
        <v>1.5</v>
      </c>
      <c r="K637" s="434">
        <f>SUMIFS(Таблица1[Столбец1],Таблица1[коэф],"1,5",Таблица1[р/р],"5/8",Таблица1[Ф. И. О.],B638)</f>
        <v>0</v>
      </c>
      <c r="L637" s="484">
        <f t="shared" si="231"/>
        <v>0</v>
      </c>
      <c r="M637" s="434"/>
      <c r="N637" s="434"/>
      <c r="O637" s="434"/>
      <c r="P637" s="406"/>
      <c r="Q637" s="389">
        <f>база!$L$5</f>
        <v>231.45480000000001</v>
      </c>
      <c r="R637" s="390">
        <v>1.2</v>
      </c>
      <c r="S637" s="400">
        <f>SUMIFS(Таблица1[Столбец1],Таблица1[коэф],"1,2",Таблица1[р/р],"4/16",Таблица1[Ф. И. О.],B638)</f>
        <v>0</v>
      </c>
      <c r="T637" s="492">
        <f t="shared" si="232"/>
        <v>0</v>
      </c>
      <c r="U637" s="478">
        <f>база!$M$5</f>
        <v>247.41720000000001</v>
      </c>
      <c r="V637" s="390">
        <v>1.2</v>
      </c>
      <c r="W637" s="412">
        <f>SUMIFS(Таблица1[Столбец1],Таблица1[коэф],"1,2",Таблица1[р/р],"4/24",Таблица1[Ф. И. О.],B638)</f>
        <v>0</v>
      </c>
      <c r="X637" s="492">
        <f t="shared" si="233"/>
        <v>0</v>
      </c>
      <c r="Y637" s="764"/>
      <c r="Z637" s="766"/>
      <c r="AA637" s="756"/>
    </row>
    <row r="638" spans="1:29" ht="18.75">
      <c r="A638" s="756"/>
      <c r="B638" s="215" t="str">
        <f>база!B59</f>
        <v>Ополченова Ольга Валерьевна</v>
      </c>
      <c r="C638" s="759"/>
      <c r="D638" s="762"/>
      <c r="E638" s="389"/>
      <c r="F638" s="390"/>
      <c r="G638" s="400"/>
      <c r="H638" s="392">
        <f t="shared" si="230"/>
        <v>0</v>
      </c>
      <c r="I638" s="432"/>
      <c r="J638" s="433"/>
      <c r="K638" s="434"/>
      <c r="L638" s="484">
        <f t="shared" si="231"/>
        <v>0</v>
      </c>
      <c r="M638" s="434"/>
      <c r="N638" s="434"/>
      <c r="O638" s="434"/>
      <c r="P638" s="406"/>
      <c r="Q638" s="389">
        <f>база!$L$6</f>
        <v>261.04640000000001</v>
      </c>
      <c r="R638" s="390">
        <v>1.2</v>
      </c>
      <c r="S638" s="400">
        <f>SUMIFS(Таблица1[Столбец1],Таблица1[коэф],"1,2",Таблица1[р/р],"5/16",Таблица1[Ф. И. О.],B638)</f>
        <v>0</v>
      </c>
      <c r="T638" s="492">
        <f t="shared" si="232"/>
        <v>0</v>
      </c>
      <c r="U638" s="478">
        <f>база!$M$6</f>
        <v>279.0496</v>
      </c>
      <c r="V638" s="390">
        <v>1.2</v>
      </c>
      <c r="W638" s="412">
        <f>SUMIFS(Таблица1[Столбец1],Таблица1[коэф],"1,2",Таблица1[р/р],"5/24",Таблица1[Ф. И. О.],B638)</f>
        <v>0</v>
      </c>
      <c r="X638" s="492">
        <f t="shared" si="233"/>
        <v>0</v>
      </c>
      <c r="Y638" s="764"/>
      <c r="Z638" s="766"/>
      <c r="AA638" s="756"/>
      <c r="AC638" s="712" t="str">
        <f>IF(SUMIFS(Таблица1[Столбец3],Таблица1[Ф. И. О.],B638)-Z633=0,"",SUMIFS(Таблица1[Столбец3],Таблица1[Ф. И. О.],B638)-Z633)</f>
        <v/>
      </c>
    </row>
    <row r="639" spans="1:29" ht="18.75">
      <c r="A639" s="756"/>
      <c r="B639" s="215"/>
      <c r="C639" s="759"/>
      <c r="D639" s="762"/>
      <c r="E639" s="389"/>
      <c r="F639" s="390"/>
      <c r="G639" s="400"/>
      <c r="H639" s="392">
        <f t="shared" si="230"/>
        <v>0</v>
      </c>
      <c r="I639" s="432"/>
      <c r="J639" s="433"/>
      <c r="K639" s="434"/>
      <c r="L639" s="484">
        <f t="shared" si="231"/>
        <v>0</v>
      </c>
      <c r="M639" s="434"/>
      <c r="N639" s="434"/>
      <c r="O639" s="434"/>
      <c r="P639" s="406"/>
      <c r="Q639" s="389">
        <f>IF($D$6&lt;=3,база!$L$4,
IF($D$6=4,база!$L$5,
IF($D$6=5,база!$L$6)))</f>
        <v>231.45480000000001</v>
      </c>
      <c r="R639" s="390">
        <v>1.3</v>
      </c>
      <c r="S639" s="400">
        <f>SUMIFS(Таблица1[Столбец1],Таблица1[коэф],"1,3",Таблица1[р/р],"3/16",Таблица1[Ф. И. О.],B638)</f>
        <v>0</v>
      </c>
      <c r="T639" s="492">
        <f t="shared" si="232"/>
        <v>0</v>
      </c>
      <c r="U639" s="478">
        <f>IF(D633&lt;=3,база!$M$4,
IF(D633=4,база!$M$5,
IF(D633=5,база!$M$6)))</f>
        <v>225.09719999999999</v>
      </c>
      <c r="V639" s="390">
        <v>1.3</v>
      </c>
      <c r="W639" s="412">
        <f>SUMIFS(Таблица1[Столбец1],Таблица1[коэф],"1,3",Таблица1[р/р],"3/24",Таблица1[Ф. И. О.],B638)</f>
        <v>0</v>
      </c>
      <c r="X639" s="492">
        <f t="shared" si="233"/>
        <v>0</v>
      </c>
      <c r="Y639" s="764"/>
      <c r="Z639" s="766"/>
      <c r="AA639" s="756"/>
      <c r="AC639" s="712" t="str">
        <f>IF(SUMIFS(Таблица1[Столбец1],Таблица1[Ф. И. О.],B638)=Y633,"",B638&amp;"  часы не верны")</f>
        <v/>
      </c>
    </row>
    <row r="640" spans="1:29" ht="18.75">
      <c r="A640" s="756"/>
      <c r="B640" s="215"/>
      <c r="C640" s="759"/>
      <c r="D640" s="762"/>
      <c r="E640" s="389"/>
      <c r="F640" s="390"/>
      <c r="G640" s="400"/>
      <c r="H640" s="392">
        <f t="shared" si="230"/>
        <v>0</v>
      </c>
      <c r="I640" s="432"/>
      <c r="J640" s="433"/>
      <c r="K640" s="434"/>
      <c r="L640" s="484">
        <f t="shared" si="231"/>
        <v>0</v>
      </c>
      <c r="M640" s="434"/>
      <c r="N640" s="434"/>
      <c r="O640" s="434"/>
      <c r="P640" s="406"/>
      <c r="Q640" s="389">
        <f>база!$L$5</f>
        <v>231.45480000000001</v>
      </c>
      <c r="R640" s="390">
        <v>1.3</v>
      </c>
      <c r="S640" s="400">
        <f>SUMIFS(Таблица1[Столбец1],Таблица1[коэф],"1,3",Таблица1[р/р],"4/16",Таблица1[Ф. И. О.],B638)</f>
        <v>0</v>
      </c>
      <c r="T640" s="492">
        <f t="shared" si="232"/>
        <v>0</v>
      </c>
      <c r="U640" s="478">
        <f>база!$M$5</f>
        <v>247.41720000000001</v>
      </c>
      <c r="V640" s="390">
        <v>1.3</v>
      </c>
      <c r="W640" s="412">
        <f>SUMIFS(Таблица1[Столбец1],Таблица1[коэф],"1,3",Таблица1[р/р],"4/24",Таблица1[Ф. И. О.],B638)</f>
        <v>0</v>
      </c>
      <c r="X640" s="492">
        <f t="shared" si="233"/>
        <v>0</v>
      </c>
      <c r="Y640" s="764"/>
      <c r="Z640" s="766"/>
      <c r="AA640" s="756"/>
    </row>
    <row r="641" spans="1:29" ht="18.75">
      <c r="A641" s="756"/>
      <c r="B641" s="215"/>
      <c r="C641" s="759"/>
      <c r="D641" s="762"/>
      <c r="E641" s="389"/>
      <c r="F641" s="390"/>
      <c r="G641" s="400"/>
      <c r="H641" s="392">
        <f t="shared" si="230"/>
        <v>0</v>
      </c>
      <c r="I641" s="432"/>
      <c r="J641" s="433"/>
      <c r="K641" s="434"/>
      <c r="L641" s="484">
        <f t="shared" si="231"/>
        <v>0</v>
      </c>
      <c r="M641" s="434"/>
      <c r="N641" s="434"/>
      <c r="O641" s="434"/>
      <c r="P641" s="406"/>
      <c r="Q641" s="389">
        <f>IF(D633&lt;=3,база!$L$4,
IF(D633=4,база!$L$5,
IF(D633=5,база!$L$6)))</f>
        <v>210.57480000000001</v>
      </c>
      <c r="R641" s="390">
        <v>1.4</v>
      </c>
      <c r="S641" s="400">
        <f>SUMIFS(Таблица1[Столбец1],Таблица1[коэф],"1,4",Таблица1[р/р],"3/16",Таблица1[Ф. И. О.],B638)</f>
        <v>0</v>
      </c>
      <c r="T641" s="492">
        <f t="shared" si="232"/>
        <v>0</v>
      </c>
      <c r="U641" s="478">
        <f>IF(D633&lt;=3,база!$M$4,
IF(D633=4,база!$M$5,
IF(D633=5,база!$M$6)))</f>
        <v>225.09719999999999</v>
      </c>
      <c r="V641" s="390">
        <v>1.4</v>
      </c>
      <c r="W641" s="412">
        <f>SUMIFS(Таблица1[Столбец1],Таблица1[коэф],"1,4",Таблица1[р/р],"3/24",Таблица1[Ф. И. О.],B638)</f>
        <v>0</v>
      </c>
      <c r="X641" s="492">
        <f t="shared" si="233"/>
        <v>0</v>
      </c>
      <c r="Y641" s="764"/>
      <c r="Z641" s="766"/>
      <c r="AA641" s="756"/>
    </row>
    <row r="642" spans="1:29" ht="18.75">
      <c r="A642" s="756"/>
      <c r="B642" s="215"/>
      <c r="C642" s="759"/>
      <c r="D642" s="762"/>
      <c r="E642" s="389"/>
      <c r="F642" s="390"/>
      <c r="G642" s="400"/>
      <c r="H642" s="392">
        <f t="shared" si="230"/>
        <v>0</v>
      </c>
      <c r="I642" s="432"/>
      <c r="J642" s="433"/>
      <c r="K642" s="434"/>
      <c r="L642" s="484">
        <f t="shared" si="231"/>
        <v>0</v>
      </c>
      <c r="M642" s="434"/>
      <c r="N642" s="434"/>
      <c r="O642" s="434"/>
      <c r="P642" s="406"/>
      <c r="Q642" s="389">
        <f>база!$L$5</f>
        <v>231.45480000000001</v>
      </c>
      <c r="R642" s="390">
        <v>1.4</v>
      </c>
      <c r="S642" s="400">
        <f>SUMIFS(Таблица1[Столбец1],Таблица1[коэф],"1,4",Таблица1[р/р],"4/16",Таблица1[Ф. И. О.],B638)</f>
        <v>0</v>
      </c>
      <c r="T642" s="492">
        <f t="shared" si="232"/>
        <v>0</v>
      </c>
      <c r="U642" s="478">
        <f>база!$M$5</f>
        <v>247.41720000000001</v>
      </c>
      <c r="V642" s="390">
        <v>1.4</v>
      </c>
      <c r="W642" s="412">
        <f>SUMIFS(Таблица1[Столбец1],Таблица1[коэф],"1,4",Таблица1[р/р],"4/24",Таблица1[Ф. И. О.],B638)</f>
        <v>0</v>
      </c>
      <c r="X642" s="492">
        <f t="shared" si="233"/>
        <v>0</v>
      </c>
      <c r="Y642" s="764"/>
      <c r="Z642" s="766"/>
      <c r="AA642" s="756"/>
    </row>
    <row r="643" spans="1:29" ht="19.5" thickBot="1">
      <c r="A643" s="757"/>
      <c r="B643" s="202"/>
      <c r="C643" s="760"/>
      <c r="D643" s="763"/>
      <c r="E643" s="473"/>
      <c r="F643" s="464"/>
      <c r="G643" s="465"/>
      <c r="H643" s="402">
        <f t="shared" si="230"/>
        <v>0</v>
      </c>
      <c r="I643" s="466"/>
      <c r="J643" s="456"/>
      <c r="K643" s="457"/>
      <c r="L643" s="484">
        <f t="shared" si="231"/>
        <v>0</v>
      </c>
      <c r="M643" s="457"/>
      <c r="N643" s="457"/>
      <c r="O643" s="457"/>
      <c r="P643" s="476"/>
      <c r="Q643" s="473">
        <f>база!$L$6</f>
        <v>261.04640000000001</v>
      </c>
      <c r="R643" s="464">
        <v>1.4</v>
      </c>
      <c r="S643" s="465">
        <f>SUMIFS(Таблица1[Столбец1],Таблица1[коэф],"1,4",Таблица1[р/р],"5/16",Таблица1[Ф. И. О.],B638)</f>
        <v>0</v>
      </c>
      <c r="T643" s="492">
        <f t="shared" si="232"/>
        <v>0</v>
      </c>
      <c r="U643" s="480">
        <f>база!$M$6</f>
        <v>279.0496</v>
      </c>
      <c r="V643" s="464">
        <v>1.4</v>
      </c>
      <c r="W643" s="470">
        <f>SUMIFS(Таблица1[Столбец1],Таблица1[коэф],"1,4",Таблица1[р/р],"5/24",Таблица1[Ф. И. О.],B638)</f>
        <v>0</v>
      </c>
      <c r="X643" s="492">
        <f t="shared" si="233"/>
        <v>0</v>
      </c>
      <c r="Y643" s="765"/>
      <c r="Z643" s="767"/>
      <c r="AA643" s="757"/>
    </row>
    <row r="644" spans="1:29" ht="18.75">
      <c r="A644" s="755">
        <v>59</v>
      </c>
      <c r="B644" s="215"/>
      <c r="C644" s="758">
        <f>INDEX(база!$E$2:$E$150, MATCH(B649,база!$B$2:$B$150,0))</f>
        <v>15556</v>
      </c>
      <c r="D644" s="761">
        <f>INDEX(база!$D$2:$D$150, MATCH(B649,база!$B$2:$B$150,0))</f>
        <v>3</v>
      </c>
      <c r="E644" s="377">
        <f>IF(D644&lt;=3,база!$I$4,
IF(D644=4,база!$I$5,
IF(D644=5,база!$I$6)))</f>
        <v>188.7912</v>
      </c>
      <c r="F644" s="378">
        <v>1</v>
      </c>
      <c r="G644" s="387">
        <f>SUMIFS(Таблица1[Столбец1],Таблица1[коэф],"1",Таблица1[р/р],"2/4",Таблица1[Ф. И. О.],B649)</f>
        <v>0</v>
      </c>
      <c r="H644" s="380">
        <f t="shared" si="230"/>
        <v>0</v>
      </c>
      <c r="I644" s="452">
        <f>IF(D644&lt;=3,база!$J$4,
IF(D644=4,база!$J$5,
IF(D644=5,база!$J$6)))</f>
        <v>196.05240000000001</v>
      </c>
      <c r="J644" s="475">
        <v>1</v>
      </c>
      <c r="K644" s="453">
        <f>SUMIFS(Таблица1[Столбец1],Таблица1[коэф],"1",Таблица1[р/р],"2/8",Таблица1[Ф. И. О.],B649)</f>
        <v>0</v>
      </c>
      <c r="L644" s="383">
        <f t="shared" si="231"/>
        <v>0</v>
      </c>
      <c r="M644" s="453"/>
      <c r="N644" s="453">
        <v>1</v>
      </c>
      <c r="O644" s="453">
        <f>SUMIFS(Data_Tech!$AM$3:$AM$67,Data_Tech!$E$3:$E$67,"1",Data_Tech!$G$3:$G$67,"3/12",Data_Tech!$F$3:$F$67,B649)</f>
        <v>0</v>
      </c>
      <c r="P644" s="398">
        <f>ROUND(M644*N644*O644,2)</f>
        <v>0</v>
      </c>
      <c r="Q644" s="377">
        <f>IF(D644&lt;=3,база!$L$4,
IF(D644=4,база!$L$5,
IF(D644=5,база!$L$6)))</f>
        <v>210.57480000000001</v>
      </c>
      <c r="R644" s="378">
        <v>1</v>
      </c>
      <c r="S644" s="387">
        <f>SUMIFS(Таблица1[Столбец1],Таблица1[коэф],"1",Таблица1[р/р],"3/16",Таблица1[Ф. И. О.],B649)</f>
        <v>0</v>
      </c>
      <c r="T644" s="490">
        <f t="shared" si="232"/>
        <v>0</v>
      </c>
      <c r="U644" s="483">
        <f>IF(D644&lt;=3,база!$M$4,
IF(D644=4,база!$M$5,
IF(D644=5,база!$M$6)))</f>
        <v>225.09719999999999</v>
      </c>
      <c r="V644" s="417">
        <v>1</v>
      </c>
      <c r="W644" s="455">
        <f>SUMIFS(Таблица1[Столбец1],Таблица1[коэф],"1",Таблица1[р/р],"3/24",Таблица1[Ф. И. О.],B649)</f>
        <v>0</v>
      </c>
      <c r="X644" s="490">
        <f t="shared" si="233"/>
        <v>0</v>
      </c>
      <c r="Y644" s="764">
        <f t="shared" ref="Y644" si="236">SUM(G644:G654,K644:K654,O644:O654,S644:S654,W644:W654)</f>
        <v>0</v>
      </c>
      <c r="Z644" s="766">
        <f t="shared" ref="Z644" si="237">IFERROR(SUM(H644:H654,L644:L654,T644:T654,X644:X654),"")</f>
        <v>0</v>
      </c>
      <c r="AA644" s="756"/>
    </row>
    <row r="645" spans="1:29" ht="18.75">
      <c r="A645" s="756"/>
      <c r="B645" s="215"/>
      <c r="C645" s="759"/>
      <c r="D645" s="762"/>
      <c r="E645" s="389">
        <f>IF(D644&lt;=3,база!$I$4,
IF(D644=4,база!$I$5,
IF(D644=5,база!$I$6)))</f>
        <v>188.7912</v>
      </c>
      <c r="F645" s="390">
        <v>1</v>
      </c>
      <c r="G645" s="400">
        <f>SUMIFS(Таблица1[Столбец1],Таблица1[коэф],"1",Таблица1[р/р],"3/4",Таблица1[Ф. И. О.],B649)</f>
        <v>0</v>
      </c>
      <c r="H645" s="392">
        <f t="shared" si="230"/>
        <v>0</v>
      </c>
      <c r="I645" s="432">
        <f>IF(D644&lt;=3,база!$J$4,
IF(D644=4,база!$J$5,
IF(D644=5,база!$J$6)))</f>
        <v>196.05240000000001</v>
      </c>
      <c r="J645" s="433">
        <v>1</v>
      </c>
      <c r="K645" s="434">
        <f>SUMIFS(Таблица1[Столбец1],Таблица1[коэф],"1",Таблица1[р/р],"3/8",Таблица1[Ф. И. О.],B649)</f>
        <v>0</v>
      </c>
      <c r="L645" s="484">
        <f t="shared" si="231"/>
        <v>0</v>
      </c>
      <c r="M645" s="434"/>
      <c r="N645" s="434">
        <v>1</v>
      </c>
      <c r="O645" s="434">
        <f>SUMIFS(Data_Tech!$AM$3:$AM$67,Data_Tech!$E$3:$E$67,"1",Data_Tech!$G$3:$G$67,"4/12",Data_Tech!$F$3:$F$67,B649)</f>
        <v>0</v>
      </c>
      <c r="P645" s="406">
        <f>ROUND(M645*O645,2)</f>
        <v>0</v>
      </c>
      <c r="Q645" s="389">
        <f>база!$L$5</f>
        <v>231.45480000000001</v>
      </c>
      <c r="R645" s="390">
        <v>1</v>
      </c>
      <c r="S645" s="400">
        <f>SUMIFS(Таблица1[Столбец1],Таблица1[коэф],"1",Таблица1[р/р],"4/16",Таблица1[Ф. И. О.],B649)</f>
        <v>0</v>
      </c>
      <c r="T645" s="492">
        <f t="shared" si="232"/>
        <v>0</v>
      </c>
      <c r="U645" s="478">
        <f>база!$M$5</f>
        <v>247.41720000000001</v>
      </c>
      <c r="V645" s="390">
        <v>1</v>
      </c>
      <c r="W645" s="412">
        <f>SUMIFS(Таблица1[Столбец1],Таблица1[коэф],"1",Таблица1[р/р],"4/24",Таблица1[Ф. И. О.],B649)</f>
        <v>0</v>
      </c>
      <c r="X645" s="492">
        <f t="shared" si="233"/>
        <v>0</v>
      </c>
      <c r="Y645" s="764"/>
      <c r="Z645" s="766"/>
      <c r="AA645" s="756"/>
    </row>
    <row r="646" spans="1:29" ht="18.75">
      <c r="A646" s="756"/>
      <c r="B646" s="215"/>
      <c r="C646" s="759"/>
      <c r="D646" s="762"/>
      <c r="E646" s="389"/>
      <c r="F646" s="390"/>
      <c r="G646" s="400"/>
      <c r="H646" s="392">
        <f t="shared" si="230"/>
        <v>0</v>
      </c>
      <c r="I646" s="432"/>
      <c r="J646" s="433"/>
      <c r="K646" s="434"/>
      <c r="L646" s="484">
        <f t="shared" si="231"/>
        <v>0</v>
      </c>
      <c r="M646" s="434"/>
      <c r="N646" s="434"/>
      <c r="O646" s="434"/>
      <c r="P646" s="406"/>
      <c r="Q646" s="389">
        <f>база!$L$6</f>
        <v>261.04640000000001</v>
      </c>
      <c r="R646" s="390">
        <v>1</v>
      </c>
      <c r="S646" s="400">
        <f>SUMIFS(Таблица1[Столбец1],Таблица1[коэф],"1",Таблица1[р/р],"5/16",Таблица1[Ф. И. О.],B649)</f>
        <v>0</v>
      </c>
      <c r="T646" s="492">
        <f t="shared" si="232"/>
        <v>0</v>
      </c>
      <c r="U646" s="478">
        <f>база!$M$6</f>
        <v>279.0496</v>
      </c>
      <c r="V646" s="390">
        <v>1</v>
      </c>
      <c r="W646" s="412">
        <f>SUMIFS(Таблица1[Столбец1],Таблица1[коэф],"1",Таблица1[р/р],"5/24",Таблица1[Ф. И. О.],B649)</f>
        <v>0</v>
      </c>
      <c r="X646" s="492">
        <f t="shared" si="233"/>
        <v>0</v>
      </c>
      <c r="Y646" s="764"/>
      <c r="Z646" s="766"/>
      <c r="AA646" s="756"/>
    </row>
    <row r="647" spans="1:29" ht="18.75">
      <c r="A647" s="756"/>
      <c r="B647" s="215"/>
      <c r="C647" s="759"/>
      <c r="D647" s="762"/>
      <c r="E647" s="389"/>
      <c r="F647" s="390"/>
      <c r="G647" s="400"/>
      <c r="H647" s="392">
        <f t="shared" si="230"/>
        <v>0</v>
      </c>
      <c r="I647" s="432">
        <f>база!$J$5</f>
        <v>215.4924</v>
      </c>
      <c r="J647" s="433">
        <v>1.5</v>
      </c>
      <c r="K647" s="434">
        <f>SUMIFS(Таблица1[Столбец1],Таблица1[коэф],"1,5",Таблица1[р/р],"4/8",Таблица1[Ф. И. О.],B649)</f>
        <v>0</v>
      </c>
      <c r="L647" s="484">
        <f t="shared" si="231"/>
        <v>0</v>
      </c>
      <c r="M647" s="434"/>
      <c r="N647" s="434"/>
      <c r="O647" s="434"/>
      <c r="P647" s="406"/>
      <c r="Q647" s="389">
        <f>IF(D644&lt;=3,база!$L$4,
IF(D644=4,база!$L$5,
IF(D644=5,база!$L$6)))</f>
        <v>210.57480000000001</v>
      </c>
      <c r="R647" s="390">
        <v>1.2</v>
      </c>
      <c r="S647" s="400">
        <f>SUMIFS(Таблица1[Столбец1],Таблица1[коэф],"1,2",Таблица1[р/р],"3/16",Таблица1[Ф. И. О.],B649)</f>
        <v>0</v>
      </c>
      <c r="T647" s="492">
        <f t="shared" si="232"/>
        <v>0</v>
      </c>
      <c r="U647" s="478">
        <f>IF(D644&lt;=3,база!$M$4,
IF(D644=4,база!$M$5,
IF(D644=5,база!$M$6)))</f>
        <v>225.09719999999999</v>
      </c>
      <c r="V647" s="390">
        <v>1.2</v>
      </c>
      <c r="W647" s="412">
        <f>SUMIFS(Таблица1[Столбец1],Таблица1[коэф],"1,2",Таблица1[р/р],"3/24",Таблица1[Ф. И. О.],B649)</f>
        <v>0</v>
      </c>
      <c r="X647" s="492">
        <f t="shared" si="233"/>
        <v>0</v>
      </c>
      <c r="Y647" s="764"/>
      <c r="Z647" s="766"/>
      <c r="AA647" s="756"/>
    </row>
    <row r="648" spans="1:29" ht="18.75">
      <c r="A648" s="756"/>
      <c r="B648" s="215"/>
      <c r="C648" s="759"/>
      <c r="D648" s="762"/>
      <c r="E648" s="389"/>
      <c r="F648" s="390"/>
      <c r="G648" s="400"/>
      <c r="H648" s="392">
        <f t="shared" si="230"/>
        <v>0</v>
      </c>
      <c r="I648" s="432">
        <f>база!$J$6</f>
        <v>243.04319999999998</v>
      </c>
      <c r="J648" s="433">
        <v>1.5</v>
      </c>
      <c r="K648" s="434">
        <f>SUMIFS(Таблица1[Столбец1],Таблица1[коэф],"1,5",Таблица1[р/р],"5/8",Таблица1[Ф. И. О.],B649)</f>
        <v>0</v>
      </c>
      <c r="L648" s="484">
        <f t="shared" si="231"/>
        <v>0</v>
      </c>
      <c r="M648" s="434"/>
      <c r="N648" s="434"/>
      <c r="O648" s="434"/>
      <c r="P648" s="406"/>
      <c r="Q648" s="389">
        <f>база!$L$5</f>
        <v>231.45480000000001</v>
      </c>
      <c r="R648" s="390">
        <v>1.2</v>
      </c>
      <c r="S648" s="400">
        <f>SUMIFS(Таблица1[Столбец1],Таблица1[коэф],"1,2",Таблица1[р/р],"4/16",Таблица1[Ф. И. О.],B649)</f>
        <v>0</v>
      </c>
      <c r="T648" s="492">
        <f t="shared" si="232"/>
        <v>0</v>
      </c>
      <c r="U648" s="478">
        <f>база!$M$5</f>
        <v>247.41720000000001</v>
      </c>
      <c r="V648" s="390">
        <v>1.2</v>
      </c>
      <c r="W648" s="412">
        <f>SUMIFS(Таблица1[Столбец1],Таблица1[коэф],"1,2",Таблица1[р/р],"4/24",Таблица1[Ф. И. О.],B649)</f>
        <v>0</v>
      </c>
      <c r="X648" s="492">
        <f t="shared" si="233"/>
        <v>0</v>
      </c>
      <c r="Y648" s="764"/>
      <c r="Z648" s="766"/>
      <c r="AA648" s="756"/>
    </row>
    <row r="649" spans="1:29" ht="18.75">
      <c r="A649" s="756"/>
      <c r="B649" s="215" t="str">
        <f>база!B60</f>
        <v>Петрова Анна Сергеевна</v>
      </c>
      <c r="C649" s="759"/>
      <c r="D649" s="762"/>
      <c r="E649" s="389"/>
      <c r="F649" s="390"/>
      <c r="G649" s="400"/>
      <c r="H649" s="392">
        <f t="shared" si="230"/>
        <v>0</v>
      </c>
      <c r="I649" s="432"/>
      <c r="J649" s="433"/>
      <c r="K649" s="434"/>
      <c r="L649" s="484">
        <f t="shared" si="231"/>
        <v>0</v>
      </c>
      <c r="M649" s="434"/>
      <c r="N649" s="434"/>
      <c r="O649" s="434"/>
      <c r="P649" s="406"/>
      <c r="Q649" s="389">
        <f>база!$L$6</f>
        <v>261.04640000000001</v>
      </c>
      <c r="R649" s="390">
        <v>1.2</v>
      </c>
      <c r="S649" s="400">
        <f>SUMIFS(Таблица1[Столбец1],Таблица1[коэф],"1,2",Таблица1[р/р],"5/16",Таблица1[Ф. И. О.],B649)</f>
        <v>0</v>
      </c>
      <c r="T649" s="492">
        <f t="shared" si="232"/>
        <v>0</v>
      </c>
      <c r="U649" s="478">
        <f>база!$M$6</f>
        <v>279.0496</v>
      </c>
      <c r="V649" s="390">
        <v>1.2</v>
      </c>
      <c r="W649" s="412">
        <f>SUMIFS(Таблица1[Столбец1],Таблица1[коэф],"1,2",Таблица1[р/р],"5/24",Таблица1[Ф. И. О.],B649)</f>
        <v>0</v>
      </c>
      <c r="X649" s="492">
        <f t="shared" si="233"/>
        <v>0</v>
      </c>
      <c r="Y649" s="764"/>
      <c r="Z649" s="766"/>
      <c r="AA649" s="756"/>
      <c r="AC649" s="712" t="str">
        <f>IF(SUMIFS(Таблица1[Столбец3],Таблица1[Ф. И. О.],B649)-Z644=0,"",SUMIFS(Таблица1[Столбец3],Таблица1[Ф. И. О.],B649)-Z644)</f>
        <v/>
      </c>
    </row>
    <row r="650" spans="1:29" ht="18.75">
      <c r="A650" s="756"/>
      <c r="B650" s="215"/>
      <c r="C650" s="759"/>
      <c r="D650" s="762"/>
      <c r="E650" s="389"/>
      <c r="F650" s="390"/>
      <c r="G650" s="400"/>
      <c r="H650" s="392">
        <f t="shared" si="230"/>
        <v>0</v>
      </c>
      <c r="I650" s="432"/>
      <c r="J650" s="433"/>
      <c r="K650" s="434"/>
      <c r="L650" s="484">
        <f t="shared" si="231"/>
        <v>0</v>
      </c>
      <c r="M650" s="434"/>
      <c r="N650" s="434"/>
      <c r="O650" s="434"/>
      <c r="P650" s="406"/>
      <c r="Q650" s="389">
        <f>IF($D$6&lt;=3,база!$L$4,
IF($D$6=4,база!$L$5,
IF($D$6=5,база!$L$6)))</f>
        <v>231.45480000000001</v>
      </c>
      <c r="R650" s="390">
        <v>1.3</v>
      </c>
      <c r="S650" s="400">
        <f>SUMIFS(Таблица1[Столбец1],Таблица1[коэф],"1,3",Таблица1[р/р],"3/16",Таблица1[Ф. И. О.],B649)</f>
        <v>0</v>
      </c>
      <c r="T650" s="492">
        <f t="shared" si="232"/>
        <v>0</v>
      </c>
      <c r="U650" s="478">
        <f>IF(D644&lt;=3,база!$M$4,
IF(D644=4,база!$M$5,
IF(D644=5,база!$M$6)))</f>
        <v>225.09719999999999</v>
      </c>
      <c r="V650" s="390">
        <v>1.3</v>
      </c>
      <c r="W650" s="412">
        <f>SUMIFS(Таблица1[Столбец1],Таблица1[коэф],"1,3",Таблица1[р/р],"3/24",Таблица1[Ф. И. О.],B649)</f>
        <v>0</v>
      </c>
      <c r="X650" s="492">
        <f t="shared" si="233"/>
        <v>0</v>
      </c>
      <c r="Y650" s="764"/>
      <c r="Z650" s="766"/>
      <c r="AA650" s="756"/>
      <c r="AC650" s="712" t="str">
        <f>IF(SUMIFS(Таблица1[Столбец1],Таблица1[Ф. И. О.],B649)=Y644,"",B649&amp;"  часы не верны")</f>
        <v/>
      </c>
    </row>
    <row r="651" spans="1:29" ht="18.75">
      <c r="A651" s="756"/>
      <c r="B651" s="215"/>
      <c r="C651" s="759"/>
      <c r="D651" s="762"/>
      <c r="E651" s="389"/>
      <c r="F651" s="390"/>
      <c r="G651" s="400"/>
      <c r="H651" s="392">
        <f t="shared" si="230"/>
        <v>0</v>
      </c>
      <c r="I651" s="432"/>
      <c r="J651" s="433"/>
      <c r="K651" s="434"/>
      <c r="L651" s="484">
        <f t="shared" si="231"/>
        <v>0</v>
      </c>
      <c r="M651" s="434"/>
      <c r="N651" s="434"/>
      <c r="O651" s="434"/>
      <c r="P651" s="406"/>
      <c r="Q651" s="389">
        <f>база!$L$5</f>
        <v>231.45480000000001</v>
      </c>
      <c r="R651" s="390">
        <v>1.3</v>
      </c>
      <c r="S651" s="400">
        <f>SUMIFS(Таблица1[Столбец1],Таблица1[коэф],"1,3",Таблица1[р/р],"4/16",Таблица1[Ф. И. О.],B649)</f>
        <v>0</v>
      </c>
      <c r="T651" s="492">
        <f t="shared" si="232"/>
        <v>0</v>
      </c>
      <c r="U651" s="478">
        <f>база!$M$5</f>
        <v>247.41720000000001</v>
      </c>
      <c r="V651" s="390">
        <v>1.3</v>
      </c>
      <c r="W651" s="412">
        <f>SUMIFS(Таблица1[Столбец1],Таблица1[коэф],"1,3",Таблица1[р/р],"4/24",Таблица1[Ф. И. О.],B649)</f>
        <v>0</v>
      </c>
      <c r="X651" s="492">
        <f t="shared" si="233"/>
        <v>0</v>
      </c>
      <c r="Y651" s="764"/>
      <c r="Z651" s="766"/>
      <c r="AA651" s="756"/>
    </row>
    <row r="652" spans="1:29" ht="18.75">
      <c r="A652" s="756"/>
      <c r="B652" s="215"/>
      <c r="C652" s="759"/>
      <c r="D652" s="762"/>
      <c r="E652" s="389"/>
      <c r="F652" s="390"/>
      <c r="G652" s="400"/>
      <c r="H652" s="392">
        <f t="shared" si="230"/>
        <v>0</v>
      </c>
      <c r="I652" s="432"/>
      <c r="J652" s="433"/>
      <c r="K652" s="434"/>
      <c r="L652" s="484">
        <f t="shared" si="231"/>
        <v>0</v>
      </c>
      <c r="M652" s="434"/>
      <c r="N652" s="434"/>
      <c r="O652" s="434"/>
      <c r="P652" s="406"/>
      <c r="Q652" s="389">
        <f>IF(D644&lt;=3,база!$L$4,
IF(D644=4,база!$L$5,
IF(D644=5,база!$L$6)))</f>
        <v>210.57480000000001</v>
      </c>
      <c r="R652" s="390">
        <v>1.4</v>
      </c>
      <c r="S652" s="400">
        <f>SUMIFS(Таблица1[Столбец1],Таблица1[коэф],"1,4",Таблица1[р/р],"3/16",Таблица1[Ф. И. О.],B649)</f>
        <v>0</v>
      </c>
      <c r="T652" s="492">
        <f t="shared" si="232"/>
        <v>0</v>
      </c>
      <c r="U652" s="478">
        <f>IF(D644&lt;=3,база!$M$4,
IF(D644=4,база!$M$5,
IF(D644=5,база!$M$6)))</f>
        <v>225.09719999999999</v>
      </c>
      <c r="V652" s="390">
        <v>1.4</v>
      </c>
      <c r="W652" s="412">
        <f>SUMIFS(Таблица1[Столбец1],Таблица1[коэф],"1,4",Таблица1[р/р],"3/24",Таблица1[Ф. И. О.],B649)</f>
        <v>0</v>
      </c>
      <c r="X652" s="492">
        <f t="shared" si="233"/>
        <v>0</v>
      </c>
      <c r="Y652" s="764"/>
      <c r="Z652" s="766"/>
      <c r="AA652" s="756"/>
    </row>
    <row r="653" spans="1:29" ht="18.75">
      <c r="A653" s="756"/>
      <c r="B653" s="215"/>
      <c r="C653" s="759"/>
      <c r="D653" s="762"/>
      <c r="E653" s="389"/>
      <c r="F653" s="390"/>
      <c r="G653" s="400"/>
      <c r="H653" s="392">
        <f t="shared" si="230"/>
        <v>0</v>
      </c>
      <c r="I653" s="432"/>
      <c r="J653" s="433"/>
      <c r="K653" s="434"/>
      <c r="L653" s="484">
        <f t="shared" si="231"/>
        <v>0</v>
      </c>
      <c r="M653" s="434"/>
      <c r="N653" s="434"/>
      <c r="O653" s="434"/>
      <c r="P653" s="406"/>
      <c r="Q653" s="389">
        <f>база!$L$5</f>
        <v>231.45480000000001</v>
      </c>
      <c r="R653" s="390">
        <v>1.4</v>
      </c>
      <c r="S653" s="400">
        <f>SUMIFS(Таблица1[Столбец1],Таблица1[коэф],"1,4",Таблица1[р/р],"4/16",Таблица1[Ф. И. О.],B649)</f>
        <v>0</v>
      </c>
      <c r="T653" s="492">
        <f t="shared" si="232"/>
        <v>0</v>
      </c>
      <c r="U653" s="478">
        <f>база!$M$5</f>
        <v>247.41720000000001</v>
      </c>
      <c r="V653" s="390">
        <v>1.4</v>
      </c>
      <c r="W653" s="412">
        <f>SUMIFS(Таблица1[Столбец1],Таблица1[коэф],"1,4",Таблица1[р/р],"4/24",Таблица1[Ф. И. О.],B649)</f>
        <v>0</v>
      </c>
      <c r="X653" s="492">
        <f t="shared" si="233"/>
        <v>0</v>
      </c>
      <c r="Y653" s="764"/>
      <c r="Z653" s="766"/>
      <c r="AA653" s="756"/>
    </row>
    <row r="654" spans="1:29" ht="19.5" thickBot="1">
      <c r="A654" s="757"/>
      <c r="B654" s="352"/>
      <c r="C654" s="760"/>
      <c r="D654" s="763"/>
      <c r="E654" s="481"/>
      <c r="F654" s="417"/>
      <c r="G654" s="486"/>
      <c r="H654" s="468">
        <f t="shared" si="230"/>
        <v>0</v>
      </c>
      <c r="I654" s="645"/>
      <c r="J654" s="456"/>
      <c r="K654" s="646"/>
      <c r="L654" s="484">
        <f t="shared" si="231"/>
        <v>0</v>
      </c>
      <c r="M654" s="396"/>
      <c r="N654" s="397"/>
      <c r="O654" s="397"/>
      <c r="P654" s="398"/>
      <c r="Q654" s="487">
        <f>база!$L$6</f>
        <v>261.04640000000001</v>
      </c>
      <c r="R654" s="417">
        <v>1.4</v>
      </c>
      <c r="S654" s="418">
        <f>SUMIFS(Таблица1[Столбец1],Таблица1[коэф],"1,4",Таблица1[р/р],"5/16",Таблица1[Ф. И. О.],B649)</f>
        <v>0</v>
      </c>
      <c r="T654" s="492">
        <f t="shared" si="232"/>
        <v>0</v>
      </c>
      <c r="U654" s="473">
        <f>база!$M$6</f>
        <v>279.0496</v>
      </c>
      <c r="V654" s="464">
        <v>1.4</v>
      </c>
      <c r="W654" s="465">
        <f>SUMIFS(Таблица1[Столбец1],Таблица1[коэф],"1,4",Таблица1[р/р],"5/24",Таблица1[Ф. И. О.],B649)</f>
        <v>0</v>
      </c>
      <c r="X654" s="513">
        <f t="shared" si="233"/>
        <v>0</v>
      </c>
      <c r="Y654" s="765"/>
      <c r="Z654" s="767"/>
      <c r="AA654" s="757"/>
    </row>
    <row r="655" spans="1:29" ht="18.75">
      <c r="A655" s="755">
        <v>60</v>
      </c>
      <c r="B655" s="215"/>
      <c r="C655" s="758">
        <f>INDEX(база!$E$2:$E$150, MATCH(B660,база!$B$2:$B$150,0))</f>
        <v>15589</v>
      </c>
      <c r="D655" s="761">
        <f>INDEX(база!$D$2:$D$150, MATCH(B660,база!$B$2:$B$150,0))</f>
        <v>3</v>
      </c>
      <c r="E655" s="377">
        <f>IF(D655&lt;=3,база!$I$4,
IF(D655=4,база!$I$5,
IF(D655=5,база!$I$6)))</f>
        <v>188.7912</v>
      </c>
      <c r="F655" s="378">
        <v>1</v>
      </c>
      <c r="G655" s="387">
        <f>SUMIFS(Таблица1[Столбец1],Таблица1[коэф],"1",Таблица1[р/р],"2/4",Таблица1[Ф. И. О.],B660)</f>
        <v>0</v>
      </c>
      <c r="H655" s="402">
        <f t="shared" si="230"/>
        <v>0</v>
      </c>
      <c r="I655" s="452">
        <f>IF(D655&lt;=3,база!$J$4,
IF(D655=4,база!$J$5,
IF(D655=5,база!$J$6)))</f>
        <v>196.05240000000001</v>
      </c>
      <c r="J655" s="475">
        <v>1</v>
      </c>
      <c r="K655" s="453">
        <f>SUMIFS(Таблица1[Столбец1],Таблица1[коэф],"1",Таблица1[р/р],"2/8",Таблица1[Ф. И. О.],B660)</f>
        <v>0</v>
      </c>
      <c r="L655" s="383">
        <f t="shared" si="231"/>
        <v>0</v>
      </c>
      <c r="M655" s="453"/>
      <c r="N655" s="453">
        <v>1</v>
      </c>
      <c r="O655" s="453">
        <f>SUMIFS(Data_Tech!$AM$3:$AM$67,Data_Tech!$E$3:$E$67,"1",Data_Tech!$G$3:$G$67,"3/12",Data_Tech!$F$3:$F$67,B660)</f>
        <v>0</v>
      </c>
      <c r="P655" s="398">
        <f>ROUND(M655*N655*O655,2)</f>
        <v>0</v>
      </c>
      <c r="Q655" s="377">
        <f>IF(D655&lt;=3,база!$L$4,
IF(D655=4,база!$L$5,
IF(D655=5,база!$L$6)))</f>
        <v>210.57480000000001</v>
      </c>
      <c r="R655" s="378">
        <v>1</v>
      </c>
      <c r="S655" s="387">
        <f>SUMIFS(Таблица1[Столбец1],Таблица1[коэф],"1",Таблица1[р/р],"3/16",Таблица1[Ф. И. О.],B660)</f>
        <v>0</v>
      </c>
      <c r="T655" s="490">
        <f t="shared" si="232"/>
        <v>0</v>
      </c>
      <c r="U655" s="483">
        <f>IF(D655&lt;=3,база!$M$4,
IF(D655=4,база!$M$5,
IF(D655=5,база!$M$6)))</f>
        <v>225.09719999999999</v>
      </c>
      <c r="V655" s="417">
        <v>1</v>
      </c>
      <c r="W655" s="455">
        <f>SUMIFS(Таблица1[Столбец1],Таблица1[коэф],"1",Таблица1[р/р],"3/24",Таблица1[Ф. И. О.],B660)</f>
        <v>0</v>
      </c>
      <c r="X655" s="492">
        <f t="shared" si="233"/>
        <v>0</v>
      </c>
      <c r="Y655" s="764">
        <f t="shared" ref="Y655" si="238">SUM(G655:G665,K655:K665,O655:O665,S655:S665,W655:W665)</f>
        <v>0</v>
      </c>
      <c r="Z655" s="766">
        <f t="shared" ref="Z655" si="239">IFERROR(SUM(H655:H665,L655:L665,T655:T665,X655:X665),"")</f>
        <v>0</v>
      </c>
      <c r="AA655" s="756"/>
    </row>
    <row r="656" spans="1:29" ht="18.75">
      <c r="A656" s="756"/>
      <c r="B656" s="215"/>
      <c r="C656" s="759"/>
      <c r="D656" s="762"/>
      <c r="E656" s="389">
        <f>IF(D655&lt;=3,база!$I$4,
IF(D655=4,база!$I$5,
IF(D655=5,база!$I$6)))</f>
        <v>188.7912</v>
      </c>
      <c r="F656" s="390">
        <v>1</v>
      </c>
      <c r="G656" s="400">
        <f>SUMIFS(Таблица1[Столбец1],Таблица1[коэф],"1",Таблица1[р/р],"3/4",Таблица1[Ф. И. О.],B660)</f>
        <v>0</v>
      </c>
      <c r="H656" s="392">
        <f t="shared" si="230"/>
        <v>0</v>
      </c>
      <c r="I656" s="432">
        <f>IF(D655&lt;=3,база!$J$4,
IF(D655=4,база!$J$5,
IF(D655=5,база!$J$6)))</f>
        <v>196.05240000000001</v>
      </c>
      <c r="J656" s="433">
        <v>1</v>
      </c>
      <c r="K656" s="434">
        <f>SUMIFS(Таблица1[Столбец1],Таблица1[коэф],"1",Таблица1[р/р],"3/8",Таблица1[Ф. И. О.],B660)</f>
        <v>0</v>
      </c>
      <c r="L656" s="484">
        <f t="shared" si="231"/>
        <v>0</v>
      </c>
      <c r="M656" s="434"/>
      <c r="N656" s="434">
        <v>1</v>
      </c>
      <c r="O656" s="434">
        <f>SUMIFS(Data_Tech!$AM$3:$AM$67,Data_Tech!$E$3:$E$67,"1",Data_Tech!$G$3:$G$67,"4/12",Data_Tech!$F$3:$F$67,B660)</f>
        <v>0</v>
      </c>
      <c r="P656" s="406">
        <f>ROUND(M656*O656,2)</f>
        <v>0</v>
      </c>
      <c r="Q656" s="389">
        <f>база!$L$5</f>
        <v>231.45480000000001</v>
      </c>
      <c r="R656" s="390">
        <v>1</v>
      </c>
      <c r="S656" s="400">
        <f>SUMIFS(Таблица1[Столбец1],Таблица1[коэф],"1",Таблица1[р/р],"4/16",Таблица1[Ф. И. О.],B660)</f>
        <v>0</v>
      </c>
      <c r="T656" s="492">
        <f t="shared" si="232"/>
        <v>0</v>
      </c>
      <c r="U656" s="478">
        <f>база!$M$5</f>
        <v>247.41720000000001</v>
      </c>
      <c r="V656" s="390">
        <v>1</v>
      </c>
      <c r="W656" s="412">
        <f>SUMIFS(Таблица1[Столбец1],Таблица1[коэф],"1",Таблица1[р/р],"4/24",Таблица1[Ф. И. О.],B660)</f>
        <v>0</v>
      </c>
      <c r="X656" s="492">
        <f t="shared" si="233"/>
        <v>0</v>
      </c>
      <c r="Y656" s="764"/>
      <c r="Z656" s="766"/>
      <c r="AA656" s="756"/>
    </row>
    <row r="657" spans="1:29" ht="18.75">
      <c r="A657" s="756"/>
      <c r="B657" s="215"/>
      <c r="C657" s="759"/>
      <c r="D657" s="762"/>
      <c r="E657" s="389"/>
      <c r="F657" s="390"/>
      <c r="G657" s="400"/>
      <c r="H657" s="392">
        <f t="shared" si="230"/>
        <v>0</v>
      </c>
      <c r="I657" s="432"/>
      <c r="J657" s="433"/>
      <c r="K657" s="434"/>
      <c r="L657" s="484">
        <f t="shared" si="231"/>
        <v>0</v>
      </c>
      <c r="M657" s="434"/>
      <c r="N657" s="434"/>
      <c r="O657" s="434"/>
      <c r="P657" s="406"/>
      <c r="Q657" s="389">
        <f>база!$L$6</f>
        <v>261.04640000000001</v>
      </c>
      <c r="R657" s="390">
        <v>1</v>
      </c>
      <c r="S657" s="400">
        <f>SUMIFS(Таблица1[Столбец1],Таблица1[коэф],"1",Таблица1[р/р],"5/16",Таблица1[Ф. И. О.],B660)</f>
        <v>0</v>
      </c>
      <c r="T657" s="492">
        <f t="shared" si="232"/>
        <v>0</v>
      </c>
      <c r="U657" s="478">
        <f>база!$M$6</f>
        <v>279.0496</v>
      </c>
      <c r="V657" s="390">
        <v>1</v>
      </c>
      <c r="W657" s="412">
        <f>SUMIFS(Таблица1[Столбец1],Таблица1[коэф],"1",Таблица1[р/р],"5/24",Таблица1[Ф. И. О.],B660)</f>
        <v>0</v>
      </c>
      <c r="X657" s="492">
        <f t="shared" si="233"/>
        <v>0</v>
      </c>
      <c r="Y657" s="764"/>
      <c r="Z657" s="766"/>
      <c r="AA657" s="756"/>
    </row>
    <row r="658" spans="1:29" ht="18.75">
      <c r="A658" s="756"/>
      <c r="B658" s="215"/>
      <c r="C658" s="759"/>
      <c r="D658" s="762"/>
      <c r="E658" s="389"/>
      <c r="F658" s="390"/>
      <c r="G658" s="400"/>
      <c r="H658" s="392">
        <f t="shared" si="230"/>
        <v>0</v>
      </c>
      <c r="I658" s="432">
        <f>база!$J$5</f>
        <v>215.4924</v>
      </c>
      <c r="J658" s="433">
        <v>1.5</v>
      </c>
      <c r="K658" s="434">
        <f>SUMIFS(Таблица1[Столбец1],Таблица1[коэф],"1,5",Таблица1[р/р],"4/8",Таблица1[Ф. И. О.],B660)</f>
        <v>0</v>
      </c>
      <c r="L658" s="484">
        <f t="shared" si="231"/>
        <v>0</v>
      </c>
      <c r="M658" s="434"/>
      <c r="N658" s="434"/>
      <c r="O658" s="434"/>
      <c r="P658" s="406"/>
      <c r="Q658" s="389">
        <f>IF(D655&lt;=3,база!$L$4,
IF(D655=4,база!$L$5,
IF(D655=5,база!$L$6)))</f>
        <v>210.57480000000001</v>
      </c>
      <c r="R658" s="390">
        <v>1.2</v>
      </c>
      <c r="S658" s="400">
        <f>SUMIFS(Таблица1[Столбец1],Таблица1[коэф],"1,2",Таблица1[р/р],"3/16",Таблица1[Ф. И. О.],B660)</f>
        <v>0</v>
      </c>
      <c r="T658" s="492">
        <f t="shared" si="232"/>
        <v>0</v>
      </c>
      <c r="U658" s="478">
        <f>IF(D655&lt;=3,база!$M$4,
IF(D655=4,база!$M$5,
IF(D655=5,база!$M$6)))</f>
        <v>225.09719999999999</v>
      </c>
      <c r="V658" s="390">
        <v>1.2</v>
      </c>
      <c r="W658" s="412">
        <f>SUMIFS(Таблица1[Столбец1],Таблица1[коэф],"1,2",Таблица1[р/р],"3/24",Таблица1[Ф. И. О.],B660)</f>
        <v>0</v>
      </c>
      <c r="X658" s="492">
        <f t="shared" si="233"/>
        <v>0</v>
      </c>
      <c r="Y658" s="764"/>
      <c r="Z658" s="766"/>
      <c r="AA658" s="756"/>
    </row>
    <row r="659" spans="1:29" ht="18.75">
      <c r="A659" s="756"/>
      <c r="B659" s="215"/>
      <c r="C659" s="759"/>
      <c r="D659" s="762"/>
      <c r="E659" s="389"/>
      <c r="F659" s="390"/>
      <c r="G659" s="400"/>
      <c r="H659" s="392">
        <f t="shared" si="230"/>
        <v>0</v>
      </c>
      <c r="I659" s="432">
        <f>база!$J$6</f>
        <v>243.04319999999998</v>
      </c>
      <c r="J659" s="433">
        <v>1.5</v>
      </c>
      <c r="K659" s="434">
        <f>SUMIFS(Таблица1[Столбец1],Таблица1[коэф],"1,5",Таблица1[р/р],"5/8",Таблица1[Ф. И. О.],B660)</f>
        <v>0</v>
      </c>
      <c r="L659" s="484">
        <f t="shared" si="231"/>
        <v>0</v>
      </c>
      <c r="M659" s="434"/>
      <c r="N659" s="434"/>
      <c r="O659" s="434"/>
      <c r="P659" s="406"/>
      <c r="Q659" s="389">
        <f>база!$L$5</f>
        <v>231.45480000000001</v>
      </c>
      <c r="R659" s="390">
        <v>1.2</v>
      </c>
      <c r="S659" s="400">
        <f>SUMIFS(Таблица1[Столбец1],Таблица1[коэф],"1,2",Таблица1[р/р],"4/16",Таблица1[Ф. И. О.],B660)</f>
        <v>0</v>
      </c>
      <c r="T659" s="492">
        <f t="shared" si="232"/>
        <v>0</v>
      </c>
      <c r="U659" s="478">
        <f>база!$M$5</f>
        <v>247.41720000000001</v>
      </c>
      <c r="V659" s="390">
        <v>1.2</v>
      </c>
      <c r="W659" s="412">
        <f>SUMIFS(Таблица1[Столбец1],Таблица1[коэф],"1,2",Таблица1[р/р],"4/24",Таблица1[Ф. И. О.],B660)</f>
        <v>0</v>
      </c>
      <c r="X659" s="492">
        <f t="shared" si="233"/>
        <v>0</v>
      </c>
      <c r="Y659" s="764"/>
      <c r="Z659" s="766"/>
      <c r="AA659" s="756"/>
    </row>
    <row r="660" spans="1:29" ht="18.75">
      <c r="A660" s="756"/>
      <c r="B660" s="215" t="str">
        <f>база!B61</f>
        <v>Пириева Виктория Хозеиновна</v>
      </c>
      <c r="C660" s="759"/>
      <c r="D660" s="762"/>
      <c r="E660" s="389"/>
      <c r="F660" s="390"/>
      <c r="G660" s="400"/>
      <c r="H660" s="392">
        <f t="shared" si="230"/>
        <v>0</v>
      </c>
      <c r="I660" s="432"/>
      <c r="J660" s="433"/>
      <c r="K660" s="434"/>
      <c r="L660" s="484">
        <f t="shared" si="231"/>
        <v>0</v>
      </c>
      <c r="M660" s="434"/>
      <c r="N660" s="434"/>
      <c r="O660" s="434"/>
      <c r="P660" s="406"/>
      <c r="Q660" s="389">
        <f>база!$L$6</f>
        <v>261.04640000000001</v>
      </c>
      <c r="R660" s="390">
        <v>1.2</v>
      </c>
      <c r="S660" s="400">
        <f>SUMIFS(Таблица1[Столбец1],Таблица1[коэф],"1,2",Таблица1[р/р],"5/16",Таблица1[Ф. И. О.],B660)</f>
        <v>0</v>
      </c>
      <c r="T660" s="492">
        <f t="shared" si="232"/>
        <v>0</v>
      </c>
      <c r="U660" s="478">
        <f>база!$M$6</f>
        <v>279.0496</v>
      </c>
      <c r="V660" s="390">
        <v>1.2</v>
      </c>
      <c r="W660" s="412">
        <f>SUMIFS(Таблица1[Столбец1],Таблица1[коэф],"1,2",Таблица1[р/р],"5/24",Таблица1[Ф. И. О.],B660)</f>
        <v>0</v>
      </c>
      <c r="X660" s="492">
        <f t="shared" si="233"/>
        <v>0</v>
      </c>
      <c r="Y660" s="764"/>
      <c r="Z660" s="766"/>
      <c r="AA660" s="756"/>
      <c r="AC660" s="712" t="str">
        <f>IF(SUMIFS(Таблица1[Столбец3],Таблица1[Ф. И. О.],B660)-Z655=0,"",SUMIFS(Таблица1[Столбец3],Таблица1[Ф. И. О.],B660)-Z655)</f>
        <v/>
      </c>
    </row>
    <row r="661" spans="1:29" ht="18.75">
      <c r="A661" s="756"/>
      <c r="B661" s="215"/>
      <c r="C661" s="759"/>
      <c r="D661" s="762"/>
      <c r="E661" s="389"/>
      <c r="F661" s="390"/>
      <c r="G661" s="400"/>
      <c r="H661" s="392">
        <f t="shared" si="230"/>
        <v>0</v>
      </c>
      <c r="I661" s="432"/>
      <c r="J661" s="433"/>
      <c r="K661" s="434"/>
      <c r="L661" s="484">
        <f t="shared" si="231"/>
        <v>0</v>
      </c>
      <c r="M661" s="434"/>
      <c r="N661" s="434"/>
      <c r="O661" s="434"/>
      <c r="P661" s="406"/>
      <c r="Q661" s="389">
        <f>IF($D$6&lt;=3,база!$L$4,
IF($D$6=4,база!$L$5,
IF($D$6=5,база!$L$6)))</f>
        <v>231.45480000000001</v>
      </c>
      <c r="R661" s="390">
        <v>1.3</v>
      </c>
      <c r="S661" s="400">
        <f>SUMIFS(Таблица1[Столбец1],Таблица1[коэф],"1,3",Таблица1[р/р],"3/16",Таблица1[Ф. И. О.],B660)</f>
        <v>0</v>
      </c>
      <c r="T661" s="492">
        <f t="shared" si="232"/>
        <v>0</v>
      </c>
      <c r="U661" s="478">
        <f>IF(D655&lt;=3,база!$M$4,
IF(D655=4,база!$M$5,
IF(D655=5,база!$M$6)))</f>
        <v>225.09719999999999</v>
      </c>
      <c r="V661" s="390">
        <v>1.3</v>
      </c>
      <c r="W661" s="412">
        <f>SUMIFS(Таблица1[Столбец1],Таблица1[коэф],"1,3",Таблица1[р/р],"3/24",Таблица1[Ф. И. О.],B660)</f>
        <v>0</v>
      </c>
      <c r="X661" s="492">
        <f t="shared" si="233"/>
        <v>0</v>
      </c>
      <c r="Y661" s="764"/>
      <c r="Z661" s="766"/>
      <c r="AA661" s="756"/>
      <c r="AC661" s="712" t="str">
        <f>IF(SUMIFS(Таблица1[Столбец1],Таблица1[Ф. И. О.],B660)=Y655,"",B660&amp;"  часы не верны")</f>
        <v/>
      </c>
    </row>
    <row r="662" spans="1:29" ht="18.75">
      <c r="A662" s="756"/>
      <c r="B662" s="215"/>
      <c r="C662" s="759"/>
      <c r="D662" s="762"/>
      <c r="E662" s="389"/>
      <c r="F662" s="390"/>
      <c r="G662" s="400"/>
      <c r="H662" s="392">
        <f t="shared" si="230"/>
        <v>0</v>
      </c>
      <c r="I662" s="432"/>
      <c r="J662" s="433"/>
      <c r="K662" s="434"/>
      <c r="L662" s="484">
        <f t="shared" si="231"/>
        <v>0</v>
      </c>
      <c r="M662" s="434"/>
      <c r="N662" s="434"/>
      <c r="O662" s="434"/>
      <c r="P662" s="406"/>
      <c r="Q662" s="389">
        <f>база!$L$5</f>
        <v>231.45480000000001</v>
      </c>
      <c r="R662" s="390">
        <v>1.3</v>
      </c>
      <c r="S662" s="400">
        <f>SUMIFS(Таблица1[Столбец1],Таблица1[коэф],"1,3",Таблица1[р/р],"4/16",Таблица1[Ф. И. О.],B660)</f>
        <v>0</v>
      </c>
      <c r="T662" s="492">
        <f t="shared" si="232"/>
        <v>0</v>
      </c>
      <c r="U662" s="478">
        <f>база!$M$5</f>
        <v>247.41720000000001</v>
      </c>
      <c r="V662" s="390">
        <v>1.3</v>
      </c>
      <c r="W662" s="412">
        <f>SUMIFS(Таблица1[Столбец1],Таблица1[коэф],"1,3",Таблица1[р/р],"4/24",Таблица1[Ф. И. О.],B660)</f>
        <v>0</v>
      </c>
      <c r="X662" s="492">
        <f t="shared" si="233"/>
        <v>0</v>
      </c>
      <c r="Y662" s="764"/>
      <c r="Z662" s="766"/>
      <c r="AA662" s="756"/>
    </row>
    <row r="663" spans="1:29" ht="18.75">
      <c r="A663" s="756"/>
      <c r="B663" s="215"/>
      <c r="C663" s="759"/>
      <c r="D663" s="762"/>
      <c r="E663" s="389"/>
      <c r="F663" s="390"/>
      <c r="G663" s="400"/>
      <c r="H663" s="392">
        <f t="shared" si="230"/>
        <v>0</v>
      </c>
      <c r="I663" s="432"/>
      <c r="J663" s="433"/>
      <c r="K663" s="434"/>
      <c r="L663" s="484">
        <f t="shared" si="231"/>
        <v>0</v>
      </c>
      <c r="M663" s="434"/>
      <c r="N663" s="434"/>
      <c r="O663" s="434"/>
      <c r="P663" s="406"/>
      <c r="Q663" s="389">
        <f>IF(D655&lt;=3,база!$L$4,
IF(D655=4,база!$L$5,
IF(D655=5,база!$L$6)))</f>
        <v>210.57480000000001</v>
      </c>
      <c r="R663" s="390">
        <v>1.4</v>
      </c>
      <c r="S663" s="400">
        <f>SUMIFS(Таблица1[Столбец1],Таблица1[коэф],"1,4",Таблица1[р/р],"3/16",Таблица1[Ф. И. О.],B660)</f>
        <v>0</v>
      </c>
      <c r="T663" s="492">
        <f t="shared" si="232"/>
        <v>0</v>
      </c>
      <c r="U663" s="478">
        <f>IF(D655&lt;=3,база!$M$4,
IF(D655=4,база!$M$5,
IF(D655=5,база!$M$6)))</f>
        <v>225.09719999999999</v>
      </c>
      <c r="V663" s="390">
        <v>1.4</v>
      </c>
      <c r="W663" s="412">
        <f>SUMIFS(Таблица1[Столбец1],Таблица1[коэф],"1,4",Таблица1[р/р],"3/24",Таблица1[Ф. И. О.],B660)</f>
        <v>0</v>
      </c>
      <c r="X663" s="492">
        <f t="shared" si="233"/>
        <v>0</v>
      </c>
      <c r="Y663" s="764"/>
      <c r="Z663" s="766"/>
      <c r="AA663" s="756"/>
    </row>
    <row r="664" spans="1:29" ht="18.75">
      <c r="A664" s="756"/>
      <c r="B664" s="215"/>
      <c r="C664" s="759"/>
      <c r="D664" s="762"/>
      <c r="E664" s="389"/>
      <c r="F664" s="390"/>
      <c r="G664" s="400"/>
      <c r="H664" s="392">
        <f t="shared" si="230"/>
        <v>0</v>
      </c>
      <c r="I664" s="432"/>
      <c r="J664" s="433"/>
      <c r="K664" s="434"/>
      <c r="L664" s="484">
        <f t="shared" si="231"/>
        <v>0</v>
      </c>
      <c r="M664" s="434"/>
      <c r="N664" s="434"/>
      <c r="O664" s="434"/>
      <c r="P664" s="406"/>
      <c r="Q664" s="389">
        <f>база!$L$5</f>
        <v>231.45480000000001</v>
      </c>
      <c r="R664" s="390">
        <v>1.4</v>
      </c>
      <c r="S664" s="400">
        <f>SUMIFS(Таблица1[Столбец1],Таблица1[коэф],"1,4",Таблица1[р/р],"4/16",Таблица1[Ф. И. О.],B660)</f>
        <v>0</v>
      </c>
      <c r="T664" s="492">
        <f t="shared" si="232"/>
        <v>0</v>
      </c>
      <c r="U664" s="478">
        <f>база!$M$5</f>
        <v>247.41720000000001</v>
      </c>
      <c r="V664" s="390">
        <v>1.4</v>
      </c>
      <c r="W664" s="412">
        <f>SUMIFS(Таблица1[Столбец1],Таблица1[коэф],"1,4",Таблица1[р/р],"4/24",Таблица1[Ф. И. О.],B660)</f>
        <v>0</v>
      </c>
      <c r="X664" s="492">
        <f t="shared" si="233"/>
        <v>0</v>
      </c>
      <c r="Y664" s="764"/>
      <c r="Z664" s="766"/>
      <c r="AA664" s="756"/>
    </row>
    <row r="665" spans="1:29" ht="19.5" thickBot="1">
      <c r="A665" s="757"/>
      <c r="B665" s="352"/>
      <c r="C665" s="760"/>
      <c r="D665" s="763"/>
      <c r="E665" s="481"/>
      <c r="F665" s="417"/>
      <c r="G665" s="486"/>
      <c r="H665" s="468">
        <f t="shared" si="230"/>
        <v>0</v>
      </c>
      <c r="I665" s="645"/>
      <c r="J665" s="456"/>
      <c r="K665" s="646"/>
      <c r="L665" s="458">
        <f t="shared" si="231"/>
        <v>0</v>
      </c>
      <c r="M665" s="396"/>
      <c r="N665" s="397"/>
      <c r="O665" s="397"/>
      <c r="P665" s="398"/>
      <c r="Q665" s="487">
        <f>база!$L$6</f>
        <v>261.04640000000001</v>
      </c>
      <c r="R665" s="417">
        <v>1.4</v>
      </c>
      <c r="S665" s="418">
        <f>SUMIFS(Таблица1[Столбец1],Таблица1[коэф],"1,4",Таблица1[р/р],"5/16",Таблица1[Ф. И. О.],B660)</f>
        <v>0</v>
      </c>
      <c r="T665" s="492">
        <f t="shared" si="232"/>
        <v>0</v>
      </c>
      <c r="U665" s="473">
        <f>база!$M$6</f>
        <v>279.0496</v>
      </c>
      <c r="V665" s="464">
        <v>1.4</v>
      </c>
      <c r="W665" s="465">
        <f>SUMIFS(Таблица1[Столбец1],Таблица1[коэф],"1,4",Таблица1[р/р],"5/24",Таблица1[Ф. И. О.],B660)</f>
        <v>0</v>
      </c>
      <c r="X665" s="513">
        <f t="shared" si="233"/>
        <v>0</v>
      </c>
      <c r="Y665" s="765"/>
      <c r="Z665" s="767"/>
      <c r="AA665" s="757"/>
    </row>
    <row r="666" spans="1:29" ht="18.75">
      <c r="A666" s="755">
        <v>61</v>
      </c>
      <c r="B666" s="215"/>
      <c r="C666" s="758">
        <f>INDEX(база!$E$2:$E$150, MATCH(B671,база!$B$2:$B$150,0))</f>
        <v>16858</v>
      </c>
      <c r="D666" s="761">
        <f>INDEX(база!$D$2:$D$150, MATCH(B671,база!$B$2:$B$160,0))</f>
        <v>3</v>
      </c>
      <c r="E666" s="377">
        <f>IF(D666&lt;=3,база!$I$4,
IF(D666=4,база!$I$5,
IF(D666=5,база!$I$6)))</f>
        <v>188.7912</v>
      </c>
      <c r="F666" s="378">
        <v>1</v>
      </c>
      <c r="G666" s="387">
        <f>SUMIFS(Таблица1[Столбец1],Таблица1[коэф],"1",Таблица1[р/р],"2/4",Таблица1[Ф. И. О.],B671)</f>
        <v>0</v>
      </c>
      <c r="H666" s="402">
        <f t="shared" si="230"/>
        <v>0</v>
      </c>
      <c r="I666" s="452">
        <f>IF(D666&lt;=3,база!$J$4,
IF(D666=4,база!$J$5,
IF(D666=5,база!$J$6)))</f>
        <v>196.05240000000001</v>
      </c>
      <c r="J666" s="475">
        <v>1</v>
      </c>
      <c r="K666" s="453">
        <f>SUMIFS(Таблица1[Столбец1],Таблица1[коэф],"1",Таблица1[р/р],"2/8",Таблица1[Ф. И. О.],B671)</f>
        <v>0</v>
      </c>
      <c r="L666" s="484">
        <f t="shared" si="231"/>
        <v>0</v>
      </c>
      <c r="M666" s="453"/>
      <c r="N666" s="453">
        <v>1</v>
      </c>
      <c r="O666" s="453">
        <f>SUMIFS(Data_Tech!$AM$3:$AM$67,Data_Tech!$E$3:$E$67,"1",Data_Tech!$G$3:$G$67,"3/12",Data_Tech!$F$3:$F$67,B671)</f>
        <v>0</v>
      </c>
      <c r="P666" s="398">
        <f>ROUND(M666*N666*O666,2)</f>
        <v>0</v>
      </c>
      <c r="Q666" s="377">
        <f>IF(D666&lt;=3,база!$L$4,
IF(D666=4,база!$L$5,
IF(D666=5,база!$L$6)))</f>
        <v>210.57480000000001</v>
      </c>
      <c r="R666" s="378">
        <v>1</v>
      </c>
      <c r="S666" s="387">
        <f>SUMIFS(Таблица1[Столбец1],Таблица1[коэф],"1",Таблица1[р/р],"3/16",Таблица1[Ф. И. О.],B671)</f>
        <v>0</v>
      </c>
      <c r="T666" s="490">
        <f t="shared" si="232"/>
        <v>0</v>
      </c>
      <c r="U666" s="483">
        <f>IF(D666&lt;=3,база!$M$4,
IF(D666=4,база!$M$5,
IF(D666=5,база!$M$6)))</f>
        <v>225.09719999999999</v>
      </c>
      <c r="V666" s="417">
        <v>1</v>
      </c>
      <c r="W666" s="455">
        <f>SUMIFS(Таблица1[Столбец1],Таблица1[коэф],"1",Таблица1[р/р],"3/24",Таблица1[Ф. И. О.],B671)</f>
        <v>0</v>
      </c>
      <c r="X666" s="492">
        <f t="shared" si="233"/>
        <v>0</v>
      </c>
      <c r="Y666" s="764">
        <f t="shared" ref="Y666" si="240">SUM(G666:G676,K666:K676,O666:O676,S666:S676,W666:W676)</f>
        <v>0</v>
      </c>
      <c r="Z666" s="766">
        <f t="shared" ref="Z666" si="241">IFERROR(SUM(H666:H676,L666:L676,T666:T676,X666:X676),"")</f>
        <v>0</v>
      </c>
      <c r="AA666" s="756"/>
    </row>
    <row r="667" spans="1:29" ht="18.75">
      <c r="A667" s="756"/>
      <c r="B667" s="215"/>
      <c r="C667" s="759"/>
      <c r="D667" s="762"/>
      <c r="E667" s="389">
        <f>IF(D666&lt;=3,база!$I$4,
IF(D666=4,база!$I$5,
IF(D666=5,база!$I$6)))</f>
        <v>188.7912</v>
      </c>
      <c r="F667" s="390">
        <v>1</v>
      </c>
      <c r="G667" s="400">
        <f>SUMIFS(Таблица1[Столбец1],Таблица1[коэф],"1",Таблица1[р/р],"3/4",Таблица1[Ф. И. О.],B671)</f>
        <v>0</v>
      </c>
      <c r="H667" s="392">
        <f t="shared" si="230"/>
        <v>0</v>
      </c>
      <c r="I667" s="432">
        <f>IF(D666&lt;=3,база!$J$4,
IF(D666=4,база!$J$5,
IF(D666=5,база!$J$6)))</f>
        <v>196.05240000000001</v>
      </c>
      <c r="J667" s="433">
        <v>1</v>
      </c>
      <c r="K667" s="434">
        <f>SUMIFS(Таблица1[Столбец1],Таблица1[коэф],"1",Таблица1[р/р],"3/8",Таблица1[Ф. И. О.],B671)</f>
        <v>0</v>
      </c>
      <c r="L667" s="484">
        <f t="shared" si="231"/>
        <v>0</v>
      </c>
      <c r="M667" s="434"/>
      <c r="N667" s="434">
        <v>1</v>
      </c>
      <c r="O667" s="434">
        <f>SUMIFS(Data_Tech!$AM$3:$AM$67,Data_Tech!$E$3:$E$67,"1",Data_Tech!$G$3:$G$67,"4/12",Data_Tech!$F$3:$F$67,B671)</f>
        <v>0</v>
      </c>
      <c r="P667" s="406">
        <f>ROUND(M667*O667,2)</f>
        <v>0</v>
      </c>
      <c r="Q667" s="389">
        <f>база!$L$5</f>
        <v>231.45480000000001</v>
      </c>
      <c r="R667" s="390">
        <v>1</v>
      </c>
      <c r="S667" s="400">
        <f>SUMIFS(Таблица1[Столбец1],Таблица1[коэф],"1",Таблица1[р/р],"4/16",Таблица1[Ф. И. О.],B671)</f>
        <v>0</v>
      </c>
      <c r="T667" s="492">
        <f t="shared" si="232"/>
        <v>0</v>
      </c>
      <c r="U667" s="478">
        <f>база!$M$5</f>
        <v>247.41720000000001</v>
      </c>
      <c r="V667" s="390">
        <v>1</v>
      </c>
      <c r="W667" s="412">
        <f>SUMIFS(Таблица1[Столбец1],Таблица1[коэф],"1",Таблица1[р/р],"4/24",Таблица1[Ф. И. О.],B671)</f>
        <v>0</v>
      </c>
      <c r="X667" s="492">
        <f t="shared" si="233"/>
        <v>0</v>
      </c>
      <c r="Y667" s="764"/>
      <c r="Z667" s="766"/>
      <c r="AA667" s="756"/>
    </row>
    <row r="668" spans="1:29" ht="18.75">
      <c r="A668" s="756"/>
      <c r="B668" s="215"/>
      <c r="C668" s="759"/>
      <c r="D668" s="762"/>
      <c r="E668" s="389"/>
      <c r="F668" s="390"/>
      <c r="G668" s="400"/>
      <c r="H668" s="392">
        <f t="shared" si="230"/>
        <v>0</v>
      </c>
      <c r="I668" s="432"/>
      <c r="J668" s="433"/>
      <c r="K668" s="434"/>
      <c r="L668" s="484">
        <f t="shared" si="231"/>
        <v>0</v>
      </c>
      <c r="M668" s="434"/>
      <c r="N668" s="434"/>
      <c r="O668" s="434"/>
      <c r="P668" s="406"/>
      <c r="Q668" s="389">
        <f>база!$L$6</f>
        <v>261.04640000000001</v>
      </c>
      <c r="R668" s="390">
        <v>1</v>
      </c>
      <c r="S668" s="400">
        <f>SUMIFS(Таблица1[Столбец1],Таблица1[коэф],"1",Таблица1[р/р],"5/16",Таблица1[Ф. И. О.],B671)</f>
        <v>0</v>
      </c>
      <c r="T668" s="492">
        <f t="shared" si="232"/>
        <v>0</v>
      </c>
      <c r="U668" s="478">
        <f>база!$M$6</f>
        <v>279.0496</v>
      </c>
      <c r="V668" s="390">
        <v>1</v>
      </c>
      <c r="W668" s="412">
        <f>SUMIFS(Таблица1[Столбец1],Таблица1[коэф],"1",Таблица1[р/р],"5/24",Таблица1[Ф. И. О.],B671)</f>
        <v>0</v>
      </c>
      <c r="X668" s="492">
        <f t="shared" si="233"/>
        <v>0</v>
      </c>
      <c r="Y668" s="764"/>
      <c r="Z668" s="766"/>
      <c r="AA668" s="756"/>
    </row>
    <row r="669" spans="1:29" ht="18.75">
      <c r="A669" s="756"/>
      <c r="B669" s="215"/>
      <c r="C669" s="759"/>
      <c r="D669" s="762"/>
      <c r="E669" s="389"/>
      <c r="F669" s="390"/>
      <c r="G669" s="400"/>
      <c r="H669" s="392">
        <f t="shared" si="230"/>
        <v>0</v>
      </c>
      <c r="I669" s="432">
        <f>база!$J$5</f>
        <v>215.4924</v>
      </c>
      <c r="J669" s="433">
        <v>1.5</v>
      </c>
      <c r="K669" s="434">
        <f>SUMIFS(Таблица1[Столбец1],Таблица1[коэф],"1,5",Таблица1[р/р],"4/8",Таблица1[Ф. И. О.],B671)</f>
        <v>0</v>
      </c>
      <c r="L669" s="484">
        <f t="shared" si="231"/>
        <v>0</v>
      </c>
      <c r="M669" s="434"/>
      <c r="N669" s="434"/>
      <c r="O669" s="434"/>
      <c r="P669" s="406"/>
      <c r="Q669" s="389">
        <f>IF(D666&lt;=3,база!$L$4,
IF(D666=4,база!$L$5,
IF(D666=5,база!$L$6)))</f>
        <v>210.57480000000001</v>
      </c>
      <c r="R669" s="390">
        <v>1.2</v>
      </c>
      <c r="S669" s="400">
        <f>SUMIFS(Таблица1[Столбец1],Таблица1[коэф],"1,2",Таблица1[р/р],"3/16",Таблица1[Ф. И. О.],B671)</f>
        <v>0</v>
      </c>
      <c r="T669" s="492">
        <f t="shared" si="232"/>
        <v>0</v>
      </c>
      <c r="U669" s="478">
        <f>IF(D666&lt;=3,база!$M$4,
IF(D666=4,база!$M$5,
IF(D666=5,база!$M$6)))</f>
        <v>225.09719999999999</v>
      </c>
      <c r="V669" s="390">
        <v>1.2</v>
      </c>
      <c r="W669" s="412">
        <f>SUMIFS(Таблица1[Столбец1],Таблица1[коэф],"1,2",Таблица1[р/р],"3/24",Таблица1[Ф. И. О.],B671)</f>
        <v>0</v>
      </c>
      <c r="X669" s="492">
        <f t="shared" si="233"/>
        <v>0</v>
      </c>
      <c r="Y669" s="764"/>
      <c r="Z669" s="766"/>
      <c r="AA669" s="756"/>
    </row>
    <row r="670" spans="1:29" ht="18.75">
      <c r="A670" s="756"/>
      <c r="B670" s="215"/>
      <c r="C670" s="759"/>
      <c r="D670" s="762"/>
      <c r="E670" s="389"/>
      <c r="F670" s="390"/>
      <c r="G670" s="400"/>
      <c r="H670" s="392">
        <f t="shared" si="230"/>
        <v>0</v>
      </c>
      <c r="I670" s="432">
        <f>база!$J$6</f>
        <v>243.04319999999998</v>
      </c>
      <c r="J670" s="433">
        <v>1.5</v>
      </c>
      <c r="K670" s="434">
        <f>SUMIFS(Таблица1[Столбец1],Таблица1[коэф],"1,5",Таблица1[р/р],"5/8",Таблица1[Ф. И. О.],B671)</f>
        <v>0</v>
      </c>
      <c r="L670" s="484">
        <f t="shared" si="231"/>
        <v>0</v>
      </c>
      <c r="M670" s="434"/>
      <c r="N670" s="434"/>
      <c r="O670" s="434"/>
      <c r="P670" s="406"/>
      <c r="Q670" s="389">
        <f>база!$L$5</f>
        <v>231.45480000000001</v>
      </c>
      <c r="R670" s="390">
        <v>1.2</v>
      </c>
      <c r="S670" s="400">
        <f>SUMIFS(Таблица1[Столбец1],Таблица1[коэф],"1,2",Таблица1[р/р],"4/16",Таблица1[Ф. И. О.],B671)</f>
        <v>0</v>
      </c>
      <c r="T670" s="492">
        <f t="shared" si="232"/>
        <v>0</v>
      </c>
      <c r="U670" s="478">
        <f>база!$M$5</f>
        <v>247.41720000000001</v>
      </c>
      <c r="V670" s="390">
        <v>1.2</v>
      </c>
      <c r="W670" s="412">
        <f>SUMIFS(Таблица1[Столбец1],Таблица1[коэф],"1,2",Таблица1[р/р],"4/24",Таблица1[Ф. И. О.],B671)</f>
        <v>0</v>
      </c>
      <c r="X670" s="492">
        <f t="shared" si="233"/>
        <v>0</v>
      </c>
      <c r="Y670" s="764"/>
      <c r="Z670" s="766"/>
      <c r="AA670" s="756"/>
    </row>
    <row r="671" spans="1:29" ht="18.75">
      <c r="A671" s="756"/>
      <c r="B671" s="215" t="str">
        <f>база!B62</f>
        <v>Полушкина Анастасия Юрьевна</v>
      </c>
      <c r="C671" s="759"/>
      <c r="D671" s="762"/>
      <c r="E671" s="389"/>
      <c r="F671" s="390"/>
      <c r="G671" s="400"/>
      <c r="H671" s="392">
        <f t="shared" si="230"/>
        <v>0</v>
      </c>
      <c r="I671" s="432"/>
      <c r="J671" s="433"/>
      <c r="K671" s="434"/>
      <c r="L671" s="484">
        <f t="shared" si="231"/>
        <v>0</v>
      </c>
      <c r="M671" s="434"/>
      <c r="N671" s="434"/>
      <c r="O671" s="434"/>
      <c r="P671" s="406"/>
      <c r="Q671" s="389">
        <f>база!$L$6</f>
        <v>261.04640000000001</v>
      </c>
      <c r="R671" s="390">
        <v>1.2</v>
      </c>
      <c r="S671" s="400">
        <f>SUMIFS(Таблица1[Столбец1],Таблица1[коэф],"1,2",Таблица1[р/р],"5/16",Таблица1[Ф. И. О.],B671)</f>
        <v>0</v>
      </c>
      <c r="T671" s="492">
        <f t="shared" si="232"/>
        <v>0</v>
      </c>
      <c r="U671" s="478">
        <f>база!$M$6</f>
        <v>279.0496</v>
      </c>
      <c r="V671" s="390">
        <v>1.2</v>
      </c>
      <c r="W671" s="412">
        <f>SUMIFS(Таблица1[Столбец1],Таблица1[коэф],"1,2",Таблица1[р/р],"5/24",Таблица1[Ф. И. О.],B671)</f>
        <v>0</v>
      </c>
      <c r="X671" s="492">
        <f t="shared" si="233"/>
        <v>0</v>
      </c>
      <c r="Y671" s="764"/>
      <c r="Z671" s="766"/>
      <c r="AA671" s="756"/>
      <c r="AC671" s="712" t="str">
        <f>IF(SUMIFS(Таблица1[Столбец3],Таблица1[Ф. И. О.],B671)-Z666=0,"",SUMIFS(Таблица1[Столбец3],Таблица1[Ф. И. О.],B671)-Z666)</f>
        <v/>
      </c>
    </row>
    <row r="672" spans="1:29" ht="18.75">
      <c r="A672" s="756"/>
      <c r="B672" s="215"/>
      <c r="C672" s="759"/>
      <c r="D672" s="762"/>
      <c r="E672" s="389"/>
      <c r="F672" s="390"/>
      <c r="G672" s="400"/>
      <c r="H672" s="392">
        <f t="shared" si="230"/>
        <v>0</v>
      </c>
      <c r="I672" s="432"/>
      <c r="J672" s="433"/>
      <c r="K672" s="434"/>
      <c r="L672" s="484">
        <f t="shared" si="231"/>
        <v>0</v>
      </c>
      <c r="M672" s="434"/>
      <c r="N672" s="434"/>
      <c r="O672" s="434"/>
      <c r="P672" s="406"/>
      <c r="Q672" s="389">
        <f>IF($D$6&lt;=3,база!$L$4,
IF($D$6=4,база!$L$5,
IF($D$6=5,база!$L$6)))</f>
        <v>231.45480000000001</v>
      </c>
      <c r="R672" s="390">
        <v>1.3</v>
      </c>
      <c r="S672" s="400">
        <f>SUMIFS(Таблица1[Столбец1],Таблица1[коэф],"1,3",Таблица1[р/р],"3/16",Таблица1[Ф. И. О.],B671)</f>
        <v>0</v>
      </c>
      <c r="T672" s="492">
        <f t="shared" si="232"/>
        <v>0</v>
      </c>
      <c r="U672" s="478">
        <f>IF(D666&lt;=3,база!$M$4,
IF(D666=4,база!$M$5,
IF(D666=5,база!$M$6)))</f>
        <v>225.09719999999999</v>
      </c>
      <c r="V672" s="390">
        <v>1.3</v>
      </c>
      <c r="W672" s="412">
        <f>SUMIFS(Таблица1[Столбец1],Таблица1[коэф],"1,3",Таблица1[р/р],"3/24",Таблица1[Ф. И. О.],B671)</f>
        <v>0</v>
      </c>
      <c r="X672" s="492">
        <f t="shared" si="233"/>
        <v>0</v>
      </c>
      <c r="Y672" s="764"/>
      <c r="Z672" s="766"/>
      <c r="AA672" s="756"/>
      <c r="AC672" s="712" t="str">
        <f>IF(SUMIFS(Таблица1[Столбец1],Таблица1[Ф. И. О.],B671)=Y666,"",B671&amp;"  часы не верны")</f>
        <v/>
      </c>
    </row>
    <row r="673" spans="1:29" ht="18.75">
      <c r="A673" s="756"/>
      <c r="B673" s="215"/>
      <c r="C673" s="759"/>
      <c r="D673" s="762"/>
      <c r="E673" s="389"/>
      <c r="F673" s="390"/>
      <c r="G673" s="400"/>
      <c r="H673" s="392">
        <f t="shared" si="230"/>
        <v>0</v>
      </c>
      <c r="I673" s="432"/>
      <c r="J673" s="433"/>
      <c r="K673" s="434"/>
      <c r="L673" s="484">
        <f t="shared" si="231"/>
        <v>0</v>
      </c>
      <c r="M673" s="434"/>
      <c r="N673" s="434"/>
      <c r="O673" s="434"/>
      <c r="P673" s="406"/>
      <c r="Q673" s="389">
        <f>база!$L$5</f>
        <v>231.45480000000001</v>
      </c>
      <c r="R673" s="390">
        <v>1.3</v>
      </c>
      <c r="S673" s="400">
        <f>SUMIFS(Таблица1[Столбец1],Таблица1[коэф],"1,3",Таблица1[р/р],"4/16",Таблица1[Ф. И. О.],B671)</f>
        <v>0</v>
      </c>
      <c r="T673" s="492">
        <f t="shared" si="232"/>
        <v>0</v>
      </c>
      <c r="U673" s="478">
        <f>база!$M$5</f>
        <v>247.41720000000001</v>
      </c>
      <c r="V673" s="390">
        <v>1.3</v>
      </c>
      <c r="W673" s="412">
        <f>SUMIFS(Таблица1[Столбец1],Таблица1[коэф],"1,3",Таблица1[р/р],"4/24",Таблица1[Ф. И. О.],B671)</f>
        <v>0</v>
      </c>
      <c r="X673" s="492">
        <f t="shared" si="233"/>
        <v>0</v>
      </c>
      <c r="Y673" s="764"/>
      <c r="Z673" s="766"/>
      <c r="AA673" s="756"/>
    </row>
    <row r="674" spans="1:29" ht="18.75">
      <c r="A674" s="756"/>
      <c r="B674" s="215"/>
      <c r="C674" s="759"/>
      <c r="D674" s="762"/>
      <c r="E674" s="389"/>
      <c r="F674" s="390"/>
      <c r="G674" s="400"/>
      <c r="H674" s="392">
        <f t="shared" si="230"/>
        <v>0</v>
      </c>
      <c r="I674" s="432"/>
      <c r="J674" s="433"/>
      <c r="K674" s="434"/>
      <c r="L674" s="484">
        <f t="shared" si="231"/>
        <v>0</v>
      </c>
      <c r="M674" s="434"/>
      <c r="N674" s="434"/>
      <c r="O674" s="434"/>
      <c r="P674" s="406"/>
      <c r="Q674" s="389">
        <f>IF(D666&lt;=3,база!$L$4,
IF(D666=4,база!$L$5,
IF(D666=5,база!$L$6)))</f>
        <v>210.57480000000001</v>
      </c>
      <c r="R674" s="390">
        <v>1.4</v>
      </c>
      <c r="S674" s="400">
        <f>SUMIFS(Таблица1[Столбец1],Таблица1[коэф],"1,4",Таблица1[р/р],"3/16",Таблица1[Ф. И. О.],B671)</f>
        <v>0</v>
      </c>
      <c r="T674" s="492">
        <f t="shared" si="232"/>
        <v>0</v>
      </c>
      <c r="U674" s="478">
        <f>IF(D666&lt;=3,база!$M$4,
IF(D666=4,база!$M$5,
IF(D666=5,база!$M$6)))</f>
        <v>225.09719999999999</v>
      </c>
      <c r="V674" s="390">
        <v>1.4</v>
      </c>
      <c r="W674" s="412">
        <f>SUMIFS(Таблица1[Столбец1],Таблица1[коэф],"1,4",Таблица1[р/р],"3/24",Таблица1[Ф. И. О.],B671)</f>
        <v>0</v>
      </c>
      <c r="X674" s="492">
        <f t="shared" si="233"/>
        <v>0</v>
      </c>
      <c r="Y674" s="764"/>
      <c r="Z674" s="766"/>
      <c r="AA674" s="756"/>
    </row>
    <row r="675" spans="1:29" ht="18.75">
      <c r="A675" s="756"/>
      <c r="B675" s="215"/>
      <c r="C675" s="759"/>
      <c r="D675" s="762"/>
      <c r="E675" s="389"/>
      <c r="F675" s="390"/>
      <c r="G675" s="400"/>
      <c r="H675" s="392">
        <f t="shared" si="230"/>
        <v>0</v>
      </c>
      <c r="I675" s="432"/>
      <c r="J675" s="433"/>
      <c r="K675" s="434"/>
      <c r="L675" s="484">
        <f t="shared" si="231"/>
        <v>0</v>
      </c>
      <c r="M675" s="434"/>
      <c r="N675" s="434"/>
      <c r="O675" s="434"/>
      <c r="P675" s="406"/>
      <c r="Q675" s="389">
        <f>база!$L$5</f>
        <v>231.45480000000001</v>
      </c>
      <c r="R675" s="390">
        <v>1.4</v>
      </c>
      <c r="S675" s="400">
        <f>SUMIFS(Таблица1[Столбец1],Таблица1[коэф],"1,4",Таблица1[р/р],"4/16",Таблица1[Ф. И. О.],B671)</f>
        <v>0</v>
      </c>
      <c r="T675" s="492">
        <f t="shared" si="232"/>
        <v>0</v>
      </c>
      <c r="U675" s="478">
        <f>база!$M$5</f>
        <v>247.41720000000001</v>
      </c>
      <c r="V675" s="390">
        <v>1.4</v>
      </c>
      <c r="W675" s="412">
        <f>SUMIFS(Таблица1[Столбец1],Таблица1[коэф],"1,4",Таблица1[р/р],"4/24",Таблица1[Ф. И. О.],B671)</f>
        <v>0</v>
      </c>
      <c r="X675" s="492">
        <f t="shared" si="233"/>
        <v>0</v>
      </c>
      <c r="Y675" s="764"/>
      <c r="Z675" s="766"/>
      <c r="AA675" s="756"/>
    </row>
    <row r="676" spans="1:29" ht="19.5" thickBot="1">
      <c r="A676" s="757"/>
      <c r="B676" s="352"/>
      <c r="C676" s="760"/>
      <c r="D676" s="763"/>
      <c r="E676" s="481"/>
      <c r="F676" s="417"/>
      <c r="G676" s="486"/>
      <c r="H676" s="468">
        <f t="shared" si="230"/>
        <v>0</v>
      </c>
      <c r="I676" s="645"/>
      <c r="J676" s="456"/>
      <c r="K676" s="646"/>
      <c r="L676" s="484">
        <f t="shared" si="231"/>
        <v>0</v>
      </c>
      <c r="M676" s="396"/>
      <c r="N676" s="397"/>
      <c r="O676" s="397"/>
      <c r="P676" s="398"/>
      <c r="Q676" s="487">
        <f>база!$L$6</f>
        <v>261.04640000000001</v>
      </c>
      <c r="R676" s="417">
        <v>1.4</v>
      </c>
      <c r="S676" s="418">
        <f>SUMIFS(Таблица1[Столбец1],Таблица1[коэф],"1,4",Таблица1[р/р],"5/16",Таблица1[Ф. И. О.],B671)</f>
        <v>0</v>
      </c>
      <c r="T676" s="492">
        <f t="shared" si="232"/>
        <v>0</v>
      </c>
      <c r="U676" s="473">
        <f>база!$M$6</f>
        <v>279.0496</v>
      </c>
      <c r="V676" s="464">
        <v>1.4</v>
      </c>
      <c r="W676" s="465">
        <f>SUMIFS(Таблица1[Столбец1],Таблица1[коэф],"1,4",Таблица1[р/р],"5/24",Таблица1[Ф. И. О.],B671)</f>
        <v>0</v>
      </c>
      <c r="X676" s="513">
        <f t="shared" si="233"/>
        <v>0</v>
      </c>
      <c r="Y676" s="765"/>
      <c r="Z676" s="767"/>
      <c r="AA676" s="757"/>
    </row>
    <row r="677" spans="1:29" ht="18.75">
      <c r="A677" s="755">
        <v>62</v>
      </c>
      <c r="B677" s="215"/>
      <c r="C677" s="758">
        <f>INDEX(база!$E$2:$E$181, MATCH(B682,база!$B$2:$B$160,0))</f>
        <v>15098</v>
      </c>
      <c r="D677" s="761">
        <f>INDEX(база!$D$2:$D$189, MATCH(B682,база!$B$2:$B$160,0))</f>
        <v>3</v>
      </c>
      <c r="E677" s="377">
        <f>IF(D677&lt;=3,база!$I$4,
IF(D677=4,база!$I$5,
IF(D677=5,база!$I$6)))</f>
        <v>188.7912</v>
      </c>
      <c r="F677" s="378">
        <v>1</v>
      </c>
      <c r="G677" s="387">
        <f>SUMIFS(Таблица1[Столбец1],Таблица1[коэф],"1",Таблица1[р/р],"2/4",Таблица1[Ф. И. О.],B682)</f>
        <v>0</v>
      </c>
      <c r="H677" s="402">
        <f t="shared" si="230"/>
        <v>0</v>
      </c>
      <c r="I677" s="452">
        <f>IF(D677&lt;=3,база!$J$4,
IF(D677=4,база!$J$5,
IF(D677=5,база!$J$6)))</f>
        <v>196.05240000000001</v>
      </c>
      <c r="J677" s="475">
        <v>1</v>
      </c>
      <c r="K677" s="453">
        <f>SUMIFS(Таблица1[Столбец1],Таблица1[коэф],"1",Таблица1[р/р],"2/8",Таблица1[Ф. И. О.],B682)</f>
        <v>0</v>
      </c>
      <c r="L677" s="383">
        <f t="shared" si="231"/>
        <v>0</v>
      </c>
      <c r="M677" s="453"/>
      <c r="N677" s="453">
        <v>1</v>
      </c>
      <c r="O677" s="453">
        <f>SUMIFS(Data_Tech!$AM$3:$AM$67,Data_Tech!$E$3:$E$67,"1",Data_Tech!$G$3:$G$67,"3/12",Data_Tech!$F$3:$F$67,B682)</f>
        <v>0</v>
      </c>
      <c r="P677" s="398">
        <f>ROUND(M677*N677*O677,2)</f>
        <v>0</v>
      </c>
      <c r="Q677" s="377">
        <f>IF(D677&lt;=3,база!$L$4,
IF(D677=4,база!$L$5,
IF(D677=5,база!$L$6)))</f>
        <v>210.57480000000001</v>
      </c>
      <c r="R677" s="378">
        <v>1</v>
      </c>
      <c r="S677" s="387">
        <f>SUMIFS(Таблица1[Столбец1],Таблица1[коэф],"1",Таблица1[р/р],"3/16",Таблица1[Ф. И. О.],B682)</f>
        <v>0</v>
      </c>
      <c r="T677" s="490">
        <f t="shared" si="232"/>
        <v>0</v>
      </c>
      <c r="U677" s="483">
        <f>IF(D677&lt;=3,база!$M$4,
IF(D677=4,база!$M$5,
IF(D677=5,база!$M$6)))</f>
        <v>225.09719999999999</v>
      </c>
      <c r="V677" s="417">
        <v>1</v>
      </c>
      <c r="W677" s="455">
        <f>SUMIFS(Таблица1[Столбец1],Таблица1[коэф],"1",Таблица1[р/р],"3/24",Таблица1[Ф. И. О.],B682)</f>
        <v>0</v>
      </c>
      <c r="X677" s="492">
        <f t="shared" si="233"/>
        <v>0</v>
      </c>
      <c r="Y677" s="764">
        <f t="shared" ref="Y677" si="242">SUM(G677:G687,K677:K687,O677:O687,S677:S687,W677:W687)</f>
        <v>0</v>
      </c>
      <c r="Z677" s="766">
        <f t="shared" ref="Z677" si="243">IFERROR(SUM(H677:H687,L677:L687,T677:T687,X677:X687),"")</f>
        <v>0</v>
      </c>
      <c r="AA677" s="756"/>
    </row>
    <row r="678" spans="1:29" ht="18.75">
      <c r="A678" s="756"/>
      <c r="B678" s="215"/>
      <c r="C678" s="759"/>
      <c r="D678" s="762"/>
      <c r="E678" s="389">
        <f>IF(D677&lt;=3,база!$I$4,
IF(D677=4,база!$I$5,
IF(D677=5,база!$I$6)))</f>
        <v>188.7912</v>
      </c>
      <c r="F678" s="390">
        <v>1</v>
      </c>
      <c r="G678" s="400">
        <f>SUMIFS(Таблица1[Столбец1],Таблица1[коэф],"1",Таблица1[р/р],"3/4",Таблица1[Ф. И. О.],B682)</f>
        <v>0</v>
      </c>
      <c r="H678" s="392">
        <f t="shared" si="230"/>
        <v>0</v>
      </c>
      <c r="I678" s="432">
        <f>IF(D677&lt;=3,база!$J$4,
IF(D677=4,база!$J$5,
IF(D677=5,база!$J$6)))</f>
        <v>196.05240000000001</v>
      </c>
      <c r="J678" s="433">
        <v>1</v>
      </c>
      <c r="K678" s="434">
        <f>SUMIFS(Таблица1[Столбец1],Таблица1[коэф],"1",Таблица1[р/р],"3/8",Таблица1[Ф. И. О.],B682)</f>
        <v>0</v>
      </c>
      <c r="L678" s="484">
        <f t="shared" si="231"/>
        <v>0</v>
      </c>
      <c r="M678" s="434"/>
      <c r="N678" s="434">
        <v>1</v>
      </c>
      <c r="O678" s="434">
        <f>SUMIFS(Data_Tech!$AM$3:$AM$67,Data_Tech!$E$3:$E$67,"1",Data_Tech!$G$3:$G$67,"4/12",Data_Tech!$F$3:$F$67,B682)</f>
        <v>0</v>
      </c>
      <c r="P678" s="406">
        <f>ROUND(M678*O678,2)</f>
        <v>0</v>
      </c>
      <c r="Q678" s="389">
        <f>база!$L$5</f>
        <v>231.45480000000001</v>
      </c>
      <c r="R678" s="390">
        <v>1</v>
      </c>
      <c r="S678" s="400">
        <f>SUMIFS(Таблица1[Столбец1],Таблица1[коэф],"1",Таблица1[р/р],"4/16",Таблица1[Ф. И. О.],B682)</f>
        <v>0</v>
      </c>
      <c r="T678" s="492">
        <f t="shared" si="232"/>
        <v>0</v>
      </c>
      <c r="U678" s="478">
        <f>база!$M$5</f>
        <v>247.41720000000001</v>
      </c>
      <c r="V678" s="390">
        <v>1</v>
      </c>
      <c r="W678" s="412">
        <f>SUMIFS(Таблица1[Столбец1],Таблица1[коэф],"1",Таблица1[р/р],"4/24",Таблица1[Ф. И. О.],B682)</f>
        <v>0</v>
      </c>
      <c r="X678" s="492">
        <f t="shared" si="233"/>
        <v>0</v>
      </c>
      <c r="Y678" s="764"/>
      <c r="Z678" s="766"/>
      <c r="AA678" s="756"/>
    </row>
    <row r="679" spans="1:29" ht="18.75">
      <c r="A679" s="756"/>
      <c r="B679" s="215"/>
      <c r="C679" s="759"/>
      <c r="D679" s="762"/>
      <c r="E679" s="389"/>
      <c r="F679" s="390"/>
      <c r="G679" s="400"/>
      <c r="H679" s="392">
        <f t="shared" si="230"/>
        <v>0</v>
      </c>
      <c r="I679" s="432"/>
      <c r="J679" s="433"/>
      <c r="K679" s="434"/>
      <c r="L679" s="484">
        <f t="shared" si="231"/>
        <v>0</v>
      </c>
      <c r="M679" s="434"/>
      <c r="N679" s="434"/>
      <c r="O679" s="434"/>
      <c r="P679" s="406"/>
      <c r="Q679" s="389">
        <f>база!$L$6</f>
        <v>261.04640000000001</v>
      </c>
      <c r="R679" s="390">
        <v>1</v>
      </c>
      <c r="S679" s="400">
        <f>SUMIFS(Таблица1[Столбец1],Таблица1[коэф],"1",Таблица1[р/р],"5/16",Таблица1[Ф. И. О.],B682)</f>
        <v>0</v>
      </c>
      <c r="T679" s="492">
        <f t="shared" si="232"/>
        <v>0</v>
      </c>
      <c r="U679" s="478">
        <f>база!$M$6</f>
        <v>279.0496</v>
      </c>
      <c r="V679" s="390">
        <v>1</v>
      </c>
      <c r="W679" s="412">
        <f>SUMIFS(Таблица1[Столбец1],Таблица1[коэф],"1",Таблица1[р/р],"5/24",Таблица1[Ф. И. О.],B682)</f>
        <v>0</v>
      </c>
      <c r="X679" s="492">
        <f t="shared" si="233"/>
        <v>0</v>
      </c>
      <c r="Y679" s="764"/>
      <c r="Z679" s="766"/>
      <c r="AA679" s="756"/>
    </row>
    <row r="680" spans="1:29" ht="18.75">
      <c r="A680" s="756"/>
      <c r="B680" s="215"/>
      <c r="C680" s="759"/>
      <c r="D680" s="762"/>
      <c r="E680" s="389"/>
      <c r="F680" s="390"/>
      <c r="G680" s="400"/>
      <c r="H680" s="392">
        <f t="shared" si="230"/>
        <v>0</v>
      </c>
      <c r="I680" s="432">
        <f>база!$J$5</f>
        <v>215.4924</v>
      </c>
      <c r="J680" s="433">
        <v>1.5</v>
      </c>
      <c r="K680" s="434">
        <f>SUMIFS(Таблица1[Столбец1],Таблица1[коэф],"1,5",Таблица1[р/р],"4/8",Таблица1[Ф. И. О.],B682)</f>
        <v>0</v>
      </c>
      <c r="L680" s="484">
        <f t="shared" si="231"/>
        <v>0</v>
      </c>
      <c r="M680" s="434"/>
      <c r="N680" s="434"/>
      <c r="O680" s="434"/>
      <c r="P680" s="406"/>
      <c r="Q680" s="389">
        <f>IF(D677&lt;=3,база!$L$4,
IF(D677=4,база!$L$5,
IF(D677=5,база!$L$6)))</f>
        <v>210.57480000000001</v>
      </c>
      <c r="R680" s="390">
        <v>1.2</v>
      </c>
      <c r="S680" s="400">
        <f>SUMIFS(Таблица1[Столбец1],Таблица1[коэф],"1,2",Таблица1[р/р],"3/16",Таблица1[Ф. И. О.],B682)</f>
        <v>0</v>
      </c>
      <c r="T680" s="492">
        <f t="shared" si="232"/>
        <v>0</v>
      </c>
      <c r="U680" s="478">
        <f>IF(D677&lt;=3,база!$M$4,
IF(D677=4,база!$M$5,
IF(D677=5,база!$M$6)))</f>
        <v>225.09719999999999</v>
      </c>
      <c r="V680" s="390">
        <v>1.2</v>
      </c>
      <c r="W680" s="412">
        <f>SUMIFS(Таблица1[Столбец1],Таблица1[коэф],"1,2",Таблица1[р/р],"3/24",Таблица1[Ф. И. О.],B682)</f>
        <v>0</v>
      </c>
      <c r="X680" s="492">
        <f t="shared" si="233"/>
        <v>0</v>
      </c>
      <c r="Y680" s="764"/>
      <c r="Z680" s="766"/>
      <c r="AA680" s="756"/>
    </row>
    <row r="681" spans="1:29" ht="18.75">
      <c r="A681" s="756"/>
      <c r="B681" s="215"/>
      <c r="C681" s="759"/>
      <c r="D681" s="762"/>
      <c r="E681" s="389"/>
      <c r="F681" s="390"/>
      <c r="G681" s="400"/>
      <c r="H681" s="392">
        <f t="shared" si="230"/>
        <v>0</v>
      </c>
      <c r="I681" s="432">
        <f>база!$J$6</f>
        <v>243.04319999999998</v>
      </c>
      <c r="J681" s="433">
        <v>1.5</v>
      </c>
      <c r="K681" s="434">
        <f>SUMIFS(Таблица1[Столбец1],Таблица1[коэф],"1,5",Таблица1[р/р],"5/8",Таблица1[Ф. И. О.],B682)</f>
        <v>0</v>
      </c>
      <c r="L681" s="484">
        <f t="shared" si="231"/>
        <v>0</v>
      </c>
      <c r="M681" s="434"/>
      <c r="N681" s="434"/>
      <c r="O681" s="434"/>
      <c r="P681" s="406"/>
      <c r="Q681" s="389">
        <f>база!$L$5</f>
        <v>231.45480000000001</v>
      </c>
      <c r="R681" s="390">
        <v>1.2</v>
      </c>
      <c r="S681" s="400">
        <f>SUMIFS(Таблица1[Столбец1],Таблица1[коэф],"1,2",Таблица1[р/р],"4/16",Таблица1[Ф. И. О.],B682)</f>
        <v>0</v>
      </c>
      <c r="T681" s="492">
        <f t="shared" si="232"/>
        <v>0</v>
      </c>
      <c r="U681" s="478">
        <f>база!$M$5</f>
        <v>247.41720000000001</v>
      </c>
      <c r="V681" s="390">
        <v>1.2</v>
      </c>
      <c r="W681" s="412">
        <f>SUMIFS(Таблица1[Столбец1],Таблица1[коэф],"1,2",Таблица1[р/р],"4/24",Таблица1[Ф. И. О.],B682)</f>
        <v>0</v>
      </c>
      <c r="X681" s="492">
        <f t="shared" si="233"/>
        <v>0</v>
      </c>
      <c r="Y681" s="764"/>
      <c r="Z681" s="766"/>
      <c r="AA681" s="756"/>
    </row>
    <row r="682" spans="1:29" ht="18.75">
      <c r="A682" s="756"/>
      <c r="B682" s="215" t="str">
        <f>база!B63</f>
        <v>Потемкина Елена Анатольевна</v>
      </c>
      <c r="C682" s="759"/>
      <c r="D682" s="762"/>
      <c r="E682" s="389"/>
      <c r="F682" s="390"/>
      <c r="G682" s="400"/>
      <c r="H682" s="392">
        <f t="shared" si="230"/>
        <v>0</v>
      </c>
      <c r="I682" s="432"/>
      <c r="J682" s="433"/>
      <c r="K682" s="434"/>
      <c r="L682" s="484">
        <f t="shared" si="231"/>
        <v>0</v>
      </c>
      <c r="M682" s="434"/>
      <c r="N682" s="434"/>
      <c r="O682" s="434"/>
      <c r="P682" s="406"/>
      <c r="Q682" s="389">
        <f>база!$L$6</f>
        <v>261.04640000000001</v>
      </c>
      <c r="R682" s="390">
        <v>1.2</v>
      </c>
      <c r="S682" s="400">
        <f>SUMIFS(Таблица1[Столбец1],Таблица1[коэф],"1,2",Таблица1[р/р],"5/16",Таблица1[Ф. И. О.],B682)</f>
        <v>0</v>
      </c>
      <c r="T682" s="492">
        <f t="shared" si="232"/>
        <v>0</v>
      </c>
      <c r="U682" s="478">
        <f>база!$M$6</f>
        <v>279.0496</v>
      </c>
      <c r="V682" s="390">
        <v>1.2</v>
      </c>
      <c r="W682" s="412">
        <f>SUMIFS(Таблица1[Столбец1],Таблица1[коэф],"1,2",Таблица1[р/р],"5/24",Таблица1[Ф. И. О.],B682)</f>
        <v>0</v>
      </c>
      <c r="X682" s="492">
        <f t="shared" si="233"/>
        <v>0</v>
      </c>
      <c r="Y682" s="764"/>
      <c r="Z682" s="766"/>
      <c r="AA682" s="756"/>
      <c r="AC682" s="712" t="str">
        <f>IF(SUMIFS(Таблица1[Столбец3],Таблица1[Ф. И. О.],B682)-Z677=0,"",SUMIFS(Таблица1[Столбец3],Таблица1[Ф. И. О.],B682)-Z677)</f>
        <v/>
      </c>
    </row>
    <row r="683" spans="1:29" ht="18.75">
      <c r="A683" s="756"/>
      <c r="B683" s="215"/>
      <c r="C683" s="759"/>
      <c r="D683" s="762"/>
      <c r="E683" s="389"/>
      <c r="F683" s="390"/>
      <c r="G683" s="400"/>
      <c r="H683" s="392">
        <f t="shared" si="230"/>
        <v>0</v>
      </c>
      <c r="I683" s="432"/>
      <c r="J683" s="433"/>
      <c r="K683" s="434"/>
      <c r="L683" s="484">
        <f t="shared" si="231"/>
        <v>0</v>
      </c>
      <c r="M683" s="434"/>
      <c r="N683" s="434"/>
      <c r="O683" s="434"/>
      <c r="P683" s="406"/>
      <c r="Q683" s="389">
        <f>IF($D$6&lt;=3,база!$L$4,
IF($D$6=4,база!$L$5,
IF($D$6=5,база!$L$6)))</f>
        <v>231.45480000000001</v>
      </c>
      <c r="R683" s="390">
        <v>1.3</v>
      </c>
      <c r="S683" s="400">
        <f>SUMIFS(Таблица1[Столбец1],Таблица1[коэф],"1,3",Таблица1[р/р],"3/16",Таблица1[Ф. И. О.],B682)</f>
        <v>0</v>
      </c>
      <c r="T683" s="492">
        <f t="shared" si="232"/>
        <v>0</v>
      </c>
      <c r="U683" s="478">
        <f>IF(D677&lt;=3,база!$M$4,
IF(D677=4,база!$M$5,
IF(D677=5,база!$M$6)))</f>
        <v>225.09719999999999</v>
      </c>
      <c r="V683" s="390">
        <v>1.3</v>
      </c>
      <c r="W683" s="412">
        <f>SUMIFS(Таблица1[Столбец1],Таблица1[коэф],"1,3",Таблица1[р/р],"3/24",Таблица1[Ф. И. О.],B682)</f>
        <v>0</v>
      </c>
      <c r="X683" s="492">
        <f t="shared" si="233"/>
        <v>0</v>
      </c>
      <c r="Y683" s="764"/>
      <c r="Z683" s="766"/>
      <c r="AA683" s="756"/>
      <c r="AC683" s="712" t="str">
        <f>IF(SUMIFS(Таблица1[Столбец1],Таблица1[Ф. И. О.],B682)=Y677,"",B682&amp;"  часы не верны")</f>
        <v/>
      </c>
    </row>
    <row r="684" spans="1:29" ht="18.75">
      <c r="A684" s="756"/>
      <c r="B684" s="215"/>
      <c r="C684" s="759"/>
      <c r="D684" s="762"/>
      <c r="E684" s="389"/>
      <c r="F684" s="390"/>
      <c r="G684" s="400"/>
      <c r="H684" s="392">
        <f t="shared" si="230"/>
        <v>0</v>
      </c>
      <c r="I684" s="432"/>
      <c r="J684" s="433"/>
      <c r="K684" s="434"/>
      <c r="L684" s="484">
        <f t="shared" si="231"/>
        <v>0</v>
      </c>
      <c r="M684" s="434"/>
      <c r="N684" s="434"/>
      <c r="O684" s="434"/>
      <c r="P684" s="406"/>
      <c r="Q684" s="389">
        <f>база!$L$5</f>
        <v>231.45480000000001</v>
      </c>
      <c r="R684" s="390">
        <v>1.3</v>
      </c>
      <c r="S684" s="400">
        <f>SUMIFS(Таблица1[Столбец1],Таблица1[коэф],"1,3",Таблица1[р/р],"4/16",Таблица1[Ф. И. О.],B682)</f>
        <v>0</v>
      </c>
      <c r="T684" s="492">
        <f t="shared" si="232"/>
        <v>0</v>
      </c>
      <c r="U684" s="478">
        <f>база!$M$5</f>
        <v>247.41720000000001</v>
      </c>
      <c r="V684" s="390">
        <v>1.3</v>
      </c>
      <c r="W684" s="412">
        <f>SUMIFS(Таблица1[Столбец1],Таблица1[коэф],"1,3",Таблица1[р/р],"4/24",Таблица1[Ф. И. О.],B682)</f>
        <v>0</v>
      </c>
      <c r="X684" s="492">
        <f t="shared" si="233"/>
        <v>0</v>
      </c>
      <c r="Y684" s="764"/>
      <c r="Z684" s="766"/>
      <c r="AA684" s="756"/>
    </row>
    <row r="685" spans="1:29" ht="18.75">
      <c r="A685" s="756"/>
      <c r="B685" s="215"/>
      <c r="C685" s="759"/>
      <c r="D685" s="762"/>
      <c r="E685" s="389"/>
      <c r="F685" s="390"/>
      <c r="G685" s="400"/>
      <c r="H685" s="392">
        <f t="shared" si="230"/>
        <v>0</v>
      </c>
      <c r="I685" s="432"/>
      <c r="J685" s="433"/>
      <c r="K685" s="434"/>
      <c r="L685" s="484">
        <f t="shared" si="231"/>
        <v>0</v>
      </c>
      <c r="M685" s="434"/>
      <c r="N685" s="434"/>
      <c r="O685" s="434"/>
      <c r="P685" s="406"/>
      <c r="Q685" s="389">
        <f>IF(D677&lt;=3,база!$L$4,
IF(D677=4,база!$L$5,
IF(D677=5,база!$L$6)))</f>
        <v>210.57480000000001</v>
      </c>
      <c r="R685" s="390">
        <v>1.4</v>
      </c>
      <c r="S685" s="400">
        <f>SUMIFS(Таблица1[Столбец1],Таблица1[коэф],"1,4",Таблица1[р/р],"3/16",Таблица1[Ф. И. О.],B682)</f>
        <v>0</v>
      </c>
      <c r="T685" s="492">
        <f t="shared" si="232"/>
        <v>0</v>
      </c>
      <c r="U685" s="478">
        <f>IF(D677&lt;=3,база!$M$4,
IF(D677=4,база!$M$5,
IF(D677=5,база!$M$6)))</f>
        <v>225.09719999999999</v>
      </c>
      <c r="V685" s="390">
        <v>1.4</v>
      </c>
      <c r="W685" s="412">
        <f>SUMIFS(Таблица1[Столбец1],Таблица1[коэф],"1,4",Таблица1[р/р],"3/24",Таблица1[Ф. И. О.],B682)</f>
        <v>0</v>
      </c>
      <c r="X685" s="492">
        <f t="shared" si="233"/>
        <v>0</v>
      </c>
      <c r="Y685" s="764"/>
      <c r="Z685" s="766"/>
      <c r="AA685" s="756"/>
    </row>
    <row r="686" spans="1:29" ht="18.75">
      <c r="A686" s="756"/>
      <c r="B686" s="215"/>
      <c r="C686" s="759"/>
      <c r="D686" s="762"/>
      <c r="E686" s="389"/>
      <c r="F686" s="390"/>
      <c r="G686" s="400"/>
      <c r="H686" s="392">
        <f t="shared" si="230"/>
        <v>0</v>
      </c>
      <c r="I686" s="432"/>
      <c r="J686" s="433"/>
      <c r="K686" s="434"/>
      <c r="L686" s="484">
        <f t="shared" si="231"/>
        <v>0</v>
      </c>
      <c r="M686" s="434"/>
      <c r="N686" s="434"/>
      <c r="O686" s="434"/>
      <c r="P686" s="406"/>
      <c r="Q686" s="389">
        <f>база!$L$5</f>
        <v>231.45480000000001</v>
      </c>
      <c r="R686" s="390">
        <v>1.4</v>
      </c>
      <c r="S686" s="400">
        <f>SUMIFS(Таблица1[Столбец1],Таблица1[коэф],"1,4",Таблица1[р/р],"4/16",Таблица1[Ф. И. О.],B682)</f>
        <v>0</v>
      </c>
      <c r="T686" s="492">
        <f t="shared" si="232"/>
        <v>0</v>
      </c>
      <c r="U686" s="478">
        <f>база!$M$5</f>
        <v>247.41720000000001</v>
      </c>
      <c r="V686" s="390">
        <v>1.4</v>
      </c>
      <c r="W686" s="412">
        <f>SUMIFS(Таблица1[Столбец1],Таблица1[коэф],"1,4",Таблица1[р/р],"4/24",Таблица1[Ф. И. О.],B682)</f>
        <v>0</v>
      </c>
      <c r="X686" s="492">
        <f t="shared" si="233"/>
        <v>0</v>
      </c>
      <c r="Y686" s="764"/>
      <c r="Z686" s="766"/>
      <c r="AA686" s="756"/>
    </row>
    <row r="687" spans="1:29" ht="19.5" thickBot="1">
      <c r="A687" s="757"/>
      <c r="B687" s="352"/>
      <c r="C687" s="760"/>
      <c r="D687" s="763"/>
      <c r="E687" s="481"/>
      <c r="F687" s="417"/>
      <c r="G687" s="486"/>
      <c r="H687" s="468">
        <f t="shared" si="230"/>
        <v>0</v>
      </c>
      <c r="I687" s="645"/>
      <c r="J687" s="456"/>
      <c r="K687" s="646"/>
      <c r="L687" s="484">
        <f t="shared" si="231"/>
        <v>0</v>
      </c>
      <c r="M687" s="396"/>
      <c r="N687" s="397"/>
      <c r="O687" s="397"/>
      <c r="P687" s="398"/>
      <c r="Q687" s="487">
        <f>база!$L$6</f>
        <v>261.04640000000001</v>
      </c>
      <c r="R687" s="417">
        <v>1.4</v>
      </c>
      <c r="S687" s="418">
        <f>SUMIFS(Таблица1[Столбец1],Таблица1[коэф],"1,4",Таблица1[р/р],"5/16",Таблица1[Ф. И. О.],B682)</f>
        <v>0</v>
      </c>
      <c r="T687" s="492">
        <f t="shared" si="232"/>
        <v>0</v>
      </c>
      <c r="U687" s="473">
        <f>база!$M$6</f>
        <v>279.0496</v>
      </c>
      <c r="V687" s="464">
        <v>1.4</v>
      </c>
      <c r="W687" s="465">
        <f>SUMIFS(Таблица1[Столбец1],Таблица1[коэф],"1,4",Таблица1[р/р],"5/24",Таблица1[Ф. И. О.],B682)</f>
        <v>0</v>
      </c>
      <c r="X687" s="513">
        <f t="shared" si="233"/>
        <v>0</v>
      </c>
      <c r="Y687" s="765"/>
      <c r="Z687" s="767"/>
      <c r="AA687" s="757"/>
    </row>
    <row r="688" spans="1:29" ht="18.75">
      <c r="A688" s="755">
        <v>63</v>
      </c>
      <c r="B688" s="215"/>
      <c r="C688" s="758">
        <f>INDEX(база!$E$2:$E$181, MATCH(B693,база!$B$2:$B$160,0))</f>
        <v>15237</v>
      </c>
      <c r="D688" s="761">
        <f>INDEX(база!$D$2:$D$189, MATCH(B693,база!$B$2:$B$160,0))</f>
        <v>3</v>
      </c>
      <c r="E688" s="377">
        <f>IF(D688&lt;=3,база!$I$4,
IF(D688=4,база!$I$5,
IF(D688=5,база!$I$6)))</f>
        <v>188.7912</v>
      </c>
      <c r="F688" s="378">
        <v>1</v>
      </c>
      <c r="G688" s="387">
        <f>SUMIFS(Таблица1[Столбец1],Таблица1[коэф],"1",Таблица1[р/р],"2/4",Таблица1[Ф. И. О.],B693)</f>
        <v>0</v>
      </c>
      <c r="H688" s="402">
        <f t="shared" si="230"/>
        <v>0</v>
      </c>
      <c r="I688" s="452">
        <f>IF(D688&lt;=3,база!$J$4,
IF(D688=4,база!$J$5,
IF(D688=5,база!$J$6)))</f>
        <v>196.05240000000001</v>
      </c>
      <c r="J688" s="475">
        <v>1</v>
      </c>
      <c r="K688" s="453">
        <f>SUMIFS(Таблица1[Столбец1],Таблица1[коэф],"1",Таблица1[р/р],"2/8",Таблица1[Ф. И. О.],B693)</f>
        <v>0</v>
      </c>
      <c r="L688" s="383">
        <f t="shared" si="231"/>
        <v>0</v>
      </c>
      <c r="M688" s="453"/>
      <c r="N688" s="453">
        <v>1</v>
      </c>
      <c r="O688" s="453">
        <f>SUMIFS(Data_Tech!$AM$3:$AM$67,Data_Tech!$E$3:$E$67,"1",Data_Tech!$G$3:$G$67,"3/12",Data_Tech!$F$3:$F$67,B693)</f>
        <v>0</v>
      </c>
      <c r="P688" s="398">
        <f>ROUND(M688*N688*O688,2)</f>
        <v>0</v>
      </c>
      <c r="Q688" s="377">
        <f>IF(D688&lt;=3,база!$L$4,
IF(D688=4,база!$L$5,
IF(D688=5,база!$L$6)))</f>
        <v>210.57480000000001</v>
      </c>
      <c r="R688" s="378">
        <v>1</v>
      </c>
      <c r="S688" s="387">
        <f>SUMIFS(Таблица1[Столбец1],Таблица1[коэф],"1",Таблица1[р/р],"3/16",Таблица1[Ф. И. О.],B693)</f>
        <v>0</v>
      </c>
      <c r="T688" s="490">
        <f t="shared" si="232"/>
        <v>0</v>
      </c>
      <c r="U688" s="483">
        <f>IF(D688&lt;=3,база!$M$4,
IF(D688=4,база!$M$5,
IF(D688=5,база!$M$6)))</f>
        <v>225.09719999999999</v>
      </c>
      <c r="V688" s="417">
        <v>1</v>
      </c>
      <c r="W688" s="455">
        <f>SUMIFS(Таблица1[Столбец1],Таблица1[коэф],"1",Таблица1[р/р],"3/24",Таблица1[Ф. И. О.],B693)</f>
        <v>0</v>
      </c>
      <c r="X688" s="492">
        <f t="shared" si="233"/>
        <v>0</v>
      </c>
      <c r="Y688" s="764">
        <f t="shared" ref="Y688" si="244">SUM(G688:G698,K688:K698,O688:O698,S688:S698,W688:W698)</f>
        <v>0</v>
      </c>
      <c r="Z688" s="766">
        <f t="shared" ref="Z688" si="245">IFERROR(SUM(H688:H698,L688:L698,T688:T698,X688:X698),"")</f>
        <v>0</v>
      </c>
      <c r="AA688" s="756"/>
    </row>
    <row r="689" spans="1:29" ht="18.75">
      <c r="A689" s="756"/>
      <c r="B689" s="215"/>
      <c r="C689" s="759"/>
      <c r="D689" s="762"/>
      <c r="E689" s="389">
        <f>IF(D688&lt;=3,база!$I$4,
IF(D688=4,база!$I$5,
IF(D688=5,база!$I$6)))</f>
        <v>188.7912</v>
      </c>
      <c r="F689" s="390">
        <v>1</v>
      </c>
      <c r="G689" s="400">
        <f>SUMIFS(Таблица1[Столбец1],Таблица1[коэф],"1",Таблица1[р/р],"3/4",Таблица1[Ф. И. О.],B693)</f>
        <v>0</v>
      </c>
      <c r="H689" s="392">
        <f t="shared" si="230"/>
        <v>0</v>
      </c>
      <c r="I689" s="432">
        <f>IF(D688&lt;=3,база!$J$4,
IF(D688=4,база!$J$5,
IF(D688=5,база!$J$6)))</f>
        <v>196.05240000000001</v>
      </c>
      <c r="J689" s="433">
        <v>1</v>
      </c>
      <c r="K689" s="434">
        <f>SUMIFS(Таблица1[Столбец1],Таблица1[коэф],"1",Таблица1[р/р],"3/8",Таблица1[Ф. И. О.],B693)</f>
        <v>0</v>
      </c>
      <c r="L689" s="484">
        <f t="shared" si="231"/>
        <v>0</v>
      </c>
      <c r="M689" s="434"/>
      <c r="N689" s="434">
        <v>1</v>
      </c>
      <c r="O689" s="434">
        <f>SUMIFS(Data_Tech!$AM$3:$AM$67,Data_Tech!$E$3:$E$67,"1",Data_Tech!$G$3:$G$67,"4/12",Data_Tech!$F$3:$F$67,B693)</f>
        <v>0</v>
      </c>
      <c r="P689" s="406">
        <f>ROUND(M689*O689,2)</f>
        <v>0</v>
      </c>
      <c r="Q689" s="389">
        <f>база!$L$5</f>
        <v>231.45480000000001</v>
      </c>
      <c r="R689" s="390">
        <v>1</v>
      </c>
      <c r="S689" s="400">
        <f>SUMIFS(Таблица1[Столбец1],Таблица1[коэф],"1",Таблица1[р/р],"4/16",Таблица1[Ф. И. О.],B693)</f>
        <v>0</v>
      </c>
      <c r="T689" s="492">
        <f t="shared" si="232"/>
        <v>0</v>
      </c>
      <c r="U689" s="478">
        <f>база!$M$5</f>
        <v>247.41720000000001</v>
      </c>
      <c r="V689" s="390">
        <v>1</v>
      </c>
      <c r="W689" s="412">
        <f>SUMIFS(Таблица1[Столбец1],Таблица1[коэф],"1",Таблица1[р/р],"4/24",Таблица1[Ф. И. О.],B693)</f>
        <v>0</v>
      </c>
      <c r="X689" s="492">
        <f t="shared" si="233"/>
        <v>0</v>
      </c>
      <c r="Y689" s="764"/>
      <c r="Z689" s="766"/>
      <c r="AA689" s="756"/>
    </row>
    <row r="690" spans="1:29" ht="18.75">
      <c r="A690" s="756"/>
      <c r="B690" s="215"/>
      <c r="C690" s="759"/>
      <c r="D690" s="762"/>
      <c r="E690" s="389"/>
      <c r="F690" s="390"/>
      <c r="G690" s="400"/>
      <c r="H690" s="392">
        <f t="shared" si="230"/>
        <v>0</v>
      </c>
      <c r="I690" s="432"/>
      <c r="J690" s="433"/>
      <c r="K690" s="434"/>
      <c r="L690" s="484">
        <f t="shared" si="231"/>
        <v>0</v>
      </c>
      <c r="M690" s="434"/>
      <c r="N690" s="434"/>
      <c r="O690" s="434"/>
      <c r="P690" s="406"/>
      <c r="Q690" s="389">
        <f>база!$L$6</f>
        <v>261.04640000000001</v>
      </c>
      <c r="R690" s="390">
        <v>1</v>
      </c>
      <c r="S690" s="400">
        <f>SUMIFS(Таблица1[Столбец1],Таблица1[коэф],"1",Таблица1[р/р],"5/16",Таблица1[Ф. И. О.],B693)</f>
        <v>0</v>
      </c>
      <c r="T690" s="492">
        <f t="shared" si="232"/>
        <v>0</v>
      </c>
      <c r="U690" s="478">
        <f>база!$M$6</f>
        <v>279.0496</v>
      </c>
      <c r="V690" s="390">
        <v>1</v>
      </c>
      <c r="W690" s="412">
        <f>SUMIFS(Таблица1[Столбец1],Таблица1[коэф],"1",Таблица1[р/р],"5/24",Таблица1[Ф. И. О.],B693)</f>
        <v>0</v>
      </c>
      <c r="X690" s="492">
        <f t="shared" si="233"/>
        <v>0</v>
      </c>
      <c r="Y690" s="764"/>
      <c r="Z690" s="766"/>
      <c r="AA690" s="756"/>
    </row>
    <row r="691" spans="1:29" ht="18.75">
      <c r="A691" s="756"/>
      <c r="B691" s="215"/>
      <c r="C691" s="759"/>
      <c r="D691" s="762"/>
      <c r="E691" s="389"/>
      <c r="F691" s="390"/>
      <c r="G691" s="400"/>
      <c r="H691" s="392">
        <f t="shared" si="230"/>
        <v>0</v>
      </c>
      <c r="I691" s="432">
        <f>база!$J$5</f>
        <v>215.4924</v>
      </c>
      <c r="J691" s="433">
        <v>1.5</v>
      </c>
      <c r="K691" s="434">
        <f>SUMIFS(Таблица1[Столбец1],Таблица1[коэф],"1,5",Таблица1[р/р],"4/8",Таблица1[Ф. И. О.],B693)</f>
        <v>0</v>
      </c>
      <c r="L691" s="484">
        <f t="shared" si="231"/>
        <v>0</v>
      </c>
      <c r="M691" s="434"/>
      <c r="N691" s="434"/>
      <c r="O691" s="434"/>
      <c r="P691" s="406"/>
      <c r="Q691" s="389">
        <f>IF(D688&lt;=3,база!$L$4,
IF(D688=4,база!$L$5,
IF(D688=5,база!$L$6)))</f>
        <v>210.57480000000001</v>
      </c>
      <c r="R691" s="390">
        <v>1.2</v>
      </c>
      <c r="S691" s="400">
        <f>SUMIFS(Таблица1[Столбец1],Таблица1[коэф],"1,2",Таблица1[р/р],"3/16",Таблица1[Ф. И. О.],B693)</f>
        <v>0</v>
      </c>
      <c r="T691" s="492">
        <f t="shared" si="232"/>
        <v>0</v>
      </c>
      <c r="U691" s="478">
        <f>IF(D688&lt;=3,база!$M$4,
IF(D688=4,база!$M$5,
IF(D688=5,база!$M$6)))</f>
        <v>225.09719999999999</v>
      </c>
      <c r="V691" s="390">
        <v>1.2</v>
      </c>
      <c r="W691" s="412">
        <f>SUMIFS(Таблица1[Столбец1],Таблица1[коэф],"1,2",Таблица1[р/р],"3/24",Таблица1[Ф. И. О.],B693)</f>
        <v>0</v>
      </c>
      <c r="X691" s="492">
        <f t="shared" si="233"/>
        <v>0</v>
      </c>
      <c r="Y691" s="764"/>
      <c r="Z691" s="766"/>
      <c r="AA691" s="756"/>
    </row>
    <row r="692" spans="1:29" ht="18.75">
      <c r="A692" s="756"/>
      <c r="B692" s="215"/>
      <c r="C692" s="759"/>
      <c r="D692" s="762"/>
      <c r="E692" s="389"/>
      <c r="F692" s="390"/>
      <c r="G692" s="400"/>
      <c r="H692" s="392">
        <f t="shared" si="230"/>
        <v>0</v>
      </c>
      <c r="I692" s="432">
        <f>база!$J$6</f>
        <v>243.04319999999998</v>
      </c>
      <c r="J692" s="433">
        <v>1.5</v>
      </c>
      <c r="K692" s="434">
        <f>SUMIFS(Таблица1[Столбец1],Таблица1[коэф],"1,5",Таблица1[р/р],"5/8",Таблица1[Ф. И. О.],B693)</f>
        <v>0</v>
      </c>
      <c r="L692" s="484">
        <f t="shared" si="231"/>
        <v>0</v>
      </c>
      <c r="M692" s="434"/>
      <c r="N692" s="434"/>
      <c r="O692" s="434"/>
      <c r="P692" s="406"/>
      <c r="Q692" s="389">
        <f>база!$L$5</f>
        <v>231.45480000000001</v>
      </c>
      <c r="R692" s="390">
        <v>1.2</v>
      </c>
      <c r="S692" s="400">
        <f>SUMIFS(Таблица1[Столбец1],Таблица1[коэф],"1,2",Таблица1[р/р],"4/16",Таблица1[Ф. И. О.],B693)</f>
        <v>0</v>
      </c>
      <c r="T692" s="492">
        <f t="shared" si="232"/>
        <v>0</v>
      </c>
      <c r="U692" s="478">
        <f>база!$M$5</f>
        <v>247.41720000000001</v>
      </c>
      <c r="V692" s="390">
        <v>1.2</v>
      </c>
      <c r="W692" s="412">
        <f>SUMIFS(Таблица1[Столбец1],Таблица1[коэф],"1,2",Таблица1[р/р],"4/24",Таблица1[Ф. И. О.],B693)</f>
        <v>0</v>
      </c>
      <c r="X692" s="492">
        <f t="shared" si="233"/>
        <v>0</v>
      </c>
      <c r="Y692" s="764"/>
      <c r="Z692" s="766"/>
      <c r="AA692" s="756"/>
    </row>
    <row r="693" spans="1:29" ht="18.75">
      <c r="A693" s="756"/>
      <c r="B693" s="215" t="str">
        <f>база!B64</f>
        <v>Пригоженкова Ольга Сергеевна</v>
      </c>
      <c r="C693" s="759"/>
      <c r="D693" s="762"/>
      <c r="E693" s="389"/>
      <c r="F693" s="390"/>
      <c r="G693" s="400"/>
      <c r="H693" s="392">
        <f t="shared" si="230"/>
        <v>0</v>
      </c>
      <c r="I693" s="432"/>
      <c r="J693" s="433"/>
      <c r="K693" s="434"/>
      <c r="L693" s="484">
        <f t="shared" si="231"/>
        <v>0</v>
      </c>
      <c r="M693" s="434"/>
      <c r="N693" s="434"/>
      <c r="O693" s="434"/>
      <c r="P693" s="406"/>
      <c r="Q693" s="389">
        <f>база!$L$6</f>
        <v>261.04640000000001</v>
      </c>
      <c r="R693" s="390">
        <v>1.2</v>
      </c>
      <c r="S693" s="400">
        <f>SUMIFS(Таблица1[Столбец1],Таблица1[коэф],"1,2",Таблица1[р/р],"5/16",Таблица1[Ф. И. О.],B693)</f>
        <v>0</v>
      </c>
      <c r="T693" s="492">
        <f t="shared" si="232"/>
        <v>0</v>
      </c>
      <c r="U693" s="478">
        <f>база!$M$6</f>
        <v>279.0496</v>
      </c>
      <c r="V693" s="390">
        <v>1.2</v>
      </c>
      <c r="W693" s="412">
        <f>SUMIFS(Таблица1[Столбец1],Таблица1[коэф],"1,2",Таблица1[р/р],"5/24",Таблица1[Ф. И. О.],B693)</f>
        <v>0</v>
      </c>
      <c r="X693" s="492">
        <f t="shared" si="233"/>
        <v>0</v>
      </c>
      <c r="Y693" s="764"/>
      <c r="Z693" s="766"/>
      <c r="AA693" s="756"/>
      <c r="AC693" s="712" t="str">
        <f>IF(SUMIFS(Таблица1[Столбец3],Таблица1[Ф. И. О.],B693)-Z688=0,"",SUMIFS(Таблица1[Столбец3],Таблица1[Ф. И. О.],B693)-Z688)</f>
        <v/>
      </c>
    </row>
    <row r="694" spans="1:29" ht="18.75">
      <c r="A694" s="756"/>
      <c r="B694" s="215"/>
      <c r="C694" s="759"/>
      <c r="D694" s="762"/>
      <c r="E694" s="389"/>
      <c r="F694" s="390"/>
      <c r="G694" s="400"/>
      <c r="H694" s="392">
        <f t="shared" si="230"/>
        <v>0</v>
      </c>
      <c r="I694" s="432"/>
      <c r="J694" s="433"/>
      <c r="K694" s="434"/>
      <c r="L694" s="484">
        <f t="shared" si="231"/>
        <v>0</v>
      </c>
      <c r="M694" s="434"/>
      <c r="N694" s="434"/>
      <c r="O694" s="434"/>
      <c r="P694" s="406"/>
      <c r="Q694" s="389">
        <f>IF($D$6&lt;=3,база!$L$4,
IF($D$6=4,база!$L$5,
IF($D$6=5,база!$L$6)))</f>
        <v>231.45480000000001</v>
      </c>
      <c r="R694" s="390">
        <v>1.3</v>
      </c>
      <c r="S694" s="400">
        <f>SUMIFS(Таблица1[Столбец1],Таблица1[коэф],"1,3",Таблица1[р/р],"3/16",Таблица1[Ф. И. О.],B693)</f>
        <v>0</v>
      </c>
      <c r="T694" s="492">
        <f t="shared" si="232"/>
        <v>0</v>
      </c>
      <c r="U694" s="478">
        <f>IF(D688&lt;=3,база!$M$4,
IF(D688=4,база!$M$5,
IF(D688=5,база!$M$6)))</f>
        <v>225.09719999999999</v>
      </c>
      <c r="V694" s="390">
        <v>1.3</v>
      </c>
      <c r="W694" s="412">
        <f>SUMIFS(Таблица1[Столбец1],Таблица1[коэф],"1,3",Таблица1[р/р],"3/24",Таблица1[Ф. И. О.],B693)</f>
        <v>0</v>
      </c>
      <c r="X694" s="492">
        <f t="shared" si="233"/>
        <v>0</v>
      </c>
      <c r="Y694" s="764"/>
      <c r="Z694" s="766"/>
      <c r="AA694" s="756"/>
      <c r="AC694" s="712" t="str">
        <f>IF(SUMIFS(Таблица1[Столбец1],Таблица1[Ф. И. О.],B693)=Y688,"",B693&amp;"  часы не верны")</f>
        <v/>
      </c>
    </row>
    <row r="695" spans="1:29" ht="18.75">
      <c r="A695" s="756"/>
      <c r="B695" s="215"/>
      <c r="C695" s="759"/>
      <c r="D695" s="762"/>
      <c r="E695" s="389"/>
      <c r="F695" s="390"/>
      <c r="G695" s="400"/>
      <c r="H695" s="392">
        <f t="shared" si="230"/>
        <v>0</v>
      </c>
      <c r="I695" s="432"/>
      <c r="J695" s="433"/>
      <c r="K695" s="434"/>
      <c r="L695" s="484">
        <f t="shared" si="231"/>
        <v>0</v>
      </c>
      <c r="M695" s="434"/>
      <c r="N695" s="434"/>
      <c r="O695" s="434"/>
      <c r="P695" s="406"/>
      <c r="Q695" s="389">
        <f>база!$L$5</f>
        <v>231.45480000000001</v>
      </c>
      <c r="R695" s="390">
        <v>1.3</v>
      </c>
      <c r="S695" s="400">
        <f>SUMIFS(Таблица1[Столбец1],Таблица1[коэф],"1,3",Таблица1[р/р],"4/16",Таблица1[Ф. И. О.],B693)</f>
        <v>0</v>
      </c>
      <c r="T695" s="492">
        <f t="shared" si="232"/>
        <v>0</v>
      </c>
      <c r="U695" s="478">
        <f>база!$M$5</f>
        <v>247.41720000000001</v>
      </c>
      <c r="V695" s="390">
        <v>1.3</v>
      </c>
      <c r="W695" s="412">
        <f>SUMIFS(Таблица1[Столбец1],Таблица1[коэф],"1,3",Таблица1[р/р],"4/24",Таблица1[Ф. И. О.],B693)</f>
        <v>0</v>
      </c>
      <c r="X695" s="492">
        <f t="shared" si="233"/>
        <v>0</v>
      </c>
      <c r="Y695" s="764"/>
      <c r="Z695" s="766"/>
      <c r="AA695" s="756"/>
    </row>
    <row r="696" spans="1:29" ht="18.75">
      <c r="A696" s="756"/>
      <c r="B696" s="215"/>
      <c r="C696" s="759"/>
      <c r="D696" s="762"/>
      <c r="E696" s="389"/>
      <c r="F696" s="390"/>
      <c r="G696" s="400"/>
      <c r="H696" s="392">
        <f t="shared" si="230"/>
        <v>0</v>
      </c>
      <c r="I696" s="432"/>
      <c r="J696" s="433"/>
      <c r="K696" s="434"/>
      <c r="L696" s="484">
        <f t="shared" si="231"/>
        <v>0</v>
      </c>
      <c r="M696" s="434"/>
      <c r="N696" s="434"/>
      <c r="O696" s="434"/>
      <c r="P696" s="406"/>
      <c r="Q696" s="389">
        <f>IF(D688&lt;=3,база!$L$4,
IF(D688=4,база!$L$5,
IF(D688=5,база!$L$6)))</f>
        <v>210.57480000000001</v>
      </c>
      <c r="R696" s="390">
        <v>1.4</v>
      </c>
      <c r="S696" s="400">
        <f>SUMIFS(Таблица1[Столбец1],Таблица1[коэф],"1,4",Таблица1[р/р],"3/16",Таблица1[Ф. И. О.],B693)</f>
        <v>0</v>
      </c>
      <c r="T696" s="492">
        <f t="shared" si="232"/>
        <v>0</v>
      </c>
      <c r="U696" s="478">
        <f>IF(D688&lt;=3,база!$M$4,
IF(D688=4,база!$M$5,
IF(D688=5,база!$M$6)))</f>
        <v>225.09719999999999</v>
      </c>
      <c r="V696" s="390">
        <v>1.4</v>
      </c>
      <c r="W696" s="412">
        <f>SUMIFS(Таблица1[Столбец1],Таблица1[коэф],"1,4",Таблица1[р/р],"3/24",Таблица1[Ф. И. О.],B693)</f>
        <v>0</v>
      </c>
      <c r="X696" s="492">
        <f t="shared" si="233"/>
        <v>0</v>
      </c>
      <c r="Y696" s="764"/>
      <c r="Z696" s="766"/>
      <c r="AA696" s="756"/>
    </row>
    <row r="697" spans="1:29" ht="18.75">
      <c r="A697" s="756"/>
      <c r="B697" s="215"/>
      <c r="C697" s="759"/>
      <c r="D697" s="762"/>
      <c r="E697" s="389"/>
      <c r="F697" s="390"/>
      <c r="G697" s="400"/>
      <c r="H697" s="392">
        <f t="shared" ref="H697:H753" si="246">ROUND(E697*F697*G697*2,2)</f>
        <v>0</v>
      </c>
      <c r="I697" s="432"/>
      <c r="J697" s="433"/>
      <c r="K697" s="434"/>
      <c r="L697" s="484">
        <f t="shared" ref="L697:L753" si="247">ROUND(I697*J697*K697*2,2)</f>
        <v>0</v>
      </c>
      <c r="M697" s="434"/>
      <c r="N697" s="434"/>
      <c r="O697" s="434"/>
      <c r="P697" s="406"/>
      <c r="Q697" s="389">
        <f>база!$L$5</f>
        <v>231.45480000000001</v>
      </c>
      <c r="R697" s="390">
        <v>1.4</v>
      </c>
      <c r="S697" s="400">
        <f>SUMIFS(Таблица1[Столбец1],Таблица1[коэф],"1,4",Таблица1[р/р],"4/16",Таблица1[Ф. И. О.],B693)</f>
        <v>0</v>
      </c>
      <c r="T697" s="492">
        <f t="shared" ref="T697:T753" si="248">ROUND(Q697*R697*S697*2,2)</f>
        <v>0</v>
      </c>
      <c r="U697" s="478">
        <f>база!$M$5</f>
        <v>247.41720000000001</v>
      </c>
      <c r="V697" s="390">
        <v>1.4</v>
      </c>
      <c r="W697" s="412">
        <f>SUMIFS(Таблица1[Столбец1],Таблица1[коэф],"1,4",Таблица1[р/р],"4/24",Таблица1[Ф. И. О.],B693)</f>
        <v>0</v>
      </c>
      <c r="X697" s="492">
        <f t="shared" ref="X697:X753" si="249">ROUND(U697*V697*W697*2,2)</f>
        <v>0</v>
      </c>
      <c r="Y697" s="764"/>
      <c r="Z697" s="766"/>
      <c r="AA697" s="756"/>
    </row>
    <row r="698" spans="1:29" ht="19.5" thickBot="1">
      <c r="A698" s="757"/>
      <c r="B698" s="352"/>
      <c r="C698" s="760"/>
      <c r="D698" s="763"/>
      <c r="E698" s="481"/>
      <c r="F698" s="417"/>
      <c r="G698" s="486"/>
      <c r="H698" s="468">
        <f t="shared" si="246"/>
        <v>0</v>
      </c>
      <c r="I698" s="645"/>
      <c r="J698" s="456"/>
      <c r="K698" s="646"/>
      <c r="L698" s="458">
        <f t="shared" si="247"/>
        <v>0</v>
      </c>
      <c r="M698" s="396"/>
      <c r="N698" s="397"/>
      <c r="O698" s="397"/>
      <c r="P698" s="398"/>
      <c r="Q698" s="487">
        <f>база!$L$6</f>
        <v>261.04640000000001</v>
      </c>
      <c r="R698" s="417">
        <v>1.4</v>
      </c>
      <c r="S698" s="418">
        <f>SUMIFS(Таблица1[Столбец1],Таблица1[коэф],"1,4",Таблица1[р/р],"5/16",Таблица1[Ф. И. О.],B693)</f>
        <v>0</v>
      </c>
      <c r="T698" s="492">
        <f t="shared" si="248"/>
        <v>0</v>
      </c>
      <c r="U698" s="473">
        <f>база!$M$6</f>
        <v>279.0496</v>
      </c>
      <c r="V698" s="464">
        <v>1.4</v>
      </c>
      <c r="W698" s="465">
        <f>SUMIFS(Таблица1[Столбец1],Таблица1[коэф],"1,4",Таблица1[р/р],"5/24",Таблица1[Ф. И. О.],B693)</f>
        <v>0</v>
      </c>
      <c r="X698" s="492">
        <f t="shared" si="249"/>
        <v>0</v>
      </c>
      <c r="Y698" s="765"/>
      <c r="Z698" s="767"/>
      <c r="AA698" s="757"/>
    </row>
    <row r="699" spans="1:29" ht="18.75">
      <c r="A699" s="755">
        <v>64</v>
      </c>
      <c r="B699" s="215"/>
      <c r="C699" s="758">
        <f>INDEX(база!$E$2:$E$181, MATCH(B704,база!$B$2:$B$160,0))</f>
        <v>17208</v>
      </c>
      <c r="D699" s="761">
        <f>INDEX(база!$D$2:$D$189, MATCH(B704,база!$B$2:$B$160,0))</f>
        <v>3</v>
      </c>
      <c r="E699" s="377">
        <f>IF(D699&lt;=3,база!$I$4,
IF(D699=4,база!$I$5,
IF(D699=5,база!$I$6)))</f>
        <v>188.7912</v>
      </c>
      <c r="F699" s="378">
        <v>1</v>
      </c>
      <c r="G699" s="387">
        <f>SUMIFS(Таблица1[Столбец1],Таблица1[коэф],"1",Таблица1[р/р],"2/4",Таблица1[Ф. И. О.],B704)</f>
        <v>0</v>
      </c>
      <c r="H699" s="402">
        <f t="shared" si="246"/>
        <v>0</v>
      </c>
      <c r="I699" s="452">
        <f>IF(D699&lt;=3,база!$J$4,
IF(D699=4,база!$J$5,
IF(D699=5,база!$J$6)))</f>
        <v>196.05240000000001</v>
      </c>
      <c r="J699" s="475">
        <v>1</v>
      </c>
      <c r="K699" s="453">
        <f>SUMIFS(Таблица1[Столбец1],Таблица1[коэф],"1",Таблица1[р/р],"2/8",Таблица1[Ф. И. О.],B704)</f>
        <v>0</v>
      </c>
      <c r="L699" s="484">
        <f t="shared" si="247"/>
        <v>0</v>
      </c>
      <c r="M699" s="453"/>
      <c r="N699" s="453">
        <v>1</v>
      </c>
      <c r="O699" s="453">
        <f>SUMIFS(Data_Tech!$AM$3:$AM$67,Data_Tech!$E$3:$E$67,"1",Data_Tech!$G$3:$G$67,"3/12",Data_Tech!$F$3:$F$67,B704)</f>
        <v>0</v>
      </c>
      <c r="P699" s="398">
        <f>ROUND(M699*N699*O699,2)</f>
        <v>0</v>
      </c>
      <c r="Q699" s="377">
        <f>IF(D699&lt;=3,база!$L$4,
IF(D699=4,база!$L$5,
IF(D699=5,база!$L$6)))</f>
        <v>210.57480000000001</v>
      </c>
      <c r="R699" s="378">
        <v>1</v>
      </c>
      <c r="S699" s="387">
        <f>SUMIFS(Таблица1[Столбец1],Таблица1[коэф],"1",Таблица1[р/р],"3/16",Таблица1[Ф. И. О.],B704)</f>
        <v>0</v>
      </c>
      <c r="T699" s="490">
        <f t="shared" si="248"/>
        <v>0</v>
      </c>
      <c r="U699" s="483">
        <f>IF(D699&lt;=3,база!$M$4,
IF(D699=4,база!$M$5,
IF(D699=5,база!$M$6)))</f>
        <v>225.09719999999999</v>
      </c>
      <c r="V699" s="417">
        <v>1</v>
      </c>
      <c r="W699" s="455">
        <f>SUMIFS(Таблица1[Столбец1],Таблица1[коэф],"1",Таблица1[р/р],"3/24",Таблица1[Ф. И. О.],B704)</f>
        <v>0</v>
      </c>
      <c r="X699" s="490">
        <f t="shared" si="249"/>
        <v>0</v>
      </c>
      <c r="Y699" s="764">
        <f t="shared" ref="Y699" si="250">SUM(G699:G709,K699:K709,O699:O709,S699:S709,W699:W709)</f>
        <v>0</v>
      </c>
      <c r="Z699" s="766">
        <f t="shared" ref="Z699" si="251">IFERROR(SUM(H699:H709,L699:L709,T699:T709,X699:X709),"")</f>
        <v>0</v>
      </c>
      <c r="AA699" s="756"/>
    </row>
    <row r="700" spans="1:29" ht="18.75">
      <c r="A700" s="756"/>
      <c r="B700" s="215"/>
      <c r="C700" s="759"/>
      <c r="D700" s="762"/>
      <c r="E700" s="389">
        <f>IF(D699&lt;=3,база!$I$4,
IF(D699=4,база!$I$5,
IF(D699=5,база!$I$6)))</f>
        <v>188.7912</v>
      </c>
      <c r="F700" s="390">
        <v>1</v>
      </c>
      <c r="G700" s="400">
        <f>SUMIFS(Таблица1[Столбец1],Таблица1[коэф],"1",Таблица1[р/р],"3/4",Таблица1[Ф. И. О.],B704)</f>
        <v>0</v>
      </c>
      <c r="H700" s="392">
        <f t="shared" si="246"/>
        <v>0</v>
      </c>
      <c r="I700" s="432">
        <f>IF(D699&lt;=3,база!$J$4,
IF(D699=4,база!$J$5,
IF(D699=5,база!$J$6)))</f>
        <v>196.05240000000001</v>
      </c>
      <c r="J700" s="433">
        <v>1</v>
      </c>
      <c r="K700" s="434">
        <f>SUMIFS(Таблица1[Столбец1],Таблица1[коэф],"1",Таблица1[р/р],"3/8",Таблица1[Ф. И. О.],B704)</f>
        <v>0</v>
      </c>
      <c r="L700" s="484">
        <f t="shared" si="247"/>
        <v>0</v>
      </c>
      <c r="M700" s="434"/>
      <c r="N700" s="434">
        <v>1</v>
      </c>
      <c r="O700" s="434">
        <f>SUMIFS(Data_Tech!$AM$3:$AM$67,Data_Tech!$E$3:$E$67,"1",Data_Tech!$G$3:$G$67,"4/12",Data_Tech!$F$3:$F$67,B704)</f>
        <v>0</v>
      </c>
      <c r="P700" s="406">
        <f>ROUND(M700*O700,2)</f>
        <v>0</v>
      </c>
      <c r="Q700" s="389">
        <f>база!$L$5</f>
        <v>231.45480000000001</v>
      </c>
      <c r="R700" s="390">
        <v>1</v>
      </c>
      <c r="S700" s="400">
        <f>SUMIFS(Таблица1[Столбец1],Таблица1[коэф],"1",Таблица1[р/р],"4/16",Таблица1[Ф. И. О.],B704)</f>
        <v>0</v>
      </c>
      <c r="T700" s="492">
        <f t="shared" si="248"/>
        <v>0</v>
      </c>
      <c r="U700" s="478">
        <f>база!$M$5</f>
        <v>247.41720000000001</v>
      </c>
      <c r="V700" s="390">
        <v>1</v>
      </c>
      <c r="W700" s="412">
        <f>SUMIFS(Таблица1[Столбец1],Таблица1[коэф],"1",Таблица1[р/р],"4/24",Таблица1[Ф. И. О.],B704)</f>
        <v>0</v>
      </c>
      <c r="X700" s="492">
        <f t="shared" si="249"/>
        <v>0</v>
      </c>
      <c r="Y700" s="764"/>
      <c r="Z700" s="766"/>
      <c r="AA700" s="756"/>
    </row>
    <row r="701" spans="1:29" ht="18.75">
      <c r="A701" s="756"/>
      <c r="B701" s="215"/>
      <c r="C701" s="759"/>
      <c r="D701" s="762"/>
      <c r="E701" s="389"/>
      <c r="F701" s="390"/>
      <c r="G701" s="400"/>
      <c r="H701" s="392">
        <f t="shared" si="246"/>
        <v>0</v>
      </c>
      <c r="I701" s="432"/>
      <c r="J701" s="433"/>
      <c r="K701" s="434"/>
      <c r="L701" s="484">
        <f t="shared" si="247"/>
        <v>0</v>
      </c>
      <c r="M701" s="434"/>
      <c r="N701" s="434"/>
      <c r="O701" s="434"/>
      <c r="P701" s="406"/>
      <c r="Q701" s="389">
        <f>база!$L$6</f>
        <v>261.04640000000001</v>
      </c>
      <c r="R701" s="390">
        <v>1</v>
      </c>
      <c r="S701" s="400">
        <f>SUMIFS(Таблица1[Столбец1],Таблица1[коэф],"1",Таблица1[р/р],"5/16",Таблица1[Ф. И. О.],B704)</f>
        <v>0</v>
      </c>
      <c r="T701" s="492">
        <f t="shared" si="248"/>
        <v>0</v>
      </c>
      <c r="U701" s="478">
        <f>база!$M$6</f>
        <v>279.0496</v>
      </c>
      <c r="V701" s="390">
        <v>1</v>
      </c>
      <c r="W701" s="412">
        <f>SUMIFS(Таблица1[Столбец1],Таблица1[коэф],"1",Таблица1[р/р],"5/24",Таблица1[Ф. И. О.],B704)</f>
        <v>0</v>
      </c>
      <c r="X701" s="492">
        <f t="shared" si="249"/>
        <v>0</v>
      </c>
      <c r="Y701" s="764"/>
      <c r="Z701" s="766"/>
      <c r="AA701" s="756"/>
    </row>
    <row r="702" spans="1:29" ht="18.75">
      <c r="A702" s="756"/>
      <c r="B702" s="215"/>
      <c r="C702" s="759"/>
      <c r="D702" s="762"/>
      <c r="E702" s="389"/>
      <c r="F702" s="390"/>
      <c r="G702" s="400"/>
      <c r="H702" s="392">
        <f t="shared" si="246"/>
        <v>0</v>
      </c>
      <c r="I702" s="432">
        <f>база!$J$5</f>
        <v>215.4924</v>
      </c>
      <c r="J702" s="433">
        <v>1.5</v>
      </c>
      <c r="K702" s="434">
        <f>SUMIFS(Таблица1[Столбец1],Таблица1[коэф],"1,5",Таблица1[р/р],"4/8",Таблица1[Ф. И. О.],B704)</f>
        <v>0</v>
      </c>
      <c r="L702" s="484">
        <f t="shared" si="247"/>
        <v>0</v>
      </c>
      <c r="M702" s="434"/>
      <c r="N702" s="434"/>
      <c r="O702" s="434"/>
      <c r="P702" s="406"/>
      <c r="Q702" s="389">
        <f>IF(D699&lt;=3,база!$L$4,
IF(D699=4,база!$L$5,
IF(D699=5,база!$L$6)))</f>
        <v>210.57480000000001</v>
      </c>
      <c r="R702" s="390">
        <v>1.2</v>
      </c>
      <c r="S702" s="400">
        <f>SUMIFS(Таблица1[Столбец1],Таблица1[коэф],"1,2",Таблица1[р/р],"3/16",Таблица1[Ф. И. О.],B704)</f>
        <v>0</v>
      </c>
      <c r="T702" s="492">
        <f t="shared" si="248"/>
        <v>0</v>
      </c>
      <c r="U702" s="478">
        <f>IF(D699&lt;=3,база!$M$4,
IF(D699=4,база!$M$5,
IF(D699=5,база!$M$6)))</f>
        <v>225.09719999999999</v>
      </c>
      <c r="V702" s="390">
        <v>1.2</v>
      </c>
      <c r="W702" s="412">
        <f>SUMIFS(Таблица1[Столбец1],Таблица1[коэф],"1,2",Таблица1[р/р],"3/24",Таблица1[Ф. И. О.],B704)</f>
        <v>0</v>
      </c>
      <c r="X702" s="492">
        <f t="shared" si="249"/>
        <v>0</v>
      </c>
      <c r="Y702" s="764"/>
      <c r="Z702" s="766"/>
      <c r="AA702" s="756"/>
    </row>
    <row r="703" spans="1:29" ht="18.75">
      <c r="A703" s="756"/>
      <c r="B703" s="215"/>
      <c r="C703" s="759"/>
      <c r="D703" s="762"/>
      <c r="E703" s="389"/>
      <c r="F703" s="390"/>
      <c r="G703" s="400"/>
      <c r="H703" s="392">
        <f t="shared" si="246"/>
        <v>0</v>
      </c>
      <c r="I703" s="432">
        <f>база!$J$6</f>
        <v>243.04319999999998</v>
      </c>
      <c r="J703" s="433">
        <v>1.5</v>
      </c>
      <c r="K703" s="434">
        <f>SUMIFS(Таблица1[Столбец1],Таблица1[коэф],"1,5",Таблица1[р/р],"5/8",Таблица1[Ф. И. О.],B704)</f>
        <v>0</v>
      </c>
      <c r="L703" s="484">
        <f t="shared" si="247"/>
        <v>0</v>
      </c>
      <c r="M703" s="434"/>
      <c r="N703" s="434"/>
      <c r="O703" s="434"/>
      <c r="P703" s="406"/>
      <c r="Q703" s="389">
        <f>база!$L$5</f>
        <v>231.45480000000001</v>
      </c>
      <c r="R703" s="390">
        <v>1.2</v>
      </c>
      <c r="S703" s="400">
        <f>SUMIFS(Таблица1[Столбец1],Таблица1[коэф],"1,2",Таблица1[р/р],"4/16",Таблица1[Ф. И. О.],B704)</f>
        <v>0</v>
      </c>
      <c r="T703" s="492">
        <f t="shared" si="248"/>
        <v>0</v>
      </c>
      <c r="U703" s="478">
        <f>база!$M$5</f>
        <v>247.41720000000001</v>
      </c>
      <c r="V703" s="390">
        <v>1.2</v>
      </c>
      <c r="W703" s="412">
        <f>SUMIFS(Таблица1[Столбец1],Таблица1[коэф],"1,2",Таблица1[р/р],"4/24",Таблица1[Ф. И. О.],B704)</f>
        <v>0</v>
      </c>
      <c r="X703" s="492">
        <f t="shared" si="249"/>
        <v>0</v>
      </c>
      <c r="Y703" s="764"/>
      <c r="Z703" s="766"/>
      <c r="AA703" s="756"/>
    </row>
    <row r="704" spans="1:29" ht="18.75">
      <c r="A704" s="756"/>
      <c r="B704" s="215" t="str">
        <f>база!B65</f>
        <v>Рысев Иван Александрович</v>
      </c>
      <c r="C704" s="759"/>
      <c r="D704" s="762"/>
      <c r="E704" s="389"/>
      <c r="F704" s="390"/>
      <c r="G704" s="400"/>
      <c r="H704" s="392">
        <f t="shared" si="246"/>
        <v>0</v>
      </c>
      <c r="I704" s="432"/>
      <c r="J704" s="433"/>
      <c r="K704" s="434"/>
      <c r="L704" s="484">
        <f t="shared" si="247"/>
        <v>0</v>
      </c>
      <c r="M704" s="434"/>
      <c r="N704" s="434"/>
      <c r="O704" s="434"/>
      <c r="P704" s="406"/>
      <c r="Q704" s="389">
        <f>база!$L$6</f>
        <v>261.04640000000001</v>
      </c>
      <c r="R704" s="390">
        <v>1.2</v>
      </c>
      <c r="S704" s="400">
        <f>SUMIFS(Таблица1[Столбец1],Таблица1[коэф],"1,2",Таблица1[р/р],"5/16",Таблица1[Ф. И. О.],B704)</f>
        <v>0</v>
      </c>
      <c r="T704" s="492">
        <f t="shared" si="248"/>
        <v>0</v>
      </c>
      <c r="U704" s="478">
        <f>база!$M$6</f>
        <v>279.0496</v>
      </c>
      <c r="V704" s="390">
        <v>1.2</v>
      </c>
      <c r="W704" s="412">
        <f>SUMIFS(Таблица1[Столбец1],Таблица1[коэф],"1,2",Таблица1[р/р],"5/24",Таблица1[Ф. И. О.],B704)</f>
        <v>0</v>
      </c>
      <c r="X704" s="492">
        <f t="shared" si="249"/>
        <v>0</v>
      </c>
      <c r="Y704" s="764"/>
      <c r="Z704" s="766"/>
      <c r="AA704" s="756"/>
      <c r="AC704" s="712" t="str">
        <f>IF(SUMIFS(Таблица1[Столбец3],Таблица1[Ф. И. О.],B704)-Z699=0,"",SUMIFS(Таблица1[Столбец3],Таблица1[Ф. И. О.],B704)-Z699)</f>
        <v/>
      </c>
    </row>
    <row r="705" spans="1:29" ht="18.75">
      <c r="A705" s="756"/>
      <c r="B705" s="215"/>
      <c r="C705" s="759"/>
      <c r="D705" s="762"/>
      <c r="E705" s="389"/>
      <c r="F705" s="390"/>
      <c r="G705" s="400"/>
      <c r="H705" s="392">
        <f t="shared" si="246"/>
        <v>0</v>
      </c>
      <c r="I705" s="432"/>
      <c r="J705" s="433"/>
      <c r="K705" s="434"/>
      <c r="L705" s="484">
        <f t="shared" si="247"/>
        <v>0</v>
      </c>
      <c r="M705" s="434"/>
      <c r="N705" s="434"/>
      <c r="O705" s="434"/>
      <c r="P705" s="406"/>
      <c r="Q705" s="389">
        <f>IF($D$6&lt;=3,база!$L$4,
IF($D$6=4,база!$L$5,
IF($D$6=5,база!$L$6)))</f>
        <v>231.45480000000001</v>
      </c>
      <c r="R705" s="390">
        <v>1.3</v>
      </c>
      <c r="S705" s="400">
        <f>SUMIFS(Таблица1[Столбец1],Таблица1[коэф],"1,3",Таблица1[р/р],"3/16",Таблица1[Ф. И. О.],B704)</f>
        <v>0</v>
      </c>
      <c r="T705" s="492">
        <f t="shared" si="248"/>
        <v>0</v>
      </c>
      <c r="U705" s="478">
        <f>IF(D699&lt;=3,база!$M$4,
IF(D699=4,база!$M$5,
IF(D699=5,база!$M$6)))</f>
        <v>225.09719999999999</v>
      </c>
      <c r="V705" s="390">
        <v>1.3</v>
      </c>
      <c r="W705" s="412">
        <f>SUMIFS(Таблица1[Столбец1],Таблица1[коэф],"1,3",Таблица1[р/р],"3/24",Таблица1[Ф. И. О.],B704)</f>
        <v>0</v>
      </c>
      <c r="X705" s="492">
        <f t="shared" si="249"/>
        <v>0</v>
      </c>
      <c r="Y705" s="764"/>
      <c r="Z705" s="766"/>
      <c r="AA705" s="756"/>
      <c r="AC705" s="712" t="str">
        <f>IF(SUMIFS(Таблица1[Столбец1],Таблица1[Ф. И. О.],B704)=Y699,"",B704&amp;"  часы не верны")</f>
        <v/>
      </c>
    </row>
    <row r="706" spans="1:29" ht="18.75">
      <c r="A706" s="756"/>
      <c r="B706" s="215"/>
      <c r="C706" s="759"/>
      <c r="D706" s="762"/>
      <c r="E706" s="389"/>
      <c r="F706" s="390"/>
      <c r="G706" s="400"/>
      <c r="H706" s="392">
        <f t="shared" si="246"/>
        <v>0</v>
      </c>
      <c r="I706" s="432"/>
      <c r="J706" s="433"/>
      <c r="K706" s="434"/>
      <c r="L706" s="484">
        <f t="shared" si="247"/>
        <v>0</v>
      </c>
      <c r="M706" s="434"/>
      <c r="N706" s="434"/>
      <c r="O706" s="434"/>
      <c r="P706" s="406"/>
      <c r="Q706" s="389">
        <f>база!$L$5</f>
        <v>231.45480000000001</v>
      </c>
      <c r="R706" s="390">
        <v>1.3</v>
      </c>
      <c r="S706" s="400">
        <f>SUMIFS(Таблица1[Столбец1],Таблица1[коэф],"1,3",Таблица1[р/р],"4/16",Таблица1[Ф. И. О.],B704)</f>
        <v>0</v>
      </c>
      <c r="T706" s="492">
        <f t="shared" si="248"/>
        <v>0</v>
      </c>
      <c r="U706" s="478">
        <f>база!$M$5</f>
        <v>247.41720000000001</v>
      </c>
      <c r="V706" s="390">
        <v>1.3</v>
      </c>
      <c r="W706" s="412">
        <f>SUMIFS(Таблица1[Столбец1],Таблица1[коэф],"1,3",Таблица1[р/р],"4/24",Таблица1[Ф. И. О.],B704)</f>
        <v>0</v>
      </c>
      <c r="X706" s="492">
        <f t="shared" si="249"/>
        <v>0</v>
      </c>
      <c r="Y706" s="764"/>
      <c r="Z706" s="766"/>
      <c r="AA706" s="756"/>
    </row>
    <row r="707" spans="1:29" ht="18.75">
      <c r="A707" s="756"/>
      <c r="B707" s="215"/>
      <c r="C707" s="759"/>
      <c r="D707" s="762"/>
      <c r="E707" s="389"/>
      <c r="F707" s="390"/>
      <c r="G707" s="400"/>
      <c r="H707" s="392">
        <f t="shared" si="246"/>
        <v>0</v>
      </c>
      <c r="I707" s="432"/>
      <c r="J707" s="433"/>
      <c r="K707" s="434"/>
      <c r="L707" s="484">
        <f t="shared" si="247"/>
        <v>0</v>
      </c>
      <c r="M707" s="434"/>
      <c r="N707" s="434"/>
      <c r="O707" s="434"/>
      <c r="P707" s="406"/>
      <c r="Q707" s="389">
        <f>IF(D699&lt;=3,база!$L$4,
IF(D699=4,база!$L$5,
IF(D699=5,база!$L$6)))</f>
        <v>210.57480000000001</v>
      </c>
      <c r="R707" s="390">
        <v>1.4</v>
      </c>
      <c r="S707" s="400">
        <f>SUMIFS(Таблица1[Столбец1],Таблица1[коэф],"1,4",Таблица1[р/р],"3/16",Таблица1[Ф. И. О.],B704)</f>
        <v>0</v>
      </c>
      <c r="T707" s="492">
        <f t="shared" si="248"/>
        <v>0</v>
      </c>
      <c r="U707" s="478">
        <f>IF(D699&lt;=3,база!$M$4,
IF(D699=4,база!$M$5,
IF(D699=5,база!$M$6)))</f>
        <v>225.09719999999999</v>
      </c>
      <c r="V707" s="390">
        <v>1.4</v>
      </c>
      <c r="W707" s="412">
        <f>SUMIFS(Таблица1[Столбец1],Таблица1[коэф],"1,4",Таблица1[р/р],"3/24",Таблица1[Ф. И. О.],B704)</f>
        <v>0</v>
      </c>
      <c r="X707" s="492">
        <f t="shared" si="249"/>
        <v>0</v>
      </c>
      <c r="Y707" s="764"/>
      <c r="Z707" s="766"/>
      <c r="AA707" s="756"/>
    </row>
    <row r="708" spans="1:29" ht="18.75">
      <c r="A708" s="756"/>
      <c r="B708" s="215"/>
      <c r="C708" s="759"/>
      <c r="D708" s="762"/>
      <c r="E708" s="389"/>
      <c r="F708" s="390"/>
      <c r="G708" s="400"/>
      <c r="H708" s="392">
        <f t="shared" si="246"/>
        <v>0</v>
      </c>
      <c r="I708" s="432"/>
      <c r="J708" s="433"/>
      <c r="K708" s="434"/>
      <c r="L708" s="484">
        <f t="shared" si="247"/>
        <v>0</v>
      </c>
      <c r="M708" s="434"/>
      <c r="N708" s="434"/>
      <c r="O708" s="434"/>
      <c r="P708" s="406"/>
      <c r="Q708" s="389">
        <f>база!$L$5</f>
        <v>231.45480000000001</v>
      </c>
      <c r="R708" s="390">
        <v>1.4</v>
      </c>
      <c r="S708" s="400">
        <f>SUMIFS(Таблица1[Столбец1],Таблица1[коэф],"1,4",Таблица1[р/р],"4/16",Таблица1[Ф. И. О.],B704)</f>
        <v>0</v>
      </c>
      <c r="T708" s="492">
        <f t="shared" si="248"/>
        <v>0</v>
      </c>
      <c r="U708" s="478">
        <f>база!$M$5</f>
        <v>247.41720000000001</v>
      </c>
      <c r="V708" s="390">
        <v>1.4</v>
      </c>
      <c r="W708" s="412">
        <f>SUMIFS(Таблица1[Столбец1],Таблица1[коэф],"1,4",Таблица1[р/р],"4/24",Таблица1[Ф. И. О.],B704)</f>
        <v>0</v>
      </c>
      <c r="X708" s="492">
        <f t="shared" si="249"/>
        <v>0</v>
      </c>
      <c r="Y708" s="764"/>
      <c r="Z708" s="766"/>
      <c r="AA708" s="756"/>
    </row>
    <row r="709" spans="1:29" ht="19.5" thickBot="1">
      <c r="A709" s="757"/>
      <c r="B709" s="352"/>
      <c r="C709" s="760"/>
      <c r="D709" s="763"/>
      <c r="E709" s="481"/>
      <c r="F709" s="417"/>
      <c r="G709" s="486"/>
      <c r="H709" s="468">
        <f t="shared" si="246"/>
        <v>0</v>
      </c>
      <c r="I709" s="645"/>
      <c r="J709" s="456"/>
      <c r="K709" s="646"/>
      <c r="L709" s="458">
        <f t="shared" si="247"/>
        <v>0</v>
      </c>
      <c r="M709" s="645"/>
      <c r="N709" s="646"/>
      <c r="O709" s="646"/>
      <c r="P709" s="476"/>
      <c r="Q709" s="652">
        <f>база!$L$6</f>
        <v>261.04640000000001</v>
      </c>
      <c r="R709" s="464">
        <v>1.4</v>
      </c>
      <c r="S709" s="465">
        <f>SUMIFS(Таблица1[Столбец1],Таблица1[коэф],"1,4",Таблица1[р/р],"5/16",Таблица1[Ф. И. О.],B704)</f>
        <v>0</v>
      </c>
      <c r="T709" s="513">
        <f t="shared" si="248"/>
        <v>0</v>
      </c>
      <c r="U709" s="463">
        <f>база!$M$6</f>
        <v>279.0496</v>
      </c>
      <c r="V709" s="464">
        <v>1.4</v>
      </c>
      <c r="W709" s="465">
        <f>SUMIFS(Таблица1[Столбец1],Таблица1[коэф],"1,4",Таблица1[р/р],"5/24",Таблица1[Ф. И. О.],B704)</f>
        <v>0</v>
      </c>
      <c r="X709" s="513">
        <f t="shared" si="249"/>
        <v>0</v>
      </c>
      <c r="Y709" s="765"/>
      <c r="Z709" s="767"/>
      <c r="AA709" s="757"/>
    </row>
    <row r="710" spans="1:29" ht="18.75">
      <c r="A710" s="755">
        <v>65</v>
      </c>
      <c r="B710" s="215"/>
      <c r="C710" s="758">
        <f>INDEX(база!$E$2:$E$181, MATCH(B715,база!$B$2:$B$160,0))</f>
        <v>17324</v>
      </c>
      <c r="D710" s="761">
        <f>INDEX(база!$D$2:$D$189, MATCH(B715,база!$B$2:$B$160,0))</f>
        <v>3</v>
      </c>
      <c r="E710" s="377">
        <f>IF(D710&lt;=3,база!$I$4,
IF(D710=4,база!$I$5,
IF(D710=5,база!$I$6)))</f>
        <v>188.7912</v>
      </c>
      <c r="F710" s="378">
        <v>1</v>
      </c>
      <c r="G710" s="387">
        <f>SUMIFS(Таблица1[Столбец1],Таблица1[коэф],"1",Таблица1[р/р],"2/4",Таблица1[Ф. И. О.],B715)</f>
        <v>0</v>
      </c>
      <c r="H710" s="402">
        <f t="shared" si="246"/>
        <v>0</v>
      </c>
      <c r="I710" s="452">
        <f>IF(D710&lt;=3,база!$J$4,
IF(D710=4,база!$J$5,
IF(D710=5,база!$J$6)))</f>
        <v>196.05240000000001</v>
      </c>
      <c r="J710" s="475">
        <v>1</v>
      </c>
      <c r="K710" s="453">
        <f>SUMIFS(Таблица1[Столбец1],Таблица1[коэф],"1",Таблица1[р/р],"2/8",Таблица1[Ф. И. О.],B715)</f>
        <v>0</v>
      </c>
      <c r="L710" s="484">
        <f t="shared" si="247"/>
        <v>0</v>
      </c>
      <c r="M710" s="453"/>
      <c r="N710" s="453">
        <v>1</v>
      </c>
      <c r="O710" s="453">
        <f>SUMIFS(Data_Tech!$AM$3:$AM$67,Data_Tech!$E$3:$E$67,"1",Data_Tech!$G$3:$G$67,"3/12",Data_Tech!$F$3:$F$67,B715)</f>
        <v>0</v>
      </c>
      <c r="P710" s="398">
        <f>ROUND(M710*N710*O710,2)</f>
        <v>0</v>
      </c>
      <c r="Q710" s="481">
        <f>IF(D710&lt;=3,база!$L$4,
IF(D710=4,база!$L$5,
IF(D710=5,база!$L$6)))</f>
        <v>210.57480000000001</v>
      </c>
      <c r="R710" s="417">
        <v>1</v>
      </c>
      <c r="S710" s="418">
        <f>SUMIFS(Таблица1[Столбец1],Таблица1[коэф],"1",Таблица1[р/р],"3/16",Таблица1[Ф. И. О.],B715)</f>
        <v>0</v>
      </c>
      <c r="T710" s="492">
        <f t="shared" si="248"/>
        <v>0</v>
      </c>
      <c r="U710" s="483">
        <f>IF(D710&lt;=3,база!$M$4,
IF(D710=4,база!$M$5,
IF(D710=5,база!$M$6)))</f>
        <v>225.09719999999999</v>
      </c>
      <c r="V710" s="417">
        <v>1</v>
      </c>
      <c r="W710" s="455">
        <f>SUMIFS(Таблица1[Столбец1],Таблица1[коэф],"1",Таблица1[р/р],"3/24",Таблица1[Ф. И. О.],B715)</f>
        <v>0</v>
      </c>
      <c r="X710" s="492">
        <f t="shared" si="249"/>
        <v>0</v>
      </c>
      <c r="Y710" s="764">
        <f t="shared" ref="Y710" si="252">SUM(G710:G720,K710:K720,O710:O720,S710:S720,W710:W720)</f>
        <v>0</v>
      </c>
      <c r="Z710" s="766">
        <f t="shared" ref="Z710" si="253">IFERROR(SUM(H710:H720,L710:L720,T710:T720,X710:X720),"")</f>
        <v>0</v>
      </c>
      <c r="AA710" s="756"/>
    </row>
    <row r="711" spans="1:29" ht="18.75">
      <c r="A711" s="756"/>
      <c r="B711" s="215"/>
      <c r="C711" s="759"/>
      <c r="D711" s="762"/>
      <c r="E711" s="389">
        <f>IF(D710&lt;=3,база!$I$4,
IF(D710=4,база!$I$5,
IF(D710=5,база!$I$6)))</f>
        <v>188.7912</v>
      </c>
      <c r="F711" s="390">
        <v>1</v>
      </c>
      <c r="G711" s="400">
        <f>SUMIFS(Таблица1[Столбец1],Таблица1[коэф],"1",Таблица1[р/р],"3/4",Таблица1[Ф. И. О.],B715)</f>
        <v>0</v>
      </c>
      <c r="H711" s="392">
        <f t="shared" si="246"/>
        <v>0</v>
      </c>
      <c r="I711" s="432">
        <f>IF(D710&lt;=3,база!$J$4,
IF(D710=4,база!$J$5,
IF(D710=5,база!$J$6)))</f>
        <v>196.05240000000001</v>
      </c>
      <c r="J711" s="433">
        <v>1</v>
      </c>
      <c r="K711" s="434">
        <f>SUMIFS(Таблица1[Столбец1],Таблица1[коэф],"1",Таблица1[р/р],"3/8",Таблица1[Ф. И. О.],B715)</f>
        <v>0</v>
      </c>
      <c r="L711" s="484">
        <f t="shared" si="247"/>
        <v>0</v>
      </c>
      <c r="M711" s="434"/>
      <c r="N711" s="434">
        <v>1</v>
      </c>
      <c r="O711" s="434">
        <f>SUMIFS(Data_Tech!$AM$3:$AM$67,Data_Tech!$E$3:$E$67,"1",Data_Tech!$G$3:$G$67,"4/12",Data_Tech!$F$3:$F$67,B715)</f>
        <v>0</v>
      </c>
      <c r="P711" s="406">
        <f>ROUND(M711*O711,2)</f>
        <v>0</v>
      </c>
      <c r="Q711" s="389">
        <f>база!$L$5</f>
        <v>231.45480000000001</v>
      </c>
      <c r="R711" s="390">
        <v>1</v>
      </c>
      <c r="S711" s="400">
        <f>SUMIFS(Таблица1[Столбец1],Таблица1[коэф],"1",Таблица1[р/р],"4/16",Таблица1[Ф. И. О.],B715)</f>
        <v>0</v>
      </c>
      <c r="T711" s="492">
        <f t="shared" si="248"/>
        <v>0</v>
      </c>
      <c r="U711" s="478">
        <f>база!$M$5</f>
        <v>247.41720000000001</v>
      </c>
      <c r="V711" s="390">
        <v>1</v>
      </c>
      <c r="W711" s="412">
        <f>SUMIFS(Таблица1[Столбец1],Таблица1[коэф],"1",Таблица1[р/р],"4/24",Таблица1[Ф. И. О.],B715)</f>
        <v>0</v>
      </c>
      <c r="X711" s="492">
        <f t="shared" si="249"/>
        <v>0</v>
      </c>
      <c r="Y711" s="764"/>
      <c r="Z711" s="766"/>
      <c r="AA711" s="756"/>
    </row>
    <row r="712" spans="1:29" ht="18.75">
      <c r="A712" s="756"/>
      <c r="B712" s="215"/>
      <c r="C712" s="759"/>
      <c r="D712" s="762"/>
      <c r="E712" s="389"/>
      <c r="F712" s="390"/>
      <c r="G712" s="400"/>
      <c r="H712" s="392">
        <f t="shared" si="246"/>
        <v>0</v>
      </c>
      <c r="I712" s="432"/>
      <c r="J712" s="433"/>
      <c r="K712" s="434"/>
      <c r="L712" s="484">
        <f t="shared" si="247"/>
        <v>0</v>
      </c>
      <c r="M712" s="434"/>
      <c r="N712" s="434"/>
      <c r="O712" s="434"/>
      <c r="P712" s="406"/>
      <c r="Q712" s="389">
        <f>база!$L$6</f>
        <v>261.04640000000001</v>
      </c>
      <c r="R712" s="390">
        <v>1</v>
      </c>
      <c r="S712" s="400">
        <f>SUMIFS(Таблица1[Столбец1],Таблица1[коэф],"1",Таблица1[р/р],"5/16",Таблица1[Ф. И. О.],B715)</f>
        <v>0</v>
      </c>
      <c r="T712" s="492">
        <f t="shared" si="248"/>
        <v>0</v>
      </c>
      <c r="U712" s="478">
        <f>база!$M$6</f>
        <v>279.0496</v>
      </c>
      <c r="V712" s="390">
        <v>1</v>
      </c>
      <c r="W712" s="412">
        <f>SUMIFS(Таблица1[Столбец1],Таблица1[коэф],"1",Таблица1[р/р],"5/24",Таблица1[Ф. И. О.],B715)</f>
        <v>0</v>
      </c>
      <c r="X712" s="492">
        <f t="shared" si="249"/>
        <v>0</v>
      </c>
      <c r="Y712" s="764"/>
      <c r="Z712" s="766"/>
      <c r="AA712" s="756"/>
    </row>
    <row r="713" spans="1:29" ht="18.75">
      <c r="A713" s="756"/>
      <c r="B713" s="215"/>
      <c r="C713" s="759"/>
      <c r="D713" s="762"/>
      <c r="E713" s="389"/>
      <c r="F713" s="390"/>
      <c r="G713" s="400"/>
      <c r="H713" s="392">
        <f t="shared" si="246"/>
        <v>0</v>
      </c>
      <c r="I713" s="432">
        <f>база!$J$5</f>
        <v>215.4924</v>
      </c>
      <c r="J713" s="433">
        <v>1.5</v>
      </c>
      <c r="K713" s="434">
        <f>SUMIFS(Таблица1[Столбец1],Таблица1[коэф],"1,5",Таблица1[р/р],"4/8",Таблица1[Ф. И. О.],B715)</f>
        <v>0</v>
      </c>
      <c r="L713" s="484">
        <f t="shared" si="247"/>
        <v>0</v>
      </c>
      <c r="M713" s="434"/>
      <c r="N713" s="434"/>
      <c r="O713" s="434"/>
      <c r="P713" s="406"/>
      <c r="Q713" s="389">
        <f>IF(D710&lt;=3,база!$L$4,
IF(D710=4,база!$L$5,
IF(D710=5,база!$L$6)))</f>
        <v>210.57480000000001</v>
      </c>
      <c r="R713" s="390">
        <v>1.2</v>
      </c>
      <c r="S713" s="400">
        <f>SUMIFS(Таблица1[Столбец1],Таблица1[коэф],"1,2",Таблица1[р/р],"3/16",Таблица1[Ф. И. О.],B715)</f>
        <v>0</v>
      </c>
      <c r="T713" s="492">
        <f t="shared" si="248"/>
        <v>0</v>
      </c>
      <c r="U713" s="478">
        <f>IF(D710&lt;=3,база!$M$4,
IF(D710=4,база!$M$5,
IF(D710=5,база!$M$6)))</f>
        <v>225.09719999999999</v>
      </c>
      <c r="V713" s="390">
        <v>1.2</v>
      </c>
      <c r="W713" s="412">
        <f>SUMIFS(Таблица1[Столбец1],Таблица1[коэф],"1,2",Таблица1[р/р],"3/24",Таблица1[Ф. И. О.],B715)</f>
        <v>0</v>
      </c>
      <c r="X713" s="492">
        <f t="shared" si="249"/>
        <v>0</v>
      </c>
      <c r="Y713" s="764"/>
      <c r="Z713" s="766"/>
      <c r="AA713" s="756"/>
    </row>
    <row r="714" spans="1:29" ht="18.75">
      <c r="A714" s="756"/>
      <c r="B714" s="215"/>
      <c r="C714" s="759"/>
      <c r="D714" s="762"/>
      <c r="E714" s="389"/>
      <c r="F714" s="390"/>
      <c r="G714" s="400"/>
      <c r="H714" s="392">
        <f t="shared" si="246"/>
        <v>0</v>
      </c>
      <c r="I714" s="432">
        <f>база!$J$6</f>
        <v>243.04319999999998</v>
      </c>
      <c r="J714" s="433">
        <v>1.5</v>
      </c>
      <c r="K714" s="434">
        <f>SUMIFS(Таблица1[Столбец1],Таблица1[коэф],"1,5",Таблица1[р/р],"5/8",Таблица1[Ф. И. О.],B715)</f>
        <v>0</v>
      </c>
      <c r="L714" s="484">
        <f t="shared" si="247"/>
        <v>0</v>
      </c>
      <c r="M714" s="434"/>
      <c r="N714" s="434"/>
      <c r="O714" s="434"/>
      <c r="P714" s="406"/>
      <c r="Q714" s="389">
        <f>база!$L$5</f>
        <v>231.45480000000001</v>
      </c>
      <c r="R714" s="390">
        <v>1.2</v>
      </c>
      <c r="S714" s="400">
        <f>SUMIFS(Таблица1[Столбец1],Таблица1[коэф],"1,2",Таблица1[р/р],"4/16",Таблица1[Ф. И. О.],B715)</f>
        <v>0</v>
      </c>
      <c r="T714" s="492">
        <f t="shared" si="248"/>
        <v>0</v>
      </c>
      <c r="U714" s="478">
        <f>база!$M$5</f>
        <v>247.41720000000001</v>
      </c>
      <c r="V714" s="390">
        <v>1.2</v>
      </c>
      <c r="W714" s="412">
        <f>SUMIFS(Таблица1[Столбец1],Таблица1[коэф],"1,2",Таблица1[р/р],"4/24",Таблица1[Ф. И. О.],B715)</f>
        <v>0</v>
      </c>
      <c r="X714" s="492">
        <f t="shared" si="249"/>
        <v>0</v>
      </c>
      <c r="Y714" s="764"/>
      <c r="Z714" s="766"/>
      <c r="AA714" s="756"/>
    </row>
    <row r="715" spans="1:29" ht="18.75">
      <c r="A715" s="756"/>
      <c r="B715" s="215" t="str">
        <f>база!B66</f>
        <v>Саидова Ольга Владимировна</v>
      </c>
      <c r="C715" s="759"/>
      <c r="D715" s="762"/>
      <c r="E715" s="389"/>
      <c r="F715" s="390"/>
      <c r="G715" s="400"/>
      <c r="H715" s="392">
        <f t="shared" si="246"/>
        <v>0</v>
      </c>
      <c r="I715" s="432"/>
      <c r="J715" s="433"/>
      <c r="K715" s="434"/>
      <c r="L715" s="484">
        <f t="shared" si="247"/>
        <v>0</v>
      </c>
      <c r="M715" s="434"/>
      <c r="N715" s="434"/>
      <c r="O715" s="434"/>
      <c r="P715" s="406"/>
      <c r="Q715" s="389">
        <f>база!$L$6</f>
        <v>261.04640000000001</v>
      </c>
      <c r="R715" s="390">
        <v>1.2</v>
      </c>
      <c r="S715" s="400">
        <f>SUMIFS(Таблица1[Столбец1],Таблица1[коэф],"1,2",Таблица1[р/р],"5/16",Таблица1[Ф. И. О.],B715)</f>
        <v>0</v>
      </c>
      <c r="T715" s="492">
        <f t="shared" si="248"/>
        <v>0</v>
      </c>
      <c r="U715" s="478">
        <f>база!$M$6</f>
        <v>279.0496</v>
      </c>
      <c r="V715" s="390">
        <v>1.2</v>
      </c>
      <c r="W715" s="412">
        <f>SUMIFS(Таблица1[Столбец1],Таблица1[коэф],"1,2",Таблица1[р/р],"5/24",Таблица1[Ф. И. О.],B715)</f>
        <v>0</v>
      </c>
      <c r="X715" s="492">
        <f t="shared" si="249"/>
        <v>0</v>
      </c>
      <c r="Y715" s="764"/>
      <c r="Z715" s="766"/>
      <c r="AA715" s="756"/>
      <c r="AC715" s="712" t="str">
        <f>IF(SUMIFS(Таблица1[Столбец3],Таблица1[Ф. И. О.],B715)-Z710=0,"",SUMIFS(Таблица1[Столбец3],Таблица1[Ф. И. О.],B715)-Z710)</f>
        <v/>
      </c>
    </row>
    <row r="716" spans="1:29" ht="18.75">
      <c r="A716" s="756"/>
      <c r="B716" s="215"/>
      <c r="C716" s="759"/>
      <c r="D716" s="762"/>
      <c r="E716" s="389"/>
      <c r="F716" s="390"/>
      <c r="G716" s="400"/>
      <c r="H716" s="392">
        <f t="shared" si="246"/>
        <v>0</v>
      </c>
      <c r="I716" s="432"/>
      <c r="J716" s="433"/>
      <c r="K716" s="434"/>
      <c r="L716" s="484">
        <f t="shared" si="247"/>
        <v>0</v>
      </c>
      <c r="M716" s="434"/>
      <c r="N716" s="434"/>
      <c r="O716" s="434"/>
      <c r="P716" s="406"/>
      <c r="Q716" s="389">
        <f>IF($D$6&lt;=3,база!$L$4,
IF($D$6=4,база!$L$5,
IF($D$6=5,база!$L$6)))</f>
        <v>231.45480000000001</v>
      </c>
      <c r="R716" s="390">
        <v>1.3</v>
      </c>
      <c r="S716" s="400">
        <f>SUMIFS(Таблица1[Столбец1],Таблица1[коэф],"1,3",Таблица1[р/р],"3/16",Таблица1[Ф. И. О.],B715)</f>
        <v>0</v>
      </c>
      <c r="T716" s="492">
        <f t="shared" si="248"/>
        <v>0</v>
      </c>
      <c r="U716" s="478">
        <f>IF(D710&lt;=3,база!$M$4,
IF(D710=4,база!$M$5,
IF(D710=5,база!$M$6)))</f>
        <v>225.09719999999999</v>
      </c>
      <c r="V716" s="390">
        <v>1.3</v>
      </c>
      <c r="W716" s="412">
        <f>SUMIFS(Таблица1[Столбец1],Таблица1[коэф],"1,3",Таблица1[р/р],"3/24",Таблица1[Ф. И. О.],B715)</f>
        <v>0</v>
      </c>
      <c r="X716" s="492">
        <f t="shared" si="249"/>
        <v>0</v>
      </c>
      <c r="Y716" s="764"/>
      <c r="Z716" s="766"/>
      <c r="AA716" s="756"/>
      <c r="AC716" s="712" t="str">
        <f>IF(SUMIFS(Таблица1[Столбец1],Таблица1[Ф. И. О.],B715)=Y710,"",B715&amp;"  часы не верны")</f>
        <v/>
      </c>
    </row>
    <row r="717" spans="1:29" ht="18.75">
      <c r="A717" s="756"/>
      <c r="B717" s="215"/>
      <c r="C717" s="759"/>
      <c r="D717" s="762"/>
      <c r="E717" s="389"/>
      <c r="F717" s="390"/>
      <c r="G717" s="400"/>
      <c r="H717" s="392">
        <f t="shared" si="246"/>
        <v>0</v>
      </c>
      <c r="I717" s="432"/>
      <c r="J717" s="433"/>
      <c r="K717" s="434"/>
      <c r="L717" s="484">
        <f t="shared" si="247"/>
        <v>0</v>
      </c>
      <c r="M717" s="434"/>
      <c r="N717" s="434"/>
      <c r="O717" s="434"/>
      <c r="P717" s="406"/>
      <c r="Q717" s="389">
        <f>база!$L$5</f>
        <v>231.45480000000001</v>
      </c>
      <c r="R717" s="390">
        <v>1.3</v>
      </c>
      <c r="S717" s="400">
        <f>SUMIFS(Таблица1[Столбец1],Таблица1[коэф],"1,3",Таблица1[р/р],"4/16",Таблица1[Ф. И. О.],B715)</f>
        <v>0</v>
      </c>
      <c r="T717" s="492">
        <f t="shared" si="248"/>
        <v>0</v>
      </c>
      <c r="U717" s="478">
        <f>база!$M$5</f>
        <v>247.41720000000001</v>
      </c>
      <c r="V717" s="390">
        <v>1.3</v>
      </c>
      <c r="W717" s="412">
        <f>SUMIFS(Таблица1[Столбец1],Таблица1[коэф],"1,3",Таблица1[р/р],"4/24",Таблица1[Ф. И. О.],B715)</f>
        <v>0</v>
      </c>
      <c r="X717" s="492">
        <f t="shared" si="249"/>
        <v>0</v>
      </c>
      <c r="Y717" s="764"/>
      <c r="Z717" s="766"/>
      <c r="AA717" s="756"/>
    </row>
    <row r="718" spans="1:29" ht="18.75">
      <c r="A718" s="756"/>
      <c r="B718" s="215"/>
      <c r="C718" s="759"/>
      <c r="D718" s="762"/>
      <c r="E718" s="389"/>
      <c r="F718" s="390"/>
      <c r="G718" s="400"/>
      <c r="H718" s="392">
        <f t="shared" si="246"/>
        <v>0</v>
      </c>
      <c r="I718" s="432"/>
      <c r="J718" s="433"/>
      <c r="K718" s="434"/>
      <c r="L718" s="484">
        <f t="shared" si="247"/>
        <v>0</v>
      </c>
      <c r="M718" s="434"/>
      <c r="N718" s="434"/>
      <c r="O718" s="434"/>
      <c r="P718" s="406"/>
      <c r="Q718" s="389">
        <f>IF(D710&lt;=3,база!$L$4,
IF(D710=4,база!$L$5,
IF(D710=5,база!$L$6)))</f>
        <v>210.57480000000001</v>
      </c>
      <c r="R718" s="390">
        <v>1.4</v>
      </c>
      <c r="S718" s="400">
        <f>SUMIFS(Таблица1[Столбец1],Таблица1[коэф],"1,4",Таблица1[р/р],"3/16",Таблица1[Ф. И. О.],B715)</f>
        <v>0</v>
      </c>
      <c r="T718" s="492">
        <f t="shared" si="248"/>
        <v>0</v>
      </c>
      <c r="U718" s="478">
        <f>IF(D710&lt;=3,база!$M$4,
IF(D710=4,база!$M$5,
IF(D710=5,база!$M$6)))</f>
        <v>225.09719999999999</v>
      </c>
      <c r="V718" s="390">
        <v>1.4</v>
      </c>
      <c r="W718" s="412">
        <f>SUMIFS(Таблица1[Столбец1],Таблица1[коэф],"1,4",Таблица1[р/р],"3/24",Таблица1[Ф. И. О.],B715)</f>
        <v>0</v>
      </c>
      <c r="X718" s="492">
        <f t="shared" si="249"/>
        <v>0</v>
      </c>
      <c r="Y718" s="764"/>
      <c r="Z718" s="766"/>
      <c r="AA718" s="756"/>
    </row>
    <row r="719" spans="1:29" ht="18.75">
      <c r="A719" s="756"/>
      <c r="B719" s="215"/>
      <c r="C719" s="759"/>
      <c r="D719" s="762"/>
      <c r="E719" s="389"/>
      <c r="F719" s="390"/>
      <c r="G719" s="400"/>
      <c r="H719" s="392">
        <f t="shared" si="246"/>
        <v>0</v>
      </c>
      <c r="I719" s="432"/>
      <c r="J719" s="433"/>
      <c r="K719" s="434"/>
      <c r="L719" s="484">
        <f t="shared" si="247"/>
        <v>0</v>
      </c>
      <c r="M719" s="434"/>
      <c r="N719" s="434"/>
      <c r="O719" s="434"/>
      <c r="P719" s="406"/>
      <c r="Q719" s="389">
        <f>база!$L$5</f>
        <v>231.45480000000001</v>
      </c>
      <c r="R719" s="390">
        <v>1.4</v>
      </c>
      <c r="S719" s="400">
        <f>SUMIFS(Таблица1[Столбец1],Таблица1[коэф],"1,4",Таблица1[р/р],"4/16",Таблица1[Ф. И. О.],B715)</f>
        <v>0</v>
      </c>
      <c r="T719" s="492">
        <f t="shared" si="248"/>
        <v>0</v>
      </c>
      <c r="U719" s="478">
        <f>база!$M$5</f>
        <v>247.41720000000001</v>
      </c>
      <c r="V719" s="390">
        <v>1.4</v>
      </c>
      <c r="W719" s="412">
        <f>SUMIFS(Таблица1[Столбец1],Таблица1[коэф],"1,4",Таблица1[р/р],"4/24",Таблица1[Ф. И. О.],B715)</f>
        <v>0</v>
      </c>
      <c r="X719" s="492">
        <f t="shared" si="249"/>
        <v>0</v>
      </c>
      <c r="Y719" s="764"/>
      <c r="Z719" s="766"/>
      <c r="AA719" s="756"/>
    </row>
    <row r="720" spans="1:29" ht="19.5" thickBot="1">
      <c r="A720" s="757"/>
      <c r="B720" s="352"/>
      <c r="C720" s="760"/>
      <c r="D720" s="763"/>
      <c r="E720" s="481"/>
      <c r="F720" s="417"/>
      <c r="G720" s="486"/>
      <c r="H720" s="468">
        <f t="shared" si="246"/>
        <v>0</v>
      </c>
      <c r="I720" s="645"/>
      <c r="J720" s="456"/>
      <c r="K720" s="646"/>
      <c r="L720" s="458">
        <f t="shared" si="247"/>
        <v>0</v>
      </c>
      <c r="M720" s="645"/>
      <c r="N720" s="646"/>
      <c r="O720" s="646"/>
      <c r="P720" s="476"/>
      <c r="Q720" s="652">
        <f>база!$L$6</f>
        <v>261.04640000000001</v>
      </c>
      <c r="R720" s="464">
        <v>1.4</v>
      </c>
      <c r="S720" s="465">
        <f>SUMIFS(Таблица1[Столбец1],Таблица1[коэф],"1,4",Таблица1[р/р],"5/16",Таблица1[Ф. И. О.],B715)</f>
        <v>0</v>
      </c>
      <c r="T720" s="513">
        <f t="shared" si="248"/>
        <v>0</v>
      </c>
      <c r="U720" s="463">
        <f>база!$M$6</f>
        <v>279.0496</v>
      </c>
      <c r="V720" s="464">
        <v>1.4</v>
      </c>
      <c r="W720" s="465">
        <f>SUMIFS(Таблица1[Столбец1],Таблица1[коэф],"1,4",Таблица1[р/р],"5/24",Таблица1[Ф. И. О.],B715)</f>
        <v>0</v>
      </c>
      <c r="X720" s="513">
        <f t="shared" si="249"/>
        <v>0</v>
      </c>
      <c r="Y720" s="765"/>
      <c r="Z720" s="767"/>
      <c r="AA720" s="757"/>
    </row>
    <row r="721" spans="1:29" ht="18.75">
      <c r="A721" s="755">
        <v>66</v>
      </c>
      <c r="B721" s="215"/>
      <c r="C721" s="758">
        <f>INDEX(база!$E$2:$E$181, MATCH(B726,база!$B$2:$B$160,0))</f>
        <v>17102</v>
      </c>
      <c r="D721" s="761">
        <f>INDEX(база!$D$2:$D$189, MATCH(B726,база!$B$2:$B$160,0))</f>
        <v>3</v>
      </c>
      <c r="E721" s="377">
        <f>IF(D721&lt;=3,база!$I$4,
IF(D721=4,база!$I$5,
IF(D721=5,база!$I$6)))</f>
        <v>188.7912</v>
      </c>
      <c r="F721" s="378">
        <v>1</v>
      </c>
      <c r="G721" s="387">
        <f>SUMIFS(Таблица1[Столбец1],Таблица1[коэф],"1",Таблица1[р/р],"2/4",Таблица1[Ф. И. О.],B726)</f>
        <v>0</v>
      </c>
      <c r="H721" s="402">
        <f t="shared" si="246"/>
        <v>0</v>
      </c>
      <c r="I721" s="452">
        <f>IF(D721&lt;=3,база!$J$4,
IF(D721=4,база!$J$5,
IF(D721=5,база!$J$6)))</f>
        <v>196.05240000000001</v>
      </c>
      <c r="J721" s="475">
        <v>1</v>
      </c>
      <c r="K721" s="453">
        <f>SUMIFS(Таблица1[Столбец1],Таблица1[коэф],"1",Таблица1[р/р],"2/8",Таблица1[Ф. И. О.],B726)</f>
        <v>0</v>
      </c>
      <c r="L721" s="484">
        <f t="shared" si="247"/>
        <v>0</v>
      </c>
      <c r="M721" s="453"/>
      <c r="N721" s="453">
        <v>1</v>
      </c>
      <c r="O721" s="453">
        <f>SUMIFS(Data_Tech!$AM$3:$AM$67,Data_Tech!$E$3:$E$67,"1",Data_Tech!$G$3:$G$67,"3/12",Data_Tech!$F$3:$F$67,B726)</f>
        <v>0</v>
      </c>
      <c r="P721" s="398">
        <f>ROUND(M721*N721*O721,2)</f>
        <v>0</v>
      </c>
      <c r="Q721" s="481">
        <f>IF(D721&lt;=3,база!$L$4,
IF(D721=4,база!$L$5,
IF(D721=5,база!$L$6)))</f>
        <v>210.57480000000001</v>
      </c>
      <c r="R721" s="417">
        <v>1</v>
      </c>
      <c r="S721" s="418">
        <f>SUMIFS(Таблица1[Столбец1],Таблица1[коэф],"1",Таблица1[р/р],"3/16",Таблица1[Ф. И. О.],B726)</f>
        <v>0</v>
      </c>
      <c r="T721" s="492">
        <f t="shared" si="248"/>
        <v>0</v>
      </c>
      <c r="U721" s="483">
        <f>IF(D721&lt;=3,база!$M$4,
IF(D721=4,база!$M$5,
IF(D721=5,база!$M$6)))</f>
        <v>225.09719999999999</v>
      </c>
      <c r="V721" s="417">
        <v>1</v>
      </c>
      <c r="W721" s="455">
        <f>SUMIFS(Таблица1[Столбец1],Таблица1[коэф],"1",Таблица1[р/р],"3/24",Таблица1[Ф. И. О.],B726)</f>
        <v>0</v>
      </c>
      <c r="X721" s="492">
        <f t="shared" si="249"/>
        <v>0</v>
      </c>
      <c r="Y721" s="764">
        <f t="shared" ref="Y721" si="254">SUM(G721:G731,K721:K731,O721:O731,S721:S731,W721:W731)</f>
        <v>0</v>
      </c>
      <c r="Z721" s="766">
        <f t="shared" ref="Z721" si="255">IFERROR(SUM(H721:H731,L721:L731,T721:T731,X721:X731),"")</f>
        <v>0</v>
      </c>
      <c r="AA721" s="756"/>
    </row>
    <row r="722" spans="1:29" ht="18.75">
      <c r="A722" s="756"/>
      <c r="B722" s="215"/>
      <c r="C722" s="759"/>
      <c r="D722" s="762"/>
      <c r="E722" s="389">
        <f>IF(D721&lt;=3,база!$I$4,
IF(D721=4,база!$I$5,
IF(D721=5,база!$I$6)))</f>
        <v>188.7912</v>
      </c>
      <c r="F722" s="390">
        <v>1</v>
      </c>
      <c r="G722" s="400">
        <f>SUMIFS(Таблица1[Столбец1],Таблица1[коэф],"1",Таблица1[р/р],"3/4",Таблица1[Ф. И. О.],B726)</f>
        <v>0</v>
      </c>
      <c r="H722" s="392">
        <f t="shared" si="246"/>
        <v>0</v>
      </c>
      <c r="I722" s="432">
        <f>IF(D721&lt;=3,база!$J$4,
IF(D721=4,база!$J$5,
IF(D721=5,база!$J$6)))</f>
        <v>196.05240000000001</v>
      </c>
      <c r="J722" s="433">
        <v>1</v>
      </c>
      <c r="K722" s="434">
        <f>SUMIFS(Таблица1[Столбец1],Таблица1[коэф],"1",Таблица1[р/р],"3/8",Таблица1[Ф. И. О.],B726)</f>
        <v>0</v>
      </c>
      <c r="L722" s="484">
        <f t="shared" si="247"/>
        <v>0</v>
      </c>
      <c r="M722" s="434"/>
      <c r="N722" s="434">
        <v>1</v>
      </c>
      <c r="O722" s="434">
        <f>SUMIFS(Data_Tech!$AM$3:$AM$67,Data_Tech!$E$3:$E$67,"1",Data_Tech!$G$3:$G$67,"4/12",Data_Tech!$F$3:$F$67,B726)</f>
        <v>0</v>
      </c>
      <c r="P722" s="406">
        <f>ROUND(M722*O722,2)</f>
        <v>0</v>
      </c>
      <c r="Q722" s="389">
        <f>база!$L$5</f>
        <v>231.45480000000001</v>
      </c>
      <c r="R722" s="390">
        <v>1</v>
      </c>
      <c r="S722" s="400">
        <f>SUMIFS(Таблица1[Столбец1],Таблица1[коэф],"1",Таблица1[р/р],"4/16",Таблица1[Ф. И. О.],B726)</f>
        <v>0</v>
      </c>
      <c r="T722" s="492">
        <f t="shared" si="248"/>
        <v>0</v>
      </c>
      <c r="U722" s="478">
        <f>база!$M$5</f>
        <v>247.41720000000001</v>
      </c>
      <c r="V722" s="390">
        <v>1</v>
      </c>
      <c r="W722" s="412">
        <f>SUMIFS(Таблица1[Столбец1],Таблица1[коэф],"1",Таблица1[р/р],"4/24",Таблица1[Ф. И. О.],B726)</f>
        <v>0</v>
      </c>
      <c r="X722" s="492">
        <f t="shared" si="249"/>
        <v>0</v>
      </c>
      <c r="Y722" s="764"/>
      <c r="Z722" s="766"/>
      <c r="AA722" s="756"/>
    </row>
    <row r="723" spans="1:29" ht="18.75">
      <c r="A723" s="756"/>
      <c r="B723" s="215"/>
      <c r="C723" s="759"/>
      <c r="D723" s="762"/>
      <c r="E723" s="389"/>
      <c r="F723" s="390"/>
      <c r="G723" s="400"/>
      <c r="H723" s="392">
        <f t="shared" si="246"/>
        <v>0</v>
      </c>
      <c r="I723" s="432"/>
      <c r="J723" s="433"/>
      <c r="K723" s="434"/>
      <c r="L723" s="484">
        <f t="shared" si="247"/>
        <v>0</v>
      </c>
      <c r="M723" s="434"/>
      <c r="N723" s="434"/>
      <c r="O723" s="434"/>
      <c r="P723" s="406"/>
      <c r="Q723" s="389">
        <f>база!$L$6</f>
        <v>261.04640000000001</v>
      </c>
      <c r="R723" s="390">
        <v>1</v>
      </c>
      <c r="S723" s="400">
        <f>SUMIFS(Таблица1[Столбец1],Таблица1[коэф],"1",Таблица1[р/р],"5/16",Таблица1[Ф. И. О.],B726)</f>
        <v>0</v>
      </c>
      <c r="T723" s="492">
        <f t="shared" si="248"/>
        <v>0</v>
      </c>
      <c r="U723" s="478">
        <f>база!$M$6</f>
        <v>279.0496</v>
      </c>
      <c r="V723" s="390">
        <v>1</v>
      </c>
      <c r="W723" s="412">
        <f>SUMIFS(Таблица1[Столбец1],Таблица1[коэф],"1",Таблица1[р/р],"5/24",Таблица1[Ф. И. О.],B726)</f>
        <v>0</v>
      </c>
      <c r="X723" s="492">
        <f t="shared" si="249"/>
        <v>0</v>
      </c>
      <c r="Y723" s="764"/>
      <c r="Z723" s="766"/>
      <c r="AA723" s="756"/>
    </row>
    <row r="724" spans="1:29" ht="18.75">
      <c r="A724" s="756"/>
      <c r="B724" s="215"/>
      <c r="C724" s="759"/>
      <c r="D724" s="762"/>
      <c r="E724" s="389"/>
      <c r="F724" s="390"/>
      <c r="G724" s="400"/>
      <c r="H724" s="392">
        <f t="shared" si="246"/>
        <v>0</v>
      </c>
      <c r="I724" s="432">
        <f>база!$J$5</f>
        <v>215.4924</v>
      </c>
      <c r="J724" s="433">
        <v>1.5</v>
      </c>
      <c r="K724" s="434">
        <f>SUMIFS(Таблица1[Столбец1],Таблица1[коэф],"1,5",Таблица1[р/р],"4/8",Таблица1[Ф. И. О.],B726)</f>
        <v>0</v>
      </c>
      <c r="L724" s="484">
        <f t="shared" si="247"/>
        <v>0</v>
      </c>
      <c r="M724" s="434"/>
      <c r="N724" s="434"/>
      <c r="O724" s="434"/>
      <c r="P724" s="406"/>
      <c r="Q724" s="389">
        <f>IF(D721&lt;=3,база!$L$4,
IF(D721=4,база!$L$5,
IF(D721=5,база!$L$6)))</f>
        <v>210.57480000000001</v>
      </c>
      <c r="R724" s="390">
        <v>1.2</v>
      </c>
      <c r="S724" s="400">
        <f>SUMIFS(Таблица1[Столбец1],Таблица1[коэф],"1,2",Таблица1[р/р],"3/16",Таблица1[Ф. И. О.],B726)</f>
        <v>0</v>
      </c>
      <c r="T724" s="492">
        <f t="shared" si="248"/>
        <v>0</v>
      </c>
      <c r="U724" s="478">
        <f>IF(D721&lt;=3,база!$M$4,
IF(D721=4,база!$M$5,
IF(D721=5,база!$M$6)))</f>
        <v>225.09719999999999</v>
      </c>
      <c r="V724" s="390">
        <v>1.2</v>
      </c>
      <c r="W724" s="412">
        <f>SUMIFS(Таблица1[Столбец1],Таблица1[коэф],"1,2",Таблица1[р/р],"3/24",Таблица1[Ф. И. О.],B726)</f>
        <v>0</v>
      </c>
      <c r="X724" s="492">
        <f t="shared" si="249"/>
        <v>0</v>
      </c>
      <c r="Y724" s="764"/>
      <c r="Z724" s="766"/>
      <c r="AA724" s="756"/>
    </row>
    <row r="725" spans="1:29" ht="18.75">
      <c r="A725" s="756"/>
      <c r="B725" s="215"/>
      <c r="C725" s="759"/>
      <c r="D725" s="762"/>
      <c r="E725" s="389"/>
      <c r="F725" s="390"/>
      <c r="G725" s="400"/>
      <c r="H725" s="392">
        <f t="shared" si="246"/>
        <v>0</v>
      </c>
      <c r="I725" s="432">
        <f>база!$J$6</f>
        <v>243.04319999999998</v>
      </c>
      <c r="J725" s="433">
        <v>1.5</v>
      </c>
      <c r="K725" s="434">
        <f>SUMIFS(Таблица1[Столбец1],Таблица1[коэф],"1,5",Таблица1[р/р],"5/8",Таблица1[Ф. И. О.],B726)</f>
        <v>0</v>
      </c>
      <c r="L725" s="484">
        <f t="shared" si="247"/>
        <v>0</v>
      </c>
      <c r="M725" s="434"/>
      <c r="N725" s="434"/>
      <c r="O725" s="434"/>
      <c r="P725" s="406"/>
      <c r="Q725" s="389">
        <f>база!$L$5</f>
        <v>231.45480000000001</v>
      </c>
      <c r="R725" s="390">
        <v>1.2</v>
      </c>
      <c r="S725" s="400">
        <f>SUMIFS(Таблица1[Столбец1],Таблица1[коэф],"1,2",Таблица1[р/р],"4/16",Таблица1[Ф. И. О.],B726)</f>
        <v>0</v>
      </c>
      <c r="T725" s="492">
        <f t="shared" si="248"/>
        <v>0</v>
      </c>
      <c r="U725" s="478">
        <f>база!$M$5</f>
        <v>247.41720000000001</v>
      </c>
      <c r="V725" s="390">
        <v>1.2</v>
      </c>
      <c r="W725" s="412">
        <f>SUMIFS(Таблица1[Столбец1],Таблица1[коэф],"1,2",Таблица1[р/р],"4/24",Таблица1[Ф. И. О.],B726)</f>
        <v>0</v>
      </c>
      <c r="X725" s="492">
        <f t="shared" si="249"/>
        <v>0</v>
      </c>
      <c r="Y725" s="764"/>
      <c r="Z725" s="766"/>
      <c r="AA725" s="756"/>
    </row>
    <row r="726" spans="1:29" ht="18.75">
      <c r="A726" s="756"/>
      <c r="B726" s="215" t="str">
        <f>база!B67</f>
        <v>Сайпулаева Феодосия Андреевна</v>
      </c>
      <c r="C726" s="759"/>
      <c r="D726" s="762"/>
      <c r="E726" s="389"/>
      <c r="F726" s="390"/>
      <c r="G726" s="400"/>
      <c r="H726" s="392">
        <f t="shared" si="246"/>
        <v>0</v>
      </c>
      <c r="I726" s="432"/>
      <c r="J726" s="433"/>
      <c r="K726" s="434"/>
      <c r="L726" s="484">
        <f t="shared" si="247"/>
        <v>0</v>
      </c>
      <c r="M726" s="434"/>
      <c r="N726" s="434"/>
      <c r="O726" s="434"/>
      <c r="P726" s="406"/>
      <c r="Q726" s="389">
        <f>база!$L$6</f>
        <v>261.04640000000001</v>
      </c>
      <c r="R726" s="390">
        <v>1.2</v>
      </c>
      <c r="S726" s="400">
        <f>SUMIFS(Таблица1[Столбец1],Таблица1[коэф],"1,2",Таблица1[р/р],"5/16",Таблица1[Ф. И. О.],B726)</f>
        <v>0</v>
      </c>
      <c r="T726" s="492">
        <f t="shared" si="248"/>
        <v>0</v>
      </c>
      <c r="U726" s="478">
        <f>база!$M$6</f>
        <v>279.0496</v>
      </c>
      <c r="V726" s="390">
        <v>1.2</v>
      </c>
      <c r="W726" s="412">
        <f>SUMIFS(Таблица1[Столбец1],Таблица1[коэф],"1,2",Таблица1[р/р],"5/24",Таблица1[Ф. И. О.],B726)</f>
        <v>0</v>
      </c>
      <c r="X726" s="492">
        <f t="shared" si="249"/>
        <v>0</v>
      </c>
      <c r="Y726" s="764"/>
      <c r="Z726" s="766"/>
      <c r="AA726" s="756"/>
      <c r="AC726" s="712" t="str">
        <f>IF(SUMIFS(Таблица1[Столбец3],Таблица1[Ф. И. О.],B726)-Z721=0,"",SUMIFS(Таблица1[Столбец3],Таблица1[Ф. И. О.],B726)-Z721)</f>
        <v/>
      </c>
    </row>
    <row r="727" spans="1:29" ht="18.75">
      <c r="A727" s="756"/>
      <c r="B727" s="215"/>
      <c r="C727" s="759"/>
      <c r="D727" s="762"/>
      <c r="E727" s="389"/>
      <c r="F727" s="390"/>
      <c r="G727" s="400"/>
      <c r="H727" s="392">
        <f t="shared" si="246"/>
        <v>0</v>
      </c>
      <c r="I727" s="432"/>
      <c r="J727" s="433"/>
      <c r="K727" s="434"/>
      <c r="L727" s="484">
        <f t="shared" si="247"/>
        <v>0</v>
      </c>
      <c r="M727" s="434"/>
      <c r="N727" s="434"/>
      <c r="O727" s="434"/>
      <c r="P727" s="406"/>
      <c r="Q727" s="389">
        <f>IF($D$6&lt;=3,база!$L$4,
IF($D$6=4,база!$L$5,
IF($D$6=5,база!$L$6)))</f>
        <v>231.45480000000001</v>
      </c>
      <c r="R727" s="390">
        <v>1.3</v>
      </c>
      <c r="S727" s="400">
        <f>SUMIFS(Таблица1[Столбец1],Таблица1[коэф],"1,3",Таблица1[р/р],"3/16",Таблица1[Ф. И. О.],B726)</f>
        <v>0</v>
      </c>
      <c r="T727" s="492">
        <f t="shared" si="248"/>
        <v>0</v>
      </c>
      <c r="U727" s="478">
        <f>IF(D721&lt;=3,база!$M$4,
IF(D721=4,база!$M$5,
IF(D721=5,база!$M$6)))</f>
        <v>225.09719999999999</v>
      </c>
      <c r="V727" s="390">
        <v>1.3</v>
      </c>
      <c r="W727" s="412">
        <f>SUMIFS(Таблица1[Столбец1],Таблица1[коэф],"1,3",Таблица1[р/р],"3/24",Таблица1[Ф. И. О.],B726)</f>
        <v>0</v>
      </c>
      <c r="X727" s="492">
        <f t="shared" si="249"/>
        <v>0</v>
      </c>
      <c r="Y727" s="764"/>
      <c r="Z727" s="766"/>
      <c r="AA727" s="756"/>
      <c r="AC727" s="712" t="str">
        <f>IF(SUMIFS(Таблица1[Столбец1],Таблица1[Ф. И. О.],B726)=Y721,"",B726&amp;"  часы не верны")</f>
        <v/>
      </c>
    </row>
    <row r="728" spans="1:29" ht="18.75">
      <c r="A728" s="756"/>
      <c r="B728" s="215"/>
      <c r="C728" s="759"/>
      <c r="D728" s="762"/>
      <c r="E728" s="389"/>
      <c r="F728" s="390"/>
      <c r="G728" s="400"/>
      <c r="H728" s="392">
        <f t="shared" si="246"/>
        <v>0</v>
      </c>
      <c r="I728" s="432"/>
      <c r="J728" s="433"/>
      <c r="K728" s="434"/>
      <c r="L728" s="484">
        <f t="shared" si="247"/>
        <v>0</v>
      </c>
      <c r="M728" s="434"/>
      <c r="N728" s="434"/>
      <c r="O728" s="434"/>
      <c r="P728" s="406"/>
      <c r="Q728" s="389">
        <f>база!$L$5</f>
        <v>231.45480000000001</v>
      </c>
      <c r="R728" s="390">
        <v>1.3</v>
      </c>
      <c r="S728" s="400">
        <f>SUMIFS(Таблица1[Столбец1],Таблица1[коэф],"1,3",Таблица1[р/р],"4/16",Таблица1[Ф. И. О.],B726)</f>
        <v>0</v>
      </c>
      <c r="T728" s="492">
        <f t="shared" si="248"/>
        <v>0</v>
      </c>
      <c r="U728" s="478">
        <f>база!$M$5</f>
        <v>247.41720000000001</v>
      </c>
      <c r="V728" s="390">
        <v>1.3</v>
      </c>
      <c r="W728" s="412">
        <f>SUMIFS(Таблица1[Столбец1],Таблица1[коэф],"1,3",Таблица1[р/р],"4/24",Таблица1[Ф. И. О.],B726)</f>
        <v>0</v>
      </c>
      <c r="X728" s="492">
        <f t="shared" si="249"/>
        <v>0</v>
      </c>
      <c r="Y728" s="764"/>
      <c r="Z728" s="766"/>
      <c r="AA728" s="756"/>
    </row>
    <row r="729" spans="1:29" ht="18.75">
      <c r="A729" s="756"/>
      <c r="B729" s="215"/>
      <c r="C729" s="759"/>
      <c r="D729" s="762"/>
      <c r="E729" s="389"/>
      <c r="F729" s="390"/>
      <c r="G729" s="400"/>
      <c r="H729" s="392">
        <f t="shared" si="246"/>
        <v>0</v>
      </c>
      <c r="I729" s="432"/>
      <c r="J729" s="433"/>
      <c r="K729" s="434"/>
      <c r="L729" s="484">
        <f t="shared" si="247"/>
        <v>0</v>
      </c>
      <c r="M729" s="434"/>
      <c r="N729" s="434"/>
      <c r="O729" s="434"/>
      <c r="P729" s="406"/>
      <c r="Q729" s="389">
        <f>IF(D721&lt;=3,база!$L$4,
IF(D721=4,база!$L$5,
IF(D721=5,база!$L$6)))</f>
        <v>210.57480000000001</v>
      </c>
      <c r="R729" s="390">
        <v>1.4</v>
      </c>
      <c r="S729" s="400">
        <f>SUMIFS(Таблица1[Столбец1],Таблица1[коэф],"1,4",Таблица1[р/р],"3/16",Таблица1[Ф. И. О.],B726)</f>
        <v>0</v>
      </c>
      <c r="T729" s="492">
        <f t="shared" si="248"/>
        <v>0</v>
      </c>
      <c r="U729" s="478">
        <f>IF(D721&lt;=3,база!$M$4,
IF(D721=4,база!$M$5,
IF(D721=5,база!$M$6)))</f>
        <v>225.09719999999999</v>
      </c>
      <c r="V729" s="390">
        <v>1.4</v>
      </c>
      <c r="W729" s="412">
        <f>SUMIFS(Таблица1[Столбец1],Таблица1[коэф],"1,4",Таблица1[р/р],"3/24",Таблица1[Ф. И. О.],B726)</f>
        <v>0</v>
      </c>
      <c r="X729" s="492">
        <f t="shared" si="249"/>
        <v>0</v>
      </c>
      <c r="Y729" s="764"/>
      <c r="Z729" s="766"/>
      <c r="AA729" s="756"/>
    </row>
    <row r="730" spans="1:29" ht="18.75">
      <c r="A730" s="756"/>
      <c r="B730" s="215"/>
      <c r="C730" s="759"/>
      <c r="D730" s="762"/>
      <c r="E730" s="389"/>
      <c r="F730" s="390"/>
      <c r="G730" s="400"/>
      <c r="H730" s="392">
        <f t="shared" si="246"/>
        <v>0</v>
      </c>
      <c r="I730" s="432"/>
      <c r="J730" s="433"/>
      <c r="K730" s="434"/>
      <c r="L730" s="484">
        <f t="shared" si="247"/>
        <v>0</v>
      </c>
      <c r="M730" s="434"/>
      <c r="N730" s="434"/>
      <c r="O730" s="434"/>
      <c r="P730" s="406"/>
      <c r="Q730" s="389">
        <f>база!$L$5</f>
        <v>231.45480000000001</v>
      </c>
      <c r="R730" s="390">
        <v>1.4</v>
      </c>
      <c r="S730" s="400">
        <f>SUMIFS(Таблица1[Столбец1],Таблица1[коэф],"1,4",Таблица1[р/р],"4/16",Таблица1[Ф. И. О.],B726)</f>
        <v>0</v>
      </c>
      <c r="T730" s="492">
        <f t="shared" si="248"/>
        <v>0</v>
      </c>
      <c r="U730" s="478">
        <f>база!$M$5</f>
        <v>247.41720000000001</v>
      </c>
      <c r="V730" s="390">
        <v>1.4</v>
      </c>
      <c r="W730" s="412">
        <f>SUMIFS(Таблица1[Столбец1],Таблица1[коэф],"1,4",Таблица1[р/р],"4/24",Таблица1[Ф. И. О.],B726)</f>
        <v>0</v>
      </c>
      <c r="X730" s="492">
        <f t="shared" si="249"/>
        <v>0</v>
      </c>
      <c r="Y730" s="764"/>
      <c r="Z730" s="766"/>
      <c r="AA730" s="756"/>
    </row>
    <row r="731" spans="1:29" ht="19.5" thickBot="1">
      <c r="A731" s="757"/>
      <c r="B731" s="352"/>
      <c r="C731" s="760"/>
      <c r="D731" s="763"/>
      <c r="E731" s="481"/>
      <c r="F731" s="417"/>
      <c r="G731" s="486"/>
      <c r="H731" s="468">
        <f t="shared" si="246"/>
        <v>0</v>
      </c>
      <c r="I731" s="645"/>
      <c r="J731" s="456"/>
      <c r="K731" s="646"/>
      <c r="L731" s="458">
        <f t="shared" si="247"/>
        <v>0</v>
      </c>
      <c r="M731" s="396"/>
      <c r="N731" s="397"/>
      <c r="O731" s="397"/>
      <c r="P731" s="398"/>
      <c r="Q731" s="487">
        <f>база!$L$6</f>
        <v>261.04640000000001</v>
      </c>
      <c r="R731" s="417">
        <v>1.4</v>
      </c>
      <c r="S731" s="418">
        <f>SUMIFS(Таблица1[Столбец1],Таблица1[коэф],"1,4",Таблица1[р/р],"5/16",Таблица1[Ф. И. О.],B726)</f>
        <v>0</v>
      </c>
      <c r="T731" s="492">
        <f t="shared" si="248"/>
        <v>0</v>
      </c>
      <c r="U731" s="473">
        <f>база!$M$6</f>
        <v>279.0496</v>
      </c>
      <c r="V731" s="464">
        <v>1.4</v>
      </c>
      <c r="W731" s="465">
        <f>SUMIFS(Таблица1[Столбец1],Таблица1[коэф],"1,4",Таблица1[р/р],"5/24",Таблица1[Ф. И. О.],B726)</f>
        <v>0</v>
      </c>
      <c r="X731" s="513">
        <f t="shared" si="249"/>
        <v>0</v>
      </c>
      <c r="Y731" s="765"/>
      <c r="Z731" s="767"/>
      <c r="AA731" s="757"/>
    </row>
    <row r="732" spans="1:29" ht="18.75">
      <c r="A732" s="755">
        <v>67</v>
      </c>
      <c r="B732" s="215"/>
      <c r="C732" s="758">
        <f>INDEX(база!$E$2:$E$181, MATCH(B737,база!$B$2:$B$160,0))</f>
        <v>17329</v>
      </c>
      <c r="D732" s="761">
        <f>INDEX(база!$D$2:$D$189, MATCH(B737,база!$B$2:$B$160,0))</f>
        <v>3</v>
      </c>
      <c r="E732" s="377">
        <f>IF(D732&lt;=3,база!$I$4,
IF(D732=4,база!$I$5,
IF(D732=5,база!$I$6)))</f>
        <v>188.7912</v>
      </c>
      <c r="F732" s="378">
        <v>1</v>
      </c>
      <c r="G732" s="387">
        <f>SUMIFS(Таблица1[Столбец1],Таблица1[коэф],"1",Таблица1[р/р],"2/4",Таблица1[Ф. И. О.],B737)</f>
        <v>0</v>
      </c>
      <c r="H732" s="402">
        <f t="shared" si="246"/>
        <v>0</v>
      </c>
      <c r="I732" s="452">
        <f>IF(D732&lt;=3,база!$J$4,
IF(D732=4,база!$J$5,
IF(D732=5,база!$J$6)))</f>
        <v>196.05240000000001</v>
      </c>
      <c r="J732" s="475">
        <v>1</v>
      </c>
      <c r="K732" s="453">
        <f>SUMIFS(Таблица1[Столбец1],Таблица1[коэф],"1",Таблица1[р/р],"2/8",Таблица1[Ф. И. О.],B737)</f>
        <v>0</v>
      </c>
      <c r="L732" s="484">
        <f t="shared" si="247"/>
        <v>0</v>
      </c>
      <c r="M732" s="453"/>
      <c r="N732" s="453">
        <v>1</v>
      </c>
      <c r="O732" s="453">
        <f>SUMIFS(Data_Tech!$AM$3:$AM$67,Data_Tech!$E$3:$E$67,"1",Data_Tech!$G$3:$G$67,"3/12",Data_Tech!$F$3:$F$67,B737)</f>
        <v>0</v>
      </c>
      <c r="P732" s="398">
        <f>ROUND(M732*N732*O732,2)</f>
        <v>0</v>
      </c>
      <c r="Q732" s="377">
        <f>IF(D732&lt;=3,база!$L$4,
IF(D732=4,база!$L$5,
IF(D732=5,база!$L$6)))</f>
        <v>210.57480000000001</v>
      </c>
      <c r="R732" s="378">
        <v>1</v>
      </c>
      <c r="S732" s="387">
        <f>SUMIFS(Таблица1[Столбец1],Таблица1[коэф],"1",Таблица1[р/р],"3/16",Таблица1[Ф. И. О.],B737)</f>
        <v>0</v>
      </c>
      <c r="T732" s="490">
        <f t="shared" si="248"/>
        <v>0</v>
      </c>
      <c r="U732" s="483">
        <f>IF(D732&lt;=3,база!$M$4,
IF(D732=4,база!$M$5,
IF(D732=5,база!$M$6)))</f>
        <v>225.09719999999999</v>
      </c>
      <c r="V732" s="417">
        <v>1</v>
      </c>
      <c r="W732" s="455">
        <f>SUMIFS(Таблица1[Столбец1],Таблица1[коэф],"1",Таблица1[р/р],"3/24",Таблица1[Ф. И. О.],B737)</f>
        <v>0</v>
      </c>
      <c r="X732" s="492">
        <f t="shared" si="249"/>
        <v>0</v>
      </c>
      <c r="Y732" s="764">
        <f t="shared" ref="Y732" si="256">SUM(G732:G742,K732:K742,O732:O742,S732:S742,W732:W742)</f>
        <v>0</v>
      </c>
      <c r="Z732" s="766">
        <f t="shared" ref="Z732" si="257">IFERROR(SUM(H732:H742,L732:L742,T732:T742,X732:X742),"")</f>
        <v>0</v>
      </c>
      <c r="AA732" s="756"/>
    </row>
    <row r="733" spans="1:29" ht="18.75">
      <c r="A733" s="756"/>
      <c r="B733" s="215"/>
      <c r="C733" s="759"/>
      <c r="D733" s="762"/>
      <c r="E733" s="389">
        <f>IF(D732&lt;=3,база!$I$4,
IF(D732=4,база!$I$5,
IF(D732=5,база!$I$6)))</f>
        <v>188.7912</v>
      </c>
      <c r="F733" s="390">
        <v>1</v>
      </c>
      <c r="G733" s="400">
        <f>SUMIFS(Таблица1[Столбец1],Таблица1[коэф],"1",Таблица1[р/р],"3/4",Таблица1[Ф. И. О.],B737)</f>
        <v>0</v>
      </c>
      <c r="H733" s="392">
        <f t="shared" si="246"/>
        <v>0</v>
      </c>
      <c r="I733" s="432">
        <f>IF(D732&lt;=3,база!$J$4,
IF(D732=4,база!$J$5,
IF(D732=5,база!$J$6)))</f>
        <v>196.05240000000001</v>
      </c>
      <c r="J733" s="433">
        <v>1</v>
      </c>
      <c r="K733" s="434">
        <f>SUMIFS(Таблица1[Столбец1],Таблица1[коэф],"1",Таблица1[р/р],"3/8",Таблица1[Ф. И. О.],B737)</f>
        <v>0</v>
      </c>
      <c r="L733" s="484">
        <f t="shared" si="247"/>
        <v>0</v>
      </c>
      <c r="M733" s="434"/>
      <c r="N733" s="434">
        <v>1</v>
      </c>
      <c r="O733" s="434">
        <f>SUMIFS(Data_Tech!$AM$3:$AM$67,Data_Tech!$E$3:$E$67,"1",Data_Tech!$G$3:$G$67,"4/12",Data_Tech!$F$3:$F$67,B737)</f>
        <v>0</v>
      </c>
      <c r="P733" s="406">
        <f>ROUND(M733*O733,2)</f>
        <v>0</v>
      </c>
      <c r="Q733" s="389">
        <f>база!$L$5</f>
        <v>231.45480000000001</v>
      </c>
      <c r="R733" s="390">
        <v>1</v>
      </c>
      <c r="S733" s="400">
        <f>SUMIFS(Таблица1[Столбец1],Таблица1[коэф],"1",Таблица1[р/р],"4/16",Таблица1[Ф. И. О.],B737)</f>
        <v>0</v>
      </c>
      <c r="T733" s="492">
        <f t="shared" si="248"/>
        <v>0</v>
      </c>
      <c r="U733" s="478">
        <f>база!$M$5</f>
        <v>247.41720000000001</v>
      </c>
      <c r="V733" s="390">
        <v>1</v>
      </c>
      <c r="W733" s="412">
        <f>SUMIFS(Таблица1[Столбец1],Таблица1[коэф],"1",Таблица1[р/р],"4/24",Таблица1[Ф. И. О.],B737)</f>
        <v>0</v>
      </c>
      <c r="X733" s="492">
        <f t="shared" si="249"/>
        <v>0</v>
      </c>
      <c r="Y733" s="764"/>
      <c r="Z733" s="766"/>
      <c r="AA733" s="756"/>
    </row>
    <row r="734" spans="1:29" ht="18.75">
      <c r="A734" s="756"/>
      <c r="B734" s="215"/>
      <c r="C734" s="759"/>
      <c r="D734" s="762"/>
      <c r="E734" s="389"/>
      <c r="F734" s="390"/>
      <c r="G734" s="400"/>
      <c r="H734" s="392">
        <f t="shared" si="246"/>
        <v>0</v>
      </c>
      <c r="I734" s="432"/>
      <c r="J734" s="433"/>
      <c r="K734" s="434"/>
      <c r="L734" s="484">
        <f t="shared" si="247"/>
        <v>0</v>
      </c>
      <c r="M734" s="434"/>
      <c r="N734" s="434"/>
      <c r="O734" s="434"/>
      <c r="P734" s="406"/>
      <c r="Q734" s="389">
        <f>база!$L$6</f>
        <v>261.04640000000001</v>
      </c>
      <c r="R734" s="390">
        <v>1</v>
      </c>
      <c r="S734" s="400">
        <f>SUMIFS(Таблица1[Столбец1],Таблица1[коэф],"1",Таблица1[р/р],"5/16",Таблица1[Ф. И. О.],B737)</f>
        <v>0</v>
      </c>
      <c r="T734" s="492">
        <f t="shared" si="248"/>
        <v>0</v>
      </c>
      <c r="U734" s="478">
        <f>база!$M$6</f>
        <v>279.0496</v>
      </c>
      <c r="V734" s="390">
        <v>1</v>
      </c>
      <c r="W734" s="412">
        <f>SUMIFS(Таблица1[Столбец1],Таблица1[коэф],"1",Таблица1[р/р],"5/24",Таблица1[Ф. И. О.],B737)</f>
        <v>0</v>
      </c>
      <c r="X734" s="492">
        <f t="shared" si="249"/>
        <v>0</v>
      </c>
      <c r="Y734" s="764"/>
      <c r="Z734" s="766"/>
      <c r="AA734" s="756"/>
    </row>
    <row r="735" spans="1:29" ht="18.75">
      <c r="A735" s="756"/>
      <c r="B735" s="215"/>
      <c r="C735" s="759"/>
      <c r="D735" s="762"/>
      <c r="E735" s="389"/>
      <c r="F735" s="390"/>
      <c r="G735" s="400"/>
      <c r="H735" s="392">
        <f t="shared" si="246"/>
        <v>0</v>
      </c>
      <c r="I735" s="432">
        <f>база!$J$5</f>
        <v>215.4924</v>
      </c>
      <c r="J735" s="433">
        <v>1.5</v>
      </c>
      <c r="K735" s="434">
        <f>SUMIFS(Таблица1[Столбец1],Таблица1[коэф],"1,5",Таблица1[р/р],"4/8",Таблица1[Ф. И. О.],B737)</f>
        <v>0</v>
      </c>
      <c r="L735" s="484">
        <f t="shared" si="247"/>
        <v>0</v>
      </c>
      <c r="M735" s="434"/>
      <c r="N735" s="434"/>
      <c r="O735" s="434"/>
      <c r="P735" s="406"/>
      <c r="Q735" s="389">
        <f>IF(D732&lt;=3,база!$L$4,
IF(D732=4,база!$L$5,
IF(D732=5,база!$L$6)))</f>
        <v>210.57480000000001</v>
      </c>
      <c r="R735" s="390">
        <v>1.2</v>
      </c>
      <c r="S735" s="400">
        <f>SUMIFS(Таблица1[Столбец1],Таблица1[коэф],"1,2",Таблица1[р/р],"3/16",Таблица1[Ф. И. О.],B737)</f>
        <v>0</v>
      </c>
      <c r="T735" s="492">
        <f t="shared" si="248"/>
        <v>0</v>
      </c>
      <c r="U735" s="478">
        <f>IF(D732&lt;=3,база!$M$4,
IF(D732=4,база!$M$5,
IF(D732=5,база!$M$6)))</f>
        <v>225.09719999999999</v>
      </c>
      <c r="V735" s="390">
        <v>1.2</v>
      </c>
      <c r="W735" s="412">
        <f>SUMIFS(Таблица1[Столбец1],Таблица1[коэф],"1,2",Таблица1[р/р],"3/24",Таблица1[Ф. И. О.],B737)</f>
        <v>0</v>
      </c>
      <c r="X735" s="492">
        <f t="shared" si="249"/>
        <v>0</v>
      </c>
      <c r="Y735" s="764"/>
      <c r="Z735" s="766"/>
      <c r="AA735" s="756"/>
    </row>
    <row r="736" spans="1:29" ht="18.75">
      <c r="A736" s="756"/>
      <c r="B736" s="215"/>
      <c r="C736" s="759"/>
      <c r="D736" s="762"/>
      <c r="E736" s="389"/>
      <c r="F736" s="390"/>
      <c r="G736" s="400"/>
      <c r="H736" s="392">
        <f t="shared" si="246"/>
        <v>0</v>
      </c>
      <c r="I736" s="432">
        <f>база!$J$6</f>
        <v>243.04319999999998</v>
      </c>
      <c r="J736" s="433">
        <v>1.5</v>
      </c>
      <c r="K736" s="434">
        <f>SUMIFS(Таблица1[Столбец1],Таблица1[коэф],"1,5",Таблица1[р/р],"5/8",Таблица1[Ф. И. О.],B737)</f>
        <v>0</v>
      </c>
      <c r="L736" s="484">
        <f t="shared" si="247"/>
        <v>0</v>
      </c>
      <c r="M736" s="434"/>
      <c r="N736" s="434"/>
      <c r="O736" s="434"/>
      <c r="P736" s="406"/>
      <c r="Q736" s="389">
        <f>база!$L$5</f>
        <v>231.45480000000001</v>
      </c>
      <c r="R736" s="390">
        <v>1.2</v>
      </c>
      <c r="S736" s="400">
        <f>SUMIFS(Таблица1[Столбец1],Таблица1[коэф],"1,2",Таблица1[р/р],"4/16",Таблица1[Ф. И. О.],B737)</f>
        <v>0</v>
      </c>
      <c r="T736" s="492">
        <f t="shared" si="248"/>
        <v>0</v>
      </c>
      <c r="U736" s="478">
        <f>база!$M$5</f>
        <v>247.41720000000001</v>
      </c>
      <c r="V736" s="390">
        <v>1.2</v>
      </c>
      <c r="W736" s="412">
        <f>SUMIFS(Таблица1[Столбец1],Таблица1[коэф],"1,2",Таблица1[р/р],"4/24",Таблица1[Ф. И. О.],B737)</f>
        <v>0</v>
      </c>
      <c r="X736" s="492">
        <f t="shared" si="249"/>
        <v>0</v>
      </c>
      <c r="Y736" s="764"/>
      <c r="Z736" s="766"/>
      <c r="AA736" s="756"/>
    </row>
    <row r="737" spans="1:29" ht="18.75">
      <c r="A737" s="756"/>
      <c r="B737" s="215" t="str">
        <f>база!B68</f>
        <v>Силаева Ольга Владимировна</v>
      </c>
      <c r="C737" s="759"/>
      <c r="D737" s="762"/>
      <c r="E737" s="389"/>
      <c r="F737" s="390"/>
      <c r="G737" s="400"/>
      <c r="H737" s="392">
        <f t="shared" si="246"/>
        <v>0</v>
      </c>
      <c r="I737" s="432"/>
      <c r="J737" s="433"/>
      <c r="K737" s="434"/>
      <c r="L737" s="484">
        <f t="shared" si="247"/>
        <v>0</v>
      </c>
      <c r="M737" s="434"/>
      <c r="N737" s="434"/>
      <c r="O737" s="434"/>
      <c r="P737" s="406"/>
      <c r="Q737" s="389">
        <f>база!$L$6</f>
        <v>261.04640000000001</v>
      </c>
      <c r="R737" s="390">
        <v>1.2</v>
      </c>
      <c r="S737" s="400">
        <f>SUMIFS(Таблица1[Столбец1],Таблица1[коэф],"1,2",Таблица1[р/р],"5/16",Таблица1[Ф. И. О.],B737)</f>
        <v>0</v>
      </c>
      <c r="T737" s="492">
        <f t="shared" si="248"/>
        <v>0</v>
      </c>
      <c r="U737" s="478">
        <f>база!$M$6</f>
        <v>279.0496</v>
      </c>
      <c r="V737" s="390">
        <v>1.2</v>
      </c>
      <c r="W737" s="412">
        <f>SUMIFS(Таблица1[Столбец1],Таблица1[коэф],"1,2",Таблица1[р/р],"5/24",Таблица1[Ф. И. О.],B737)</f>
        <v>0</v>
      </c>
      <c r="X737" s="492">
        <f t="shared" si="249"/>
        <v>0</v>
      </c>
      <c r="Y737" s="764"/>
      <c r="Z737" s="766"/>
      <c r="AA737" s="756"/>
      <c r="AC737" s="712" t="str">
        <f>IF(SUMIFS(Таблица1[Столбец3],Таблица1[Ф. И. О.],B737)-Z732=0,"",SUMIFS(Таблица1[Столбец3],Таблица1[Ф. И. О.],B737)-Z732)</f>
        <v/>
      </c>
    </row>
    <row r="738" spans="1:29" ht="18.75">
      <c r="A738" s="756"/>
      <c r="B738" s="215"/>
      <c r="C738" s="759"/>
      <c r="D738" s="762"/>
      <c r="E738" s="389"/>
      <c r="F738" s="390"/>
      <c r="G738" s="400"/>
      <c r="H738" s="392">
        <f t="shared" si="246"/>
        <v>0</v>
      </c>
      <c r="I738" s="432"/>
      <c r="J738" s="433"/>
      <c r="K738" s="434"/>
      <c r="L738" s="484">
        <f t="shared" si="247"/>
        <v>0</v>
      </c>
      <c r="M738" s="434"/>
      <c r="N738" s="434"/>
      <c r="O738" s="434"/>
      <c r="P738" s="406"/>
      <c r="Q738" s="389">
        <f>IF($D$6&lt;=3,база!$L$4,
IF($D$6=4,база!$L$5,
IF($D$6=5,база!$L$6)))</f>
        <v>231.45480000000001</v>
      </c>
      <c r="R738" s="390">
        <v>1.3</v>
      </c>
      <c r="S738" s="400">
        <f>SUMIFS(Таблица1[Столбец1],Таблица1[коэф],"1,3",Таблица1[р/р],"3/16",Таблица1[Ф. И. О.],B737)</f>
        <v>0</v>
      </c>
      <c r="T738" s="492">
        <f t="shared" si="248"/>
        <v>0</v>
      </c>
      <c r="U738" s="478">
        <f>IF(D732&lt;=3,база!$M$4,
IF(D732=4,база!$M$5,
IF(D732=5,база!$M$6)))</f>
        <v>225.09719999999999</v>
      </c>
      <c r="V738" s="390">
        <v>1.3</v>
      </c>
      <c r="W738" s="412">
        <f>SUMIFS(Таблица1[Столбец1],Таблица1[коэф],"1,3",Таблица1[р/р],"3/24",Таблица1[Ф. И. О.],B737)</f>
        <v>0</v>
      </c>
      <c r="X738" s="492">
        <f t="shared" si="249"/>
        <v>0</v>
      </c>
      <c r="Y738" s="764"/>
      <c r="Z738" s="766"/>
      <c r="AA738" s="756"/>
      <c r="AC738" s="712" t="str">
        <f>IF(SUMIFS(Таблица1[Столбец1],Таблица1[Ф. И. О.],B737)=Y732,"",B737&amp;"  часы не верны")</f>
        <v/>
      </c>
    </row>
    <row r="739" spans="1:29" ht="18.75">
      <c r="A739" s="756"/>
      <c r="B739" s="215"/>
      <c r="C739" s="759"/>
      <c r="D739" s="762"/>
      <c r="E739" s="389"/>
      <c r="F739" s="390"/>
      <c r="G739" s="400"/>
      <c r="H739" s="392">
        <f t="shared" si="246"/>
        <v>0</v>
      </c>
      <c r="I739" s="432"/>
      <c r="J739" s="433"/>
      <c r="K739" s="434"/>
      <c r="L739" s="484">
        <f t="shared" si="247"/>
        <v>0</v>
      </c>
      <c r="M739" s="434"/>
      <c r="N739" s="434"/>
      <c r="O739" s="434"/>
      <c r="P739" s="406"/>
      <c r="Q739" s="389">
        <f>база!$L$5</f>
        <v>231.45480000000001</v>
      </c>
      <c r="R739" s="390">
        <v>1.3</v>
      </c>
      <c r="S739" s="400">
        <f>SUMIFS(Таблица1[Столбец1],Таблица1[коэф],"1,3",Таблица1[р/р],"4/16",Таблица1[Ф. И. О.],B737)</f>
        <v>0</v>
      </c>
      <c r="T739" s="492">
        <f t="shared" si="248"/>
        <v>0</v>
      </c>
      <c r="U739" s="478">
        <f>база!$M$5</f>
        <v>247.41720000000001</v>
      </c>
      <c r="V739" s="390">
        <v>1.3</v>
      </c>
      <c r="W739" s="412">
        <f>SUMIFS(Таблица1[Столбец1],Таблица1[коэф],"1,3",Таблица1[р/р],"4/24",Таблица1[Ф. И. О.],B737)</f>
        <v>0</v>
      </c>
      <c r="X739" s="492">
        <f t="shared" si="249"/>
        <v>0</v>
      </c>
      <c r="Y739" s="764"/>
      <c r="Z739" s="766"/>
      <c r="AA739" s="756"/>
    </row>
    <row r="740" spans="1:29" ht="18.75">
      <c r="A740" s="756"/>
      <c r="B740" s="215"/>
      <c r="C740" s="759"/>
      <c r="D740" s="762"/>
      <c r="E740" s="389"/>
      <c r="F740" s="390"/>
      <c r="G740" s="400"/>
      <c r="H740" s="392">
        <f t="shared" si="246"/>
        <v>0</v>
      </c>
      <c r="I740" s="432"/>
      <c r="J740" s="433"/>
      <c r="K740" s="434"/>
      <c r="L740" s="484">
        <f t="shared" si="247"/>
        <v>0</v>
      </c>
      <c r="M740" s="434"/>
      <c r="N740" s="434"/>
      <c r="O740" s="434"/>
      <c r="P740" s="406"/>
      <c r="Q740" s="389">
        <f>IF(D732&lt;=3,база!$L$4,
IF(D732=4,база!$L$5,
IF(D732=5,база!$L$6)))</f>
        <v>210.57480000000001</v>
      </c>
      <c r="R740" s="390">
        <v>1.4</v>
      </c>
      <c r="S740" s="400">
        <f>SUMIFS(Таблица1[Столбец1],Таблица1[коэф],"1,4",Таблица1[р/р],"3/16",Таблица1[Ф. И. О.],B737)</f>
        <v>0</v>
      </c>
      <c r="T740" s="492">
        <f t="shared" si="248"/>
        <v>0</v>
      </c>
      <c r="U740" s="478">
        <f>IF(D732&lt;=3,база!$M$4,
IF(D732=4,база!$M$5,
IF(D732=5,база!$M$6)))</f>
        <v>225.09719999999999</v>
      </c>
      <c r="V740" s="390">
        <v>1.4</v>
      </c>
      <c r="W740" s="412">
        <f>SUMIFS(Таблица1[Столбец1],Таблица1[коэф],"1,4",Таблица1[р/р],"3/24",Таблица1[Ф. И. О.],B737)</f>
        <v>0</v>
      </c>
      <c r="X740" s="492">
        <f t="shared" si="249"/>
        <v>0</v>
      </c>
      <c r="Y740" s="764"/>
      <c r="Z740" s="766"/>
      <c r="AA740" s="756"/>
    </row>
    <row r="741" spans="1:29" ht="18.75">
      <c r="A741" s="756"/>
      <c r="B741" s="215"/>
      <c r="C741" s="759"/>
      <c r="D741" s="762"/>
      <c r="E741" s="389"/>
      <c r="F741" s="390"/>
      <c r="G741" s="400"/>
      <c r="H741" s="392">
        <f t="shared" si="246"/>
        <v>0</v>
      </c>
      <c r="I741" s="432"/>
      <c r="J741" s="433"/>
      <c r="K741" s="434"/>
      <c r="L741" s="484">
        <f t="shared" si="247"/>
        <v>0</v>
      </c>
      <c r="M741" s="434"/>
      <c r="N741" s="434"/>
      <c r="O741" s="434"/>
      <c r="P741" s="406"/>
      <c r="Q741" s="389">
        <f>база!$L$5</f>
        <v>231.45480000000001</v>
      </c>
      <c r="R741" s="390">
        <v>1.4</v>
      </c>
      <c r="S741" s="400">
        <f>SUMIFS(Таблица1[Столбец1],Таблица1[коэф],"1,4",Таблица1[р/р],"4/16",Таблица1[Ф. И. О.],B737)</f>
        <v>0</v>
      </c>
      <c r="T741" s="492">
        <f t="shared" si="248"/>
        <v>0</v>
      </c>
      <c r="U741" s="478">
        <f>база!$M$5</f>
        <v>247.41720000000001</v>
      </c>
      <c r="V741" s="390">
        <v>1.4</v>
      </c>
      <c r="W741" s="412">
        <f>SUMIFS(Таблица1[Столбец1],Таблица1[коэф],"1,4",Таблица1[р/р],"4/24",Таблица1[Ф. И. О.],B737)</f>
        <v>0</v>
      </c>
      <c r="X741" s="492">
        <f t="shared" si="249"/>
        <v>0</v>
      </c>
      <c r="Y741" s="764"/>
      <c r="Z741" s="766"/>
      <c r="AA741" s="756"/>
    </row>
    <row r="742" spans="1:29" ht="19.5" thickBot="1">
      <c r="A742" s="757"/>
      <c r="B742" s="352"/>
      <c r="C742" s="760"/>
      <c r="D742" s="763"/>
      <c r="E742" s="481"/>
      <c r="F742" s="417"/>
      <c r="G742" s="486"/>
      <c r="H742" s="468">
        <f t="shared" si="246"/>
        <v>0</v>
      </c>
      <c r="I742" s="645"/>
      <c r="J742" s="456"/>
      <c r="K742" s="646"/>
      <c r="L742" s="458">
        <f t="shared" si="247"/>
        <v>0</v>
      </c>
      <c r="M742" s="645"/>
      <c r="N742" s="646"/>
      <c r="O742" s="646"/>
      <c r="P742" s="476"/>
      <c r="Q742" s="652">
        <f>база!$L$6</f>
        <v>261.04640000000001</v>
      </c>
      <c r="R742" s="464">
        <v>1.4</v>
      </c>
      <c r="S742" s="465">
        <f>SUMIFS(Таблица1[Столбец1],Таблица1[коэф],"1,4",Таблица1[р/р],"5/16",Таблица1[Ф. И. О.],B737)</f>
        <v>0</v>
      </c>
      <c r="T742" s="513">
        <f t="shared" si="248"/>
        <v>0</v>
      </c>
      <c r="U742" s="463">
        <f>база!$M$6</f>
        <v>279.0496</v>
      </c>
      <c r="V742" s="464">
        <v>1.4</v>
      </c>
      <c r="W742" s="465">
        <f>SUMIFS(Таблица1[Столбец1],Таблица1[коэф],"1,4",Таблица1[р/р],"5/24",Таблица1[Ф. И. О.],B737)</f>
        <v>0</v>
      </c>
      <c r="X742" s="513">
        <f t="shared" si="249"/>
        <v>0</v>
      </c>
      <c r="Y742" s="765"/>
      <c r="Z742" s="767"/>
      <c r="AA742" s="757"/>
    </row>
    <row r="743" spans="1:29" ht="18.75">
      <c r="A743" s="755">
        <v>68</v>
      </c>
      <c r="B743" s="215"/>
      <c r="C743" s="758">
        <f>INDEX(база!$E$2:$E$181, MATCH(B748,база!$B$2:$B$160,0))</f>
        <v>17289</v>
      </c>
      <c r="D743" s="761">
        <f>INDEX(база!$D$2:$D$189, MATCH(B748,база!$B$2:$B$160,0))</f>
        <v>3</v>
      </c>
      <c r="E743" s="377">
        <f>IF(D743&lt;=3,база!$I$4,
IF(D743=4,база!$I$5,
IF(D743=5,база!$I$6)))</f>
        <v>188.7912</v>
      </c>
      <c r="F743" s="378">
        <v>1</v>
      </c>
      <c r="G743" s="387">
        <f>SUMIFS(Таблица1[Столбец1],Таблица1[коэф],"1",Таблица1[р/р],"2/4",Таблица1[Ф. И. О.],B748)</f>
        <v>0</v>
      </c>
      <c r="H743" s="402">
        <f t="shared" si="246"/>
        <v>0</v>
      </c>
      <c r="I743" s="452">
        <f>IF(D743&lt;=3,база!$J$4,
IF(D743=4,база!$J$5,
IF(D743=5,база!$J$6)))</f>
        <v>196.05240000000001</v>
      </c>
      <c r="J743" s="475">
        <v>1</v>
      </c>
      <c r="K743" s="453">
        <f>SUMIFS(Таблица1[Столбец1],Таблица1[коэф],"1",Таблица1[р/р],"2/8",Таблица1[Ф. И. О.],B748)</f>
        <v>0</v>
      </c>
      <c r="L743" s="484">
        <f t="shared" si="247"/>
        <v>0</v>
      </c>
      <c r="M743" s="453"/>
      <c r="N743" s="453">
        <v>1</v>
      </c>
      <c r="O743" s="453">
        <f>SUMIFS(Data_Tech!$AM$3:$AM$67,Data_Tech!$E$3:$E$67,"1",Data_Tech!$G$3:$G$67,"3/12",Data_Tech!$F$3:$F$67,B748)</f>
        <v>0</v>
      </c>
      <c r="P743" s="398">
        <f>ROUND(M743*N743*O743,2)</f>
        <v>0</v>
      </c>
      <c r="Q743" s="481">
        <f>IF(D743&lt;=3,база!$L$4,
IF(D743=4,база!$L$5,
IF(D743=5,база!$L$6)))</f>
        <v>210.57480000000001</v>
      </c>
      <c r="R743" s="417">
        <v>1</v>
      </c>
      <c r="S743" s="418">
        <f>SUMIFS(Таблица1[Столбец1],Таблица1[коэф],"1",Таблица1[р/р],"3/16",Таблица1[Ф. И. О.],B748)</f>
        <v>0</v>
      </c>
      <c r="T743" s="492">
        <f t="shared" si="248"/>
        <v>0</v>
      </c>
      <c r="U743" s="483">
        <f>IF(D743&lt;=3,база!$M$4,
IF(D743=4,база!$M$5,
IF(D743=5,база!$M$6)))</f>
        <v>225.09719999999999</v>
      </c>
      <c r="V743" s="417">
        <v>1</v>
      </c>
      <c r="W743" s="455">
        <f>SUMIFS(Таблица1[Столбец1],Таблица1[коэф],"1",Таблица1[р/р],"3/24",Таблица1[Ф. И. О.],B748)</f>
        <v>0</v>
      </c>
      <c r="X743" s="492">
        <f t="shared" si="249"/>
        <v>0</v>
      </c>
      <c r="Y743" s="764">
        <f>SUM(G743:G753,K743:K753,O743:O753,S743:S753,W743:W753)</f>
        <v>0</v>
      </c>
      <c r="Z743" s="766">
        <f t="shared" ref="Z743" si="258">IFERROR(SUM(H743:H753,L743:L753,T743:T753,X743:X753),"")</f>
        <v>0</v>
      </c>
      <c r="AA743" s="756"/>
    </row>
    <row r="744" spans="1:29" ht="18.75">
      <c r="A744" s="756"/>
      <c r="B744" s="215"/>
      <c r="C744" s="759"/>
      <c r="D744" s="762"/>
      <c r="E744" s="389">
        <f>IF(D743&lt;=3,база!$I$4,
IF(D743=4,база!$I$5,
IF(D743=5,база!$I$6)))</f>
        <v>188.7912</v>
      </c>
      <c r="F744" s="390">
        <v>1</v>
      </c>
      <c r="G744" s="400">
        <f>SUMIFS(Таблица1[Столбец1],Таблица1[коэф],"1",Таблица1[р/р],"3/4",Таблица1[Ф. И. О.],B748)</f>
        <v>0</v>
      </c>
      <c r="H744" s="392">
        <f>ROUND(E744*F744*G744*2,2)</f>
        <v>0</v>
      </c>
      <c r="I744" s="432">
        <f>IF(D743&lt;=3,база!$J$4,
IF(D743=4,база!$J$5,
IF(D743=5,база!$J$6)))</f>
        <v>196.05240000000001</v>
      </c>
      <c r="J744" s="433">
        <v>1</v>
      </c>
      <c r="K744" s="434">
        <f>SUMIFS(Таблица1[Столбец1],Таблица1[коэф],"1",Таблица1[р/р],"3/8",Таблица1[Ф. И. О.],B748)</f>
        <v>0</v>
      </c>
      <c r="L744" s="484">
        <f t="shared" si="247"/>
        <v>0</v>
      </c>
      <c r="M744" s="434"/>
      <c r="N744" s="434">
        <v>1</v>
      </c>
      <c r="O744" s="434">
        <f>SUMIFS(Data_Tech!$AM$3:$AM$67,Data_Tech!$E$3:$E$67,"1",Data_Tech!$G$3:$G$67,"4/12",Data_Tech!$F$3:$F$67,B748)</f>
        <v>0</v>
      </c>
      <c r="P744" s="406">
        <f>ROUND(M744*O744,2)</f>
        <v>0</v>
      </c>
      <c r="Q744" s="389">
        <f>база!$L$5</f>
        <v>231.45480000000001</v>
      </c>
      <c r="R744" s="390">
        <v>1</v>
      </c>
      <c r="S744" s="400">
        <f>SUMIFS(Таблица1[Столбец1],Таблица1[коэф],"1",Таблица1[р/р],"4/16",Таблица1[Ф. И. О.],B748)</f>
        <v>0</v>
      </c>
      <c r="T744" s="492">
        <f t="shared" si="248"/>
        <v>0</v>
      </c>
      <c r="U744" s="478">
        <f>база!$M$5</f>
        <v>247.41720000000001</v>
      </c>
      <c r="V744" s="390">
        <v>1</v>
      </c>
      <c r="W744" s="412">
        <f>SUMIFS(Таблица1[Столбец1],Таблица1[коэф],"1",Таблица1[р/р],"4/24",Таблица1[Ф. И. О.],B748)</f>
        <v>0</v>
      </c>
      <c r="X744" s="492">
        <f t="shared" si="249"/>
        <v>0</v>
      </c>
      <c r="Y744" s="764"/>
      <c r="Z744" s="766"/>
      <c r="AA744" s="756"/>
    </row>
    <row r="745" spans="1:29" ht="18.75">
      <c r="A745" s="756"/>
      <c r="B745" s="215"/>
      <c r="C745" s="759"/>
      <c r="D745" s="762"/>
      <c r="E745" s="389"/>
      <c r="F745" s="390"/>
      <c r="G745" s="400"/>
      <c r="H745" s="392">
        <f t="shared" si="246"/>
        <v>0</v>
      </c>
      <c r="I745" s="432"/>
      <c r="J745" s="433"/>
      <c r="K745" s="434"/>
      <c r="L745" s="484">
        <f t="shared" si="247"/>
        <v>0</v>
      </c>
      <c r="M745" s="434"/>
      <c r="N745" s="434"/>
      <c r="O745" s="434"/>
      <c r="P745" s="406"/>
      <c r="Q745" s="389">
        <f>база!$L$6</f>
        <v>261.04640000000001</v>
      </c>
      <c r="R745" s="390">
        <v>1</v>
      </c>
      <c r="S745" s="400">
        <f>SUMIFS(Таблица1[Столбец1],Таблица1[коэф],"1",Таблица1[р/р],"5/16",Таблица1[Ф. И. О.],B748)</f>
        <v>0</v>
      </c>
      <c r="T745" s="492">
        <f t="shared" si="248"/>
        <v>0</v>
      </c>
      <c r="U745" s="478">
        <f>база!$M$6</f>
        <v>279.0496</v>
      </c>
      <c r="V745" s="390">
        <v>1</v>
      </c>
      <c r="W745" s="412">
        <f>SUMIFS(Таблица1[Столбец1],Таблица1[коэф],"1",Таблица1[р/р],"5/24",Таблица1[Ф. И. О.],B748)</f>
        <v>0</v>
      </c>
      <c r="X745" s="492">
        <f t="shared" si="249"/>
        <v>0</v>
      </c>
      <c r="Y745" s="764"/>
      <c r="Z745" s="766"/>
      <c r="AA745" s="756"/>
    </row>
    <row r="746" spans="1:29" ht="18.75">
      <c r="A746" s="756"/>
      <c r="B746" s="215"/>
      <c r="C746" s="759"/>
      <c r="D746" s="762"/>
      <c r="E746" s="389"/>
      <c r="F746" s="390"/>
      <c r="G746" s="400"/>
      <c r="H746" s="392">
        <f t="shared" si="246"/>
        <v>0</v>
      </c>
      <c r="I746" s="432">
        <f>база!$J$5</f>
        <v>215.4924</v>
      </c>
      <c r="J746" s="433">
        <v>1.5</v>
      </c>
      <c r="K746" s="434">
        <f>SUMIFS(Таблица1[Столбец1],Таблица1[коэф],"1,5",Таблица1[р/р],"4/8",Таблица1[Ф. И. О.],B748)</f>
        <v>0</v>
      </c>
      <c r="L746" s="484">
        <f t="shared" si="247"/>
        <v>0</v>
      </c>
      <c r="M746" s="434"/>
      <c r="N746" s="434"/>
      <c r="O746" s="434"/>
      <c r="P746" s="406"/>
      <c r="Q746" s="389">
        <f>IF(D743&lt;=3,база!$L$4,
IF(D743=4,база!$L$5,
IF(D743=5,база!$L$6)))</f>
        <v>210.57480000000001</v>
      </c>
      <c r="R746" s="390">
        <v>1.2</v>
      </c>
      <c r="S746" s="400">
        <f>SUMIFS(Таблица1[Столбец1],Таблица1[коэф],"1,2",Таблица1[р/р],"3/16",Таблица1[Ф. И. О.],B748)</f>
        <v>0</v>
      </c>
      <c r="T746" s="492">
        <f t="shared" si="248"/>
        <v>0</v>
      </c>
      <c r="U746" s="478">
        <f>IF(D743&lt;=3,база!$M$4,
IF(D743=4,база!$M$5,
IF(D743=5,база!$M$6)))</f>
        <v>225.09719999999999</v>
      </c>
      <c r="V746" s="390">
        <v>1.2</v>
      </c>
      <c r="W746" s="412">
        <f>SUMIFS(Таблица1[Столбец1],Таблица1[коэф],"1,2",Таблица1[р/р],"3/24",Таблица1[Ф. И. О.],B748)</f>
        <v>0</v>
      </c>
      <c r="X746" s="492">
        <f t="shared" si="249"/>
        <v>0</v>
      </c>
      <c r="Y746" s="764"/>
      <c r="Z746" s="766"/>
      <c r="AA746" s="756"/>
    </row>
    <row r="747" spans="1:29" ht="18.75">
      <c r="A747" s="756"/>
      <c r="B747" s="215"/>
      <c r="C747" s="759"/>
      <c r="D747" s="762"/>
      <c r="E747" s="389"/>
      <c r="F747" s="390"/>
      <c r="G747" s="400"/>
      <c r="H747" s="392">
        <f t="shared" si="246"/>
        <v>0</v>
      </c>
      <c r="I747" s="432">
        <f>база!$J$6</f>
        <v>243.04319999999998</v>
      </c>
      <c r="J747" s="433">
        <v>1.5</v>
      </c>
      <c r="K747" s="434">
        <f>SUMIFS(Таблица1[Столбец1],Таблица1[коэф],"1,5",Таблица1[р/р],"5/8",Таблица1[Ф. И. О.],B748)</f>
        <v>0</v>
      </c>
      <c r="L747" s="484">
        <f t="shared" si="247"/>
        <v>0</v>
      </c>
      <c r="M747" s="434"/>
      <c r="N747" s="434"/>
      <c r="O747" s="434"/>
      <c r="P747" s="406"/>
      <c r="Q747" s="389">
        <f>база!$L$5</f>
        <v>231.45480000000001</v>
      </c>
      <c r="R747" s="390">
        <v>1.2</v>
      </c>
      <c r="S747" s="400">
        <f>SUMIFS(Таблица1[Столбец1],Таблица1[коэф],"1,2",Таблица1[р/р],"4/16",Таблица1[Ф. И. О.],B748)</f>
        <v>0</v>
      </c>
      <c r="T747" s="492">
        <f t="shared" si="248"/>
        <v>0</v>
      </c>
      <c r="U747" s="478">
        <f>база!$M$5</f>
        <v>247.41720000000001</v>
      </c>
      <c r="V747" s="390">
        <v>1.2</v>
      </c>
      <c r="W747" s="412">
        <f>SUMIFS(Таблица1[Столбец1],Таблица1[коэф],"1,2",Таблица1[р/р],"4/24",Таблица1[Ф. И. О.],B748)</f>
        <v>0</v>
      </c>
      <c r="X747" s="492">
        <f t="shared" si="249"/>
        <v>0</v>
      </c>
      <c r="Y747" s="764"/>
      <c r="Z747" s="766"/>
      <c r="AA747" s="756"/>
    </row>
    <row r="748" spans="1:29" ht="18.75">
      <c r="A748" s="756"/>
      <c r="B748" s="215" t="str">
        <f>база!B69</f>
        <v>Скрынникова Виктория Геннадьевна</v>
      </c>
      <c r="C748" s="759"/>
      <c r="D748" s="762"/>
      <c r="E748" s="389"/>
      <c r="F748" s="390"/>
      <c r="G748" s="400"/>
      <c r="H748" s="392">
        <f t="shared" si="246"/>
        <v>0</v>
      </c>
      <c r="I748" s="432"/>
      <c r="J748" s="433"/>
      <c r="K748" s="434"/>
      <c r="L748" s="484">
        <f t="shared" si="247"/>
        <v>0</v>
      </c>
      <c r="M748" s="434"/>
      <c r="N748" s="434"/>
      <c r="O748" s="434"/>
      <c r="P748" s="406"/>
      <c r="Q748" s="389">
        <f>база!$L$6</f>
        <v>261.04640000000001</v>
      </c>
      <c r="R748" s="390">
        <v>1.2</v>
      </c>
      <c r="S748" s="400">
        <f>SUMIFS(Таблица1[Столбец1],Таблица1[коэф],"1,2",Таблица1[р/р],"5/16",Таблица1[Ф. И. О.],B748)</f>
        <v>0</v>
      </c>
      <c r="T748" s="492">
        <f t="shared" si="248"/>
        <v>0</v>
      </c>
      <c r="U748" s="478">
        <f>база!$M$6</f>
        <v>279.0496</v>
      </c>
      <c r="V748" s="390">
        <v>1.2</v>
      </c>
      <c r="W748" s="412">
        <f>SUMIFS(Таблица1[Столбец1],Таблица1[коэф],"1,2",Таблица1[р/р],"5/24",Таблица1[Ф. И. О.],B748)</f>
        <v>0</v>
      </c>
      <c r="X748" s="492">
        <f t="shared" si="249"/>
        <v>0</v>
      </c>
      <c r="Y748" s="764"/>
      <c r="Z748" s="766"/>
      <c r="AA748" s="756"/>
      <c r="AC748" s="712" t="str">
        <f>IF(SUMIFS(Таблица1[Столбец3],Таблица1[Ф. И. О.],B748)-Z743=0,"",SUMIFS(Таблица1[Столбец3],Таблица1[Ф. И. О.],B748)-Z743)</f>
        <v/>
      </c>
    </row>
    <row r="749" spans="1:29" ht="18.75">
      <c r="A749" s="756"/>
      <c r="B749" s="215"/>
      <c r="C749" s="759"/>
      <c r="D749" s="762"/>
      <c r="E749" s="389"/>
      <c r="F749" s="390"/>
      <c r="G749" s="400"/>
      <c r="H749" s="392">
        <f t="shared" si="246"/>
        <v>0</v>
      </c>
      <c r="I749" s="432"/>
      <c r="J749" s="433"/>
      <c r="K749" s="434"/>
      <c r="L749" s="484">
        <f t="shared" si="247"/>
        <v>0</v>
      </c>
      <c r="M749" s="434"/>
      <c r="N749" s="434"/>
      <c r="O749" s="434"/>
      <c r="P749" s="406"/>
      <c r="Q749" s="389">
        <f>IF($D$6&lt;=3,база!$L$4,
IF($D$6=4,база!$L$5,
IF($D$6=5,база!$L$6)))</f>
        <v>231.45480000000001</v>
      </c>
      <c r="R749" s="390">
        <v>1.3</v>
      </c>
      <c r="S749" s="400">
        <f>SUMIFS(Таблица1[Столбец1],Таблица1[коэф],"1,3",Таблица1[р/р],"3/16",Таблица1[Ф. И. О.],B748)</f>
        <v>0</v>
      </c>
      <c r="T749" s="492">
        <f t="shared" si="248"/>
        <v>0</v>
      </c>
      <c r="U749" s="478">
        <f>IF(D743&lt;=3,база!$M$4,
IF(D743=4,база!$M$5,
IF(D743=5,база!$M$6)))</f>
        <v>225.09719999999999</v>
      </c>
      <c r="V749" s="390">
        <v>1.3</v>
      </c>
      <c r="W749" s="412">
        <f>SUMIFS(Таблица1[Столбец1],Таблица1[коэф],"1,3",Таблица1[р/р],"3/24",Таблица1[Ф. И. О.],B748)</f>
        <v>0</v>
      </c>
      <c r="X749" s="492">
        <f t="shared" si="249"/>
        <v>0</v>
      </c>
      <c r="Y749" s="764"/>
      <c r="Z749" s="766"/>
      <c r="AA749" s="756"/>
      <c r="AC749" s="712" t="str">
        <f>IF(SUMIFS(Таблица1[Столбец1],Таблица1[Ф. И. О.],B748)=Y743,"",B748&amp;"  часы не верны")</f>
        <v/>
      </c>
    </row>
    <row r="750" spans="1:29" ht="18.75">
      <c r="A750" s="756"/>
      <c r="B750" s="215"/>
      <c r="C750" s="759"/>
      <c r="D750" s="762"/>
      <c r="E750" s="389"/>
      <c r="F750" s="390"/>
      <c r="G750" s="400"/>
      <c r="H750" s="392">
        <f t="shared" si="246"/>
        <v>0</v>
      </c>
      <c r="I750" s="432"/>
      <c r="J750" s="433"/>
      <c r="K750" s="434"/>
      <c r="L750" s="484">
        <f t="shared" si="247"/>
        <v>0</v>
      </c>
      <c r="M750" s="434"/>
      <c r="N750" s="434"/>
      <c r="O750" s="434"/>
      <c r="P750" s="406"/>
      <c r="Q750" s="389">
        <f>база!$L$5</f>
        <v>231.45480000000001</v>
      </c>
      <c r="R750" s="390">
        <v>1.3</v>
      </c>
      <c r="S750" s="400">
        <f>SUMIFS(Таблица1[Столбец1],Таблица1[коэф],"1,3",Таблица1[р/р],"4/16",Таблица1[Ф. И. О.],B748)</f>
        <v>0</v>
      </c>
      <c r="T750" s="492">
        <f t="shared" si="248"/>
        <v>0</v>
      </c>
      <c r="U750" s="478">
        <f>база!$M$5</f>
        <v>247.41720000000001</v>
      </c>
      <c r="V750" s="390">
        <v>1.3</v>
      </c>
      <c r="W750" s="412">
        <f>SUMIFS(Таблица1[Столбец1],Таблица1[коэф],"1,3",Таблица1[р/р],"4/24",Таблица1[Ф. И. О.],B748)</f>
        <v>0</v>
      </c>
      <c r="X750" s="492">
        <f t="shared" si="249"/>
        <v>0</v>
      </c>
      <c r="Y750" s="764"/>
      <c r="Z750" s="766"/>
      <c r="AA750" s="756"/>
    </row>
    <row r="751" spans="1:29" ht="18.75">
      <c r="A751" s="756"/>
      <c r="B751" s="215"/>
      <c r="C751" s="759"/>
      <c r="D751" s="762"/>
      <c r="E751" s="389"/>
      <c r="F751" s="390"/>
      <c r="G751" s="400"/>
      <c r="H751" s="392">
        <f t="shared" si="246"/>
        <v>0</v>
      </c>
      <c r="I751" s="432"/>
      <c r="J751" s="433"/>
      <c r="K751" s="434"/>
      <c r="L751" s="484">
        <f t="shared" si="247"/>
        <v>0</v>
      </c>
      <c r="M751" s="434"/>
      <c r="N751" s="434"/>
      <c r="O751" s="434"/>
      <c r="P751" s="406"/>
      <c r="Q751" s="389">
        <f>IF(D743&lt;=3,база!$L$4,
IF(D743=4,база!$L$5,
IF(D743=5,база!$L$6)))</f>
        <v>210.57480000000001</v>
      </c>
      <c r="R751" s="390">
        <v>1.4</v>
      </c>
      <c r="S751" s="400">
        <f>SUMIFS(Таблица1[Столбец1],Таблица1[коэф],"1,4",Таблица1[р/р],"3/16",Таблица1[Ф. И. О.],B748)</f>
        <v>0</v>
      </c>
      <c r="T751" s="492">
        <f t="shared" si="248"/>
        <v>0</v>
      </c>
      <c r="U751" s="478">
        <f>IF(D743&lt;=3,база!$M$4,
IF(D743=4,база!$M$5,
IF(D743=5,база!$M$6)))</f>
        <v>225.09719999999999</v>
      </c>
      <c r="V751" s="390">
        <v>1.4</v>
      </c>
      <c r="W751" s="412">
        <f>SUMIFS(Таблица1[Столбец1],Таблица1[коэф],"1,4",Таблица1[р/р],"3/24",Таблица1[Ф. И. О.],B748)</f>
        <v>0</v>
      </c>
      <c r="X751" s="492">
        <f t="shared" si="249"/>
        <v>0</v>
      </c>
      <c r="Y751" s="764"/>
      <c r="Z751" s="766"/>
      <c r="AA751" s="756"/>
    </row>
    <row r="752" spans="1:29" ht="18.75">
      <c r="A752" s="756"/>
      <c r="B752" s="215"/>
      <c r="C752" s="759"/>
      <c r="D752" s="762"/>
      <c r="E752" s="389"/>
      <c r="F752" s="390"/>
      <c r="G752" s="400"/>
      <c r="H752" s="392">
        <f t="shared" si="246"/>
        <v>0</v>
      </c>
      <c r="I752" s="432"/>
      <c r="J752" s="433"/>
      <c r="K752" s="434"/>
      <c r="L752" s="484">
        <f t="shared" si="247"/>
        <v>0</v>
      </c>
      <c r="M752" s="434"/>
      <c r="N752" s="434"/>
      <c r="O752" s="434"/>
      <c r="P752" s="406"/>
      <c r="Q752" s="389">
        <f>база!$L$5</f>
        <v>231.45480000000001</v>
      </c>
      <c r="R752" s="390">
        <v>1.4</v>
      </c>
      <c r="S752" s="400">
        <f>SUMIFS(Таблица1[Столбец1],Таблица1[коэф],"1,4",Таблица1[р/р],"4/16",Таблица1[Ф. И. О.],B748)</f>
        <v>0</v>
      </c>
      <c r="T752" s="492">
        <f t="shared" si="248"/>
        <v>0</v>
      </c>
      <c r="U752" s="478">
        <f>база!$M$5</f>
        <v>247.41720000000001</v>
      </c>
      <c r="V752" s="390">
        <v>1.4</v>
      </c>
      <c r="W752" s="412">
        <f>SUMIFS(Таблица1[Столбец1],Таблица1[коэф],"1,4",Таблица1[р/р],"4/24",Таблица1[Ф. И. О.],B748)</f>
        <v>0</v>
      </c>
      <c r="X752" s="492">
        <f t="shared" si="249"/>
        <v>0</v>
      </c>
      <c r="Y752" s="764"/>
      <c r="Z752" s="766"/>
      <c r="AA752" s="756"/>
    </row>
    <row r="753" spans="1:29" ht="19.5" thickBot="1">
      <c r="A753" s="757"/>
      <c r="B753" s="352"/>
      <c r="C753" s="760"/>
      <c r="D753" s="763"/>
      <c r="E753" s="481"/>
      <c r="F753" s="417"/>
      <c r="G753" s="486"/>
      <c r="H753" s="468">
        <f t="shared" si="246"/>
        <v>0</v>
      </c>
      <c r="I753" s="645"/>
      <c r="J753" s="456"/>
      <c r="K753" s="646"/>
      <c r="L753" s="458">
        <f t="shared" si="247"/>
        <v>0</v>
      </c>
      <c r="M753" s="645"/>
      <c r="N753" s="646"/>
      <c r="O753" s="646"/>
      <c r="P753" s="476"/>
      <c r="Q753" s="652">
        <f>база!$L$6</f>
        <v>261.04640000000001</v>
      </c>
      <c r="R753" s="464">
        <v>1.4</v>
      </c>
      <c r="S753" s="465">
        <f>SUMIFS(Таблица1[Столбец1],Таблица1[коэф],"1,4",Таблица1[р/р],"5/16",Таблица1[Ф. И. О.],B748)</f>
        <v>0</v>
      </c>
      <c r="T753" s="513">
        <f t="shared" si="248"/>
        <v>0</v>
      </c>
      <c r="U753" s="463">
        <f>база!$M$6</f>
        <v>279.0496</v>
      </c>
      <c r="V753" s="464">
        <v>1.4</v>
      </c>
      <c r="W753" s="465">
        <f>SUMIFS(Таблица1[Столбец1],Таблица1[коэф],"1,4",Таблица1[р/р],"5/24",Таблица1[Ф. И. О.],B748)</f>
        <v>0</v>
      </c>
      <c r="X753" s="513">
        <f t="shared" si="249"/>
        <v>0</v>
      </c>
      <c r="Y753" s="765"/>
      <c r="Z753" s="767"/>
      <c r="AA753" s="757"/>
    </row>
    <row r="754" spans="1:29" ht="18.75" customHeight="1">
      <c r="A754" s="755">
        <v>69</v>
      </c>
      <c r="B754" s="215"/>
      <c r="C754" s="758">
        <f>INDEX(база!$E$2:$E$181, MATCH(B759,база!$B$2:$B$160,0))</f>
        <v>14639</v>
      </c>
      <c r="D754" s="761">
        <f>INDEX(база!$D$2:$D$189, MATCH(B759,база!$B$2:$B$160,0))</f>
        <v>4</v>
      </c>
      <c r="E754" s="377">
        <f>IF(D754&lt;=3,база!$I$4,
IF(D754=4,база!$I$5,
IF(D754=5,база!$I$6)))</f>
        <v>207.5112</v>
      </c>
      <c r="F754" s="378">
        <v>1</v>
      </c>
      <c r="G754" s="387">
        <f>SUMIFS(Таблица1[Столбец1],Таблица1[коэф],"1",Таблица1[р/р],"2/4",Таблица1[Ф. И. О.],B759)</f>
        <v>0</v>
      </c>
      <c r="H754" s="402">
        <f t="shared" ref="H754" si="259">ROUND(E754*F754*G754*2,2)</f>
        <v>0</v>
      </c>
      <c r="I754" s="452">
        <f>IF(D754&lt;=3,база!$J$4,
IF(D754=4,база!$J$5,
IF(D754=5,база!$J$6)))</f>
        <v>215.4924</v>
      </c>
      <c r="J754" s="475">
        <v>1</v>
      </c>
      <c r="K754" s="453">
        <f>SUMIFS(Таблица1[Столбец1],Таблица1[коэф],"1",Таблица1[р/р],"2/8",Таблица1[Ф. И. О.],B759)</f>
        <v>0</v>
      </c>
      <c r="L754" s="484">
        <f t="shared" ref="L754:L797" si="260">ROUND(I754*J754*K754*2,2)</f>
        <v>0</v>
      </c>
      <c r="M754" s="453"/>
      <c r="N754" s="453">
        <v>1</v>
      </c>
      <c r="O754" s="453">
        <f>SUMIFS(Data_Tech!$AM$3:$AM$67,Data_Tech!$E$3:$E$67,"1",Data_Tech!$G$3:$G$67,"3/12",Data_Tech!$F$3:$F$67,B759)</f>
        <v>0</v>
      </c>
      <c r="P754" s="398">
        <f>ROUND(M754*N754*O754,2)</f>
        <v>0</v>
      </c>
      <c r="Q754" s="481">
        <f>IF(D754&lt;=3,база!$L$4,
IF(D754=4,база!$L$5,
IF(D754=5,база!$L$6)))</f>
        <v>231.45480000000001</v>
      </c>
      <c r="R754" s="417">
        <v>1</v>
      </c>
      <c r="S754" s="418">
        <f>SUMIFS(Таблица1[Столбец1],Таблица1[коэф],"1",Таблица1[р/р],"3/16",Таблица1[Ф. И. О.],B759)</f>
        <v>0</v>
      </c>
      <c r="T754" s="492">
        <f t="shared" ref="T754:T797" si="261">ROUND(Q754*R754*S754*2,2)</f>
        <v>0</v>
      </c>
      <c r="U754" s="483">
        <f>IF(D754&lt;=3,база!$M$4,
IF(D754=4,база!$M$5,
IF(D754=5,база!$M$6)))</f>
        <v>247.41720000000001</v>
      </c>
      <c r="V754" s="417">
        <v>1</v>
      </c>
      <c r="W754" s="455">
        <f>SUMIFS(Таблица1[Столбец1],Таблица1[коэф],"1",Таблица1[р/р],"3/24",Таблица1[Ф. И. О.],B759)</f>
        <v>0</v>
      </c>
      <c r="X754" s="492">
        <f t="shared" ref="X754:X797" si="262">ROUND(U754*V754*W754*2,2)</f>
        <v>0</v>
      </c>
      <c r="Y754" s="764">
        <f t="shared" ref="Y754" si="263">SUM(G754:G764,K754:K764,O754:O764,S754:S764,W754:W764)</f>
        <v>0</v>
      </c>
      <c r="Z754" s="766">
        <f t="shared" ref="Z754:Z787" si="264">IFERROR(SUM(H754:H764,L754:L764,T754:T764,X754:X764),"")</f>
        <v>0</v>
      </c>
      <c r="AA754" s="756"/>
    </row>
    <row r="755" spans="1:29" ht="18.75" customHeight="1">
      <c r="A755" s="756"/>
      <c r="B755" s="215"/>
      <c r="C755" s="759"/>
      <c r="D755" s="762"/>
      <c r="E755" s="389">
        <f>IF(D754&lt;=3,база!$I$4,
IF(D754=4,база!$I$5,
IF(D754=5,база!$I$6)))</f>
        <v>207.5112</v>
      </c>
      <c r="F755" s="390">
        <v>1</v>
      </c>
      <c r="G755" s="400">
        <f>SUMIFS(Таблица1[Столбец1],Таблица1[коэф],"1",Таблица1[р/р],"3/4",Таблица1[Ф. И. О.],B759)</f>
        <v>0</v>
      </c>
      <c r="H755" s="392">
        <f>ROUND(E755*F755*G755*2,2)</f>
        <v>0</v>
      </c>
      <c r="I755" s="432">
        <f>IF(D754&lt;=3,база!$J$4,
IF(D754=4,база!$J$5,
IF(D754=5,база!$J$6)))</f>
        <v>215.4924</v>
      </c>
      <c r="J755" s="433">
        <v>1</v>
      </c>
      <c r="K755" s="434">
        <f>SUMIFS(Таблица1[Столбец1],Таблица1[коэф],"1",Таблица1[р/р],"3/8",Таблица1[Ф. И. О.],B759)</f>
        <v>0</v>
      </c>
      <c r="L755" s="484">
        <f t="shared" si="260"/>
        <v>0</v>
      </c>
      <c r="M755" s="434"/>
      <c r="N755" s="434">
        <v>1</v>
      </c>
      <c r="O755" s="434">
        <f>SUMIFS(Data_Tech!$AM$3:$AM$67,Data_Tech!$E$3:$E$67,"1",Data_Tech!$G$3:$G$67,"4/12",Data_Tech!$F$3:$F$67,B759)</f>
        <v>0</v>
      </c>
      <c r="P755" s="406">
        <f>ROUND(M755*O755,2)</f>
        <v>0</v>
      </c>
      <c r="Q755" s="389">
        <f>база!$L$5</f>
        <v>231.45480000000001</v>
      </c>
      <c r="R755" s="390">
        <v>1</v>
      </c>
      <c r="S755" s="400">
        <f>SUMIFS(Таблица1[Столбец1],Таблица1[коэф],"1",Таблица1[р/р],"4/16",Таблица1[Ф. И. О.],B759)</f>
        <v>0</v>
      </c>
      <c r="T755" s="492">
        <f t="shared" si="261"/>
        <v>0</v>
      </c>
      <c r="U755" s="478">
        <f>база!$M$5</f>
        <v>247.41720000000001</v>
      </c>
      <c r="V755" s="390">
        <v>1</v>
      </c>
      <c r="W755" s="412">
        <f>SUMIFS(Таблица1[Столбец1],Таблица1[коэф],"1",Таблица1[р/р],"4/24",Таблица1[Ф. И. О.],B759)</f>
        <v>0</v>
      </c>
      <c r="X755" s="492">
        <f t="shared" si="262"/>
        <v>0</v>
      </c>
      <c r="Y755" s="764"/>
      <c r="Z755" s="766"/>
      <c r="AA755" s="756"/>
    </row>
    <row r="756" spans="1:29" ht="18.75" customHeight="1">
      <c r="A756" s="756"/>
      <c r="B756" s="215"/>
      <c r="C756" s="759"/>
      <c r="D756" s="762"/>
      <c r="E756" s="389"/>
      <c r="F756" s="390"/>
      <c r="G756" s="400"/>
      <c r="H756" s="392">
        <f t="shared" ref="H756:H765" si="265">ROUND(E756*F756*G756*2,2)</f>
        <v>0</v>
      </c>
      <c r="I756" s="432"/>
      <c r="J756" s="433"/>
      <c r="K756" s="434"/>
      <c r="L756" s="484">
        <f t="shared" si="260"/>
        <v>0</v>
      </c>
      <c r="M756" s="434"/>
      <c r="N756" s="434"/>
      <c r="O756" s="434"/>
      <c r="P756" s="406"/>
      <c r="Q756" s="389">
        <f>база!$L$6</f>
        <v>261.04640000000001</v>
      </c>
      <c r="R756" s="390">
        <v>1</v>
      </c>
      <c r="S756" s="400">
        <f>SUMIFS(Таблица1[Столбец1],Таблица1[коэф],"1",Таблица1[р/р],"5/16",Таблица1[Ф. И. О.],B759)</f>
        <v>0</v>
      </c>
      <c r="T756" s="492">
        <f t="shared" si="261"/>
        <v>0</v>
      </c>
      <c r="U756" s="478">
        <f>база!$M$6</f>
        <v>279.0496</v>
      </c>
      <c r="V756" s="390">
        <v>1</v>
      </c>
      <c r="W756" s="412">
        <f>SUMIFS(Таблица1[Столбец1],Таблица1[коэф],"1",Таблица1[р/р],"5/24",Таблица1[Ф. И. О.],B759)</f>
        <v>0</v>
      </c>
      <c r="X756" s="492">
        <f t="shared" si="262"/>
        <v>0</v>
      </c>
      <c r="Y756" s="764"/>
      <c r="Z756" s="766"/>
      <c r="AA756" s="756"/>
    </row>
    <row r="757" spans="1:29" ht="18.75" customHeight="1">
      <c r="A757" s="756"/>
      <c r="B757" s="215"/>
      <c r="C757" s="759"/>
      <c r="D757" s="762"/>
      <c r="E757" s="389"/>
      <c r="F757" s="390"/>
      <c r="G757" s="400"/>
      <c r="H757" s="392">
        <f t="shared" si="265"/>
        <v>0</v>
      </c>
      <c r="I757" s="432">
        <f>база!$J$5</f>
        <v>215.4924</v>
      </c>
      <c r="J757" s="433">
        <v>1.5</v>
      </c>
      <c r="K757" s="434">
        <f>SUMIFS(Таблица1[Столбец1],Таблица1[коэф],"1,5",Таблица1[р/р],"4/8",Таблица1[Ф. И. О.],B759)</f>
        <v>0</v>
      </c>
      <c r="L757" s="484">
        <f t="shared" si="260"/>
        <v>0</v>
      </c>
      <c r="M757" s="434"/>
      <c r="N757" s="434"/>
      <c r="O757" s="434"/>
      <c r="P757" s="406"/>
      <c r="Q757" s="389">
        <f>IF(D754&lt;=3,база!$L$4,
IF(D754=4,база!$L$5,
IF(D754=5,база!$L$6)))</f>
        <v>231.45480000000001</v>
      </c>
      <c r="R757" s="390">
        <v>1.2</v>
      </c>
      <c r="S757" s="400">
        <f>SUMIFS(Таблица1[Столбец1],Таблица1[коэф],"1,2",Таблица1[р/р],"3/16",Таблица1[Ф. И. О.],B759)</f>
        <v>0</v>
      </c>
      <c r="T757" s="492">
        <f t="shared" si="261"/>
        <v>0</v>
      </c>
      <c r="U757" s="478">
        <f>IF(D754&lt;=3,база!$M$4,
IF(D754=4,база!$M$5,
IF(D754=5,база!$M$6)))</f>
        <v>247.41720000000001</v>
      </c>
      <c r="V757" s="390">
        <v>1.2</v>
      </c>
      <c r="W757" s="412">
        <f>SUMIFS(Таблица1[Столбец1],Таблица1[коэф],"1,2",Таблица1[р/р],"3/24",Таблица1[Ф. И. О.],B759)</f>
        <v>0</v>
      </c>
      <c r="X757" s="492">
        <f t="shared" si="262"/>
        <v>0</v>
      </c>
      <c r="Y757" s="764"/>
      <c r="Z757" s="766"/>
      <c r="AA757" s="756"/>
    </row>
    <row r="758" spans="1:29" ht="18.75" customHeight="1">
      <c r="A758" s="756"/>
      <c r="B758" s="215"/>
      <c r="C758" s="759"/>
      <c r="D758" s="762"/>
      <c r="E758" s="389"/>
      <c r="F758" s="390"/>
      <c r="G758" s="400"/>
      <c r="H758" s="392">
        <f t="shared" si="265"/>
        <v>0</v>
      </c>
      <c r="I758" s="432">
        <f>база!$J$6</f>
        <v>243.04319999999998</v>
      </c>
      <c r="J758" s="433">
        <v>1.5</v>
      </c>
      <c r="K758" s="434">
        <f>SUMIFS(Таблица1[Столбец1],Таблица1[коэф],"1,5",Таблица1[р/р],"5/8",Таблица1[Ф. И. О.],B759)</f>
        <v>0</v>
      </c>
      <c r="L758" s="484">
        <f t="shared" si="260"/>
        <v>0</v>
      </c>
      <c r="M758" s="434"/>
      <c r="N758" s="434"/>
      <c r="O758" s="434"/>
      <c r="P758" s="406"/>
      <c r="Q758" s="389">
        <f>база!$L$5</f>
        <v>231.45480000000001</v>
      </c>
      <c r="R758" s="390">
        <v>1.2</v>
      </c>
      <c r="S758" s="400">
        <f>SUMIFS(Таблица1[Столбец1],Таблица1[коэф],"1,2",Таблица1[р/р],"4/16",Таблица1[Ф. И. О.],B759)</f>
        <v>0</v>
      </c>
      <c r="T758" s="492">
        <f t="shared" si="261"/>
        <v>0</v>
      </c>
      <c r="U758" s="478">
        <f>база!$M$5</f>
        <v>247.41720000000001</v>
      </c>
      <c r="V758" s="390">
        <v>1.2</v>
      </c>
      <c r="W758" s="412">
        <f>SUMIFS(Таблица1[Столбец1],Таблица1[коэф],"1,2",Таблица1[р/р],"4/24",Таблица1[Ф. И. О.],B759)</f>
        <v>0</v>
      </c>
      <c r="X758" s="492">
        <f t="shared" si="262"/>
        <v>0</v>
      </c>
      <c r="Y758" s="764"/>
      <c r="Z758" s="766"/>
      <c r="AA758" s="756"/>
    </row>
    <row r="759" spans="1:29" ht="18.75" customHeight="1">
      <c r="A759" s="756"/>
      <c r="B759" s="215" t="str">
        <f>база!B70</f>
        <v>Смирнова Елена Евгеньевна</v>
      </c>
      <c r="C759" s="759"/>
      <c r="D759" s="762"/>
      <c r="E759" s="389"/>
      <c r="F759" s="390"/>
      <c r="G759" s="400"/>
      <c r="H759" s="392">
        <f t="shared" si="265"/>
        <v>0</v>
      </c>
      <c r="I759" s="432"/>
      <c r="J759" s="433"/>
      <c r="K759" s="434"/>
      <c r="L759" s="484">
        <f t="shared" si="260"/>
        <v>0</v>
      </c>
      <c r="M759" s="434"/>
      <c r="N759" s="434"/>
      <c r="O759" s="434"/>
      <c r="P759" s="406"/>
      <c r="Q759" s="389">
        <f>база!$L$6</f>
        <v>261.04640000000001</v>
      </c>
      <c r="R759" s="390">
        <v>1.2</v>
      </c>
      <c r="S759" s="400">
        <f>SUMIFS(Таблица1[Столбец1],Таблица1[коэф],"1,2",Таблица1[р/р],"5/16",Таблица1[Ф. И. О.],B759)</f>
        <v>0</v>
      </c>
      <c r="T759" s="492">
        <f t="shared" si="261"/>
        <v>0</v>
      </c>
      <c r="U759" s="478">
        <f>база!$M$6</f>
        <v>279.0496</v>
      </c>
      <c r="V759" s="390">
        <v>1.2</v>
      </c>
      <c r="W759" s="412">
        <f>SUMIFS(Таблица1[Столбец1],Таблица1[коэф],"1,2",Таблица1[р/р],"5/24",Таблица1[Ф. И. О.],B759)</f>
        <v>0</v>
      </c>
      <c r="X759" s="492">
        <f t="shared" si="262"/>
        <v>0</v>
      </c>
      <c r="Y759" s="764"/>
      <c r="Z759" s="766"/>
      <c r="AA759" s="756"/>
      <c r="AC759" s="712" t="str">
        <f>IF(SUMIFS(Таблица1[Столбец3],Таблица1[Ф. И. О.],B759)-Z754=0,"",SUMIFS(Таблица1[Столбец3],Таблица1[Ф. И. О.],B759)-Z754)</f>
        <v/>
      </c>
    </row>
    <row r="760" spans="1:29" ht="18.75" customHeight="1">
      <c r="A760" s="756"/>
      <c r="B760" s="215"/>
      <c r="C760" s="759"/>
      <c r="D760" s="762"/>
      <c r="E760" s="389"/>
      <c r="F760" s="390"/>
      <c r="G760" s="400"/>
      <c r="H760" s="392">
        <f t="shared" si="265"/>
        <v>0</v>
      </c>
      <c r="I760" s="432"/>
      <c r="J760" s="433"/>
      <c r="K760" s="434"/>
      <c r="L760" s="484">
        <f t="shared" si="260"/>
        <v>0</v>
      </c>
      <c r="M760" s="434"/>
      <c r="N760" s="434"/>
      <c r="O760" s="434"/>
      <c r="P760" s="406"/>
      <c r="Q760" s="389">
        <f>IF($D$6&lt;=3,база!$L$4,
IF($D$6=4,база!$L$5,
IF($D$6=5,база!$L$6)))</f>
        <v>231.45480000000001</v>
      </c>
      <c r="R760" s="390">
        <v>1.3</v>
      </c>
      <c r="S760" s="400">
        <f>SUMIFS(Таблица1[Столбец1],Таблица1[коэф],"1,3",Таблица1[р/р],"3/16",Таблица1[Ф. И. О.],B759)</f>
        <v>0</v>
      </c>
      <c r="T760" s="492">
        <f t="shared" si="261"/>
        <v>0</v>
      </c>
      <c r="U760" s="478">
        <f>IF(D754&lt;=3,база!$M$4,
IF(D754=4,база!$M$5,
IF(D754=5,база!$M$6)))</f>
        <v>247.41720000000001</v>
      </c>
      <c r="V760" s="390">
        <v>1.3</v>
      </c>
      <c r="W760" s="412">
        <f>SUMIFS(Таблица1[Столбец1],Таблица1[коэф],"1,3",Таблица1[р/р],"3/24",Таблица1[Ф. И. О.],B759)</f>
        <v>0</v>
      </c>
      <c r="X760" s="492">
        <f t="shared" si="262"/>
        <v>0</v>
      </c>
      <c r="Y760" s="764"/>
      <c r="Z760" s="766"/>
      <c r="AA760" s="756"/>
      <c r="AC760" s="712" t="str">
        <f>IF(SUMIFS(Таблица1[Столбец1],Таблица1[Ф. И. О.],B759)=Y754,"",B759&amp;"  часы не верны")</f>
        <v/>
      </c>
    </row>
    <row r="761" spans="1:29" ht="18.75" customHeight="1">
      <c r="A761" s="756"/>
      <c r="B761" s="215"/>
      <c r="C761" s="759"/>
      <c r="D761" s="762"/>
      <c r="E761" s="389"/>
      <c r="F761" s="390"/>
      <c r="G761" s="400"/>
      <c r="H761" s="392">
        <f t="shared" si="265"/>
        <v>0</v>
      </c>
      <c r="I761" s="432"/>
      <c r="J761" s="433"/>
      <c r="K761" s="434"/>
      <c r="L761" s="484">
        <f t="shared" si="260"/>
        <v>0</v>
      </c>
      <c r="M761" s="434"/>
      <c r="N761" s="434"/>
      <c r="O761" s="434"/>
      <c r="P761" s="406"/>
      <c r="Q761" s="389">
        <f>база!$L$5</f>
        <v>231.45480000000001</v>
      </c>
      <c r="R761" s="390">
        <v>1.3</v>
      </c>
      <c r="S761" s="400">
        <f>SUMIFS(Таблица1[Столбец1],Таблица1[коэф],"1,3",Таблица1[р/р],"4/16",Таблица1[Ф. И. О.],B759)</f>
        <v>0</v>
      </c>
      <c r="T761" s="492">
        <f t="shared" si="261"/>
        <v>0</v>
      </c>
      <c r="U761" s="478">
        <f>база!$M$5</f>
        <v>247.41720000000001</v>
      </c>
      <c r="V761" s="390">
        <v>1.3</v>
      </c>
      <c r="W761" s="412">
        <f>SUMIFS(Таблица1[Столбец1],Таблица1[коэф],"1,3",Таблица1[р/р],"4/24",Таблица1[Ф. И. О.],B759)</f>
        <v>0</v>
      </c>
      <c r="X761" s="492">
        <f t="shared" si="262"/>
        <v>0</v>
      </c>
      <c r="Y761" s="764"/>
      <c r="Z761" s="766"/>
      <c r="AA761" s="756"/>
    </row>
    <row r="762" spans="1:29" ht="18.75" customHeight="1">
      <c r="A762" s="756"/>
      <c r="B762" s="215"/>
      <c r="C762" s="759"/>
      <c r="D762" s="762"/>
      <c r="E762" s="389"/>
      <c r="F762" s="390"/>
      <c r="G762" s="400"/>
      <c r="H762" s="392">
        <f t="shared" si="265"/>
        <v>0</v>
      </c>
      <c r="I762" s="432"/>
      <c r="J762" s="433"/>
      <c r="K762" s="434"/>
      <c r="L762" s="484">
        <f t="shared" si="260"/>
        <v>0</v>
      </c>
      <c r="M762" s="434"/>
      <c r="N762" s="434"/>
      <c r="O762" s="434"/>
      <c r="P762" s="406"/>
      <c r="Q762" s="389">
        <f>IF(D754&lt;=3,база!$L$4,
IF(D754=4,база!$L$5,
IF(D754=5,база!$L$6)))</f>
        <v>231.45480000000001</v>
      </c>
      <c r="R762" s="390">
        <v>1.4</v>
      </c>
      <c r="S762" s="400">
        <f>SUMIFS(Таблица1[Столбец1],Таблица1[коэф],"1,4",Таблица1[р/р],"3/16",Таблица1[Ф. И. О.],B759)</f>
        <v>0</v>
      </c>
      <c r="T762" s="492">
        <f t="shared" si="261"/>
        <v>0</v>
      </c>
      <c r="U762" s="478">
        <f>IF(D754&lt;=3,база!$M$4,
IF(D754=4,база!$M$5,
IF(D754=5,база!$M$6)))</f>
        <v>247.41720000000001</v>
      </c>
      <c r="V762" s="390">
        <v>1.4</v>
      </c>
      <c r="W762" s="412">
        <f>SUMIFS(Таблица1[Столбец1],Таблица1[коэф],"1,4",Таблица1[р/р],"3/24",Таблица1[Ф. И. О.],B759)</f>
        <v>0</v>
      </c>
      <c r="X762" s="492">
        <f t="shared" si="262"/>
        <v>0</v>
      </c>
      <c r="Y762" s="764"/>
      <c r="Z762" s="766"/>
      <c r="AA762" s="756"/>
    </row>
    <row r="763" spans="1:29" ht="18.75" customHeight="1">
      <c r="A763" s="756"/>
      <c r="B763" s="215"/>
      <c r="C763" s="759"/>
      <c r="D763" s="762"/>
      <c r="E763" s="389"/>
      <c r="F763" s="390"/>
      <c r="G763" s="400"/>
      <c r="H763" s="392">
        <f t="shared" si="265"/>
        <v>0</v>
      </c>
      <c r="I763" s="432"/>
      <c r="J763" s="433"/>
      <c r="K763" s="434"/>
      <c r="L763" s="484">
        <f t="shared" si="260"/>
        <v>0</v>
      </c>
      <c r="M763" s="434"/>
      <c r="N763" s="434"/>
      <c r="O763" s="434"/>
      <c r="P763" s="406"/>
      <c r="Q763" s="389">
        <f>база!$L$5</f>
        <v>231.45480000000001</v>
      </c>
      <c r="R763" s="390">
        <v>1.4</v>
      </c>
      <c r="S763" s="400">
        <f>SUMIFS(Таблица1[Столбец1],Таблица1[коэф],"1,4",Таблица1[р/р],"4/16",Таблица1[Ф. И. О.],B759)</f>
        <v>0</v>
      </c>
      <c r="T763" s="492">
        <f t="shared" si="261"/>
        <v>0</v>
      </c>
      <c r="U763" s="478">
        <f>база!$M$5</f>
        <v>247.41720000000001</v>
      </c>
      <c r="V763" s="390">
        <v>1.4</v>
      </c>
      <c r="W763" s="412">
        <f>SUMIFS(Таблица1[Столбец1],Таблица1[коэф],"1,4",Таблица1[р/р],"4/24",Таблица1[Ф. И. О.],B759)</f>
        <v>0</v>
      </c>
      <c r="X763" s="492">
        <f t="shared" si="262"/>
        <v>0</v>
      </c>
      <c r="Y763" s="764"/>
      <c r="Z763" s="766"/>
      <c r="AA763" s="756"/>
    </row>
    <row r="764" spans="1:29" ht="19.5" customHeight="1" thickBot="1">
      <c r="A764" s="757"/>
      <c r="B764" s="352"/>
      <c r="C764" s="760"/>
      <c r="D764" s="763"/>
      <c r="E764" s="481"/>
      <c r="F764" s="417"/>
      <c r="G764" s="486"/>
      <c r="H764" s="468">
        <f t="shared" si="265"/>
        <v>0</v>
      </c>
      <c r="I764" s="645"/>
      <c r="J764" s="456"/>
      <c r="K764" s="646"/>
      <c r="L764" s="458">
        <f t="shared" si="260"/>
        <v>0</v>
      </c>
      <c r="M764" s="645"/>
      <c r="N764" s="646"/>
      <c r="O764" s="646"/>
      <c r="P764" s="476"/>
      <c r="Q764" s="652">
        <f>база!$L$6</f>
        <v>261.04640000000001</v>
      </c>
      <c r="R764" s="464">
        <v>1.4</v>
      </c>
      <c r="S764" s="465">
        <f>SUMIFS(Таблица1[Столбец1],Таблица1[коэф],"1,4",Таблица1[р/р],"5/16",Таблица1[Ф. И. О.],B759)</f>
        <v>0</v>
      </c>
      <c r="T764" s="513">
        <f t="shared" si="261"/>
        <v>0</v>
      </c>
      <c r="U764" s="463">
        <f>база!$M$6</f>
        <v>279.0496</v>
      </c>
      <c r="V764" s="464">
        <v>1.4</v>
      </c>
      <c r="W764" s="465">
        <f>SUMIFS(Таблица1[Столбец1],Таблица1[коэф],"1,4",Таблица1[р/р],"5/24",Таблица1[Ф. И. О.],B759)</f>
        <v>0</v>
      </c>
      <c r="X764" s="513">
        <f t="shared" si="262"/>
        <v>0</v>
      </c>
      <c r="Y764" s="765"/>
      <c r="Z764" s="767"/>
      <c r="AA764" s="757"/>
    </row>
    <row r="765" spans="1:29" ht="18.75" customHeight="1">
      <c r="A765" s="755">
        <v>70</v>
      </c>
      <c r="B765" s="215"/>
      <c r="C765" s="758">
        <f>INDEX(база!$E$2:$E$181, MATCH(B770,база!$B$2:$B$160,0))</f>
        <v>17076</v>
      </c>
      <c r="D765" s="761">
        <f>INDEX(база!$D$2:$D$189, MATCH(B770,база!$B$2:$B$160,0))</f>
        <v>3</v>
      </c>
      <c r="E765" s="377">
        <f>IF(D765&lt;=3,база!$I$4,
IF(D765=4,база!$I$5,
IF(D765=5,база!$I$6)))</f>
        <v>188.7912</v>
      </c>
      <c r="F765" s="378">
        <v>1</v>
      </c>
      <c r="G765" s="387">
        <f>SUMIFS(Таблица1[Столбец1],Таблица1[коэф],"1",Таблица1[р/р],"2/4",Таблица1[Ф. И. О.],B770)</f>
        <v>0</v>
      </c>
      <c r="H765" s="402">
        <f t="shared" si="265"/>
        <v>0</v>
      </c>
      <c r="I765" s="452">
        <f>IF(D765&lt;=3,база!$J$4,
IF(D765=4,база!$J$5,
IF(D765=5,база!$J$6)))</f>
        <v>196.05240000000001</v>
      </c>
      <c r="J765" s="475">
        <v>1</v>
      </c>
      <c r="K765" s="453">
        <f>SUMIFS(Таблица1[Столбец1],Таблица1[коэф],"1",Таблица1[р/р],"2/8",Таблица1[Ф. И. О.],B770)</f>
        <v>0</v>
      </c>
      <c r="L765" s="484">
        <f t="shared" si="260"/>
        <v>0</v>
      </c>
      <c r="M765" s="453"/>
      <c r="N765" s="453">
        <v>1</v>
      </c>
      <c r="O765" s="453">
        <f>SUMIFS(Data_Tech!$AM$3:$AM$67,Data_Tech!$E$3:$E$67,"1",Data_Tech!$G$3:$G$67,"3/12",Data_Tech!$F$3:$F$67,B770)</f>
        <v>0</v>
      </c>
      <c r="P765" s="398">
        <f>ROUND(M765*N765*O765,2)</f>
        <v>0</v>
      </c>
      <c r="Q765" s="481">
        <f>IF(D765&lt;=3,база!$L$4,
IF(D765=4,база!$L$5,
IF(D765=5,база!$L$6)))</f>
        <v>210.57480000000001</v>
      </c>
      <c r="R765" s="417">
        <v>1</v>
      </c>
      <c r="S765" s="418">
        <f>SUMIFS(Таблица1[Столбец1],Таблица1[коэф],"1",Таблица1[р/р],"3/16",Таблица1[Ф. И. О.],B770)</f>
        <v>0</v>
      </c>
      <c r="T765" s="492">
        <f t="shared" si="261"/>
        <v>0</v>
      </c>
      <c r="U765" s="483">
        <f>IF(D765&lt;=3,база!$M$4,
IF(D765=4,база!$M$5,
IF(D765=5,база!$M$6)))</f>
        <v>225.09719999999999</v>
      </c>
      <c r="V765" s="417">
        <v>1</v>
      </c>
      <c r="W765" s="455">
        <f>SUMIFS(Таблица1[Столбец1],Таблица1[коэф],"1",Таблица1[р/р],"3/24",Таблица1[Ф. И. О.],B770)</f>
        <v>0</v>
      </c>
      <c r="X765" s="492">
        <f t="shared" si="262"/>
        <v>0</v>
      </c>
      <c r="Y765" s="764">
        <f t="shared" ref="Y765" si="266">SUM(G765:G775,K765:K775,O765:O775,S765:S775,W765:W775)</f>
        <v>0</v>
      </c>
      <c r="Z765" s="766">
        <f t="shared" si="264"/>
        <v>0</v>
      </c>
      <c r="AA765" s="756"/>
    </row>
    <row r="766" spans="1:29" ht="18.75" customHeight="1">
      <c r="A766" s="756"/>
      <c r="B766" s="215"/>
      <c r="C766" s="759"/>
      <c r="D766" s="762"/>
      <c r="E766" s="389">
        <f>IF(D765&lt;=3,база!$I$4,
IF(D765=4,база!$I$5,
IF(D765=5,база!$I$6)))</f>
        <v>188.7912</v>
      </c>
      <c r="F766" s="390">
        <v>1</v>
      </c>
      <c r="G766" s="400">
        <f>SUMIFS(Таблица1[Столбец1],Таблица1[коэф],"1",Таблица1[р/р],"3/4",Таблица1[Ф. И. О.],B770)</f>
        <v>0</v>
      </c>
      <c r="H766" s="392">
        <f>ROUND(E766*F766*G766*2,2)</f>
        <v>0</v>
      </c>
      <c r="I766" s="432">
        <f>IF(D765&lt;=3,база!$J$4,
IF(D765=4,база!$J$5,
IF(D765=5,база!$J$6)))</f>
        <v>196.05240000000001</v>
      </c>
      <c r="J766" s="433">
        <v>1</v>
      </c>
      <c r="K766" s="434">
        <f>SUMIFS(Таблица1[Столбец1],Таблица1[коэф],"1",Таблица1[р/р],"3/8",Таблица1[Ф. И. О.],B770)</f>
        <v>0</v>
      </c>
      <c r="L766" s="484">
        <f t="shared" si="260"/>
        <v>0</v>
      </c>
      <c r="M766" s="434"/>
      <c r="N766" s="434">
        <v>1</v>
      </c>
      <c r="O766" s="434">
        <f>SUMIFS(Data_Tech!$AM$3:$AM$67,Data_Tech!$E$3:$E$67,"1",Data_Tech!$G$3:$G$67,"4/12",Data_Tech!$F$3:$F$67,B770)</f>
        <v>0</v>
      </c>
      <c r="P766" s="406">
        <f>ROUND(M766*O766,2)</f>
        <v>0</v>
      </c>
      <c r="Q766" s="389">
        <f>база!$L$5</f>
        <v>231.45480000000001</v>
      </c>
      <c r="R766" s="390">
        <v>1</v>
      </c>
      <c r="S766" s="400">
        <f>SUMIFS(Таблица1[Столбец1],Таблица1[коэф],"1",Таблица1[р/р],"4/16",Таблица1[Ф. И. О.],B770)</f>
        <v>0</v>
      </c>
      <c r="T766" s="492">
        <f t="shared" si="261"/>
        <v>0</v>
      </c>
      <c r="U766" s="478">
        <f>база!$M$5</f>
        <v>247.41720000000001</v>
      </c>
      <c r="V766" s="390">
        <v>1</v>
      </c>
      <c r="W766" s="412">
        <f>SUMIFS(Таблица1[Столбец1],Таблица1[коэф],"1",Таблица1[р/р],"4/24",Таблица1[Ф. И. О.],B770)</f>
        <v>0</v>
      </c>
      <c r="X766" s="492">
        <f t="shared" si="262"/>
        <v>0</v>
      </c>
      <c r="Y766" s="764"/>
      <c r="Z766" s="766"/>
      <c r="AA766" s="756"/>
    </row>
    <row r="767" spans="1:29" ht="18.75" customHeight="1">
      <c r="A767" s="756"/>
      <c r="B767" s="215"/>
      <c r="C767" s="759"/>
      <c r="D767" s="762"/>
      <c r="E767" s="389"/>
      <c r="F767" s="390"/>
      <c r="G767" s="400"/>
      <c r="H767" s="392">
        <f t="shared" ref="H767:H776" si="267">ROUND(E767*F767*G767*2,2)</f>
        <v>0</v>
      </c>
      <c r="I767" s="432"/>
      <c r="J767" s="433"/>
      <c r="K767" s="434"/>
      <c r="L767" s="484">
        <f t="shared" si="260"/>
        <v>0</v>
      </c>
      <c r="M767" s="434"/>
      <c r="N767" s="434"/>
      <c r="O767" s="434"/>
      <c r="P767" s="406"/>
      <c r="Q767" s="389">
        <f>база!$L$6</f>
        <v>261.04640000000001</v>
      </c>
      <c r="R767" s="390">
        <v>1</v>
      </c>
      <c r="S767" s="400">
        <f>SUMIFS(Таблица1[Столбец1],Таблица1[коэф],"1",Таблица1[р/р],"5/16",Таблица1[Ф. И. О.],B770)</f>
        <v>0</v>
      </c>
      <c r="T767" s="492">
        <f t="shared" si="261"/>
        <v>0</v>
      </c>
      <c r="U767" s="478">
        <f>база!$M$6</f>
        <v>279.0496</v>
      </c>
      <c r="V767" s="390">
        <v>1</v>
      </c>
      <c r="W767" s="412">
        <f>SUMIFS(Таблица1[Столбец1],Таблица1[коэф],"1",Таблица1[р/р],"5/24",Таблица1[Ф. И. О.],B770)</f>
        <v>0</v>
      </c>
      <c r="X767" s="492">
        <f t="shared" si="262"/>
        <v>0</v>
      </c>
      <c r="Y767" s="764"/>
      <c r="Z767" s="766"/>
      <c r="AA767" s="756"/>
    </row>
    <row r="768" spans="1:29" ht="18.75" customHeight="1">
      <c r="A768" s="756"/>
      <c r="B768" s="215"/>
      <c r="C768" s="759"/>
      <c r="D768" s="762"/>
      <c r="E768" s="389"/>
      <c r="F768" s="390"/>
      <c r="G768" s="400"/>
      <c r="H768" s="392">
        <f t="shared" si="267"/>
        <v>0</v>
      </c>
      <c r="I768" s="432">
        <f>база!$J$5</f>
        <v>215.4924</v>
      </c>
      <c r="J768" s="433">
        <v>1.5</v>
      </c>
      <c r="K768" s="434">
        <f>SUMIFS(Таблица1[Столбец1],Таблица1[коэф],"1,5",Таблица1[р/р],"4/8",Таблица1[Ф. И. О.],B770)</f>
        <v>0</v>
      </c>
      <c r="L768" s="484">
        <f t="shared" si="260"/>
        <v>0</v>
      </c>
      <c r="M768" s="434"/>
      <c r="N768" s="434"/>
      <c r="O768" s="434"/>
      <c r="P768" s="406"/>
      <c r="Q768" s="389">
        <f>IF(D765&lt;=3,база!$L$4,
IF(D765=4,база!$L$5,
IF(D765=5,база!$L$6)))</f>
        <v>210.57480000000001</v>
      </c>
      <c r="R768" s="390">
        <v>1.2</v>
      </c>
      <c r="S768" s="400">
        <f>SUMIFS(Таблица1[Столбец1],Таблица1[коэф],"1,2",Таблица1[р/р],"3/16",Таблица1[Ф. И. О.],B770)</f>
        <v>0</v>
      </c>
      <c r="T768" s="492">
        <f t="shared" si="261"/>
        <v>0</v>
      </c>
      <c r="U768" s="478">
        <f>IF(D765&lt;=3,база!$M$4,
IF(D765=4,база!$M$5,
IF(D765=5,база!$M$6)))</f>
        <v>225.09719999999999</v>
      </c>
      <c r="V768" s="390">
        <v>1.2</v>
      </c>
      <c r="W768" s="412">
        <f>SUMIFS(Таблица1[Столбец1],Таблица1[коэф],"1,2",Таблица1[р/р],"3/24",Таблица1[Ф. И. О.],B770)</f>
        <v>0</v>
      </c>
      <c r="X768" s="492">
        <f t="shared" si="262"/>
        <v>0</v>
      </c>
      <c r="Y768" s="764"/>
      <c r="Z768" s="766"/>
      <c r="AA768" s="756"/>
    </row>
    <row r="769" spans="1:29" ht="18.75" customHeight="1">
      <c r="A769" s="756"/>
      <c r="B769" s="215"/>
      <c r="C769" s="759"/>
      <c r="D769" s="762"/>
      <c r="E769" s="389"/>
      <c r="F769" s="390"/>
      <c r="G769" s="400"/>
      <c r="H769" s="392">
        <f t="shared" si="267"/>
        <v>0</v>
      </c>
      <c r="I769" s="432">
        <f>база!$J$6</f>
        <v>243.04319999999998</v>
      </c>
      <c r="J769" s="433">
        <v>1.5</v>
      </c>
      <c r="K769" s="434">
        <f>SUMIFS(Таблица1[Столбец1],Таблица1[коэф],"1,5",Таблица1[р/р],"5/8",Таблица1[Ф. И. О.],B770)</f>
        <v>0</v>
      </c>
      <c r="L769" s="484">
        <f t="shared" si="260"/>
        <v>0</v>
      </c>
      <c r="M769" s="434"/>
      <c r="N769" s="434"/>
      <c r="O769" s="434"/>
      <c r="P769" s="406"/>
      <c r="Q769" s="389">
        <f>база!$L$5</f>
        <v>231.45480000000001</v>
      </c>
      <c r="R769" s="390">
        <v>1.2</v>
      </c>
      <c r="S769" s="400">
        <f>SUMIFS(Таблица1[Столбец1],Таблица1[коэф],"1,2",Таблица1[р/р],"4/16",Таблица1[Ф. И. О.],B770)</f>
        <v>0</v>
      </c>
      <c r="T769" s="492">
        <f t="shared" si="261"/>
        <v>0</v>
      </c>
      <c r="U769" s="478">
        <f>база!$M$5</f>
        <v>247.41720000000001</v>
      </c>
      <c r="V769" s="390">
        <v>1.2</v>
      </c>
      <c r="W769" s="412">
        <f>SUMIFS(Таблица1[Столбец1],Таблица1[коэф],"1,2",Таблица1[р/р],"4/24",Таблица1[Ф. И. О.],B770)</f>
        <v>0</v>
      </c>
      <c r="X769" s="492">
        <f t="shared" si="262"/>
        <v>0</v>
      </c>
      <c r="Y769" s="764"/>
      <c r="Z769" s="766"/>
      <c r="AA769" s="756"/>
    </row>
    <row r="770" spans="1:29" ht="18.75" customHeight="1">
      <c r="A770" s="756"/>
      <c r="B770" s="215" t="str">
        <f>база!B71</f>
        <v>Соболева Наталья Александровна</v>
      </c>
      <c r="C770" s="759"/>
      <c r="D770" s="762"/>
      <c r="E770" s="389"/>
      <c r="F770" s="390"/>
      <c r="G770" s="400"/>
      <c r="H770" s="392">
        <f t="shared" si="267"/>
        <v>0</v>
      </c>
      <c r="I770" s="432"/>
      <c r="J770" s="433"/>
      <c r="K770" s="434"/>
      <c r="L770" s="484">
        <f t="shared" si="260"/>
        <v>0</v>
      </c>
      <c r="M770" s="434"/>
      <c r="N770" s="434"/>
      <c r="O770" s="434"/>
      <c r="P770" s="406"/>
      <c r="Q770" s="389">
        <f>база!$L$6</f>
        <v>261.04640000000001</v>
      </c>
      <c r="R770" s="390">
        <v>1.2</v>
      </c>
      <c r="S770" s="400">
        <f>SUMIFS(Таблица1[Столбец1],Таблица1[коэф],"1,2",Таблица1[р/р],"5/16",Таблица1[Ф. И. О.],B770)</f>
        <v>0</v>
      </c>
      <c r="T770" s="492">
        <f t="shared" si="261"/>
        <v>0</v>
      </c>
      <c r="U770" s="478">
        <f>база!$M$6</f>
        <v>279.0496</v>
      </c>
      <c r="V770" s="390">
        <v>1.2</v>
      </c>
      <c r="W770" s="412">
        <f>SUMIFS(Таблица1[Столбец1],Таблица1[коэф],"1,2",Таблица1[р/р],"5/24",Таблица1[Ф. И. О.],B770)</f>
        <v>0</v>
      </c>
      <c r="X770" s="492">
        <f t="shared" si="262"/>
        <v>0</v>
      </c>
      <c r="Y770" s="764"/>
      <c r="Z770" s="766"/>
      <c r="AA770" s="756"/>
      <c r="AC770" s="712" t="str">
        <f>IF(SUMIFS(Таблица1[Столбец3],Таблица1[Ф. И. О.],B770)-Z765=0,"",SUMIFS(Таблица1[Столбец3],Таблица1[Ф. И. О.],B770)-Z765)</f>
        <v/>
      </c>
    </row>
    <row r="771" spans="1:29" ht="18.75" customHeight="1">
      <c r="A771" s="756"/>
      <c r="B771" s="215"/>
      <c r="C771" s="759"/>
      <c r="D771" s="762"/>
      <c r="E771" s="389"/>
      <c r="F771" s="390"/>
      <c r="G771" s="400"/>
      <c r="H771" s="392">
        <f t="shared" si="267"/>
        <v>0</v>
      </c>
      <c r="I771" s="432"/>
      <c r="J771" s="433"/>
      <c r="K771" s="434"/>
      <c r="L771" s="484">
        <f t="shared" si="260"/>
        <v>0</v>
      </c>
      <c r="M771" s="434"/>
      <c r="N771" s="434"/>
      <c r="O771" s="434"/>
      <c r="P771" s="406"/>
      <c r="Q771" s="389">
        <f>IF($D$6&lt;=3,база!$L$4,
IF($D$6=4,база!$L$5,
IF($D$6=5,база!$L$6)))</f>
        <v>231.45480000000001</v>
      </c>
      <c r="R771" s="390">
        <v>1.3</v>
      </c>
      <c r="S771" s="400">
        <f>SUMIFS(Таблица1[Столбец1],Таблица1[коэф],"1,3",Таблица1[р/р],"3/16",Таблица1[Ф. И. О.],B770)</f>
        <v>0</v>
      </c>
      <c r="T771" s="492">
        <f t="shared" si="261"/>
        <v>0</v>
      </c>
      <c r="U771" s="478">
        <f>IF(D765&lt;=3,база!$M$4,
IF(D765=4,база!$M$5,
IF(D765=5,база!$M$6)))</f>
        <v>225.09719999999999</v>
      </c>
      <c r="V771" s="390">
        <v>1.3</v>
      </c>
      <c r="W771" s="412">
        <f>SUMIFS(Таблица1[Столбец1],Таблица1[коэф],"1,3",Таблица1[р/р],"3/24",Таблица1[Ф. И. О.],B770)</f>
        <v>0</v>
      </c>
      <c r="X771" s="492">
        <f t="shared" si="262"/>
        <v>0</v>
      </c>
      <c r="Y771" s="764"/>
      <c r="Z771" s="766"/>
      <c r="AA771" s="756"/>
      <c r="AC771" s="712" t="str">
        <f>IF(SUMIFS(Таблица1[Столбец1],Таблица1[Ф. И. О.],B770)=Y765,"",B770&amp;"  часы не верны")</f>
        <v/>
      </c>
    </row>
    <row r="772" spans="1:29" ht="18.75" customHeight="1">
      <c r="A772" s="756"/>
      <c r="B772" s="215"/>
      <c r="C772" s="759"/>
      <c r="D772" s="762"/>
      <c r="E772" s="389"/>
      <c r="F772" s="390"/>
      <c r="G772" s="400"/>
      <c r="H772" s="392">
        <f t="shared" si="267"/>
        <v>0</v>
      </c>
      <c r="I772" s="432"/>
      <c r="J772" s="433"/>
      <c r="K772" s="434"/>
      <c r="L772" s="484">
        <f t="shared" si="260"/>
        <v>0</v>
      </c>
      <c r="M772" s="434"/>
      <c r="N772" s="434"/>
      <c r="O772" s="434"/>
      <c r="P772" s="406"/>
      <c r="Q772" s="389">
        <f>база!$L$5</f>
        <v>231.45480000000001</v>
      </c>
      <c r="R772" s="390">
        <v>1.3</v>
      </c>
      <c r="S772" s="400">
        <f>SUMIFS(Таблица1[Столбец1],Таблица1[коэф],"1,3",Таблица1[р/р],"4/16",Таблица1[Ф. И. О.],B770)</f>
        <v>0</v>
      </c>
      <c r="T772" s="492">
        <f t="shared" si="261"/>
        <v>0</v>
      </c>
      <c r="U772" s="478">
        <f>база!$M$5</f>
        <v>247.41720000000001</v>
      </c>
      <c r="V772" s="390">
        <v>1.3</v>
      </c>
      <c r="W772" s="412">
        <f>SUMIFS(Таблица1[Столбец1],Таблица1[коэф],"1,3",Таблица1[р/р],"4/24",Таблица1[Ф. И. О.],B770)</f>
        <v>0</v>
      </c>
      <c r="X772" s="492">
        <f t="shared" si="262"/>
        <v>0</v>
      </c>
      <c r="Y772" s="764"/>
      <c r="Z772" s="766"/>
      <c r="AA772" s="756"/>
    </row>
    <row r="773" spans="1:29" ht="18.75" customHeight="1">
      <c r="A773" s="756"/>
      <c r="B773" s="215"/>
      <c r="C773" s="759"/>
      <c r="D773" s="762"/>
      <c r="E773" s="389"/>
      <c r="F773" s="390"/>
      <c r="G773" s="400"/>
      <c r="H773" s="392">
        <f t="shared" si="267"/>
        <v>0</v>
      </c>
      <c r="I773" s="432"/>
      <c r="J773" s="433"/>
      <c r="K773" s="434"/>
      <c r="L773" s="484">
        <f t="shared" si="260"/>
        <v>0</v>
      </c>
      <c r="M773" s="434"/>
      <c r="N773" s="434"/>
      <c r="O773" s="434"/>
      <c r="P773" s="406"/>
      <c r="Q773" s="389">
        <f>IF(D765&lt;=3,база!$L$4,
IF(D765=4,база!$L$5,
IF(D765=5,база!$L$6)))</f>
        <v>210.57480000000001</v>
      </c>
      <c r="R773" s="390">
        <v>1.4</v>
      </c>
      <c r="S773" s="400">
        <f>SUMIFS(Таблица1[Столбец1],Таблица1[коэф],"1,4",Таблица1[р/р],"3/16",Таблица1[Ф. И. О.],B770)</f>
        <v>0</v>
      </c>
      <c r="T773" s="492">
        <f t="shared" si="261"/>
        <v>0</v>
      </c>
      <c r="U773" s="478">
        <f>IF(D765&lt;=3,база!$M$4,
IF(D765=4,база!$M$5,
IF(D765=5,база!$M$6)))</f>
        <v>225.09719999999999</v>
      </c>
      <c r="V773" s="390">
        <v>1.4</v>
      </c>
      <c r="W773" s="412">
        <f>SUMIFS(Таблица1[Столбец1],Таблица1[коэф],"1,4",Таблица1[р/р],"3/24",Таблица1[Ф. И. О.],B770)</f>
        <v>0</v>
      </c>
      <c r="X773" s="492">
        <f t="shared" si="262"/>
        <v>0</v>
      </c>
      <c r="Y773" s="764"/>
      <c r="Z773" s="766"/>
      <c r="AA773" s="756"/>
    </row>
    <row r="774" spans="1:29" ht="18.75" customHeight="1">
      <c r="A774" s="756"/>
      <c r="B774" s="215"/>
      <c r="C774" s="759"/>
      <c r="D774" s="762"/>
      <c r="E774" s="389"/>
      <c r="F774" s="390"/>
      <c r="G774" s="400"/>
      <c r="H774" s="392">
        <f t="shared" si="267"/>
        <v>0</v>
      </c>
      <c r="I774" s="432"/>
      <c r="J774" s="433"/>
      <c r="K774" s="434"/>
      <c r="L774" s="484">
        <f t="shared" si="260"/>
        <v>0</v>
      </c>
      <c r="M774" s="434"/>
      <c r="N774" s="434"/>
      <c r="O774" s="434"/>
      <c r="P774" s="406"/>
      <c r="Q774" s="389">
        <f>база!$L$5</f>
        <v>231.45480000000001</v>
      </c>
      <c r="R774" s="390">
        <v>1.4</v>
      </c>
      <c r="S774" s="400">
        <f>SUMIFS(Таблица1[Столбец1],Таблица1[коэф],"1,4",Таблица1[р/р],"4/16",Таблица1[Ф. И. О.],B770)</f>
        <v>0</v>
      </c>
      <c r="T774" s="492">
        <f t="shared" si="261"/>
        <v>0</v>
      </c>
      <c r="U774" s="478">
        <f>база!$M$5</f>
        <v>247.41720000000001</v>
      </c>
      <c r="V774" s="390">
        <v>1.4</v>
      </c>
      <c r="W774" s="412">
        <f>SUMIFS(Таблица1[Столбец1],Таблица1[коэф],"1,4",Таблица1[р/р],"4/24",Таблица1[Ф. И. О.],B770)</f>
        <v>0</v>
      </c>
      <c r="X774" s="492">
        <f t="shared" si="262"/>
        <v>0</v>
      </c>
      <c r="Y774" s="764"/>
      <c r="Z774" s="766"/>
      <c r="AA774" s="756"/>
    </row>
    <row r="775" spans="1:29" ht="19.5" customHeight="1" thickBot="1">
      <c r="A775" s="757"/>
      <c r="B775" s="352"/>
      <c r="C775" s="760"/>
      <c r="D775" s="763"/>
      <c r="E775" s="481"/>
      <c r="F775" s="417"/>
      <c r="G775" s="486"/>
      <c r="H775" s="468">
        <f t="shared" si="267"/>
        <v>0</v>
      </c>
      <c r="I775" s="645"/>
      <c r="J775" s="456"/>
      <c r="K775" s="646"/>
      <c r="L775" s="458">
        <f t="shared" si="260"/>
        <v>0</v>
      </c>
      <c r="M775" s="645"/>
      <c r="N775" s="646"/>
      <c r="O775" s="646"/>
      <c r="P775" s="476"/>
      <c r="Q775" s="652">
        <f>база!$L$6</f>
        <v>261.04640000000001</v>
      </c>
      <c r="R775" s="464">
        <v>1.4</v>
      </c>
      <c r="S775" s="465">
        <f>SUMIFS(Таблица1[Столбец1],Таблица1[коэф],"1,4",Таблица1[р/р],"5/16",Таблица1[Ф. И. О.],B770)</f>
        <v>0</v>
      </c>
      <c r="T775" s="513">
        <f t="shared" si="261"/>
        <v>0</v>
      </c>
      <c r="U775" s="463">
        <f>база!$M$6</f>
        <v>279.0496</v>
      </c>
      <c r="V775" s="464">
        <v>1.4</v>
      </c>
      <c r="W775" s="465">
        <f>SUMIFS(Таблица1[Столбец1],Таблица1[коэф],"1,4",Таблица1[р/р],"5/24",Таблица1[Ф. И. О.],B770)</f>
        <v>0</v>
      </c>
      <c r="X775" s="513">
        <f t="shared" si="262"/>
        <v>0</v>
      </c>
      <c r="Y775" s="765"/>
      <c r="Z775" s="767"/>
      <c r="AA775" s="757"/>
    </row>
    <row r="776" spans="1:29" ht="18.75" customHeight="1">
      <c r="A776" s="755">
        <v>71</v>
      </c>
      <c r="B776" s="215"/>
      <c r="C776" s="758">
        <f>INDEX(база!$E$2:$E$181, MATCH(B781,база!$B$2:$B$160,0))</f>
        <v>17196</v>
      </c>
      <c r="D776" s="761">
        <f>INDEX(база!$D$2:$D$189, MATCH(B781,база!$B$2:$B$160,0))</f>
        <v>3</v>
      </c>
      <c r="E776" s="377">
        <f>IF(D776&lt;=3,база!$I$4,
IF(D776=4,база!$I$5,
IF(D776=5,база!$I$6)))</f>
        <v>188.7912</v>
      </c>
      <c r="F776" s="378">
        <v>1</v>
      </c>
      <c r="G776" s="387">
        <f>SUMIFS(Таблица1[Столбец1],Таблица1[коэф],"1",Таблица1[р/р],"2/4",Таблица1[Ф. И. О.],B781)</f>
        <v>0</v>
      </c>
      <c r="H776" s="402">
        <f t="shared" si="267"/>
        <v>0</v>
      </c>
      <c r="I776" s="452">
        <f>IF(D776&lt;=3,база!$J$4,
IF(D776=4,база!$J$5,
IF(D776=5,база!$J$6)))</f>
        <v>196.05240000000001</v>
      </c>
      <c r="J776" s="475">
        <v>1</v>
      </c>
      <c r="K776" s="453">
        <f>SUMIFS(Таблица1[Столбец1],Таблица1[коэф],"1",Таблица1[р/р],"2/8",Таблица1[Ф. И. О.],B781)</f>
        <v>0</v>
      </c>
      <c r="L776" s="484">
        <f t="shared" si="260"/>
        <v>0</v>
      </c>
      <c r="M776" s="453"/>
      <c r="N776" s="453">
        <v>1</v>
      </c>
      <c r="O776" s="453">
        <f>SUMIFS(Data_Tech!$AM$3:$AM$67,Data_Tech!$E$3:$E$67,"1",Data_Tech!$G$3:$G$67,"3/12",Data_Tech!$F$3:$F$67,B781)</f>
        <v>0</v>
      </c>
      <c r="P776" s="398">
        <f>ROUND(M776*N776*O776,2)</f>
        <v>0</v>
      </c>
      <c r="Q776" s="481">
        <f>IF(D776&lt;=3,база!$L$4,
IF(D776=4,база!$L$5,
IF(D776=5,база!$L$6)))</f>
        <v>210.57480000000001</v>
      </c>
      <c r="R776" s="417">
        <v>1</v>
      </c>
      <c r="S776" s="418">
        <f>SUMIFS(Таблица1[Столбец1],Таблица1[коэф],"1",Таблица1[р/р],"3/16",Таблица1[Ф. И. О.],B781)</f>
        <v>0</v>
      </c>
      <c r="T776" s="492">
        <f t="shared" si="261"/>
        <v>0</v>
      </c>
      <c r="U776" s="483">
        <f>IF(D776&lt;=3,база!$M$4,
IF(D776=4,база!$M$5,
IF(D776=5,база!$M$6)))</f>
        <v>225.09719999999999</v>
      </c>
      <c r="V776" s="417">
        <v>1</v>
      </c>
      <c r="W776" s="455">
        <f>SUMIFS(Таблица1[Столбец1],Таблица1[коэф],"1",Таблица1[р/р],"3/24",Таблица1[Ф. И. О.],B781)</f>
        <v>0</v>
      </c>
      <c r="X776" s="492">
        <f t="shared" si="262"/>
        <v>0</v>
      </c>
      <c r="Y776" s="764">
        <f t="shared" ref="Y776" si="268">SUM(G776:G786,K776:K786,O776:O786,S776:S786,W776:W786)</f>
        <v>0</v>
      </c>
      <c r="Z776" s="766">
        <f t="shared" si="264"/>
        <v>0</v>
      </c>
      <c r="AA776" s="756"/>
    </row>
    <row r="777" spans="1:29" ht="18.75" customHeight="1">
      <c r="A777" s="756"/>
      <c r="B777" s="215"/>
      <c r="C777" s="759"/>
      <c r="D777" s="762"/>
      <c r="E777" s="389">
        <f>IF(D776&lt;=3,база!$I$4,
IF(D776=4,база!$I$5,
IF(D776=5,база!$I$6)))</f>
        <v>188.7912</v>
      </c>
      <c r="F777" s="390">
        <v>1</v>
      </c>
      <c r="G777" s="400">
        <f>SUMIFS(Таблица1[Столбец1],Таблица1[коэф],"1",Таблица1[р/р],"3/4",Таблица1[Ф. И. О.],B781)</f>
        <v>0</v>
      </c>
      <c r="H777" s="392">
        <f>ROUND(E777*F777*G777*2,2)</f>
        <v>0</v>
      </c>
      <c r="I777" s="432">
        <f>IF(D776&lt;=3,база!$J$4,
IF(D776=4,база!$J$5,
IF(D776=5,база!$J$6)))</f>
        <v>196.05240000000001</v>
      </c>
      <c r="J777" s="433">
        <v>1</v>
      </c>
      <c r="K777" s="434">
        <f>SUMIFS(Таблица1[Столбец1],Таблица1[коэф],"1",Таблица1[р/р],"3/8",Таблица1[Ф. И. О.],B781)</f>
        <v>0</v>
      </c>
      <c r="L777" s="484">
        <f t="shared" si="260"/>
        <v>0</v>
      </c>
      <c r="M777" s="434"/>
      <c r="N777" s="434">
        <v>1</v>
      </c>
      <c r="O777" s="434">
        <f>SUMIFS(Data_Tech!$AM$3:$AM$67,Data_Tech!$E$3:$E$67,"1",Data_Tech!$G$3:$G$67,"4/12",Data_Tech!$F$3:$F$67,B781)</f>
        <v>0</v>
      </c>
      <c r="P777" s="406">
        <f>ROUND(M777*O777,2)</f>
        <v>0</v>
      </c>
      <c r="Q777" s="389">
        <f>база!$L$5</f>
        <v>231.45480000000001</v>
      </c>
      <c r="R777" s="390">
        <v>1</v>
      </c>
      <c r="S777" s="400">
        <f>SUMIFS(Таблица1[Столбец1],Таблица1[коэф],"1",Таблица1[р/р],"4/16",Таблица1[Ф. И. О.],B781)</f>
        <v>0</v>
      </c>
      <c r="T777" s="492">
        <f t="shared" si="261"/>
        <v>0</v>
      </c>
      <c r="U777" s="478">
        <f>база!$M$5</f>
        <v>247.41720000000001</v>
      </c>
      <c r="V777" s="390">
        <v>1</v>
      </c>
      <c r="W777" s="412">
        <f>SUMIFS(Таблица1[Столбец1],Таблица1[коэф],"1",Таблица1[р/р],"4/24",Таблица1[Ф. И. О.],B781)</f>
        <v>0</v>
      </c>
      <c r="X777" s="492">
        <f t="shared" si="262"/>
        <v>0</v>
      </c>
      <c r="Y777" s="764"/>
      <c r="Z777" s="766"/>
      <c r="AA777" s="756"/>
    </row>
    <row r="778" spans="1:29" ht="18.75" customHeight="1">
      <c r="A778" s="756"/>
      <c r="B778" s="215"/>
      <c r="C778" s="759"/>
      <c r="D778" s="762"/>
      <c r="E778" s="389"/>
      <c r="F778" s="390"/>
      <c r="G778" s="400"/>
      <c r="H778" s="392">
        <f t="shared" ref="H778:H787" si="269">ROUND(E778*F778*G778*2,2)</f>
        <v>0</v>
      </c>
      <c r="I778" s="432"/>
      <c r="J778" s="433"/>
      <c r="K778" s="434"/>
      <c r="L778" s="484">
        <f t="shared" si="260"/>
        <v>0</v>
      </c>
      <c r="M778" s="434"/>
      <c r="N778" s="434"/>
      <c r="O778" s="434"/>
      <c r="P778" s="406"/>
      <c r="Q778" s="389">
        <f>база!$L$6</f>
        <v>261.04640000000001</v>
      </c>
      <c r="R778" s="390">
        <v>1</v>
      </c>
      <c r="S778" s="400">
        <f>SUMIFS(Таблица1[Столбец1],Таблица1[коэф],"1",Таблица1[р/р],"5/16",Таблица1[Ф. И. О.],B781)</f>
        <v>0</v>
      </c>
      <c r="T778" s="492">
        <f t="shared" si="261"/>
        <v>0</v>
      </c>
      <c r="U778" s="478">
        <f>база!$M$6</f>
        <v>279.0496</v>
      </c>
      <c r="V778" s="390">
        <v>1</v>
      </c>
      <c r="W778" s="412">
        <f>SUMIFS(Таблица1[Столбец1],Таблица1[коэф],"1",Таблица1[р/р],"5/24",Таблица1[Ф. И. О.],B781)</f>
        <v>0</v>
      </c>
      <c r="X778" s="492">
        <f t="shared" si="262"/>
        <v>0</v>
      </c>
      <c r="Y778" s="764"/>
      <c r="Z778" s="766"/>
      <c r="AA778" s="756"/>
    </row>
    <row r="779" spans="1:29" ht="18.75" customHeight="1">
      <c r="A779" s="756"/>
      <c r="B779" s="215"/>
      <c r="C779" s="759"/>
      <c r="D779" s="762"/>
      <c r="E779" s="389"/>
      <c r="F779" s="390"/>
      <c r="G779" s="400"/>
      <c r="H779" s="392">
        <f t="shared" si="269"/>
        <v>0</v>
      </c>
      <c r="I779" s="432">
        <f>база!$J$5</f>
        <v>215.4924</v>
      </c>
      <c r="J779" s="433">
        <v>1.5</v>
      </c>
      <c r="K779" s="434">
        <f>SUMIFS(Таблица1[Столбец1],Таблица1[коэф],"1,5",Таблица1[р/р],"4/8",Таблица1[Ф. И. О.],B781)</f>
        <v>0</v>
      </c>
      <c r="L779" s="484">
        <f t="shared" si="260"/>
        <v>0</v>
      </c>
      <c r="M779" s="434"/>
      <c r="N779" s="434"/>
      <c r="O779" s="434"/>
      <c r="P779" s="406"/>
      <c r="Q779" s="389">
        <f>IF(D776&lt;=3,база!$L$4,
IF(D776=4,база!$L$5,
IF(D776=5,база!$L$6)))</f>
        <v>210.57480000000001</v>
      </c>
      <c r="R779" s="390">
        <v>1.2</v>
      </c>
      <c r="S779" s="400">
        <f>SUMIFS(Таблица1[Столбец1],Таблица1[коэф],"1,2",Таблица1[р/р],"3/16",Таблица1[Ф. И. О.],B781)</f>
        <v>0</v>
      </c>
      <c r="T779" s="492">
        <f t="shared" si="261"/>
        <v>0</v>
      </c>
      <c r="U779" s="478">
        <f>IF(D776&lt;=3,база!$M$4,
IF(D776=4,база!$M$5,
IF(D776=5,база!$M$6)))</f>
        <v>225.09719999999999</v>
      </c>
      <c r="V779" s="390">
        <v>1.2</v>
      </c>
      <c r="W779" s="412">
        <f>SUMIFS(Таблица1[Столбец1],Таблица1[коэф],"1,2",Таблица1[р/р],"3/24",Таблица1[Ф. И. О.],B781)</f>
        <v>0</v>
      </c>
      <c r="X779" s="492">
        <f t="shared" si="262"/>
        <v>0</v>
      </c>
      <c r="Y779" s="764"/>
      <c r="Z779" s="766"/>
      <c r="AA779" s="756"/>
    </row>
    <row r="780" spans="1:29" ht="18.75" customHeight="1">
      <c r="A780" s="756"/>
      <c r="B780" s="215"/>
      <c r="C780" s="759"/>
      <c r="D780" s="762"/>
      <c r="E780" s="389"/>
      <c r="F780" s="390"/>
      <c r="G780" s="400"/>
      <c r="H780" s="392">
        <f t="shared" si="269"/>
        <v>0</v>
      </c>
      <c r="I780" s="432">
        <f>база!$J$6</f>
        <v>243.04319999999998</v>
      </c>
      <c r="J780" s="433">
        <v>1.5</v>
      </c>
      <c r="K780" s="434">
        <f>SUMIFS(Таблица1[Столбец1],Таблица1[коэф],"1,5",Таблица1[р/р],"5/8",Таблица1[Ф. И. О.],B781)</f>
        <v>0</v>
      </c>
      <c r="L780" s="484">
        <f t="shared" si="260"/>
        <v>0</v>
      </c>
      <c r="M780" s="434"/>
      <c r="N780" s="434"/>
      <c r="O780" s="434"/>
      <c r="P780" s="406"/>
      <c r="Q780" s="389">
        <f>база!$L$5</f>
        <v>231.45480000000001</v>
      </c>
      <c r="R780" s="390">
        <v>1.2</v>
      </c>
      <c r="S780" s="400">
        <f>SUMIFS(Таблица1[Столбец1],Таблица1[коэф],"1,2",Таблица1[р/р],"4/16",Таблица1[Ф. И. О.],B781)</f>
        <v>0</v>
      </c>
      <c r="T780" s="492">
        <f t="shared" si="261"/>
        <v>0</v>
      </c>
      <c r="U780" s="478">
        <f>база!$M$5</f>
        <v>247.41720000000001</v>
      </c>
      <c r="V780" s="390">
        <v>1.2</v>
      </c>
      <c r="W780" s="412">
        <f>SUMIFS(Таблица1[Столбец1],Таблица1[коэф],"1,2",Таблица1[р/р],"4/24",Таблица1[Ф. И. О.],B781)</f>
        <v>0</v>
      </c>
      <c r="X780" s="492">
        <f t="shared" si="262"/>
        <v>0</v>
      </c>
      <c r="Y780" s="764"/>
      <c r="Z780" s="766"/>
      <c r="AA780" s="756"/>
    </row>
    <row r="781" spans="1:29" ht="18.75" customHeight="1">
      <c r="A781" s="756"/>
      <c r="B781" s="215" t="str">
        <f>база!B72</f>
        <v>Старичкова Полина Анатольевна</v>
      </c>
      <c r="C781" s="759"/>
      <c r="D781" s="762"/>
      <c r="E781" s="389"/>
      <c r="F781" s="390"/>
      <c r="G781" s="400"/>
      <c r="H781" s="392">
        <f t="shared" si="269"/>
        <v>0</v>
      </c>
      <c r="I781" s="432"/>
      <c r="J781" s="433"/>
      <c r="K781" s="434"/>
      <c r="L781" s="484">
        <f t="shared" si="260"/>
        <v>0</v>
      </c>
      <c r="M781" s="434"/>
      <c r="N781" s="434"/>
      <c r="O781" s="434"/>
      <c r="P781" s="406"/>
      <c r="Q781" s="389">
        <f>база!$L$6</f>
        <v>261.04640000000001</v>
      </c>
      <c r="R781" s="390">
        <v>1.2</v>
      </c>
      <c r="S781" s="400">
        <f>SUMIFS(Таблица1[Столбец1],Таблица1[коэф],"1,2",Таблица1[р/р],"5/16",Таблица1[Ф. И. О.],B781)</f>
        <v>0</v>
      </c>
      <c r="T781" s="492">
        <f t="shared" si="261"/>
        <v>0</v>
      </c>
      <c r="U781" s="478">
        <f>база!$M$6</f>
        <v>279.0496</v>
      </c>
      <c r="V781" s="390">
        <v>1.2</v>
      </c>
      <c r="W781" s="412">
        <f>SUMIFS(Таблица1[Столбец1],Таблица1[коэф],"1,2",Таблица1[р/р],"5/24",Таблица1[Ф. И. О.],B781)</f>
        <v>0</v>
      </c>
      <c r="X781" s="492">
        <f t="shared" si="262"/>
        <v>0</v>
      </c>
      <c r="Y781" s="764"/>
      <c r="Z781" s="766"/>
      <c r="AA781" s="756"/>
      <c r="AC781" s="712" t="str">
        <f>IF(SUMIFS(Таблица1[Столбец3],Таблица1[Ф. И. О.],B781)-Z776=0,"",SUMIFS(Таблица1[Столбец3],Таблица1[Ф. И. О.],B781)-Z776)</f>
        <v/>
      </c>
    </row>
    <row r="782" spans="1:29" ht="18.75" customHeight="1">
      <c r="A782" s="756"/>
      <c r="B782" s="215"/>
      <c r="C782" s="759"/>
      <c r="D782" s="762"/>
      <c r="E782" s="389"/>
      <c r="F782" s="390"/>
      <c r="G782" s="400"/>
      <c r="H782" s="392">
        <f t="shared" si="269"/>
        <v>0</v>
      </c>
      <c r="I782" s="432"/>
      <c r="J782" s="433"/>
      <c r="K782" s="434"/>
      <c r="L782" s="484">
        <f t="shared" si="260"/>
        <v>0</v>
      </c>
      <c r="M782" s="434"/>
      <c r="N782" s="434"/>
      <c r="O782" s="434"/>
      <c r="P782" s="406"/>
      <c r="Q782" s="389">
        <f>IF($D$6&lt;=3,база!$L$4,
IF($D$6=4,база!$L$5,
IF($D$6=5,база!$L$6)))</f>
        <v>231.45480000000001</v>
      </c>
      <c r="R782" s="390">
        <v>1.3</v>
      </c>
      <c r="S782" s="400">
        <f>SUMIFS(Таблица1[Столбец1],Таблица1[коэф],"1,3",Таблица1[р/р],"3/16",Таблица1[Ф. И. О.],B781)</f>
        <v>0</v>
      </c>
      <c r="T782" s="492">
        <f t="shared" si="261"/>
        <v>0</v>
      </c>
      <c r="U782" s="478">
        <f>IF(D776&lt;=3,база!$M$4,
IF(D776=4,база!$M$5,
IF(D776=5,база!$M$6)))</f>
        <v>225.09719999999999</v>
      </c>
      <c r="V782" s="390">
        <v>1.3</v>
      </c>
      <c r="W782" s="412">
        <f>SUMIFS(Таблица1[Столбец1],Таблица1[коэф],"1,3",Таблица1[р/р],"3/24",Таблица1[Ф. И. О.],B781)</f>
        <v>0</v>
      </c>
      <c r="X782" s="492">
        <f t="shared" si="262"/>
        <v>0</v>
      </c>
      <c r="Y782" s="764"/>
      <c r="Z782" s="766"/>
      <c r="AA782" s="756"/>
      <c r="AC782" s="712" t="str">
        <f>IF(SUMIFS(Таблица1[Столбец1],Таблица1[Ф. И. О.],B781)=Y776,"",B781&amp;"  часы не верны")</f>
        <v/>
      </c>
    </row>
    <row r="783" spans="1:29" ht="18.75" customHeight="1">
      <c r="A783" s="756"/>
      <c r="B783" s="215"/>
      <c r="C783" s="759"/>
      <c r="D783" s="762"/>
      <c r="E783" s="389"/>
      <c r="F783" s="390"/>
      <c r="G783" s="400"/>
      <c r="H783" s="392">
        <f t="shared" si="269"/>
        <v>0</v>
      </c>
      <c r="I783" s="432"/>
      <c r="J783" s="433"/>
      <c r="K783" s="434"/>
      <c r="L783" s="484">
        <f t="shared" si="260"/>
        <v>0</v>
      </c>
      <c r="M783" s="434"/>
      <c r="N783" s="434"/>
      <c r="O783" s="434"/>
      <c r="P783" s="406"/>
      <c r="Q783" s="389">
        <f>база!$L$5</f>
        <v>231.45480000000001</v>
      </c>
      <c r="R783" s="390">
        <v>1.3</v>
      </c>
      <c r="S783" s="400">
        <f>SUMIFS(Таблица1[Столбец1],Таблица1[коэф],"1,3",Таблица1[р/р],"4/16",Таблица1[Ф. И. О.],B781)</f>
        <v>0</v>
      </c>
      <c r="T783" s="492">
        <f t="shared" si="261"/>
        <v>0</v>
      </c>
      <c r="U783" s="478">
        <f>база!$M$5</f>
        <v>247.41720000000001</v>
      </c>
      <c r="V783" s="390">
        <v>1.3</v>
      </c>
      <c r="W783" s="412">
        <f>SUMIFS(Таблица1[Столбец1],Таблица1[коэф],"1,3",Таблица1[р/р],"4/24",Таблица1[Ф. И. О.],B781)</f>
        <v>0</v>
      </c>
      <c r="X783" s="492">
        <f t="shared" si="262"/>
        <v>0</v>
      </c>
      <c r="Y783" s="764"/>
      <c r="Z783" s="766"/>
      <c r="AA783" s="756"/>
    </row>
    <row r="784" spans="1:29" ht="18.75" customHeight="1">
      <c r="A784" s="756"/>
      <c r="B784" s="215"/>
      <c r="C784" s="759"/>
      <c r="D784" s="762"/>
      <c r="E784" s="389"/>
      <c r="F784" s="390"/>
      <c r="G784" s="400"/>
      <c r="H784" s="392">
        <f t="shared" si="269"/>
        <v>0</v>
      </c>
      <c r="I784" s="432"/>
      <c r="J784" s="433"/>
      <c r="K784" s="434"/>
      <c r="L784" s="484">
        <f t="shared" si="260"/>
        <v>0</v>
      </c>
      <c r="M784" s="434"/>
      <c r="N784" s="434"/>
      <c r="O784" s="434"/>
      <c r="P784" s="406"/>
      <c r="Q784" s="389">
        <f>IF(D776&lt;=3,база!$L$4,
IF(D776=4,база!$L$5,
IF(D776=5,база!$L$6)))</f>
        <v>210.57480000000001</v>
      </c>
      <c r="R784" s="390">
        <v>1.4</v>
      </c>
      <c r="S784" s="400">
        <f>SUMIFS(Таблица1[Столбец1],Таблица1[коэф],"1,4",Таблица1[р/р],"3/16",Таблица1[Ф. И. О.],B781)</f>
        <v>0</v>
      </c>
      <c r="T784" s="492">
        <f t="shared" si="261"/>
        <v>0</v>
      </c>
      <c r="U784" s="478">
        <f>IF(D776&lt;=3,база!$M$4,
IF(D776=4,база!$M$5,
IF(D776=5,база!$M$6)))</f>
        <v>225.09719999999999</v>
      </c>
      <c r="V784" s="390">
        <v>1.4</v>
      </c>
      <c r="W784" s="412">
        <f>SUMIFS(Таблица1[Столбец1],Таблица1[коэф],"1,4",Таблица1[р/р],"3/24",Таблица1[Ф. И. О.],B781)</f>
        <v>0</v>
      </c>
      <c r="X784" s="492">
        <f t="shared" si="262"/>
        <v>0</v>
      </c>
      <c r="Y784" s="764"/>
      <c r="Z784" s="766"/>
      <c r="AA784" s="756"/>
    </row>
    <row r="785" spans="1:29" ht="18.75" customHeight="1">
      <c r="A785" s="756"/>
      <c r="B785" s="215"/>
      <c r="C785" s="759"/>
      <c r="D785" s="762"/>
      <c r="E785" s="389"/>
      <c r="F785" s="390"/>
      <c r="G785" s="400"/>
      <c r="H785" s="392">
        <f t="shared" si="269"/>
        <v>0</v>
      </c>
      <c r="I785" s="432"/>
      <c r="J785" s="433"/>
      <c r="K785" s="434"/>
      <c r="L785" s="484">
        <f t="shared" si="260"/>
        <v>0</v>
      </c>
      <c r="M785" s="434"/>
      <c r="N785" s="434"/>
      <c r="O785" s="434"/>
      <c r="P785" s="406"/>
      <c r="Q785" s="389">
        <f>база!$L$5</f>
        <v>231.45480000000001</v>
      </c>
      <c r="R785" s="390">
        <v>1.4</v>
      </c>
      <c r="S785" s="400">
        <f>SUMIFS(Таблица1[Столбец1],Таблица1[коэф],"1,4",Таблица1[р/р],"4/16",Таблица1[Ф. И. О.],B781)</f>
        <v>0</v>
      </c>
      <c r="T785" s="492">
        <f t="shared" si="261"/>
        <v>0</v>
      </c>
      <c r="U785" s="478">
        <f>база!$M$5</f>
        <v>247.41720000000001</v>
      </c>
      <c r="V785" s="390">
        <v>1.4</v>
      </c>
      <c r="W785" s="412">
        <f>SUMIFS(Таблица1[Столбец1],Таблица1[коэф],"1,4",Таблица1[р/р],"4/24",Таблица1[Ф. И. О.],B781)</f>
        <v>0</v>
      </c>
      <c r="X785" s="492">
        <f t="shared" si="262"/>
        <v>0</v>
      </c>
      <c r="Y785" s="764"/>
      <c r="Z785" s="766"/>
      <c r="AA785" s="756"/>
    </row>
    <row r="786" spans="1:29" ht="19.5" customHeight="1" thickBot="1">
      <c r="A786" s="757"/>
      <c r="B786" s="352"/>
      <c r="C786" s="760"/>
      <c r="D786" s="763"/>
      <c r="E786" s="481"/>
      <c r="F786" s="417"/>
      <c r="G786" s="486"/>
      <c r="H786" s="440">
        <f t="shared" si="269"/>
        <v>0</v>
      </c>
      <c r="I786" s="413"/>
      <c r="J786" s="602"/>
      <c r="K786" s="414"/>
      <c r="L786" s="532">
        <f t="shared" si="260"/>
        <v>0</v>
      </c>
      <c r="M786" s="413"/>
      <c r="N786" s="414"/>
      <c r="O786" s="414"/>
      <c r="P786" s="415"/>
      <c r="Q786" s="677">
        <f>база!$L$6</f>
        <v>261.04640000000001</v>
      </c>
      <c r="R786" s="438">
        <v>1.4</v>
      </c>
      <c r="S786" s="439">
        <f>SUMIFS(Таблица1[Столбец1],Таблица1[коэф],"1,4",Таблица1[р/р],"5/16",Таблица1[Ф. И. О.],B781)</f>
        <v>0</v>
      </c>
      <c r="T786" s="510">
        <f t="shared" si="261"/>
        <v>0</v>
      </c>
      <c r="U786" s="515">
        <f>база!$M$6</f>
        <v>279.0496</v>
      </c>
      <c r="V786" s="403">
        <v>1.4</v>
      </c>
      <c r="W786" s="439">
        <f>SUMIFS(Таблица1[Столбец1],Таблица1[коэф],"1,4",Таблица1[р/р],"5/24",Таблица1[Ф. И. О.],B781)</f>
        <v>0</v>
      </c>
      <c r="X786" s="510">
        <f t="shared" si="262"/>
        <v>0</v>
      </c>
      <c r="Y786" s="764"/>
      <c r="Z786" s="767"/>
      <c r="AA786" s="757"/>
    </row>
    <row r="787" spans="1:29" ht="18.75" customHeight="1">
      <c r="A787" s="755">
        <v>72</v>
      </c>
      <c r="B787" s="215"/>
      <c r="C787" s="758">
        <f>INDEX(база!$E$2:$E$181, MATCH(B792,база!$B$2:$B$160,0))</f>
        <v>17266</v>
      </c>
      <c r="D787" s="761">
        <f>INDEX(база!$D$2:$D$189, MATCH(B792,база!$B$2:$B$160,0))</f>
        <v>3</v>
      </c>
      <c r="E787" s="377">
        <f>IF(D787&lt;=3,база!$I$4,
IF(D787=4,база!$I$5,
IF(D787=5,база!$I$6)))</f>
        <v>188.7912</v>
      </c>
      <c r="F787" s="378">
        <v>1</v>
      </c>
      <c r="G787" s="548">
        <f>SUMIFS(Таблица1[Столбец1],Таблица1[коэф],"1",Таблица1[р/р],"2/4",Таблица1[Ф. И. О.],B792)</f>
        <v>0</v>
      </c>
      <c r="H787" s="678">
        <f t="shared" si="269"/>
        <v>0</v>
      </c>
      <c r="I787" s="426">
        <f>IF(D787&lt;=3,база!$J$4,
IF(D787=4,база!$J$5,
IF(D787=5,база!$J$6)))</f>
        <v>196.05240000000001</v>
      </c>
      <c r="J787" s="427">
        <v>1</v>
      </c>
      <c r="K787" s="428">
        <f>SUMIFS(Таблица1[Столбец1],Таблица1[коэф],"1",Таблица1[р/р],"2/8",Таблица1[Ф. И. О.],B792)</f>
        <v>0</v>
      </c>
      <c r="L787" s="383">
        <f t="shared" si="260"/>
        <v>0</v>
      </c>
      <c r="M787" s="428"/>
      <c r="N787" s="428">
        <v>1</v>
      </c>
      <c r="O787" s="428">
        <f>SUMIFS(Data_Tech!$AM$3:$AM$67,Data_Tech!$E$3:$E$67,"1",Data_Tech!$G$3:$G$67,"3/12",Data_Tech!$F$3:$F$67,B792)</f>
        <v>0</v>
      </c>
      <c r="P787" s="385">
        <f>ROUND(M787*N787*O787,2)</f>
        <v>0</v>
      </c>
      <c r="Q787" s="377">
        <f>IF(D787&lt;=3,база!$L$4,
IF(D787=4,база!$L$5,
IF(D787=5,база!$L$6)))</f>
        <v>210.57480000000001</v>
      </c>
      <c r="R787" s="378">
        <v>1</v>
      </c>
      <c r="S787" s="387">
        <f>SUMIFS(Таблица1[Столбец1],Таблица1[коэф],"1",Таблица1[р/р],"3/16",Таблица1[Ф. И. О.],B792)</f>
        <v>0</v>
      </c>
      <c r="T787" s="490">
        <f t="shared" si="261"/>
        <v>0</v>
      </c>
      <c r="U787" s="477">
        <f>IF(D787&lt;=3,база!$M$4,
IF(D787=4,база!$M$5,
IF(D787=5,база!$M$6)))</f>
        <v>225.09719999999999</v>
      </c>
      <c r="V787" s="378">
        <v>1</v>
      </c>
      <c r="W787" s="430">
        <f>SUMIFS(Таблица1[Столбец1],Таблица1[коэф],"1",Таблица1[р/р],"3/24",Таблица1[Ф. И. О.],B792)</f>
        <v>0</v>
      </c>
      <c r="X787" s="490">
        <f t="shared" si="262"/>
        <v>0</v>
      </c>
      <c r="Y787" s="793">
        <f t="shared" ref="Y787" si="270">SUM(G787:G797,K787:K797,O787:O797,S787:S797,W787:W797)</f>
        <v>0</v>
      </c>
      <c r="Z787" s="766">
        <f t="shared" si="264"/>
        <v>0</v>
      </c>
      <c r="AA787" s="756"/>
    </row>
    <row r="788" spans="1:29" ht="18.75" customHeight="1">
      <c r="A788" s="756"/>
      <c r="B788" s="215"/>
      <c r="C788" s="759"/>
      <c r="D788" s="762"/>
      <c r="E788" s="389">
        <f>IF(D787&lt;=3,база!$I$4,
IF(D787=4,база!$I$5,
IF(D787=5,база!$I$6)))</f>
        <v>188.7912</v>
      </c>
      <c r="F788" s="390">
        <v>1</v>
      </c>
      <c r="G788" s="544">
        <f>SUMIFS(Таблица1[Столбец1],Таблица1[коэф],"1",Таблица1[р/р],"3/4",Таблица1[Ф. И. О.],B792)</f>
        <v>0</v>
      </c>
      <c r="H788" s="679">
        <f>ROUND(E788*F788*G788*2,2)</f>
        <v>0</v>
      </c>
      <c r="I788" s="432">
        <f>IF(D787&lt;=3,база!$J$4,
IF(D787=4,база!$J$5,
IF(D787=5,база!$J$6)))</f>
        <v>196.05240000000001</v>
      </c>
      <c r="J788" s="433">
        <v>1</v>
      </c>
      <c r="K788" s="434">
        <f>SUMIFS(Таблица1[Столбец1],Таблица1[коэф],"1",Таблица1[р/р],"3/8",Таблица1[Ф. И. О.],B792)</f>
        <v>0</v>
      </c>
      <c r="L788" s="484">
        <f t="shared" si="260"/>
        <v>0</v>
      </c>
      <c r="M788" s="434"/>
      <c r="N788" s="434">
        <v>1</v>
      </c>
      <c r="O788" s="434">
        <f>SUMIFS(Data_Tech!$AM$3:$AM$67,Data_Tech!$E$3:$E$67,"1",Data_Tech!$G$3:$G$67,"4/12",Data_Tech!$F$3:$F$67,B792)</f>
        <v>0</v>
      </c>
      <c r="P788" s="406">
        <f>ROUND(M788*O788,2)</f>
        <v>0</v>
      </c>
      <c r="Q788" s="389">
        <f>база!$L$5</f>
        <v>231.45480000000001</v>
      </c>
      <c r="R788" s="390">
        <v>1</v>
      </c>
      <c r="S788" s="400">
        <f>SUMIFS(Таблица1[Столбец1],Таблица1[коэф],"1",Таблица1[р/р],"4/16",Таблица1[Ф. И. О.],B792)</f>
        <v>0</v>
      </c>
      <c r="T788" s="492">
        <f t="shared" si="261"/>
        <v>0</v>
      </c>
      <c r="U788" s="478">
        <f>база!$M$5</f>
        <v>247.41720000000001</v>
      </c>
      <c r="V788" s="390">
        <v>1</v>
      </c>
      <c r="W788" s="412">
        <f>SUMIFS(Таблица1[Столбец1],Таблица1[коэф],"1",Таблица1[р/р],"4/24",Таблица1[Ф. И. О.],B792)</f>
        <v>0</v>
      </c>
      <c r="X788" s="492">
        <f t="shared" si="262"/>
        <v>0</v>
      </c>
      <c r="Y788" s="764"/>
      <c r="Z788" s="766"/>
      <c r="AA788" s="756"/>
    </row>
    <row r="789" spans="1:29" ht="18.75" customHeight="1">
      <c r="A789" s="756"/>
      <c r="B789" s="215"/>
      <c r="C789" s="759"/>
      <c r="D789" s="762"/>
      <c r="E789" s="389"/>
      <c r="F789" s="390"/>
      <c r="G789" s="544"/>
      <c r="H789" s="679">
        <f t="shared" ref="H789:H797" si="271">ROUND(E789*F789*G789*2,2)</f>
        <v>0</v>
      </c>
      <c r="I789" s="432"/>
      <c r="J789" s="433"/>
      <c r="K789" s="434"/>
      <c r="L789" s="484">
        <f t="shared" si="260"/>
        <v>0</v>
      </c>
      <c r="M789" s="434"/>
      <c r="N789" s="434"/>
      <c r="O789" s="434"/>
      <c r="P789" s="406"/>
      <c r="Q789" s="389">
        <f>база!$L$6</f>
        <v>261.04640000000001</v>
      </c>
      <c r="R789" s="390">
        <v>1</v>
      </c>
      <c r="S789" s="400">
        <f>SUMIFS(Таблица1[Столбец1],Таблица1[коэф],"1",Таблица1[р/р],"5/16",Таблица1[Ф. И. О.],B792)</f>
        <v>0</v>
      </c>
      <c r="T789" s="492">
        <f t="shared" si="261"/>
        <v>0</v>
      </c>
      <c r="U789" s="478">
        <f>база!$M$6</f>
        <v>279.0496</v>
      </c>
      <c r="V789" s="390">
        <v>1</v>
      </c>
      <c r="W789" s="412">
        <f>SUMIFS(Таблица1[Столбец1],Таблица1[коэф],"1",Таблица1[р/р],"5/24",Таблица1[Ф. И. О.],B792)</f>
        <v>0</v>
      </c>
      <c r="X789" s="492">
        <f t="shared" si="262"/>
        <v>0</v>
      </c>
      <c r="Y789" s="764"/>
      <c r="Z789" s="766"/>
      <c r="AA789" s="756"/>
    </row>
    <row r="790" spans="1:29" ht="18.75" customHeight="1">
      <c r="A790" s="756"/>
      <c r="B790" s="215"/>
      <c r="C790" s="759"/>
      <c r="D790" s="762"/>
      <c r="E790" s="389"/>
      <c r="F790" s="390"/>
      <c r="G790" s="544"/>
      <c r="H790" s="679">
        <f t="shared" si="271"/>
        <v>0</v>
      </c>
      <c r="I790" s="432">
        <f>база!$J$5</f>
        <v>215.4924</v>
      </c>
      <c r="J790" s="433">
        <v>1.5</v>
      </c>
      <c r="K790" s="434">
        <f>SUMIFS(Таблица1[Столбец1],Таблица1[коэф],"1,5",Таблица1[р/р],"4/8",Таблица1[Ф. И. О.],B792)</f>
        <v>0</v>
      </c>
      <c r="L790" s="484">
        <f t="shared" si="260"/>
        <v>0</v>
      </c>
      <c r="M790" s="434"/>
      <c r="N790" s="434"/>
      <c r="O790" s="434"/>
      <c r="P790" s="406"/>
      <c r="Q790" s="389">
        <f>IF(D787&lt;=3,база!$L$4,
IF(D787=4,база!$L$5,
IF(D787=5,база!$L$6)))</f>
        <v>210.57480000000001</v>
      </c>
      <c r="R790" s="390">
        <v>1.2</v>
      </c>
      <c r="S790" s="400">
        <f>SUMIFS(Таблица1[Столбец1],Таблица1[коэф],"1,2",Таблица1[р/р],"3/16",Таблица1[Ф. И. О.],B792)</f>
        <v>0</v>
      </c>
      <c r="T790" s="492">
        <f t="shared" si="261"/>
        <v>0</v>
      </c>
      <c r="U790" s="478">
        <f>IF(D787&lt;=3,база!$M$4,
IF(D787=4,база!$M$5,
IF(D787=5,база!$M$6)))</f>
        <v>225.09719999999999</v>
      </c>
      <c r="V790" s="390">
        <v>1.2</v>
      </c>
      <c r="W790" s="412">
        <f>SUMIFS(Таблица1[Столбец1],Таблица1[коэф],"1,2",Таблица1[р/р],"3/24",Таблица1[Ф. И. О.],B792)</f>
        <v>0</v>
      </c>
      <c r="X790" s="492">
        <f t="shared" si="262"/>
        <v>0</v>
      </c>
      <c r="Y790" s="764"/>
      <c r="Z790" s="766"/>
      <c r="AA790" s="756"/>
    </row>
    <row r="791" spans="1:29" ht="18.75" customHeight="1">
      <c r="A791" s="756"/>
      <c r="B791" s="215"/>
      <c r="C791" s="759"/>
      <c r="D791" s="762"/>
      <c r="E791" s="389"/>
      <c r="F791" s="390"/>
      <c r="G791" s="544"/>
      <c r="H791" s="679">
        <f t="shared" si="271"/>
        <v>0</v>
      </c>
      <c r="I791" s="432">
        <f>база!$J$6</f>
        <v>243.04319999999998</v>
      </c>
      <c r="J791" s="433">
        <v>1.5</v>
      </c>
      <c r="K791" s="434">
        <f>SUMIFS(Таблица1[Столбец1],Таблица1[коэф],"1,5",Таблица1[р/р],"5/8",Таблица1[Ф. И. О.],B792)</f>
        <v>0</v>
      </c>
      <c r="L791" s="484">
        <f t="shared" si="260"/>
        <v>0</v>
      </c>
      <c r="M791" s="434"/>
      <c r="N791" s="434"/>
      <c r="O791" s="434"/>
      <c r="P791" s="406"/>
      <c r="Q791" s="389">
        <f>база!$L$5</f>
        <v>231.45480000000001</v>
      </c>
      <c r="R791" s="390">
        <v>1.2</v>
      </c>
      <c r="S791" s="400">
        <f>SUMIFS(Таблица1[Столбец1],Таблица1[коэф],"1,2",Таблица1[р/р],"4/16",Таблица1[Ф. И. О.],B792)</f>
        <v>0</v>
      </c>
      <c r="T791" s="492">
        <f t="shared" si="261"/>
        <v>0</v>
      </c>
      <c r="U791" s="478">
        <f>база!$M$5</f>
        <v>247.41720000000001</v>
      </c>
      <c r="V791" s="390">
        <v>1.2</v>
      </c>
      <c r="W791" s="412">
        <f>SUMIFS(Таблица1[Столбец1],Таблица1[коэф],"1,2",Таблица1[р/р],"4/24",Таблица1[Ф. И. О.],B792)</f>
        <v>0</v>
      </c>
      <c r="X791" s="492">
        <f t="shared" si="262"/>
        <v>0</v>
      </c>
      <c r="Y791" s="764"/>
      <c r="Z791" s="766"/>
      <c r="AA791" s="756"/>
    </row>
    <row r="792" spans="1:29" ht="18.75" customHeight="1">
      <c r="A792" s="756"/>
      <c r="B792" s="215" t="str">
        <f>база!B73</f>
        <v>Степанова Ольга Юрьевна</v>
      </c>
      <c r="C792" s="759"/>
      <c r="D792" s="762"/>
      <c r="E792" s="389"/>
      <c r="F792" s="390"/>
      <c r="G792" s="544"/>
      <c r="H792" s="679">
        <f t="shared" si="271"/>
        <v>0</v>
      </c>
      <c r="I792" s="432"/>
      <c r="J792" s="433"/>
      <c r="K792" s="434"/>
      <c r="L792" s="484">
        <f t="shared" si="260"/>
        <v>0</v>
      </c>
      <c r="M792" s="434"/>
      <c r="N792" s="434"/>
      <c r="O792" s="434"/>
      <c r="P792" s="406"/>
      <c r="Q792" s="389">
        <f>база!$L$6</f>
        <v>261.04640000000001</v>
      </c>
      <c r="R792" s="390">
        <v>1.2</v>
      </c>
      <c r="S792" s="400">
        <f>SUMIFS(Таблица1[Столбец1],Таблица1[коэф],"1,2",Таблица1[р/р],"5/16",Таблица1[Ф. И. О.],B792)</f>
        <v>0</v>
      </c>
      <c r="T792" s="492">
        <f t="shared" si="261"/>
        <v>0</v>
      </c>
      <c r="U792" s="478">
        <f>база!$M$6</f>
        <v>279.0496</v>
      </c>
      <c r="V792" s="390">
        <v>1.2</v>
      </c>
      <c r="W792" s="412">
        <f>SUMIFS(Таблица1[Столбец1],Таблица1[коэф],"1,2",Таблица1[р/р],"5/24",Таблица1[Ф. И. О.],B792)</f>
        <v>0</v>
      </c>
      <c r="X792" s="492">
        <f t="shared" si="262"/>
        <v>0</v>
      </c>
      <c r="Y792" s="764"/>
      <c r="Z792" s="766"/>
      <c r="AA792" s="756"/>
      <c r="AC792" s="712" t="str">
        <f>IF(SUMIFS(Таблица1[Столбец3],Таблица1[Ф. И. О.],B792)-Z787=0,"",SUMIFS(Таблица1[Столбец3],Таблица1[Ф. И. О.],B792)-Z787)</f>
        <v/>
      </c>
    </row>
    <row r="793" spans="1:29" ht="18.75" customHeight="1">
      <c r="A793" s="756"/>
      <c r="B793" s="215"/>
      <c r="C793" s="759"/>
      <c r="D793" s="762"/>
      <c r="E793" s="389"/>
      <c r="F793" s="390"/>
      <c r="G793" s="544"/>
      <c r="H793" s="679">
        <f t="shared" si="271"/>
        <v>0</v>
      </c>
      <c r="I793" s="432"/>
      <c r="J793" s="433"/>
      <c r="K793" s="434"/>
      <c r="L793" s="484">
        <f t="shared" si="260"/>
        <v>0</v>
      </c>
      <c r="M793" s="434"/>
      <c r="N793" s="434"/>
      <c r="O793" s="434"/>
      <c r="P793" s="406"/>
      <c r="Q793" s="389">
        <f>IF($D$6&lt;=3,база!$L$4,
IF($D$6=4,база!$L$5,
IF($D$6=5,база!$L$6)))</f>
        <v>231.45480000000001</v>
      </c>
      <c r="R793" s="390">
        <v>1.3</v>
      </c>
      <c r="S793" s="400">
        <f>SUMIFS(Таблица1[Столбец1],Таблица1[коэф],"1,3",Таблица1[р/р],"3/16",Таблица1[Ф. И. О.],B792)</f>
        <v>0</v>
      </c>
      <c r="T793" s="492">
        <f t="shared" si="261"/>
        <v>0</v>
      </c>
      <c r="U793" s="478">
        <f>IF(D787&lt;=3,база!$M$4,
IF(D787=4,база!$M$5,
IF(D787=5,база!$M$6)))</f>
        <v>225.09719999999999</v>
      </c>
      <c r="V793" s="390">
        <v>1.3</v>
      </c>
      <c r="W793" s="412">
        <f>SUMIFS(Таблица1[Столбец1],Таблица1[коэф],"1,3",Таблица1[р/р],"3/24",Таблица1[Ф. И. О.],B792)</f>
        <v>0</v>
      </c>
      <c r="X793" s="492">
        <f t="shared" si="262"/>
        <v>0</v>
      </c>
      <c r="Y793" s="764"/>
      <c r="Z793" s="766"/>
      <c r="AA793" s="756"/>
      <c r="AC793" s="712" t="str">
        <f>IF(SUMIFS(Таблица1[Столбец1],Таблица1[Ф. И. О.],B792)=Y787,"",B792&amp;"  часы не верны")</f>
        <v/>
      </c>
    </row>
    <row r="794" spans="1:29" ht="18.75" customHeight="1">
      <c r="A794" s="756"/>
      <c r="B794" s="215"/>
      <c r="C794" s="759"/>
      <c r="D794" s="762"/>
      <c r="E794" s="389"/>
      <c r="F794" s="390"/>
      <c r="G794" s="544"/>
      <c r="H794" s="679">
        <f t="shared" si="271"/>
        <v>0</v>
      </c>
      <c r="I794" s="432"/>
      <c r="J794" s="433"/>
      <c r="K794" s="434"/>
      <c r="L794" s="484">
        <f t="shared" si="260"/>
        <v>0</v>
      </c>
      <c r="M794" s="434"/>
      <c r="N794" s="434"/>
      <c r="O794" s="434"/>
      <c r="P794" s="406"/>
      <c r="Q794" s="389">
        <f>база!$L$5</f>
        <v>231.45480000000001</v>
      </c>
      <c r="R794" s="390">
        <v>1.3</v>
      </c>
      <c r="S794" s="400">
        <f>SUMIFS(Таблица1[Столбец1],Таблица1[коэф],"1,3",Таблица1[р/р],"4/16",Таблица1[Ф. И. О.],B792)</f>
        <v>0</v>
      </c>
      <c r="T794" s="492">
        <f t="shared" si="261"/>
        <v>0</v>
      </c>
      <c r="U794" s="478">
        <f>база!$M$5</f>
        <v>247.41720000000001</v>
      </c>
      <c r="V794" s="390">
        <v>1.3</v>
      </c>
      <c r="W794" s="412">
        <f>SUMIFS(Таблица1[Столбец1],Таблица1[коэф],"1,3",Таблица1[р/р],"4/24",Таблица1[Ф. И. О.],B792)</f>
        <v>0</v>
      </c>
      <c r="X794" s="492">
        <f t="shared" si="262"/>
        <v>0</v>
      </c>
      <c r="Y794" s="764"/>
      <c r="Z794" s="766"/>
      <c r="AA794" s="756"/>
    </row>
    <row r="795" spans="1:29" ht="18.75" customHeight="1">
      <c r="A795" s="756"/>
      <c r="B795" s="215"/>
      <c r="C795" s="759"/>
      <c r="D795" s="762"/>
      <c r="E795" s="389"/>
      <c r="F795" s="390"/>
      <c r="G795" s="544"/>
      <c r="H795" s="679">
        <f t="shared" si="271"/>
        <v>0</v>
      </c>
      <c r="I795" s="432"/>
      <c r="J795" s="433"/>
      <c r="K795" s="434"/>
      <c r="L795" s="484">
        <f t="shared" si="260"/>
        <v>0</v>
      </c>
      <c r="M795" s="434"/>
      <c r="N795" s="434"/>
      <c r="O795" s="434"/>
      <c r="P795" s="406"/>
      <c r="Q795" s="389">
        <f>IF(D787&lt;=3,база!$L$4,
IF(D787=4,база!$L$5,
IF(D787=5,база!$L$6)))</f>
        <v>210.57480000000001</v>
      </c>
      <c r="R795" s="390">
        <v>1.4</v>
      </c>
      <c r="S795" s="400">
        <f>SUMIFS(Таблица1[Столбец1],Таблица1[коэф],"1,4",Таблица1[р/р],"3/16",Таблица1[Ф. И. О.],B792)</f>
        <v>0</v>
      </c>
      <c r="T795" s="492">
        <f t="shared" si="261"/>
        <v>0</v>
      </c>
      <c r="U795" s="478">
        <f>IF(D787&lt;=3,база!$M$4,
IF(D787=4,база!$M$5,
IF(D787=5,база!$M$6)))</f>
        <v>225.09719999999999</v>
      </c>
      <c r="V795" s="390">
        <v>1.4</v>
      </c>
      <c r="W795" s="412">
        <f>SUMIFS(Таблица1[Столбец1],Таблица1[коэф],"1,4",Таблица1[р/р],"3/24",Таблица1[Ф. И. О.],B792)</f>
        <v>0</v>
      </c>
      <c r="X795" s="492">
        <f t="shared" si="262"/>
        <v>0</v>
      </c>
      <c r="Y795" s="764"/>
      <c r="Z795" s="766"/>
      <c r="AA795" s="756"/>
    </row>
    <row r="796" spans="1:29" ht="18.75" customHeight="1">
      <c r="A796" s="756"/>
      <c r="B796" s="215"/>
      <c r="C796" s="759"/>
      <c r="D796" s="762"/>
      <c r="E796" s="389"/>
      <c r="F796" s="390"/>
      <c r="G796" s="544"/>
      <c r="H796" s="679">
        <f t="shared" si="271"/>
        <v>0</v>
      </c>
      <c r="I796" s="432"/>
      <c r="J796" s="433"/>
      <c r="K796" s="434"/>
      <c r="L796" s="484">
        <f t="shared" si="260"/>
        <v>0</v>
      </c>
      <c r="M796" s="434"/>
      <c r="N796" s="434"/>
      <c r="O796" s="434"/>
      <c r="P796" s="406"/>
      <c r="Q796" s="389">
        <f>база!$L$5</f>
        <v>231.45480000000001</v>
      </c>
      <c r="R796" s="390">
        <v>1.4</v>
      </c>
      <c r="S796" s="400">
        <f>SUMIFS(Таблица1[Столбец1],Таблица1[коэф],"1,4",Таблица1[р/р],"4/16",Таблица1[Ф. И. О.],B792)</f>
        <v>0</v>
      </c>
      <c r="T796" s="492">
        <f t="shared" si="261"/>
        <v>0</v>
      </c>
      <c r="U796" s="478">
        <f>база!$M$5</f>
        <v>247.41720000000001</v>
      </c>
      <c r="V796" s="390">
        <v>1.4</v>
      </c>
      <c r="W796" s="412">
        <f>SUMIFS(Таблица1[Столбец1],Таблица1[коэф],"1,4",Таблица1[р/р],"4/24",Таблица1[Ф. И. О.],B792)</f>
        <v>0</v>
      </c>
      <c r="X796" s="492">
        <f t="shared" si="262"/>
        <v>0</v>
      </c>
      <c r="Y796" s="764"/>
      <c r="Z796" s="766"/>
      <c r="AA796" s="756"/>
    </row>
    <row r="797" spans="1:29" ht="19.5" customHeight="1" thickBot="1">
      <c r="A797" s="757"/>
      <c r="B797" s="352"/>
      <c r="C797" s="760"/>
      <c r="D797" s="763"/>
      <c r="E797" s="481"/>
      <c r="F797" s="417"/>
      <c r="G797" s="676"/>
      <c r="H797" s="680">
        <f t="shared" si="271"/>
        <v>0</v>
      </c>
      <c r="I797" s="648"/>
      <c r="J797" s="615"/>
      <c r="K797" s="649"/>
      <c r="L797" s="537">
        <f t="shared" si="260"/>
        <v>0</v>
      </c>
      <c r="M797" s="648"/>
      <c r="N797" s="649"/>
      <c r="O797" s="649"/>
      <c r="P797" s="538"/>
      <c r="Q797" s="650">
        <f>база!$L$6</f>
        <v>261.04640000000001</v>
      </c>
      <c r="R797" s="446">
        <v>1.4</v>
      </c>
      <c r="S797" s="447">
        <f>SUMIFS(Таблица1[Столбец1],Таблица1[коэф],"1,4",Таблица1[р/р],"5/16",Таблица1[Ф. И. О.],B792)</f>
        <v>0</v>
      </c>
      <c r="T797" s="681">
        <f t="shared" si="261"/>
        <v>0</v>
      </c>
      <c r="U797" s="536">
        <f>база!$M$6</f>
        <v>279.0496</v>
      </c>
      <c r="V797" s="464">
        <v>1.4</v>
      </c>
      <c r="W797" s="447">
        <f>SUMIFS(Таблица1[Столбец1],Таблица1[коэф],"1,4",Таблица1[р/р],"5/24",Таблица1[Ф. И. О.],B792)</f>
        <v>0</v>
      </c>
      <c r="X797" s="681">
        <f t="shared" si="262"/>
        <v>0</v>
      </c>
      <c r="Y797" s="765"/>
      <c r="Z797" s="767"/>
      <c r="AA797" s="757"/>
    </row>
    <row r="798" spans="1:29" s="488" customFormat="1" ht="10.5" customHeight="1">
      <c r="A798" s="797"/>
      <c r="B798" s="798"/>
      <c r="C798" s="798"/>
      <c r="D798" s="798"/>
      <c r="E798" s="798"/>
      <c r="F798" s="798"/>
      <c r="G798" s="798"/>
      <c r="H798" s="798"/>
      <c r="I798" s="798"/>
      <c r="J798" s="798"/>
      <c r="K798" s="798"/>
      <c r="L798" s="798"/>
      <c r="M798" s="798"/>
      <c r="N798" s="798"/>
      <c r="O798" s="798"/>
      <c r="P798" s="798"/>
      <c r="Q798" s="798"/>
      <c r="R798" s="798"/>
      <c r="S798" s="798"/>
      <c r="T798" s="798"/>
      <c r="U798" s="798"/>
      <c r="V798" s="798"/>
      <c r="W798" s="798"/>
      <c r="X798" s="799"/>
      <c r="Y798" s="806">
        <f>SUM(Y6:Y797)</f>
        <v>0</v>
      </c>
      <c r="Z798" s="806">
        <f>SUM(Z6:Z797)</f>
        <v>0</v>
      </c>
      <c r="AA798" s="755"/>
      <c r="AC798" s="712"/>
    </row>
    <row r="799" spans="1:29" s="488" customFormat="1" ht="10.5" customHeight="1">
      <c r="A799" s="800"/>
      <c r="B799" s="801"/>
      <c r="C799" s="801"/>
      <c r="D799" s="801"/>
      <c r="E799" s="801"/>
      <c r="F799" s="801"/>
      <c r="G799" s="801"/>
      <c r="H799" s="801"/>
      <c r="I799" s="801"/>
      <c r="J799" s="801"/>
      <c r="K799" s="801"/>
      <c r="L799" s="801"/>
      <c r="M799" s="801"/>
      <c r="N799" s="801"/>
      <c r="O799" s="801"/>
      <c r="P799" s="801"/>
      <c r="Q799" s="801"/>
      <c r="R799" s="801"/>
      <c r="S799" s="801"/>
      <c r="T799" s="801"/>
      <c r="U799" s="801"/>
      <c r="V799" s="801"/>
      <c r="W799" s="801"/>
      <c r="X799" s="802"/>
      <c r="Y799" s="756"/>
      <c r="Z799" s="756"/>
      <c r="AA799" s="756"/>
      <c r="AC799" s="712"/>
    </row>
    <row r="800" spans="1:29" s="488" customFormat="1" ht="12.75" customHeight="1" thickBot="1">
      <c r="A800" s="803"/>
      <c r="B800" s="804"/>
      <c r="C800" s="804"/>
      <c r="D800" s="804"/>
      <c r="E800" s="804"/>
      <c r="F800" s="804"/>
      <c r="G800" s="804"/>
      <c r="H800" s="804"/>
      <c r="I800" s="804"/>
      <c r="J800" s="804"/>
      <c r="K800" s="804"/>
      <c r="L800" s="804"/>
      <c r="M800" s="804"/>
      <c r="N800" s="804"/>
      <c r="O800" s="804"/>
      <c r="P800" s="804"/>
      <c r="Q800" s="804"/>
      <c r="R800" s="804"/>
      <c r="S800" s="804"/>
      <c r="T800" s="804"/>
      <c r="U800" s="804"/>
      <c r="V800" s="804"/>
      <c r="W800" s="804"/>
      <c r="X800" s="805"/>
      <c r="Y800" s="757"/>
      <c r="Z800" s="757"/>
      <c r="AA800" s="757"/>
      <c r="AC800" s="712"/>
    </row>
    <row r="801" spans="5:18" ht="13.5" customHeight="1"/>
    <row r="802" spans="5:18" ht="13.5" customHeight="1">
      <c r="E802" s="186" t="s">
        <v>250</v>
      </c>
      <c r="F802" s="186"/>
      <c r="G802" s="187"/>
      <c r="H802" s="188"/>
      <c r="I802" s="189"/>
      <c r="J802" s="189"/>
      <c r="K802" s="188"/>
      <c r="L802" s="188"/>
      <c r="M802" s="189"/>
      <c r="N802" s="189"/>
      <c r="O802" s="188"/>
      <c r="P802" s="188"/>
      <c r="Q802" s="189"/>
      <c r="R802" s="189"/>
    </row>
    <row r="803" spans="5:18" ht="13.5" customHeight="1">
      <c r="E803" s="190"/>
      <c r="F803" s="191"/>
      <c r="G803" s="188"/>
      <c r="H803" s="189"/>
      <c r="I803" s="187"/>
      <c r="J803" s="187"/>
      <c r="K803" s="186"/>
      <c r="L803" s="192"/>
      <c r="M803" s="193"/>
      <c r="N803" s="194"/>
      <c r="O803" s="194"/>
      <c r="P803" s="195"/>
      <c r="Q803" s="195"/>
      <c r="R803" s="189"/>
    </row>
    <row r="804" spans="5:18" ht="15" customHeight="1">
      <c r="E804" s="186" t="s">
        <v>72</v>
      </c>
      <c r="F804" s="186"/>
      <c r="G804" s="188"/>
      <c r="H804" s="189"/>
      <c r="I804" s="187"/>
      <c r="J804" s="187"/>
      <c r="K804" s="196"/>
      <c r="L804" s="197"/>
      <c r="M804" s="197"/>
      <c r="N804" s="198"/>
      <c r="O804" s="198"/>
      <c r="P804" s="197"/>
      <c r="Q804" s="197"/>
      <c r="R804" s="189"/>
    </row>
    <row r="805" spans="5:18" ht="11.25" customHeight="1">
      <c r="E805" s="186"/>
      <c r="F805" s="186"/>
      <c r="G805" s="188"/>
      <c r="H805" s="189"/>
      <c r="I805" s="187"/>
      <c r="J805" s="187"/>
      <c r="K805" s="186"/>
      <c r="L805" s="192"/>
      <c r="M805" s="199"/>
      <c r="N805" s="200"/>
      <c r="O805" s="200"/>
      <c r="P805" s="201"/>
      <c r="Q805" s="201"/>
      <c r="R805" s="189"/>
    </row>
    <row r="806" spans="5:18" ht="18.75">
      <c r="E806" s="186" t="s">
        <v>73</v>
      </c>
      <c r="F806" s="186"/>
      <c r="G806" s="188"/>
      <c r="H806" s="189"/>
      <c r="I806" s="187"/>
      <c r="J806" s="187"/>
      <c r="K806" s="186"/>
      <c r="L806" s="192"/>
      <c r="M806" s="193"/>
      <c r="N806" s="194"/>
      <c r="O806" s="194"/>
      <c r="P806" s="195"/>
      <c r="Q806" s="195"/>
      <c r="R806" s="189"/>
    </row>
    <row r="825" spans="29:29">
      <c r="AC825" s="712" t="e">
        <f>IF(SUMIFS([1]!Таблица1[Столбец3],[1]!Таблица1[Ф. И. О.],B825)=Z820,"",B825&amp;"  СУММА не верна")</f>
        <v>#REF!</v>
      </c>
    </row>
    <row r="826" spans="29:29">
      <c r="AC826" s="712" t="e">
        <f>IF(SUMIFS([1]!Таблица1[Столбец1],[1]!Таблица1[Ф. И. О.],B825)=Y820,"",B825&amp;"  часы не верны")</f>
        <v>#REF!</v>
      </c>
    </row>
    <row r="836" spans="29:29">
      <c r="AC836" s="712" t="e">
        <f>IF(SUMIFS([1]!Таблица1[Столбец3],[1]!Таблица1[Ф. И. О.],B836)=Z831,"",B836&amp;"  СУММА не верна")</f>
        <v>#REF!</v>
      </c>
    </row>
    <row r="837" spans="29:29">
      <c r="AC837" s="712" t="e">
        <f>IF(SUMIFS([1]!Таблица1[Столбец1],[1]!Таблица1[Ф. И. О.],B836)=Y831,"",B836&amp;"  часы не верны")</f>
        <v>#REF!</v>
      </c>
    </row>
    <row r="842" spans="29:29">
      <c r="AC842" s="713"/>
    </row>
    <row r="843" spans="29:29">
      <c r="AC843" s="713"/>
    </row>
    <row r="844" spans="29:29">
      <c r="AC844" s="713"/>
    </row>
  </sheetData>
  <sheetProtection selectLockedCells="1" selectUnlockedCells="1"/>
  <mergeCells count="449">
    <mergeCell ref="A479:A489"/>
    <mergeCell ref="C479:C489"/>
    <mergeCell ref="D479:D489"/>
    <mergeCell ref="Y479:Y489"/>
    <mergeCell ref="Z479:Z489"/>
    <mergeCell ref="AA479:AA489"/>
    <mergeCell ref="A457:A467"/>
    <mergeCell ref="C457:C467"/>
    <mergeCell ref="D457:D467"/>
    <mergeCell ref="Y457:Y467"/>
    <mergeCell ref="Z457:Z467"/>
    <mergeCell ref="AA457:AA467"/>
    <mergeCell ref="A468:A478"/>
    <mergeCell ref="C468:C478"/>
    <mergeCell ref="D468:D478"/>
    <mergeCell ref="Y468:Y478"/>
    <mergeCell ref="Z468:Z478"/>
    <mergeCell ref="AA468:AA478"/>
    <mergeCell ref="A798:X800"/>
    <mergeCell ref="Y798:Y800"/>
    <mergeCell ref="Z798:Z800"/>
    <mergeCell ref="AA798:AA800"/>
    <mergeCell ref="A787:A797"/>
    <mergeCell ref="C787:C797"/>
    <mergeCell ref="D787:D797"/>
    <mergeCell ref="Y787:Y797"/>
    <mergeCell ref="Z787:Z797"/>
    <mergeCell ref="AA787:AA797"/>
    <mergeCell ref="A501:A511"/>
    <mergeCell ref="C501:C511"/>
    <mergeCell ref="D501:D511"/>
    <mergeCell ref="Y501:Y511"/>
    <mergeCell ref="Z501:Z511"/>
    <mergeCell ref="AA501:AA511"/>
    <mergeCell ref="A490:A500"/>
    <mergeCell ref="C490:C500"/>
    <mergeCell ref="D490:D500"/>
    <mergeCell ref="Y490:Y500"/>
    <mergeCell ref="Z490:Z500"/>
    <mergeCell ref="AA490:AA500"/>
    <mergeCell ref="A226:A236"/>
    <mergeCell ref="C226:C236"/>
    <mergeCell ref="D226:D236"/>
    <mergeCell ref="Y226:Y236"/>
    <mergeCell ref="Z226:Z236"/>
    <mergeCell ref="AA226:AA236"/>
    <mergeCell ref="A215:A225"/>
    <mergeCell ref="C215:C225"/>
    <mergeCell ref="D215:D225"/>
    <mergeCell ref="Y215:Y225"/>
    <mergeCell ref="Z215:Z225"/>
    <mergeCell ref="AA215:AA225"/>
    <mergeCell ref="A204:A214"/>
    <mergeCell ref="C204:C214"/>
    <mergeCell ref="D204:D214"/>
    <mergeCell ref="Y204:Y214"/>
    <mergeCell ref="Z204:Z214"/>
    <mergeCell ref="AA204:AA214"/>
    <mergeCell ref="A193:A203"/>
    <mergeCell ref="C193:C203"/>
    <mergeCell ref="D193:D203"/>
    <mergeCell ref="Y193:Y203"/>
    <mergeCell ref="Z193:Z203"/>
    <mergeCell ref="AA193:AA203"/>
    <mergeCell ref="A182:A192"/>
    <mergeCell ref="C182:C192"/>
    <mergeCell ref="D182:D192"/>
    <mergeCell ref="Y182:Y192"/>
    <mergeCell ref="Z182:Z192"/>
    <mergeCell ref="AA182:AA192"/>
    <mergeCell ref="A171:A181"/>
    <mergeCell ref="C171:C181"/>
    <mergeCell ref="D171:D181"/>
    <mergeCell ref="Y171:Y181"/>
    <mergeCell ref="Z171:Z181"/>
    <mergeCell ref="AA171:AA181"/>
    <mergeCell ref="A160:A170"/>
    <mergeCell ref="C160:C170"/>
    <mergeCell ref="D160:D170"/>
    <mergeCell ref="Y160:Y170"/>
    <mergeCell ref="Z160:Z170"/>
    <mergeCell ref="AA160:AA170"/>
    <mergeCell ref="A149:A159"/>
    <mergeCell ref="C149:C159"/>
    <mergeCell ref="D149:D159"/>
    <mergeCell ref="Y149:Y159"/>
    <mergeCell ref="Z149:Z159"/>
    <mergeCell ref="AA149:AA159"/>
    <mergeCell ref="A138:A148"/>
    <mergeCell ref="C138:C148"/>
    <mergeCell ref="D138:D148"/>
    <mergeCell ref="Y138:Y148"/>
    <mergeCell ref="Z138:Z148"/>
    <mergeCell ref="AA138:AA148"/>
    <mergeCell ref="A127:A137"/>
    <mergeCell ref="C127:C137"/>
    <mergeCell ref="D127:D137"/>
    <mergeCell ref="Y127:Y137"/>
    <mergeCell ref="Z127:Z137"/>
    <mergeCell ref="AA127:AA137"/>
    <mergeCell ref="A116:A126"/>
    <mergeCell ref="C116:C126"/>
    <mergeCell ref="D116:D126"/>
    <mergeCell ref="Y116:Y126"/>
    <mergeCell ref="Z116:Z126"/>
    <mergeCell ref="AA116:AA126"/>
    <mergeCell ref="A105:A115"/>
    <mergeCell ref="C105:C115"/>
    <mergeCell ref="D105:D115"/>
    <mergeCell ref="Y105:Y115"/>
    <mergeCell ref="Z105:Z115"/>
    <mergeCell ref="AA105:AA115"/>
    <mergeCell ref="A94:A104"/>
    <mergeCell ref="C94:C104"/>
    <mergeCell ref="D94:D104"/>
    <mergeCell ref="Y94:Y104"/>
    <mergeCell ref="Z94:Z104"/>
    <mergeCell ref="AA94:AA104"/>
    <mergeCell ref="A83:A93"/>
    <mergeCell ref="C83:C93"/>
    <mergeCell ref="D83:D93"/>
    <mergeCell ref="Y83:Y93"/>
    <mergeCell ref="Z83:Z93"/>
    <mergeCell ref="AA83:AA93"/>
    <mergeCell ref="A72:A82"/>
    <mergeCell ref="C72:C82"/>
    <mergeCell ref="D72:D82"/>
    <mergeCell ref="Y72:Y82"/>
    <mergeCell ref="Z72:Z82"/>
    <mergeCell ref="AA72:AA82"/>
    <mergeCell ref="A61:A71"/>
    <mergeCell ref="C61:C71"/>
    <mergeCell ref="D61:D71"/>
    <mergeCell ref="Y61:Y71"/>
    <mergeCell ref="Z61:Z71"/>
    <mergeCell ref="AA61:AA71"/>
    <mergeCell ref="A50:A60"/>
    <mergeCell ref="C50:C60"/>
    <mergeCell ref="D50:D60"/>
    <mergeCell ref="Y50:Y60"/>
    <mergeCell ref="Z50:Z60"/>
    <mergeCell ref="AA50:AA60"/>
    <mergeCell ref="A39:A49"/>
    <mergeCell ref="C39:C49"/>
    <mergeCell ref="D39:D49"/>
    <mergeCell ref="Y39:Y49"/>
    <mergeCell ref="Z39:Z49"/>
    <mergeCell ref="AA39:AA49"/>
    <mergeCell ref="AA6:AA16"/>
    <mergeCell ref="A28:A38"/>
    <mergeCell ref="C28:C38"/>
    <mergeCell ref="D28:D38"/>
    <mergeCell ref="Y28:Y38"/>
    <mergeCell ref="Z28:Z38"/>
    <mergeCell ref="AA28:AA38"/>
    <mergeCell ref="A17:A27"/>
    <mergeCell ref="C17:C27"/>
    <mergeCell ref="D17:D27"/>
    <mergeCell ref="Y17:Y27"/>
    <mergeCell ref="Z17:Z27"/>
    <mergeCell ref="AA17:AA27"/>
    <mergeCell ref="A259:A269"/>
    <mergeCell ref="C259:C269"/>
    <mergeCell ref="D259:D269"/>
    <mergeCell ref="Y259:Y269"/>
    <mergeCell ref="Z259:Z269"/>
    <mergeCell ref="AA259:AA269"/>
    <mergeCell ref="H1:U1"/>
    <mergeCell ref="A4:A5"/>
    <mergeCell ref="B4:B5"/>
    <mergeCell ref="C4:C5"/>
    <mergeCell ref="D4:D5"/>
    <mergeCell ref="E4:H4"/>
    <mergeCell ref="I4:L4"/>
    <mergeCell ref="M4:P4"/>
    <mergeCell ref="Q4:T4"/>
    <mergeCell ref="U4:X4"/>
    <mergeCell ref="Y4:Y5"/>
    <mergeCell ref="Z4:Z5"/>
    <mergeCell ref="AA4:AA5"/>
    <mergeCell ref="A6:A16"/>
    <mergeCell ref="C6:C16"/>
    <mergeCell ref="D6:D16"/>
    <mergeCell ref="Y6:Y16"/>
    <mergeCell ref="Z6:Z16"/>
    <mergeCell ref="A270:A280"/>
    <mergeCell ref="C270:C280"/>
    <mergeCell ref="D270:D280"/>
    <mergeCell ref="Y270:Y280"/>
    <mergeCell ref="Z270:Z280"/>
    <mergeCell ref="AA270:AA280"/>
    <mergeCell ref="A292:A302"/>
    <mergeCell ref="C292:C302"/>
    <mergeCell ref="D292:D302"/>
    <mergeCell ref="Y292:Y302"/>
    <mergeCell ref="Z292:Z302"/>
    <mergeCell ref="AA292:AA302"/>
    <mergeCell ref="A281:A291"/>
    <mergeCell ref="C281:C291"/>
    <mergeCell ref="D281:D291"/>
    <mergeCell ref="Y281:Y291"/>
    <mergeCell ref="Z281:Z291"/>
    <mergeCell ref="AA281:AA291"/>
    <mergeCell ref="A314:A324"/>
    <mergeCell ref="C314:C324"/>
    <mergeCell ref="D314:D324"/>
    <mergeCell ref="Y314:Y324"/>
    <mergeCell ref="Z314:Z324"/>
    <mergeCell ref="AA314:AA324"/>
    <mergeCell ref="A303:A313"/>
    <mergeCell ref="C303:C313"/>
    <mergeCell ref="D303:D313"/>
    <mergeCell ref="Y303:Y313"/>
    <mergeCell ref="Z303:Z313"/>
    <mergeCell ref="AA303:AA313"/>
    <mergeCell ref="A336:A346"/>
    <mergeCell ref="C336:C346"/>
    <mergeCell ref="D336:D346"/>
    <mergeCell ref="Y336:Y346"/>
    <mergeCell ref="Z336:Z346"/>
    <mergeCell ref="AA336:AA346"/>
    <mergeCell ref="A325:A335"/>
    <mergeCell ref="C325:C335"/>
    <mergeCell ref="D325:D335"/>
    <mergeCell ref="Y325:Y335"/>
    <mergeCell ref="Z325:Z335"/>
    <mergeCell ref="AA325:AA335"/>
    <mergeCell ref="A358:A368"/>
    <mergeCell ref="C358:C368"/>
    <mergeCell ref="D358:D368"/>
    <mergeCell ref="Y358:Y368"/>
    <mergeCell ref="Z358:Z368"/>
    <mergeCell ref="AA358:AA368"/>
    <mergeCell ref="A347:A357"/>
    <mergeCell ref="C347:C357"/>
    <mergeCell ref="D347:D357"/>
    <mergeCell ref="Y347:Y357"/>
    <mergeCell ref="Z347:Z357"/>
    <mergeCell ref="AA347:AA357"/>
    <mergeCell ref="A380:A390"/>
    <mergeCell ref="C380:C390"/>
    <mergeCell ref="D380:D390"/>
    <mergeCell ref="Y380:Y390"/>
    <mergeCell ref="Z380:Z390"/>
    <mergeCell ref="AA380:AA390"/>
    <mergeCell ref="A369:A379"/>
    <mergeCell ref="C369:C379"/>
    <mergeCell ref="D369:D379"/>
    <mergeCell ref="Y369:Y379"/>
    <mergeCell ref="Z369:Z379"/>
    <mergeCell ref="AA369:AA379"/>
    <mergeCell ref="A402:A412"/>
    <mergeCell ref="C402:C412"/>
    <mergeCell ref="D402:D412"/>
    <mergeCell ref="Y402:Y412"/>
    <mergeCell ref="Z402:Z412"/>
    <mergeCell ref="AA402:AA412"/>
    <mergeCell ref="A391:A401"/>
    <mergeCell ref="C391:C401"/>
    <mergeCell ref="D391:D401"/>
    <mergeCell ref="Y391:Y401"/>
    <mergeCell ref="Z391:Z401"/>
    <mergeCell ref="AA391:AA401"/>
    <mergeCell ref="A424:A434"/>
    <mergeCell ref="C424:C434"/>
    <mergeCell ref="D424:D434"/>
    <mergeCell ref="Y424:Y434"/>
    <mergeCell ref="Z424:Z434"/>
    <mergeCell ref="AA424:AA434"/>
    <mergeCell ref="A413:A423"/>
    <mergeCell ref="C413:C423"/>
    <mergeCell ref="D413:D423"/>
    <mergeCell ref="Y413:Y423"/>
    <mergeCell ref="Z413:Z423"/>
    <mergeCell ref="AA413:AA423"/>
    <mergeCell ref="A446:A456"/>
    <mergeCell ref="C446:C456"/>
    <mergeCell ref="D446:D456"/>
    <mergeCell ref="Y446:Y456"/>
    <mergeCell ref="Z446:Z456"/>
    <mergeCell ref="AA446:AA456"/>
    <mergeCell ref="A435:A445"/>
    <mergeCell ref="C435:C445"/>
    <mergeCell ref="D435:D445"/>
    <mergeCell ref="Y435:Y445"/>
    <mergeCell ref="Z435:Z445"/>
    <mergeCell ref="AA435:AA445"/>
    <mergeCell ref="AA248:AA258"/>
    <mergeCell ref="Z248:Z258"/>
    <mergeCell ref="Y248:Y258"/>
    <mergeCell ref="D248:D258"/>
    <mergeCell ref="C248:C258"/>
    <mergeCell ref="A248:A258"/>
    <mergeCell ref="AA237:AA247"/>
    <mergeCell ref="Z237:Z247"/>
    <mergeCell ref="Y237:Y247"/>
    <mergeCell ref="D237:D247"/>
    <mergeCell ref="C237:C247"/>
    <mergeCell ref="A237:A247"/>
    <mergeCell ref="A512:A522"/>
    <mergeCell ref="C512:C522"/>
    <mergeCell ref="D512:D522"/>
    <mergeCell ref="Y512:Y522"/>
    <mergeCell ref="Z512:Z522"/>
    <mergeCell ref="AA512:AA522"/>
    <mergeCell ref="A523:A533"/>
    <mergeCell ref="C523:C533"/>
    <mergeCell ref="D523:D533"/>
    <mergeCell ref="Y523:Y533"/>
    <mergeCell ref="Z523:Z533"/>
    <mergeCell ref="AA523:AA533"/>
    <mergeCell ref="A534:A544"/>
    <mergeCell ref="C534:C544"/>
    <mergeCell ref="D534:D544"/>
    <mergeCell ref="Y534:Y544"/>
    <mergeCell ref="Z534:Z544"/>
    <mergeCell ref="AA534:AA544"/>
    <mergeCell ref="A545:A555"/>
    <mergeCell ref="C545:C555"/>
    <mergeCell ref="D545:D555"/>
    <mergeCell ref="Y545:Y555"/>
    <mergeCell ref="Z545:Z555"/>
    <mergeCell ref="AA545:AA555"/>
    <mergeCell ref="A556:A566"/>
    <mergeCell ref="C556:C566"/>
    <mergeCell ref="D556:D566"/>
    <mergeCell ref="Y556:Y566"/>
    <mergeCell ref="Z556:Z566"/>
    <mergeCell ref="AA556:AA566"/>
    <mergeCell ref="A567:A577"/>
    <mergeCell ref="C567:C577"/>
    <mergeCell ref="D567:D577"/>
    <mergeCell ref="Y567:Y577"/>
    <mergeCell ref="Z567:Z577"/>
    <mergeCell ref="AA567:AA577"/>
    <mergeCell ref="A578:A588"/>
    <mergeCell ref="C578:C588"/>
    <mergeCell ref="D578:D588"/>
    <mergeCell ref="Y578:Y588"/>
    <mergeCell ref="Z578:Z588"/>
    <mergeCell ref="AA578:AA588"/>
    <mergeCell ref="A589:A599"/>
    <mergeCell ref="C589:C599"/>
    <mergeCell ref="D589:D599"/>
    <mergeCell ref="Y589:Y599"/>
    <mergeCell ref="Z589:Z599"/>
    <mergeCell ref="AA589:AA599"/>
    <mergeCell ref="A600:A610"/>
    <mergeCell ref="C600:C610"/>
    <mergeCell ref="D600:D610"/>
    <mergeCell ref="Y600:Y610"/>
    <mergeCell ref="Z600:Z610"/>
    <mergeCell ref="AA600:AA610"/>
    <mergeCell ref="A611:A621"/>
    <mergeCell ref="C611:C621"/>
    <mergeCell ref="D611:D621"/>
    <mergeCell ref="Y611:Y621"/>
    <mergeCell ref="Z611:Z621"/>
    <mergeCell ref="AA611:AA621"/>
    <mergeCell ref="A644:A654"/>
    <mergeCell ref="C644:C654"/>
    <mergeCell ref="D644:D654"/>
    <mergeCell ref="Y644:Y654"/>
    <mergeCell ref="Z644:Z654"/>
    <mergeCell ref="AA644:AA654"/>
    <mergeCell ref="A622:A632"/>
    <mergeCell ref="C622:C632"/>
    <mergeCell ref="D622:D632"/>
    <mergeCell ref="Y622:Y632"/>
    <mergeCell ref="Z622:Z632"/>
    <mergeCell ref="AA622:AA632"/>
    <mergeCell ref="A633:A643"/>
    <mergeCell ref="C633:C643"/>
    <mergeCell ref="D633:D643"/>
    <mergeCell ref="Y633:Y643"/>
    <mergeCell ref="Z633:Z643"/>
    <mergeCell ref="AA633:AA643"/>
    <mergeCell ref="A655:A665"/>
    <mergeCell ref="C655:C665"/>
    <mergeCell ref="D655:D665"/>
    <mergeCell ref="Y655:Y665"/>
    <mergeCell ref="Z655:Z665"/>
    <mergeCell ref="AA655:AA665"/>
    <mergeCell ref="A666:A676"/>
    <mergeCell ref="C666:C676"/>
    <mergeCell ref="D666:D676"/>
    <mergeCell ref="Y666:Y676"/>
    <mergeCell ref="Z666:Z676"/>
    <mergeCell ref="AA666:AA676"/>
    <mergeCell ref="A677:A687"/>
    <mergeCell ref="C677:C687"/>
    <mergeCell ref="D677:D687"/>
    <mergeCell ref="Y677:Y687"/>
    <mergeCell ref="Z677:Z687"/>
    <mergeCell ref="AA677:AA687"/>
    <mergeCell ref="A688:A698"/>
    <mergeCell ref="C688:C698"/>
    <mergeCell ref="D688:D698"/>
    <mergeCell ref="Y688:Y698"/>
    <mergeCell ref="Z688:Z698"/>
    <mergeCell ref="AA688:AA698"/>
    <mergeCell ref="A699:A709"/>
    <mergeCell ref="C699:C709"/>
    <mergeCell ref="D699:D709"/>
    <mergeCell ref="Y699:Y709"/>
    <mergeCell ref="Z699:Z709"/>
    <mergeCell ref="AA699:AA709"/>
    <mergeCell ref="A710:A720"/>
    <mergeCell ref="C710:C720"/>
    <mergeCell ref="D710:D720"/>
    <mergeCell ref="Y710:Y720"/>
    <mergeCell ref="Z710:Z720"/>
    <mergeCell ref="AA710:AA720"/>
    <mergeCell ref="A721:A731"/>
    <mergeCell ref="C721:C731"/>
    <mergeCell ref="D721:D731"/>
    <mergeCell ref="Y721:Y731"/>
    <mergeCell ref="Z721:Z731"/>
    <mergeCell ref="AA721:AA731"/>
    <mergeCell ref="A732:A742"/>
    <mergeCell ref="C732:C742"/>
    <mergeCell ref="D732:D742"/>
    <mergeCell ref="Y732:Y742"/>
    <mergeCell ref="Z732:Z742"/>
    <mergeCell ref="AA732:AA742"/>
    <mergeCell ref="A743:A753"/>
    <mergeCell ref="C743:C753"/>
    <mergeCell ref="D743:D753"/>
    <mergeCell ref="Y743:Y753"/>
    <mergeCell ref="Z743:Z753"/>
    <mergeCell ref="AA743:AA753"/>
    <mergeCell ref="A754:A764"/>
    <mergeCell ref="C754:C764"/>
    <mergeCell ref="D754:D764"/>
    <mergeCell ref="Y754:Y764"/>
    <mergeCell ref="Z754:Z764"/>
    <mergeCell ref="AA754:AA764"/>
    <mergeCell ref="A765:A775"/>
    <mergeCell ref="C765:C775"/>
    <mergeCell ref="D765:D775"/>
    <mergeCell ref="Y765:Y775"/>
    <mergeCell ref="Z765:Z775"/>
    <mergeCell ref="AA765:AA775"/>
    <mergeCell ref="A776:A786"/>
    <mergeCell ref="C776:C786"/>
    <mergeCell ref="D776:D786"/>
    <mergeCell ref="Y776:Y786"/>
    <mergeCell ref="Z776:Z786"/>
    <mergeCell ref="AA776:AA786"/>
  </mergeCells>
  <conditionalFormatting sqref="W14:W15 U14:U15 E6:X6 V14:V236 E787:G796 V787:V797 U7:W11 E7:T16 T17:T27 M19:S27 M17:P18 E17:L27 I787:K796 M787:S796 E28:T236 X7:X236 X501:X511 T501:T511 L501:L511 H501:H511 H787:H797 L787:L797 T787:T797 X787:X797">
    <cfRule type="cellIs" dxfId="256" priority="78" operator="equal">
      <formula>0</formula>
    </cfRule>
  </conditionalFormatting>
  <conditionalFormatting sqref="E797:G797 W797 I797:K797 M797:S797 U797">
    <cfRule type="cellIs" dxfId="255" priority="77" operator="equal">
      <formula>0</formula>
    </cfRule>
  </conditionalFormatting>
  <conditionalFormatting sqref="V501:V511 E501:G511 I501:K511 M501:S511">
    <cfRule type="cellIs" dxfId="254" priority="75" operator="equal">
      <formula>0</formula>
    </cfRule>
  </conditionalFormatting>
  <conditionalFormatting sqref="V270:V280 E270:T280 X270:X280">
    <cfRule type="cellIs" dxfId="253" priority="71" operator="equal">
      <formula>0</formula>
    </cfRule>
  </conditionalFormatting>
  <conditionalFormatting sqref="V490:V500 E490:T500 X490:X500">
    <cfRule type="cellIs" dxfId="252" priority="59" operator="equal">
      <formula>0</formula>
    </cfRule>
  </conditionalFormatting>
  <conditionalFormatting sqref="V237:V247 E237:T247 X237:X247">
    <cfRule type="cellIs" dxfId="251" priority="74" operator="equal">
      <formula>0</formula>
    </cfRule>
  </conditionalFormatting>
  <conditionalFormatting sqref="V248:V258 E248:T258 X248:X258">
    <cfRule type="cellIs" dxfId="250" priority="73" operator="equal">
      <formula>0</formula>
    </cfRule>
  </conditionalFormatting>
  <conditionalFormatting sqref="V259:V269 E259:T269 X259:X269">
    <cfRule type="cellIs" dxfId="249" priority="72" operator="equal">
      <formula>0</formula>
    </cfRule>
  </conditionalFormatting>
  <conditionalFormatting sqref="V281:V291 E281:T291 X281:X291">
    <cfRule type="cellIs" dxfId="248" priority="70" operator="equal">
      <formula>0</formula>
    </cfRule>
  </conditionalFormatting>
  <conditionalFormatting sqref="V292:V302 E292:T302 X292:X302">
    <cfRule type="cellIs" dxfId="247" priority="69" operator="equal">
      <formula>0</formula>
    </cfRule>
  </conditionalFormatting>
  <conditionalFormatting sqref="V303:V313 E303:T313 X303:X313">
    <cfRule type="cellIs" dxfId="246" priority="68" operator="equal">
      <formula>0</formula>
    </cfRule>
  </conditionalFormatting>
  <conditionalFormatting sqref="V424:V434 E424:T434 X424:X434">
    <cfRule type="cellIs" dxfId="245" priority="55" operator="equal">
      <formula>0</formula>
    </cfRule>
  </conditionalFormatting>
  <conditionalFormatting sqref="V314:V324 E314:T324 X314:X324">
    <cfRule type="cellIs" dxfId="244" priority="67" operator="equal">
      <formula>0</formula>
    </cfRule>
  </conditionalFormatting>
  <conditionalFormatting sqref="V325:V335 E325:T335 X325:X335">
    <cfRule type="cellIs" dxfId="243" priority="66" operator="equal">
      <formula>0</formula>
    </cfRule>
  </conditionalFormatting>
  <conditionalFormatting sqref="V336:V346 E336:T346 X336:X346">
    <cfRule type="cellIs" dxfId="242" priority="65" operator="equal">
      <formula>0</formula>
    </cfRule>
  </conditionalFormatting>
  <conditionalFormatting sqref="V347:V357 E347:T357 X347:X357">
    <cfRule type="cellIs" dxfId="241" priority="64" operator="equal">
      <formula>0</formula>
    </cfRule>
  </conditionalFormatting>
  <conditionalFormatting sqref="V358:V368 E358:T368 X358:X368">
    <cfRule type="cellIs" dxfId="240" priority="63" operator="equal">
      <formula>0</formula>
    </cfRule>
  </conditionalFormatting>
  <conditionalFormatting sqref="V369:V379 E369:T379 X369:X379">
    <cfRule type="cellIs" dxfId="239" priority="62" operator="equal">
      <formula>0</formula>
    </cfRule>
  </conditionalFormatting>
  <conditionalFormatting sqref="V380:V390 E380:T390 X380:X390">
    <cfRule type="cellIs" dxfId="238" priority="61" operator="equal">
      <formula>0</formula>
    </cfRule>
  </conditionalFormatting>
  <conditionalFormatting sqref="V435:V445 E435:T445 X435:X445">
    <cfRule type="cellIs" dxfId="237" priority="60" operator="equal">
      <formula>0</formula>
    </cfRule>
  </conditionalFormatting>
  <conditionalFormatting sqref="V446:V456 E446:T456 X446:X456">
    <cfRule type="cellIs" dxfId="236" priority="54" operator="equal">
      <formula>0</formula>
    </cfRule>
  </conditionalFormatting>
  <conditionalFormatting sqref="V391:V401 E391:T401 X391:X401">
    <cfRule type="cellIs" dxfId="235" priority="58" operator="equal">
      <formula>0</formula>
    </cfRule>
  </conditionalFormatting>
  <conditionalFormatting sqref="V402:V412 E402:T412 X402:X412">
    <cfRule type="cellIs" dxfId="234" priority="57" operator="equal">
      <formula>0</formula>
    </cfRule>
  </conditionalFormatting>
  <conditionalFormatting sqref="V413:V423 E413:T423 X413:X423">
    <cfRule type="cellIs" dxfId="233" priority="56" operator="equal">
      <formula>0</formula>
    </cfRule>
  </conditionalFormatting>
  <conditionalFormatting sqref="V457:V467 E457:T467 X457:X467">
    <cfRule type="cellIs" dxfId="232" priority="53" operator="equal">
      <formula>0</formula>
    </cfRule>
  </conditionalFormatting>
  <conditionalFormatting sqref="V468:V478 E468:T478 X468:X478">
    <cfRule type="cellIs" dxfId="231" priority="52" operator="equal">
      <formula>0</formula>
    </cfRule>
  </conditionalFormatting>
  <conditionalFormatting sqref="V479:V489 E479:T489 X479:X489">
    <cfRule type="cellIs" dxfId="230" priority="51" operator="equal">
      <formula>0</formula>
    </cfRule>
  </conditionalFormatting>
  <conditionalFormatting sqref="X512:X522 T512:T522 L512:L522 H512:H522">
    <cfRule type="cellIs" dxfId="229" priority="50" operator="equal">
      <formula>0</formula>
    </cfRule>
  </conditionalFormatting>
  <conditionalFormatting sqref="V512:V522 E512:G522 I512:K522 M512:S522">
    <cfRule type="cellIs" dxfId="228" priority="49" operator="equal">
      <formula>0</formula>
    </cfRule>
  </conditionalFormatting>
  <conditionalFormatting sqref="X523:X533 T523:T533 L523:L533 H523:H533">
    <cfRule type="cellIs" dxfId="227" priority="48" operator="equal">
      <formula>0</formula>
    </cfRule>
  </conditionalFormatting>
  <conditionalFormatting sqref="V523:V533 E523:G533 I523:K533 M523:S533">
    <cfRule type="cellIs" dxfId="226" priority="47" operator="equal">
      <formula>0</formula>
    </cfRule>
  </conditionalFormatting>
  <conditionalFormatting sqref="X534:X544 T534:T544 L534:L544 H534:H544">
    <cfRule type="cellIs" dxfId="225" priority="46" operator="equal">
      <formula>0</formula>
    </cfRule>
  </conditionalFormatting>
  <conditionalFormatting sqref="V534:V544 E534:G544 I534:K544 M534:S544">
    <cfRule type="cellIs" dxfId="224" priority="45" operator="equal">
      <formula>0</formula>
    </cfRule>
  </conditionalFormatting>
  <conditionalFormatting sqref="X545:X555 T545:T555 L545:L555 H545:H555">
    <cfRule type="cellIs" dxfId="223" priority="44" operator="equal">
      <formula>0</formula>
    </cfRule>
  </conditionalFormatting>
  <conditionalFormatting sqref="V545:V555 E545:G555 I545:K555 M545:S555">
    <cfRule type="cellIs" dxfId="222" priority="43" operator="equal">
      <formula>0</formula>
    </cfRule>
  </conditionalFormatting>
  <conditionalFormatting sqref="X556:X566 T556:T566 L556:L566 H556:H566">
    <cfRule type="cellIs" dxfId="221" priority="42" operator="equal">
      <formula>0</formula>
    </cfRule>
  </conditionalFormatting>
  <conditionalFormatting sqref="V556:V566 E556:G566 I556:K566 M556:S566">
    <cfRule type="cellIs" dxfId="220" priority="41" operator="equal">
      <formula>0</formula>
    </cfRule>
  </conditionalFormatting>
  <conditionalFormatting sqref="X567:X577 T567:T577 L567:L577 H567:H577">
    <cfRule type="cellIs" dxfId="219" priority="40" operator="equal">
      <formula>0</formula>
    </cfRule>
  </conditionalFormatting>
  <conditionalFormatting sqref="V567:V577 E567:G577 I567:K577 M567:S577">
    <cfRule type="cellIs" dxfId="218" priority="39" operator="equal">
      <formula>0</formula>
    </cfRule>
  </conditionalFormatting>
  <conditionalFormatting sqref="X578:X588 T578:T588 L578:L588 H578:H588">
    <cfRule type="cellIs" dxfId="217" priority="38" operator="equal">
      <formula>0</formula>
    </cfRule>
  </conditionalFormatting>
  <conditionalFormatting sqref="V578:V588 E578:G588 I578:K588 M578:S588">
    <cfRule type="cellIs" dxfId="216" priority="37" operator="equal">
      <formula>0</formula>
    </cfRule>
  </conditionalFormatting>
  <conditionalFormatting sqref="X589:X599 T589:T599 L589:L599 H589:H599">
    <cfRule type="cellIs" dxfId="215" priority="36" operator="equal">
      <formula>0</formula>
    </cfRule>
  </conditionalFormatting>
  <conditionalFormatting sqref="V589:V599 E589:G599 I589:K599 M589:S599">
    <cfRule type="cellIs" dxfId="214" priority="35" operator="equal">
      <formula>0</formula>
    </cfRule>
  </conditionalFormatting>
  <conditionalFormatting sqref="X600:X610 T600:T610 L600:L610 H600:H610">
    <cfRule type="cellIs" dxfId="213" priority="34" operator="equal">
      <formula>0</formula>
    </cfRule>
  </conditionalFormatting>
  <conditionalFormatting sqref="V600:V610 E600:G610 I600:K610 M600:S610">
    <cfRule type="cellIs" dxfId="212" priority="33" operator="equal">
      <formula>0</formula>
    </cfRule>
  </conditionalFormatting>
  <conditionalFormatting sqref="X611:X621 T611:T621 L611:L621 H611:H621">
    <cfRule type="cellIs" dxfId="211" priority="32" operator="equal">
      <formula>0</formula>
    </cfRule>
  </conditionalFormatting>
  <conditionalFormatting sqref="V611:V621 E611:G621 I611:K621 M611:S621">
    <cfRule type="cellIs" dxfId="210" priority="31" operator="equal">
      <formula>0</formula>
    </cfRule>
  </conditionalFormatting>
  <conditionalFormatting sqref="X622:X632 T622:T632 L622:L632 H622:H632">
    <cfRule type="cellIs" dxfId="209" priority="30" operator="equal">
      <formula>0</formula>
    </cfRule>
  </conditionalFormatting>
  <conditionalFormatting sqref="V622:V632 E622:G632 I622:K632 M622:S632">
    <cfRule type="cellIs" dxfId="208" priority="29" operator="equal">
      <formula>0</formula>
    </cfRule>
  </conditionalFormatting>
  <conditionalFormatting sqref="X633:X643 T633:T643 L633:L643 H633:H643">
    <cfRule type="cellIs" dxfId="207" priority="28" operator="equal">
      <formula>0</formula>
    </cfRule>
  </conditionalFormatting>
  <conditionalFormatting sqref="V633:V643 E633:G643 I633:K643 M633:S643">
    <cfRule type="cellIs" dxfId="206" priority="27" operator="equal">
      <formula>0</formula>
    </cfRule>
  </conditionalFormatting>
  <conditionalFormatting sqref="E644:G653 V644:V654 I644:K653 M644:S653 H644:H654 L644:L654 T644:T654 X644:X654">
    <cfRule type="cellIs" dxfId="205" priority="26" operator="equal">
      <formula>0</formula>
    </cfRule>
  </conditionalFormatting>
  <conditionalFormatting sqref="E654:G654 W654 I654:K654 M654:S654 U654">
    <cfRule type="cellIs" dxfId="204" priority="25" operator="equal">
      <formula>0</formula>
    </cfRule>
  </conditionalFormatting>
  <conditionalFormatting sqref="E655:G664 V655:V665 I655:K664 M655:S664 H655:H665 L655:L665 T655:T665 X655:X665">
    <cfRule type="cellIs" dxfId="203" priority="24" operator="equal">
      <formula>0</formula>
    </cfRule>
  </conditionalFormatting>
  <conditionalFormatting sqref="E665:G665 W665 I665:K665 M665:S665 U665">
    <cfRule type="cellIs" dxfId="202" priority="23" operator="equal">
      <formula>0</formula>
    </cfRule>
  </conditionalFormatting>
  <conditionalFormatting sqref="E666:G675 V666:V676 I666:K675 M666:S675 H666:H676 L666:L676 T666:T676 X666:X676">
    <cfRule type="cellIs" dxfId="201" priority="22" operator="equal">
      <formula>0</formula>
    </cfRule>
  </conditionalFormatting>
  <conditionalFormatting sqref="E676:G676 W676 I676:K676 M676:S676 U676">
    <cfRule type="cellIs" dxfId="200" priority="21" operator="equal">
      <formula>0</formula>
    </cfRule>
  </conditionalFormatting>
  <conditionalFormatting sqref="E677:G686 V677:V687 I677:K686 M677:S686 H677:H687 L677:L687 T677:T687 X677:X687">
    <cfRule type="cellIs" dxfId="199" priority="20" operator="equal">
      <formula>0</formula>
    </cfRule>
  </conditionalFormatting>
  <conditionalFormatting sqref="E687:G687 W687 I687:K687 M687:S687 U687">
    <cfRule type="cellIs" dxfId="198" priority="19" operator="equal">
      <formula>0</formula>
    </cfRule>
  </conditionalFormatting>
  <conditionalFormatting sqref="E688:G697 V688:V698 I688:K697 M688:S697 H688:H698 L688:L698 T688:T698 X688:X698">
    <cfRule type="cellIs" dxfId="197" priority="18" operator="equal">
      <formula>0</formula>
    </cfRule>
  </conditionalFormatting>
  <conditionalFormatting sqref="E698:G698 W698 I698:K698 M698:S698 U698">
    <cfRule type="cellIs" dxfId="196" priority="17" operator="equal">
      <formula>0</formula>
    </cfRule>
  </conditionalFormatting>
  <conditionalFormatting sqref="E699:G708 V699:V709 I699:K708 M699:S708 H699:H709 L699:L709 T699:T709 X699:X709">
    <cfRule type="cellIs" dxfId="195" priority="16" operator="equal">
      <formula>0</formula>
    </cfRule>
  </conditionalFormatting>
  <conditionalFormatting sqref="E709:G709 W709 I709:K709 M709:S709 U709">
    <cfRule type="cellIs" dxfId="194" priority="15" operator="equal">
      <formula>0</formula>
    </cfRule>
  </conditionalFormatting>
  <conditionalFormatting sqref="E710:G719 V710:V720 I710:K719 M710:S719 H710:H720 L710:L720 T710:T720 X710:X720">
    <cfRule type="cellIs" dxfId="193" priority="14" operator="equal">
      <formula>0</formula>
    </cfRule>
  </conditionalFormatting>
  <conditionalFormatting sqref="E720:G720 W720 I720:K720 M720:S720 U720">
    <cfRule type="cellIs" dxfId="192" priority="13" operator="equal">
      <formula>0</formula>
    </cfRule>
  </conditionalFormatting>
  <conditionalFormatting sqref="E721:G730 V721:V731 I721:K730 M721:S730 H721:H731 L721:L731 T721:T731 X721:X731">
    <cfRule type="cellIs" dxfId="191" priority="12" operator="equal">
      <formula>0</formula>
    </cfRule>
  </conditionalFormatting>
  <conditionalFormatting sqref="E731:G731 W731 I731:K731 M731:S731 U731">
    <cfRule type="cellIs" dxfId="190" priority="11" operator="equal">
      <formula>0</formula>
    </cfRule>
  </conditionalFormatting>
  <conditionalFormatting sqref="E732:G741 V732:V742 I732:K741 M732:S741 H732:H742 L732:L742 T732:T742 X732:X742">
    <cfRule type="cellIs" dxfId="189" priority="10" operator="equal">
      <formula>0</formula>
    </cfRule>
  </conditionalFormatting>
  <conditionalFormatting sqref="E742:G742 W742 I742:K742 M742:S742 U742">
    <cfRule type="cellIs" dxfId="188" priority="9" operator="equal">
      <formula>0</formula>
    </cfRule>
  </conditionalFormatting>
  <conditionalFormatting sqref="E743:G752 V743:V753 I743:K752 M743:S752 H743:H753 L743:L753 T743:T753 X743:X753">
    <cfRule type="cellIs" dxfId="187" priority="8" operator="equal">
      <formula>0</formula>
    </cfRule>
  </conditionalFormatting>
  <conditionalFormatting sqref="E753:G753 W753 I753:K753 M753:S753 U753">
    <cfRule type="cellIs" dxfId="186" priority="7" operator="equal">
      <formula>0</formula>
    </cfRule>
  </conditionalFormatting>
  <conditionalFormatting sqref="E754:G763 V754:V764 I754:K763 M754:S763 H754:H764 L754:L764 T754:T764 X754:X764">
    <cfRule type="cellIs" dxfId="185" priority="6" operator="equal">
      <formula>0</formula>
    </cfRule>
  </conditionalFormatting>
  <conditionalFormatting sqref="E764:G764 W764 I764:K764 M764:S764 U764">
    <cfRule type="cellIs" dxfId="184" priority="5" operator="equal">
      <formula>0</formula>
    </cfRule>
  </conditionalFormatting>
  <conditionalFormatting sqref="E765:G774 V765:V775 I765:K774 M765:S774 H765:H775 L765:L775 T765:T775 X765:X775">
    <cfRule type="cellIs" dxfId="183" priority="4" operator="equal">
      <formula>0</formula>
    </cfRule>
  </conditionalFormatting>
  <conditionalFormatting sqref="E775:G775 W775 I775:K775 M775:S775 U775">
    <cfRule type="cellIs" dxfId="182" priority="3" operator="equal">
      <formula>0</formula>
    </cfRule>
  </conditionalFormatting>
  <conditionalFormatting sqref="E776:G785 V776:V786 I776:K785 M776:S785 H776:H786 L776:L786 T776:T786 X776:X786">
    <cfRule type="cellIs" dxfId="181" priority="2" operator="equal">
      <formula>0</formula>
    </cfRule>
  </conditionalFormatting>
  <conditionalFormatting sqref="E786:G786 W786 I786:K786 M786:S786 U786">
    <cfRule type="cellIs" dxfId="180" priority="1" operator="equal">
      <formula>0</formula>
    </cfRule>
  </conditionalFormatting>
  <pageMargins left="0.43307086614173229" right="3.937007874015748E-2" top="0.35433070866141736" bottom="0.35433070866141736" header="0" footer="0"/>
  <pageSetup paperSize="9" scale="54" fitToHeight="0" orientation="landscape" r:id="rId1"/>
  <rowBreaks count="9" manualBreakCount="9">
    <brk id="49" max="26" man="1"/>
    <brk id="93" max="26" man="1"/>
    <brk id="137" max="26" man="1"/>
    <brk id="181" max="26" man="1"/>
    <brk id="225" max="16383" man="1"/>
    <brk id="291" max="26" man="1"/>
    <brk id="456" max="26" man="1"/>
    <brk id="740" max="26" man="1"/>
    <brk id="797" max="26" man="1"/>
  </rowBreaks>
  <ignoredErrors>
    <ignoredError sqref="C6:R9 B11 H1 C15:R16 C13:P14 X13:Z14 X6:Z12 X15:Z16 B22:B33 E17:E38 G17:G31 H17:R22 X17:Z38 Y50:Z93 C28 D17:D38 C17 C18:C27 C29:C38 Z39:Z49 Y39:Y49 H36:P38 R219:R222 E213:P218 Z204:Z214 Y204:Y214 E188:P212 B164:B187 B198:B208 E182:P187 E166:P179 E158:P165 B154 B143 Y149:Z203 Z138:Z148 Y138:Y148 E146:P157 B120:B132 E136:P145 E124:P135 B99:B110 Y116:Z137 Z94:Z115 Y94:Y115 E114:P123 B77:B88 E81:P89 E90:P113 E39:P80 B44:B66 X50:X71 C11:R11 C10:J10 L10:R10 Y215:Z236 B220:B236 E219:L236 C39:D236 B210 C12:P12 R12 H24:R27 H23:P23 R23 H28:P35 R28:R35 R81:R89 E180:P181 R180:R181 R158:R165 R136:R145 R114:R123 R213:R218 R182:R187" unlockedFormula="1"/>
    <ignoredError sqref="Q13:R14 R36:R49 R188:R212 R166:R179 R146:R157 R124:R135 R94:R113 R72:R80 R223:R236 R90:R93" formula="1" unlockedFormula="1"/>
    <ignoredError sqref="V13:W14 S6:W7 S15:W35 V36:W38 V39:X49 S213:X222 V188:X212 S180:X187 V166:X179 S158:X165 V146:X157 S136:X145 V124:X135 S114:X123 V90:X113 S81:X89 V72:X80 R50:W57 R71:W71 V58:W70 V223:X236 S9:W9 S8 U8:W8 S11:W11 S10 U10:W10 S12 U12:W12" twoDigitTextYear="1" unlockedFormula="1"/>
    <ignoredError sqref="S14:U14 S36:U49 S188:U212 S166:U179 S146:U157 S124:U135 S90:U113 S72:U80 R58:U70 S223:U236 S13 U13" twoDigitTextYear="1" formula="1" unlocked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база!$B:$B</xm:f>
          </x14:formula1>
          <xm:sqref>B9:B11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921"/>
  <sheetViews>
    <sheetView showZeros="0" view="pageBreakPreview" topLeftCell="A847" zoomScale="60" zoomScaleNormal="60" workbookViewId="0">
      <selection activeCell="AK600" sqref="AK600"/>
    </sheetView>
  </sheetViews>
  <sheetFormatPr defaultColWidth="10.28515625" defaultRowHeight="23.25"/>
  <cols>
    <col min="1" max="1" customWidth="true" style="14" width="4.0"/>
    <col min="2" max="2" customWidth="true" style="14" width="47.5703125"/>
    <col min="3" max="3" customWidth="true" style="15" width="7.7109375"/>
    <col min="4" max="4" customWidth="true" style="16" width="6.7109375"/>
    <col min="5" max="5" customWidth="true" style="17" width="8.140625"/>
    <col min="6" max="6" customWidth="true" style="18" width="7.0"/>
    <col min="7" max="7" customWidth="true" style="18" width="9.140625"/>
    <col min="8" max="8" customWidth="true" style="17" width="13.140625"/>
    <col min="9" max="9" customWidth="true" style="17" width="8.0"/>
    <col min="10" max="10" customWidth="true" style="14" width="7.0"/>
    <col min="11" max="11" customWidth="true" style="18" width="10.0"/>
    <col min="12" max="12" customWidth="true" style="17" width="11.140625"/>
    <col min="13" max="13" customWidth="true" hidden="true" style="17" width="7.0"/>
    <col min="14" max="14" customWidth="true" hidden="true" style="18" width="7.0"/>
    <col min="15" max="15" customWidth="true" hidden="true" style="18" width="7.42578125"/>
    <col min="16" max="16" customWidth="true" hidden="true" style="17" width="8.85546875"/>
    <col min="17" max="17" customWidth="true" style="17" width="8.5703125"/>
    <col min="18" max="18" customWidth="true" style="18" width="7.0"/>
    <col min="19" max="19" bestFit="true" customWidth="true" style="18" width="9.42578125"/>
    <col min="20" max="20" bestFit="true" customWidth="true" style="17" width="13.0"/>
    <col min="21" max="21" bestFit="true" customWidth="true" style="17" width="8.140625"/>
    <col min="22" max="22" customWidth="true" style="18" width="7.0"/>
    <col min="23" max="23" bestFit="true" customWidth="true" style="18" width="9.42578125"/>
    <col min="24" max="24" bestFit="true" customWidth="true" style="19" width="13.0"/>
    <col min="25" max="25" customWidth="true" style="14" width="13.0"/>
    <col min="26" max="26" customWidth="true" style="17" width="15.28515625"/>
    <col min="27" max="27" customWidth="true" style="20" width="24.7109375"/>
    <col min="28" max="28" style="14" width="10.28515625"/>
    <col min="29" max="29" customWidth="true" style="707" width="25.42578125"/>
    <col min="30" max="16384" style="14" width="10.28515625"/>
  </cols>
  <sheetData>
    <row r="1" spans="1:29" s="11" customFormat="1" ht="27" customHeight="1">
      <c r="A1" s="298"/>
      <c r="B1" s="298"/>
      <c r="C1" s="298"/>
      <c r="D1" s="298"/>
      <c r="E1" s="298"/>
      <c r="F1" s="298"/>
      <c r="G1" s="298"/>
      <c r="H1" s="772" t="str">
        <f>INDEX(база!AO:AO, MATCH(Data_Tech!AU7,база!AN:AN,0))</f>
        <v>Производственный цех №3, мастерская 39</v>
      </c>
      <c r="I1" s="772"/>
      <c r="J1" s="772"/>
      <c r="K1" s="772"/>
      <c r="L1" s="772"/>
      <c r="M1" s="772"/>
      <c r="N1" s="772"/>
      <c r="O1" s="772"/>
      <c r="P1" s="772"/>
      <c r="Q1" s="772"/>
      <c r="R1" s="772"/>
      <c r="S1" s="772"/>
      <c r="T1" s="772"/>
      <c r="U1" s="772"/>
      <c r="V1" s="298"/>
      <c r="W1" s="298"/>
      <c r="X1" s="298"/>
      <c r="Y1" s="298"/>
      <c r="Z1" s="298"/>
      <c r="AA1" s="298"/>
      <c r="AC1" s="704"/>
    </row>
    <row r="2" spans="1:29" s="11" customFormat="1" ht="22.5">
      <c r="A2" s="167"/>
      <c r="B2" s="167"/>
      <c r="C2" s="167"/>
      <c r="D2" s="167"/>
      <c r="E2" s="168"/>
      <c r="F2" s="169"/>
      <c r="G2" s="169"/>
      <c r="H2" s="168"/>
      <c r="I2" s="168"/>
      <c r="J2" s="170"/>
      <c r="K2" s="170"/>
      <c r="L2" s="170" t="s">
        <v>43</v>
      </c>
      <c r="M2" s="170"/>
      <c r="N2" s="169" t="s">
        <v>43</v>
      </c>
      <c r="O2" s="170"/>
      <c r="P2" s="170"/>
      <c r="Q2" s="171" t="str">
        <f>Data_Tech!$A$3</f>
        <v>декабрь</v>
      </c>
      <c r="R2" s="169"/>
      <c r="S2" s="169"/>
      <c r="T2" s="172">
        <v>2023</v>
      </c>
      <c r="U2" s="168"/>
      <c r="V2" s="169"/>
      <c r="W2" s="169"/>
      <c r="X2" s="173"/>
      <c r="Y2" s="167"/>
      <c r="Z2" s="168"/>
      <c r="AA2" s="174"/>
      <c r="AC2" s="704"/>
    </row>
    <row r="3" spans="1:29" s="12" customFormat="1" ht="24" thickBot="1">
      <c r="A3" s="175"/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7"/>
      <c r="N3" s="178"/>
      <c r="O3" s="178"/>
      <c r="P3" s="178"/>
      <c r="Q3" s="175"/>
      <c r="R3" s="176"/>
      <c r="S3" s="176"/>
      <c r="T3" s="176"/>
      <c r="U3" s="176"/>
      <c r="V3" s="176"/>
      <c r="W3" s="176"/>
      <c r="X3" s="176"/>
      <c r="Y3" s="176"/>
      <c r="Z3" s="176"/>
      <c r="AA3" s="176"/>
      <c r="AC3" s="705"/>
    </row>
    <row r="4" spans="1:29" s="13" customFormat="1" thickBot="1">
      <c r="A4" s="840"/>
      <c r="B4" s="842" t="s">
        <v>33</v>
      </c>
      <c r="C4" s="844" t="s">
        <v>34</v>
      </c>
      <c r="D4" s="846" t="s">
        <v>35</v>
      </c>
      <c r="E4" s="848">
        <v>0.04</v>
      </c>
      <c r="F4" s="849"/>
      <c r="G4" s="849"/>
      <c r="H4" s="850"/>
      <c r="I4" s="848">
        <v>0.08</v>
      </c>
      <c r="J4" s="849"/>
      <c r="K4" s="849"/>
      <c r="L4" s="850"/>
      <c r="M4" s="848">
        <v>0.12</v>
      </c>
      <c r="N4" s="849"/>
      <c r="O4" s="849"/>
      <c r="P4" s="850"/>
      <c r="Q4" s="857">
        <v>0.16</v>
      </c>
      <c r="R4" s="858"/>
      <c r="S4" s="858"/>
      <c r="T4" s="859"/>
      <c r="U4" s="857">
        <v>0.24</v>
      </c>
      <c r="V4" s="858"/>
      <c r="W4" s="858"/>
      <c r="X4" s="859"/>
      <c r="Y4" s="851" t="s">
        <v>36</v>
      </c>
      <c r="Z4" s="853" t="s">
        <v>37</v>
      </c>
      <c r="AA4" s="855" t="s">
        <v>38</v>
      </c>
      <c r="AC4" s="706"/>
    </row>
    <row r="5" spans="1:29" ht="49.5" thickBot="1">
      <c r="A5" s="841"/>
      <c r="B5" s="843"/>
      <c r="C5" s="845"/>
      <c r="D5" s="847"/>
      <c r="E5" s="286" t="s">
        <v>39</v>
      </c>
      <c r="F5" s="284" t="s">
        <v>40</v>
      </c>
      <c r="G5" s="284" t="s">
        <v>41</v>
      </c>
      <c r="H5" s="285" t="s">
        <v>42</v>
      </c>
      <c r="I5" s="283" t="s">
        <v>39</v>
      </c>
      <c r="J5" s="284" t="s">
        <v>40</v>
      </c>
      <c r="K5" s="284" t="s">
        <v>41</v>
      </c>
      <c r="L5" s="285" t="s">
        <v>42</v>
      </c>
      <c r="M5" s="283" t="s">
        <v>39</v>
      </c>
      <c r="N5" s="284" t="s">
        <v>40</v>
      </c>
      <c r="O5" s="284" t="s">
        <v>41</v>
      </c>
      <c r="P5" s="285" t="s">
        <v>42</v>
      </c>
      <c r="Q5" s="283" t="s">
        <v>39</v>
      </c>
      <c r="R5" s="284" t="s">
        <v>40</v>
      </c>
      <c r="S5" s="284" t="s">
        <v>41</v>
      </c>
      <c r="T5" s="285" t="s">
        <v>42</v>
      </c>
      <c r="U5" s="283" t="s">
        <v>39</v>
      </c>
      <c r="V5" s="284" t="s">
        <v>40</v>
      </c>
      <c r="W5" s="284" t="s">
        <v>41</v>
      </c>
      <c r="X5" s="321" t="s">
        <v>42</v>
      </c>
      <c r="Y5" s="852"/>
      <c r="Z5" s="854"/>
      <c r="AA5" s="856"/>
    </row>
    <row r="6" spans="1:29">
      <c r="A6" s="755">
        <v>1</v>
      </c>
      <c r="B6" s="860" t="str">
        <f>база!B2</f>
        <v>Авдокушина Елена Николаевна</v>
      </c>
      <c r="C6" s="821">
        <f>INDEX(база!$E$2:$E$150, MATCH(B6,база!$B$2:$B$150,0))</f>
        <v>15118</v>
      </c>
      <c r="D6" s="822">
        <f>INDEX(база!$D$2:$D$150, MATCH(B6,база!$B$2:$B$150,0))</f>
        <v>4</v>
      </c>
      <c r="E6" s="72">
        <f>IF(D6&lt;=3,база!$I$4,
IF(D6=4,база!$I$5,
IF(D6=5,база!$I$6)))</f>
        <v>207.5112</v>
      </c>
      <c r="F6" s="269">
        <v>1</v>
      </c>
      <c r="G6" s="86">
        <f>SUMIFS(Таблица1[сумма],Таблица1[коэф],"1",Таблица1[р/р],"2/4",Таблица1[Ф. И. О.],B6)</f>
        <v>0</v>
      </c>
      <c r="H6" s="87">
        <f>ROUND(E6*F6*G6,2)</f>
        <v>0</v>
      </c>
      <c r="I6" s="310">
        <f>IF(D6&lt;=3,база!$J$4,
IF(D6=4,база!$J$5,
IF(D6=5,база!$J$6)))</f>
        <v>215.4924</v>
      </c>
      <c r="J6" s="269">
        <v>1</v>
      </c>
      <c r="K6" s="38">
        <f>SUMIFS(Таблица1[сумма],Таблица1[коэф],"1",Таблица1[р/р],"2/8",Таблица1[Ф. И. О.],B6)</f>
        <v>0</v>
      </c>
      <c r="L6" s="28">
        <f>ROUND(I6*J6*K6,2)</f>
        <v>0</v>
      </c>
      <c r="M6" s="39"/>
      <c r="N6" s="38">
        <v>1</v>
      </c>
      <c r="O6" s="38">
        <f>SUMIFS(Data_Tech!$AM$3:$AM$67,Data_Tech!$E$3:$E$67,"1",Data_Tech!$G$3:$G$67,"3/12",Data_Tech!$F$3:$F$67,B6)</f>
        <v>0</v>
      </c>
      <c r="P6" s="280">
        <f>ROUND(M6*N6*O6,2)</f>
        <v>0</v>
      </c>
      <c r="Q6" s="73">
        <f>IF(D6&lt;=3,база!$L$4,
IF(D6=4,база!$L$5,
IF(D6=5,база!$L$6)))</f>
        <v>231.45480000000001</v>
      </c>
      <c r="R6" s="269">
        <v>1</v>
      </c>
      <c r="S6" s="95">
        <f>SUMIFS(Таблица1[сумма],Таблица1[коэф],"1",Таблица1[р/р],"3/16",Таблица1[Ф. И. О.],B6)</f>
        <v>0</v>
      </c>
      <c r="T6" s="87">
        <f>ROUND(Q6*R6*S6,2)</f>
        <v>0</v>
      </c>
      <c r="U6" s="329">
        <f>IF(D6&lt;=3,база!$M$4,
IF(D6=4,база!$M$5,
IF(D6=5,база!$M$6)))</f>
        <v>247.41720000000001</v>
      </c>
      <c r="V6" s="269">
        <v>1</v>
      </c>
      <c r="W6" s="95">
        <f>SUMIFS(Таблица1[сумма],Таблица1[коэф],"1",Таблица1[р/р],"3/24",Таблица1[Ф. И. О.],B6)</f>
        <v>0</v>
      </c>
      <c r="X6" s="87">
        <f>ROUND(U6*V6*W6,2)</f>
        <v>0</v>
      </c>
      <c r="Y6" s="807">
        <f>SUM(G6:G16,K6:K16,O6:O16,S6:S16,W6:W16)</f>
        <v>0</v>
      </c>
      <c r="Z6" s="823">
        <f>IFERROR(SUM(H6:H16,L6:L16,T6:T16,X6:X16),"")</f>
        <v>0</v>
      </c>
      <c r="AA6" s="812"/>
    </row>
    <row r="7" spans="1:29">
      <c r="A7" s="756"/>
      <c r="B7" s="861"/>
      <c r="C7" s="815"/>
      <c r="D7" s="817"/>
      <c r="E7" s="78">
        <f>IF(D6&lt;=3,база!$I$4,
IF(D6=4,база!$I$5,
IF(D6=5,база!$I$6)))</f>
        <v>207.5112</v>
      </c>
      <c r="F7" s="271">
        <v>1</v>
      </c>
      <c r="G7" s="91">
        <f>SUMIFS(Таблица1[сумма],Таблица1[коэф],"1",Таблица1[р/р],"3/4",Таблица1[Ф. И. О.],B6)</f>
        <v>0</v>
      </c>
      <c r="H7" s="94">
        <f>ROUND(E7*F7*G7,2)</f>
        <v>0</v>
      </c>
      <c r="I7" s="82">
        <f>IF(D6&lt;=3,база!$J$4,
IF(D6=4,база!$J$5,
IF(D6=5,база!$J$6)))</f>
        <v>215.4924</v>
      </c>
      <c r="J7" s="271">
        <v>1</v>
      </c>
      <c r="K7" s="68">
        <f>SUMIFS(Таблица1[сумма],Таблица1[коэф],"1",Таблица1[р/р],"3/8",Таблица1[Ф. И. О.],B6)</f>
        <v>0</v>
      </c>
      <c r="L7" s="29">
        <f>ROUND(I7*J7*K7,2)</f>
        <v>0</v>
      </c>
      <c r="M7" s="24"/>
      <c r="N7" s="22">
        <v>1</v>
      </c>
      <c r="O7" s="22">
        <f>SUMIFS(Data_Tech!$AM$3:$AM$67,Data_Tech!$E$3:$E$67,"1",Data_Tech!$G$3:$G$67,"4/12",Data_Tech!$F$3:$F$67,B6)</f>
        <v>0</v>
      </c>
      <c r="P7" s="281">
        <f>ROUND(M7*O7,2)</f>
        <v>0</v>
      </c>
      <c r="Q7" s="79">
        <f>база!$L$5</f>
        <v>231.45480000000001</v>
      </c>
      <c r="R7" s="271">
        <v>1</v>
      </c>
      <c r="S7" s="98">
        <f>SUMIFS(Таблица1[сумма],Таблица1[коэф],"1",Таблица1[р/р],"4/16",Таблица1[Ф. И. О.],B6)</f>
        <v>0</v>
      </c>
      <c r="T7" s="94">
        <f>ROUND(Q7*R7*S7,2)</f>
        <v>0</v>
      </c>
      <c r="U7" s="330">
        <f>база!$M$5</f>
        <v>247.41720000000001</v>
      </c>
      <c r="V7" s="271">
        <v>1</v>
      </c>
      <c r="W7" s="98">
        <f>SUMIFS(Таблица1[сумма],Таблица1[коэф],"1",Таблица1[р/р],"4/24",Таблица1[Ф. И. О.],B6)</f>
        <v>0</v>
      </c>
      <c r="X7" s="102">
        <f t="shared" ref="X7:X9" si="0">ROUND(U7*V7*W7,2)</f>
        <v>0</v>
      </c>
      <c r="Y7" s="808"/>
      <c r="Z7" s="810"/>
      <c r="AA7" s="813"/>
    </row>
    <row r="8" spans="1:29">
      <c r="A8" s="756"/>
      <c r="B8" s="861"/>
      <c r="C8" s="815"/>
      <c r="D8" s="817"/>
      <c r="E8" s="78"/>
      <c r="F8" s="271"/>
      <c r="G8" s="91"/>
      <c r="H8" s="94"/>
      <c r="I8" s="82"/>
      <c r="J8" s="271"/>
      <c r="K8" s="68"/>
      <c r="L8" s="29"/>
      <c r="M8" s="24"/>
      <c r="N8" s="22"/>
      <c r="O8" s="22"/>
      <c r="P8" s="281"/>
      <c r="Q8" s="79">
        <f>база!$L$6</f>
        <v>261.04640000000001</v>
      </c>
      <c r="R8" s="271">
        <v>1</v>
      </c>
      <c r="S8" s="98">
        <f>SUMIFS(Таблица1[сумма],Таблица1[коэф],"1",Таблица1[р/р],"5/16",Таблица1[Ф. И. О.],B6)</f>
        <v>0</v>
      </c>
      <c r="T8" s="94">
        <f>ROUND(Q8*R8*S8,2)</f>
        <v>0</v>
      </c>
      <c r="U8" s="330">
        <f>база!$M$6</f>
        <v>279.0496</v>
      </c>
      <c r="V8" s="271">
        <v>1</v>
      </c>
      <c r="W8" s="98">
        <f>SUMIFS(Таблица1[сумма],Таблица1[коэф],"1",Таблица1[р/р],"5/24",Таблица1[Ф. И. О.],B6)</f>
        <v>0</v>
      </c>
      <c r="X8" s="94">
        <f>ROUND(U8*V8*W8,2)</f>
        <v>0</v>
      </c>
      <c r="Y8" s="808"/>
      <c r="Z8" s="810"/>
      <c r="AA8" s="813"/>
    </row>
    <row r="9" spans="1:29">
      <c r="A9" s="756"/>
      <c r="B9" s="861"/>
      <c r="C9" s="815"/>
      <c r="D9" s="817"/>
      <c r="E9" s="78"/>
      <c r="F9" s="271"/>
      <c r="G9" s="91"/>
      <c r="H9" s="94"/>
      <c r="I9" s="82">
        <f>база!$J$5</f>
        <v>215.4924</v>
      </c>
      <c r="J9" s="271">
        <v>1.5</v>
      </c>
      <c r="K9" s="68">
        <f>SUMIFS(Таблица1[сумма],Таблица1[коэф],"1,5",Таблица1[р/р],"4/8",Таблица1[Ф. И. О.],B6)</f>
        <v>0</v>
      </c>
      <c r="L9" s="29">
        <f>ROUND(I9*J9*K9,2)</f>
        <v>0</v>
      </c>
      <c r="M9" s="24"/>
      <c r="N9" s="22"/>
      <c r="O9" s="22"/>
      <c r="P9" s="281"/>
      <c r="Q9" s="79">
        <f>IF(D6&lt;=3,база!$L$4,
IF(D6=4,база!$L$5,
IF(D6=5,база!$L$6)))</f>
        <v>231.45480000000001</v>
      </c>
      <c r="R9" s="271">
        <v>1.2</v>
      </c>
      <c r="S9" s="98">
        <f>SUMIFS(Таблица1[сумма],Таблица1[коэф],"1,2",Таблица1[р/р],"3/16",Таблица1[Ф. И. О.],B6)</f>
        <v>0</v>
      </c>
      <c r="T9" s="94">
        <f t="shared" ref="T9" si="1">ROUND(Q9*R9*S9,2)</f>
        <v>0</v>
      </c>
      <c r="U9" s="330">
        <f>IF(D6&lt;=3,база!$M$4,
IF(D6=4,база!$M$5,
IF(D6=5,база!$M$6)))</f>
        <v>247.41720000000001</v>
      </c>
      <c r="V9" s="271">
        <v>1.2</v>
      </c>
      <c r="W9" s="98">
        <f>SUMIFS(Таблица1[сумма],Таблица1[коэф],"1,2",Таблица1[р/р],"3/24",Таблица1[Ф. И. О.],B6)</f>
        <v>0</v>
      </c>
      <c r="X9" s="94">
        <f t="shared" si="0"/>
        <v>0</v>
      </c>
      <c r="Y9" s="808"/>
      <c r="Z9" s="810"/>
      <c r="AA9" s="813"/>
    </row>
    <row r="10" spans="1:29">
      <c r="A10" s="756"/>
      <c r="B10" s="861"/>
      <c r="C10" s="815"/>
      <c r="D10" s="817"/>
      <c r="E10" s="78"/>
      <c r="F10" s="271"/>
      <c r="G10" s="91"/>
      <c r="H10" s="94"/>
      <c r="I10" s="82">
        <f>база!$J$6</f>
        <v>243.04319999999998</v>
      </c>
      <c r="J10" s="271">
        <v>1.5</v>
      </c>
      <c r="K10" s="68">
        <f>SUMIFS(Таблица1[сумма],Таблица1[коэф],"1,5",Таблица1[р/р],"5/8",Таблица1[Ф. И. О.],B6)</f>
        <v>0</v>
      </c>
      <c r="L10" s="29">
        <f>ROUND(I10*J10*K10,2)</f>
        <v>0</v>
      </c>
      <c r="M10" s="24"/>
      <c r="N10" s="22"/>
      <c r="O10" s="22"/>
      <c r="P10" s="281"/>
      <c r="Q10" s="79">
        <f>база!$L$5</f>
        <v>231.45480000000001</v>
      </c>
      <c r="R10" s="274">
        <v>1.2</v>
      </c>
      <c r="S10" s="98">
        <f>SUMIFS(Таблица1[сумма],Таблица1[коэф],"1,2",Таблица1[р/р],"4/16",Таблица1[Ф. И. О.],B6)</f>
        <v>0</v>
      </c>
      <c r="T10" s="94">
        <f t="shared" ref="T10" si="2">ROUND(Q10*R10*S10,2)</f>
        <v>0</v>
      </c>
      <c r="U10" s="330">
        <f>база!$M$5</f>
        <v>247.41720000000001</v>
      </c>
      <c r="V10" s="274">
        <v>1.2</v>
      </c>
      <c r="W10" s="98">
        <f>SUMIFS(Таблица1[сумма],Таблица1[коэф],"1,2",Таблица1[р/р],"4/24",Таблица1[Ф. И. О.],B6)</f>
        <v>0</v>
      </c>
      <c r="X10" s="94">
        <f t="shared" ref="X10" si="3">ROUND(U10*V10*W10,2)</f>
        <v>0</v>
      </c>
      <c r="Y10" s="808"/>
      <c r="Z10" s="810"/>
      <c r="AA10" s="813"/>
      <c r="AC10" s="707" t="str">
        <f>IF(SUMIFS(Таблица1[Столбец2],Таблица1[Ф. И. О.],B6)-Z6=0,"",SUMIFS(Таблица1[Столбец2],Таблица1[Ф. И. О.],B6)-Z6)</f>
        <v/>
      </c>
    </row>
    <row r="11" spans="1:29" ht="21" customHeight="1">
      <c r="A11" s="756"/>
      <c r="B11" s="861"/>
      <c r="C11" s="815"/>
      <c r="D11" s="817"/>
      <c r="E11" s="78"/>
      <c r="F11" s="271"/>
      <c r="G11" s="91"/>
      <c r="H11" s="94"/>
      <c r="I11" s="82"/>
      <c r="J11" s="271"/>
      <c r="K11" s="68"/>
      <c r="L11" s="29"/>
      <c r="M11" s="24"/>
      <c r="N11" s="22"/>
      <c r="O11" s="22"/>
      <c r="P11" s="281"/>
      <c r="Q11" s="79">
        <f>база!$L$6</f>
        <v>261.04640000000001</v>
      </c>
      <c r="R11" s="271">
        <v>1.2</v>
      </c>
      <c r="S11" s="98">
        <f>SUMIFS(Таблица1[сумма],Таблица1[коэф],"1,2",Таблица1[р/р],"5/16",Таблица1[Ф. И. О.],B6)</f>
        <v>0</v>
      </c>
      <c r="T11" s="94">
        <f>ROUND(Q11*R11*S11,2)</f>
        <v>0</v>
      </c>
      <c r="U11" s="331">
        <f>база!$M$6</f>
        <v>279.0496</v>
      </c>
      <c r="V11" s="271">
        <v>1.2</v>
      </c>
      <c r="W11" s="305">
        <f>SUMIFS(Таблица1[сумма],Таблица1[коэф],"1,2",Таблица1[р/р],"5/24",Таблица1[Ф. И. О.],B6)</f>
        <v>0</v>
      </c>
      <c r="X11" s="94">
        <f>ROUND(U11*V11*W11,2)</f>
        <v>0</v>
      </c>
      <c r="Y11" s="808"/>
      <c r="Z11" s="810"/>
      <c r="AA11" s="813"/>
      <c r="AC11" s="707" t="str">
        <f>IF(SUMIFS(Таблица1[сумма],Таблица1[Ф. И. О.],B6)=Y6,"",B6&amp;"  часы не верны")</f>
        <v/>
      </c>
    </row>
    <row r="12" spans="1:29">
      <c r="A12" s="756"/>
      <c r="B12" s="861"/>
      <c r="C12" s="815"/>
      <c r="D12" s="817"/>
      <c r="E12" s="78"/>
      <c r="F12" s="271"/>
      <c r="G12" s="91"/>
      <c r="H12" s="94"/>
      <c r="I12" s="82"/>
      <c r="J12" s="271"/>
      <c r="K12" s="68"/>
      <c r="L12" s="29"/>
      <c r="M12" s="69"/>
      <c r="N12" s="68"/>
      <c r="O12" s="68"/>
      <c r="P12" s="30"/>
      <c r="Q12" s="106">
        <f>IF($D$6&lt;=3,база!$L$4,
IF($D$6=4,база!$L$5,
IF($D$6=5,база!$L$6)))</f>
        <v>231.45480000000001</v>
      </c>
      <c r="R12" s="274">
        <v>1.3</v>
      </c>
      <c r="S12" s="104">
        <f>SUMIFS(Таблица1[сумма],Таблица1[коэф],"1,3",Таблица1[р/р],"3/16",Таблица1[Ф. И. О.],B6)</f>
        <v>0</v>
      </c>
      <c r="T12" s="103">
        <f t="shared" ref="T12:T13" si="4">ROUND(Q12*R12*S12,2)</f>
        <v>0</v>
      </c>
      <c r="U12" s="353">
        <f>IF(D6&lt;=3,база!$M$4,
IF(D6=4,база!$M$5,
IF(D6=5,база!$M$6)))</f>
        <v>247.41720000000001</v>
      </c>
      <c r="V12" s="355">
        <v>1.3</v>
      </c>
      <c r="W12" s="307">
        <f>SUMIFS(Таблица1[сумма],Таблица1[коэф],"1,3",Таблица1[р/р],"3/24",Таблица1[Ф. И. О.],B6)</f>
        <v>0</v>
      </c>
      <c r="X12" s="313">
        <f t="shared" ref="X12:X13" si="5">ROUND(U12*V12*W12,2)</f>
        <v>0</v>
      </c>
      <c r="Y12" s="808"/>
      <c r="Z12" s="810"/>
      <c r="AA12" s="813"/>
    </row>
    <row r="13" spans="1:29">
      <c r="A13" s="756"/>
      <c r="B13" s="861"/>
      <c r="C13" s="815"/>
      <c r="D13" s="817"/>
      <c r="E13" s="78"/>
      <c r="F13" s="271"/>
      <c r="G13" s="91"/>
      <c r="H13" s="94"/>
      <c r="I13" s="82"/>
      <c r="J13" s="271"/>
      <c r="K13" s="68"/>
      <c r="L13" s="29"/>
      <c r="M13" s="67"/>
      <c r="N13" s="59"/>
      <c r="O13" s="59"/>
      <c r="P13" s="282"/>
      <c r="Q13" s="79">
        <f>база!$L$5</f>
        <v>231.45480000000001</v>
      </c>
      <c r="R13" s="271">
        <v>1.3</v>
      </c>
      <c r="S13" s="98">
        <f>SUMIFS(Таблица1[сумма],Таблица1[коэф],"1,3",Таблица1[р/р],"4/16",Таблица1[Ф. И. О.],B6)</f>
        <v>0</v>
      </c>
      <c r="T13" s="103">
        <f t="shared" si="4"/>
        <v>0</v>
      </c>
      <c r="U13" s="353">
        <f>база!$M$5</f>
        <v>247.41720000000001</v>
      </c>
      <c r="V13" s="355">
        <v>1.3</v>
      </c>
      <c r="W13" s="307">
        <f>SUMIFS(Таблица1[сумма],Таблица1[коэф],"1,3",Таблица1[р/р],"4/24",Таблица1[Ф. И. О.],B6)</f>
        <v>0</v>
      </c>
      <c r="X13" s="313">
        <f t="shared" si="5"/>
        <v>0</v>
      </c>
      <c r="Y13" s="808"/>
      <c r="Z13" s="810"/>
      <c r="AA13" s="813"/>
    </row>
    <row r="14" spans="1:29">
      <c r="A14" s="756"/>
      <c r="B14" s="861"/>
      <c r="C14" s="815"/>
      <c r="D14" s="817"/>
      <c r="E14" s="78"/>
      <c r="F14" s="271"/>
      <c r="G14" s="91"/>
      <c r="H14" s="94"/>
      <c r="I14" s="82"/>
      <c r="J14" s="271"/>
      <c r="K14" s="68"/>
      <c r="L14" s="29"/>
      <c r="M14" s="67"/>
      <c r="N14" s="59"/>
      <c r="O14" s="59"/>
      <c r="P14" s="282"/>
      <c r="Q14" s="75">
        <f>IF(D6&lt;=3,база!$L$4,
IF(D6=4,база!$L$5,
IF(D6=5,база!$L$6)))</f>
        <v>231.45480000000001</v>
      </c>
      <c r="R14" s="270">
        <v>1.4</v>
      </c>
      <c r="S14" s="96">
        <f>SUMIFS(Таблица1[сумма],Таблица1[коэф],"1,4",Таблица1[р/р],"3/16",Таблица1[Ф. И. О.],B6)</f>
        <v>0</v>
      </c>
      <c r="T14" s="94">
        <f t="shared" ref="T14:T19" si="6">ROUND(Q14*R14*S14,2)</f>
        <v>0</v>
      </c>
      <c r="U14" s="332">
        <f>IF(D6&lt;=3,база!$M$4,
IF(D6=4,база!$M$5,
IF(D6=5,база!$M$6)))</f>
        <v>247.41720000000001</v>
      </c>
      <c r="V14" s="270">
        <v>1.4</v>
      </c>
      <c r="W14" s="96">
        <f>SUMIFS(Таблица1[сумма],Таблица1[коэф],"1,4",Таблица1[р/р],"3/24",Таблица1[Ф. И. О.],B6)</f>
        <v>0</v>
      </c>
      <c r="X14" s="102">
        <f>ROUND(U14*V14*W14,2)</f>
        <v>0</v>
      </c>
      <c r="Y14" s="808"/>
      <c r="Z14" s="810"/>
      <c r="AA14" s="813"/>
    </row>
    <row r="15" spans="1:29">
      <c r="A15" s="756"/>
      <c r="B15" s="861"/>
      <c r="C15" s="815"/>
      <c r="D15" s="817"/>
      <c r="E15" s="217"/>
      <c r="F15" s="274"/>
      <c r="G15" s="236"/>
      <c r="H15" s="103"/>
      <c r="I15" s="303"/>
      <c r="J15" s="274"/>
      <c r="K15" s="218"/>
      <c r="L15" s="219"/>
      <c r="M15" s="67"/>
      <c r="N15" s="59"/>
      <c r="O15" s="59"/>
      <c r="P15" s="282"/>
      <c r="Q15" s="79">
        <f>база!$L$5</f>
        <v>231.45480000000001</v>
      </c>
      <c r="R15" s="271">
        <v>1.4</v>
      </c>
      <c r="S15" s="98">
        <f>SUMIFS(Таблица1[сумма],Таблица1[коэф],"1,4",Таблица1[р/р],"4/16",Таблица1[Ф. И. О.],B6)</f>
        <v>0</v>
      </c>
      <c r="T15" s="94">
        <f t="shared" si="6"/>
        <v>0</v>
      </c>
      <c r="U15" s="330">
        <f>база!$M$5</f>
        <v>247.41720000000001</v>
      </c>
      <c r="V15" s="271">
        <v>1.4</v>
      </c>
      <c r="W15" s="98">
        <f>SUMIFS(Таблица1[сумма],Таблица1[коэф],"1,4",Таблица1[р/р],"4/24",Таблица1[Ф. И. О.],B6)</f>
        <v>0</v>
      </c>
      <c r="X15" s="94">
        <f>ROUND(U15*V15*W15,2)</f>
        <v>0</v>
      </c>
      <c r="Y15" s="808"/>
      <c r="Z15" s="810"/>
      <c r="AA15" s="813"/>
    </row>
    <row r="16" spans="1:29" ht="24" thickBot="1">
      <c r="A16" s="757"/>
      <c r="B16" s="862"/>
      <c r="C16" s="816"/>
      <c r="D16" s="818"/>
      <c r="E16" s="217"/>
      <c r="F16" s="274"/>
      <c r="G16" s="236"/>
      <c r="H16" s="103"/>
      <c r="I16" s="303"/>
      <c r="J16" s="274"/>
      <c r="K16" s="218"/>
      <c r="L16" s="219"/>
      <c r="M16" s="67"/>
      <c r="N16" s="59"/>
      <c r="O16" s="59"/>
      <c r="P16" s="282"/>
      <c r="Q16" s="106">
        <f>база!$L$6</f>
        <v>261.04640000000001</v>
      </c>
      <c r="R16" s="274">
        <v>1.4</v>
      </c>
      <c r="S16" s="104">
        <f>SUMIFS(Таблица1[сумма],Таблица1[коэф],"1,4",Таблица1[р/р],"5/16",Таблица1[Ф. И. О.],B6)</f>
        <v>0</v>
      </c>
      <c r="T16" s="103">
        <f t="shared" si="6"/>
        <v>0</v>
      </c>
      <c r="U16" s="354">
        <f>база!$M$6</f>
        <v>279.0496</v>
      </c>
      <c r="V16" s="274">
        <v>1.4</v>
      </c>
      <c r="W16" s="333">
        <f>SUMIFS(Таблица1[сумма],Таблица1[коэф],"1,4",Таблица1[р/р],"5/24",Таблица1[Ф. И. О.],B6)</f>
        <v>0</v>
      </c>
      <c r="X16" s="336">
        <f>ROUND(U16*V16*W16,2)</f>
        <v>0</v>
      </c>
      <c r="Y16" s="809"/>
      <c r="Z16" s="811"/>
      <c r="AA16" s="814"/>
    </row>
    <row r="17" spans="1:29" ht="20.25" customHeight="1">
      <c r="A17" s="755">
        <v>2</v>
      </c>
      <c r="B17" s="860" t="str">
        <f>база!B3</f>
        <v>Аксенов Александр Юрьевич</v>
      </c>
      <c r="C17" s="821">
        <f>INDEX(база!$E$2:$E$150, MATCH(B17,база!$B$2:$B$150,0))</f>
        <v>15799</v>
      </c>
      <c r="D17" s="822">
        <f>INDEX(база!$D$2:$D$150, MATCH(B17,база!$B$2:$B$150,0))</f>
        <v>3</v>
      </c>
      <c r="E17" s="72">
        <f>IF(D17&lt;=3,база!$I$4,
IF(D17=4,база!$I$5,
IF(D17=5,база!$I$6)))</f>
        <v>188.7912</v>
      </c>
      <c r="F17" s="269">
        <v>1</v>
      </c>
      <c r="G17" s="95">
        <f>SUMIFS(Таблица1[сумма],Таблица1[коэф],"1",Таблица1[р/р],"2/4",Таблица1[Ф. И. О.],B17)</f>
        <v>0</v>
      </c>
      <c r="H17" s="87">
        <f>ROUND(E17*F17*G17,2)</f>
        <v>0</v>
      </c>
      <c r="I17" s="310">
        <f>IF(D17&lt;=3,база!$J$4,
IF(D17=4,база!$J$5,
IF(D17=5,база!$J$6)))</f>
        <v>196.05240000000001</v>
      </c>
      <c r="J17" s="269">
        <v>1</v>
      </c>
      <c r="K17" s="287">
        <f>SUMIFS(Таблица1[сумма],Таблица1[коэф],"1",Таблица1[р/р],"2/8",Таблица1[Ф. И. О.],B17)</f>
        <v>0</v>
      </c>
      <c r="L17" s="28">
        <f>ROUND(I17*J17*K17,2)</f>
        <v>0</v>
      </c>
      <c r="M17" s="338"/>
      <c r="N17" s="287">
        <v>1</v>
      </c>
      <c r="O17" s="287">
        <f>SUMIFS(Data_Tech!$AM$3:$AM$67,Data_Tech!$E$3:$E$67,"1",Data_Tech!$G$3:$G$67,"3/12",Data_Tech!$F$3:$F$67,B17)</f>
        <v>0</v>
      </c>
      <c r="P17" s="280">
        <f>ROUND(M17*N17*O17,2)</f>
        <v>0</v>
      </c>
      <c r="Q17" s="363">
        <f>IF(D17&lt;=3,база!$L$4,
IF(D17=4,база!$L$5,
IF(D17=5,база!$L$6)))</f>
        <v>210.57480000000001</v>
      </c>
      <c r="R17" s="363">
        <v>1</v>
      </c>
      <c r="S17" s="340">
        <f>SUMIFS(Таблица1[сумма],Таблица1[коэф],"1",Таблица1[р/р],"3/16",Таблица1[Ф. И. О.],B17)</f>
        <v>0</v>
      </c>
      <c r="T17" s="341">
        <f t="shared" si="6"/>
        <v>0</v>
      </c>
      <c r="U17" s="356">
        <f>IF(D17&lt;=3,база!$M$4,
IF(D17=4,база!$M$5,
IF(D17=5,база!$M$6)))</f>
        <v>225.09719999999999</v>
      </c>
      <c r="V17" s="269">
        <v>1</v>
      </c>
      <c r="W17" s="340">
        <f>SUMIFS(Таблица1[сумма],Таблица1[коэф],"1",Таблица1[р/р],"3/24",Таблица1[Ф. И. О.],B17)</f>
        <v>0</v>
      </c>
      <c r="X17" s="341">
        <f>ROUND(U17*V17*W17,2)</f>
        <v>0</v>
      </c>
      <c r="Y17" s="819">
        <f>SUM(G17:G27,K17:K27,O17:O27,S17:S27,W17:W27)</f>
        <v>0</v>
      </c>
      <c r="Z17" s="810">
        <f>IFERROR(SUM(H17:H27,L17:L27,T17:T27,X17:X27),"")</f>
        <v>0</v>
      </c>
      <c r="AA17" s="813"/>
    </row>
    <row r="18" spans="1:29" ht="20.25" customHeight="1">
      <c r="A18" s="756"/>
      <c r="B18" s="861"/>
      <c r="C18" s="815"/>
      <c r="D18" s="817"/>
      <c r="E18" s="78">
        <f>IF(D17&lt;=3,база!$I$4,
IF(D17=4,база!$I$5,
IF(D17=5,база!$I$6)))</f>
        <v>188.7912</v>
      </c>
      <c r="F18" s="271">
        <v>1</v>
      </c>
      <c r="G18" s="98">
        <f>SUMIFS(Таблица1[сумма],Таблица1[коэф],"1",Таблица1[р/р],"3/4",Таблица1[Ф. И. О.],B17)</f>
        <v>0</v>
      </c>
      <c r="H18" s="94">
        <f>ROUND(E18*F18*G18,2)</f>
        <v>0</v>
      </c>
      <c r="I18" s="82">
        <f>IF(D17&lt;=3,база!$J$4,
IF(D17=4,база!$J$5,
IF(D17=5,база!$J$6)))</f>
        <v>196.05240000000001</v>
      </c>
      <c r="J18" s="271">
        <v>1</v>
      </c>
      <c r="K18" s="216">
        <f>SUMIFS(Таблица1[сумма],Таблица1[коэф],"1",Таблица1[р/р],"3/8",Таблица1[Ф. И. О.],B17)</f>
        <v>0</v>
      </c>
      <c r="L18" s="29">
        <f>ROUND(I18*J18*K18,2)</f>
        <v>0</v>
      </c>
      <c r="M18" s="334"/>
      <c r="N18" s="216">
        <v>1</v>
      </c>
      <c r="O18" s="216">
        <f>SUMIFS(Data_Tech!$AM$3:$AM$67,Data_Tech!$E$3:$E$67,"1",Data_Tech!$G$3:$G$67,"4/12",Data_Tech!$F$3:$F$67,B17)</f>
        <v>0</v>
      </c>
      <c r="P18" s="30">
        <f>ROUND(M18*O18,2)</f>
        <v>0</v>
      </c>
      <c r="Q18" s="361">
        <f>база!$L$5</f>
        <v>231.45480000000001</v>
      </c>
      <c r="R18" s="361">
        <v>1</v>
      </c>
      <c r="S18" s="307">
        <f>SUMIFS(Таблица1[сумма],Таблица1[коэф],"1",Таблица1[р/р],"4/16",Таблица1[Ф. И. О.],B17)</f>
        <v>0</v>
      </c>
      <c r="T18" s="306">
        <f t="shared" si="6"/>
        <v>0</v>
      </c>
      <c r="U18" s="357">
        <f>база!$M$5</f>
        <v>247.41720000000001</v>
      </c>
      <c r="V18" s="271">
        <v>1</v>
      </c>
      <c r="W18" s="307">
        <f>SUMIFS(Таблица1[сумма],Таблица1[коэф],"1",Таблица1[р/р],"4/24",Таблица1[Ф. И. О.],B17)</f>
        <v>0</v>
      </c>
      <c r="X18" s="320">
        <f t="shared" ref="X18" si="7">ROUND(U18*V18*W18,2)</f>
        <v>0</v>
      </c>
      <c r="Y18" s="819"/>
      <c r="Z18" s="810"/>
      <c r="AA18" s="813"/>
    </row>
    <row r="19" spans="1:29" ht="20.25" customHeight="1">
      <c r="A19" s="756"/>
      <c r="B19" s="861"/>
      <c r="C19" s="815"/>
      <c r="D19" s="817"/>
      <c r="E19" s="78"/>
      <c r="F19" s="271"/>
      <c r="G19" s="98"/>
      <c r="H19" s="94"/>
      <c r="I19" s="82"/>
      <c r="J19" s="271"/>
      <c r="K19" s="216"/>
      <c r="L19" s="29"/>
      <c r="M19" s="334"/>
      <c r="N19" s="216"/>
      <c r="O19" s="216"/>
      <c r="P19" s="30"/>
      <c r="Q19" s="79">
        <f>база!$L$6</f>
        <v>261.04640000000001</v>
      </c>
      <c r="R19" s="271">
        <v>1</v>
      </c>
      <c r="S19" s="98">
        <f>SUMIFS(Таблица1[сумма],Таблица1[коэф],"1",Таблица1[р/р],"5/16",Таблица1[Ф. И. О.],B17)</f>
        <v>0</v>
      </c>
      <c r="T19" s="335">
        <f t="shared" si="6"/>
        <v>0</v>
      </c>
      <c r="U19" s="357">
        <f>база!$M$6</f>
        <v>279.0496</v>
      </c>
      <c r="V19" s="271">
        <v>1</v>
      </c>
      <c r="W19" s="307">
        <f>SUMIFS(Таблица1[сумма],Таблица1[коэф],"1",Таблица1[р/р],"5/24",Таблица1[Ф. И. О.],B17)</f>
        <v>0</v>
      </c>
      <c r="X19" s="306">
        <f>ROUND(U19*V19*W19,2)</f>
        <v>0</v>
      </c>
      <c r="Y19" s="819"/>
      <c r="Z19" s="810"/>
      <c r="AA19" s="813"/>
    </row>
    <row r="20" spans="1:29" ht="20.25" customHeight="1">
      <c r="A20" s="756"/>
      <c r="B20" s="861"/>
      <c r="C20" s="815"/>
      <c r="D20" s="817"/>
      <c r="E20" s="84"/>
      <c r="F20" s="272"/>
      <c r="G20" s="100"/>
      <c r="H20" s="89"/>
      <c r="I20" s="105">
        <f>база!$J$5</f>
        <v>215.4924</v>
      </c>
      <c r="J20" s="272">
        <v>1.5</v>
      </c>
      <c r="K20" s="325">
        <f>SUMIFS(Таблица1[сумма],Таблица1[коэф],"1,5",Таблица1[р/р],"4/8",Таблица1[Ф. И. О.],B17)</f>
        <v>0</v>
      </c>
      <c r="L20" s="25">
        <f>ROUND(I20*J20*K20,2)</f>
        <v>0</v>
      </c>
      <c r="M20" s="324"/>
      <c r="N20" s="325"/>
      <c r="O20" s="325"/>
      <c r="P20" s="282"/>
      <c r="Q20" s="85">
        <f>IF(D17&lt;=3,база!$L$4,
IF(D17=4,база!$L$5,
IF(D17=5,база!$L$6)))</f>
        <v>210.57480000000001</v>
      </c>
      <c r="R20" s="272">
        <v>1.2</v>
      </c>
      <c r="S20" s="100">
        <f>SUMIFS(Таблица1[сумма],Таблица1[коэф],"1,2",Таблица1[р/р],"3/16",Таблица1[Ф. И. О.],B17)</f>
        <v>0</v>
      </c>
      <c r="T20" s="89">
        <f t="shared" ref="T20:T21" si="8">ROUND(Q20*R20*S20,2)</f>
        <v>0</v>
      </c>
      <c r="U20" s="358">
        <f>IF(D17&lt;=3,база!$M$4,
IF(D17=4,база!$M$5,
IF(D17=5,база!$M$6)))</f>
        <v>225.09719999999999</v>
      </c>
      <c r="V20" s="272">
        <v>1.2</v>
      </c>
      <c r="W20" s="319">
        <f>SUMIFS(Таблица1[сумма],Таблица1[коэф],"1,2",Таблица1[р/р],"3/24",Таблица1[Ф. И. О.],B17)</f>
        <v>0</v>
      </c>
      <c r="X20" s="326">
        <f t="shared" ref="X20:X21" si="9">ROUND(U20*V20*W20,2)</f>
        <v>0</v>
      </c>
      <c r="Y20" s="819"/>
      <c r="Z20" s="810"/>
      <c r="AA20" s="813"/>
    </row>
    <row r="21" spans="1:29" ht="20.25" customHeight="1">
      <c r="A21" s="756"/>
      <c r="B21" s="861"/>
      <c r="C21" s="815"/>
      <c r="D21" s="817"/>
      <c r="E21" s="78"/>
      <c r="F21" s="271"/>
      <c r="G21" s="98"/>
      <c r="H21" s="94"/>
      <c r="I21" s="82">
        <f>база!$J$6</f>
        <v>243.04319999999998</v>
      </c>
      <c r="J21" s="271">
        <v>1.5</v>
      </c>
      <c r="K21" s="216">
        <f>SUMIFS(Таблица1[сумма],Таблица1[коэф],"1,5",Таблица1[р/р],"5/8",Таблица1[Ф. И. О.],B17)</f>
        <v>0</v>
      </c>
      <c r="L21" s="29">
        <f>ROUND(I21*J21*K21,2)</f>
        <v>0</v>
      </c>
      <c r="M21" s="334"/>
      <c r="N21" s="216"/>
      <c r="O21" s="216"/>
      <c r="P21" s="30"/>
      <c r="Q21" s="79">
        <f>база!$L$5</f>
        <v>231.45480000000001</v>
      </c>
      <c r="R21" s="271">
        <v>1.2</v>
      </c>
      <c r="S21" s="98">
        <f>SUMIFS(Таблица1[сумма],Таблица1[коэф],"1,2",Таблица1[р/р],"4/16",Таблица1[Ф. И. О.],B17)</f>
        <v>0</v>
      </c>
      <c r="T21" s="94">
        <f t="shared" si="8"/>
        <v>0</v>
      </c>
      <c r="U21" s="357">
        <f>база!$M$5</f>
        <v>247.41720000000001</v>
      </c>
      <c r="V21" s="271">
        <v>1.2</v>
      </c>
      <c r="W21" s="307">
        <f>SUMIFS(Таблица1[сумма],Таблица1[коэф],"1,2",Таблица1[р/р],"4/24",Таблица1[Ф. И. О.],B17)</f>
        <v>0</v>
      </c>
      <c r="X21" s="306">
        <f t="shared" si="9"/>
        <v>0</v>
      </c>
      <c r="Y21" s="819"/>
      <c r="Z21" s="810"/>
      <c r="AA21" s="813"/>
      <c r="AC21" s="707" t="str">
        <f>IF(SUMIFS(Таблица1[Столбец2],Таблица1[Ф. И. О.],B17)-Z17=0,"",SUMIFS(Таблица1[Столбец2],Таблица1[Ф. И. О.],B17)-Z17)</f>
        <v/>
      </c>
    </row>
    <row r="22" spans="1:29" ht="20.25" customHeight="1">
      <c r="A22" s="756"/>
      <c r="B22" s="861"/>
      <c r="C22" s="815"/>
      <c r="D22" s="817"/>
      <c r="E22" s="84"/>
      <c r="F22" s="272"/>
      <c r="G22" s="100"/>
      <c r="H22" s="89"/>
      <c r="I22" s="105"/>
      <c r="J22" s="272"/>
      <c r="K22" s="325"/>
      <c r="L22" s="25"/>
      <c r="M22" s="324"/>
      <c r="N22" s="325"/>
      <c r="O22" s="325"/>
      <c r="P22" s="282"/>
      <c r="Q22" s="85">
        <f>база!$L$6</f>
        <v>261.04640000000001</v>
      </c>
      <c r="R22" s="272">
        <v>1.2</v>
      </c>
      <c r="S22" s="100">
        <f>SUMIFS(Таблица1[сумма],Таблица1[коэф],"1,2",Таблица1[р/р],"5/16",Таблица1[Ф. И. О.],B17)</f>
        <v>0</v>
      </c>
      <c r="T22" s="89">
        <f>ROUND(Q22*R22*S22,2)</f>
        <v>0</v>
      </c>
      <c r="U22" s="358">
        <f>база!$M$6</f>
        <v>279.0496</v>
      </c>
      <c r="V22" s="272">
        <v>1.2</v>
      </c>
      <c r="W22" s="319">
        <f>SUMIFS(Таблица1[сумма],Таблица1[коэф],"1,2",Таблица1[р/р],"5/24",Таблица1[Ф. И. О.],B17)</f>
        <v>0</v>
      </c>
      <c r="X22" s="326">
        <f>ROUND(U22*V22*W22,2)</f>
        <v>0</v>
      </c>
      <c r="Y22" s="819"/>
      <c r="Z22" s="810"/>
      <c r="AA22" s="813"/>
      <c r="AC22" s="707" t="str">
        <f>IF(SUMIFS(Таблица1[сумма],Таблица1[Ф. И. О.],B17)=Y17,"",B17&amp;"  часы не верны")</f>
        <v/>
      </c>
    </row>
    <row r="23" spans="1:29" ht="20.25" customHeight="1">
      <c r="A23" s="756"/>
      <c r="B23" s="861"/>
      <c r="C23" s="815"/>
      <c r="D23" s="817"/>
      <c r="E23" s="78"/>
      <c r="F23" s="271"/>
      <c r="G23" s="98"/>
      <c r="H23" s="94"/>
      <c r="I23" s="82"/>
      <c r="J23" s="271"/>
      <c r="K23" s="216"/>
      <c r="L23" s="29"/>
      <c r="M23" s="334"/>
      <c r="N23" s="216"/>
      <c r="O23" s="216"/>
      <c r="P23" s="30"/>
      <c r="Q23" s="79">
        <f>IF($D$6&lt;=3,база!$L$4,
IF($D$6=4,база!$L$5,
IF($D$6=5,база!$L$6)))</f>
        <v>231.45480000000001</v>
      </c>
      <c r="R23" s="271">
        <v>1.3</v>
      </c>
      <c r="S23" s="98">
        <f>SUMIFS(Таблица1[сумма],Таблица1[коэф],"1,3",Таблица1[р/р],"3/16",Таблица1[Ф. И. О.],B17)</f>
        <v>0</v>
      </c>
      <c r="T23" s="94">
        <f t="shared" ref="T23:T24" si="10">ROUND(Q23*R23*S23,2)</f>
        <v>0</v>
      </c>
      <c r="U23" s="357">
        <f>IF(D17&lt;=3,база!$M$4,
IF(D17=4,база!$M$5,
IF(D17=5,база!$M$6)))</f>
        <v>225.09719999999999</v>
      </c>
      <c r="V23" s="271">
        <v>1.3</v>
      </c>
      <c r="W23" s="307">
        <f>SUMIFS(Таблица1[сумма],Таблица1[коэф],"1,3",Таблица1[р/р],"3/24",Таблица1[Ф. И. О.],B17)</f>
        <v>0</v>
      </c>
      <c r="X23" s="306">
        <f t="shared" ref="X23:X24" si="11">ROUND(U23*V23*W23,2)</f>
        <v>0</v>
      </c>
      <c r="Y23" s="819"/>
      <c r="Z23" s="810"/>
      <c r="AA23" s="813"/>
    </row>
    <row r="24" spans="1:29" ht="20.25" customHeight="1">
      <c r="A24" s="756"/>
      <c r="B24" s="861"/>
      <c r="C24" s="815"/>
      <c r="D24" s="817"/>
      <c r="E24" s="78"/>
      <c r="F24" s="271"/>
      <c r="G24" s="98"/>
      <c r="H24" s="94"/>
      <c r="I24" s="82"/>
      <c r="J24" s="271"/>
      <c r="K24" s="216"/>
      <c r="L24" s="29"/>
      <c r="M24" s="334"/>
      <c r="N24" s="216"/>
      <c r="O24" s="216"/>
      <c r="P24" s="30"/>
      <c r="Q24" s="79">
        <f>база!$L$5</f>
        <v>231.45480000000001</v>
      </c>
      <c r="R24" s="271">
        <v>1.3</v>
      </c>
      <c r="S24" s="98">
        <f>SUMIFS(Таблица1[сумма],Таблица1[коэф],"1,3",Таблица1[р/р],"4/16",Таблица1[Ф. И. О.],B17)</f>
        <v>0</v>
      </c>
      <c r="T24" s="94">
        <f t="shared" si="10"/>
        <v>0</v>
      </c>
      <c r="U24" s="357">
        <f>база!$M$5</f>
        <v>247.41720000000001</v>
      </c>
      <c r="V24" s="271">
        <v>1.3</v>
      </c>
      <c r="W24" s="307">
        <f>SUMIFS(Таблица1[сумма],Таблица1[коэф],"1,3",Таблица1[р/р],"4/24",Таблица1[Ф. И. О.],B17)</f>
        <v>0</v>
      </c>
      <c r="X24" s="306">
        <f t="shared" si="11"/>
        <v>0</v>
      </c>
      <c r="Y24" s="819"/>
      <c r="Z24" s="810"/>
      <c r="AA24" s="813"/>
    </row>
    <row r="25" spans="1:29" ht="20.25" customHeight="1">
      <c r="A25" s="756"/>
      <c r="B25" s="861"/>
      <c r="C25" s="815"/>
      <c r="D25" s="817"/>
      <c r="E25" s="84"/>
      <c r="F25" s="272"/>
      <c r="G25" s="100"/>
      <c r="H25" s="89"/>
      <c r="I25" s="105"/>
      <c r="J25" s="272"/>
      <c r="K25" s="325"/>
      <c r="L25" s="25"/>
      <c r="M25" s="324"/>
      <c r="N25" s="325"/>
      <c r="O25" s="325"/>
      <c r="P25" s="282"/>
      <c r="Q25" s="85">
        <f>IF(D17&lt;=3,база!$L$4,
IF(D17=4,база!$L$5,
IF(D17=5,база!$L$6)))</f>
        <v>210.57480000000001</v>
      </c>
      <c r="R25" s="272">
        <v>1.4</v>
      </c>
      <c r="S25" s="100">
        <f>SUMIFS(Таблица1[сумма],Таблица1[коэф],"1,4",Таблица1[р/р],"3/16",Таблица1[Ф. И. О.],B17)</f>
        <v>0</v>
      </c>
      <c r="T25" s="89">
        <f t="shared" ref="T25:T30" si="12">ROUND(Q25*R25*S25,2)</f>
        <v>0</v>
      </c>
      <c r="U25" s="358">
        <f>IF(D17&lt;=3,база!$M$4,
IF(D17=4,база!$M$5,
IF(D17=5,база!$M$6)))</f>
        <v>225.09719999999999</v>
      </c>
      <c r="V25" s="272">
        <v>1.4</v>
      </c>
      <c r="W25" s="319">
        <f>SUMIFS(Таблица1[сумма],Таблица1[коэф],"1,4",Таблица1[р/р],"3/24",Таблица1[Ф. И. О.],B17)</f>
        <v>0</v>
      </c>
      <c r="X25" s="326">
        <f>ROUND(U25*V25*W25,2)</f>
        <v>0</v>
      </c>
      <c r="Y25" s="819"/>
      <c r="Z25" s="810"/>
      <c r="AA25" s="813"/>
    </row>
    <row r="26" spans="1:29" ht="20.25" customHeight="1">
      <c r="A26" s="756"/>
      <c r="B26" s="861"/>
      <c r="C26" s="815"/>
      <c r="D26" s="817"/>
      <c r="E26" s="78"/>
      <c r="F26" s="271"/>
      <c r="G26" s="98"/>
      <c r="H26" s="94"/>
      <c r="I26" s="82"/>
      <c r="J26" s="271"/>
      <c r="K26" s="216"/>
      <c r="L26" s="29"/>
      <c r="M26" s="334"/>
      <c r="N26" s="216"/>
      <c r="O26" s="216"/>
      <c r="P26" s="30"/>
      <c r="Q26" s="79">
        <f>база!$L$5</f>
        <v>231.45480000000001</v>
      </c>
      <c r="R26" s="271">
        <v>1.4</v>
      </c>
      <c r="S26" s="98">
        <f>SUMIFS(Таблица1[сумма],Таблица1[коэф],"1,4",Таблица1[р/р],"4/16",Таблица1[Ф. И. О.],B17)</f>
        <v>0</v>
      </c>
      <c r="T26" s="94">
        <f t="shared" si="12"/>
        <v>0</v>
      </c>
      <c r="U26" s="357">
        <f>база!$M$5</f>
        <v>247.41720000000001</v>
      </c>
      <c r="V26" s="271">
        <v>1.4</v>
      </c>
      <c r="W26" s="307">
        <f>SUMIFS(Таблица1[сумма],Таблица1[коэф],"1,4",Таблица1[р/р],"4/24",Таблица1[Ф. И. О.],B17)</f>
        <v>0</v>
      </c>
      <c r="X26" s="306">
        <f>ROUND(U26*V26*W26,2)</f>
        <v>0</v>
      </c>
      <c r="Y26" s="819"/>
      <c r="Z26" s="810"/>
      <c r="AA26" s="813"/>
    </row>
    <row r="27" spans="1:29" ht="20.25" customHeight="1" thickBot="1">
      <c r="A27" s="757"/>
      <c r="B27" s="862"/>
      <c r="C27" s="816"/>
      <c r="D27" s="818"/>
      <c r="E27" s="76"/>
      <c r="F27" s="275"/>
      <c r="G27" s="99"/>
      <c r="H27" s="93"/>
      <c r="I27" s="83"/>
      <c r="J27" s="275"/>
      <c r="K27" s="328"/>
      <c r="L27" s="27"/>
      <c r="M27" s="327"/>
      <c r="N27" s="328"/>
      <c r="O27" s="328"/>
      <c r="P27" s="289"/>
      <c r="Q27" s="80">
        <f>база!$L$6</f>
        <v>261.04640000000001</v>
      </c>
      <c r="R27" s="275">
        <v>1.4</v>
      </c>
      <c r="S27" s="99">
        <f>SUMIFS(Таблица1[сумма],Таблица1[коэф],"1,4",Таблица1[р/р],"5/16",Таблица1[Ф. И. О.],B17)</f>
        <v>0</v>
      </c>
      <c r="T27" s="93">
        <f t="shared" si="12"/>
        <v>0</v>
      </c>
      <c r="U27" s="359">
        <f>база!$M$6</f>
        <v>279.0496</v>
      </c>
      <c r="V27" s="275">
        <v>1.4</v>
      </c>
      <c r="W27" s="322">
        <f>SUMIFS(Таблица1[сумма],Таблица1[коэф],"1,4",Таблица1[р/р],"5/24",Таблица1[Ф. И. О.],B17)</f>
        <v>0</v>
      </c>
      <c r="X27" s="323">
        <f>ROUND(U27*V27*W27,2)</f>
        <v>0</v>
      </c>
      <c r="Y27" s="820"/>
      <c r="Z27" s="811"/>
      <c r="AA27" s="814"/>
    </row>
    <row r="28" spans="1:29">
      <c r="A28" s="755">
        <v>3</v>
      </c>
      <c r="B28" s="215"/>
      <c r="C28" s="821">
        <f>INDEX(база!$E$2:$E$150, MATCH(B33,база!$B$2:$B$150,0))</f>
        <v>15791</v>
      </c>
      <c r="D28" s="822">
        <f>INDEX(база!$D$2:$D$150, MATCH(B33,база!$B$2:$B$150,0))</f>
        <v>4</v>
      </c>
      <c r="E28" s="81">
        <f>IF(D28&lt;=3,база!$I$4,
IF(D28=4,база!$I$5,
IF(D28=5,база!$I$6)))</f>
        <v>207.5112</v>
      </c>
      <c r="F28" s="270">
        <v>1</v>
      </c>
      <c r="G28" s="96">
        <f>SUMIFS(Таблица1[сумма],Таблица1[коэф],"1",Таблица1[р/р],"2/4",Таблица1[Ф. И. О.],B33)</f>
        <v>0</v>
      </c>
      <c r="H28" s="311">
        <f>ROUND(E28*F28*G28,2)</f>
        <v>0</v>
      </c>
      <c r="I28" s="72">
        <f>IF(D28&lt;=3,база!$J$4,
IF(D28=4,база!$J$5,
IF(D28=5,база!$J$6)))</f>
        <v>215.4924</v>
      </c>
      <c r="J28" s="269">
        <v>1</v>
      </c>
      <c r="K28" s="287">
        <f>SUMIFS(Таблица1[сумма],Таблица1[коэф],"1",Таблица1[р/р],"2/8",Таблица1[Ф. И. О.],B33)</f>
        <v>0</v>
      </c>
      <c r="L28" s="28">
        <f>ROUND(I28*J28*K28,2)</f>
        <v>0</v>
      </c>
      <c r="M28" s="344"/>
      <c r="N28" s="309">
        <v>1</v>
      </c>
      <c r="O28" s="309">
        <f>SUMIFS(Data_Tech!$AM$3:$AM$67,Data_Tech!$E$3:$E$67,"1",Data_Tech!$G$3:$G$67,"3/12",Data_Tech!$F$3:$F$67,B33)</f>
        <v>0</v>
      </c>
      <c r="P28" s="309">
        <f>ROUND(M28*N28*O28,2)</f>
        <v>0</v>
      </c>
      <c r="Q28" s="75">
        <f>IF(D28&lt;=3,база!$L$4,
IF(D28=4,база!$L$5,
IF(D28=5,база!$L$6)))</f>
        <v>231.45480000000001</v>
      </c>
      <c r="R28" s="270">
        <v>1</v>
      </c>
      <c r="S28" s="96">
        <f>SUMIFS(Таблица1[сумма],Таблица1[коэф],"1",Таблица1[р/р],"3/16",Таблица1[Ф. И. О.],B33)</f>
        <v>0</v>
      </c>
      <c r="T28" s="87">
        <f t="shared" si="12"/>
        <v>0</v>
      </c>
      <c r="U28" s="360">
        <f>IF(D28&lt;=3,база!$M$4,
IF(D28=4,база!$M$5,
IF(D28=5,база!$M$6)))</f>
        <v>247.41720000000001</v>
      </c>
      <c r="V28" s="270">
        <v>1</v>
      </c>
      <c r="W28" s="337">
        <f>SUMIFS(Таблица1[сумма],Таблица1[коэф],"1",Таблица1[р/р],"3/24",Таблица1[Ф. И. О.],B33)</f>
        <v>0</v>
      </c>
      <c r="X28" s="342">
        <f>ROUND(U28*V28*W28,2)</f>
        <v>0</v>
      </c>
      <c r="Y28" s="819">
        <f>SUM(G28:G38,K28:K38,O28:O38,S28:S38,W28:W38)</f>
        <v>0</v>
      </c>
      <c r="Z28" s="810">
        <f>IFERROR(SUM(H28:H38,L28:L38,T28:T38,X28:X38),"")</f>
        <v>0</v>
      </c>
      <c r="AA28" s="812"/>
    </row>
    <row r="29" spans="1:29">
      <c r="A29" s="756"/>
      <c r="B29" s="215"/>
      <c r="C29" s="815"/>
      <c r="D29" s="817"/>
      <c r="E29" s="82">
        <f>IF(D28&lt;=3,база!$I$4,
IF(D28=4,база!$I$5,
IF(D28=5,база!$I$6)))</f>
        <v>207.5112</v>
      </c>
      <c r="F29" s="271">
        <v>1</v>
      </c>
      <c r="G29" s="98">
        <f>SUMIFS(Таблица1[сумма],Таблица1[коэф],"1",Таблица1[р/р],"3/4",Таблица1[Ф. И. О.],B33)</f>
        <v>0</v>
      </c>
      <c r="H29" s="92">
        <f>ROUND(E29*F29*G29,2)</f>
        <v>0</v>
      </c>
      <c r="I29" s="78">
        <f>IF(D28&lt;=3,база!$J$4,
IF(D28=4,база!$J$5,
IF(D28=5,база!$J$6)))</f>
        <v>215.4924</v>
      </c>
      <c r="J29" s="271">
        <v>1</v>
      </c>
      <c r="K29" s="216">
        <f>SUMIFS(Таблица1[сумма],Таблица1[коэф],"1",Таблица1[р/р],"3/8",Таблица1[Ф. И. О.],B33)</f>
        <v>0</v>
      </c>
      <c r="L29" s="29">
        <f>ROUND(I29*J29*K29,2)</f>
        <v>0</v>
      </c>
      <c r="M29" s="334"/>
      <c r="N29" s="216">
        <v>1</v>
      </c>
      <c r="O29" s="216">
        <f>SUMIFS(Data_Tech!$AM$3:$AM$67,Data_Tech!$E$3:$E$67,"1",Data_Tech!$G$3:$G$67,"4/12",Data_Tech!$F$3:$F$67,B33)</f>
        <v>0</v>
      </c>
      <c r="P29" s="216">
        <f>ROUND(M29*O29,2)</f>
        <v>0</v>
      </c>
      <c r="Q29" s="79">
        <f>база!$L$5</f>
        <v>231.45480000000001</v>
      </c>
      <c r="R29" s="271">
        <v>1</v>
      </c>
      <c r="S29" s="98">
        <f>SUMIFS(Таблица1[сумма],Таблица1[коэф],"1",Таблица1[р/р],"4/16",Таблица1[Ф. И. О.],B33)</f>
        <v>0</v>
      </c>
      <c r="T29" s="94">
        <f t="shared" si="12"/>
        <v>0</v>
      </c>
      <c r="U29" s="353">
        <f>база!$M$5</f>
        <v>247.41720000000001</v>
      </c>
      <c r="V29" s="271">
        <v>1</v>
      </c>
      <c r="W29" s="307">
        <f>SUMIFS(Таблица1[сумма],Таблица1[коэф],"1",Таблица1[р/р],"4/24",Таблица1[Ф. И. О.],B33)</f>
        <v>0</v>
      </c>
      <c r="X29" s="313">
        <f t="shared" ref="X29" si="13">ROUND(U29*V29*W29,2)</f>
        <v>0</v>
      </c>
      <c r="Y29" s="819"/>
      <c r="Z29" s="810"/>
      <c r="AA29" s="813"/>
    </row>
    <row r="30" spans="1:29">
      <c r="A30" s="756"/>
      <c r="B30" s="215"/>
      <c r="C30" s="815"/>
      <c r="D30" s="817"/>
      <c r="E30" s="82"/>
      <c r="F30" s="271"/>
      <c r="G30" s="98"/>
      <c r="H30" s="92"/>
      <c r="I30" s="78"/>
      <c r="J30" s="271"/>
      <c r="K30" s="216"/>
      <c r="L30" s="29"/>
      <c r="M30" s="334"/>
      <c r="N30" s="216"/>
      <c r="O30" s="216"/>
      <c r="P30" s="216"/>
      <c r="Q30" s="79">
        <f>база!$L$6</f>
        <v>261.04640000000001</v>
      </c>
      <c r="R30" s="271">
        <v>1</v>
      </c>
      <c r="S30" s="98">
        <f>SUMIFS(Таблица1[сумма],Таблица1[коэф],"1",Таблица1[р/р],"5/16",Таблица1[Ф. И. О.],B33)</f>
        <v>0</v>
      </c>
      <c r="T30" s="94">
        <f t="shared" si="12"/>
        <v>0</v>
      </c>
      <c r="U30" s="353">
        <f>база!$M$6</f>
        <v>279.0496</v>
      </c>
      <c r="V30" s="271">
        <v>1</v>
      </c>
      <c r="W30" s="307">
        <f>SUMIFS(Таблица1[сумма],Таблица1[коэф],"1",Таблица1[р/р],"5/24",Таблица1[Ф. И. О.],B33)</f>
        <v>0</v>
      </c>
      <c r="X30" s="313">
        <f>ROUND(U30*V30*W30,2)</f>
        <v>0</v>
      </c>
      <c r="Y30" s="819"/>
      <c r="Z30" s="810"/>
      <c r="AA30" s="813"/>
    </row>
    <row r="31" spans="1:29">
      <c r="A31" s="756"/>
      <c r="B31" s="215"/>
      <c r="C31" s="815"/>
      <c r="D31" s="817"/>
      <c r="E31" s="82"/>
      <c r="F31" s="271"/>
      <c r="G31" s="98"/>
      <c r="H31" s="92"/>
      <c r="I31" s="78">
        <f>база!$J$5</f>
        <v>215.4924</v>
      </c>
      <c r="J31" s="271">
        <v>1.5</v>
      </c>
      <c r="K31" s="216">
        <f>SUMIFS(Таблица1[сумма],Таблица1[коэф],"1,5",Таблица1[р/р],"4/8",Таблица1[Ф. И. О.],B33)</f>
        <v>0</v>
      </c>
      <c r="L31" s="29">
        <f>ROUND(I31*J31*K31,2)</f>
        <v>0</v>
      </c>
      <c r="M31" s="334"/>
      <c r="N31" s="216"/>
      <c r="O31" s="216"/>
      <c r="P31" s="216"/>
      <c r="Q31" s="79">
        <f>IF(D28&lt;=3,база!$L$4,
IF(D28=4,база!$L$5,
IF(D28=5,база!$L$6)))</f>
        <v>231.45480000000001</v>
      </c>
      <c r="R31" s="271">
        <v>1.2</v>
      </c>
      <c r="S31" s="98">
        <f>SUMIFS(Таблица1[сумма],Таблица1[коэф],"1,2",Таблица1[р/р],"3/16",Таблица1[Ф. И. О.],B33)</f>
        <v>0</v>
      </c>
      <c r="T31" s="94">
        <f t="shared" ref="T31" si="14">ROUND(Q31*R31*S31,2)</f>
        <v>0</v>
      </c>
      <c r="U31" s="353">
        <f>IF(D28&lt;=3,база!$M$4,
IF(D28=4,база!$M$5,
IF(D28=5,база!$M$6)))</f>
        <v>247.41720000000001</v>
      </c>
      <c r="V31" s="271">
        <v>1.2</v>
      </c>
      <c r="W31" s="307">
        <f>SUMIFS(Таблица1[сумма],Таблица1[коэф],"1,2",Таблица1[р/р],"3/24",Таблица1[Ф. И. О.],B33)</f>
        <v>0</v>
      </c>
      <c r="X31" s="313">
        <f t="shared" ref="X31:X32" si="15">ROUND(U31*V31*W31,2)</f>
        <v>0</v>
      </c>
      <c r="Y31" s="819"/>
      <c r="Z31" s="810"/>
      <c r="AA31" s="813"/>
    </row>
    <row r="32" spans="1:29">
      <c r="A32" s="756"/>
      <c r="B32" s="215"/>
      <c r="C32" s="815"/>
      <c r="D32" s="817"/>
      <c r="E32" s="82"/>
      <c r="F32" s="271"/>
      <c r="G32" s="98"/>
      <c r="H32" s="92"/>
      <c r="I32" s="78">
        <f>база!$J$6</f>
        <v>243.04319999999998</v>
      </c>
      <c r="J32" s="271">
        <v>1.5</v>
      </c>
      <c r="K32" s="216">
        <f>SUMIFS(Таблица1[сумма],Таблица1[коэф],"1,5",Таблица1[р/р],"5/8",Таблица1[Ф. И. О.],B33)</f>
        <v>0</v>
      </c>
      <c r="L32" s="29">
        <f>ROUND(I32*J32*K32,2)</f>
        <v>0</v>
      </c>
      <c r="M32" s="334"/>
      <c r="N32" s="216"/>
      <c r="O32" s="216"/>
      <c r="P32" s="216"/>
      <c r="Q32" s="79">
        <f>база!$L$5</f>
        <v>231.45480000000001</v>
      </c>
      <c r="R32" s="271">
        <v>1.2</v>
      </c>
      <c r="S32" s="98">
        <f>SUMIFS(Таблица1[сумма],Таблица1[коэф],"1,2",Таблица1[р/р],"4/16",Таблица1[Ф. И. О.],B33)</f>
        <v>0</v>
      </c>
      <c r="T32" s="94"/>
      <c r="U32" s="353">
        <f>база!$M$5</f>
        <v>247.41720000000001</v>
      </c>
      <c r="V32" s="271">
        <v>1.2</v>
      </c>
      <c r="W32" s="307">
        <f>SUMIFS(Таблица1[сумма],Таблица1[коэф],"1,2",Таблица1[р/р],"4/24",Таблица1[Ф. И. О.],B33)</f>
        <v>0</v>
      </c>
      <c r="X32" s="313">
        <f t="shared" si="15"/>
        <v>0</v>
      </c>
      <c r="Y32" s="819"/>
      <c r="Z32" s="810"/>
      <c r="AA32" s="813"/>
      <c r="AC32" s="707" t="str">
        <f>IF(SUMIFS(Таблица1[Столбец2],Таблица1[Ф. И. О.],B33)-Z28=0,"",SUMIFS(Таблица1[Столбец2],Таблица1[Ф. И. О.],B33)-Z28)</f>
        <v/>
      </c>
    </row>
    <row r="33" spans="1:29" ht="20.25" customHeight="1">
      <c r="A33" s="756"/>
      <c r="B33" s="215" t="str">
        <f>база!B4</f>
        <v>Аксенова Диана Владимировна</v>
      </c>
      <c r="C33" s="815"/>
      <c r="D33" s="817"/>
      <c r="E33" s="82"/>
      <c r="F33" s="271"/>
      <c r="G33" s="98"/>
      <c r="H33" s="92"/>
      <c r="I33" s="78"/>
      <c r="J33" s="271"/>
      <c r="K33" s="216"/>
      <c r="L33" s="29"/>
      <c r="M33" s="334"/>
      <c r="N33" s="216"/>
      <c r="O33" s="216"/>
      <c r="P33" s="216"/>
      <c r="Q33" s="79">
        <f>база!$L$6</f>
        <v>261.04640000000001</v>
      </c>
      <c r="R33" s="271">
        <v>1.2</v>
      </c>
      <c r="S33" s="98">
        <f>SUMIFS(Таблица1[сумма],Таблица1[коэф],"1,2",Таблица1[р/р],"5/16",Таблица1[Ф. И. О.],B33)</f>
        <v>0</v>
      </c>
      <c r="T33" s="94">
        <f>ROUND(Q33*R33*S33,2)</f>
        <v>0</v>
      </c>
      <c r="U33" s="353">
        <f>база!$M$6</f>
        <v>279.0496</v>
      </c>
      <c r="V33" s="271">
        <v>1.2</v>
      </c>
      <c r="W33" s="307">
        <f>SUMIFS(Таблица1[сумма],Таблица1[коэф],"1,2",Таблица1[р/р],"5/24",Таблица1[Ф. И. О.],B33)</f>
        <v>0</v>
      </c>
      <c r="X33" s="313">
        <f>ROUND(U33*V33*W33,2)</f>
        <v>0</v>
      </c>
      <c r="Y33" s="819"/>
      <c r="Z33" s="810"/>
      <c r="AA33" s="813"/>
      <c r="AC33" s="707" t="str">
        <f>IF(SUMIFS(Таблица1[сумма],Таблица1[Ф. И. О.],B33)=Y28,"",B28&amp;"  часы не верны")</f>
        <v/>
      </c>
    </row>
    <row r="34" spans="1:29">
      <c r="A34" s="756"/>
      <c r="B34" s="215"/>
      <c r="C34" s="815"/>
      <c r="D34" s="817"/>
      <c r="E34" s="82"/>
      <c r="F34" s="271"/>
      <c r="G34" s="98"/>
      <c r="H34" s="92"/>
      <c r="I34" s="78"/>
      <c r="J34" s="271"/>
      <c r="K34" s="216"/>
      <c r="L34" s="29"/>
      <c r="M34" s="334"/>
      <c r="N34" s="216"/>
      <c r="O34" s="216"/>
      <c r="P34" s="216"/>
      <c r="Q34" s="79">
        <f>IF($D$6&lt;=3,база!$L$4,
IF($D$6=4,база!$L$5,
IF($D$6=5,база!$L$6)))</f>
        <v>231.45480000000001</v>
      </c>
      <c r="R34" s="271">
        <v>1.3</v>
      </c>
      <c r="S34" s="98">
        <f>SUMIFS(Таблица1[сумма],Таблица1[коэф],"1,3",Таблица1[р/р],"3/16",Таблица1[Ф. И. О.],B33)</f>
        <v>0</v>
      </c>
      <c r="T34" s="94">
        <f t="shared" ref="T34" si="16">ROUND(Q34*R34*S34,2)</f>
        <v>0</v>
      </c>
      <c r="U34" s="353">
        <f>IF(D28&lt;=3,база!$M$4,
IF(D28=4,база!$M$5,
IF(D28=5,база!$M$6)))</f>
        <v>247.41720000000001</v>
      </c>
      <c r="V34" s="271">
        <v>1.3</v>
      </c>
      <c r="W34" s="307">
        <f>SUMIFS(Таблица1[сумма],Таблица1[коэф],"1,3",Таблица1[р/р],"3/24",Таблица1[Ф. И. О.],B33)</f>
        <v>0</v>
      </c>
      <c r="X34" s="313">
        <f t="shared" ref="X34:X35" si="17">ROUND(U34*V34*W34,2)</f>
        <v>0</v>
      </c>
      <c r="Y34" s="819"/>
      <c r="Z34" s="810"/>
      <c r="AA34" s="813"/>
    </row>
    <row r="35" spans="1:29">
      <c r="A35" s="756"/>
      <c r="B35" s="215"/>
      <c r="C35" s="815"/>
      <c r="D35" s="817"/>
      <c r="E35" s="82"/>
      <c r="F35" s="271"/>
      <c r="G35" s="98"/>
      <c r="H35" s="92"/>
      <c r="I35" s="78"/>
      <c r="J35" s="271"/>
      <c r="K35" s="216"/>
      <c r="L35" s="29"/>
      <c r="M35" s="334"/>
      <c r="N35" s="216"/>
      <c r="O35" s="216"/>
      <c r="P35" s="216"/>
      <c r="Q35" s="79">
        <f>база!$L$5</f>
        <v>231.45480000000001</v>
      </c>
      <c r="R35" s="271">
        <v>1.3</v>
      </c>
      <c r="S35" s="98"/>
      <c r="T35" s="94"/>
      <c r="U35" s="353">
        <f>база!$M$5</f>
        <v>247.41720000000001</v>
      </c>
      <c r="V35" s="271">
        <v>1.3</v>
      </c>
      <c r="W35" s="307">
        <f>SUMIFS(Таблица1[сумма],Таблица1[коэф],"1,3",Таблица1[р/р],"4/24",Таблица1[Ф. И. О.],B33)</f>
        <v>0</v>
      </c>
      <c r="X35" s="313">
        <f t="shared" si="17"/>
        <v>0</v>
      </c>
      <c r="Y35" s="819"/>
      <c r="Z35" s="810"/>
      <c r="AA35" s="813"/>
    </row>
    <row r="36" spans="1:29">
      <c r="A36" s="756"/>
      <c r="B36" s="215"/>
      <c r="C36" s="815"/>
      <c r="D36" s="817"/>
      <c r="E36" s="82"/>
      <c r="F36" s="271"/>
      <c r="G36" s="98"/>
      <c r="H36" s="92"/>
      <c r="I36" s="78"/>
      <c r="J36" s="271"/>
      <c r="K36" s="216"/>
      <c r="L36" s="29"/>
      <c r="M36" s="334"/>
      <c r="N36" s="216"/>
      <c r="O36" s="216"/>
      <c r="P36" s="216"/>
      <c r="Q36" s="79">
        <f>IF(D28&lt;=3,база!$L$4,
IF(D28=4,база!$L$5,
IF(D28=5,база!$L$6)))</f>
        <v>231.45480000000001</v>
      </c>
      <c r="R36" s="271">
        <v>1.4</v>
      </c>
      <c r="S36" s="98">
        <f>SUMIFS(Таблица1[сумма],Таблица1[коэф],"1,4",Таблица1[р/р],"3/16",Таблица1[Ф. И. О.],B33)</f>
        <v>0</v>
      </c>
      <c r="T36" s="94">
        <f t="shared" ref="T36:T41" si="18">ROUND(Q36*R36*S36,2)</f>
        <v>0</v>
      </c>
      <c r="U36" s="353">
        <f>IF(D28&lt;=3,база!$M$4,
IF(D28=4,база!$M$5,
IF(D28=5,база!$M$6)))</f>
        <v>247.41720000000001</v>
      </c>
      <c r="V36" s="271">
        <v>1.4</v>
      </c>
      <c r="W36" s="307">
        <f>SUMIFS(Таблица1[сумма],Таблица1[коэф],"1,4",Таблица1[р/р],"3/24",Таблица1[Ф. И. О.],B33)</f>
        <v>0</v>
      </c>
      <c r="X36" s="313">
        <f>ROUND(U36*V36*W36,2)</f>
        <v>0</v>
      </c>
      <c r="Y36" s="819"/>
      <c r="Z36" s="810"/>
      <c r="AA36" s="813"/>
    </row>
    <row r="37" spans="1:29">
      <c r="A37" s="756"/>
      <c r="B37" s="215"/>
      <c r="C37" s="815"/>
      <c r="D37" s="817"/>
      <c r="E37" s="82"/>
      <c r="F37" s="271"/>
      <c r="G37" s="98"/>
      <c r="H37" s="92"/>
      <c r="I37" s="78"/>
      <c r="J37" s="271"/>
      <c r="K37" s="216"/>
      <c r="L37" s="29"/>
      <c r="M37" s="334"/>
      <c r="N37" s="216"/>
      <c r="O37" s="216"/>
      <c r="P37" s="216"/>
      <c r="Q37" s="79">
        <f>база!$L$5</f>
        <v>231.45480000000001</v>
      </c>
      <c r="R37" s="271">
        <v>1.4</v>
      </c>
      <c r="S37" s="98">
        <f>SUMIFS(Таблица1[сумма],Таблица1[коэф],"1,4",Таблица1[р/р],"4/16",Таблица1[Ф. И. О.],B33)</f>
        <v>0</v>
      </c>
      <c r="T37" s="94">
        <f t="shared" si="18"/>
        <v>0</v>
      </c>
      <c r="U37" s="361">
        <f>база!$M$5</f>
        <v>247.41720000000001</v>
      </c>
      <c r="V37" s="271">
        <v>1.4</v>
      </c>
      <c r="W37" s="307">
        <f>SUMIFS(Таблица1[сумма],Таблица1[коэф],"1,4",Таблица1[р/р],"4/24",Таблица1[Ф. И. О.],B33)</f>
        <v>0</v>
      </c>
      <c r="X37" s="313">
        <f>ROUND(U37*V37*W37,2)</f>
        <v>0</v>
      </c>
      <c r="Y37" s="819"/>
      <c r="Z37" s="810"/>
      <c r="AA37" s="813"/>
    </row>
    <row r="38" spans="1:29" ht="24" thickBot="1">
      <c r="A38" s="757"/>
      <c r="B38" s="215"/>
      <c r="C38" s="816"/>
      <c r="D38" s="818"/>
      <c r="E38" s="303"/>
      <c r="F38" s="274"/>
      <c r="G38" s="104"/>
      <c r="H38" s="316"/>
      <c r="I38" s="101"/>
      <c r="J38" s="273"/>
      <c r="K38" s="288"/>
      <c r="L38" s="26"/>
      <c r="M38" s="345"/>
      <c r="N38" s="302"/>
      <c r="O38" s="302"/>
      <c r="P38" s="302"/>
      <c r="Q38" s="106">
        <f>база!$L$6</f>
        <v>261.04640000000001</v>
      </c>
      <c r="R38" s="274">
        <v>1.4</v>
      </c>
      <c r="S38" s="104">
        <f>SUMIFS(Таблица1[сумма],Таблица1[коэф],"1,4",Таблица1[р/р],"5/16",Таблица1[Ф. И. О.],B33)</f>
        <v>0</v>
      </c>
      <c r="T38" s="103">
        <f t="shared" si="18"/>
        <v>0</v>
      </c>
      <c r="U38" s="362">
        <f>база!$M$6</f>
        <v>279.0496</v>
      </c>
      <c r="V38" s="274">
        <v>1.4</v>
      </c>
      <c r="W38" s="333">
        <f>SUMIFS(Таблица1[сумма],Таблица1[коэф],"1,4",Таблица1[р/р],"5/24",Таблица1[Ф. И. О.],B33)</f>
        <v>0</v>
      </c>
      <c r="X38" s="343">
        <f>ROUND(U38*V38*W38,2)</f>
        <v>0</v>
      </c>
      <c r="Y38" s="820"/>
      <c r="Z38" s="811"/>
      <c r="AA38" s="814"/>
    </row>
    <row r="39" spans="1:29">
      <c r="A39" s="755">
        <v>4</v>
      </c>
      <c r="B39" s="235"/>
      <c r="C39" s="821">
        <f>INDEX(база!$E$2:$E$181, MATCH(B44,база!$B$2:$B$150,0))</f>
        <v>15816</v>
      </c>
      <c r="D39" s="822">
        <f>INDEX(база!$D$2:$D$189, MATCH(B44,база!$B$2:$B$150,0))</f>
        <v>3</v>
      </c>
      <c r="E39" s="310">
        <f>IF(D39&lt;=3,база!$I$4,
IF(D39=4,база!$I$5,
IF(D39=5,база!$I$6)))</f>
        <v>188.7912</v>
      </c>
      <c r="F39" s="269">
        <v>1</v>
      </c>
      <c r="G39" s="95">
        <f>SUMIFS(Таблица1[сумма],Таблица1[коэф],"1",Таблица1[р/р],"2/4",Таблица1[Ф. И. О.],B44)</f>
        <v>0</v>
      </c>
      <c r="H39" s="317">
        <f>ROUND(E39*F39*G39,2)</f>
        <v>0</v>
      </c>
      <c r="I39" s="72">
        <f>IF(D39&lt;=3,база!$J$4,
IF(D39=4,база!$J$5,
IF(D39=5,база!$J$6)))</f>
        <v>196.05240000000001</v>
      </c>
      <c r="J39" s="269">
        <v>1</v>
      </c>
      <c r="K39" s="287">
        <f>SUMIFS(Таблица1[сумма],Таблица1[коэф],"1",Таблица1[р/р],"2/8",Таблица1[Ф. И. О.],B44)</f>
        <v>0</v>
      </c>
      <c r="L39" s="28">
        <f>ROUND(I39*J39*K39,2)</f>
        <v>0</v>
      </c>
      <c r="M39" s="338"/>
      <c r="N39" s="287">
        <v>1</v>
      </c>
      <c r="O39" s="287">
        <f>SUMIFS(Data_Tech!$AM$3:$AM$67,Data_Tech!$E$3:$E$67,"1",Data_Tech!$G$3:$G$67,"3/12",Data_Tech!$F$3:$F$67,B44)</f>
        <v>0</v>
      </c>
      <c r="P39" s="287">
        <f>ROUND(M39*N39*O39,2)</f>
        <v>0</v>
      </c>
      <c r="Q39" s="73">
        <f>IF(D39&lt;=3,база!$L$4,
IF(D39=4,база!$L$5,
IF(D39=5,база!$L$6)))</f>
        <v>210.57480000000001</v>
      </c>
      <c r="R39" s="269">
        <v>1</v>
      </c>
      <c r="S39" s="95">
        <f>SUMIFS(Таблица1[сумма],Таблица1[коэф],"1",Таблица1[р/р],"3/16",Таблица1[Ф. И. О.],B44)</f>
        <v>0</v>
      </c>
      <c r="T39" s="87">
        <f t="shared" si="18"/>
        <v>0</v>
      </c>
      <c r="U39" s="363">
        <f>IF(D39&lt;=3,база!$M$4,
IF(D39=4,база!$M$5,
IF(D39=5,база!$M$6)))</f>
        <v>225.09719999999999</v>
      </c>
      <c r="V39" s="269">
        <v>1</v>
      </c>
      <c r="W39" s="340">
        <f>SUMIFS(Таблица1[сумма],Таблица1[коэф],"1",Таблица1[р/р],"3/24",Таблица1[Ф. И. О.],B44)</f>
        <v>0</v>
      </c>
      <c r="X39" s="342">
        <f>ROUND(U39*V39*W39,2)</f>
        <v>0</v>
      </c>
      <c r="Y39" s="819">
        <f>SUM(G39:G49,K39:K49,O39:O49,S39:S49,W39:W49)</f>
        <v>0</v>
      </c>
      <c r="Z39" s="810">
        <f>IFERROR(SUM(H39:H49,L39:L49,T39:T49,X39:X49),"")</f>
        <v>0</v>
      </c>
      <c r="AA39" s="813"/>
    </row>
    <row r="40" spans="1:29">
      <c r="A40" s="756"/>
      <c r="B40" s="215"/>
      <c r="C40" s="815"/>
      <c r="D40" s="817"/>
      <c r="E40" s="82">
        <f>IF(D39&lt;=3,база!$I$4,
IF(D39=4,база!$I$5,
IF(D39=5,база!$I$6)))</f>
        <v>188.7912</v>
      </c>
      <c r="F40" s="271">
        <v>1</v>
      </c>
      <c r="G40" s="98">
        <f>SUMIFS(Таблица1[сумма],Таблица1[коэф],"1",Таблица1[р/р],"3/4",Таблица1[Ф. И. О.],B44)</f>
        <v>0</v>
      </c>
      <c r="H40" s="92">
        <f>ROUND(E40*F40*G40,2)</f>
        <v>0</v>
      </c>
      <c r="I40" s="78">
        <f>IF(D39&lt;=3,база!$J$4,
IF(D39=4,база!$J$5,
IF(D39=5,база!$J$6)))</f>
        <v>196.05240000000001</v>
      </c>
      <c r="J40" s="271">
        <v>1</v>
      </c>
      <c r="K40" s="216">
        <f>SUMIFS(Таблица1[сумма],Таблица1[коэф],"1",Таблица1[р/р],"3/8",Таблица1[Ф. И. О.],B44)</f>
        <v>0</v>
      </c>
      <c r="L40" s="29">
        <f>ROUND(I40*J40*K40,2)</f>
        <v>0</v>
      </c>
      <c r="M40" s="334"/>
      <c r="N40" s="216">
        <v>1</v>
      </c>
      <c r="O40" s="216">
        <f>SUMIFS(Data_Tech!$AM$3:$AM$67,Data_Tech!$E$3:$E$67,"1",Data_Tech!$G$3:$G$67,"4/12",Data_Tech!$F$3:$F$67,B44)</f>
        <v>0</v>
      </c>
      <c r="P40" s="216">
        <f>ROUND(M40*O40,2)</f>
        <v>0</v>
      </c>
      <c r="Q40" s="79">
        <f>база!$L$5</f>
        <v>231.45480000000001</v>
      </c>
      <c r="R40" s="271">
        <v>1</v>
      </c>
      <c r="S40" s="98">
        <f>SUMIFS(Таблица1[сумма],Таблица1[коэф],"1",Таблица1[р/р],"4/16",Таблица1[Ф. И. О.],B44)</f>
        <v>0</v>
      </c>
      <c r="T40" s="94">
        <f t="shared" si="18"/>
        <v>0</v>
      </c>
      <c r="U40" s="361">
        <f>база!$M$5</f>
        <v>247.41720000000001</v>
      </c>
      <c r="V40" s="271">
        <v>1</v>
      </c>
      <c r="W40" s="307">
        <f>SUMIFS(Таблица1[сумма],Таблица1[коэф],"1",Таблица1[р/р],"4/24",Таблица1[Ф. И. О.],B44)</f>
        <v>0</v>
      </c>
      <c r="X40" s="313">
        <f t="shared" ref="X40" si="19">ROUND(U40*V40*W40,2)</f>
        <v>0</v>
      </c>
      <c r="Y40" s="819"/>
      <c r="Z40" s="810"/>
      <c r="AA40" s="813"/>
    </row>
    <row r="41" spans="1:29">
      <c r="A41" s="756"/>
      <c r="B41" s="215"/>
      <c r="C41" s="815"/>
      <c r="D41" s="817"/>
      <c r="E41" s="82"/>
      <c r="F41" s="271"/>
      <c r="G41" s="98"/>
      <c r="H41" s="92"/>
      <c r="I41" s="78"/>
      <c r="J41" s="271"/>
      <c r="K41" s="216"/>
      <c r="L41" s="29"/>
      <c r="M41" s="334"/>
      <c r="N41" s="216"/>
      <c r="O41" s="216"/>
      <c r="P41" s="216"/>
      <c r="Q41" s="79">
        <f>база!$L$6</f>
        <v>261.04640000000001</v>
      </c>
      <c r="R41" s="271">
        <v>1</v>
      </c>
      <c r="S41" s="98">
        <f>SUMIFS(Таблица1[сумма],Таблица1[коэф],"1",Таблица1[р/р],"5/16",Таблица1[Ф. И. О.],B44)</f>
        <v>0</v>
      </c>
      <c r="T41" s="94">
        <f t="shared" si="18"/>
        <v>0</v>
      </c>
      <c r="U41" s="361">
        <f>база!$M$6</f>
        <v>279.0496</v>
      </c>
      <c r="V41" s="271">
        <v>1</v>
      </c>
      <c r="W41" s="307">
        <f>SUMIFS(Таблица1[сумма],Таблица1[коэф],"1",Таблица1[р/р],"5/24",Таблица1[Ф. И. О.],B44)</f>
        <v>0</v>
      </c>
      <c r="X41" s="313">
        <f>ROUND(U41*V41*W41,2)</f>
        <v>0</v>
      </c>
      <c r="Y41" s="819"/>
      <c r="Z41" s="810"/>
      <c r="AA41" s="813"/>
    </row>
    <row r="42" spans="1:29">
      <c r="A42" s="756"/>
      <c r="B42" s="215"/>
      <c r="C42" s="815"/>
      <c r="D42" s="817"/>
      <c r="E42" s="82"/>
      <c r="F42" s="271"/>
      <c r="G42" s="98"/>
      <c r="H42" s="92"/>
      <c r="I42" s="78">
        <f>база!$J$5</f>
        <v>215.4924</v>
      </c>
      <c r="J42" s="271">
        <v>1.5</v>
      </c>
      <c r="K42" s="216">
        <f>SUMIFS(Таблица1[сумма],Таблица1[коэф],"1,5",Таблица1[р/р],"4/8",Таблица1[Ф. И. О.],B44)</f>
        <v>0</v>
      </c>
      <c r="L42" s="29">
        <f>ROUND(I42*J42*K42,2)</f>
        <v>0</v>
      </c>
      <c r="M42" s="334"/>
      <c r="N42" s="216"/>
      <c r="O42" s="216"/>
      <c r="P42" s="216"/>
      <c r="Q42" s="79">
        <f>IF(D39&lt;=3,база!$L$4,
IF(D39=4,база!$L$5,
IF(D39=5,база!$L$6)))</f>
        <v>210.57480000000001</v>
      </c>
      <c r="R42" s="271">
        <v>1.2</v>
      </c>
      <c r="S42" s="98">
        <f>SUMIFS(Таблица1[сумма],Таблица1[коэф],"1,2",Таблица1[р/р],"3/16",Таблица1[Ф. И. О.],B44)</f>
        <v>0</v>
      </c>
      <c r="T42" s="94">
        <f t="shared" ref="T42:T43" si="20">ROUND(Q42*R42*S42,2)</f>
        <v>0</v>
      </c>
      <c r="U42" s="361">
        <f>IF(D39&lt;=3,база!$M$4,
IF(D39=4,база!$M$5,
IF(D39=5,база!$M$6)))</f>
        <v>225.09719999999999</v>
      </c>
      <c r="V42" s="271">
        <v>1.2</v>
      </c>
      <c r="W42" s="307">
        <f>SUMIFS(Таблица1[сумма],Таблица1[коэф],"1,2",Таблица1[р/р],"3/24",Таблица1[Ф. И. О.],B44)</f>
        <v>0</v>
      </c>
      <c r="X42" s="313">
        <f t="shared" ref="X42:X43" si="21">ROUND(U42*V42*W42,2)</f>
        <v>0</v>
      </c>
      <c r="Y42" s="819"/>
      <c r="Z42" s="810"/>
      <c r="AA42" s="813"/>
    </row>
    <row r="43" spans="1:29">
      <c r="A43" s="756"/>
      <c r="B43" s="215"/>
      <c r="C43" s="815"/>
      <c r="D43" s="817"/>
      <c r="E43" s="82"/>
      <c r="F43" s="271"/>
      <c r="G43" s="98"/>
      <c r="H43" s="92"/>
      <c r="I43" s="78">
        <f>база!$J$6</f>
        <v>243.04319999999998</v>
      </c>
      <c r="J43" s="271">
        <v>1.5</v>
      </c>
      <c r="K43" s="216">
        <f>SUMIFS(Таблица1[сумма],Таблица1[коэф],"1,5",Таблица1[р/р],"5/8",Таблица1[Ф. И. О.],B44)</f>
        <v>0</v>
      </c>
      <c r="L43" s="29">
        <f>ROUND(I43*J43*K43,2)</f>
        <v>0</v>
      </c>
      <c r="M43" s="334"/>
      <c r="N43" s="216"/>
      <c r="O43" s="216"/>
      <c r="P43" s="216"/>
      <c r="Q43" s="79">
        <f>база!$L$5</f>
        <v>231.45480000000001</v>
      </c>
      <c r="R43" s="271">
        <v>1.2</v>
      </c>
      <c r="S43" s="98">
        <f>SUMIFS(Таблица1[сумма],Таблица1[коэф],"1,2",Таблица1[р/р],"4/16",Таблица1[Ф. И. О.],B44)</f>
        <v>0</v>
      </c>
      <c r="T43" s="94">
        <f t="shared" si="20"/>
        <v>0</v>
      </c>
      <c r="U43" s="361">
        <f>база!$M$5</f>
        <v>247.41720000000001</v>
      </c>
      <c r="V43" s="271">
        <v>1.2</v>
      </c>
      <c r="W43" s="307">
        <f>SUMIFS(Таблица1[сумма],Таблица1[коэф],"1,2",Таблица1[р/р],"4/24",Таблица1[Ф. И. О.],B44)</f>
        <v>0</v>
      </c>
      <c r="X43" s="313">
        <f t="shared" si="21"/>
        <v>0</v>
      </c>
      <c r="Y43" s="819"/>
      <c r="Z43" s="810"/>
      <c r="AA43" s="813"/>
      <c r="AC43" s="707" t="str">
        <f>IF(SUMIFS(Таблица1[Столбец2],Таблица1[Ф. И. О.],B44)-Z39=0,"",SUMIFS(Таблица1[Столбец2],Таблица1[Ф. И. О.],B44)-Z39)</f>
        <v/>
      </c>
    </row>
    <row r="44" spans="1:29">
      <c r="A44" s="756"/>
      <c r="B44" s="215" t="str">
        <f>база!B5</f>
        <v>Александрович Екатерина Сергеевна</v>
      </c>
      <c r="C44" s="815"/>
      <c r="D44" s="817"/>
      <c r="E44" s="82"/>
      <c r="F44" s="271"/>
      <c r="G44" s="98"/>
      <c r="H44" s="92"/>
      <c r="I44" s="78"/>
      <c r="J44" s="271"/>
      <c r="K44" s="216"/>
      <c r="L44" s="29"/>
      <c r="M44" s="334"/>
      <c r="N44" s="216"/>
      <c r="O44" s="216"/>
      <c r="P44" s="216"/>
      <c r="Q44" s="79">
        <f>база!$L$6</f>
        <v>261.04640000000001</v>
      </c>
      <c r="R44" s="271">
        <v>1.2</v>
      </c>
      <c r="S44" s="98">
        <f>SUMIFS(Таблица1[сумма],Таблица1[коэф],"1,2",Таблица1[р/р],"5/16",Таблица1[Ф. И. О.],B44)</f>
        <v>0</v>
      </c>
      <c r="T44" s="94">
        <f>ROUND(Q44*R44*S44,2)</f>
        <v>0</v>
      </c>
      <c r="U44" s="361">
        <f>база!$M$6</f>
        <v>279.0496</v>
      </c>
      <c r="V44" s="271">
        <v>1.2</v>
      </c>
      <c r="W44" s="307">
        <f>SUMIFS(Таблица1[сумма],Таблица1[коэф],"1,2",Таблица1[р/р],"5/24",Таблица1[Ф. И. О.],B44)</f>
        <v>0</v>
      </c>
      <c r="X44" s="313">
        <f>ROUND(U44*V44*W44,2)</f>
        <v>0</v>
      </c>
      <c r="Y44" s="819"/>
      <c r="Z44" s="810"/>
      <c r="AA44" s="813"/>
      <c r="AC44" s="707" t="str">
        <f>IF(SUMIFS(Таблица1[сумма],Таблица1[Ф. И. О.],B44)=Y39,"",B39&amp;"  часы не верны")</f>
        <v/>
      </c>
    </row>
    <row r="45" spans="1:29">
      <c r="A45" s="756"/>
      <c r="B45" s="215"/>
      <c r="C45" s="815"/>
      <c r="D45" s="817"/>
      <c r="E45" s="82"/>
      <c r="F45" s="271"/>
      <c r="G45" s="98"/>
      <c r="H45" s="92"/>
      <c r="I45" s="78"/>
      <c r="J45" s="271"/>
      <c r="K45" s="216"/>
      <c r="L45" s="29"/>
      <c r="M45" s="334"/>
      <c r="N45" s="216"/>
      <c r="O45" s="216"/>
      <c r="P45" s="216"/>
      <c r="Q45" s="79">
        <f>IF($D$6&lt;=3,база!$L$4,
IF($D$6=4,база!$L$5,
IF($D$6=5,база!$L$6)))</f>
        <v>231.45480000000001</v>
      </c>
      <c r="R45" s="271">
        <v>1.3</v>
      </c>
      <c r="S45" s="98">
        <f>SUMIFS(Таблица1[сумма],Таблица1[коэф],"1,3",Таблица1[р/р],"3/16",Таблица1[Ф. И. О.],B44)</f>
        <v>0</v>
      </c>
      <c r="T45" s="94">
        <f t="shared" ref="T45:T46" si="22">ROUND(Q45*R45*S45,2)</f>
        <v>0</v>
      </c>
      <c r="U45" s="361">
        <f>IF(D39&lt;=3,база!$M$4,
IF(D39=4,база!$M$5,
IF(D39=5,база!$M$6)))</f>
        <v>225.09719999999999</v>
      </c>
      <c r="V45" s="271">
        <v>1.3</v>
      </c>
      <c r="W45" s="307">
        <f>SUMIFS(Таблица1[сумма],Таблица1[коэф],"1,3",Таблица1[р/р],"3/24",Таблица1[Ф. И. О.],B44)</f>
        <v>0</v>
      </c>
      <c r="X45" s="313">
        <f t="shared" ref="X45:X46" si="23">ROUND(U45*V45*W45,2)</f>
        <v>0</v>
      </c>
      <c r="Y45" s="819"/>
      <c r="Z45" s="810"/>
      <c r="AA45" s="813"/>
    </row>
    <row r="46" spans="1:29">
      <c r="A46" s="756"/>
      <c r="B46" s="215"/>
      <c r="C46" s="815"/>
      <c r="D46" s="817"/>
      <c r="E46" s="82"/>
      <c r="F46" s="271"/>
      <c r="G46" s="98"/>
      <c r="H46" s="92"/>
      <c r="I46" s="78"/>
      <c r="J46" s="271"/>
      <c r="K46" s="216"/>
      <c r="L46" s="29"/>
      <c r="M46" s="334"/>
      <c r="N46" s="216"/>
      <c r="O46" s="216"/>
      <c r="P46" s="216"/>
      <c r="Q46" s="79">
        <f>база!$L$5</f>
        <v>231.45480000000001</v>
      </c>
      <c r="R46" s="271">
        <v>1.3</v>
      </c>
      <c r="S46" s="98">
        <f>SUMIFS(Таблица1[сумма],Таблица1[коэф],"1,3",Таблица1[р/р],"4/16",Таблица1[Ф. И. О.],B44)</f>
        <v>0</v>
      </c>
      <c r="T46" s="94">
        <f t="shared" si="22"/>
        <v>0</v>
      </c>
      <c r="U46" s="361">
        <f>база!$M$5</f>
        <v>247.41720000000001</v>
      </c>
      <c r="V46" s="271">
        <v>1.3</v>
      </c>
      <c r="W46" s="307">
        <f>SUMIFS(Таблица1[сумма],Таблица1[коэф],"1,3",Таблица1[р/р],"4/24",Таблица1[Ф. И. О.],B44)</f>
        <v>0</v>
      </c>
      <c r="X46" s="313">
        <f t="shared" si="23"/>
        <v>0</v>
      </c>
      <c r="Y46" s="819"/>
      <c r="Z46" s="810"/>
      <c r="AA46" s="813"/>
    </row>
    <row r="47" spans="1:29">
      <c r="A47" s="756"/>
      <c r="B47" s="215"/>
      <c r="C47" s="815"/>
      <c r="D47" s="817"/>
      <c r="E47" s="82"/>
      <c r="F47" s="271"/>
      <c r="G47" s="98"/>
      <c r="H47" s="92"/>
      <c r="I47" s="78"/>
      <c r="J47" s="271"/>
      <c r="K47" s="216"/>
      <c r="L47" s="29"/>
      <c r="M47" s="334"/>
      <c r="N47" s="216"/>
      <c r="O47" s="216"/>
      <c r="P47" s="216"/>
      <c r="Q47" s="79">
        <f>IF(D39&lt;=3,база!$L$4,
IF(D39=4,база!$L$5,
IF(D39=5,база!$L$6)))</f>
        <v>210.57480000000001</v>
      </c>
      <c r="R47" s="271">
        <v>1.4</v>
      </c>
      <c r="S47" s="98">
        <f>SUMIFS(Таблица1[сумма],Таблица1[коэф],"1,4",Таблица1[р/р],"3/16",Таблица1[Ф. И. О.],B44)</f>
        <v>0</v>
      </c>
      <c r="T47" s="94">
        <f t="shared" ref="T47:T52" si="24">ROUND(Q47*R47*S47,2)</f>
        <v>0</v>
      </c>
      <c r="U47" s="361">
        <f>IF(D39&lt;=3,база!$M$4,
IF(D39=4,база!$M$5,
IF(D39=5,база!$M$6)))</f>
        <v>225.09719999999999</v>
      </c>
      <c r="V47" s="271">
        <v>1.4</v>
      </c>
      <c r="W47" s="307">
        <f>SUMIFS(Таблица1[сумма],Таблица1[коэф],"1,4",Таблица1[р/р],"3/24",Таблица1[Ф. И. О.],B44)</f>
        <v>0</v>
      </c>
      <c r="X47" s="313">
        <f>ROUND(U47*V47*W47,2)</f>
        <v>0</v>
      </c>
      <c r="Y47" s="819"/>
      <c r="Z47" s="810"/>
      <c r="AA47" s="813"/>
    </row>
    <row r="48" spans="1:29">
      <c r="A48" s="756"/>
      <c r="B48" s="215"/>
      <c r="C48" s="815"/>
      <c r="D48" s="817"/>
      <c r="E48" s="82"/>
      <c r="F48" s="271"/>
      <c r="G48" s="98"/>
      <c r="H48" s="92"/>
      <c r="I48" s="78"/>
      <c r="J48" s="271"/>
      <c r="K48" s="216"/>
      <c r="L48" s="29"/>
      <c r="M48" s="334"/>
      <c r="N48" s="216"/>
      <c r="O48" s="216"/>
      <c r="P48" s="216"/>
      <c r="Q48" s="79">
        <f>база!$L$5</f>
        <v>231.45480000000001</v>
      </c>
      <c r="R48" s="271">
        <v>1.4</v>
      </c>
      <c r="S48" s="98">
        <f>SUMIFS(Таблица1[сумма],Таблица1[коэф],"1,4",Таблица1[р/р],"4/16",Таблица1[Ф. И. О.],B44)</f>
        <v>0</v>
      </c>
      <c r="T48" s="94">
        <f t="shared" si="24"/>
        <v>0</v>
      </c>
      <c r="U48" s="361">
        <f>база!$M$5</f>
        <v>247.41720000000001</v>
      </c>
      <c r="V48" s="271">
        <v>1.4</v>
      </c>
      <c r="W48" s="307">
        <f>SUMIFS(Таблица1[сумма],Таблица1[коэф],"1,4",Таблица1[р/р],"4/24",Таблица1[Ф. И. О.],B44)</f>
        <v>0</v>
      </c>
      <c r="X48" s="313">
        <f>ROUND(U48*V48*W48,2)</f>
        <v>0</v>
      </c>
      <c r="Y48" s="819"/>
      <c r="Z48" s="810"/>
      <c r="AA48" s="813"/>
    </row>
    <row r="49" spans="1:29" ht="24" thickBot="1">
      <c r="A49" s="757"/>
      <c r="B49" s="202"/>
      <c r="C49" s="816"/>
      <c r="D49" s="818"/>
      <c r="E49" s="220"/>
      <c r="F49" s="273"/>
      <c r="G49" s="97"/>
      <c r="H49" s="238"/>
      <c r="I49" s="101"/>
      <c r="J49" s="273"/>
      <c r="K49" s="288"/>
      <c r="L49" s="26"/>
      <c r="M49" s="348"/>
      <c r="N49" s="288"/>
      <c r="O49" s="288"/>
      <c r="P49" s="288"/>
      <c r="Q49" s="77">
        <f>база!$L$6</f>
        <v>261.04640000000001</v>
      </c>
      <c r="R49" s="273">
        <v>1.4</v>
      </c>
      <c r="S49" s="97">
        <f>SUMIFS(Таблица1[сумма],Таблица1[коэф],"1,4",Таблица1[р/р],"5/16",Таблица1[Ф. И. О.],B44)</f>
        <v>0</v>
      </c>
      <c r="T49" s="90">
        <f t="shared" si="24"/>
        <v>0</v>
      </c>
      <c r="U49" s="364">
        <f>база!$M$6</f>
        <v>279.0496</v>
      </c>
      <c r="V49" s="273">
        <v>1.4</v>
      </c>
      <c r="W49" s="312">
        <f>SUMIFS(Таблица1[сумма],Таблица1[коэф],"1,4",Таблица1[р/р],"5/24",Таблица1[Ф. И. О.],B44)</f>
        <v>0</v>
      </c>
      <c r="X49" s="343">
        <f>ROUND(U49*V49*W49,2)</f>
        <v>0</v>
      </c>
      <c r="Y49" s="820"/>
      <c r="Z49" s="811"/>
      <c r="AA49" s="814"/>
    </row>
    <row r="50" spans="1:29">
      <c r="A50" s="755">
        <v>5</v>
      </c>
      <c r="B50" s="215"/>
      <c r="C50" s="824">
        <f>INDEX(база!$E$2:$E$181, MATCH(B55,база!$B$2:$B$150,0))</f>
        <v>16475</v>
      </c>
      <c r="D50" s="824">
        <f>INDEX(база!$D$2:$D$189, MATCH(B55,база!$B$2:$B$150,0))</f>
        <v>3</v>
      </c>
      <c r="E50" s="72">
        <f>IF(D50&lt;=3,база!$I$4,
IF(D50=4,база!$I$5,
IF(D50=5,база!$I$6)))</f>
        <v>188.7912</v>
      </c>
      <c r="F50" s="269">
        <v>1</v>
      </c>
      <c r="G50" s="95">
        <f>SUMIFS(Таблица1[сумма],Таблица1[коэф],"1",Таблица1[р/р],"2/4",Таблица1[Ф. И. О.],B55)</f>
        <v>0</v>
      </c>
      <c r="H50" s="87">
        <f>ROUND(E50*F50*G50,2)</f>
        <v>0</v>
      </c>
      <c r="I50" s="310">
        <f>IF(D50&lt;=3,база!$J$4,
IF(D50=4,база!$J$5,
IF(D50=5,база!$J$6)))</f>
        <v>196.05240000000001</v>
      </c>
      <c r="J50" s="269">
        <v>1</v>
      </c>
      <c r="K50" s="287">
        <f>SUMIFS(Таблица1[сумма],Таблица1[коэф],"1",Таблица1[р/р],"2/8",Таблица1[Ф. И. О.],B55)</f>
        <v>0</v>
      </c>
      <c r="L50" s="28">
        <f>ROUND(I50*J50*K50,2)</f>
        <v>0</v>
      </c>
      <c r="M50" s="338"/>
      <c r="N50" s="287">
        <v>1</v>
      </c>
      <c r="O50" s="287">
        <f>SUMIFS(Data_Tech!$AM$3:$AM$67,Data_Tech!$E$3:$E$67,"1",Data_Tech!$G$3:$G$67,"3/12",Data_Tech!$F$3:$F$67,B55)</f>
        <v>0</v>
      </c>
      <c r="P50" s="287">
        <f>ROUND(M50*N50*O50,2)</f>
        <v>0</v>
      </c>
      <c r="Q50" s="73">
        <f>IF(D50&lt;=3,база!$L$4,
IF(D50=4,база!$L$5,
IF(D50=5,база!$L$6)))</f>
        <v>210.57480000000001</v>
      </c>
      <c r="R50" s="269">
        <v>1</v>
      </c>
      <c r="S50" s="95">
        <f>SUMIFS(Таблица1[сумма],Таблица1[коэф],"1",Таблица1[р/р],"3/16",Таблица1[Ф. И. О.],B55)</f>
        <v>0</v>
      </c>
      <c r="T50" s="317">
        <f t="shared" si="24"/>
        <v>0</v>
      </c>
      <c r="U50" s="365">
        <f>IF(D50&lt;=3,база!$M$4,
IF(D50=4,база!$M$5,
IF(D50=5,база!$M$6)))</f>
        <v>225.09719999999999</v>
      </c>
      <c r="V50" s="269">
        <v>1</v>
      </c>
      <c r="W50" s="340">
        <f>SUMIFS(Таблица1[сумма],Таблица1[коэф],"1",Таблица1[р/р],"3/24",Таблица1[Ф. И. О.],B55)</f>
        <v>0</v>
      </c>
      <c r="X50" s="342">
        <f>ROUND(U50*V50*W50,2)</f>
        <v>0</v>
      </c>
      <c r="Y50" s="819">
        <f>SUM(G50:G60,K50:K60,O50:O60,S50:S60,W50:W60)</f>
        <v>0</v>
      </c>
      <c r="Z50" s="810">
        <f>IFERROR(SUM(H50:H60,L50:L60,T50:T60,X50:X60),"")</f>
        <v>0</v>
      </c>
      <c r="AA50" s="812"/>
    </row>
    <row r="51" spans="1:29">
      <c r="A51" s="756"/>
      <c r="B51" s="215"/>
      <c r="C51" s="825"/>
      <c r="D51" s="825"/>
      <c r="E51" s="78">
        <f>IF(D50&lt;=3,база!$I$4,
IF(D50=4,база!$I$5,
IF(D50=5,база!$I$6)))</f>
        <v>188.7912</v>
      </c>
      <c r="F51" s="271">
        <v>1</v>
      </c>
      <c r="G51" s="98">
        <f>SUMIFS(Таблица1[сумма],Таблица1[коэф],"1",Таблица1[р/р],"3/4",Таблица1[Ф. И. О.],B55)</f>
        <v>0</v>
      </c>
      <c r="H51" s="94">
        <f>ROUND(E51*F51*G51,2)</f>
        <v>0</v>
      </c>
      <c r="I51" s="82">
        <f>IF(D50&lt;=3,база!$J$4,
IF(D50=4,база!$J$5,
IF(D50=5,база!$J$6)))</f>
        <v>196.05240000000001</v>
      </c>
      <c r="J51" s="271">
        <v>1</v>
      </c>
      <c r="K51" s="216">
        <f>SUMIFS(Таблица1[сумма],Таблица1[коэф],"1",Таблица1[р/р],"3/8",Таблица1[Ф. И. О.],B55)</f>
        <v>0</v>
      </c>
      <c r="L51" s="29">
        <f>ROUND(I51*J51*K51,2)</f>
        <v>0</v>
      </c>
      <c r="M51" s="334"/>
      <c r="N51" s="216">
        <v>1</v>
      </c>
      <c r="O51" s="216">
        <f>SUMIFS(Data_Tech!$AM$3:$AM$67,Data_Tech!$E$3:$E$67,"1",Data_Tech!$G$3:$G$67,"4/12",Data_Tech!$F$3:$F$67,B55)</f>
        <v>0</v>
      </c>
      <c r="P51" s="216">
        <f>ROUND(M51*O51,2)</f>
        <v>0</v>
      </c>
      <c r="Q51" s="79">
        <f>база!$L$5</f>
        <v>231.45480000000001</v>
      </c>
      <c r="R51" s="271">
        <v>1</v>
      </c>
      <c r="S51" s="98">
        <f>SUMIFS(Таблица1[сумма],Таблица1[коэф],"1",Таблица1[р/р],"4/16",Таблица1[Ф. И. О.],B55)</f>
        <v>0</v>
      </c>
      <c r="T51" s="92">
        <f t="shared" si="24"/>
        <v>0</v>
      </c>
      <c r="U51" s="366">
        <f>база!$M$5</f>
        <v>247.41720000000001</v>
      </c>
      <c r="V51" s="271">
        <v>1</v>
      </c>
      <c r="W51" s="307">
        <f>SUMIFS(Таблица1[сумма],Таблица1[коэф],"1",Таблица1[р/р],"4/24",Таблица1[Ф. И. О.],B55)</f>
        <v>0</v>
      </c>
      <c r="X51" s="313">
        <f t="shared" ref="X51" si="25">ROUND(U51*V51*W51,2)</f>
        <v>0</v>
      </c>
      <c r="Y51" s="819"/>
      <c r="Z51" s="810"/>
      <c r="AA51" s="813"/>
    </row>
    <row r="52" spans="1:29">
      <c r="A52" s="756"/>
      <c r="B52" s="215"/>
      <c r="C52" s="825"/>
      <c r="D52" s="825"/>
      <c r="E52" s="78"/>
      <c r="F52" s="271"/>
      <c r="G52" s="98"/>
      <c r="H52" s="94"/>
      <c r="I52" s="82"/>
      <c r="J52" s="271"/>
      <c r="K52" s="216"/>
      <c r="L52" s="29"/>
      <c r="M52" s="334"/>
      <c r="N52" s="216"/>
      <c r="O52" s="216"/>
      <c r="P52" s="216"/>
      <c r="Q52" s="79">
        <f>база!$L$6</f>
        <v>261.04640000000001</v>
      </c>
      <c r="R52" s="271">
        <v>1</v>
      </c>
      <c r="S52" s="98">
        <f>SUMIFS(Таблица1[сумма],Таблица1[коэф],"1",Таблица1[р/р],"5/16",Таблица1[Ф. И. О.],B55)</f>
        <v>0</v>
      </c>
      <c r="T52" s="92">
        <f t="shared" si="24"/>
        <v>0</v>
      </c>
      <c r="U52" s="366">
        <f>база!$M$6</f>
        <v>279.0496</v>
      </c>
      <c r="V52" s="271">
        <v>1</v>
      </c>
      <c r="W52" s="307">
        <f>SUMIFS(Таблица1[сумма],Таблица1[коэф],"1",Таблица1[р/р],"5/24",Таблица1[Ф. И. О.],B55)</f>
        <v>0</v>
      </c>
      <c r="X52" s="313">
        <f>ROUND(U52*V52*W52,2)</f>
        <v>0</v>
      </c>
      <c r="Y52" s="819"/>
      <c r="Z52" s="810"/>
      <c r="AA52" s="813"/>
    </row>
    <row r="53" spans="1:29">
      <c r="A53" s="756"/>
      <c r="B53" s="215"/>
      <c r="C53" s="825"/>
      <c r="D53" s="825"/>
      <c r="E53" s="78"/>
      <c r="F53" s="271"/>
      <c r="G53" s="98"/>
      <c r="H53" s="94"/>
      <c r="I53" s="82">
        <f>база!$J$5</f>
        <v>215.4924</v>
      </c>
      <c r="J53" s="271">
        <v>1.5</v>
      </c>
      <c r="K53" s="216">
        <f>SUMIFS(Таблица1[сумма],Таблица1[коэф],"1,5",Таблица1[р/р],"4/8",Таблица1[Ф. И. О.],B55)</f>
        <v>0</v>
      </c>
      <c r="L53" s="29">
        <f>ROUND(I53*J53*K53,2)</f>
        <v>0</v>
      </c>
      <c r="M53" s="334"/>
      <c r="N53" s="216"/>
      <c r="O53" s="216"/>
      <c r="P53" s="216"/>
      <c r="Q53" s="79">
        <f>IF(D50&lt;=3,база!$L$4,
IF(D50=4,база!$L$5,
IF(D50=5,база!$L$6)))</f>
        <v>210.57480000000001</v>
      </c>
      <c r="R53" s="271">
        <v>1.2</v>
      </c>
      <c r="S53" s="98">
        <f>SUMIFS(Таблица1[сумма],Таблица1[коэф],"1,2",Таблица1[р/р],"3/16",Таблица1[Ф. И. О.],B55)</f>
        <v>0</v>
      </c>
      <c r="T53" s="92">
        <f t="shared" ref="T53:T54" si="26">ROUND(Q53*R53*S53,2)</f>
        <v>0</v>
      </c>
      <c r="U53" s="366">
        <f>IF(D50&lt;=3,база!$M$4,
IF(D50=4,база!$M$5,
IF(D50=5,база!$M$6)))</f>
        <v>225.09719999999999</v>
      </c>
      <c r="V53" s="271">
        <v>1.2</v>
      </c>
      <c r="W53" s="307">
        <f>SUMIFS(Таблица1[сумма],Таблица1[коэф],"1,2",Таблица1[р/р],"3/24",Таблица1[Ф. И. О.],B55)</f>
        <v>0</v>
      </c>
      <c r="X53" s="313">
        <f t="shared" ref="X53:X54" si="27">ROUND(U53*V53*W53,2)</f>
        <v>0</v>
      </c>
      <c r="Y53" s="819"/>
      <c r="Z53" s="810"/>
      <c r="AA53" s="813"/>
    </row>
    <row r="54" spans="1:29">
      <c r="A54" s="756"/>
      <c r="B54" s="215"/>
      <c r="C54" s="825"/>
      <c r="D54" s="825"/>
      <c r="E54" s="78"/>
      <c r="F54" s="271"/>
      <c r="G54" s="98"/>
      <c r="H54" s="94"/>
      <c r="I54" s="82">
        <f>база!$J$6</f>
        <v>243.04319999999998</v>
      </c>
      <c r="J54" s="271">
        <v>1.5</v>
      </c>
      <c r="K54" s="216">
        <f>SUMIFS(Таблица1[сумма],Таблица1[коэф],"1,5",Таблица1[р/р],"5/8",Таблица1[Ф. И. О.],B55)</f>
        <v>0</v>
      </c>
      <c r="L54" s="29">
        <f>ROUND(I54*J54*K54,2)</f>
        <v>0</v>
      </c>
      <c r="M54" s="334"/>
      <c r="N54" s="216"/>
      <c r="O54" s="216"/>
      <c r="P54" s="216"/>
      <c r="Q54" s="79">
        <f>база!$L$5</f>
        <v>231.45480000000001</v>
      </c>
      <c r="R54" s="271">
        <v>1.2</v>
      </c>
      <c r="S54" s="98">
        <f>SUMIFS(Таблица1[сумма],Таблица1[коэф],"1,2",Таблица1[р/р],"4/16",Таблица1[Ф. И. О.],B55)</f>
        <v>0</v>
      </c>
      <c r="T54" s="92">
        <f t="shared" si="26"/>
        <v>0</v>
      </c>
      <c r="U54" s="366">
        <f>база!$M$5</f>
        <v>247.41720000000001</v>
      </c>
      <c r="V54" s="271">
        <v>1.2</v>
      </c>
      <c r="W54" s="307">
        <f>SUMIFS(Таблица1[сумма],Таблица1[коэф],"1,2",Таблица1[р/р],"4/24",Таблица1[Ф. И. О.],B55)</f>
        <v>0</v>
      </c>
      <c r="X54" s="313">
        <f t="shared" si="27"/>
        <v>0</v>
      </c>
      <c r="Y54" s="819"/>
      <c r="Z54" s="810"/>
      <c r="AA54" s="813"/>
      <c r="AC54" s="707" t="str">
        <f>IF(SUMIFS(Таблица1[Столбец2],Таблица1[Ф. И. О.],B55)-Z50=0,"",SUMIFS(Таблица1[Столбец2],Таблица1[Ф. И. О.],B55)-Z50)</f>
        <v/>
      </c>
    </row>
    <row r="55" spans="1:29">
      <c r="A55" s="756"/>
      <c r="B55" s="215" t="str">
        <f>база!B6</f>
        <v>Алиева Диана Арифовна</v>
      </c>
      <c r="C55" s="825"/>
      <c r="D55" s="825"/>
      <c r="E55" s="78"/>
      <c r="F55" s="271"/>
      <c r="G55" s="98"/>
      <c r="H55" s="94"/>
      <c r="I55" s="82"/>
      <c r="J55" s="271"/>
      <c r="K55" s="216"/>
      <c r="L55" s="29"/>
      <c r="M55" s="334"/>
      <c r="N55" s="216"/>
      <c r="O55" s="216"/>
      <c r="P55" s="216"/>
      <c r="Q55" s="79">
        <f>база!$L$6</f>
        <v>261.04640000000001</v>
      </c>
      <c r="R55" s="271">
        <v>1.2</v>
      </c>
      <c r="S55" s="98">
        <f>SUMIFS(Таблица1[сумма],Таблица1[коэф],"1,2",Таблица1[р/р],"5/16",Таблица1[Ф. И. О.],B55)</f>
        <v>0</v>
      </c>
      <c r="T55" s="92">
        <f>ROUND(Q55*R55*S55,2)</f>
        <v>0</v>
      </c>
      <c r="U55" s="366">
        <f>база!$M$6</f>
        <v>279.0496</v>
      </c>
      <c r="V55" s="271">
        <v>1.2</v>
      </c>
      <c r="W55" s="307">
        <f>SUMIFS(Таблица1[сумма],Таблица1[коэф],"1,2",Таблица1[р/р],"5/24",Таблица1[Ф. И. О.],B55)</f>
        <v>0</v>
      </c>
      <c r="X55" s="313">
        <f>ROUND(U55*V55*W55,2)</f>
        <v>0</v>
      </c>
      <c r="Y55" s="819"/>
      <c r="Z55" s="810"/>
      <c r="AA55" s="813"/>
      <c r="AC55" s="707" t="str">
        <f>IF(SUMIFS(Таблица1[сумма],Таблица1[Ф. И. О.],B55)=Y50,"",B50&amp;"  часы не верны")</f>
        <v/>
      </c>
    </row>
    <row r="56" spans="1:29">
      <c r="A56" s="756"/>
      <c r="B56" s="215"/>
      <c r="C56" s="825"/>
      <c r="D56" s="825"/>
      <c r="E56" s="78"/>
      <c r="F56" s="271"/>
      <c r="G56" s="98"/>
      <c r="H56" s="94"/>
      <c r="I56" s="82"/>
      <c r="J56" s="271"/>
      <c r="K56" s="216"/>
      <c r="L56" s="29"/>
      <c r="M56" s="334"/>
      <c r="N56" s="216"/>
      <c r="O56" s="216"/>
      <c r="P56" s="216"/>
      <c r="Q56" s="79">
        <f>IF($D$6&lt;=3,база!$L$4,
IF($D$6=4,база!$L$5,
IF($D$6=5,база!$L$6)))</f>
        <v>231.45480000000001</v>
      </c>
      <c r="R56" s="271">
        <v>1.3</v>
      </c>
      <c r="S56" s="98">
        <f>SUMIFS(Таблица1[сумма],Таблица1[коэф],"1,3",Таблица1[р/р],"3/16",Таблица1[Ф. И. О.],B55)</f>
        <v>0</v>
      </c>
      <c r="T56" s="92">
        <f t="shared" ref="T56:T57" si="28">ROUND(Q56*R56*S56,2)</f>
        <v>0</v>
      </c>
      <c r="U56" s="366">
        <f>IF(D50&lt;=3,база!$M$4,
IF(D50=4,база!$M$5,
IF(D50=5,база!$M$6)))</f>
        <v>225.09719999999999</v>
      </c>
      <c r="V56" s="271">
        <v>1.3</v>
      </c>
      <c r="W56" s="307">
        <f>SUMIFS(Таблица1[сумма],Таблица1[коэф],"1,3",Таблица1[р/р],"3/24",Таблица1[Ф. И. О.],B55)</f>
        <v>0</v>
      </c>
      <c r="X56" s="313">
        <f t="shared" ref="X56:X57" si="29">ROUND(U56*V56*W56,2)</f>
        <v>0</v>
      </c>
      <c r="Y56" s="819"/>
      <c r="Z56" s="810"/>
      <c r="AA56" s="813"/>
    </row>
    <row r="57" spans="1:29">
      <c r="A57" s="756"/>
      <c r="B57" s="215"/>
      <c r="C57" s="825"/>
      <c r="D57" s="825"/>
      <c r="E57" s="78"/>
      <c r="F57" s="271"/>
      <c r="G57" s="98"/>
      <c r="H57" s="94"/>
      <c r="I57" s="82"/>
      <c r="J57" s="271"/>
      <c r="K57" s="216"/>
      <c r="L57" s="29"/>
      <c r="M57" s="334"/>
      <c r="N57" s="216"/>
      <c r="O57" s="216"/>
      <c r="P57" s="216"/>
      <c r="Q57" s="79">
        <f>база!$L$5</f>
        <v>231.45480000000001</v>
      </c>
      <c r="R57" s="271">
        <v>1.3</v>
      </c>
      <c r="S57" s="98">
        <f>SUMIFS(Таблица1[сумма],Таблица1[коэф],"1,3",Таблица1[р/р],"4/16",Таблица1[Ф. И. О.],B55)</f>
        <v>0</v>
      </c>
      <c r="T57" s="92">
        <f t="shared" si="28"/>
        <v>0</v>
      </c>
      <c r="U57" s="366">
        <f>база!$M$5</f>
        <v>247.41720000000001</v>
      </c>
      <c r="V57" s="271">
        <v>1.3</v>
      </c>
      <c r="W57" s="307">
        <f>SUMIFS(Таблица1[сумма],Таблица1[коэф],"1,3",Таблица1[р/р],"4/24",Таблица1[Ф. И. О.],B55)</f>
        <v>0</v>
      </c>
      <c r="X57" s="313">
        <f t="shared" si="29"/>
        <v>0</v>
      </c>
      <c r="Y57" s="819"/>
      <c r="Z57" s="810"/>
      <c r="AA57" s="813"/>
    </row>
    <row r="58" spans="1:29">
      <c r="A58" s="756"/>
      <c r="B58" s="215"/>
      <c r="C58" s="825"/>
      <c r="D58" s="825"/>
      <c r="E58" s="78"/>
      <c r="F58" s="271"/>
      <c r="G58" s="98"/>
      <c r="H58" s="94"/>
      <c r="I58" s="82"/>
      <c r="J58" s="271"/>
      <c r="K58" s="216"/>
      <c r="L58" s="29"/>
      <c r="M58" s="334"/>
      <c r="N58" s="216"/>
      <c r="O58" s="216"/>
      <c r="P58" s="216"/>
      <c r="Q58" s="79">
        <f>IF(D50&lt;=3,база!$L$4,
IF(D50=4,база!$L$5,
IF(D50=5,база!$L$6)))</f>
        <v>210.57480000000001</v>
      </c>
      <c r="R58" s="271">
        <v>1.4</v>
      </c>
      <c r="S58" s="98">
        <f>SUMIFS(Таблица1[сумма],Таблица1[коэф],"1,4",Таблица1[р/р],"3/16",Таблица1[Ф. И. О.],B55)</f>
        <v>0</v>
      </c>
      <c r="T58" s="92">
        <f t="shared" ref="T58:T63" si="30">ROUND(Q58*R58*S58,2)</f>
        <v>0</v>
      </c>
      <c r="U58" s="366">
        <f>IF(D50&lt;=3,база!$M$4,
IF(D50=4,база!$M$5,
IF(D50=5,база!$M$6)))</f>
        <v>225.09719999999999</v>
      </c>
      <c r="V58" s="271">
        <v>1.4</v>
      </c>
      <c r="W58" s="307">
        <f>SUMIFS(Таблица1[сумма],Таблица1[коэф],"1,4",Таблица1[р/р],"3/24",Таблица1[Ф. И. О.],B55)</f>
        <v>0</v>
      </c>
      <c r="X58" s="313">
        <f>ROUND(U58*V58*W58,2)</f>
        <v>0</v>
      </c>
      <c r="Y58" s="819"/>
      <c r="Z58" s="810"/>
      <c r="AA58" s="813"/>
    </row>
    <row r="59" spans="1:29">
      <c r="A59" s="756"/>
      <c r="B59" s="215"/>
      <c r="C59" s="825"/>
      <c r="D59" s="825"/>
      <c r="E59" s="78"/>
      <c r="F59" s="271"/>
      <c r="G59" s="98"/>
      <c r="H59" s="94"/>
      <c r="I59" s="82"/>
      <c r="J59" s="271"/>
      <c r="K59" s="216"/>
      <c r="L59" s="29"/>
      <c r="M59" s="334"/>
      <c r="N59" s="216"/>
      <c r="O59" s="216"/>
      <c r="P59" s="216"/>
      <c r="Q59" s="79">
        <f>база!$L$5</f>
        <v>231.45480000000001</v>
      </c>
      <c r="R59" s="271">
        <v>1.4</v>
      </c>
      <c r="S59" s="98">
        <f>SUMIFS(Таблица1[сумма],Таблица1[коэф],"1,4",Таблица1[р/р],"4/16",Таблица1[Ф. И. О.],B55)</f>
        <v>0</v>
      </c>
      <c r="T59" s="92">
        <f t="shared" si="30"/>
        <v>0</v>
      </c>
      <c r="U59" s="366">
        <f>база!$M$5</f>
        <v>247.41720000000001</v>
      </c>
      <c r="V59" s="271">
        <v>1.4</v>
      </c>
      <c r="W59" s="307">
        <f>SUMIFS(Таблица1[сумма],Таблица1[коэф],"1,4",Таблица1[р/р],"4/24",Таблица1[Ф. И. О.],B55)</f>
        <v>0</v>
      </c>
      <c r="X59" s="313">
        <f>ROUND(U59*V59*W59,2)</f>
        <v>0</v>
      </c>
      <c r="Y59" s="819"/>
      <c r="Z59" s="810"/>
      <c r="AA59" s="813"/>
    </row>
    <row r="60" spans="1:29" ht="24" thickBot="1">
      <c r="A60" s="757"/>
      <c r="B60" s="202"/>
      <c r="C60" s="826"/>
      <c r="D60" s="826"/>
      <c r="E60" s="101"/>
      <c r="F60" s="273"/>
      <c r="G60" s="97"/>
      <c r="H60" s="90"/>
      <c r="I60" s="220"/>
      <c r="J60" s="273"/>
      <c r="K60" s="288"/>
      <c r="L60" s="26"/>
      <c r="M60" s="334"/>
      <c r="N60" s="216"/>
      <c r="O60" s="216"/>
      <c r="P60" s="216"/>
      <c r="Q60" s="77">
        <f>база!$L$6</f>
        <v>261.04640000000001</v>
      </c>
      <c r="R60" s="273">
        <v>1.4</v>
      </c>
      <c r="S60" s="97">
        <f>SUMIFS(Таблица1[сумма],Таблица1[коэф],"1,4",Таблица1[р/р],"5/16",Таблица1[Ф. И. О.],B55)</f>
        <v>0</v>
      </c>
      <c r="T60" s="238">
        <f t="shared" si="30"/>
        <v>0</v>
      </c>
      <c r="U60" s="367">
        <f>база!$M$6</f>
        <v>279.0496</v>
      </c>
      <c r="V60" s="273">
        <v>1.4</v>
      </c>
      <c r="W60" s="312">
        <f>SUMIFS(Таблица1[сумма],Таблица1[коэф],"1,4",Таблица1[р/р],"5/24",Таблица1[Ф. И. О.],B55)</f>
        <v>0</v>
      </c>
      <c r="X60" s="343">
        <f>ROUND(U60*V60*W60,2)</f>
        <v>0</v>
      </c>
      <c r="Y60" s="820"/>
      <c r="Z60" s="811"/>
      <c r="AA60" s="814"/>
    </row>
    <row r="61" spans="1:29">
      <c r="A61" s="755">
        <v>6</v>
      </c>
      <c r="B61" s="215"/>
      <c r="C61" s="824">
        <f>INDEX(база!$E$2:$E$181, MATCH(B66,база!$B$2:$B$150,0))</f>
        <v>17290</v>
      </c>
      <c r="D61" s="824">
        <f>INDEX(база!$D$2:$D$89, MATCH(B66,база!$B$2:$B$50,0))</f>
        <v>3</v>
      </c>
      <c r="E61" s="72">
        <f>IF(D61&lt;=3,база!$I$4,
IF(D61=4,база!$I$5,
IF(D61=5,база!$I$6)))</f>
        <v>188.7912</v>
      </c>
      <c r="F61" s="269">
        <v>1</v>
      </c>
      <c r="G61" s="98">
        <f>SUMIFS(Таблица1[сумма],Таблица1[коэф],"1",Таблица1[р/р],"2/4",Таблица1[Ф. И. О.],B66)</f>
        <v>0</v>
      </c>
      <c r="H61" s="87">
        <f>ROUND(E61*F61*G61,2)</f>
        <v>0</v>
      </c>
      <c r="I61" s="81">
        <f>IF(D61&lt;=3,база!$J$4,
IF(D61=4,база!$J$5,
IF(D61=5,база!$J$6)))</f>
        <v>196.05240000000001</v>
      </c>
      <c r="J61" s="270">
        <v>1</v>
      </c>
      <c r="K61" s="309">
        <f>SUMIFS(Таблица1[сумма],Таблица1[коэф],"1",Таблица1[р/р],"2/8",Таблица1[Ф. И. О.],B66)</f>
        <v>0</v>
      </c>
      <c r="L61" s="309">
        <f>ROUND(I61*J61*K61,2)</f>
        <v>0</v>
      </c>
      <c r="M61" s="216"/>
      <c r="N61" s="216">
        <v>1</v>
      </c>
      <c r="O61" s="216">
        <f>SUMIFS(Data_Tech!$AM$3:$AM$67,Data_Tech!$E$3:$E$67,"1",Data_Tech!$G$3:$G$67,"3/12",Data_Tech!$F$3:$F$67,B66)</f>
        <v>0</v>
      </c>
      <c r="P61" s="30">
        <f>ROUND(M61*N61*O61,2)</f>
        <v>0</v>
      </c>
      <c r="Q61" s="72">
        <f>IF(D61&lt;=3,база!$L$4,
IF(D61=4,база!$L$5,
IF(D61=5,база!$L$6)))</f>
        <v>210.57480000000001</v>
      </c>
      <c r="R61" s="269">
        <v>1</v>
      </c>
      <c r="S61" s="95">
        <f>SUMIFS(Таблица1[сумма],Таблица1[коэф],"1",Таблица1[р/р],"3/16",Таблица1[Ф. И. О.],B66)</f>
        <v>0</v>
      </c>
      <c r="T61" s="87">
        <f t="shared" si="30"/>
        <v>0</v>
      </c>
      <c r="U61" s="368">
        <f>IF(D61&lt;=3,база!$M$4,
IF(D61=4,база!$M$5,
IF(D61=5,база!$M$6)))</f>
        <v>225.09719999999999</v>
      </c>
      <c r="V61" s="270">
        <v>1</v>
      </c>
      <c r="W61" s="337">
        <f>SUMIFS(Таблица1[сумма],Таблица1[коэф],"1",Таблица1[р/р],"3/24",Таблица1[Ф. И. О.],B66)</f>
        <v>0</v>
      </c>
      <c r="X61" s="342">
        <f>ROUND(U61*V61*W61,2)</f>
        <v>0</v>
      </c>
      <c r="Y61" s="819">
        <f>SUM(G61:G71,K61:K71,O61:O71,S61:S71,W61:W71)</f>
        <v>0</v>
      </c>
      <c r="Z61" s="810">
        <f>IFERROR(SUM(H61:H71,L61:L71,T61:T71,X61:X71),"")</f>
        <v>0</v>
      </c>
      <c r="AA61" s="813"/>
    </row>
    <row r="62" spans="1:29">
      <c r="A62" s="756"/>
      <c r="B62" s="215"/>
      <c r="C62" s="825"/>
      <c r="D62" s="825"/>
      <c r="E62" s="78">
        <f>IF(D61&lt;=3,база!$I$4,
IF(D61=4,база!$I$5,
IF(D61=5,база!$I$6)))</f>
        <v>188.7912</v>
      </c>
      <c r="F62" s="271">
        <v>1</v>
      </c>
      <c r="G62" s="98">
        <f>SUMIFS(Таблица1[сумма],Таблица1[коэф],"1",Таблица1[р/р],"3/4",Таблица1[Ф. И. О.],B66)</f>
        <v>0</v>
      </c>
      <c r="H62" s="94">
        <f>ROUND(E62*F62*G62,2)</f>
        <v>0</v>
      </c>
      <c r="I62" s="82">
        <f>IF(D61&lt;=3,база!$J$4,
IF(D61=4,база!$J$5,
IF(D61=5,база!$J$6)))</f>
        <v>196.05240000000001</v>
      </c>
      <c r="J62" s="271">
        <v>1</v>
      </c>
      <c r="K62" s="216">
        <f>SUMIFS(Таблица1[сумма],Таблица1[коэф],"1",Таблица1[р/р],"3/8",Таблица1[Ф. И. О.],B66)</f>
        <v>0</v>
      </c>
      <c r="L62" s="216">
        <f>ROUND(I62*J62*K62,2)</f>
        <v>0</v>
      </c>
      <c r="M62" s="216"/>
      <c r="N62" s="216">
        <v>1</v>
      </c>
      <c r="O62" s="216">
        <f>SUMIFS(Data_Tech!$AM$3:$AM$67,Data_Tech!$E$3:$E$67,"1",Data_Tech!$G$3:$G$67,"4/12",Data_Tech!$F$3:$F$67,B66)</f>
        <v>0</v>
      </c>
      <c r="P62" s="30">
        <f>ROUND(M62*O62,2)</f>
        <v>0</v>
      </c>
      <c r="Q62" s="78">
        <f>база!$L$5</f>
        <v>231.45480000000001</v>
      </c>
      <c r="R62" s="271">
        <v>1</v>
      </c>
      <c r="S62" s="98">
        <f>SUMIFS(Таблица1[сумма],Таблица1[коэф],"1",Таблица1[р/р],"4/16",Таблица1[Ф. И. О.],B66)</f>
        <v>0</v>
      </c>
      <c r="T62" s="94">
        <f t="shared" si="30"/>
        <v>0</v>
      </c>
      <c r="U62" s="361">
        <f>база!$M$5</f>
        <v>247.41720000000001</v>
      </c>
      <c r="V62" s="271">
        <v>1</v>
      </c>
      <c r="W62" s="307">
        <f>SUMIFS(Таблица1[сумма],Таблица1[коэф],"1",Таблица1[р/р],"4/24",Таблица1[Ф. И. О.],B66)</f>
        <v>0</v>
      </c>
      <c r="X62" s="313">
        <f t="shared" ref="X62" si="31">ROUND(U62*V62*W62,2)</f>
        <v>0</v>
      </c>
      <c r="Y62" s="819"/>
      <c r="Z62" s="810"/>
      <c r="AA62" s="813"/>
    </row>
    <row r="63" spans="1:29">
      <c r="A63" s="756"/>
      <c r="B63" s="215"/>
      <c r="C63" s="825"/>
      <c r="D63" s="825"/>
      <c r="E63" s="78"/>
      <c r="F63" s="271"/>
      <c r="G63" s="98"/>
      <c r="H63" s="94"/>
      <c r="I63" s="82"/>
      <c r="J63" s="271"/>
      <c r="K63" s="216"/>
      <c r="L63" s="216"/>
      <c r="M63" s="216"/>
      <c r="N63" s="216"/>
      <c r="O63" s="216"/>
      <c r="P63" s="30"/>
      <c r="Q63" s="78">
        <f>база!$L$6</f>
        <v>261.04640000000001</v>
      </c>
      <c r="R63" s="271">
        <v>1</v>
      </c>
      <c r="S63" s="98">
        <f>SUMIFS(Таблица1[сумма],Таблица1[коэф],"1",Таблица1[р/р],"5/16",Таблица1[Ф. И. О.],B66)</f>
        <v>0</v>
      </c>
      <c r="T63" s="94">
        <f t="shared" si="30"/>
        <v>0</v>
      </c>
      <c r="U63" s="361">
        <f>база!$M$6</f>
        <v>279.0496</v>
      </c>
      <c r="V63" s="271">
        <v>1</v>
      </c>
      <c r="W63" s="307">
        <f>SUMIFS(Таблица1[сумма],Таблица1[коэф],"1",Таблица1[р/р],"5/24",Таблица1[Ф. И. О.],B66)</f>
        <v>0</v>
      </c>
      <c r="X63" s="313">
        <f>ROUND(U63*V63*W63,2)</f>
        <v>0</v>
      </c>
      <c r="Y63" s="819"/>
      <c r="Z63" s="810"/>
      <c r="AA63" s="813"/>
    </row>
    <row r="64" spans="1:29">
      <c r="A64" s="756"/>
      <c r="B64" s="215"/>
      <c r="C64" s="825"/>
      <c r="D64" s="825"/>
      <c r="E64" s="78"/>
      <c r="F64" s="271"/>
      <c r="G64" s="98"/>
      <c r="H64" s="94"/>
      <c r="I64" s="82">
        <f>база!$J$5</f>
        <v>215.4924</v>
      </c>
      <c r="J64" s="271">
        <v>1.5</v>
      </c>
      <c r="K64" s="216">
        <f>SUMIFS(Таблица1[сумма],Таблица1[коэф],"1,5",Таблица1[р/р],"4/8",Таблица1[Ф. И. О.],B66)</f>
        <v>0</v>
      </c>
      <c r="L64" s="216">
        <f>ROUND(I64*J64*K64,2)</f>
        <v>0</v>
      </c>
      <c r="M64" s="216"/>
      <c r="N64" s="216"/>
      <c r="O64" s="216"/>
      <c r="P64" s="30"/>
      <c r="Q64" s="78">
        <f>IF(D61&lt;=3,база!$L$4,
IF(D61=4,база!$L$5,
IF(D61=5,база!$L$6)))</f>
        <v>210.57480000000001</v>
      </c>
      <c r="R64" s="271">
        <v>1.2</v>
      </c>
      <c r="S64" s="98">
        <f>SUMIFS(Таблица1[сумма],Таблица1[коэф],"1,2",Таблица1[р/р],"3/16",Таблица1[Ф. И. О.],B66)</f>
        <v>0</v>
      </c>
      <c r="T64" s="94">
        <f t="shared" ref="T64:T65" si="32">ROUND(Q64*R64*S64,2)</f>
        <v>0</v>
      </c>
      <c r="U64" s="361">
        <f>IF(D61&lt;=3,база!$M$4,
IF(D61=4,база!$M$5,
IF(D61=5,база!$M$6)))</f>
        <v>225.09719999999999</v>
      </c>
      <c r="V64" s="271">
        <v>1.2</v>
      </c>
      <c r="W64" s="307">
        <f>SUMIFS(Таблица1[сумма],Таблица1[коэф],"1,2",Таблица1[р/р],"3/24",Таблица1[Ф. И. О.],B66)</f>
        <v>0</v>
      </c>
      <c r="X64" s="313">
        <f t="shared" ref="X64:X65" si="33">ROUND(U64*V64*W64,2)</f>
        <v>0</v>
      </c>
      <c r="Y64" s="819"/>
      <c r="Z64" s="810"/>
      <c r="AA64" s="813"/>
    </row>
    <row r="65" spans="1:29">
      <c r="A65" s="756"/>
      <c r="B65" s="215"/>
      <c r="C65" s="825"/>
      <c r="D65" s="825"/>
      <c r="E65" s="78"/>
      <c r="F65" s="271"/>
      <c r="G65" s="98"/>
      <c r="H65" s="94"/>
      <c r="I65" s="82">
        <f>база!$J$6</f>
        <v>243.04319999999998</v>
      </c>
      <c r="J65" s="271">
        <v>1.5</v>
      </c>
      <c r="K65" s="216">
        <f>SUMIFS(Таблица1[сумма],Таблица1[коэф],"1,5",Таблица1[р/р],"5/8",Таблица1[Ф. И. О.],B66)</f>
        <v>0</v>
      </c>
      <c r="L65" s="216">
        <f>ROUND(I65*J65*K65,2)</f>
        <v>0</v>
      </c>
      <c r="M65" s="216"/>
      <c r="N65" s="216"/>
      <c r="O65" s="216"/>
      <c r="P65" s="30"/>
      <c r="Q65" s="78">
        <f>база!$L$5</f>
        <v>231.45480000000001</v>
      </c>
      <c r="R65" s="271">
        <v>1.2</v>
      </c>
      <c r="S65" s="98">
        <f>SUMIFS(Таблица1[сумма],Таблица1[коэф],"1,2",Таблица1[р/р],"4/16",Таблица1[Ф. И. О.],B66)</f>
        <v>0</v>
      </c>
      <c r="T65" s="94">
        <f t="shared" si="32"/>
        <v>0</v>
      </c>
      <c r="U65" s="361">
        <f>база!$M$5</f>
        <v>247.41720000000001</v>
      </c>
      <c r="V65" s="271">
        <v>1.2</v>
      </c>
      <c r="W65" s="307">
        <f>SUMIFS(Таблица1[сумма],Таблица1[коэф],"1,2",Таблица1[р/р],"4/24",Таблица1[Ф. И. О.],B66)</f>
        <v>0</v>
      </c>
      <c r="X65" s="313">
        <f t="shared" si="33"/>
        <v>0</v>
      </c>
      <c r="Y65" s="819"/>
      <c r="Z65" s="810"/>
      <c r="AA65" s="813"/>
      <c r="AC65" s="707" t="str">
        <f>IF(SUMIFS(Таблица1[Столбец2],Таблица1[Ф. И. О.],B66)-Z61=0,"",SUMIFS(Таблица1[Столбец2],Таблица1[Ф. И. О.],B66)-Z61)</f>
        <v/>
      </c>
    </row>
    <row r="66" spans="1:29">
      <c r="A66" s="756"/>
      <c r="B66" s="215" t="str">
        <f>база!B7</f>
        <v>Аполосова Ольга Николаевна</v>
      </c>
      <c r="C66" s="825"/>
      <c r="D66" s="825"/>
      <c r="E66" s="78"/>
      <c r="F66" s="271"/>
      <c r="G66" s="98"/>
      <c r="H66" s="94"/>
      <c r="I66" s="82"/>
      <c r="J66" s="271"/>
      <c r="K66" s="216"/>
      <c r="L66" s="216"/>
      <c r="M66" s="216"/>
      <c r="N66" s="216"/>
      <c r="O66" s="216"/>
      <c r="P66" s="30"/>
      <c r="Q66" s="78">
        <f>база!$L$6</f>
        <v>261.04640000000001</v>
      </c>
      <c r="R66" s="271">
        <v>1.2</v>
      </c>
      <c r="S66" s="98">
        <f>SUMIFS(Таблица1[сумма],Таблица1[коэф],"1,2",Таблица1[р/р],"5/16",Таблица1[Ф. И. О.],B66)</f>
        <v>0</v>
      </c>
      <c r="T66" s="94">
        <f>ROUND(Q66*R66*S66,2)</f>
        <v>0</v>
      </c>
      <c r="U66" s="361">
        <f>база!$M$6</f>
        <v>279.0496</v>
      </c>
      <c r="V66" s="271">
        <v>1.2</v>
      </c>
      <c r="W66" s="307">
        <f>SUMIFS(Таблица1[сумма],Таблица1[коэф],"1,2",Таблица1[р/р],"5/24",Таблица1[Ф. И. О.],B66)</f>
        <v>0</v>
      </c>
      <c r="X66" s="313">
        <f>ROUND(U66*V66*W66,2)</f>
        <v>0</v>
      </c>
      <c r="Y66" s="819"/>
      <c r="Z66" s="810"/>
      <c r="AA66" s="813"/>
      <c r="AC66" s="707" t="str">
        <f>IF(SUMIFS(Таблица1[сумма],Таблица1[Ф. И. О.],B66)=Y61,"",B61&amp;"  часы не верны")</f>
        <v/>
      </c>
    </row>
    <row r="67" spans="1:29">
      <c r="A67" s="756"/>
      <c r="B67" s="215"/>
      <c r="C67" s="825"/>
      <c r="D67" s="825"/>
      <c r="E67" s="78"/>
      <c r="F67" s="271"/>
      <c r="G67" s="98"/>
      <c r="H67" s="94"/>
      <c r="I67" s="82"/>
      <c r="J67" s="271"/>
      <c r="K67" s="216"/>
      <c r="L67" s="216"/>
      <c r="M67" s="216"/>
      <c r="N67" s="216"/>
      <c r="O67" s="216"/>
      <c r="P67" s="30"/>
      <c r="Q67" s="78">
        <f>IF($D$6&lt;=3,база!$L$4,
IF($D$6=4,база!$L$5,
IF($D$6=5,база!$L$6)))</f>
        <v>231.45480000000001</v>
      </c>
      <c r="R67" s="271">
        <v>1.3</v>
      </c>
      <c r="S67" s="98">
        <f>SUMIFS(Таблица1[сумма],Таблица1[коэф],"1,3",Таблица1[р/р],"3/16",Таблица1[Ф. И. О.],B66)</f>
        <v>0</v>
      </c>
      <c r="T67" s="94">
        <f t="shared" ref="T67:T68" si="34">ROUND(Q67*R67*S67,2)</f>
        <v>0</v>
      </c>
      <c r="U67" s="361">
        <f>IF(D61&lt;=3,база!$M$4,
IF(D61=4,база!$M$5,
IF(D61=5,база!$M$6)))</f>
        <v>225.09719999999999</v>
      </c>
      <c r="V67" s="271">
        <v>1.3</v>
      </c>
      <c r="W67" s="307">
        <f>SUMIFS(Таблица1[сумма],Таблица1[коэф],"1,3",Таблица1[р/р],"3/24",Таблица1[Ф. И. О.],B66)</f>
        <v>0</v>
      </c>
      <c r="X67" s="313">
        <f t="shared" ref="X67:X68" si="35">ROUND(U67*V67*W67,2)</f>
        <v>0</v>
      </c>
      <c r="Y67" s="819"/>
      <c r="Z67" s="810"/>
      <c r="AA67" s="813"/>
    </row>
    <row r="68" spans="1:29">
      <c r="A68" s="756"/>
      <c r="B68" s="215"/>
      <c r="C68" s="825"/>
      <c r="D68" s="825"/>
      <c r="E68" s="78"/>
      <c r="F68" s="271"/>
      <c r="G68" s="98"/>
      <c r="H68" s="94"/>
      <c r="I68" s="82"/>
      <c r="J68" s="271"/>
      <c r="K68" s="216"/>
      <c r="L68" s="216"/>
      <c r="M68" s="216"/>
      <c r="N68" s="216"/>
      <c r="O68" s="216"/>
      <c r="P68" s="30"/>
      <c r="Q68" s="78">
        <f>база!$L$5</f>
        <v>231.45480000000001</v>
      </c>
      <c r="R68" s="271">
        <v>1.3</v>
      </c>
      <c r="S68" s="98">
        <f>SUMIFS(Таблица1[сумма],Таблица1[коэф],"1,3",Таблица1[р/р],"4/16",Таблица1[Ф. И. О.],B66)</f>
        <v>0</v>
      </c>
      <c r="T68" s="94">
        <f t="shared" si="34"/>
        <v>0</v>
      </c>
      <c r="U68" s="361">
        <f>база!$M$5</f>
        <v>247.41720000000001</v>
      </c>
      <c r="V68" s="271">
        <v>1.3</v>
      </c>
      <c r="W68" s="307">
        <f>SUMIFS(Таблица1[сумма],Таблица1[коэф],"1,3",Таблица1[р/р],"4/24",Таблица1[Ф. И. О.],B66)</f>
        <v>0</v>
      </c>
      <c r="X68" s="313">
        <f t="shared" si="35"/>
        <v>0</v>
      </c>
      <c r="Y68" s="819"/>
      <c r="Z68" s="810"/>
      <c r="AA68" s="813"/>
    </row>
    <row r="69" spans="1:29">
      <c r="A69" s="756"/>
      <c r="B69" s="215"/>
      <c r="C69" s="825"/>
      <c r="D69" s="825"/>
      <c r="E69" s="78"/>
      <c r="F69" s="271"/>
      <c r="G69" s="98"/>
      <c r="H69" s="94"/>
      <c r="I69" s="82"/>
      <c r="J69" s="271"/>
      <c r="K69" s="216"/>
      <c r="L69" s="216"/>
      <c r="M69" s="216"/>
      <c r="N69" s="216"/>
      <c r="O69" s="216"/>
      <c r="P69" s="30"/>
      <c r="Q69" s="78">
        <f>IF(D61&lt;=3,база!$L$4,
IF(D61=4,база!$L$5,
IF(D61=5,база!$L$6)))</f>
        <v>210.57480000000001</v>
      </c>
      <c r="R69" s="271">
        <v>1.4</v>
      </c>
      <c r="S69" s="98">
        <f>SUMIFS(Таблица1[сумма],Таблица1[коэф],"1,4",Таблица1[р/р],"3/16",Таблица1[Ф. И. О.],B66)</f>
        <v>0</v>
      </c>
      <c r="T69" s="94">
        <f t="shared" ref="T69:T74" si="36">ROUND(Q69*R69*S69,2)</f>
        <v>0</v>
      </c>
      <c r="U69" s="361">
        <f>IF(D61&lt;=3,база!$M$4,
IF(D61=4,база!$M$5,
IF(D61=5,база!$M$6)))</f>
        <v>225.09719999999999</v>
      </c>
      <c r="V69" s="271">
        <v>1.4</v>
      </c>
      <c r="W69" s="307">
        <f>SUMIFS(Таблица1[сумма],Таблица1[коэф],"1,4",Таблица1[р/р],"3/24",Таблица1[Ф. И. О.],B66)</f>
        <v>0</v>
      </c>
      <c r="X69" s="313">
        <f>ROUND(U69*V69*W69,2)</f>
        <v>0</v>
      </c>
      <c r="Y69" s="819"/>
      <c r="Z69" s="810"/>
      <c r="AA69" s="813"/>
    </row>
    <row r="70" spans="1:29">
      <c r="A70" s="756"/>
      <c r="B70" s="215"/>
      <c r="C70" s="825"/>
      <c r="D70" s="825"/>
      <c r="E70" s="78"/>
      <c r="F70" s="271"/>
      <c r="G70" s="98"/>
      <c r="H70" s="94"/>
      <c r="I70" s="82"/>
      <c r="J70" s="271"/>
      <c r="K70" s="216"/>
      <c r="L70" s="216"/>
      <c r="M70" s="216"/>
      <c r="N70" s="216"/>
      <c r="O70" s="216"/>
      <c r="P70" s="30"/>
      <c r="Q70" s="78">
        <f>база!$L$5</f>
        <v>231.45480000000001</v>
      </c>
      <c r="R70" s="271">
        <v>1.4</v>
      </c>
      <c r="S70" s="98">
        <f>SUMIFS(Таблица1[сумма],Таблица1[коэф],"1,4",Таблица1[р/р],"4/16",Таблица1[Ф. И. О.],B66)</f>
        <v>0</v>
      </c>
      <c r="T70" s="94">
        <f t="shared" si="36"/>
        <v>0</v>
      </c>
      <c r="U70" s="361">
        <f>база!$M$5</f>
        <v>247.41720000000001</v>
      </c>
      <c r="V70" s="271">
        <v>1.4</v>
      </c>
      <c r="W70" s="307">
        <f>SUMIFS(Таблица1[сумма],Таблица1[коэф],"1,4",Таблица1[р/р],"4/24",Таблица1[Ф. И. О.],B66)</f>
        <v>0</v>
      </c>
      <c r="X70" s="313">
        <f>ROUND(U70*V70*W70,2)</f>
        <v>0</v>
      </c>
      <c r="Y70" s="819"/>
      <c r="Z70" s="810"/>
      <c r="AA70" s="813"/>
    </row>
    <row r="71" spans="1:29" ht="24" thickBot="1">
      <c r="A71" s="757"/>
      <c r="B71" s="202"/>
      <c r="C71" s="826"/>
      <c r="D71" s="826"/>
      <c r="E71" s="101"/>
      <c r="F71" s="273"/>
      <c r="G71" s="97"/>
      <c r="H71" s="90"/>
      <c r="I71" s="220"/>
      <c r="J71" s="273"/>
      <c r="K71" s="288"/>
      <c r="L71" s="288"/>
      <c r="M71" s="288"/>
      <c r="N71" s="288"/>
      <c r="O71" s="288"/>
      <c r="P71" s="315"/>
      <c r="Q71" s="101">
        <f>база!$L$6</f>
        <v>261.04640000000001</v>
      </c>
      <c r="R71" s="273">
        <v>1.4</v>
      </c>
      <c r="S71" s="97">
        <f>SUMIFS(Таблица1[сумма],Таблица1[коэф],"1,4",Таблица1[р/р],"5/16",Таблица1[Ф. И. О.],B66)</f>
        <v>0</v>
      </c>
      <c r="T71" s="90">
        <f t="shared" si="36"/>
        <v>0</v>
      </c>
      <c r="U71" s="364">
        <f>база!$M$6</f>
        <v>279.0496</v>
      </c>
      <c r="V71" s="273">
        <v>1.4</v>
      </c>
      <c r="W71" s="312">
        <f>SUMIFS(Таблица1[сумма],Таблица1[коэф],"1,4",Таблица1[р/р],"5/24",Таблица1[Ф. И. О.],B66)</f>
        <v>0</v>
      </c>
      <c r="X71" s="343">
        <f>ROUND(U71*V71*W71,2)</f>
        <v>0</v>
      </c>
      <c r="Y71" s="820"/>
      <c r="Z71" s="811"/>
      <c r="AA71" s="814"/>
    </row>
    <row r="72" spans="1:29">
      <c r="A72" s="755">
        <v>7</v>
      </c>
      <c r="B72" s="215"/>
      <c r="C72" s="824">
        <f>INDEX(база!$E$2:$E$181, MATCH(B77,база!$B$2:$B$150,0))</f>
        <v>17296</v>
      </c>
      <c r="D72" s="824">
        <f>INDEX(база!$D$2:$D$150, MATCH(B77,база!$B$2:$B$150,0))</f>
        <v>3</v>
      </c>
      <c r="E72" s="72">
        <f>IF(D72&lt;=3,база!$I$4,
IF(D72=4,база!$I$5,
IF(D72=5,база!$I$6)))</f>
        <v>188.7912</v>
      </c>
      <c r="F72" s="269">
        <v>1</v>
      </c>
      <c r="G72" s="95">
        <f>SUMIFS(Таблица1[сумма],Таблица1[коэф],"1",Таблица1[р/р],"2/4",Таблица1[Ф. И. О.],B77)</f>
        <v>0</v>
      </c>
      <c r="H72" s="317">
        <f>ROUND(E72*F72*G72,2)</f>
        <v>0</v>
      </c>
      <c r="I72" s="72">
        <f>IF(D72&lt;=3,база!$J$4,
IF(D72=4,база!$J$5,
IF(D72=5,база!$J$6)))</f>
        <v>196.05240000000001</v>
      </c>
      <c r="J72" s="269">
        <v>1</v>
      </c>
      <c r="K72" s="287">
        <f>SUMIFS(Таблица1[сумма],Таблица1[коэф],"1",Таблица1[р/р],"2/8",Таблица1[Ф. И. О.],B77)</f>
        <v>0</v>
      </c>
      <c r="L72" s="28">
        <f>ROUND(I72*J72*K72,2)</f>
        <v>0</v>
      </c>
      <c r="M72" s="338"/>
      <c r="N72" s="287">
        <v>1</v>
      </c>
      <c r="O72" s="287">
        <f>SUMIFS(Data_Tech!$AM$3:$AM$67,Data_Tech!$E$3:$E$67,"1",Data_Tech!$G$3:$G$67,"3/12",Data_Tech!$F$3:$F$67,B77)</f>
        <v>0</v>
      </c>
      <c r="P72" s="28">
        <f>ROUND(M72*N72*O72,2)</f>
        <v>0</v>
      </c>
      <c r="Q72" s="310">
        <f>IF(D72&lt;=3,база!$L$4,
IF(D72=4,база!$L$5,
IF(D72=5,база!$L$6)))</f>
        <v>210.57480000000001</v>
      </c>
      <c r="R72" s="269">
        <v>1</v>
      </c>
      <c r="S72" s="95">
        <f>SUMIFS(Таблица1[сумма],Таблица1[коэф],"1",Таблица1[р/р],"3/16",Таблица1[Ф. И. О.],B77)</f>
        <v>0</v>
      </c>
      <c r="T72" s="87">
        <f t="shared" si="36"/>
        <v>0</v>
      </c>
      <c r="U72" s="363">
        <f>IF(D72&lt;=3,база!$M$4,
IF(D72=4,база!$M$5,
IF(D72=5,база!$M$6)))</f>
        <v>225.09719999999999</v>
      </c>
      <c r="V72" s="269">
        <v>1</v>
      </c>
      <c r="W72" s="340">
        <f>SUMIFS(Таблица1[сумма],Таблица1[коэф],"1",Таблица1[р/р],"3/24",Таблица1[Ф. И. О.],B77)</f>
        <v>0</v>
      </c>
      <c r="X72" s="342">
        <f>ROUND(U72*V72*W72,2)</f>
        <v>0</v>
      </c>
      <c r="Y72" s="819">
        <f>SUM(G72:G82,K72:K82,O72:O82,S72:S82,W72:W82)</f>
        <v>0</v>
      </c>
      <c r="Z72" s="810">
        <f>IFERROR(SUM(H72:H82,L72:L82,T72:T82,X72:X82),"")</f>
        <v>0</v>
      </c>
      <c r="AA72" s="813"/>
    </row>
    <row r="73" spans="1:29">
      <c r="A73" s="756"/>
      <c r="B73" s="215"/>
      <c r="C73" s="825"/>
      <c r="D73" s="825"/>
      <c r="E73" s="78">
        <f>IF(D72&lt;=3,база!$I$4,
IF(D72=4,база!$I$5,
IF(D72=5,база!$I$6)))</f>
        <v>188.7912</v>
      </c>
      <c r="F73" s="271">
        <v>1</v>
      </c>
      <c r="G73" s="98">
        <f>SUMIFS(Таблица1[сумма],Таблица1[коэф],"1",Таблица1[р/р],"3/4",Таблица1[Ф. И. О.],B77)</f>
        <v>0</v>
      </c>
      <c r="H73" s="92">
        <f>ROUND(E73*F73*G73,2)</f>
        <v>0</v>
      </c>
      <c r="I73" s="78">
        <f>IF(D72&lt;=3,база!$J$4,
IF(D72=4,база!$J$5,
IF(D72=5,база!$J$6)))</f>
        <v>196.05240000000001</v>
      </c>
      <c r="J73" s="271">
        <v>1</v>
      </c>
      <c r="K73" s="216">
        <f>SUMIFS(Таблица1[сумма],Таблица1[коэф],"1",Таблица1[р/р],"3/8",Таблица1[Ф. И. О.],B77)</f>
        <v>0</v>
      </c>
      <c r="L73" s="29">
        <f>ROUND(I73*J73*K73,2)</f>
        <v>0</v>
      </c>
      <c r="M73" s="334"/>
      <c r="N73" s="216">
        <v>1</v>
      </c>
      <c r="O73" s="216">
        <f>SUMIFS(Data_Tech!$AM$3:$AM$67,Data_Tech!$E$3:$E$67,"1",Data_Tech!$G$3:$G$67,"4/12",Data_Tech!$F$3:$F$67,B77)</f>
        <v>0</v>
      </c>
      <c r="P73" s="29">
        <f>ROUND(M73*O73,2)</f>
        <v>0</v>
      </c>
      <c r="Q73" s="82">
        <f>база!$L$5</f>
        <v>231.45480000000001</v>
      </c>
      <c r="R73" s="271">
        <v>1</v>
      </c>
      <c r="S73" s="98">
        <f>SUMIFS(Таблица1[сумма],Таблица1[коэф],"1",Таблица1[р/р],"4/16",Таблица1[Ф. И. О.],B77)</f>
        <v>0</v>
      </c>
      <c r="T73" s="94">
        <f t="shared" si="36"/>
        <v>0</v>
      </c>
      <c r="U73" s="361">
        <f>база!$M$5</f>
        <v>247.41720000000001</v>
      </c>
      <c r="V73" s="271">
        <v>1</v>
      </c>
      <c r="W73" s="307">
        <f>SUMIFS(Таблица1[сумма],Таблица1[коэф],"1",Таблица1[р/р],"4/24",Таблица1[Ф. И. О.],B77)</f>
        <v>0</v>
      </c>
      <c r="X73" s="313">
        <f t="shared" ref="X73" si="37">ROUND(U73*V73*W73,2)</f>
        <v>0</v>
      </c>
      <c r="Y73" s="819"/>
      <c r="Z73" s="810"/>
      <c r="AA73" s="813"/>
    </row>
    <row r="74" spans="1:29">
      <c r="A74" s="756"/>
      <c r="B74" s="215"/>
      <c r="C74" s="825"/>
      <c r="D74" s="825"/>
      <c r="E74" s="78"/>
      <c r="F74" s="271"/>
      <c r="G74" s="98"/>
      <c r="H74" s="92"/>
      <c r="I74" s="78"/>
      <c r="J74" s="271"/>
      <c r="K74" s="216"/>
      <c r="L74" s="29"/>
      <c r="M74" s="334"/>
      <c r="N74" s="216"/>
      <c r="O74" s="216"/>
      <c r="P74" s="29"/>
      <c r="Q74" s="82">
        <f>база!$L$6</f>
        <v>261.04640000000001</v>
      </c>
      <c r="R74" s="271">
        <v>1</v>
      </c>
      <c r="S74" s="98">
        <f>SUMIFS(Таблица1[сумма],Таблица1[коэф],"1",Таблица1[р/р],"5/16",Таблица1[Ф. И. О.],B77)</f>
        <v>0</v>
      </c>
      <c r="T74" s="94">
        <f t="shared" si="36"/>
        <v>0</v>
      </c>
      <c r="U74" s="361">
        <f>база!$M$6</f>
        <v>279.0496</v>
      </c>
      <c r="V74" s="271">
        <v>1</v>
      </c>
      <c r="W74" s="307">
        <f>SUMIFS(Таблица1[сумма],Таблица1[коэф],"1",Таблица1[р/р],"5/24",Таблица1[Ф. И. О.],B77)</f>
        <v>0</v>
      </c>
      <c r="X74" s="313">
        <f>ROUND(U74*V74*W74,2)</f>
        <v>0</v>
      </c>
      <c r="Y74" s="819"/>
      <c r="Z74" s="810"/>
      <c r="AA74" s="813"/>
    </row>
    <row r="75" spans="1:29">
      <c r="A75" s="756"/>
      <c r="B75" s="215"/>
      <c r="C75" s="825"/>
      <c r="D75" s="825"/>
      <c r="E75" s="78"/>
      <c r="F75" s="271"/>
      <c r="G75" s="98"/>
      <c r="H75" s="92"/>
      <c r="I75" s="78">
        <f>база!$J$5</f>
        <v>215.4924</v>
      </c>
      <c r="J75" s="271">
        <v>1.5</v>
      </c>
      <c r="K75" s="216">
        <f>SUMIFS(Таблица1[сумма],Таблица1[коэф],"1,5",Таблица1[р/р],"4/8",Таблица1[Ф. И. О.],B77)</f>
        <v>0</v>
      </c>
      <c r="L75" s="29">
        <f>ROUND(I75*J75*K75,2)</f>
        <v>0</v>
      </c>
      <c r="M75" s="334"/>
      <c r="N75" s="216"/>
      <c r="O75" s="216"/>
      <c r="P75" s="29"/>
      <c r="Q75" s="82">
        <f>IF(D72&lt;=3,база!$L$4,
IF(D72=4,база!$L$5,
IF(D72=5,база!$L$6)))</f>
        <v>210.57480000000001</v>
      </c>
      <c r="R75" s="271">
        <v>1.2</v>
      </c>
      <c r="S75" s="98">
        <f>SUMIFS(Таблица1[сумма],Таблица1[коэф],"1,2",Таблица1[р/р],"3/16",Таблица1[Ф. И. О.],B77)</f>
        <v>0</v>
      </c>
      <c r="T75" s="94">
        <f t="shared" ref="T75:T76" si="38">ROUND(Q75*R75*S75,2)</f>
        <v>0</v>
      </c>
      <c r="U75" s="361">
        <f>IF(D72&lt;=3,база!$M$4,
IF(D72=4,база!$M$5,
IF(D72=5,база!$M$6)))</f>
        <v>225.09719999999999</v>
      </c>
      <c r="V75" s="271">
        <v>1.2</v>
      </c>
      <c r="W75" s="307">
        <f>SUMIFS(Таблица1[сумма],Таблица1[коэф],"1,2",Таблица1[р/р],"3/24",Таблица1[Ф. И. О.],B77)</f>
        <v>0</v>
      </c>
      <c r="X75" s="313">
        <f t="shared" ref="X75:X76" si="39">ROUND(U75*V75*W75,2)</f>
        <v>0</v>
      </c>
      <c r="Y75" s="819"/>
      <c r="Z75" s="810"/>
      <c r="AA75" s="813"/>
    </row>
    <row r="76" spans="1:29">
      <c r="A76" s="756"/>
      <c r="B76" s="215"/>
      <c r="C76" s="825"/>
      <c r="D76" s="825"/>
      <c r="E76" s="78"/>
      <c r="F76" s="271"/>
      <c r="G76" s="98"/>
      <c r="H76" s="92"/>
      <c r="I76" s="78">
        <f>база!$J$6</f>
        <v>243.04319999999998</v>
      </c>
      <c r="J76" s="271">
        <v>1.5</v>
      </c>
      <c r="K76" s="216">
        <f>SUMIFS(Таблица1[сумма],Таблица1[коэф],"1,5",Таблица1[р/р],"5/8",Таблица1[Ф. И. О.],B77)</f>
        <v>0</v>
      </c>
      <c r="L76" s="29">
        <f>ROUND(I76*J76*K76,2)</f>
        <v>0</v>
      </c>
      <c r="M76" s="334"/>
      <c r="N76" s="216"/>
      <c r="O76" s="216"/>
      <c r="P76" s="29"/>
      <c r="Q76" s="82">
        <f>база!$L$5</f>
        <v>231.45480000000001</v>
      </c>
      <c r="R76" s="271">
        <v>1.2</v>
      </c>
      <c r="S76" s="98">
        <f>SUMIFS(Таблица1[сумма],Таблица1[коэф],"1,2",Таблица1[р/р],"4/16",Таблица1[Ф. И. О.],B77)</f>
        <v>0</v>
      </c>
      <c r="T76" s="94">
        <f t="shared" si="38"/>
        <v>0</v>
      </c>
      <c r="U76" s="361">
        <f>база!$M$5</f>
        <v>247.41720000000001</v>
      </c>
      <c r="V76" s="271">
        <v>1.2</v>
      </c>
      <c r="W76" s="307">
        <f>SUMIFS(Таблица1[сумма],Таблица1[коэф],"1,2",Таблица1[р/р],"4/24",Таблица1[Ф. И. О.],B77)</f>
        <v>0</v>
      </c>
      <c r="X76" s="313">
        <f t="shared" si="39"/>
        <v>0</v>
      </c>
      <c r="Y76" s="819"/>
      <c r="Z76" s="810"/>
      <c r="AA76" s="813"/>
      <c r="AC76" s="707" t="str">
        <f>IF(SUMIFS(Таблица1[Столбец2],Таблица1[Ф. И. О.],B77)-Z72=0,"",SUMIFS(Таблица1[Столбец2],Таблица1[Ф. И. О.],B77)-Z72)</f>
        <v/>
      </c>
    </row>
    <row r="77" spans="1:29" ht="24" thickBot="1">
      <c r="A77" s="756"/>
      <c r="B77" s="215" t="str">
        <f>база!B8</f>
        <v>Аполосова Юлиана Александровна</v>
      </c>
      <c r="C77" s="825"/>
      <c r="D77" s="825"/>
      <c r="E77" s="78"/>
      <c r="F77" s="271"/>
      <c r="G77" s="98"/>
      <c r="H77" s="92"/>
      <c r="I77" s="78"/>
      <c r="J77" s="271"/>
      <c r="K77" s="216"/>
      <c r="L77" s="29"/>
      <c r="M77" s="334"/>
      <c r="N77" s="216"/>
      <c r="O77" s="216"/>
      <c r="P77" s="29"/>
      <c r="Q77" s="82">
        <f>база!$L$6</f>
        <v>261.04640000000001</v>
      </c>
      <c r="R77" s="271">
        <v>1.2</v>
      </c>
      <c r="S77" s="98">
        <f>SUMIFS(Таблица1[сумма],Таблица1[коэф],"1,2",Таблица1[р/р],"5/16",Таблица1[Ф. И. О.],B77)</f>
        <v>0</v>
      </c>
      <c r="T77" s="94">
        <f>ROUND(Q77*R77*S77,2)</f>
        <v>0</v>
      </c>
      <c r="U77" s="361">
        <f>база!$M$6</f>
        <v>279.0496</v>
      </c>
      <c r="V77" s="271">
        <v>1.2</v>
      </c>
      <c r="W77" s="307">
        <f>SUMIFS(Таблица1[сумма],Таблица1[коэф],"1,2",Таблица1[р/р],"5/24",Таблица1[Ф. И. О.],B77)</f>
        <v>0</v>
      </c>
      <c r="X77" s="313">
        <f>ROUND(U77*V77*W77,2)</f>
        <v>0</v>
      </c>
      <c r="Y77" s="819"/>
      <c r="Z77" s="810"/>
      <c r="AA77" s="813"/>
      <c r="AC77" s="707" t="str">
        <f>IF(SUMIFS(Таблица1[сумма],Таблица1[Ф. И. О.],B77)=Y72,"",B72&amp;"  часы не верны")</f>
        <v/>
      </c>
    </row>
    <row r="78" spans="1:29" ht="24" thickBot="1">
      <c r="A78" s="756"/>
      <c r="B78" s="215"/>
      <c r="C78" s="825"/>
      <c r="D78" s="825"/>
      <c r="E78" s="78"/>
      <c r="F78" s="271"/>
      <c r="G78" s="98"/>
      <c r="H78" s="92"/>
      <c r="I78" s="78"/>
      <c r="J78" s="271"/>
      <c r="K78" s="216"/>
      <c r="L78" s="29"/>
      <c r="M78" s="334"/>
      <c r="N78" s="216"/>
      <c r="O78" s="216"/>
      <c r="P78" s="29"/>
      <c r="Q78" s="82">
        <f>IF($D$6&lt;=3,база!$L$4,
IF($D$6=4,база!$L$5,
IF($D$6=5,база!$L$6)))</f>
        <v>231.45480000000001</v>
      </c>
      <c r="R78" s="271">
        <v>1.3</v>
      </c>
      <c r="S78" s="98">
        <f>SUMIFS(Таблица1[сумма],Таблица1[коэф],"1,3",Таблица1[р/р],"3/16",Таблица1[Ф. И. О.],B77)</f>
        <v>0</v>
      </c>
      <c r="T78" s="94">
        <f t="shared" ref="T78:T79" si="40">ROUND(Q78*R78*S78,2)</f>
        <v>0</v>
      </c>
      <c r="U78" s="361">
        <f>IF(D72&lt;=3,база!$M$4,
IF(D72=4,база!$M$5,
IF(D72=5,база!$M$6)))</f>
        <v>225.09719999999999</v>
      </c>
      <c r="V78" s="271">
        <v>1.3</v>
      </c>
      <c r="W78" s="307">
        <f>SUMIFS(Таблица1[сумма],Таблица1[коэф],"1,3",Таблица1[р/р],"3/24",Таблица1[Ф. И. О.],B77)</f>
        <v>0</v>
      </c>
      <c r="X78" s="313">
        <f t="shared" ref="X78:X79" si="41">ROUND(U78*V78*W78,2)</f>
        <v>0</v>
      </c>
      <c r="Y78" s="819"/>
      <c r="Z78" s="810"/>
      <c r="AA78" s="813"/>
    </row>
    <row r="79" spans="1:29" ht="24" thickBot="1">
      <c r="A79" s="756"/>
      <c r="B79" s="215"/>
      <c r="C79" s="825"/>
      <c r="D79" s="825"/>
      <c r="E79" s="78"/>
      <c r="F79" s="271"/>
      <c r="G79" s="98"/>
      <c r="H79" s="92"/>
      <c r="I79" s="78"/>
      <c r="J79" s="271"/>
      <c r="K79" s="216"/>
      <c r="L79" s="29"/>
      <c r="M79" s="334"/>
      <c r="N79" s="216"/>
      <c r="O79" s="216"/>
      <c r="P79" s="29"/>
      <c r="Q79" s="82">
        <f>база!$L$5</f>
        <v>231.45480000000001</v>
      </c>
      <c r="R79" s="271">
        <v>1.3</v>
      </c>
      <c r="S79" s="98">
        <f>SUMIFS(Таблица1[сумма],Таблица1[коэф],"1,3",Таблица1[р/р],"4/16",Таблица1[Ф. И. О.],B77)</f>
        <v>0</v>
      </c>
      <c r="T79" s="94">
        <f t="shared" si="40"/>
        <v>0</v>
      </c>
      <c r="U79" s="361">
        <f>база!$M$5</f>
        <v>247.41720000000001</v>
      </c>
      <c r="V79" s="271">
        <v>1.3</v>
      </c>
      <c r="W79" s="307">
        <f>SUMIFS(Таблица1[сумма],Таблица1[коэф],"1,3",Таблица1[р/р],"4/24",Таблица1[Ф. И. О.],B77)</f>
        <v>0</v>
      </c>
      <c r="X79" s="313">
        <f t="shared" si="41"/>
        <v>0</v>
      </c>
      <c r="Y79" s="819"/>
      <c r="Z79" s="810"/>
      <c r="AA79" s="813"/>
    </row>
    <row r="80" spans="1:29" ht="24" thickBot="1">
      <c r="A80" s="756"/>
      <c r="B80" s="215"/>
      <c r="C80" s="825"/>
      <c r="D80" s="825"/>
      <c r="E80" s="78"/>
      <c r="F80" s="271"/>
      <c r="G80" s="98"/>
      <c r="H80" s="92"/>
      <c r="I80" s="78"/>
      <c r="J80" s="271"/>
      <c r="K80" s="216"/>
      <c r="L80" s="29"/>
      <c r="M80" s="334"/>
      <c r="N80" s="216"/>
      <c r="O80" s="216"/>
      <c r="P80" s="29"/>
      <c r="Q80" s="82">
        <f>IF(D72&lt;=3,база!$L$4,
IF(D72=4,база!$L$5,
IF(D72=5,база!$L$6)))</f>
        <v>210.57480000000001</v>
      </c>
      <c r="R80" s="271">
        <v>1.4</v>
      </c>
      <c r="S80" s="98">
        <f>SUMIFS(Таблица1[сумма],Таблица1[коэф],"1,4",Таблица1[р/р],"3/16",Таблица1[Ф. И. О.],B77)</f>
        <v>0</v>
      </c>
      <c r="T80" s="94">
        <f t="shared" ref="T80:T85" si="42">ROUND(Q80*R80*S80,2)</f>
        <v>0</v>
      </c>
      <c r="U80" s="361">
        <f>IF(D72&lt;=3,база!$M$4,
IF(D72=4,база!$M$5,
IF(D72=5,база!$M$6)))</f>
        <v>225.09719999999999</v>
      </c>
      <c r="V80" s="271">
        <v>1.4</v>
      </c>
      <c r="W80" s="307">
        <f>SUMIFS(Таблица1[сумма],Таблица1[коэф],"1,4",Таблица1[р/р],"3/24",Таблица1[Ф. И. О.],B77)</f>
        <v>0</v>
      </c>
      <c r="X80" s="313">
        <f>ROUND(U80*V80*W80,2)</f>
        <v>0</v>
      </c>
      <c r="Y80" s="819"/>
      <c r="Z80" s="810"/>
      <c r="AA80" s="813"/>
    </row>
    <row r="81" spans="1:29" ht="24" thickBot="1">
      <c r="A81" s="756"/>
      <c r="B81" s="215"/>
      <c r="C81" s="825"/>
      <c r="D81" s="825"/>
      <c r="E81" s="78"/>
      <c r="F81" s="271"/>
      <c r="G81" s="98"/>
      <c r="H81" s="92"/>
      <c r="I81" s="78"/>
      <c r="J81" s="271"/>
      <c r="K81" s="216"/>
      <c r="L81" s="29"/>
      <c r="M81" s="334"/>
      <c r="N81" s="216"/>
      <c r="O81" s="216"/>
      <c r="P81" s="29"/>
      <c r="Q81" s="82">
        <f>база!$L$5</f>
        <v>231.45480000000001</v>
      </c>
      <c r="R81" s="271">
        <v>1.4</v>
      </c>
      <c r="S81" s="98">
        <f>SUMIFS(Таблица1[сумма],Таблица1[коэф],"1,4",Таблица1[р/р],"4/16",Таблица1[Ф. И. О.],B77)</f>
        <v>0</v>
      </c>
      <c r="T81" s="94">
        <f t="shared" si="42"/>
        <v>0</v>
      </c>
      <c r="U81" s="361">
        <f>база!$M$5</f>
        <v>247.41720000000001</v>
      </c>
      <c r="V81" s="271">
        <v>1.4</v>
      </c>
      <c r="W81" s="307">
        <f>SUMIFS(Таблица1[сумма],Таблица1[коэф],"1,4",Таблица1[р/р],"4/24",Таблица1[Ф. И. О.],B77)</f>
        <v>0</v>
      </c>
      <c r="X81" s="313">
        <f>ROUND(U81*V81*W81,2)</f>
        <v>0</v>
      </c>
      <c r="Y81" s="819"/>
      <c r="Z81" s="810"/>
      <c r="AA81" s="813"/>
    </row>
    <row r="82" spans="1:29" ht="24" thickBot="1">
      <c r="A82" s="757"/>
      <c r="B82" s="202"/>
      <c r="C82" s="826"/>
      <c r="D82" s="826"/>
      <c r="E82" s="101"/>
      <c r="F82" s="273"/>
      <c r="G82" s="97"/>
      <c r="H82" s="238"/>
      <c r="I82" s="101"/>
      <c r="J82" s="273"/>
      <c r="K82" s="288"/>
      <c r="L82" s="26"/>
      <c r="M82" s="348"/>
      <c r="N82" s="288"/>
      <c r="O82" s="288"/>
      <c r="P82" s="26"/>
      <c r="Q82" s="220">
        <f>база!$L$6</f>
        <v>261.04640000000001</v>
      </c>
      <c r="R82" s="273">
        <v>1.4</v>
      </c>
      <c r="S82" s="97">
        <f>SUMIFS(Таблица1[сумма],Таблица1[коэф],"1,4",Таблица1[р/р],"5/16",Таблица1[Ф. И. О.],B77)</f>
        <v>0</v>
      </c>
      <c r="T82" s="90">
        <f t="shared" si="42"/>
        <v>0</v>
      </c>
      <c r="U82" s="364">
        <f>база!$M$6</f>
        <v>279.0496</v>
      </c>
      <c r="V82" s="273">
        <v>1.4</v>
      </c>
      <c r="W82" s="312">
        <f>SUMIFS(Таблица1[сумма],Таблица1[коэф],"1,4",Таблица1[р/р],"5/24",Таблица1[Ф. И. О.],B77)</f>
        <v>0</v>
      </c>
      <c r="X82" s="343">
        <f>ROUND(U82*V82*W82,2)</f>
        <v>0</v>
      </c>
      <c r="Y82" s="820"/>
      <c r="Z82" s="811"/>
      <c r="AA82" s="814"/>
    </row>
    <row r="83" spans="1:29">
      <c r="A83" s="755">
        <v>8</v>
      </c>
      <c r="B83" s="215"/>
      <c r="C83" s="824">
        <f>INDEX(база!$E$2:$E$81, MATCH(B88,база!$B$2:$B$50,0))</f>
        <v>16809</v>
      </c>
      <c r="D83" s="824">
        <f>INDEX(база!$D$2:$D$89, MATCH(B88,база!$B$2:$B$50,0))</f>
        <v>3</v>
      </c>
      <c r="E83" s="72">
        <f>IF(D83&lt;=3,база!$I$4,
IF(D83=4,база!$I$5,
IF(D83=5,база!$I$6)))</f>
        <v>188.7912</v>
      </c>
      <c r="F83" s="269">
        <v>1</v>
      </c>
      <c r="G83" s="95">
        <f>SUMIFS(Таблица1[сумма],Таблица1[коэф],"1",Таблица1[р/р],"2/4",Таблица1[Ф. И. О.],B88)</f>
        <v>0</v>
      </c>
      <c r="H83" s="87">
        <f>ROUND(E83*F83*G83,2)</f>
        <v>0</v>
      </c>
      <c r="I83" s="81">
        <f>IF(D83&lt;=3,база!$J$4,
IF(D83=4,база!$J$5,
IF(D83=5,база!$J$6)))</f>
        <v>196.05240000000001</v>
      </c>
      <c r="J83" s="270">
        <v>1</v>
      </c>
      <c r="K83" s="309">
        <f>SUMIFS(Таблица1[сумма],Таблица1[коэф],"1",Таблица1[р/р],"2/8",Таблица1[Ф. И. О.],B88)</f>
        <v>0</v>
      </c>
      <c r="L83" s="309">
        <f>ROUND(I83*J83*K83,2)</f>
        <v>0</v>
      </c>
      <c r="M83" s="309"/>
      <c r="N83" s="309">
        <v>1</v>
      </c>
      <c r="O83" s="309">
        <f>SUMIFS(Data_Tech!$AM$3:$AM$67,Data_Tech!$E$3:$E$67,"1",Data_Tech!$G$3:$G$67,"3/12",Data_Tech!$F$3:$F$67,B88)</f>
        <v>0</v>
      </c>
      <c r="P83" s="281">
        <f>ROUND(M83*N83*O83,2)</f>
        <v>0</v>
      </c>
      <c r="Q83" s="72">
        <f>IF(D83&lt;=3,база!$L$4,
IF(D83=4,база!$L$5,
IF(D83=5,база!$L$6)))</f>
        <v>210.57480000000001</v>
      </c>
      <c r="R83" s="269">
        <v>1</v>
      </c>
      <c r="S83" s="95">
        <f>SUMIFS(Таблица1[сумма],Таблица1[коэф],"1",Таблица1[р/р],"3/16",Таблица1[Ф. И. О.],B88)</f>
        <v>0</v>
      </c>
      <c r="T83" s="87">
        <f t="shared" si="42"/>
        <v>0</v>
      </c>
      <c r="U83" s="368">
        <f>IF(D83&lt;=3,база!$M$4,
IF(D83=4,база!$M$5,
IF(D83=5,база!$M$6)))</f>
        <v>225.09719999999999</v>
      </c>
      <c r="V83" s="270">
        <v>1</v>
      </c>
      <c r="W83" s="337">
        <f>SUMIFS(Таблица1[сумма],Таблица1[коэф],"1",Таблица1[р/р],"3/24",Таблица1[Ф. И. О.],B88)</f>
        <v>0</v>
      </c>
      <c r="X83" s="342">
        <f>ROUND(U83*V83*W83,2)</f>
        <v>0</v>
      </c>
      <c r="Y83" s="819">
        <f>SUM(G83:G93,K83:K93,O83:O93,S83:S93,W83:W93)</f>
        <v>0</v>
      </c>
      <c r="Z83" s="810">
        <f>IFERROR(SUM(H83:H93,L83:L93,T83:T93,X83:X93),"")</f>
        <v>0</v>
      </c>
      <c r="AA83" s="813"/>
    </row>
    <row r="84" spans="1:29">
      <c r="A84" s="756"/>
      <c r="B84" s="215"/>
      <c r="C84" s="825"/>
      <c r="D84" s="825"/>
      <c r="E84" s="78">
        <f>IF(D83&lt;=3,база!$I$4,
IF(D83=4,база!$I$5,
IF(D83=5,база!$I$6)))</f>
        <v>188.7912</v>
      </c>
      <c r="F84" s="271">
        <v>1</v>
      </c>
      <c r="G84" s="98">
        <f>SUMIFS(Таблица1[сумма],Таблица1[коэф],"1",Таблица1[р/р],"3/4",Таблица1[Ф. И. О.],B88)</f>
        <v>0</v>
      </c>
      <c r="H84" s="94">
        <f>ROUND(E84*F84*G84,2)</f>
        <v>0</v>
      </c>
      <c r="I84" s="82">
        <f>IF(D83&lt;=3,база!$J$4,
IF(D83=4,база!$J$5,
IF(D83=5,база!$J$6)))</f>
        <v>196.05240000000001</v>
      </c>
      <c r="J84" s="271">
        <v>1</v>
      </c>
      <c r="K84" s="216">
        <f>SUMIFS(Таблица1[сумма],Таблица1[коэф],"1",Таблица1[р/р],"3/8",Таблица1[Ф. И. О.],B88)</f>
        <v>0</v>
      </c>
      <c r="L84" s="216">
        <f>ROUND(I84*J84*K84,2)</f>
        <v>0</v>
      </c>
      <c r="M84" s="216"/>
      <c r="N84" s="216">
        <v>1</v>
      </c>
      <c r="O84" s="216">
        <f>SUMIFS(Data_Tech!$AM$3:$AM$67,Data_Tech!$E$3:$E$67,"1",Data_Tech!$G$3:$G$67,"4/12",Data_Tech!$F$3:$F$67,B88)</f>
        <v>0</v>
      </c>
      <c r="P84" s="30">
        <f>ROUND(M84*O84,2)</f>
        <v>0</v>
      </c>
      <c r="Q84" s="78">
        <f>база!$L$5</f>
        <v>231.45480000000001</v>
      </c>
      <c r="R84" s="271">
        <v>1</v>
      </c>
      <c r="S84" s="98">
        <f>SUMIFS(Таблица1[сумма],Таблица1[коэф],"1",Таблица1[р/р],"4/16",Таблица1[Ф. И. О.],B88)</f>
        <v>0</v>
      </c>
      <c r="T84" s="94">
        <f t="shared" si="42"/>
        <v>0</v>
      </c>
      <c r="U84" s="361">
        <f>база!$M$5</f>
        <v>247.41720000000001</v>
      </c>
      <c r="V84" s="271">
        <v>1</v>
      </c>
      <c r="W84" s="307">
        <f>SUMIFS(Таблица1[сумма],Таблица1[коэф],"1",Таблица1[р/р],"4/24",Таблица1[Ф. И. О.],B88)</f>
        <v>0</v>
      </c>
      <c r="X84" s="313">
        <f t="shared" ref="X84" si="43">ROUND(U84*V84*W84,2)</f>
        <v>0</v>
      </c>
      <c r="Y84" s="819"/>
      <c r="Z84" s="810"/>
      <c r="AA84" s="813"/>
    </row>
    <row r="85" spans="1:29" ht="24" thickBot="1">
      <c r="A85" s="756"/>
      <c r="B85" s="215"/>
      <c r="C85" s="825"/>
      <c r="D85" s="825"/>
      <c r="E85" s="78"/>
      <c r="F85" s="271"/>
      <c r="G85" s="98"/>
      <c r="H85" s="94"/>
      <c r="I85" s="82"/>
      <c r="J85" s="271"/>
      <c r="K85" s="216"/>
      <c r="L85" s="216"/>
      <c r="M85" s="216"/>
      <c r="N85" s="216"/>
      <c r="O85" s="216"/>
      <c r="P85" s="30"/>
      <c r="Q85" s="78">
        <f>база!$L$6</f>
        <v>261.04640000000001</v>
      </c>
      <c r="R85" s="271">
        <v>1</v>
      </c>
      <c r="S85" s="98">
        <f>SUMIFS(Таблица1[сумма],Таблица1[коэф],"1",Таблица1[р/р],"5/16",Таблица1[Ф. И. О.],B88)</f>
        <v>0</v>
      </c>
      <c r="T85" s="94">
        <f t="shared" si="42"/>
        <v>0</v>
      </c>
      <c r="U85" s="361">
        <f>база!$M$6</f>
        <v>279.0496</v>
      </c>
      <c r="V85" s="271">
        <v>1</v>
      </c>
      <c r="W85" s="307">
        <f>SUMIFS(Таблица1[сумма],Таблица1[коэф],"1",Таблица1[р/р],"5/24",Таблица1[Ф. И. О.],B88)</f>
        <v>0</v>
      </c>
      <c r="X85" s="313">
        <f>ROUND(U85*V85*W85,2)</f>
        <v>0</v>
      </c>
      <c r="Y85" s="819"/>
      <c r="Z85" s="810"/>
      <c r="AA85" s="813"/>
    </row>
    <row r="86" spans="1:29" ht="24" thickBot="1">
      <c r="A86" s="756"/>
      <c r="B86" s="215"/>
      <c r="C86" s="825"/>
      <c r="D86" s="825"/>
      <c r="E86" s="78"/>
      <c r="F86" s="271"/>
      <c r="G86" s="98"/>
      <c r="H86" s="94"/>
      <c r="I86" s="82">
        <f>база!$J$5</f>
        <v>215.4924</v>
      </c>
      <c r="J86" s="271">
        <v>1.5</v>
      </c>
      <c r="K86" s="216">
        <f>SUMIFS(Таблица1[сумма],Таблица1[коэф],"1,5",Таблица1[р/р],"4/8",Таблица1[Ф. И. О.],B88)</f>
        <v>0</v>
      </c>
      <c r="L86" s="216">
        <f>ROUND(I86*J86*K86,2)</f>
        <v>0</v>
      </c>
      <c r="M86" s="216"/>
      <c r="N86" s="216"/>
      <c r="O86" s="216"/>
      <c r="P86" s="30"/>
      <c r="Q86" s="78">
        <f>IF(D83&lt;=3,база!$L$4,
IF(D83=4,база!$L$5,
IF(D83=5,база!$L$6)))</f>
        <v>210.57480000000001</v>
      </c>
      <c r="R86" s="271">
        <v>1.2</v>
      </c>
      <c r="S86" s="98">
        <f>SUMIFS(Таблица1[сумма],Таблица1[коэф],"1,2",Таблица1[р/р],"3/16",Таблица1[Ф. И. О.],B88)</f>
        <v>0</v>
      </c>
      <c r="T86" s="94">
        <f t="shared" ref="T86:T87" si="44">ROUND(Q86*R86*S86,2)</f>
        <v>0</v>
      </c>
      <c r="U86" s="361">
        <f>IF(D83&lt;=3,база!$M$4,
IF(D83=4,база!$M$5,
IF(D83=5,база!$M$6)))</f>
        <v>225.09719999999999</v>
      </c>
      <c r="V86" s="271">
        <v>1.2</v>
      </c>
      <c r="W86" s="307">
        <f>SUMIFS(Таблица1[сумма],Таблица1[коэф],"1,2",Таблица1[р/р],"3/24",Таблица1[Ф. И. О.],B88)</f>
        <v>0</v>
      </c>
      <c r="X86" s="313">
        <f t="shared" ref="X86:X87" si="45">ROUND(U86*V86*W86,2)</f>
        <v>0</v>
      </c>
      <c r="Y86" s="819"/>
      <c r="Z86" s="810"/>
      <c r="AA86" s="813"/>
    </row>
    <row r="87" spans="1:29" ht="24" thickBot="1">
      <c r="A87" s="756"/>
      <c r="B87" s="215"/>
      <c r="C87" s="825"/>
      <c r="D87" s="825"/>
      <c r="E87" s="78"/>
      <c r="F87" s="271"/>
      <c r="G87" s="98"/>
      <c r="H87" s="94"/>
      <c r="I87" s="82">
        <f>база!$J$6</f>
        <v>243.04319999999998</v>
      </c>
      <c r="J87" s="271">
        <v>1.5</v>
      </c>
      <c r="K87" s="216">
        <f>SUMIFS(Таблица1[сумма],Таблица1[коэф],"1,5",Таблица1[р/р],"5/8",Таблица1[Ф. И. О.],B88)</f>
        <v>0</v>
      </c>
      <c r="L87" s="216">
        <f>ROUND(I87*J87*K87,2)</f>
        <v>0</v>
      </c>
      <c r="M87" s="216"/>
      <c r="N87" s="216"/>
      <c r="O87" s="216"/>
      <c r="P87" s="30"/>
      <c r="Q87" s="78">
        <f>база!$L$5</f>
        <v>231.45480000000001</v>
      </c>
      <c r="R87" s="271">
        <v>1.2</v>
      </c>
      <c r="S87" s="98">
        <f>SUMIFS(Таблица1[сумма],Таблица1[коэф],"1,2",Таблица1[р/р],"4/16",Таблица1[Ф. И. О.],B88)</f>
        <v>0</v>
      </c>
      <c r="T87" s="94">
        <f t="shared" si="44"/>
        <v>0</v>
      </c>
      <c r="U87" s="361">
        <f>база!$M$5</f>
        <v>247.41720000000001</v>
      </c>
      <c r="V87" s="271">
        <v>1.2</v>
      </c>
      <c r="W87" s="307">
        <f>SUMIFS(Таблица1[сумма],Таблица1[коэф],"1,2",Таблица1[р/р],"4/24",Таблица1[Ф. И. О.],B88)</f>
        <v>0</v>
      </c>
      <c r="X87" s="313">
        <f t="shared" si="45"/>
        <v>0</v>
      </c>
      <c r="Y87" s="819"/>
      <c r="Z87" s="810"/>
      <c r="AA87" s="813"/>
      <c r="AC87" s="707" t="str">
        <f>IF(SUMIFS(Таблица1[Столбец2],Таблица1[Ф. И. О.],B88)-Z83=0,"",SUMIFS(Таблица1[Столбец2],Таблица1[Ф. И. О.],B88)-Z83)</f>
        <v/>
      </c>
    </row>
    <row r="88" spans="1:29" ht="24" thickBot="1">
      <c r="A88" s="756"/>
      <c r="B88" s="215" t="str">
        <f>база!B9</f>
        <v>Бадьялова Елена Сергеевна</v>
      </c>
      <c r="C88" s="825"/>
      <c r="D88" s="825"/>
      <c r="E88" s="78"/>
      <c r="F88" s="271"/>
      <c r="G88" s="98"/>
      <c r="H88" s="94"/>
      <c r="I88" s="82"/>
      <c r="J88" s="271"/>
      <c r="K88" s="216"/>
      <c r="L88" s="216"/>
      <c r="M88" s="216"/>
      <c r="N88" s="216"/>
      <c r="O88" s="216"/>
      <c r="P88" s="30"/>
      <c r="Q88" s="78">
        <f>база!$L$6</f>
        <v>261.04640000000001</v>
      </c>
      <c r="R88" s="271">
        <v>1.2</v>
      </c>
      <c r="S88" s="98">
        <f>SUMIFS(Таблица1[сумма],Таблица1[коэф],"1,2",Таблица1[р/р],"5/16",Таблица1[Ф. И. О.],B88)</f>
        <v>0</v>
      </c>
      <c r="T88" s="94">
        <f>ROUND(Q88*R88*S88,2)</f>
        <v>0</v>
      </c>
      <c r="U88" s="361">
        <f>база!$M$6</f>
        <v>279.0496</v>
      </c>
      <c r="V88" s="271">
        <v>1.2</v>
      </c>
      <c r="W88" s="307">
        <f>SUMIFS(Таблица1[сумма],Таблица1[коэф],"1,2",Таблица1[р/р],"5/24",Таблица1[Ф. И. О.],B88)</f>
        <v>0</v>
      </c>
      <c r="X88" s="313">
        <f>ROUND(U88*V88*W88,2)</f>
        <v>0</v>
      </c>
      <c r="Y88" s="819"/>
      <c r="Z88" s="810"/>
      <c r="AA88" s="813"/>
      <c r="AC88" s="707" t="str">
        <f>IF(SUMIFS(Таблица1[сумма],Таблица1[Ф. И. О.],B88)=Y83,"",B83&amp;"  часы не верны")</f>
        <v/>
      </c>
    </row>
    <row r="89" spans="1:29" ht="24" thickBot="1">
      <c r="A89" s="756"/>
      <c r="B89" s="215"/>
      <c r="C89" s="825"/>
      <c r="D89" s="825"/>
      <c r="E89" s="78"/>
      <c r="F89" s="271"/>
      <c r="G89" s="98"/>
      <c r="H89" s="94"/>
      <c r="I89" s="82"/>
      <c r="J89" s="271"/>
      <c r="K89" s="216"/>
      <c r="L89" s="216"/>
      <c r="M89" s="216"/>
      <c r="N89" s="216"/>
      <c r="O89" s="216"/>
      <c r="P89" s="30"/>
      <c r="Q89" s="78">
        <f>IF($D$6&lt;=3,база!$L$4,
IF($D$6=4,база!$L$5,
IF($D$6=5,база!$L$6)))</f>
        <v>231.45480000000001</v>
      </c>
      <c r="R89" s="271">
        <v>1.3</v>
      </c>
      <c r="S89" s="98">
        <f>SUMIFS(Таблица1[сумма],Таблица1[коэф],"1,3",Таблица1[р/р],"3/16",Таблица1[Ф. И. О.],B88)</f>
        <v>0</v>
      </c>
      <c r="T89" s="94">
        <f t="shared" ref="T89:T90" si="46">ROUND(Q89*R89*S89,2)</f>
        <v>0</v>
      </c>
      <c r="U89" s="361">
        <f>IF(D83&lt;=3,база!$M$4,
IF(D83=4,база!$M$5,
IF(D83=5,база!$M$6)))</f>
        <v>225.09719999999999</v>
      </c>
      <c r="V89" s="271">
        <v>1.3</v>
      </c>
      <c r="W89" s="307">
        <f>SUMIFS(Таблица1[сумма],Таблица1[коэф],"1,3",Таблица1[р/р],"3/24",Таблица1[Ф. И. О.],B88)</f>
        <v>0</v>
      </c>
      <c r="X89" s="313">
        <f t="shared" ref="X89:X90" si="47">ROUND(U89*V89*W89,2)</f>
        <v>0</v>
      </c>
      <c r="Y89" s="819"/>
      <c r="Z89" s="810"/>
      <c r="AA89" s="813"/>
    </row>
    <row r="90" spans="1:29" ht="24" thickBot="1">
      <c r="A90" s="756"/>
      <c r="B90" s="215"/>
      <c r="C90" s="825"/>
      <c r="D90" s="825"/>
      <c r="E90" s="78"/>
      <c r="F90" s="271"/>
      <c r="G90" s="98"/>
      <c r="H90" s="94"/>
      <c r="I90" s="82"/>
      <c r="J90" s="271"/>
      <c r="K90" s="216"/>
      <c r="L90" s="216"/>
      <c r="M90" s="216"/>
      <c r="N90" s="216"/>
      <c r="O90" s="216"/>
      <c r="P90" s="30"/>
      <c r="Q90" s="78">
        <f>база!$L$5</f>
        <v>231.45480000000001</v>
      </c>
      <c r="R90" s="271">
        <v>1.3</v>
      </c>
      <c r="S90" s="98">
        <f>SUMIFS(Таблица1[сумма],Таблица1[коэф],"1,3",Таблица1[р/р],"4/16",Таблица1[Ф. И. О.],B88)</f>
        <v>0</v>
      </c>
      <c r="T90" s="94">
        <f t="shared" si="46"/>
        <v>0</v>
      </c>
      <c r="U90" s="361">
        <f>база!$M$5</f>
        <v>247.41720000000001</v>
      </c>
      <c r="V90" s="271">
        <v>1.3</v>
      </c>
      <c r="W90" s="307">
        <f>SUMIFS(Таблица1[сумма],Таблица1[коэф],"1,3",Таблица1[р/р],"4/24",Таблица1[Ф. И. О.],B88)</f>
        <v>0</v>
      </c>
      <c r="X90" s="313">
        <f t="shared" si="47"/>
        <v>0</v>
      </c>
      <c r="Y90" s="819"/>
      <c r="Z90" s="810"/>
      <c r="AA90" s="813"/>
    </row>
    <row r="91" spans="1:29" ht="24" thickBot="1">
      <c r="A91" s="756"/>
      <c r="B91" s="215"/>
      <c r="C91" s="825"/>
      <c r="D91" s="825"/>
      <c r="E91" s="78"/>
      <c r="F91" s="271"/>
      <c r="G91" s="98"/>
      <c r="H91" s="94"/>
      <c r="I91" s="82"/>
      <c r="J91" s="271"/>
      <c r="K91" s="216"/>
      <c r="L91" s="216"/>
      <c r="M91" s="216"/>
      <c r="N91" s="216"/>
      <c r="O91" s="216"/>
      <c r="P91" s="30"/>
      <c r="Q91" s="78">
        <f>IF(D83&lt;=3,база!$L$4,
IF(D83=4,база!$L$5,
IF(D83=5,база!$L$6)))</f>
        <v>210.57480000000001</v>
      </c>
      <c r="R91" s="271">
        <v>1.4</v>
      </c>
      <c r="S91" s="98">
        <f>SUMIFS(Таблица1[сумма],Таблица1[коэф],"1,4",Таблица1[р/р],"3/16",Таблица1[Ф. И. О.],B88)</f>
        <v>0</v>
      </c>
      <c r="T91" s="94">
        <f t="shared" ref="T91:T96" si="48">ROUND(Q91*R91*S91,2)</f>
        <v>0</v>
      </c>
      <c r="U91" s="361">
        <f>IF(D83&lt;=3,база!$M$4,
IF(D83=4,база!$M$5,
IF(D83=5,база!$M$6)))</f>
        <v>225.09719999999999</v>
      </c>
      <c r="V91" s="271">
        <v>1.4</v>
      </c>
      <c r="W91" s="307">
        <f>SUMIFS(Таблица1[сумма],Таблица1[коэф],"1,4",Таблица1[р/р],"3/24",Таблица1[Ф. И. О.],B88)</f>
        <v>0</v>
      </c>
      <c r="X91" s="313">
        <f>ROUND(U91*V91*W91,2)</f>
        <v>0</v>
      </c>
      <c r="Y91" s="819"/>
      <c r="Z91" s="810"/>
      <c r="AA91" s="813"/>
    </row>
    <row r="92" spans="1:29" ht="24" thickBot="1">
      <c r="A92" s="756"/>
      <c r="B92" s="215"/>
      <c r="C92" s="825"/>
      <c r="D92" s="825"/>
      <c r="E92" s="78"/>
      <c r="F92" s="271"/>
      <c r="G92" s="98"/>
      <c r="H92" s="94"/>
      <c r="I92" s="82"/>
      <c r="J92" s="271"/>
      <c r="K92" s="216"/>
      <c r="L92" s="216"/>
      <c r="M92" s="216"/>
      <c r="N92" s="216"/>
      <c r="O92" s="216"/>
      <c r="P92" s="30"/>
      <c r="Q92" s="78">
        <f>база!$L$5</f>
        <v>231.45480000000001</v>
      </c>
      <c r="R92" s="271">
        <v>1.4</v>
      </c>
      <c r="S92" s="98">
        <f>SUMIFS(Таблица1[сумма],Таблица1[коэф],"1,4",Таблица1[р/р],"4/16",Таблица1[Ф. И. О.],B88)</f>
        <v>0</v>
      </c>
      <c r="T92" s="94">
        <f t="shared" si="48"/>
        <v>0</v>
      </c>
      <c r="U92" s="361">
        <f>база!$M$5</f>
        <v>247.41720000000001</v>
      </c>
      <c r="V92" s="271">
        <v>1.4</v>
      </c>
      <c r="W92" s="307">
        <f>SUMIFS(Таблица1[сумма],Таблица1[коэф],"1,4",Таблица1[р/р],"4/24",Таблица1[Ф. И. О.],B88)</f>
        <v>0</v>
      </c>
      <c r="X92" s="313">
        <f>ROUND(U92*V92*W92,2)</f>
        <v>0</v>
      </c>
      <c r="Y92" s="819"/>
      <c r="Z92" s="810"/>
      <c r="AA92" s="813"/>
    </row>
    <row r="93" spans="1:29" ht="24" thickBot="1">
      <c r="A93" s="757"/>
      <c r="B93" s="202"/>
      <c r="C93" s="826"/>
      <c r="D93" s="826"/>
      <c r="E93" s="101"/>
      <c r="F93" s="273"/>
      <c r="G93" s="97"/>
      <c r="H93" s="90"/>
      <c r="I93" s="220"/>
      <c r="J93" s="273"/>
      <c r="K93" s="288"/>
      <c r="L93" s="288"/>
      <c r="M93" s="288"/>
      <c r="N93" s="288"/>
      <c r="O93" s="288"/>
      <c r="P93" s="315"/>
      <c r="Q93" s="101">
        <f>база!$L$6</f>
        <v>261.04640000000001</v>
      </c>
      <c r="R93" s="273">
        <v>1.4</v>
      </c>
      <c r="S93" s="97">
        <f>SUMIFS(Таблица1[сумма],Таблица1[коэф],"1,4",Таблица1[р/р],"5/16",Таблица1[Ф. И. О.],B88)</f>
        <v>0</v>
      </c>
      <c r="T93" s="90">
        <f t="shared" si="48"/>
        <v>0</v>
      </c>
      <c r="U93" s="364">
        <f>база!$M$6</f>
        <v>279.0496</v>
      </c>
      <c r="V93" s="273">
        <v>1.4</v>
      </c>
      <c r="W93" s="312">
        <f>SUMIFS(Таблица1[сумма],Таблица1[коэф],"1,4",Таблица1[р/р],"5/24",Таблица1[Ф. И. О.],B88)</f>
        <v>0</v>
      </c>
      <c r="X93" s="343">
        <f>ROUND(U93*V93*W93,2)</f>
        <v>0</v>
      </c>
      <c r="Y93" s="820"/>
      <c r="Z93" s="811"/>
      <c r="AA93" s="814"/>
    </row>
    <row r="94" spans="1:29">
      <c r="A94" s="755">
        <v>9</v>
      </c>
      <c r="B94" s="215"/>
      <c r="C94" s="824">
        <f>INDEX(база!$E$2:$E$81, MATCH(B99,база!$B$2:$B$50,0))</f>
        <v>17169</v>
      </c>
      <c r="D94" s="824">
        <f>INDEX(база!$D$2:$D$89, MATCH(B99,база!$B$2:$B$50,0))</f>
        <v>3</v>
      </c>
      <c r="E94" s="72">
        <f>IF(D94&lt;=3,база!$I$4,
IF(D94=4,база!$I$5,
IF(D94=5,база!$I$6)))</f>
        <v>188.7912</v>
      </c>
      <c r="F94" s="269">
        <v>1</v>
      </c>
      <c r="G94" s="95">
        <f>SUMIFS(Таблица1[сумма],Таблица1[коэф],"1",Таблица1[р/р],"2/4",Таблица1[Ф. И. О.],B99)</f>
        <v>0</v>
      </c>
      <c r="H94" s="87">
        <f>ROUND(E94*F94*G94,2)</f>
        <v>0</v>
      </c>
      <c r="I94" s="81">
        <f>IF(D94&lt;=3,база!$J$4,
IF(D94=4,база!$J$5,
IF(D94=5,база!$J$6)))</f>
        <v>196.05240000000001</v>
      </c>
      <c r="J94" s="270">
        <v>1</v>
      </c>
      <c r="K94" s="309">
        <f>SUMIFS(Таблица1[сумма],Таблица1[коэф],"1",Таблица1[р/р],"2/8",Таблица1[Ф. И. О.],B99)</f>
        <v>0</v>
      </c>
      <c r="L94" s="309">
        <f>ROUND(I94*J94*K94,2)</f>
        <v>0</v>
      </c>
      <c r="M94" s="309"/>
      <c r="N94" s="309">
        <v>1</v>
      </c>
      <c r="O94" s="309">
        <f>SUMIFS(Data_Tech!$AM$3:$AM$67,Data_Tech!$E$3:$E$67,"1",Data_Tech!$G$3:$G$67,"3/12",Data_Tech!$F$3:$F$67,B99)</f>
        <v>0</v>
      </c>
      <c r="P94" s="281">
        <f>ROUND(M94*N94*O94,2)</f>
        <v>0</v>
      </c>
      <c r="Q94" s="72">
        <f>IF(D94&lt;=3,база!$L$4,
IF(D94=4,база!$L$5,
IF(D94=5,база!$L$6)))</f>
        <v>210.57480000000001</v>
      </c>
      <c r="R94" s="269">
        <v>1</v>
      </c>
      <c r="S94" s="95">
        <f>SUMIFS(Таблица1[сумма],Таблица1[коэф],"1",Таблица1[р/р],"3/16",Таблица1[Ф. И. О.],B99)</f>
        <v>0</v>
      </c>
      <c r="T94" s="317">
        <f t="shared" si="48"/>
        <v>0</v>
      </c>
      <c r="U94" s="365">
        <f>IF(D94&lt;=3,база!$M$4,
IF(D94=4,база!$M$5,
IF(D94=5,база!$M$6)))</f>
        <v>225.09719999999999</v>
      </c>
      <c r="V94" s="269">
        <v>1</v>
      </c>
      <c r="W94" s="339">
        <f>SUMIFS(Таблица1[сумма],Таблица1[коэф],"1",Таблица1[р/р],"3/24",Таблица1[Ф. И. О.],B99)</f>
        <v>0</v>
      </c>
      <c r="X94" s="342">
        <f>ROUND(U94*V94*W94,2)</f>
        <v>0</v>
      </c>
      <c r="Y94" s="819">
        <f t="shared" ref="Y94" si="49">SUM(G94:G104,K94:K104,O94:O104,S94:S104,W94:W104)</f>
        <v>0</v>
      </c>
      <c r="Z94" s="810">
        <f t="shared" ref="Z94" si="50">IFERROR(SUM(H94:H104,L94:L104,T94:T104,X94:X104),"")</f>
        <v>0</v>
      </c>
      <c r="AA94" s="813"/>
    </row>
    <row r="95" spans="1:29">
      <c r="A95" s="756"/>
      <c r="B95" s="215"/>
      <c r="C95" s="825"/>
      <c r="D95" s="825"/>
      <c r="E95" s="78">
        <f>IF(D94&lt;=3,база!$I$4,
IF(D94=4,база!$I$5,
IF(D94=5,база!$I$6)))</f>
        <v>188.7912</v>
      </c>
      <c r="F95" s="271">
        <v>1</v>
      </c>
      <c r="G95" s="98">
        <f>SUMIFS(Таблица1[сумма],Таблица1[коэф],"1",Таблица1[р/р],"3/4",Таблица1[Ф. И. О.],B99)</f>
        <v>0</v>
      </c>
      <c r="H95" s="94">
        <f>ROUND(E95*F95*G95,2)</f>
        <v>0</v>
      </c>
      <c r="I95" s="82">
        <f>IF(D94&lt;=3,база!$J$4,
IF(D94=4,база!$J$5,
IF(D94=5,база!$J$6)))</f>
        <v>196.05240000000001</v>
      </c>
      <c r="J95" s="271">
        <v>1</v>
      </c>
      <c r="K95" s="216">
        <f>SUMIFS(Таблица1[сумма],Таблица1[коэф],"1",Таблица1[р/р],"3/8",Таблица1[Ф. И. О.],B99)</f>
        <v>0</v>
      </c>
      <c r="L95" s="216">
        <f>ROUND(I95*J95*K95,2)</f>
        <v>0</v>
      </c>
      <c r="M95" s="216"/>
      <c r="N95" s="216">
        <v>1</v>
      </c>
      <c r="O95" s="216">
        <f>SUMIFS(Data_Tech!$AM$3:$AM$67,Data_Tech!$E$3:$E$67,"1",Data_Tech!$G$3:$G$67,"4/12",Data_Tech!$F$3:$F$67,B99)</f>
        <v>0</v>
      </c>
      <c r="P95" s="30">
        <f>ROUND(M95*O95,2)</f>
        <v>0</v>
      </c>
      <c r="Q95" s="78">
        <f>база!$L$5</f>
        <v>231.45480000000001</v>
      </c>
      <c r="R95" s="271">
        <v>1</v>
      </c>
      <c r="S95" s="98">
        <f>SUMIFS(Таблица1[сумма],Таблица1[коэф],"1",Таблица1[р/р],"4/16",Таблица1[Ф. И. О.],B99)</f>
        <v>0</v>
      </c>
      <c r="T95" s="92">
        <f t="shared" si="48"/>
        <v>0</v>
      </c>
      <c r="U95" s="366">
        <f>база!$M$5</f>
        <v>247.41720000000001</v>
      </c>
      <c r="V95" s="271">
        <v>1</v>
      </c>
      <c r="W95" s="314">
        <f>SUMIFS(Таблица1[сумма],Таблица1[коэф],"1",Таблица1[р/р],"4/24",Таблица1[Ф. И. О.],B99)</f>
        <v>0</v>
      </c>
      <c r="X95" s="313">
        <f t="shared" ref="X95" si="51">ROUND(U95*V95*W95,2)</f>
        <v>0</v>
      </c>
      <c r="Y95" s="819"/>
      <c r="Z95" s="810"/>
      <c r="AA95" s="813"/>
    </row>
    <row r="96" spans="1:29" ht="24" thickBot="1">
      <c r="A96" s="756"/>
      <c r="B96" s="215"/>
      <c r="C96" s="825"/>
      <c r="D96" s="825"/>
      <c r="E96" s="78"/>
      <c r="F96" s="271"/>
      <c r="G96" s="98"/>
      <c r="H96" s="94"/>
      <c r="I96" s="82"/>
      <c r="J96" s="271"/>
      <c r="K96" s="216"/>
      <c r="L96" s="216"/>
      <c r="M96" s="216"/>
      <c r="N96" s="216"/>
      <c r="O96" s="216"/>
      <c r="P96" s="30"/>
      <c r="Q96" s="78">
        <f>база!$L$6</f>
        <v>261.04640000000001</v>
      </c>
      <c r="R96" s="271">
        <v>1</v>
      </c>
      <c r="S96" s="98">
        <f>SUMIFS(Таблица1[сумма],Таблица1[коэф],"1",Таблица1[р/р],"5/16",Таблица1[Ф. И. О.],B99)</f>
        <v>0</v>
      </c>
      <c r="T96" s="92">
        <f t="shared" si="48"/>
        <v>0</v>
      </c>
      <c r="U96" s="366">
        <f>база!$M$6</f>
        <v>279.0496</v>
      </c>
      <c r="V96" s="271">
        <v>1</v>
      </c>
      <c r="W96" s="314">
        <f>SUMIFS(Таблица1[сумма],Таблица1[коэф],"1",Таблица1[р/р],"5/24",Таблица1[Ф. И. О.],B99)</f>
        <v>0</v>
      </c>
      <c r="X96" s="313">
        <f>ROUND(U96*V96*W96,2)</f>
        <v>0</v>
      </c>
      <c r="Y96" s="819"/>
      <c r="Z96" s="810"/>
      <c r="AA96" s="813"/>
    </row>
    <row r="97" spans="1:29" ht="24" thickBot="1">
      <c r="A97" s="756"/>
      <c r="B97" s="215"/>
      <c r="C97" s="825"/>
      <c r="D97" s="825"/>
      <c r="E97" s="78"/>
      <c r="F97" s="271"/>
      <c r="G97" s="98"/>
      <c r="H97" s="94"/>
      <c r="I97" s="82">
        <f>база!$J$5</f>
        <v>215.4924</v>
      </c>
      <c r="J97" s="271">
        <v>1.5</v>
      </c>
      <c r="K97" s="216">
        <f>SUMIFS(Таблица1[сумма],Таблица1[коэф],"1,5",Таблица1[р/р],"4/8",Таблица1[Ф. И. О.],B99)</f>
        <v>0</v>
      </c>
      <c r="L97" s="216">
        <f>ROUND(I97*J97*K97,2)</f>
        <v>0</v>
      </c>
      <c r="M97" s="216"/>
      <c r="N97" s="216"/>
      <c r="O97" s="216"/>
      <c r="P97" s="30"/>
      <c r="Q97" s="78">
        <f>IF(D94&lt;=3,база!$L$4,
IF(D94=4,база!$L$5,
IF(D94=5,база!$L$6)))</f>
        <v>210.57480000000001</v>
      </c>
      <c r="R97" s="271">
        <v>1.2</v>
      </c>
      <c r="S97" s="98">
        <f>SUMIFS(Таблица1[сумма],Таблица1[коэф],"1,2",Таблица1[р/р],"3/16",Таблица1[Ф. И. О.],B99)</f>
        <v>0</v>
      </c>
      <c r="T97" s="92">
        <f t="shared" ref="T97:T98" si="52">ROUND(Q97*R97*S97,2)</f>
        <v>0</v>
      </c>
      <c r="U97" s="366">
        <f>IF(D94&lt;=3,база!$M$4,
IF(D94=4,база!$M$5,
IF(D94=5,база!$M$6)))</f>
        <v>225.09719999999999</v>
      </c>
      <c r="V97" s="271">
        <v>1.2</v>
      </c>
      <c r="W97" s="314">
        <f>SUMIFS(Таблица1[сумма],Таблица1[коэф],"1,2",Таблица1[р/р],"3/24",Таблица1[Ф. И. О.],B99)</f>
        <v>0</v>
      </c>
      <c r="X97" s="313">
        <f t="shared" ref="X97:X98" si="53">ROUND(U97*V97*W97,2)</f>
        <v>0</v>
      </c>
      <c r="Y97" s="819"/>
      <c r="Z97" s="810"/>
      <c r="AA97" s="813"/>
    </row>
    <row r="98" spans="1:29" ht="24" thickBot="1">
      <c r="A98" s="756"/>
      <c r="B98" s="215"/>
      <c r="C98" s="825"/>
      <c r="D98" s="825"/>
      <c r="E98" s="78"/>
      <c r="F98" s="271"/>
      <c r="G98" s="98"/>
      <c r="H98" s="94"/>
      <c r="I98" s="82">
        <f>база!$J$6</f>
        <v>243.04319999999998</v>
      </c>
      <c r="J98" s="271">
        <v>1.5</v>
      </c>
      <c r="K98" s="216">
        <f>SUMIFS(Таблица1[сумма],Таблица1[коэф],"1,5",Таблица1[р/р],"5/8",Таблица1[Ф. И. О.],B99)</f>
        <v>0</v>
      </c>
      <c r="L98" s="216">
        <f>ROUND(I98*J98*K98,2)</f>
        <v>0</v>
      </c>
      <c r="M98" s="216"/>
      <c r="N98" s="216"/>
      <c r="O98" s="216"/>
      <c r="P98" s="30"/>
      <c r="Q98" s="78">
        <f>база!$L$5</f>
        <v>231.45480000000001</v>
      </c>
      <c r="R98" s="271">
        <v>1.2</v>
      </c>
      <c r="S98" s="98">
        <f>SUMIFS(Таблица1[сумма],Таблица1[коэф],"1,2",Таблица1[р/р],"4/16",Таблица1[Ф. И. О.],B99)</f>
        <v>0</v>
      </c>
      <c r="T98" s="92">
        <f t="shared" si="52"/>
        <v>0</v>
      </c>
      <c r="U98" s="366">
        <f>база!$M$5</f>
        <v>247.41720000000001</v>
      </c>
      <c r="V98" s="271">
        <v>1.2</v>
      </c>
      <c r="W98" s="314">
        <f>SUMIFS(Таблица1[сумма],Таблица1[коэф],"1,2",Таблица1[р/р],"4/24",Таблица1[Ф. И. О.],B99)</f>
        <v>0</v>
      </c>
      <c r="X98" s="313">
        <f t="shared" si="53"/>
        <v>0</v>
      </c>
      <c r="Y98" s="819"/>
      <c r="Z98" s="810"/>
      <c r="AA98" s="813"/>
      <c r="AC98" s="707" t="str">
        <f>IF(SUMIFS(Таблица1[Столбец2],Таблица1[Ф. И. О.],B99)-Z94=0,"",SUMIFS(Таблица1[Столбец2],Таблица1[Ф. И. О.],B99)-Z94)</f>
        <v/>
      </c>
    </row>
    <row r="99" spans="1:29" ht="24" thickBot="1">
      <c r="A99" s="756"/>
      <c r="B99" s="215" t="str">
        <f>база!B10</f>
        <v>Бекетова Надежда Ильинична</v>
      </c>
      <c r="C99" s="825"/>
      <c r="D99" s="825"/>
      <c r="E99" s="78"/>
      <c r="F99" s="271"/>
      <c r="G99" s="98"/>
      <c r="H99" s="94"/>
      <c r="I99" s="82"/>
      <c r="J99" s="271"/>
      <c r="K99" s="216"/>
      <c r="L99" s="216"/>
      <c r="M99" s="216"/>
      <c r="N99" s="216"/>
      <c r="O99" s="216"/>
      <c r="P99" s="30"/>
      <c r="Q99" s="78">
        <f>база!$L$6</f>
        <v>261.04640000000001</v>
      </c>
      <c r="R99" s="271">
        <v>1.2</v>
      </c>
      <c r="S99" s="98">
        <f>SUMIFS(Таблица1[сумма],Таблица1[коэф],"1,2",Таблица1[р/р],"5/16",Таблица1[Ф. И. О.],B99)</f>
        <v>0</v>
      </c>
      <c r="T99" s="92">
        <f>ROUND(Q99*R99*S99,2)</f>
        <v>0</v>
      </c>
      <c r="U99" s="366">
        <f>база!$M$6</f>
        <v>279.0496</v>
      </c>
      <c r="V99" s="271">
        <v>1.2</v>
      </c>
      <c r="W99" s="314">
        <f>SUMIFS(Таблица1[сумма],Таблица1[коэф],"1,2",Таблица1[р/р],"5/24",Таблица1[Ф. И. О.],B99)</f>
        <v>0</v>
      </c>
      <c r="X99" s="313">
        <f>ROUND(U99*V99*W99,2)</f>
        <v>0</v>
      </c>
      <c r="Y99" s="819"/>
      <c r="Z99" s="810"/>
      <c r="AA99" s="813"/>
      <c r="AC99" s="707" t="str">
        <f>IF(SUMIFS(Таблица1[сумма],Таблица1[Ф. И. О.],B99)=Y94,"",B94&amp;"  часы не верны")</f>
        <v/>
      </c>
    </row>
    <row r="100" spans="1:29" ht="24" thickBot="1">
      <c r="A100" s="756"/>
      <c r="B100" s="215"/>
      <c r="C100" s="825"/>
      <c r="D100" s="825"/>
      <c r="E100" s="78"/>
      <c r="F100" s="271"/>
      <c r="G100" s="98"/>
      <c r="H100" s="94"/>
      <c r="I100" s="82"/>
      <c r="J100" s="271"/>
      <c r="K100" s="216"/>
      <c r="L100" s="216"/>
      <c r="M100" s="216"/>
      <c r="N100" s="216"/>
      <c r="O100" s="216"/>
      <c r="P100" s="30"/>
      <c r="Q100" s="78">
        <f>IF($D$6&lt;=3,база!$L$4,
IF($D$6=4,база!$L$5,
IF($D$6=5,база!$L$6)))</f>
        <v>231.45480000000001</v>
      </c>
      <c r="R100" s="271">
        <v>1.3</v>
      </c>
      <c r="S100" s="98">
        <f>SUMIFS(Таблица1[сумма],Таблица1[коэф],"1,3",Таблица1[р/р],"3/16",Таблица1[Ф. И. О.],B99)</f>
        <v>0</v>
      </c>
      <c r="T100" s="92">
        <f t="shared" ref="T100:T101" si="54">ROUND(Q100*R100*S100,2)</f>
        <v>0</v>
      </c>
      <c r="U100" s="366">
        <f>IF(D94&lt;=3,база!$M$4,
IF(D94=4,база!$M$5,
IF(D94=5,база!$M$6)))</f>
        <v>225.09719999999999</v>
      </c>
      <c r="V100" s="271">
        <v>1.3</v>
      </c>
      <c r="W100" s="314">
        <f>SUMIFS(Таблица1[сумма],Таблица1[коэф],"1,3",Таблица1[р/р],"3/24",Таблица1[Ф. И. О.],B99)</f>
        <v>0</v>
      </c>
      <c r="X100" s="313">
        <f t="shared" ref="X100:X101" si="55">ROUND(U100*V100*W100,2)</f>
        <v>0</v>
      </c>
      <c r="Y100" s="819"/>
      <c r="Z100" s="810"/>
      <c r="AA100" s="813"/>
    </row>
    <row r="101" spans="1:29" ht="24" thickBot="1">
      <c r="A101" s="756"/>
      <c r="B101" s="215"/>
      <c r="C101" s="825"/>
      <c r="D101" s="825"/>
      <c r="E101" s="78"/>
      <c r="F101" s="271"/>
      <c r="G101" s="98"/>
      <c r="H101" s="94"/>
      <c r="I101" s="82"/>
      <c r="J101" s="271"/>
      <c r="K101" s="216"/>
      <c r="L101" s="216"/>
      <c r="M101" s="216"/>
      <c r="N101" s="216"/>
      <c r="O101" s="216"/>
      <c r="P101" s="30"/>
      <c r="Q101" s="78">
        <f>база!$L$5</f>
        <v>231.45480000000001</v>
      </c>
      <c r="R101" s="271">
        <v>1.3</v>
      </c>
      <c r="S101" s="98">
        <f>SUMIFS(Таблица1[сумма],Таблица1[коэф],"1,3",Таблица1[р/р],"4/16",Таблица1[Ф. И. О.],B99)</f>
        <v>0</v>
      </c>
      <c r="T101" s="92">
        <f t="shared" si="54"/>
        <v>0</v>
      </c>
      <c r="U101" s="366">
        <f>база!$M$5</f>
        <v>247.41720000000001</v>
      </c>
      <c r="V101" s="271">
        <v>1.3</v>
      </c>
      <c r="W101" s="314">
        <f>SUMIFS(Таблица1[сумма],Таблица1[коэф],"1,3",Таблица1[р/р],"4/24",Таблица1[Ф. И. О.],B99)</f>
        <v>0</v>
      </c>
      <c r="X101" s="313">
        <f t="shared" si="55"/>
        <v>0</v>
      </c>
      <c r="Y101" s="819"/>
      <c r="Z101" s="810"/>
      <c r="AA101" s="813"/>
    </row>
    <row r="102" spans="1:29" ht="24" thickBot="1">
      <c r="A102" s="756"/>
      <c r="B102" s="215"/>
      <c r="C102" s="825"/>
      <c r="D102" s="825"/>
      <c r="E102" s="78"/>
      <c r="F102" s="271"/>
      <c r="G102" s="98"/>
      <c r="H102" s="94"/>
      <c r="I102" s="82"/>
      <c r="J102" s="271"/>
      <c r="K102" s="216"/>
      <c r="L102" s="216"/>
      <c r="M102" s="216"/>
      <c r="N102" s="216"/>
      <c r="O102" s="216"/>
      <c r="P102" s="30"/>
      <c r="Q102" s="78">
        <f>IF(D94&lt;=3,база!$L$4,
IF(D94=4,база!$L$5,
IF(D94=5,база!$L$6)))</f>
        <v>210.57480000000001</v>
      </c>
      <c r="R102" s="271">
        <v>1.4</v>
      </c>
      <c r="S102" s="98">
        <f>SUMIFS(Таблица1[сумма],Таблица1[коэф],"1,4",Таблица1[р/р],"3/16",Таблица1[Ф. И. О.],B99)</f>
        <v>0</v>
      </c>
      <c r="T102" s="92">
        <f t="shared" ref="T102:T107" si="56">ROUND(Q102*R102*S102,2)</f>
        <v>0</v>
      </c>
      <c r="U102" s="366">
        <f>IF(D94&lt;=3,база!$M$4,
IF(D94=4,база!$M$5,
IF(D94=5,база!$M$6)))</f>
        <v>225.09719999999999</v>
      </c>
      <c r="V102" s="271">
        <v>1.4</v>
      </c>
      <c r="W102" s="314">
        <f>SUMIFS(Таблица1[сумма],Таблица1[коэф],"1,4",Таблица1[р/р],"3/24",Таблица1[Ф. И. О.],B99)</f>
        <v>0</v>
      </c>
      <c r="X102" s="313">
        <f>ROUND(U102*V102*W102,2)</f>
        <v>0</v>
      </c>
      <c r="Y102" s="819"/>
      <c r="Z102" s="810"/>
      <c r="AA102" s="813"/>
    </row>
    <row r="103" spans="1:29" ht="24" thickBot="1">
      <c r="A103" s="756"/>
      <c r="B103" s="215"/>
      <c r="C103" s="825"/>
      <c r="D103" s="825"/>
      <c r="E103" s="78"/>
      <c r="F103" s="271"/>
      <c r="G103" s="98"/>
      <c r="H103" s="94"/>
      <c r="I103" s="82"/>
      <c r="J103" s="271"/>
      <c r="K103" s="216"/>
      <c r="L103" s="216"/>
      <c r="M103" s="216"/>
      <c r="N103" s="216"/>
      <c r="O103" s="216"/>
      <c r="P103" s="30"/>
      <c r="Q103" s="78">
        <f>база!$L$5</f>
        <v>231.45480000000001</v>
      </c>
      <c r="R103" s="271">
        <v>1.4</v>
      </c>
      <c r="S103" s="98">
        <f>SUMIFS(Таблица1[сумма],Таблица1[коэф],"1,4",Таблица1[р/р],"4/16",Таблица1[Ф. И. О.],B99)</f>
        <v>0</v>
      </c>
      <c r="T103" s="92">
        <f t="shared" si="56"/>
        <v>0</v>
      </c>
      <c r="U103" s="366">
        <f>база!$M$5</f>
        <v>247.41720000000001</v>
      </c>
      <c r="V103" s="271">
        <v>1.4</v>
      </c>
      <c r="W103" s="314">
        <f>SUMIFS(Таблица1[сумма],Таблица1[коэф],"1,4",Таблица1[р/р],"4/24",Таблица1[Ф. И. О.],B99)</f>
        <v>0</v>
      </c>
      <c r="X103" s="313">
        <f>ROUND(U103*V103*W103,2)</f>
        <v>0</v>
      </c>
      <c r="Y103" s="819"/>
      <c r="Z103" s="810"/>
      <c r="AA103" s="813"/>
    </row>
    <row r="104" spans="1:29" ht="24" thickBot="1">
      <c r="A104" s="757"/>
      <c r="B104" s="215"/>
      <c r="C104" s="826"/>
      <c r="D104" s="826"/>
      <c r="E104" s="217"/>
      <c r="F104" s="274"/>
      <c r="G104" s="104"/>
      <c r="H104" s="103"/>
      <c r="I104" s="303"/>
      <c r="J104" s="274"/>
      <c r="K104" s="302"/>
      <c r="L104" s="302"/>
      <c r="M104" s="302"/>
      <c r="N104" s="302"/>
      <c r="O104" s="302"/>
      <c r="P104" s="308"/>
      <c r="Q104" s="217">
        <f>база!$L$6</f>
        <v>261.04640000000001</v>
      </c>
      <c r="R104" s="274">
        <v>1.4</v>
      </c>
      <c r="S104" s="104">
        <f>SUMIFS(Таблица1[сумма],Таблица1[коэф],"1,4",Таблица1[р/р],"5/16",Таблица1[Ф. И. О.],B99)</f>
        <v>0</v>
      </c>
      <c r="T104" s="316">
        <f t="shared" si="56"/>
        <v>0</v>
      </c>
      <c r="U104" s="367">
        <f>база!$M$6</f>
        <v>279.0496</v>
      </c>
      <c r="V104" s="273">
        <v>1.4</v>
      </c>
      <c r="W104" s="347">
        <f>SUMIFS(Таблица1[сумма],Таблица1[коэф],"1,4",Таблица1[р/р],"5/24",Таблица1[Ф. И. О.],B99)</f>
        <v>0</v>
      </c>
      <c r="X104" s="343">
        <f>ROUND(U104*V104*W104,2)</f>
        <v>0</v>
      </c>
      <c r="Y104" s="820"/>
      <c r="Z104" s="811"/>
      <c r="AA104" s="814"/>
    </row>
    <row r="105" spans="1:29">
      <c r="A105" s="755">
        <v>10</v>
      </c>
      <c r="B105" s="235"/>
      <c r="C105" s="824">
        <f>INDEX(база!$E$2:$E$81, MATCH(B110,база!$B$2:$B$50,0))</f>
        <v>16250</v>
      </c>
      <c r="D105" s="824">
        <f>INDEX(база!$D$2:$D$89, MATCH(B110,база!$B$2:$B$50,0))</f>
        <v>3</v>
      </c>
      <c r="E105" s="72">
        <f>IF(D105&lt;=3,база!$I$4,
IF(D105=4,база!$I$5,
IF(D105=5,база!$I$6)))</f>
        <v>188.7912</v>
      </c>
      <c r="F105" s="269">
        <v>1</v>
      </c>
      <c r="G105" s="95">
        <f>SUMIFS(Таблица1[сумма],Таблица1[коэф],"1",Таблица1[р/р],"2/4",Таблица1[Ф. И. О.],B110)</f>
        <v>0</v>
      </c>
      <c r="H105" s="87">
        <f>ROUND(E105*F105*G105,2)</f>
        <v>0</v>
      </c>
      <c r="I105" s="310">
        <f>IF(D105&lt;=3,база!$J$4,
IF(D105=4,база!$J$5,
IF(D105=5,база!$J$6)))</f>
        <v>196.05240000000001</v>
      </c>
      <c r="J105" s="269">
        <v>1</v>
      </c>
      <c r="K105" s="287">
        <f>SUMIFS(Таблица1[сумма],Таблица1[коэф],"1",Таблица1[р/р],"2/8",Таблица1[Ф. И. О.],B110)</f>
        <v>0</v>
      </c>
      <c r="L105" s="287">
        <f>ROUND(I105*J105*K105,2)</f>
        <v>0</v>
      </c>
      <c r="M105" s="287"/>
      <c r="N105" s="287">
        <v>1</v>
      </c>
      <c r="O105" s="287">
        <f>SUMIFS(Data_Tech!$AM$3:$AM$67,Data_Tech!$E$3:$E$67,"1",Data_Tech!$G$3:$G$67,"3/12",Data_Tech!$F$3:$F$67,B110)</f>
        <v>0</v>
      </c>
      <c r="P105" s="280">
        <f>ROUND(M105*N105*O105,2)</f>
        <v>0</v>
      </c>
      <c r="Q105" s="72">
        <f>IF(D105&lt;=3,база!$L$4,
IF(D105=4,база!$L$5,
IF(D105=5,база!$L$6)))</f>
        <v>210.57480000000001</v>
      </c>
      <c r="R105" s="269">
        <v>1</v>
      </c>
      <c r="S105" s="95">
        <f>SUMIFS(Таблица1[сумма],Таблица1[коэф],"1",Таблица1[р/р],"3/16",Таблица1[Ф. И. О.],B110)</f>
        <v>0</v>
      </c>
      <c r="T105" s="87">
        <f t="shared" si="56"/>
        <v>0</v>
      </c>
      <c r="U105" s="363">
        <f>IF(D105&lt;=3,база!$M$4,
IF(D105=4,база!$M$5,
IF(D105=5,база!$M$6)))</f>
        <v>225.09719999999999</v>
      </c>
      <c r="V105" s="269">
        <v>1</v>
      </c>
      <c r="W105" s="339">
        <f>SUMIFS(Таблица1[сумма],Таблица1[коэф],"1",Таблица1[р/р],"3/24",Таблица1[Ф. И. О.],B110)</f>
        <v>0</v>
      </c>
      <c r="X105" s="342">
        <f>ROUND(U105*V105*W105,2)</f>
        <v>0</v>
      </c>
      <c r="Y105" s="819">
        <f t="shared" ref="Y105" si="57">SUM(G105:G115,K105:K115,O105:O115,S105:S115,W105:W115)</f>
        <v>0</v>
      </c>
      <c r="Z105" s="810">
        <f t="shared" ref="Z105" si="58">IFERROR(SUM(H105:H115,L105:L115,T105:T115,X105:X115),"")</f>
        <v>0</v>
      </c>
      <c r="AA105" s="813"/>
    </row>
    <row r="106" spans="1:29">
      <c r="A106" s="756"/>
      <c r="B106" s="215"/>
      <c r="C106" s="825"/>
      <c r="D106" s="825"/>
      <c r="E106" s="78">
        <f>IF(D105&lt;=3,база!$I$4,
IF(D105=4,база!$I$5,
IF(D105=5,база!$I$6)))</f>
        <v>188.7912</v>
      </c>
      <c r="F106" s="271">
        <v>1</v>
      </c>
      <c r="G106" s="98">
        <f>SUMIFS(Таблица1[сумма],Таблица1[коэф],"1",Таблица1[р/р],"3/4",Таблица1[Ф. И. О.],B110)</f>
        <v>0</v>
      </c>
      <c r="H106" s="94">
        <f>ROUND(E106*F106*G106,2)</f>
        <v>0</v>
      </c>
      <c r="I106" s="82">
        <f>IF(D105&lt;=3,база!$J$4,
IF(D105=4,база!$J$5,
IF(D105=5,база!$J$6)))</f>
        <v>196.05240000000001</v>
      </c>
      <c r="J106" s="271">
        <v>1</v>
      </c>
      <c r="K106" s="216">
        <f>SUMIFS(Таблица1[сумма],Таблица1[коэф],"1",Таблица1[р/р],"3/8",Таблица1[Ф. И. О.],B110)</f>
        <v>0</v>
      </c>
      <c r="L106" s="216">
        <f>ROUND(I106*J106*K106,2)</f>
        <v>0</v>
      </c>
      <c r="M106" s="216"/>
      <c r="N106" s="216">
        <v>1</v>
      </c>
      <c r="O106" s="216">
        <f>SUMIFS(Data_Tech!$AM$3:$AM$67,Data_Tech!$E$3:$E$67,"1",Data_Tech!$G$3:$G$67,"4/12",Data_Tech!$F$3:$F$67,B110)</f>
        <v>0</v>
      </c>
      <c r="P106" s="30">
        <f>ROUND(M106*O106,2)</f>
        <v>0</v>
      </c>
      <c r="Q106" s="78">
        <f>база!$L$5</f>
        <v>231.45480000000001</v>
      </c>
      <c r="R106" s="271">
        <v>1</v>
      </c>
      <c r="S106" s="98">
        <f>SUMIFS(Таблица1[сумма],Таблица1[коэф],"1",Таблица1[р/р],"4/16",Таблица1[Ф. И. О.],B110)</f>
        <v>0</v>
      </c>
      <c r="T106" s="94">
        <f t="shared" si="56"/>
        <v>0</v>
      </c>
      <c r="U106" s="361">
        <f>база!$M$5</f>
        <v>247.41720000000001</v>
      </c>
      <c r="V106" s="271">
        <v>1</v>
      </c>
      <c r="W106" s="314">
        <f>SUMIFS(Таблица1[сумма],Таблица1[коэф],"1",Таблица1[р/р],"4/24",Таблица1[Ф. И. О.],B110)</f>
        <v>0</v>
      </c>
      <c r="X106" s="313">
        <f t="shared" ref="X106" si="59">ROUND(U106*V106*W106,2)</f>
        <v>0</v>
      </c>
      <c r="Y106" s="819"/>
      <c r="Z106" s="810"/>
      <c r="AA106" s="813"/>
    </row>
    <row r="107" spans="1:29">
      <c r="A107" s="756"/>
      <c r="B107" s="215"/>
      <c r="C107" s="825"/>
      <c r="D107" s="825"/>
      <c r="E107" s="78"/>
      <c r="F107" s="271"/>
      <c r="G107" s="98"/>
      <c r="H107" s="94"/>
      <c r="I107" s="82"/>
      <c r="J107" s="271"/>
      <c r="K107" s="216"/>
      <c r="L107" s="216"/>
      <c r="M107" s="216"/>
      <c r="N107" s="216"/>
      <c r="O107" s="216"/>
      <c r="P107" s="30"/>
      <c r="Q107" s="78">
        <f>база!$L$6</f>
        <v>261.04640000000001</v>
      </c>
      <c r="R107" s="271">
        <v>1</v>
      </c>
      <c r="S107" s="98">
        <f>SUMIFS(Таблица1[сумма],Таблица1[коэф],"1",Таблица1[р/р],"5/16",Таблица1[Ф. И. О.],B110)</f>
        <v>0</v>
      </c>
      <c r="T107" s="94">
        <f t="shared" si="56"/>
        <v>0</v>
      </c>
      <c r="U107" s="361">
        <f>база!$M$6</f>
        <v>279.0496</v>
      </c>
      <c r="V107" s="271">
        <v>1</v>
      </c>
      <c r="W107" s="314">
        <f>SUMIFS(Таблица1[сумма],Таблица1[коэф],"1",Таблица1[р/р],"5/24",Таблица1[Ф. И. О.],B110)</f>
        <v>0</v>
      </c>
      <c r="X107" s="313">
        <f>ROUND(U107*V107*W107,2)</f>
        <v>0</v>
      </c>
      <c r="Y107" s="819"/>
      <c r="Z107" s="810"/>
      <c r="AA107" s="813"/>
    </row>
    <row r="108" spans="1:29">
      <c r="A108" s="756"/>
      <c r="B108" s="215"/>
      <c r="C108" s="825"/>
      <c r="D108" s="825"/>
      <c r="E108" s="78"/>
      <c r="F108" s="271"/>
      <c r="G108" s="98"/>
      <c r="H108" s="94"/>
      <c r="I108" s="82">
        <f>база!$J$5</f>
        <v>215.4924</v>
      </c>
      <c r="J108" s="271">
        <v>1.5</v>
      </c>
      <c r="K108" s="216">
        <f>SUMIFS(Таблица1[сумма],Таблица1[коэф],"1,5",Таблица1[р/р],"4/8",Таблица1[Ф. И. О.],B110)</f>
        <v>0</v>
      </c>
      <c r="L108" s="216">
        <f>ROUND(I108*J108*K108,2)</f>
        <v>0</v>
      </c>
      <c r="M108" s="216"/>
      <c r="N108" s="216"/>
      <c r="O108" s="216"/>
      <c r="P108" s="30"/>
      <c r="Q108" s="78">
        <f>IF(D105&lt;=3,база!$L$4,
IF(D105=4,база!$L$5,
IF(D105=5,база!$L$6)))</f>
        <v>210.57480000000001</v>
      </c>
      <c r="R108" s="271">
        <v>1.2</v>
      </c>
      <c r="S108" s="98">
        <f>SUMIFS(Таблица1[сумма],Таблица1[коэф],"1,2",Таблица1[р/р],"3/16",Таблица1[Ф. И. О.],B110)</f>
        <v>0</v>
      </c>
      <c r="T108" s="94">
        <f t="shared" ref="T108:T109" si="60">ROUND(Q108*R108*S108,2)</f>
        <v>0</v>
      </c>
      <c r="U108" s="361">
        <f>IF(D105&lt;=3,база!$M$4,
IF(D105=4,база!$M$5,
IF(D105=5,база!$M$6)))</f>
        <v>225.09719999999999</v>
      </c>
      <c r="V108" s="271">
        <v>1.2</v>
      </c>
      <c r="W108" s="314">
        <f>SUMIFS(Таблица1[сумма],Таблица1[коэф],"1,2",Таблица1[р/р],"3/24",Таблица1[Ф. И. О.],B110)</f>
        <v>0</v>
      </c>
      <c r="X108" s="313">
        <f t="shared" ref="X108:X109" si="61">ROUND(U108*V108*W108,2)</f>
        <v>0</v>
      </c>
      <c r="Y108" s="819"/>
      <c r="Z108" s="810"/>
      <c r="AA108" s="813"/>
    </row>
    <row r="109" spans="1:29">
      <c r="A109" s="756"/>
      <c r="B109" s="215"/>
      <c r="C109" s="825"/>
      <c r="D109" s="825"/>
      <c r="E109" s="78"/>
      <c r="F109" s="271"/>
      <c r="G109" s="98"/>
      <c r="H109" s="94"/>
      <c r="I109" s="82">
        <f>база!$J$6</f>
        <v>243.04319999999998</v>
      </c>
      <c r="J109" s="271">
        <v>1.5</v>
      </c>
      <c r="K109" s="216">
        <f>SUMIFS(Таблица1[сумма],Таблица1[коэф],"1,5",Таблица1[р/р],"5/8",Таблица1[Ф. И. О.],B110)</f>
        <v>0</v>
      </c>
      <c r="L109" s="216">
        <f>ROUND(I109*J109*K109,2)</f>
        <v>0</v>
      </c>
      <c r="M109" s="216"/>
      <c r="N109" s="216"/>
      <c r="O109" s="216"/>
      <c r="P109" s="30"/>
      <c r="Q109" s="78">
        <f>база!$L$5</f>
        <v>231.45480000000001</v>
      </c>
      <c r="R109" s="271">
        <v>1.2</v>
      </c>
      <c r="S109" s="98">
        <f>SUMIFS(Таблица1[сумма],Таблица1[коэф],"1,2",Таблица1[р/р],"4/16",Таблица1[Ф. И. О.],B110)</f>
        <v>0</v>
      </c>
      <c r="T109" s="94">
        <f t="shared" si="60"/>
        <v>0</v>
      </c>
      <c r="U109" s="361">
        <f>база!$M$5</f>
        <v>247.41720000000001</v>
      </c>
      <c r="V109" s="271">
        <v>1.2</v>
      </c>
      <c r="W109" s="314">
        <f>SUMIFS(Таблица1[сумма],Таблица1[коэф],"1,2",Таблица1[р/р],"4/24",Таблица1[Ф. И. О.],B110)</f>
        <v>0</v>
      </c>
      <c r="X109" s="313">
        <f t="shared" si="61"/>
        <v>0</v>
      </c>
      <c r="Y109" s="819"/>
      <c r="Z109" s="810"/>
      <c r="AA109" s="813"/>
      <c r="AC109" s="707" t="str">
        <f>IF(SUMIFS(Таблица1[Столбец2],Таблица1[Ф. И. О.],B110)-Z105=0,"",SUMIFS(Таблица1[Столбец2],Таблица1[Ф. И. О.],B110)-Z105)</f>
        <v/>
      </c>
    </row>
    <row r="110" spans="1:29" ht="24" thickBot="1">
      <c r="A110" s="756"/>
      <c r="B110" s="215" t="str">
        <f>база!B11</f>
        <v>Бородицкая Ирина Борисовна</v>
      </c>
      <c r="C110" s="825"/>
      <c r="D110" s="825"/>
      <c r="E110" s="78"/>
      <c r="F110" s="271"/>
      <c r="G110" s="98"/>
      <c r="H110" s="94"/>
      <c r="I110" s="82"/>
      <c r="J110" s="271"/>
      <c r="K110" s="216"/>
      <c r="L110" s="216"/>
      <c r="M110" s="216"/>
      <c r="N110" s="216"/>
      <c r="O110" s="216"/>
      <c r="P110" s="30"/>
      <c r="Q110" s="78">
        <f>база!$L$6</f>
        <v>261.04640000000001</v>
      </c>
      <c r="R110" s="271">
        <v>1.2</v>
      </c>
      <c r="S110" s="98">
        <f>SUMIFS(Таблица1[сумма],Таблица1[коэф],"1,2",Таблица1[р/р],"5/16",Таблица1[Ф. И. О.],B110)</f>
        <v>0</v>
      </c>
      <c r="T110" s="94">
        <f>ROUND(Q110*R110*S110,2)</f>
        <v>0</v>
      </c>
      <c r="U110" s="361">
        <f>база!$M$6</f>
        <v>279.0496</v>
      </c>
      <c r="V110" s="271">
        <v>1.2</v>
      </c>
      <c r="W110" s="314">
        <f>SUMIFS(Таблица1[сумма],Таблица1[коэф],"1,2",Таблица1[р/р],"5/24",Таблица1[Ф. И. О.],B110)</f>
        <v>0</v>
      </c>
      <c r="X110" s="313">
        <f>ROUND(U110*V110*W110,2)</f>
        <v>0</v>
      </c>
      <c r="Y110" s="819"/>
      <c r="Z110" s="810"/>
      <c r="AA110" s="813"/>
      <c r="AC110" s="707" t="str">
        <f>IF(SUMIFS(Таблица1[сумма],Таблица1[Ф. И. О.],B110)=Y105,"",B105&amp;"  часы не верны")</f>
        <v/>
      </c>
    </row>
    <row r="111" spans="1:29" ht="24" thickBot="1">
      <c r="A111" s="756"/>
      <c r="B111" s="215"/>
      <c r="C111" s="825"/>
      <c r="D111" s="825"/>
      <c r="E111" s="78"/>
      <c r="F111" s="271"/>
      <c r="G111" s="98"/>
      <c r="H111" s="94"/>
      <c r="I111" s="82"/>
      <c r="J111" s="271"/>
      <c r="K111" s="216"/>
      <c r="L111" s="216"/>
      <c r="M111" s="216"/>
      <c r="N111" s="216"/>
      <c r="O111" s="216"/>
      <c r="P111" s="30"/>
      <c r="Q111" s="78">
        <f>IF($D$6&lt;=3,база!$L$4,
IF($D$6=4,база!$L$5,
IF($D$6=5,база!$L$6)))</f>
        <v>231.45480000000001</v>
      </c>
      <c r="R111" s="271">
        <v>1.3</v>
      </c>
      <c r="S111" s="98">
        <f>SUMIFS(Таблица1[сумма],Таблица1[коэф],"1,3",Таблица1[р/р],"3/16",Таблица1[Ф. И. О.],B110)</f>
        <v>0</v>
      </c>
      <c r="T111" s="94">
        <f t="shared" ref="T111:T112" si="62">ROUND(Q111*R111*S111,2)</f>
        <v>0</v>
      </c>
      <c r="U111" s="361">
        <f>IF(D105&lt;=3,база!$M$4,
IF(D105=4,база!$M$5,
IF(D105=5,база!$M$6)))</f>
        <v>225.09719999999999</v>
      </c>
      <c r="V111" s="271">
        <v>1.3</v>
      </c>
      <c r="W111" s="314">
        <f>SUMIFS(Таблица1[сумма],Таблица1[коэф],"1,3",Таблица1[р/р],"3/24",Таблица1[Ф. И. О.],B110)</f>
        <v>0</v>
      </c>
      <c r="X111" s="313">
        <f t="shared" ref="X111:X112" si="63">ROUND(U111*V111*W111,2)</f>
        <v>0</v>
      </c>
      <c r="Y111" s="819"/>
      <c r="Z111" s="810"/>
      <c r="AA111" s="813"/>
    </row>
    <row r="112" spans="1:29" ht="24" thickBot="1">
      <c r="A112" s="756"/>
      <c r="B112" s="215"/>
      <c r="C112" s="825"/>
      <c r="D112" s="825"/>
      <c r="E112" s="78"/>
      <c r="F112" s="271"/>
      <c r="G112" s="98"/>
      <c r="H112" s="94"/>
      <c r="I112" s="82"/>
      <c r="J112" s="271"/>
      <c r="K112" s="216"/>
      <c r="L112" s="216"/>
      <c r="M112" s="216"/>
      <c r="N112" s="216"/>
      <c r="O112" s="216"/>
      <c r="P112" s="30"/>
      <c r="Q112" s="78">
        <f>база!$L$5</f>
        <v>231.45480000000001</v>
      </c>
      <c r="R112" s="271">
        <v>1.3</v>
      </c>
      <c r="S112" s="98">
        <f>SUMIFS(Таблица1[сумма],Таблица1[коэф],"1,3",Таблица1[р/р],"4/16",Таблица1[Ф. И. О.],B110)</f>
        <v>0</v>
      </c>
      <c r="T112" s="94">
        <f t="shared" si="62"/>
        <v>0</v>
      </c>
      <c r="U112" s="361">
        <f>база!$M$5</f>
        <v>247.41720000000001</v>
      </c>
      <c r="V112" s="271">
        <v>1.3</v>
      </c>
      <c r="W112" s="314">
        <f>SUMIFS(Таблица1[сумма],Таблица1[коэф],"1,3",Таблица1[р/р],"4/24",Таблица1[Ф. И. О.],B110)</f>
        <v>0</v>
      </c>
      <c r="X112" s="313">
        <f t="shared" si="63"/>
        <v>0</v>
      </c>
      <c r="Y112" s="819"/>
      <c r="Z112" s="810"/>
      <c r="AA112" s="813"/>
    </row>
    <row r="113" spans="1:29" ht="24" thickBot="1">
      <c r="A113" s="756"/>
      <c r="B113" s="215"/>
      <c r="C113" s="825"/>
      <c r="D113" s="825"/>
      <c r="E113" s="78"/>
      <c r="F113" s="271"/>
      <c r="G113" s="98"/>
      <c r="H113" s="94"/>
      <c r="I113" s="82"/>
      <c r="J113" s="271"/>
      <c r="K113" s="216"/>
      <c r="L113" s="216"/>
      <c r="M113" s="216"/>
      <c r="N113" s="216"/>
      <c r="O113" s="216"/>
      <c r="P113" s="30"/>
      <c r="Q113" s="78">
        <f>IF(D105&lt;=3,база!$L$4,
IF(D105=4,база!$L$5,
IF(D105=5,база!$L$6)))</f>
        <v>210.57480000000001</v>
      </c>
      <c r="R113" s="271">
        <v>1.4</v>
      </c>
      <c r="S113" s="98">
        <f>SUMIFS(Таблица1[сумма],Таблица1[коэф],"1,4",Таблица1[р/р],"3/16",Таблица1[Ф. И. О.],B110)</f>
        <v>0</v>
      </c>
      <c r="T113" s="94">
        <f t="shared" ref="T113:T118" si="64">ROUND(Q113*R113*S113,2)</f>
        <v>0</v>
      </c>
      <c r="U113" s="361">
        <f>IF(D105&lt;=3,база!$M$4,
IF(D105=4,база!$M$5,
IF(D105=5,база!$M$6)))</f>
        <v>225.09719999999999</v>
      </c>
      <c r="V113" s="271">
        <v>1.4</v>
      </c>
      <c r="W113" s="314">
        <f>SUMIFS(Таблица1[сумма],Таблица1[коэф],"1,4",Таблица1[р/р],"3/24",Таблица1[Ф. И. О.],B110)</f>
        <v>0</v>
      </c>
      <c r="X113" s="313">
        <f>ROUND(U113*V113*W113,2)</f>
        <v>0</v>
      </c>
      <c r="Y113" s="819"/>
      <c r="Z113" s="810"/>
      <c r="AA113" s="813"/>
    </row>
    <row r="114" spans="1:29" ht="24" thickBot="1">
      <c r="A114" s="756"/>
      <c r="B114" s="215"/>
      <c r="C114" s="825"/>
      <c r="D114" s="825"/>
      <c r="E114" s="78"/>
      <c r="F114" s="271"/>
      <c r="G114" s="98"/>
      <c r="H114" s="94"/>
      <c r="I114" s="82"/>
      <c r="J114" s="271"/>
      <c r="K114" s="216"/>
      <c r="L114" s="216"/>
      <c r="M114" s="216"/>
      <c r="N114" s="216"/>
      <c r="O114" s="216"/>
      <c r="P114" s="30"/>
      <c r="Q114" s="78">
        <f>база!$L$5</f>
        <v>231.45480000000001</v>
      </c>
      <c r="R114" s="271">
        <v>1.4</v>
      </c>
      <c r="S114" s="98">
        <f>SUMIFS(Таблица1[сумма],Таблица1[коэф],"1,4",Таблица1[р/р],"4/16",Таблица1[Ф. И. О.],B110)</f>
        <v>0</v>
      </c>
      <c r="T114" s="94">
        <f t="shared" si="64"/>
        <v>0</v>
      </c>
      <c r="U114" s="361">
        <f>база!$M$5</f>
        <v>247.41720000000001</v>
      </c>
      <c r="V114" s="271">
        <v>1.4</v>
      </c>
      <c r="W114" s="314">
        <f>SUMIFS(Таблица1[сумма],Таблица1[коэф],"1,4",Таблица1[р/р],"4/24",Таблица1[Ф. И. О.],B110)</f>
        <v>0</v>
      </c>
      <c r="X114" s="313">
        <f>ROUND(U114*V114*W114,2)</f>
        <v>0</v>
      </c>
      <c r="Y114" s="819"/>
      <c r="Z114" s="810"/>
      <c r="AA114" s="813"/>
    </row>
    <row r="115" spans="1:29" ht="24" thickBot="1">
      <c r="A115" s="757"/>
      <c r="B115" s="202"/>
      <c r="C115" s="826"/>
      <c r="D115" s="826"/>
      <c r="E115" s="101"/>
      <c r="F115" s="273"/>
      <c r="G115" s="97"/>
      <c r="H115" s="90"/>
      <c r="I115" s="220"/>
      <c r="J115" s="273"/>
      <c r="K115" s="288"/>
      <c r="L115" s="288"/>
      <c r="M115" s="288"/>
      <c r="N115" s="288"/>
      <c r="O115" s="288"/>
      <c r="P115" s="315"/>
      <c r="Q115" s="101">
        <f>база!$L$6</f>
        <v>261.04640000000001</v>
      </c>
      <c r="R115" s="273">
        <v>1.4</v>
      </c>
      <c r="S115" s="97">
        <f>SUMIFS(Таблица1[сумма],Таблица1[коэф],"1,4",Таблица1[р/р],"5/16",Таблица1[Ф. И. О.],B110)</f>
        <v>0</v>
      </c>
      <c r="T115" s="90">
        <f t="shared" si="64"/>
        <v>0</v>
      </c>
      <c r="U115" s="364">
        <f>база!$M$6</f>
        <v>279.0496</v>
      </c>
      <c r="V115" s="273">
        <v>1.4</v>
      </c>
      <c r="W115" s="347">
        <f>SUMIFS(Таблица1[сумма],Таблица1[коэф],"1,4",Таблица1[р/р],"5/24",Таблица1[Ф. И. О.],B110)</f>
        <v>0</v>
      </c>
      <c r="X115" s="343">
        <f>ROUND(U115*V115*W115,2)</f>
        <v>0</v>
      </c>
      <c r="Y115" s="820"/>
      <c r="Z115" s="811"/>
      <c r="AA115" s="814"/>
    </row>
    <row r="116" spans="1:29">
      <c r="A116" s="755">
        <v>11</v>
      </c>
      <c r="B116" s="215"/>
      <c r="C116" s="821">
        <f>INDEX(база!$E$2:$E$81, MATCH(B121,база!$B$2:$B$50,0))</f>
        <v>16960</v>
      </c>
      <c r="D116" s="822">
        <f>INDEX(база!$D$2:$D$89, MATCH(B121,база!$B$2:$B$50,0))</f>
        <v>3</v>
      </c>
      <c r="E116" s="81">
        <f>IF(D116&lt;=3,база!$I$4,
IF(D116=4,база!$I$5,
IF(D116=5,база!$I$6)))</f>
        <v>188.7912</v>
      </c>
      <c r="F116" s="270">
        <v>1</v>
      </c>
      <c r="G116" s="96">
        <f>SUMIFS(Таблица1[сумма],Таблица1[коэф],"1",Таблица1[р/р],"2/4",Таблица1[Ф. И. О.],B121)</f>
        <v>0</v>
      </c>
      <c r="H116" s="311">
        <f>ROUND(E116*F116*G116,2)</f>
        <v>0</v>
      </c>
      <c r="I116" s="72">
        <f>IF(D116&lt;=3,база!$J$4,
IF(D116=4,база!$J$5,
IF(D116=5,база!$J$6)))</f>
        <v>196.05240000000001</v>
      </c>
      <c r="J116" s="269">
        <v>1</v>
      </c>
      <c r="K116" s="287">
        <f>SUMIFS(Таблица1[сумма],Таблица1[коэф],"1",Таблица1[р/р],"2/8",Таблица1[Ф. И. О.],B121)</f>
        <v>0</v>
      </c>
      <c r="L116" s="287">
        <f>ROUND(I116*J116*K116,2)</f>
        <v>0</v>
      </c>
      <c r="M116" s="287"/>
      <c r="N116" s="287">
        <v>1</v>
      </c>
      <c r="O116" s="287">
        <f>SUMIFS(Data_Tech!$AM$3:$AM$67,Data_Tech!$E$3:$E$67,"1",Data_Tech!$G$3:$G$67,"3/12",Data_Tech!$F$3:$F$67,B121)</f>
        <v>0</v>
      </c>
      <c r="P116" s="28">
        <f>ROUND(M116*N116*O116,2)</f>
        <v>0</v>
      </c>
      <c r="Q116" s="74">
        <f>IF(D116&lt;=3,база!$L$4,
IF(D116=4,база!$L$5,
IF(D116=5,база!$L$6)))</f>
        <v>210.57480000000001</v>
      </c>
      <c r="R116" s="270">
        <v>1</v>
      </c>
      <c r="S116" s="96">
        <f>SUMIFS(Таблица1[сумма],Таблица1[коэф],"1",Таблица1[р/р],"3/16",Таблица1[Ф. И. О.],B121)</f>
        <v>0</v>
      </c>
      <c r="T116" s="311">
        <f t="shared" si="64"/>
        <v>0</v>
      </c>
      <c r="U116" s="365">
        <f>IF(D116&lt;=3,база!$M$4,
IF(D116=4,база!$M$5,
IF(D116=5,база!$M$6)))</f>
        <v>225.09719999999999</v>
      </c>
      <c r="V116" s="269">
        <v>1</v>
      </c>
      <c r="W116" s="340">
        <f>SUMIFS(Таблица1[сумма],Таблица1[коэф],"1",Таблица1[р/р],"3/24",Таблица1[Ф. И. О.],B121)</f>
        <v>0</v>
      </c>
      <c r="X116" s="342">
        <f>ROUND(U116*V116*W116,2)</f>
        <v>0</v>
      </c>
      <c r="Y116" s="819">
        <f t="shared" ref="Y116" si="65">SUM(G116:G126,K116:K126,O116:O126,S116:S126,W116:W126)</f>
        <v>0</v>
      </c>
      <c r="Z116" s="810">
        <f t="shared" ref="Z116" si="66">IFERROR(SUM(H116:H126,L116:L126,T116:T126,X116:X126),"")</f>
        <v>0</v>
      </c>
      <c r="AA116" s="813"/>
    </row>
    <row r="117" spans="1:29">
      <c r="A117" s="756"/>
      <c r="B117" s="215"/>
      <c r="C117" s="815"/>
      <c r="D117" s="817"/>
      <c r="E117" s="82">
        <f>IF(D116&lt;=3,база!$I$4,
IF(D116=4,база!$I$5,
IF(D116=5,база!$I$6)))</f>
        <v>188.7912</v>
      </c>
      <c r="F117" s="271">
        <v>1</v>
      </c>
      <c r="G117" s="98">
        <f>SUMIFS(Таблица1[сумма],Таблица1[коэф],"1",Таблица1[р/р],"3/4",Таблица1[Ф. И. О.],B121)</f>
        <v>0</v>
      </c>
      <c r="H117" s="92">
        <f>ROUND(E117*F117*G117,2)</f>
        <v>0</v>
      </c>
      <c r="I117" s="78">
        <f>IF(D116&lt;=3,база!$J$4,
IF(D116=4,база!$J$5,
IF(D116=5,база!$J$6)))</f>
        <v>196.05240000000001</v>
      </c>
      <c r="J117" s="271">
        <v>1</v>
      </c>
      <c r="K117" s="216">
        <f>SUMIFS(Таблица1[сумма],Таблица1[коэф],"1",Таблица1[р/р],"3/8",Таблица1[Ф. И. О.],B121)</f>
        <v>0</v>
      </c>
      <c r="L117" s="216">
        <f>ROUND(I117*J117*K117,2)</f>
        <v>0</v>
      </c>
      <c r="M117" s="216"/>
      <c r="N117" s="216">
        <v>1</v>
      </c>
      <c r="O117" s="216">
        <f>SUMIFS(Data_Tech!$AM$3:$AM$67,Data_Tech!$E$3:$E$67,"1",Data_Tech!$G$3:$G$67,"4/12",Data_Tech!$F$3:$F$67,B121)</f>
        <v>0</v>
      </c>
      <c r="P117" s="29">
        <f>ROUND(M117*O117,2)</f>
        <v>0</v>
      </c>
      <c r="Q117" s="78">
        <f>база!$L$5</f>
        <v>231.45480000000001</v>
      </c>
      <c r="R117" s="271">
        <v>1</v>
      </c>
      <c r="S117" s="98">
        <f>SUMIFS(Таблица1[сумма],Таблица1[коэф],"1",Таблица1[р/р],"4/16",Таблица1[Ф. И. О.],B121)</f>
        <v>0</v>
      </c>
      <c r="T117" s="92">
        <f t="shared" si="64"/>
        <v>0</v>
      </c>
      <c r="U117" s="366">
        <f>база!$M$5</f>
        <v>247.41720000000001</v>
      </c>
      <c r="V117" s="271">
        <v>1</v>
      </c>
      <c r="W117" s="307">
        <f>SUMIFS(Таблица1[сумма],Таблица1[коэф],"1",Таблица1[р/р],"4/24",Таблица1[Ф. И. О.],B121)</f>
        <v>0</v>
      </c>
      <c r="X117" s="313">
        <f t="shared" ref="X117" si="67">ROUND(U117*V117*W117,2)</f>
        <v>0</v>
      </c>
      <c r="Y117" s="819"/>
      <c r="Z117" s="810"/>
      <c r="AA117" s="813"/>
    </row>
    <row r="118" spans="1:29" ht="24" thickBot="1">
      <c r="A118" s="756"/>
      <c r="B118" s="215"/>
      <c r="C118" s="815"/>
      <c r="D118" s="817"/>
      <c r="E118" s="82"/>
      <c r="F118" s="271"/>
      <c r="G118" s="98"/>
      <c r="H118" s="92"/>
      <c r="I118" s="78"/>
      <c r="J118" s="271"/>
      <c r="K118" s="216"/>
      <c r="L118" s="216"/>
      <c r="M118" s="216"/>
      <c r="N118" s="216"/>
      <c r="O118" s="216"/>
      <c r="P118" s="29"/>
      <c r="Q118" s="78">
        <f>база!$L$6</f>
        <v>261.04640000000001</v>
      </c>
      <c r="R118" s="271">
        <v>1</v>
      </c>
      <c r="S118" s="98">
        <f>SUMIFS(Таблица1[сумма],Таблица1[коэф],"1",Таблица1[р/р],"5/16",Таблица1[Ф. И. О.],B121)</f>
        <v>0</v>
      </c>
      <c r="T118" s="92">
        <f t="shared" si="64"/>
        <v>0</v>
      </c>
      <c r="U118" s="366">
        <f>база!$M$6</f>
        <v>279.0496</v>
      </c>
      <c r="V118" s="271">
        <v>1</v>
      </c>
      <c r="W118" s="307">
        <f>SUMIFS(Таблица1[сумма],Таблица1[коэф],"1",Таблица1[р/р],"5/24",Таблица1[Ф. И. О.],B121)</f>
        <v>0</v>
      </c>
      <c r="X118" s="313">
        <f>ROUND(U118*V118*W118,2)</f>
        <v>0</v>
      </c>
      <c r="Y118" s="819"/>
      <c r="Z118" s="810"/>
      <c r="AA118" s="813"/>
    </row>
    <row r="119" spans="1:29" ht="24" thickBot="1">
      <c r="A119" s="756"/>
      <c r="B119" s="215"/>
      <c r="C119" s="815"/>
      <c r="D119" s="817"/>
      <c r="E119" s="82"/>
      <c r="F119" s="271"/>
      <c r="G119" s="98"/>
      <c r="H119" s="92"/>
      <c r="I119" s="78">
        <f>база!$J$5</f>
        <v>215.4924</v>
      </c>
      <c r="J119" s="271">
        <v>1.5</v>
      </c>
      <c r="K119" s="216">
        <f>SUMIFS(Таблица1[сумма],Таблица1[коэф],"1,5",Таблица1[р/р],"4/8",Таблица1[Ф. И. О.],B121)</f>
        <v>0</v>
      </c>
      <c r="L119" s="216">
        <f>ROUND(I119*J119*K119,2)</f>
        <v>0</v>
      </c>
      <c r="M119" s="216"/>
      <c r="N119" s="216"/>
      <c r="O119" s="216"/>
      <c r="P119" s="29"/>
      <c r="Q119" s="78">
        <f>IF(D116&lt;=3,база!$L$4,
IF(D116=4,база!$L$5,
IF(D116=5,база!$L$6)))</f>
        <v>210.57480000000001</v>
      </c>
      <c r="R119" s="271">
        <v>1.2</v>
      </c>
      <c r="S119" s="98">
        <f>SUMIFS(Таблица1[сумма],Таблица1[коэф],"1,2",Таблица1[р/р],"3/16",Таблица1[Ф. И. О.],B121)</f>
        <v>0</v>
      </c>
      <c r="T119" s="92">
        <f t="shared" ref="T119:T120" si="68">ROUND(Q119*R119*S119,2)</f>
        <v>0</v>
      </c>
      <c r="U119" s="366">
        <f>IF(D116&lt;=3,база!$M$4,
IF(D116=4,база!$M$5,
IF(D116=5,база!$M$6)))</f>
        <v>225.09719999999999</v>
      </c>
      <c r="V119" s="271">
        <v>1.2</v>
      </c>
      <c r="W119" s="307">
        <f>SUMIFS(Таблица1[сумма],Таблица1[коэф],"1,2",Таблица1[р/р],"3/24",Таблица1[Ф. И. О.],B121)</f>
        <v>0</v>
      </c>
      <c r="X119" s="313">
        <f t="shared" ref="X119:X120" si="69">ROUND(U119*V119*W119,2)</f>
        <v>0</v>
      </c>
      <c r="Y119" s="819"/>
      <c r="Z119" s="810"/>
      <c r="AA119" s="813"/>
    </row>
    <row r="120" spans="1:29" ht="24" thickBot="1">
      <c r="A120" s="756"/>
      <c r="B120" s="215"/>
      <c r="C120" s="815"/>
      <c r="D120" s="817"/>
      <c r="E120" s="82"/>
      <c r="F120" s="271"/>
      <c r="G120" s="98"/>
      <c r="H120" s="92"/>
      <c r="I120" s="78">
        <f>база!$J$6</f>
        <v>243.04319999999998</v>
      </c>
      <c r="J120" s="271">
        <v>1.5</v>
      </c>
      <c r="K120" s="216">
        <f>SUMIFS(Таблица1[сумма],Таблица1[коэф],"1,5",Таблица1[р/р],"5/8",Таблица1[Ф. И. О.],B121)</f>
        <v>0</v>
      </c>
      <c r="L120" s="216">
        <f>ROUND(I120*J120*K120,2)</f>
        <v>0</v>
      </c>
      <c r="M120" s="216"/>
      <c r="N120" s="216"/>
      <c r="O120" s="216"/>
      <c r="P120" s="29"/>
      <c r="Q120" s="78">
        <f>база!$L$5</f>
        <v>231.45480000000001</v>
      </c>
      <c r="R120" s="271">
        <v>1.2</v>
      </c>
      <c r="S120" s="98">
        <f>SUMIFS(Таблица1[сумма],Таблица1[коэф],"1,2",Таблица1[р/р],"4/16",Таблица1[Ф. И. О.],B121)</f>
        <v>0</v>
      </c>
      <c r="T120" s="92">
        <f t="shared" si="68"/>
        <v>0</v>
      </c>
      <c r="U120" s="366">
        <f>база!$M$5</f>
        <v>247.41720000000001</v>
      </c>
      <c r="V120" s="271">
        <v>1.2</v>
      </c>
      <c r="W120" s="307">
        <f>SUMIFS(Таблица1[сумма],Таблица1[коэф],"1,2",Таблица1[р/р],"4/24",Таблица1[Ф. И. О.],B121)</f>
        <v>0</v>
      </c>
      <c r="X120" s="313">
        <f t="shared" si="69"/>
        <v>0</v>
      </c>
      <c r="Y120" s="819"/>
      <c r="Z120" s="810"/>
      <c r="AA120" s="813"/>
      <c r="AC120" s="707" t="str">
        <f>IF(SUMIFS(Таблица1[Столбец2],Таблица1[Ф. И. О.],B121)-Z116=0,"",SUMIFS(Таблица1[Столбец2],Таблица1[Ф. И. О.],B121)-Z116)</f>
        <v/>
      </c>
    </row>
    <row r="121" spans="1:29" ht="24" thickBot="1">
      <c r="A121" s="756"/>
      <c r="B121" s="215" t="str">
        <f>база!B12</f>
        <v>Бунчук Виктория Ивановна</v>
      </c>
      <c r="C121" s="815"/>
      <c r="D121" s="817"/>
      <c r="E121" s="82"/>
      <c r="F121" s="271"/>
      <c r="G121" s="98"/>
      <c r="H121" s="92"/>
      <c r="I121" s="78"/>
      <c r="J121" s="271"/>
      <c r="K121" s="216"/>
      <c r="L121" s="216"/>
      <c r="M121" s="216"/>
      <c r="N121" s="216"/>
      <c r="O121" s="216"/>
      <c r="P121" s="29"/>
      <c r="Q121" s="78">
        <f>база!$L$6</f>
        <v>261.04640000000001</v>
      </c>
      <c r="R121" s="271">
        <v>1.2</v>
      </c>
      <c r="S121" s="98">
        <f>SUMIFS(Таблица1[сумма],Таблица1[коэф],"1,2",Таблица1[р/р],"5/16",Таблица1[Ф. И. О.],B121)</f>
        <v>0</v>
      </c>
      <c r="T121" s="92">
        <f>ROUND(Q121*R121*S121,2)</f>
        <v>0</v>
      </c>
      <c r="U121" s="366">
        <f>база!$M$6</f>
        <v>279.0496</v>
      </c>
      <c r="V121" s="271">
        <v>1.2</v>
      </c>
      <c r="W121" s="307">
        <f>SUMIFS(Таблица1[сумма],Таблица1[коэф],"1,2",Таблица1[р/р],"5/24",Таблица1[Ф. И. О.],B121)</f>
        <v>0</v>
      </c>
      <c r="X121" s="313">
        <f>ROUND(U121*V121*W121,2)</f>
        <v>0</v>
      </c>
      <c r="Y121" s="819"/>
      <c r="Z121" s="810"/>
      <c r="AA121" s="813"/>
      <c r="AC121" s="707" t="str">
        <f>IF(SUMIFS(Таблица1[сумма],Таблица1[Ф. И. О.],B121)=Y116,"",B116&amp;"  часы не верны")</f>
        <v/>
      </c>
    </row>
    <row r="122" spans="1:29" ht="24" thickBot="1">
      <c r="A122" s="756"/>
      <c r="B122" s="215"/>
      <c r="C122" s="815"/>
      <c r="D122" s="817"/>
      <c r="E122" s="82"/>
      <c r="F122" s="271"/>
      <c r="G122" s="98"/>
      <c r="H122" s="92"/>
      <c r="I122" s="78"/>
      <c r="J122" s="271"/>
      <c r="K122" s="216"/>
      <c r="L122" s="216"/>
      <c r="M122" s="216"/>
      <c r="N122" s="216"/>
      <c r="O122" s="216"/>
      <c r="P122" s="29"/>
      <c r="Q122" s="78">
        <f>IF($D$6&lt;=3,база!$L$4,
IF($D$6=4,база!$L$5,
IF($D$6=5,база!$L$6)))</f>
        <v>231.45480000000001</v>
      </c>
      <c r="R122" s="271">
        <v>1.3</v>
      </c>
      <c r="S122" s="98">
        <f>SUMIFS(Таблица1[сумма],Таблица1[коэф],"1,3",Таблица1[р/р],"3/16",Таблица1[Ф. И. О.],B121)</f>
        <v>0</v>
      </c>
      <c r="T122" s="92">
        <f t="shared" ref="T122:T123" si="70">ROUND(Q122*R122*S122,2)</f>
        <v>0</v>
      </c>
      <c r="U122" s="366">
        <f>IF(D116&lt;=3,база!$M$4,
IF(D116=4,база!$M$5,
IF(D116=5,база!$M$6)))</f>
        <v>225.09719999999999</v>
      </c>
      <c r="V122" s="271">
        <v>1.3</v>
      </c>
      <c r="W122" s="307">
        <f>SUMIFS(Таблица1[сумма],Таблица1[коэф],"1,3",Таблица1[р/р],"3/24",Таблица1[Ф. И. О.],B121)</f>
        <v>0</v>
      </c>
      <c r="X122" s="313">
        <f t="shared" ref="X122:X123" si="71">ROUND(U122*V122*W122,2)</f>
        <v>0</v>
      </c>
      <c r="Y122" s="819"/>
      <c r="Z122" s="810"/>
      <c r="AA122" s="813"/>
    </row>
    <row r="123" spans="1:29" ht="24" thickBot="1">
      <c r="A123" s="756"/>
      <c r="B123" s="215"/>
      <c r="C123" s="815"/>
      <c r="D123" s="817"/>
      <c r="E123" s="82"/>
      <c r="F123" s="271"/>
      <c r="G123" s="98"/>
      <c r="H123" s="92"/>
      <c r="I123" s="78"/>
      <c r="J123" s="271"/>
      <c r="K123" s="216"/>
      <c r="L123" s="216"/>
      <c r="M123" s="216"/>
      <c r="N123" s="216"/>
      <c r="O123" s="216"/>
      <c r="P123" s="29"/>
      <c r="Q123" s="78">
        <f>база!$L$5</f>
        <v>231.45480000000001</v>
      </c>
      <c r="R123" s="271">
        <v>1.3</v>
      </c>
      <c r="S123" s="98">
        <f>SUMIFS(Таблица1[сумма],Таблица1[коэф],"1,3",Таблица1[р/р],"4/16",Таблица1[Ф. И. О.],B121)</f>
        <v>0</v>
      </c>
      <c r="T123" s="92">
        <f t="shared" si="70"/>
        <v>0</v>
      </c>
      <c r="U123" s="366">
        <f>база!$M$5</f>
        <v>247.41720000000001</v>
      </c>
      <c r="V123" s="271">
        <v>1.3</v>
      </c>
      <c r="W123" s="307">
        <f>SUMIFS(Таблица1[сумма],Таблица1[коэф],"1,3",Таблица1[р/р],"4/24",Таблица1[Ф. И. О.],B121)</f>
        <v>0</v>
      </c>
      <c r="X123" s="313">
        <f t="shared" si="71"/>
        <v>0</v>
      </c>
      <c r="Y123" s="819"/>
      <c r="Z123" s="810"/>
      <c r="AA123" s="813"/>
    </row>
    <row r="124" spans="1:29" ht="24" thickBot="1">
      <c r="A124" s="756"/>
      <c r="B124" s="215"/>
      <c r="C124" s="815"/>
      <c r="D124" s="817"/>
      <c r="E124" s="82"/>
      <c r="F124" s="271"/>
      <c r="G124" s="98"/>
      <c r="H124" s="92"/>
      <c r="I124" s="78"/>
      <c r="J124" s="271"/>
      <c r="K124" s="216"/>
      <c r="L124" s="216"/>
      <c r="M124" s="216"/>
      <c r="N124" s="216"/>
      <c r="O124" s="216"/>
      <c r="P124" s="29"/>
      <c r="Q124" s="78">
        <f>IF(D116&lt;=3,база!$L$4,
IF(D116=4,база!$L$5,
IF(D116=5,база!$L$6)))</f>
        <v>210.57480000000001</v>
      </c>
      <c r="R124" s="271">
        <v>1.4</v>
      </c>
      <c r="S124" s="98">
        <f>SUMIFS(Таблица1[сумма],Таблица1[коэф],"1,4",Таблица1[р/р],"3/16",Таблица1[Ф. И. О.],B121)</f>
        <v>0</v>
      </c>
      <c r="T124" s="92">
        <f t="shared" ref="T124:T129" si="72">ROUND(Q124*R124*S124,2)</f>
        <v>0</v>
      </c>
      <c r="U124" s="366">
        <f>IF(D116&lt;=3,база!$M$4,
IF(D116=4,база!$M$5,
IF(D116=5,база!$M$6)))</f>
        <v>225.09719999999999</v>
      </c>
      <c r="V124" s="271">
        <v>1.4</v>
      </c>
      <c r="W124" s="307">
        <f>SUMIFS(Таблица1[сумма],Таблица1[коэф],"1,4",Таблица1[р/р],"3/24",Таблица1[Ф. И. О.],B121)</f>
        <v>0</v>
      </c>
      <c r="X124" s="313">
        <f>ROUND(U124*V124*W124,2)</f>
        <v>0</v>
      </c>
      <c r="Y124" s="819"/>
      <c r="Z124" s="810"/>
      <c r="AA124" s="813"/>
    </row>
    <row r="125" spans="1:29" ht="24" thickBot="1">
      <c r="A125" s="756"/>
      <c r="B125" s="215"/>
      <c r="C125" s="815"/>
      <c r="D125" s="817"/>
      <c r="E125" s="82"/>
      <c r="F125" s="271"/>
      <c r="G125" s="98"/>
      <c r="H125" s="92"/>
      <c r="I125" s="78"/>
      <c r="J125" s="271"/>
      <c r="K125" s="216"/>
      <c r="L125" s="216"/>
      <c r="M125" s="216"/>
      <c r="N125" s="216"/>
      <c r="O125" s="216"/>
      <c r="P125" s="29"/>
      <c r="Q125" s="78">
        <f>база!$L$5</f>
        <v>231.45480000000001</v>
      </c>
      <c r="R125" s="271">
        <v>1.4</v>
      </c>
      <c r="S125" s="98">
        <f>SUMIFS(Таблица1[сумма],Таблица1[коэф],"1,4",Таблица1[р/р],"4/16",Таблица1[Ф. И. О.],B121)</f>
        <v>0</v>
      </c>
      <c r="T125" s="92">
        <f t="shared" si="72"/>
        <v>0</v>
      </c>
      <c r="U125" s="366">
        <f>база!$M$5</f>
        <v>247.41720000000001</v>
      </c>
      <c r="V125" s="271">
        <v>1.4</v>
      </c>
      <c r="W125" s="307">
        <f>SUMIFS(Таблица1[сумма],Таблица1[коэф],"1,4",Таблица1[р/р],"4/24",Таблица1[Ф. И. О.],B121)</f>
        <v>0</v>
      </c>
      <c r="X125" s="313">
        <f>ROUND(U125*V125*W125,2)</f>
        <v>0</v>
      </c>
      <c r="Y125" s="819"/>
      <c r="Z125" s="810"/>
      <c r="AA125" s="813"/>
    </row>
    <row r="126" spans="1:29" ht="24" thickBot="1">
      <c r="A126" s="757"/>
      <c r="B126" s="215"/>
      <c r="C126" s="816"/>
      <c r="D126" s="818"/>
      <c r="E126" s="303"/>
      <c r="F126" s="274"/>
      <c r="G126" s="104"/>
      <c r="H126" s="316"/>
      <c r="I126" s="217"/>
      <c r="J126" s="274"/>
      <c r="K126" s="302"/>
      <c r="L126" s="302"/>
      <c r="M126" s="302"/>
      <c r="N126" s="302"/>
      <c r="O126" s="302"/>
      <c r="P126" s="219"/>
      <c r="Q126" s="217">
        <f>база!$L$6</f>
        <v>261.04640000000001</v>
      </c>
      <c r="R126" s="274">
        <v>1.4</v>
      </c>
      <c r="S126" s="104">
        <f>SUMIFS(Таблица1[сумма],Таблица1[коэф],"1,4",Таблица1[р/р],"5/16",Таблица1[Ф. И. О.],B121)</f>
        <v>0</v>
      </c>
      <c r="T126" s="316">
        <f t="shared" si="72"/>
        <v>0</v>
      </c>
      <c r="U126" s="369">
        <f>база!$M$6</f>
        <v>279.0496</v>
      </c>
      <c r="V126" s="274">
        <v>1.4</v>
      </c>
      <c r="W126" s="333">
        <f>SUMIFS(Таблица1[сумма],Таблица1[коэф],"1,4",Таблица1[р/р],"5/24",Таблица1[Ф. И. О.],B121)</f>
        <v>0</v>
      </c>
      <c r="X126" s="350">
        <f>ROUND(U126*V126*W126,2)</f>
        <v>0</v>
      </c>
      <c r="Y126" s="820"/>
      <c r="Z126" s="811"/>
      <c r="AA126" s="814"/>
    </row>
    <row r="127" spans="1:29">
      <c r="A127" s="755">
        <v>12</v>
      </c>
      <c r="B127" s="304"/>
      <c r="C127" s="821">
        <f>INDEX(база!$E$2:$E$81, MATCH(B132,база!$B$2:$B$50,0))</f>
        <v>17332</v>
      </c>
      <c r="D127" s="822">
        <f>INDEX(база!$D$2:$D$89, MATCH(B132,база!$B$2:$B$50,0))</f>
        <v>3</v>
      </c>
      <c r="E127" s="310">
        <f>IF(D127&lt;=3,база!$I$4,
IF(D127=4,база!$I$5,
IF(D127=5,база!$I$6)))</f>
        <v>188.7912</v>
      </c>
      <c r="F127" s="269">
        <v>1</v>
      </c>
      <c r="G127" s="95">
        <f>SUMIFS(Таблица1[сумма],Таблица1[коэф],"1",Таблица1[р/р],"2/4",Таблица1[Ф. И. О.],B132)</f>
        <v>0</v>
      </c>
      <c r="H127" s="317">
        <f>ROUND(E127*F127*G127,2)</f>
        <v>0</v>
      </c>
      <c r="I127" s="72">
        <f>IF(D127&lt;=3,база!$J$4,
IF(D127=4,база!$J$5,
IF(D127=5,база!$J$6)))</f>
        <v>196.05240000000001</v>
      </c>
      <c r="J127" s="269">
        <v>1</v>
      </c>
      <c r="K127" s="287">
        <f>SUMIFS(Таблица1[сумма],Таблица1[коэф],"1",Таблица1[р/р],"2/8",Таблица1[Ф. И. О.],B132)</f>
        <v>0</v>
      </c>
      <c r="L127" s="287">
        <f>ROUND(I127*J127*K127,2)</f>
        <v>0</v>
      </c>
      <c r="M127" s="287"/>
      <c r="N127" s="287">
        <v>1</v>
      </c>
      <c r="O127" s="287">
        <f>SUMIFS(Data_Tech!$AM$3:$AM$67,Data_Tech!$E$3:$E$67,"1",Data_Tech!$G$3:$G$67,"3/12",Data_Tech!$F$3:$F$67,B132)</f>
        <v>0</v>
      </c>
      <c r="P127" s="28">
        <f>ROUND(M127*N127*O127,2)</f>
        <v>0</v>
      </c>
      <c r="Q127" s="72">
        <f>IF(D127&lt;=3,база!$L$4,
IF(D127=4,база!$L$5,
IF(D127=5,база!$L$6)))</f>
        <v>210.57480000000001</v>
      </c>
      <c r="R127" s="269">
        <v>1</v>
      </c>
      <c r="S127" s="95">
        <f>SUMIFS(Таблица1[сумма],Таблица1[коэф],"1",Таблица1[р/р],"3/16",Таблица1[Ф. И. О.],B132)</f>
        <v>0</v>
      </c>
      <c r="T127" s="317">
        <f t="shared" si="72"/>
        <v>0</v>
      </c>
      <c r="U127" s="365">
        <f>IF(D127&lt;=3,база!$M$4,
IF(D127=4,база!$M$5,
IF(D127=5,база!$M$6)))</f>
        <v>225.09719999999999</v>
      </c>
      <c r="V127" s="269">
        <v>1</v>
      </c>
      <c r="W127" s="340">
        <f>SUMIFS(Таблица1[сумма],Таблица1[коэф],"1",Таблица1[р/р],"3/24",Таблица1[Ф. И. О.],B132)</f>
        <v>0</v>
      </c>
      <c r="X127" s="342">
        <f>ROUND(U127*V127*W127,2)</f>
        <v>0</v>
      </c>
      <c r="Y127" s="819">
        <f t="shared" ref="Y127" si="73">SUM(G127:G137,K127:K137,O127:O137,S127:S137,W127:W137)</f>
        <v>0</v>
      </c>
      <c r="Z127" s="810">
        <f t="shared" ref="Z127" si="74">IFERROR(SUM(H127:H137,L127:L137,T127:T137,X127:X137),"")</f>
        <v>0</v>
      </c>
      <c r="AA127" s="813"/>
    </row>
    <row r="128" spans="1:29">
      <c r="A128" s="756"/>
      <c r="B128" s="215"/>
      <c r="C128" s="815"/>
      <c r="D128" s="817"/>
      <c r="E128" s="82">
        <f>IF(D127&lt;=3,база!$I$4,
IF(D127=4,база!$I$5,
IF(D127=5,база!$I$6)))</f>
        <v>188.7912</v>
      </c>
      <c r="F128" s="271">
        <v>1</v>
      </c>
      <c r="G128" s="98">
        <f>SUMIFS(Таблица1[сумма],Таблица1[коэф],"1",Таблица1[р/р],"3/4",Таблица1[Ф. И. О.],B132)</f>
        <v>0</v>
      </c>
      <c r="H128" s="92">
        <f>ROUND(E128*F128*G128,2)</f>
        <v>0</v>
      </c>
      <c r="I128" s="78">
        <f>IF(D127&lt;=3,база!$J$4,
IF(D127=4,база!$J$5,
IF(D127=5,база!$J$6)))</f>
        <v>196.05240000000001</v>
      </c>
      <c r="J128" s="271">
        <v>1</v>
      </c>
      <c r="K128" s="216">
        <f>SUMIFS(Таблица1[сумма],Таблица1[коэф],"1",Таблица1[р/р],"3/8",Таблица1[Ф. И. О.],B132)</f>
        <v>0</v>
      </c>
      <c r="L128" s="216">
        <f>ROUND(I128*J128*K128,2)</f>
        <v>0</v>
      </c>
      <c r="M128" s="216"/>
      <c r="N128" s="216">
        <v>1</v>
      </c>
      <c r="O128" s="216">
        <f>SUMIFS(Data_Tech!$AM$3:$AM$67,Data_Tech!$E$3:$E$67,"1",Data_Tech!$G$3:$G$67,"4/12",Data_Tech!$F$3:$F$67,B132)</f>
        <v>0</v>
      </c>
      <c r="P128" s="29">
        <f>ROUND(M128*O128,2)</f>
        <v>0</v>
      </c>
      <c r="Q128" s="78">
        <f>база!$L$5</f>
        <v>231.45480000000001</v>
      </c>
      <c r="R128" s="271">
        <v>1</v>
      </c>
      <c r="S128" s="98">
        <f>SUMIFS(Таблица1[сумма],Таблица1[коэф],"1",Таблица1[р/р],"4/16",Таблица1[Ф. И. О.],B132)</f>
        <v>0</v>
      </c>
      <c r="T128" s="92">
        <f t="shared" si="72"/>
        <v>0</v>
      </c>
      <c r="U128" s="366">
        <f>база!$M$5</f>
        <v>247.41720000000001</v>
      </c>
      <c r="V128" s="271">
        <v>1</v>
      </c>
      <c r="W128" s="307">
        <f>SUMIFS(Таблица1[сумма],Таблица1[коэф],"1",Таблица1[р/р],"4/24",Таблица1[Ф. И. О.],B132)</f>
        <v>0</v>
      </c>
      <c r="X128" s="313">
        <f t="shared" ref="X128" si="75">ROUND(U128*V128*W128,2)</f>
        <v>0</v>
      </c>
      <c r="Y128" s="819"/>
      <c r="Z128" s="810"/>
      <c r="AA128" s="813"/>
    </row>
    <row r="129" spans="1:29">
      <c r="A129" s="756"/>
      <c r="B129" s="215"/>
      <c r="C129" s="815"/>
      <c r="D129" s="817"/>
      <c r="E129" s="82"/>
      <c r="F129" s="271"/>
      <c r="G129" s="98"/>
      <c r="H129" s="92"/>
      <c r="I129" s="78"/>
      <c r="J129" s="271"/>
      <c r="K129" s="216"/>
      <c r="L129" s="216"/>
      <c r="M129" s="216"/>
      <c r="N129" s="216"/>
      <c r="O129" s="216"/>
      <c r="P129" s="29"/>
      <c r="Q129" s="78">
        <f>база!$L$6</f>
        <v>261.04640000000001</v>
      </c>
      <c r="R129" s="271">
        <v>1</v>
      </c>
      <c r="S129" s="98">
        <f>SUMIFS(Таблица1[сумма],Таблица1[коэф],"1",Таблица1[р/р],"5/16",Таблица1[Ф. И. О.],B132)</f>
        <v>0</v>
      </c>
      <c r="T129" s="92">
        <f t="shared" si="72"/>
        <v>0</v>
      </c>
      <c r="U129" s="366">
        <f>база!$M$6</f>
        <v>279.0496</v>
      </c>
      <c r="V129" s="271">
        <v>1</v>
      </c>
      <c r="W129" s="307">
        <f>SUMIFS(Таблица1[сумма],Таблица1[коэф],"1",Таблица1[р/р],"5/24",Таблица1[Ф. И. О.],B132)</f>
        <v>0</v>
      </c>
      <c r="X129" s="313">
        <f>ROUND(U129*V129*W129,2)</f>
        <v>0</v>
      </c>
      <c r="Y129" s="819"/>
      <c r="Z129" s="810"/>
      <c r="AA129" s="813"/>
    </row>
    <row r="130" spans="1:29">
      <c r="A130" s="756"/>
      <c r="B130" s="215"/>
      <c r="C130" s="815"/>
      <c r="D130" s="817"/>
      <c r="E130" s="82"/>
      <c r="F130" s="271"/>
      <c r="G130" s="98"/>
      <c r="H130" s="92"/>
      <c r="I130" s="78">
        <f>база!$J$5</f>
        <v>215.4924</v>
      </c>
      <c r="J130" s="271">
        <v>1.5</v>
      </c>
      <c r="K130" s="216">
        <f>SUMIFS(Таблица1[сумма],Таблица1[коэф],"1,5",Таблица1[р/р],"4/8",Таблица1[Ф. И. О.],B132)</f>
        <v>0</v>
      </c>
      <c r="L130" s="216">
        <f>ROUND(I130*J130*K130,2)</f>
        <v>0</v>
      </c>
      <c r="M130" s="216"/>
      <c r="N130" s="216"/>
      <c r="O130" s="216"/>
      <c r="P130" s="29"/>
      <c r="Q130" s="78">
        <f>IF(D127&lt;=3,база!$L$4,
IF(D127=4,база!$L$5,
IF(D127=5,база!$L$6)))</f>
        <v>210.57480000000001</v>
      </c>
      <c r="R130" s="271">
        <v>1.2</v>
      </c>
      <c r="S130" s="98">
        <f>SUMIFS(Таблица1[сумма],Таблица1[коэф],"1,2",Таблица1[р/р],"3/16",Таблица1[Ф. И. О.],B132)</f>
        <v>0</v>
      </c>
      <c r="T130" s="92">
        <f t="shared" ref="T130:T131" si="76">ROUND(Q130*R130*S130,2)</f>
        <v>0</v>
      </c>
      <c r="U130" s="366">
        <f>IF(D127&lt;=3,база!$M$4,
IF(D127=4,база!$M$5,
IF(D127=5,база!$M$6)))</f>
        <v>225.09719999999999</v>
      </c>
      <c r="V130" s="271">
        <v>1.2</v>
      </c>
      <c r="W130" s="307">
        <f>SUMIFS(Таблица1[сумма],Таблица1[коэф],"1,2",Таблица1[р/р],"3/24",Таблица1[Ф. И. О.],B132)</f>
        <v>0</v>
      </c>
      <c r="X130" s="313">
        <f t="shared" ref="X130:X131" si="77">ROUND(U130*V130*W130,2)</f>
        <v>0</v>
      </c>
      <c r="Y130" s="819"/>
      <c r="Z130" s="810"/>
      <c r="AA130" s="813"/>
    </row>
    <row r="131" spans="1:29">
      <c r="A131" s="756"/>
      <c r="B131" s="215"/>
      <c r="C131" s="815"/>
      <c r="D131" s="817"/>
      <c r="E131" s="82"/>
      <c r="F131" s="271"/>
      <c r="G131" s="98"/>
      <c r="H131" s="92"/>
      <c r="I131" s="78">
        <f>база!$J$6</f>
        <v>243.04319999999998</v>
      </c>
      <c r="J131" s="271">
        <v>1.5</v>
      </c>
      <c r="K131" s="216">
        <f>SUMIFS(Таблица1[сумма],Таблица1[коэф],"1,5",Таблица1[р/р],"5/8",Таблица1[Ф. И. О.],B132)</f>
        <v>0</v>
      </c>
      <c r="L131" s="216">
        <f>ROUND(I131*J131*K131,2)</f>
        <v>0</v>
      </c>
      <c r="M131" s="216"/>
      <c r="N131" s="216"/>
      <c r="O131" s="216"/>
      <c r="P131" s="29"/>
      <c r="Q131" s="78">
        <f>база!$L$5</f>
        <v>231.45480000000001</v>
      </c>
      <c r="R131" s="271">
        <v>1.2</v>
      </c>
      <c r="S131" s="98">
        <f>SUMIFS(Таблица1[сумма],Таблица1[коэф],"1,2",Таблица1[р/р],"4/16",Таблица1[Ф. И. О.],B132)</f>
        <v>0</v>
      </c>
      <c r="T131" s="92">
        <f t="shared" si="76"/>
        <v>0</v>
      </c>
      <c r="U131" s="366">
        <f>база!$M$5</f>
        <v>247.41720000000001</v>
      </c>
      <c r="V131" s="271">
        <v>1.2</v>
      </c>
      <c r="W131" s="307">
        <f>SUMIFS(Таблица1[сумма],Таблица1[коэф],"1,2",Таблица1[р/р],"4/24",Таблица1[Ф. И. О.],B132)</f>
        <v>0</v>
      </c>
      <c r="X131" s="313">
        <f t="shared" si="77"/>
        <v>0</v>
      </c>
      <c r="Y131" s="819"/>
      <c r="Z131" s="810"/>
      <c r="AA131" s="813"/>
      <c r="AC131" s="707" t="str">
        <f>IF(SUMIFS(Таблица1[Столбец2],Таблица1[Ф. И. О.],B132)-Z127=0,"",SUMIFS(Таблица1[Столбец2],Таблица1[Ф. И. О.],B132)-Z127)</f>
        <v/>
      </c>
    </row>
    <row r="132" spans="1:29" ht="24" thickBot="1">
      <c r="A132" s="756"/>
      <c r="B132" s="215" t="str">
        <f>база!B13</f>
        <v>Васильева Марина Витальевна</v>
      </c>
      <c r="C132" s="815"/>
      <c r="D132" s="817"/>
      <c r="E132" s="82"/>
      <c r="F132" s="271"/>
      <c r="G132" s="98"/>
      <c r="H132" s="92"/>
      <c r="I132" s="78"/>
      <c r="J132" s="271"/>
      <c r="K132" s="216"/>
      <c r="L132" s="216"/>
      <c r="M132" s="216"/>
      <c r="N132" s="216"/>
      <c r="O132" s="216"/>
      <c r="P132" s="29"/>
      <c r="Q132" s="78">
        <f>база!$L$6</f>
        <v>261.04640000000001</v>
      </c>
      <c r="R132" s="271">
        <v>1.2</v>
      </c>
      <c r="S132" s="98">
        <f>SUMIFS(Таблица1[сумма],Таблица1[коэф],"1,2",Таблица1[р/р],"5/16",Таблица1[Ф. И. О.],B132)</f>
        <v>0</v>
      </c>
      <c r="T132" s="92">
        <f>ROUND(Q132*R132*S132,2)</f>
        <v>0</v>
      </c>
      <c r="U132" s="366">
        <f>база!$M$6</f>
        <v>279.0496</v>
      </c>
      <c r="V132" s="271">
        <v>1.2</v>
      </c>
      <c r="W132" s="307">
        <f>SUMIFS(Таблица1[сумма],Таблица1[коэф],"1,2",Таблица1[р/р],"5/24",Таблица1[Ф. И. О.],B132)</f>
        <v>0</v>
      </c>
      <c r="X132" s="313">
        <f>ROUND(U132*V132*W132,2)</f>
        <v>0</v>
      </c>
      <c r="Y132" s="819"/>
      <c r="Z132" s="810"/>
      <c r="AA132" s="813"/>
      <c r="AC132" s="707" t="str">
        <f>IF(SUMIFS(Таблица1[сумма],Таблица1[Ф. И. О.],B132)=Y127,"",B127&amp;"  часы не верны")</f>
        <v/>
      </c>
    </row>
    <row r="133" spans="1:29" ht="24" thickBot="1">
      <c r="A133" s="756"/>
      <c r="B133" s="215"/>
      <c r="C133" s="815"/>
      <c r="D133" s="817"/>
      <c r="E133" s="82"/>
      <c r="F133" s="271"/>
      <c r="G133" s="98"/>
      <c r="H133" s="92"/>
      <c r="I133" s="78"/>
      <c r="J133" s="271"/>
      <c r="K133" s="216"/>
      <c r="L133" s="216"/>
      <c r="M133" s="216"/>
      <c r="N133" s="216"/>
      <c r="O133" s="216"/>
      <c r="P133" s="29"/>
      <c r="Q133" s="78">
        <f>IF($D$6&lt;=3,база!$L$4,
IF($D$6=4,база!$L$5,
IF($D$6=5,база!$L$6)))</f>
        <v>231.45480000000001</v>
      </c>
      <c r="R133" s="271">
        <v>1.3</v>
      </c>
      <c r="S133" s="98">
        <f>SUMIFS(Таблица1[сумма],Таблица1[коэф],"1,3",Таблица1[р/р],"3/16",Таблица1[Ф. И. О.],B132)</f>
        <v>0</v>
      </c>
      <c r="T133" s="92">
        <f t="shared" ref="T133:T134" si="78">ROUND(Q133*R133*S133,2)</f>
        <v>0</v>
      </c>
      <c r="U133" s="366">
        <f>IF(D127&lt;=3,база!$M$4,
IF(D127=4,база!$M$5,
IF(D127=5,база!$M$6)))</f>
        <v>225.09719999999999</v>
      </c>
      <c r="V133" s="271">
        <v>1.3</v>
      </c>
      <c r="W133" s="307">
        <f>SUMIFS(Таблица1[сумма],Таблица1[коэф],"1,3",Таблица1[р/р],"3/24",Таблица1[Ф. И. О.],B132)</f>
        <v>0</v>
      </c>
      <c r="X133" s="313">
        <f t="shared" ref="X133:X134" si="79">ROUND(U133*V133*W133,2)</f>
        <v>0</v>
      </c>
      <c r="Y133" s="819"/>
      <c r="Z133" s="810"/>
      <c r="AA133" s="813"/>
    </row>
    <row r="134" spans="1:29" ht="24" thickBot="1">
      <c r="A134" s="756"/>
      <c r="B134" s="215"/>
      <c r="C134" s="815"/>
      <c r="D134" s="817"/>
      <c r="E134" s="82"/>
      <c r="F134" s="271"/>
      <c r="G134" s="98"/>
      <c r="H134" s="92"/>
      <c r="I134" s="78"/>
      <c r="J134" s="271"/>
      <c r="K134" s="216"/>
      <c r="L134" s="216"/>
      <c r="M134" s="216"/>
      <c r="N134" s="216"/>
      <c r="O134" s="216"/>
      <c r="P134" s="29"/>
      <c r="Q134" s="78">
        <f>база!$L$5</f>
        <v>231.45480000000001</v>
      </c>
      <c r="R134" s="271">
        <v>1.3</v>
      </c>
      <c r="S134" s="98">
        <f>SUMIFS(Таблица1[сумма],Таблица1[коэф],"1,3",Таблица1[р/р],"4/16",Таблица1[Ф. И. О.],B132)</f>
        <v>0</v>
      </c>
      <c r="T134" s="92">
        <f t="shared" si="78"/>
        <v>0</v>
      </c>
      <c r="U134" s="366">
        <f>база!$M$5</f>
        <v>247.41720000000001</v>
      </c>
      <c r="V134" s="271">
        <v>1.3</v>
      </c>
      <c r="W134" s="307">
        <f>SUMIFS(Таблица1[сумма],Таблица1[коэф],"1,3",Таблица1[р/р],"4/24",Таблица1[Ф. И. О.],B132)</f>
        <v>0</v>
      </c>
      <c r="X134" s="313">
        <f t="shared" si="79"/>
        <v>0</v>
      </c>
      <c r="Y134" s="819"/>
      <c r="Z134" s="810"/>
      <c r="AA134" s="813"/>
    </row>
    <row r="135" spans="1:29" ht="24" thickBot="1">
      <c r="A135" s="756"/>
      <c r="B135" s="215"/>
      <c r="C135" s="815"/>
      <c r="D135" s="817"/>
      <c r="E135" s="82"/>
      <c r="F135" s="271"/>
      <c r="G135" s="98"/>
      <c r="H135" s="92"/>
      <c r="I135" s="78"/>
      <c r="J135" s="271"/>
      <c r="K135" s="216"/>
      <c r="L135" s="216"/>
      <c r="M135" s="216"/>
      <c r="N135" s="216"/>
      <c r="O135" s="216"/>
      <c r="P135" s="29"/>
      <c r="Q135" s="78">
        <f>IF(D127&lt;=3,база!$L$4,
IF(D127=4,база!$L$5,
IF(D127=5,база!$L$6)))</f>
        <v>210.57480000000001</v>
      </c>
      <c r="R135" s="271">
        <v>1.4</v>
      </c>
      <c r="S135" s="98">
        <f>SUMIFS(Таблица1[сумма],Таблица1[коэф],"1,4",Таблица1[р/р],"3/16",Таблица1[Ф. И. О.],B132)</f>
        <v>0</v>
      </c>
      <c r="T135" s="92">
        <f t="shared" ref="T135:T140" si="80">ROUND(Q135*R135*S135,2)</f>
        <v>0</v>
      </c>
      <c r="U135" s="366">
        <f>IF(D127&lt;=3,база!$M$4,
IF(D127=4,база!$M$5,
IF(D127=5,база!$M$6)))</f>
        <v>225.09719999999999</v>
      </c>
      <c r="V135" s="271">
        <v>1.4</v>
      </c>
      <c r="W135" s="307">
        <f>SUMIFS(Таблица1[сумма],Таблица1[коэф],"1,4",Таблица1[р/р],"3/24",Таблица1[Ф. И. О.],B132)</f>
        <v>0</v>
      </c>
      <c r="X135" s="313">
        <f>ROUND(U135*V135*W135,2)</f>
        <v>0</v>
      </c>
      <c r="Y135" s="819"/>
      <c r="Z135" s="810"/>
      <c r="AA135" s="813"/>
    </row>
    <row r="136" spans="1:29" ht="24" thickBot="1">
      <c r="A136" s="756"/>
      <c r="B136" s="215"/>
      <c r="C136" s="815"/>
      <c r="D136" s="817"/>
      <c r="E136" s="82"/>
      <c r="F136" s="271"/>
      <c r="G136" s="98"/>
      <c r="H136" s="92"/>
      <c r="I136" s="78"/>
      <c r="J136" s="271"/>
      <c r="K136" s="216"/>
      <c r="L136" s="216"/>
      <c r="M136" s="216"/>
      <c r="N136" s="216"/>
      <c r="O136" s="216"/>
      <c r="P136" s="29"/>
      <c r="Q136" s="78">
        <f>база!$L$5</f>
        <v>231.45480000000001</v>
      </c>
      <c r="R136" s="271">
        <v>1.4</v>
      </c>
      <c r="S136" s="98">
        <f>SUMIFS(Таблица1[сумма],Таблица1[коэф],"1,4",Таблица1[р/р],"4/16",Таблица1[Ф. И. О.],B132)</f>
        <v>0</v>
      </c>
      <c r="T136" s="92">
        <f t="shared" si="80"/>
        <v>0</v>
      </c>
      <c r="U136" s="366">
        <f>база!$M$5</f>
        <v>247.41720000000001</v>
      </c>
      <c r="V136" s="271">
        <v>1.4</v>
      </c>
      <c r="W136" s="307">
        <f>SUMIFS(Таблица1[сумма],Таблица1[коэф],"1,4",Таблица1[р/р],"4/24",Таблица1[Ф. И. О.],B132)</f>
        <v>0</v>
      </c>
      <c r="X136" s="313">
        <f>ROUND(U136*V136*W136,2)</f>
        <v>0</v>
      </c>
      <c r="Y136" s="819"/>
      <c r="Z136" s="810"/>
      <c r="AA136" s="813"/>
    </row>
    <row r="137" spans="1:29" ht="24" thickBot="1">
      <c r="A137" s="757"/>
      <c r="B137" s="202"/>
      <c r="C137" s="816"/>
      <c r="D137" s="818"/>
      <c r="E137" s="220"/>
      <c r="F137" s="273"/>
      <c r="G137" s="97"/>
      <c r="H137" s="238"/>
      <c r="I137" s="101"/>
      <c r="J137" s="273"/>
      <c r="K137" s="288"/>
      <c r="L137" s="288"/>
      <c r="M137" s="288"/>
      <c r="N137" s="288"/>
      <c r="O137" s="288"/>
      <c r="P137" s="26"/>
      <c r="Q137" s="101">
        <f>база!$L$6</f>
        <v>261.04640000000001</v>
      </c>
      <c r="R137" s="273">
        <v>1.4</v>
      </c>
      <c r="S137" s="97">
        <f>SUMIFS(Таблица1[сумма],Таблица1[коэф],"1,4",Таблица1[р/р],"5/16",Таблица1[Ф. И. О.],B132)</f>
        <v>0</v>
      </c>
      <c r="T137" s="238">
        <f t="shared" si="80"/>
        <v>0</v>
      </c>
      <c r="U137" s="367">
        <f>база!$M$6</f>
        <v>279.0496</v>
      </c>
      <c r="V137" s="273">
        <v>1.4</v>
      </c>
      <c r="W137" s="312">
        <f>SUMIFS(Таблица1[сумма],Таблица1[коэф],"1,4",Таблица1[р/р],"5/24",Таблица1[Ф. И. О.],B132)</f>
        <v>0</v>
      </c>
      <c r="X137" s="343">
        <f>ROUND(U137*V137*W137,2)</f>
        <v>0</v>
      </c>
      <c r="Y137" s="820"/>
      <c r="Z137" s="811"/>
      <c r="AA137" s="814"/>
    </row>
    <row r="138" spans="1:29">
      <c r="A138" s="755">
        <v>13</v>
      </c>
      <c r="B138" s="215"/>
      <c r="C138" s="821">
        <f>INDEX(база!$E$2:$E$81, MATCH(B143,база!$B$2:$B$50,0))</f>
        <v>17198</v>
      </c>
      <c r="D138" s="822">
        <f>INDEX(база!$D$2:$D$89, MATCH(B143,база!$B$2:$B$50,0))</f>
        <v>3</v>
      </c>
      <c r="E138" s="72">
        <f>IF(D138&lt;=3,база!$I$4,
IF(D138=4,база!$I$5,
IF(D138=5,база!$I$6)))</f>
        <v>188.7912</v>
      </c>
      <c r="F138" s="269">
        <v>1</v>
      </c>
      <c r="G138" s="95">
        <f>SUMIFS(Таблица1[сумма],Таблица1[коэф],"1",Таблица1[р/р],"2/4",Таблица1[Ф. И. О.],B143)</f>
        <v>0</v>
      </c>
      <c r="H138" s="87">
        <f>ROUND(E138*F138*G138,2)</f>
        <v>0</v>
      </c>
      <c r="I138" s="81">
        <f>IF(D138&lt;=3,база!$J$4,
IF(D138=4,база!$J$5,
IF(D138=5,база!$J$6)))</f>
        <v>196.05240000000001</v>
      </c>
      <c r="J138" s="270">
        <v>1</v>
      </c>
      <c r="K138" s="309">
        <f>SUMIFS(Таблица1[сумма],Таблица1[коэф],"1",Таблица1[р/р],"2/8",Таблица1[Ф. И. О.],B143)</f>
        <v>0</v>
      </c>
      <c r="L138" s="309">
        <f>ROUND(I138*J138*K138,2)</f>
        <v>0</v>
      </c>
      <c r="M138" s="309"/>
      <c r="N138" s="309">
        <v>1</v>
      </c>
      <c r="O138" s="309">
        <f>SUMIFS(Data_Tech!$AM$3:$AM$67,Data_Tech!$E$3:$E$67,"1",Data_Tech!$G$3:$G$67,"3/12",Data_Tech!$F$3:$F$67,B143)</f>
        <v>0</v>
      </c>
      <c r="P138" s="281">
        <f>ROUND(M138*N138*O138,2)</f>
        <v>0</v>
      </c>
      <c r="Q138" s="72">
        <f>IF(D138&lt;=3,база!$L$4,
IF(D138=4,база!$L$5,
IF(D138=5,база!$L$6)))</f>
        <v>210.57480000000001</v>
      </c>
      <c r="R138" s="269">
        <v>1</v>
      </c>
      <c r="S138" s="95">
        <f>SUMIFS(Таблица1[сумма],Таблица1[коэф],"1",Таблица1[р/р],"3/16",Таблица1[Ф. И. О.],B143)</f>
        <v>0</v>
      </c>
      <c r="T138" s="87">
        <f t="shared" si="80"/>
        <v>0</v>
      </c>
      <c r="U138" s="363">
        <f>IF(D138&lt;=3,база!$M$4,
IF(D138=4,база!$M$5,
IF(D138=5,база!$M$6)))</f>
        <v>225.09719999999999</v>
      </c>
      <c r="V138" s="269">
        <v>1</v>
      </c>
      <c r="W138" s="349">
        <f>SUMIFS(Таблица1[сумма],Таблица1[коэф],"1",Таблица1[р/р],"3/24",Таблица1[Ф. И. О.],B143)</f>
        <v>0</v>
      </c>
      <c r="X138" s="342">
        <f>ROUND(U138*V138*W138,2)</f>
        <v>0</v>
      </c>
      <c r="Y138" s="819">
        <f t="shared" ref="Y138" si="81">SUM(G138:G148,K138:K148,O138:O148,S138:S148,W138:W148)</f>
        <v>0</v>
      </c>
      <c r="Z138" s="810">
        <f t="shared" ref="Z138" si="82">IFERROR(SUM(H138:H148,L138:L148,T138:T148,X138:X148),"")</f>
        <v>0</v>
      </c>
      <c r="AA138" s="813"/>
    </row>
    <row r="139" spans="1:29">
      <c r="A139" s="756"/>
      <c r="B139" s="215"/>
      <c r="C139" s="815"/>
      <c r="D139" s="817"/>
      <c r="E139" s="78">
        <f>IF(D138&lt;=3,база!$I$4,
IF(D138=4,база!$I$5,
IF(D138=5,база!$I$6)))</f>
        <v>188.7912</v>
      </c>
      <c r="F139" s="271">
        <v>1</v>
      </c>
      <c r="G139" s="98">
        <f>SUMIFS(Таблица1[сумма],Таблица1[коэф],"1",Таблица1[р/р],"3/4",Таблица1[Ф. И. О.],B143)</f>
        <v>0</v>
      </c>
      <c r="H139" s="94">
        <f>ROUND(E139*F139*G139,2)</f>
        <v>0</v>
      </c>
      <c r="I139" s="82">
        <f>IF(D138&lt;=3,база!$J$4,
IF(D138=4,база!$J$5,
IF(D138=5,база!$J$6)))</f>
        <v>196.05240000000001</v>
      </c>
      <c r="J139" s="271">
        <v>1</v>
      </c>
      <c r="K139" s="216">
        <f>SUMIFS(Таблица1[сумма],Таблица1[коэф],"1",Таблица1[р/р],"3/8",Таблица1[Ф. И. О.],B143)</f>
        <v>0</v>
      </c>
      <c r="L139" s="216">
        <f>ROUND(I139*J139*K139,2)</f>
        <v>0</v>
      </c>
      <c r="M139" s="216"/>
      <c r="N139" s="216">
        <v>1</v>
      </c>
      <c r="O139" s="216">
        <f>SUMIFS(Data_Tech!$AM$3:$AM$67,Data_Tech!$E$3:$E$67,"1",Data_Tech!$G$3:$G$67,"4/12",Data_Tech!$F$3:$F$67,B143)</f>
        <v>0</v>
      </c>
      <c r="P139" s="30">
        <f>ROUND(M139*O139,2)</f>
        <v>0</v>
      </c>
      <c r="Q139" s="78">
        <f>база!$L$5</f>
        <v>231.45480000000001</v>
      </c>
      <c r="R139" s="271">
        <v>1</v>
      </c>
      <c r="S139" s="98">
        <f>SUMIFS(Таблица1[сумма],Таблица1[коэф],"1",Таблица1[р/р],"4/16",Таблица1[Ф. И. О.],B143)</f>
        <v>0</v>
      </c>
      <c r="T139" s="94">
        <f t="shared" si="80"/>
        <v>0</v>
      </c>
      <c r="U139" s="361">
        <f>база!$M$5</f>
        <v>247.41720000000001</v>
      </c>
      <c r="V139" s="271">
        <v>1</v>
      </c>
      <c r="W139" s="314">
        <f>SUMIFS(Таблица1[сумма],Таблица1[коэф],"1",Таблица1[р/р],"4/24",Таблица1[Ф. И. О.],B143)</f>
        <v>0</v>
      </c>
      <c r="X139" s="313">
        <f t="shared" ref="X139" si="83">ROUND(U139*V139*W139,2)</f>
        <v>0</v>
      </c>
      <c r="Y139" s="819"/>
      <c r="Z139" s="810"/>
      <c r="AA139" s="813"/>
    </row>
    <row r="140" spans="1:29" ht="24" thickBot="1">
      <c r="A140" s="756"/>
      <c r="B140" s="215"/>
      <c r="C140" s="815"/>
      <c r="D140" s="817"/>
      <c r="E140" s="78"/>
      <c r="F140" s="271"/>
      <c r="G140" s="98"/>
      <c r="H140" s="94"/>
      <c r="I140" s="82"/>
      <c r="J140" s="271"/>
      <c r="K140" s="216"/>
      <c r="L140" s="216"/>
      <c r="M140" s="216"/>
      <c r="N140" s="216"/>
      <c r="O140" s="216"/>
      <c r="P140" s="30"/>
      <c r="Q140" s="78">
        <f>база!$L$6</f>
        <v>261.04640000000001</v>
      </c>
      <c r="R140" s="271">
        <v>1</v>
      </c>
      <c r="S140" s="98">
        <f>SUMIFS(Таблица1[сумма],Таблица1[коэф],"1",Таблица1[р/р],"5/16",Таблица1[Ф. И. О.],B143)</f>
        <v>0</v>
      </c>
      <c r="T140" s="94">
        <f t="shared" si="80"/>
        <v>0</v>
      </c>
      <c r="U140" s="361">
        <f>база!$M$6</f>
        <v>279.0496</v>
      </c>
      <c r="V140" s="271">
        <v>1</v>
      </c>
      <c r="W140" s="314">
        <f>SUMIFS(Таблица1[сумма],Таблица1[коэф],"1",Таблица1[р/р],"5/24",Таблица1[Ф. И. О.],B143)</f>
        <v>0</v>
      </c>
      <c r="X140" s="313">
        <f>ROUND(U140*V140*W140,2)</f>
        <v>0</v>
      </c>
      <c r="Y140" s="819"/>
      <c r="Z140" s="810"/>
      <c r="AA140" s="813"/>
    </row>
    <row r="141" spans="1:29" ht="24" thickBot="1">
      <c r="A141" s="756"/>
      <c r="B141" s="215"/>
      <c r="C141" s="815"/>
      <c r="D141" s="817"/>
      <c r="E141" s="78"/>
      <c r="F141" s="271"/>
      <c r="G141" s="98"/>
      <c r="H141" s="94"/>
      <c r="I141" s="82">
        <f>база!$J$5</f>
        <v>215.4924</v>
      </c>
      <c r="J141" s="271">
        <v>1.5</v>
      </c>
      <c r="K141" s="216">
        <f>SUMIFS(Таблица1[сумма],Таблица1[коэф],"1,5",Таблица1[р/р],"4/8",Таблица1[Ф. И. О.],B143)</f>
        <v>0</v>
      </c>
      <c r="L141" s="216">
        <f>ROUND(I141*J141*K141,2)</f>
        <v>0</v>
      </c>
      <c r="M141" s="216"/>
      <c r="N141" s="216"/>
      <c r="O141" s="216"/>
      <c r="P141" s="30"/>
      <c r="Q141" s="78">
        <f>IF(D138&lt;=3,база!$L$4,
IF(D138=4,база!$L$5,
IF(D138=5,база!$L$6)))</f>
        <v>210.57480000000001</v>
      </c>
      <c r="R141" s="271">
        <v>1.2</v>
      </c>
      <c r="S141" s="98">
        <f>SUMIFS(Таблица1[сумма],Таблица1[коэф],"1,2",Таблица1[р/р],"3/16",Таблица1[Ф. И. О.],B143)</f>
        <v>0</v>
      </c>
      <c r="T141" s="94">
        <f t="shared" ref="T141:T142" si="84">ROUND(Q141*R141*S141,2)</f>
        <v>0</v>
      </c>
      <c r="U141" s="361">
        <f>IF(D138&lt;=3,база!$M$4,
IF(D138=4,база!$M$5,
IF(D138=5,база!$M$6)))</f>
        <v>225.09719999999999</v>
      </c>
      <c r="V141" s="271">
        <v>1.2</v>
      </c>
      <c r="W141" s="314">
        <f>SUMIFS(Таблица1[сумма],Таблица1[коэф],"1,2",Таблица1[р/р],"3/24",Таблица1[Ф. И. О.],B143)</f>
        <v>0</v>
      </c>
      <c r="X141" s="313">
        <f t="shared" ref="X141:X142" si="85">ROUND(U141*V141*W141,2)</f>
        <v>0</v>
      </c>
      <c r="Y141" s="819"/>
      <c r="Z141" s="810"/>
      <c r="AA141" s="813"/>
    </row>
    <row r="142" spans="1:29" ht="24" thickBot="1">
      <c r="A142" s="756"/>
      <c r="B142" s="215"/>
      <c r="C142" s="815"/>
      <c r="D142" s="817"/>
      <c r="E142" s="78"/>
      <c r="F142" s="271"/>
      <c r="G142" s="98"/>
      <c r="H142" s="94"/>
      <c r="I142" s="82">
        <f>база!$J$6</f>
        <v>243.04319999999998</v>
      </c>
      <c r="J142" s="271">
        <v>1.5</v>
      </c>
      <c r="K142" s="216">
        <f>SUMIFS(Таблица1[сумма],Таблица1[коэф],"1,5",Таблица1[р/р],"5/8",Таблица1[Ф. И. О.],B143)</f>
        <v>0</v>
      </c>
      <c r="L142" s="216">
        <f>ROUND(I142*J142*K142,2)</f>
        <v>0</v>
      </c>
      <c r="M142" s="216"/>
      <c r="N142" s="216"/>
      <c r="O142" s="216"/>
      <c r="P142" s="30"/>
      <c r="Q142" s="78">
        <f>база!$L$5</f>
        <v>231.45480000000001</v>
      </c>
      <c r="R142" s="271">
        <v>1.2</v>
      </c>
      <c r="S142" s="98">
        <f>SUMIFS(Таблица1[сумма],Таблица1[коэф],"1,2",Таблица1[р/р],"4/16",Таблица1[Ф. И. О.],B143)</f>
        <v>0</v>
      </c>
      <c r="T142" s="94">
        <f t="shared" si="84"/>
        <v>0</v>
      </c>
      <c r="U142" s="361">
        <f>база!$M$5</f>
        <v>247.41720000000001</v>
      </c>
      <c r="V142" s="271">
        <v>1.2</v>
      </c>
      <c r="W142" s="314">
        <f>SUMIFS(Таблица1[сумма],Таблица1[коэф],"1,2",Таблица1[р/р],"4/24",Таблица1[Ф. И. О.],B143)</f>
        <v>0</v>
      </c>
      <c r="X142" s="313">
        <f t="shared" si="85"/>
        <v>0</v>
      </c>
      <c r="Y142" s="819"/>
      <c r="Z142" s="810"/>
      <c r="AA142" s="813"/>
      <c r="AC142" s="707" t="str">
        <f>IF(SUMIFS(Таблица1[Столбец2],Таблица1[Ф. И. О.],B143)-Z138=0,"",SUMIFS(Таблица1[Столбец2],Таблица1[Ф. И. О.],B143)-Z138)</f>
        <v/>
      </c>
    </row>
    <row r="143" spans="1:29" ht="24" thickBot="1">
      <c r="A143" s="756"/>
      <c r="B143" s="215" t="str">
        <f>база!B14</f>
        <v>Волошина Светлана Владимировна</v>
      </c>
      <c r="C143" s="815"/>
      <c r="D143" s="817"/>
      <c r="E143" s="78"/>
      <c r="F143" s="271"/>
      <c r="G143" s="98"/>
      <c r="H143" s="94"/>
      <c r="I143" s="82"/>
      <c r="J143" s="271"/>
      <c r="K143" s="216"/>
      <c r="L143" s="216"/>
      <c r="M143" s="216"/>
      <c r="N143" s="216"/>
      <c r="O143" s="216"/>
      <c r="P143" s="30"/>
      <c r="Q143" s="78">
        <f>база!$L$6</f>
        <v>261.04640000000001</v>
      </c>
      <c r="R143" s="271">
        <v>1.2</v>
      </c>
      <c r="S143" s="98">
        <f>SUMIFS(Таблица1[сумма],Таблица1[коэф],"1,2",Таблица1[р/р],"5/16",Таблица1[Ф. И. О.],B143)</f>
        <v>0</v>
      </c>
      <c r="T143" s="94">
        <f>ROUND(Q143*R143*S143,2)</f>
        <v>0</v>
      </c>
      <c r="U143" s="361">
        <f>база!$M$6</f>
        <v>279.0496</v>
      </c>
      <c r="V143" s="271">
        <v>1.2</v>
      </c>
      <c r="W143" s="314">
        <f>SUMIFS(Таблица1[сумма],Таблица1[коэф],"1,2",Таблица1[р/р],"5/24",Таблица1[Ф. И. О.],B143)</f>
        <v>0</v>
      </c>
      <c r="X143" s="313">
        <f>ROUND(U143*V143*W143,2)</f>
        <v>0</v>
      </c>
      <c r="Y143" s="819"/>
      <c r="Z143" s="810"/>
      <c r="AA143" s="813"/>
      <c r="AC143" s="707" t="str">
        <f>IF(SUMIFS(Таблица1[сумма],Таблица1[Ф. И. О.],B143)=Y138,"",B138&amp;"  часы не верны")</f>
        <v/>
      </c>
    </row>
    <row r="144" spans="1:29" ht="24" thickBot="1">
      <c r="A144" s="756"/>
      <c r="B144" s="215"/>
      <c r="C144" s="815"/>
      <c r="D144" s="817"/>
      <c r="E144" s="78"/>
      <c r="F144" s="271"/>
      <c r="G144" s="98"/>
      <c r="H144" s="94"/>
      <c r="I144" s="82"/>
      <c r="J144" s="271"/>
      <c r="K144" s="216"/>
      <c r="L144" s="216"/>
      <c r="M144" s="216"/>
      <c r="N144" s="216"/>
      <c r="O144" s="216"/>
      <c r="P144" s="30"/>
      <c r="Q144" s="78">
        <f>IF($D$6&lt;=3,база!$L$4,
IF($D$6=4,база!$L$5,
IF($D$6=5,база!$L$6)))</f>
        <v>231.45480000000001</v>
      </c>
      <c r="R144" s="271">
        <v>1.3</v>
      </c>
      <c r="S144" s="98">
        <f>SUMIFS(Таблица1[сумма],Таблица1[коэф],"1,3",Таблица1[р/р],"3/16",Таблица1[Ф. И. О.],B143)</f>
        <v>0</v>
      </c>
      <c r="T144" s="94">
        <f t="shared" ref="T144:T145" si="86">ROUND(Q144*R144*S144,2)</f>
        <v>0</v>
      </c>
      <c r="U144" s="361">
        <f>IF(D138&lt;=3,база!$M$4,
IF(D138=4,база!$M$5,
IF(D138=5,база!$M$6)))</f>
        <v>225.09719999999999</v>
      </c>
      <c r="V144" s="271">
        <v>1.3</v>
      </c>
      <c r="W144" s="314">
        <f>SUMIFS(Таблица1[сумма],Таблица1[коэф],"1,3",Таблица1[р/р],"3/24",Таблица1[Ф. И. О.],B143)</f>
        <v>0</v>
      </c>
      <c r="X144" s="313">
        <f t="shared" ref="X144:X145" si="87">ROUND(U144*V144*W144,2)</f>
        <v>0</v>
      </c>
      <c r="Y144" s="819"/>
      <c r="Z144" s="810"/>
      <c r="AA144" s="813"/>
    </row>
    <row r="145" spans="1:29" ht="24" thickBot="1">
      <c r="A145" s="756"/>
      <c r="B145" s="215"/>
      <c r="C145" s="815"/>
      <c r="D145" s="817"/>
      <c r="E145" s="78"/>
      <c r="F145" s="271"/>
      <c r="G145" s="98"/>
      <c r="H145" s="94"/>
      <c r="I145" s="82"/>
      <c r="J145" s="271"/>
      <c r="K145" s="216"/>
      <c r="L145" s="216"/>
      <c r="M145" s="216"/>
      <c r="N145" s="216"/>
      <c r="O145" s="216"/>
      <c r="P145" s="30"/>
      <c r="Q145" s="78">
        <f>база!$L$5</f>
        <v>231.45480000000001</v>
      </c>
      <c r="R145" s="271">
        <v>1.3</v>
      </c>
      <c r="S145" s="98">
        <f>SUMIFS(Таблица1[сумма],Таблица1[коэф],"1,3",Таблица1[р/р],"4/16",Таблица1[Ф. И. О.],B143)</f>
        <v>0</v>
      </c>
      <c r="T145" s="94">
        <f t="shared" si="86"/>
        <v>0</v>
      </c>
      <c r="U145" s="361">
        <f>база!$M$5</f>
        <v>247.41720000000001</v>
      </c>
      <c r="V145" s="271">
        <v>1.3</v>
      </c>
      <c r="W145" s="314">
        <f>SUMIFS(Таблица1[сумма],Таблица1[коэф],"1,3",Таблица1[р/р],"4/24",Таблица1[Ф. И. О.],B143)</f>
        <v>0</v>
      </c>
      <c r="X145" s="313">
        <f t="shared" si="87"/>
        <v>0</v>
      </c>
      <c r="Y145" s="819"/>
      <c r="Z145" s="810"/>
      <c r="AA145" s="813"/>
    </row>
    <row r="146" spans="1:29" ht="24" thickBot="1">
      <c r="A146" s="756"/>
      <c r="B146" s="215"/>
      <c r="C146" s="815"/>
      <c r="D146" s="817"/>
      <c r="E146" s="78"/>
      <c r="F146" s="271"/>
      <c r="G146" s="98"/>
      <c r="H146" s="94"/>
      <c r="I146" s="82"/>
      <c r="J146" s="271"/>
      <c r="K146" s="216"/>
      <c r="L146" s="216"/>
      <c r="M146" s="216"/>
      <c r="N146" s="216"/>
      <c r="O146" s="216"/>
      <c r="P146" s="30"/>
      <c r="Q146" s="78">
        <f>IF(D138&lt;=3,база!$L$4,
IF(D138=4,база!$L$5,
IF(D138=5,база!$L$6)))</f>
        <v>210.57480000000001</v>
      </c>
      <c r="R146" s="271">
        <v>1.4</v>
      </c>
      <c r="S146" s="98">
        <f>SUMIFS(Таблица1[сумма],Таблица1[коэф],"1,4",Таблица1[р/р],"3/16",Таблица1[Ф. И. О.],B143)</f>
        <v>0</v>
      </c>
      <c r="T146" s="94">
        <f t="shared" ref="T146:T151" si="88">ROUND(Q146*R146*S146,2)</f>
        <v>0</v>
      </c>
      <c r="U146" s="361">
        <f>IF(D138&lt;=3,база!$M$4,
IF(D138=4,база!$M$5,
IF(D138=5,база!$M$6)))</f>
        <v>225.09719999999999</v>
      </c>
      <c r="V146" s="271">
        <v>1.4</v>
      </c>
      <c r="W146" s="314">
        <f>SUMIFS(Таблица1[сумма],Таблица1[коэф],"1,4",Таблица1[р/р],"3/24",Таблица1[Ф. И. О.],B143)</f>
        <v>0</v>
      </c>
      <c r="X146" s="313">
        <f>ROUND(U146*V146*W146,2)</f>
        <v>0</v>
      </c>
      <c r="Y146" s="819"/>
      <c r="Z146" s="810"/>
      <c r="AA146" s="813"/>
    </row>
    <row r="147" spans="1:29" ht="24" thickBot="1">
      <c r="A147" s="756"/>
      <c r="B147" s="215"/>
      <c r="C147" s="815"/>
      <c r="D147" s="817"/>
      <c r="E147" s="78"/>
      <c r="F147" s="271"/>
      <c r="G147" s="98"/>
      <c r="H147" s="94"/>
      <c r="I147" s="82"/>
      <c r="J147" s="271"/>
      <c r="K147" s="216"/>
      <c r="L147" s="216"/>
      <c r="M147" s="216"/>
      <c r="N147" s="216"/>
      <c r="O147" s="216"/>
      <c r="P147" s="30"/>
      <c r="Q147" s="78">
        <f>база!$L$5</f>
        <v>231.45480000000001</v>
      </c>
      <c r="R147" s="271">
        <v>1.4</v>
      </c>
      <c r="S147" s="98">
        <f>SUMIFS(Таблица1[сумма],Таблица1[коэф],"1,4",Таблица1[р/р],"4/16",Таблица1[Ф. И. О.],B143)</f>
        <v>0</v>
      </c>
      <c r="T147" s="94">
        <f t="shared" si="88"/>
        <v>0</v>
      </c>
      <c r="U147" s="361">
        <f>база!$M$5</f>
        <v>247.41720000000001</v>
      </c>
      <c r="V147" s="271">
        <v>1.4</v>
      </c>
      <c r="W147" s="314">
        <f>SUMIFS(Таблица1[сумма],Таблица1[коэф],"1,4",Таблица1[р/р],"4/24",Таблица1[Ф. И. О.],B143)</f>
        <v>0</v>
      </c>
      <c r="X147" s="313">
        <f>ROUND(U147*V147*W147,2)</f>
        <v>0</v>
      </c>
      <c r="Y147" s="819"/>
      <c r="Z147" s="810"/>
      <c r="AA147" s="813"/>
    </row>
    <row r="148" spans="1:29" ht="24" thickBot="1">
      <c r="A148" s="757"/>
      <c r="B148" s="215"/>
      <c r="C148" s="816"/>
      <c r="D148" s="818"/>
      <c r="E148" s="217"/>
      <c r="F148" s="274"/>
      <c r="G148" s="104"/>
      <c r="H148" s="103"/>
      <c r="I148" s="303"/>
      <c r="J148" s="274"/>
      <c r="K148" s="302"/>
      <c r="L148" s="302"/>
      <c r="M148" s="302"/>
      <c r="N148" s="302"/>
      <c r="O148" s="302"/>
      <c r="P148" s="308"/>
      <c r="Q148" s="217">
        <f>база!$L$6</f>
        <v>261.04640000000001</v>
      </c>
      <c r="R148" s="274">
        <v>1.4</v>
      </c>
      <c r="S148" s="104">
        <f>SUMIFS(Таблица1[сумма],Таблица1[коэф],"1,4",Таблица1[р/р],"5/16",Таблица1[Ф. И. О.],B143)</f>
        <v>0</v>
      </c>
      <c r="T148" s="103">
        <f t="shared" si="88"/>
        <v>0</v>
      </c>
      <c r="U148" s="362">
        <f>база!$M$6</f>
        <v>279.0496</v>
      </c>
      <c r="V148" s="274">
        <v>1.4</v>
      </c>
      <c r="W148" s="346">
        <f>SUMIFS(Таблица1[сумма],Таблица1[коэф],"1,4",Таблица1[р/р],"5/24",Таблица1[Ф. И. О.],B143)</f>
        <v>0</v>
      </c>
      <c r="X148" s="350">
        <f>ROUND(U148*V148*W148,2)</f>
        <v>0</v>
      </c>
      <c r="Y148" s="820"/>
      <c r="Z148" s="811"/>
      <c r="AA148" s="814"/>
    </row>
    <row r="149" spans="1:29">
      <c r="A149" s="755">
        <v>14</v>
      </c>
      <c r="B149" s="235"/>
      <c r="C149" s="821">
        <f>INDEX(база!$E$2:$E$81, MATCH(B154,база!$B$2:$B$50,0))</f>
        <v>17115</v>
      </c>
      <c r="D149" s="822">
        <f>INDEX(база!$D$2:$D$89, MATCH(B154,база!$B$2:$B$50,0))</f>
        <v>3</v>
      </c>
      <c r="E149" s="72">
        <f>IF(D149&lt;=3,база!$I$4,
IF(D149=4,база!$I$5,
IF(D149=5,база!$I$6)))</f>
        <v>188.7912</v>
      </c>
      <c r="F149" s="269">
        <v>1</v>
      </c>
      <c r="G149" s="95">
        <f>SUMIFS(Таблица1[сумма],Таблица1[коэф],"1",Таблица1[р/р],"2/4",Таблица1[Ф. И. О.],B154)</f>
        <v>0</v>
      </c>
      <c r="H149" s="87">
        <f>ROUND(E149*F149*G149,2)</f>
        <v>0</v>
      </c>
      <c r="I149" s="310">
        <f>IF(D149&lt;=3,база!$J$4,
IF(D149=4,база!$J$5,
IF(D149=5,база!$J$6)))</f>
        <v>196.05240000000001</v>
      </c>
      <c r="J149" s="269">
        <v>1</v>
      </c>
      <c r="K149" s="287">
        <f>SUMIFS(Таблица1[сумма],Таблица1[коэф],"1",Таблица1[р/р],"2/8",Таблица1[Ф. И. О.],B154)</f>
        <v>0</v>
      </c>
      <c r="L149" s="287">
        <f>ROUND(I149*J149*K149,2)</f>
        <v>0</v>
      </c>
      <c r="M149" s="287"/>
      <c r="N149" s="287">
        <v>1</v>
      </c>
      <c r="O149" s="287">
        <f>SUMIFS(Data_Tech!$AM$3:$AM$67,Data_Tech!$E$3:$E$67,"1",Data_Tech!$G$3:$G$67,"3/12",Data_Tech!$F$3:$F$67,B154)</f>
        <v>0</v>
      </c>
      <c r="P149" s="280">
        <f>ROUND(M149*N149*O149,2)</f>
        <v>0</v>
      </c>
      <c r="Q149" s="72">
        <f>IF(D149&lt;=3,база!$L$4,
IF(D149=4,база!$L$5,
IF(D149=5,база!$L$6)))</f>
        <v>210.57480000000001</v>
      </c>
      <c r="R149" s="269">
        <v>1</v>
      </c>
      <c r="S149" s="95">
        <f>SUMIFS(Таблица1[сумма],Таблица1[коэф],"1",Таблица1[р/р],"3/16",Таблица1[Ф. И. О.],B154)</f>
        <v>0</v>
      </c>
      <c r="T149" s="87">
        <f t="shared" si="88"/>
        <v>0</v>
      </c>
      <c r="U149" s="363">
        <f>IF(D149&lt;=3,база!$M$4,
IF(D149=4,база!$M$5,
IF(D149=5,база!$M$6)))</f>
        <v>225.09719999999999</v>
      </c>
      <c r="V149" s="269">
        <v>1</v>
      </c>
      <c r="W149" s="339">
        <f>SUMIFS(Таблица1[сумма],Таблица1[коэф],"1",Таблица1[р/р],"3/24",Таблица1[Ф. И. О.],B154)</f>
        <v>0</v>
      </c>
      <c r="X149" s="342">
        <f>ROUND(U149*V149*W149,2)</f>
        <v>0</v>
      </c>
      <c r="Y149" s="819">
        <f t="shared" ref="Y149" si="89">SUM(G149:G159,K149:K159,O149:O159,S149:S159,W149:W159)</f>
        <v>0</v>
      </c>
      <c r="Z149" s="810">
        <f t="shared" ref="Z149" si="90">IFERROR(SUM(H149:H159,L149:L159,T149:T159,X149:X159),"")</f>
        <v>0</v>
      </c>
      <c r="AA149" s="813"/>
    </row>
    <row r="150" spans="1:29">
      <c r="A150" s="756"/>
      <c r="B150" s="215"/>
      <c r="C150" s="815"/>
      <c r="D150" s="817"/>
      <c r="E150" s="78">
        <f>IF(D149&lt;=3,база!$I$4,
IF(D149=4,база!$I$5,
IF(D149=5,база!$I$6)))</f>
        <v>188.7912</v>
      </c>
      <c r="F150" s="271">
        <v>1</v>
      </c>
      <c r="G150" s="98">
        <f>SUMIFS(Таблица1[сумма],Таблица1[коэф],"1",Таблица1[р/р],"3/4",Таблица1[Ф. И. О.],B154)</f>
        <v>0</v>
      </c>
      <c r="H150" s="94">
        <f>ROUND(E150*F150*G150,2)</f>
        <v>0</v>
      </c>
      <c r="I150" s="82">
        <f>IF(D149&lt;=3,база!$J$4,
IF(D149=4,база!$J$5,
IF(D149=5,база!$J$6)))</f>
        <v>196.05240000000001</v>
      </c>
      <c r="J150" s="271">
        <v>1</v>
      </c>
      <c r="K150" s="216">
        <f>SUMIFS(Таблица1[сумма],Таблица1[коэф],"1",Таблица1[р/р],"3/8",Таблица1[Ф. И. О.],B154)</f>
        <v>0</v>
      </c>
      <c r="L150" s="216">
        <f>ROUND(I150*J150*K150,2)</f>
        <v>0</v>
      </c>
      <c r="M150" s="216"/>
      <c r="N150" s="216">
        <v>1</v>
      </c>
      <c r="O150" s="216">
        <f>SUMIFS(Data_Tech!$AM$3:$AM$67,Data_Tech!$E$3:$E$67,"1",Data_Tech!$G$3:$G$67,"4/12",Data_Tech!$F$3:$F$67,B154)</f>
        <v>0</v>
      </c>
      <c r="P150" s="30">
        <f>ROUND(M150*O150,2)</f>
        <v>0</v>
      </c>
      <c r="Q150" s="78">
        <f>база!$L$5</f>
        <v>231.45480000000001</v>
      </c>
      <c r="R150" s="271">
        <v>1</v>
      </c>
      <c r="S150" s="98">
        <f>SUMIFS(Таблица1[сумма],Таблица1[коэф],"1",Таблица1[р/р],"4/16",Таблица1[Ф. И. О.],B154)</f>
        <v>0</v>
      </c>
      <c r="T150" s="94">
        <f t="shared" si="88"/>
        <v>0</v>
      </c>
      <c r="U150" s="361">
        <f>база!$M$5</f>
        <v>247.41720000000001</v>
      </c>
      <c r="V150" s="271">
        <v>1</v>
      </c>
      <c r="W150" s="314">
        <f>SUMIFS(Таблица1[сумма],Таблица1[коэф],"1",Таблица1[р/р],"4/24",Таблица1[Ф. И. О.],B154)</f>
        <v>0</v>
      </c>
      <c r="X150" s="313">
        <f t="shared" ref="X150" si="91">ROUND(U150*V150*W150,2)</f>
        <v>0</v>
      </c>
      <c r="Y150" s="819"/>
      <c r="Z150" s="810"/>
      <c r="AA150" s="813"/>
    </row>
    <row r="151" spans="1:29" ht="24" thickBot="1">
      <c r="A151" s="756"/>
      <c r="B151" s="215"/>
      <c r="C151" s="815"/>
      <c r="D151" s="817"/>
      <c r="E151" s="78"/>
      <c r="F151" s="271"/>
      <c r="G151" s="98"/>
      <c r="H151" s="94"/>
      <c r="I151" s="82"/>
      <c r="J151" s="271"/>
      <c r="K151" s="216"/>
      <c r="L151" s="216"/>
      <c r="M151" s="216"/>
      <c r="N151" s="216"/>
      <c r="O151" s="216"/>
      <c r="P151" s="30"/>
      <c r="Q151" s="78">
        <f>база!$L$6</f>
        <v>261.04640000000001</v>
      </c>
      <c r="R151" s="271">
        <v>1</v>
      </c>
      <c r="S151" s="98">
        <f>SUMIFS(Таблица1[сумма],Таблица1[коэф],"1",Таблица1[р/р],"5/16",Таблица1[Ф. И. О.],B154)</f>
        <v>0</v>
      </c>
      <c r="T151" s="94">
        <f t="shared" si="88"/>
        <v>0</v>
      </c>
      <c r="U151" s="361">
        <f>база!$M$6</f>
        <v>279.0496</v>
      </c>
      <c r="V151" s="271">
        <v>1</v>
      </c>
      <c r="W151" s="314">
        <f>SUMIFS(Таблица1[сумма],Таблица1[коэф],"1",Таблица1[р/р],"5/24",Таблица1[Ф. И. О.],B154)</f>
        <v>0</v>
      </c>
      <c r="X151" s="313">
        <f>ROUND(U151*V151*W151,2)</f>
        <v>0</v>
      </c>
      <c r="Y151" s="819"/>
      <c r="Z151" s="810"/>
      <c r="AA151" s="813"/>
    </row>
    <row r="152" spans="1:29" ht="24" thickBot="1">
      <c r="A152" s="756"/>
      <c r="B152" s="215"/>
      <c r="C152" s="815"/>
      <c r="D152" s="817"/>
      <c r="E152" s="78"/>
      <c r="F152" s="271"/>
      <c r="G152" s="98"/>
      <c r="H152" s="94"/>
      <c r="I152" s="82">
        <f>база!$J$5</f>
        <v>215.4924</v>
      </c>
      <c r="J152" s="271">
        <v>1.5</v>
      </c>
      <c r="K152" s="216">
        <f>SUMIFS(Таблица1[сумма],Таблица1[коэф],"1,5",Таблица1[р/р],"4/8",Таблица1[Ф. И. О.],B154)</f>
        <v>0</v>
      </c>
      <c r="L152" s="216">
        <f>ROUND(I152*J152*K152,2)</f>
        <v>0</v>
      </c>
      <c r="M152" s="216"/>
      <c r="N152" s="216"/>
      <c r="O152" s="216"/>
      <c r="P152" s="30"/>
      <c r="Q152" s="78">
        <f>IF(D149&lt;=3,база!$L$4,
IF(D149=4,база!$L$5,
IF(D149=5,база!$L$6)))</f>
        <v>210.57480000000001</v>
      </c>
      <c r="R152" s="271">
        <v>1.2</v>
      </c>
      <c r="S152" s="98">
        <f>SUMIFS(Таблица1[сумма],Таблица1[коэф],"1,2",Таблица1[р/р],"3/16",Таблица1[Ф. И. О.],B154)</f>
        <v>0</v>
      </c>
      <c r="T152" s="94">
        <f t="shared" ref="T152:T153" si="92">ROUND(Q152*R152*S152,2)</f>
        <v>0</v>
      </c>
      <c r="U152" s="361">
        <f>IF(D149&lt;=3,база!$M$4,
IF(D149=4,база!$M$5,
IF(D149=5,база!$M$6)))</f>
        <v>225.09719999999999</v>
      </c>
      <c r="V152" s="271">
        <v>1.2</v>
      </c>
      <c r="W152" s="314">
        <f>SUMIFS(Таблица1[сумма],Таблица1[коэф],"1,2",Таблица1[р/р],"3/24",Таблица1[Ф. И. О.],B154)</f>
        <v>0</v>
      </c>
      <c r="X152" s="313">
        <f t="shared" ref="X152:X153" si="93">ROUND(U152*V152*W152,2)</f>
        <v>0</v>
      </c>
      <c r="Y152" s="819"/>
      <c r="Z152" s="810"/>
      <c r="AA152" s="813"/>
    </row>
    <row r="153" spans="1:29" ht="24" thickBot="1">
      <c r="A153" s="756"/>
      <c r="B153" s="215"/>
      <c r="C153" s="815"/>
      <c r="D153" s="817"/>
      <c r="E153" s="78"/>
      <c r="F153" s="271"/>
      <c r="G153" s="98"/>
      <c r="H153" s="94"/>
      <c r="I153" s="82">
        <f>база!$J$6</f>
        <v>243.04319999999998</v>
      </c>
      <c r="J153" s="271">
        <v>1.5</v>
      </c>
      <c r="K153" s="216">
        <f>SUMIFS(Таблица1[сумма],Таблица1[коэф],"1,5",Таблица1[р/р],"5/8",Таблица1[Ф. И. О.],B154)</f>
        <v>0</v>
      </c>
      <c r="L153" s="216">
        <f>ROUND(I153*J153*K153,2)</f>
        <v>0</v>
      </c>
      <c r="M153" s="216"/>
      <c r="N153" s="216"/>
      <c r="O153" s="216"/>
      <c r="P153" s="30"/>
      <c r="Q153" s="78">
        <f>база!$L$5</f>
        <v>231.45480000000001</v>
      </c>
      <c r="R153" s="271">
        <v>1.2</v>
      </c>
      <c r="S153" s="98">
        <f>SUMIFS(Таблица1[сумма],Таблица1[коэф],"1,2",Таблица1[р/р],"4/16",Таблица1[Ф. И. О.],B154)</f>
        <v>0</v>
      </c>
      <c r="T153" s="94">
        <f t="shared" si="92"/>
        <v>0</v>
      </c>
      <c r="U153" s="361">
        <f>база!$M$5</f>
        <v>247.41720000000001</v>
      </c>
      <c r="V153" s="271">
        <v>1.2</v>
      </c>
      <c r="W153" s="314">
        <f>SUMIFS(Таблица1[сумма],Таблица1[коэф],"1,2",Таблица1[р/р],"4/24",Таблица1[Ф. И. О.],B154)</f>
        <v>0</v>
      </c>
      <c r="X153" s="313">
        <f t="shared" si="93"/>
        <v>0</v>
      </c>
      <c r="Y153" s="819"/>
      <c r="Z153" s="810"/>
      <c r="AA153" s="813"/>
      <c r="AC153" s="707" t="str">
        <f>IF(SUMIFS(Таблица1[Столбец2],Таблица1[Ф. И. О.],B154)-Z149=0,"",SUMIFS(Таблица1[Столбец2],Таблица1[Ф. И. О.],B154)-Z149)</f>
        <v/>
      </c>
    </row>
    <row r="154" spans="1:29" ht="24" thickBot="1">
      <c r="A154" s="756"/>
      <c r="B154" s="215" t="str">
        <f>база!B15</f>
        <v>Глинка Екатерина Юрьевна</v>
      </c>
      <c r="C154" s="815"/>
      <c r="D154" s="817"/>
      <c r="E154" s="78"/>
      <c r="F154" s="271"/>
      <c r="G154" s="98"/>
      <c r="H154" s="94"/>
      <c r="I154" s="82"/>
      <c r="J154" s="271"/>
      <c r="K154" s="216"/>
      <c r="L154" s="216"/>
      <c r="M154" s="216"/>
      <c r="N154" s="216"/>
      <c r="O154" s="216"/>
      <c r="P154" s="30"/>
      <c r="Q154" s="78">
        <f>база!$L$6</f>
        <v>261.04640000000001</v>
      </c>
      <c r="R154" s="271">
        <v>1.2</v>
      </c>
      <c r="S154" s="98">
        <f>SUMIFS(Таблица1[сумма],Таблица1[коэф],"1,2",Таблица1[р/р],"5/16",Таблица1[Ф. И. О.],B154)</f>
        <v>0</v>
      </c>
      <c r="T154" s="94">
        <f>ROUND(Q154*R154*S154,2)</f>
        <v>0</v>
      </c>
      <c r="U154" s="361">
        <f>база!$M$6</f>
        <v>279.0496</v>
      </c>
      <c r="V154" s="271">
        <v>1.2</v>
      </c>
      <c r="W154" s="314">
        <f>SUMIFS(Таблица1[сумма],Таблица1[коэф],"1,2",Таблица1[р/р],"5/24",Таблица1[Ф. И. О.],B154)</f>
        <v>0</v>
      </c>
      <c r="X154" s="313">
        <f>ROUND(U154*V154*W154,2)</f>
        <v>0</v>
      </c>
      <c r="Y154" s="819"/>
      <c r="Z154" s="810"/>
      <c r="AA154" s="813"/>
      <c r="AC154" s="707" t="str">
        <f>IF(SUMIFS(Таблица1[сумма],Таблица1[Ф. И. О.],B154)=Y149,"",B149&amp;"  часы не верны")</f>
        <v/>
      </c>
    </row>
    <row r="155" spans="1:29" ht="24" thickBot="1">
      <c r="A155" s="756"/>
      <c r="B155" s="215"/>
      <c r="C155" s="815"/>
      <c r="D155" s="817"/>
      <c r="E155" s="78"/>
      <c r="F155" s="271"/>
      <c r="G155" s="98"/>
      <c r="H155" s="94"/>
      <c r="I155" s="82"/>
      <c r="J155" s="271"/>
      <c r="K155" s="216"/>
      <c r="L155" s="216"/>
      <c r="M155" s="216"/>
      <c r="N155" s="216"/>
      <c r="O155" s="216"/>
      <c r="P155" s="30"/>
      <c r="Q155" s="78">
        <f>IF($D$6&lt;=3,база!$L$4,
IF($D$6=4,база!$L$5,
IF($D$6=5,база!$L$6)))</f>
        <v>231.45480000000001</v>
      </c>
      <c r="R155" s="271">
        <v>1.3</v>
      </c>
      <c r="S155" s="98">
        <f>SUMIFS(Таблица1[сумма],Таблица1[коэф],"1,3",Таблица1[р/р],"3/16",Таблица1[Ф. И. О.],B154)</f>
        <v>0</v>
      </c>
      <c r="T155" s="94">
        <f t="shared" ref="T155:T156" si="94">ROUND(Q155*R155*S155,2)</f>
        <v>0</v>
      </c>
      <c r="U155" s="361">
        <f>IF(D149&lt;=3,база!$M$4,
IF(D149=4,база!$M$5,
IF(D149=5,база!$M$6)))</f>
        <v>225.09719999999999</v>
      </c>
      <c r="V155" s="271">
        <v>1.3</v>
      </c>
      <c r="W155" s="314">
        <f>SUMIFS(Таблица1[сумма],Таблица1[коэф],"1,3",Таблица1[р/р],"3/24",Таблица1[Ф. И. О.],B154)</f>
        <v>0</v>
      </c>
      <c r="X155" s="313">
        <f t="shared" ref="X155:X156" si="95">ROUND(U155*V155*W155,2)</f>
        <v>0</v>
      </c>
      <c r="Y155" s="819"/>
      <c r="Z155" s="810"/>
      <c r="AA155" s="813"/>
    </row>
    <row r="156" spans="1:29" ht="24" thickBot="1">
      <c r="A156" s="756"/>
      <c r="B156" s="215"/>
      <c r="C156" s="815"/>
      <c r="D156" s="817"/>
      <c r="E156" s="78"/>
      <c r="F156" s="271"/>
      <c r="G156" s="98"/>
      <c r="H156" s="94"/>
      <c r="I156" s="82"/>
      <c r="J156" s="271"/>
      <c r="K156" s="216"/>
      <c r="L156" s="216"/>
      <c r="M156" s="216"/>
      <c r="N156" s="216"/>
      <c r="O156" s="216"/>
      <c r="P156" s="30"/>
      <c r="Q156" s="78">
        <f>база!$L$5</f>
        <v>231.45480000000001</v>
      </c>
      <c r="R156" s="271">
        <v>1.3</v>
      </c>
      <c r="S156" s="98">
        <f>SUMIFS(Таблица1[сумма],Таблица1[коэф],"1,3",Таблица1[р/р],"4/16",Таблица1[Ф. И. О.],B154)</f>
        <v>0</v>
      </c>
      <c r="T156" s="94">
        <f t="shared" si="94"/>
        <v>0</v>
      </c>
      <c r="U156" s="361">
        <f>база!$M$5</f>
        <v>247.41720000000001</v>
      </c>
      <c r="V156" s="271">
        <v>1.3</v>
      </c>
      <c r="W156" s="314">
        <f>SUMIFS(Таблица1[сумма],Таблица1[коэф],"1,3",Таблица1[р/р],"4/24",Таблица1[Ф. И. О.],B154)</f>
        <v>0</v>
      </c>
      <c r="X156" s="313">
        <f t="shared" si="95"/>
        <v>0</v>
      </c>
      <c r="Y156" s="819"/>
      <c r="Z156" s="810"/>
      <c r="AA156" s="813"/>
    </row>
    <row r="157" spans="1:29" ht="24" thickBot="1">
      <c r="A157" s="756"/>
      <c r="B157" s="215"/>
      <c r="C157" s="815"/>
      <c r="D157" s="817"/>
      <c r="E157" s="78"/>
      <c r="F157" s="271"/>
      <c r="G157" s="98"/>
      <c r="H157" s="94"/>
      <c r="I157" s="82"/>
      <c r="J157" s="271"/>
      <c r="K157" s="216"/>
      <c r="L157" s="216"/>
      <c r="M157" s="216"/>
      <c r="N157" s="216"/>
      <c r="O157" s="216"/>
      <c r="P157" s="30"/>
      <c r="Q157" s="78">
        <f>IF(D149&lt;=3,база!$L$4,
IF(D149=4,база!$L$5,
IF(D149=5,база!$L$6)))</f>
        <v>210.57480000000001</v>
      </c>
      <c r="R157" s="271">
        <v>1.4</v>
      </c>
      <c r="S157" s="98">
        <f>SUMIFS(Таблица1[сумма],Таблица1[коэф],"1,4",Таблица1[р/р],"3/16",Таблица1[Ф. И. О.],B154)</f>
        <v>0</v>
      </c>
      <c r="T157" s="94">
        <f t="shared" ref="T157:T162" si="96">ROUND(Q157*R157*S157,2)</f>
        <v>0</v>
      </c>
      <c r="U157" s="361">
        <f>IF(D149&lt;=3,база!$M$4,
IF(D149=4,база!$M$5,
IF(D149=5,база!$M$6)))</f>
        <v>225.09719999999999</v>
      </c>
      <c r="V157" s="271">
        <v>1.4</v>
      </c>
      <c r="W157" s="314">
        <f>SUMIFS(Таблица1[сумма],Таблица1[коэф],"1,4",Таблица1[р/р],"3/24",Таблица1[Ф. И. О.],B154)</f>
        <v>0</v>
      </c>
      <c r="X157" s="313">
        <f>ROUND(U157*V157*W157,2)</f>
        <v>0</v>
      </c>
      <c r="Y157" s="819"/>
      <c r="Z157" s="810"/>
      <c r="AA157" s="813"/>
    </row>
    <row r="158" spans="1:29" ht="24" thickBot="1">
      <c r="A158" s="756"/>
      <c r="B158" s="215"/>
      <c r="C158" s="815"/>
      <c r="D158" s="817"/>
      <c r="E158" s="78"/>
      <c r="F158" s="271"/>
      <c r="G158" s="98"/>
      <c r="H158" s="94"/>
      <c r="I158" s="82"/>
      <c r="J158" s="271"/>
      <c r="K158" s="216"/>
      <c r="L158" s="216"/>
      <c r="M158" s="216"/>
      <c r="N158" s="216"/>
      <c r="O158" s="216"/>
      <c r="P158" s="30"/>
      <c r="Q158" s="78">
        <f>база!$L$5</f>
        <v>231.45480000000001</v>
      </c>
      <c r="R158" s="271">
        <v>1.4</v>
      </c>
      <c r="S158" s="98">
        <f>SUMIFS(Таблица1[сумма],Таблица1[коэф],"1,4",Таблица1[р/р],"4/16",Таблица1[Ф. И. О.],B154)</f>
        <v>0</v>
      </c>
      <c r="T158" s="94">
        <f t="shared" si="96"/>
        <v>0</v>
      </c>
      <c r="U158" s="361">
        <f>база!$M$5</f>
        <v>247.41720000000001</v>
      </c>
      <c r="V158" s="271">
        <v>1.4</v>
      </c>
      <c r="W158" s="314">
        <f>SUMIFS(Таблица1[сумма],Таблица1[коэф],"1,4",Таблица1[р/р],"4/24",Таблица1[Ф. И. О.],B154)</f>
        <v>0</v>
      </c>
      <c r="X158" s="313">
        <f>ROUND(U158*V158*W158,2)</f>
        <v>0</v>
      </c>
      <c r="Y158" s="819"/>
      <c r="Z158" s="810"/>
      <c r="AA158" s="813"/>
    </row>
    <row r="159" spans="1:29" ht="24" thickBot="1">
      <c r="A159" s="757"/>
      <c r="B159" s="202"/>
      <c r="C159" s="816"/>
      <c r="D159" s="818"/>
      <c r="E159" s="101"/>
      <c r="F159" s="273"/>
      <c r="G159" s="97"/>
      <c r="H159" s="90"/>
      <c r="I159" s="220"/>
      <c r="J159" s="273"/>
      <c r="K159" s="288"/>
      <c r="L159" s="288"/>
      <c r="M159" s="288"/>
      <c r="N159" s="288"/>
      <c r="O159" s="288"/>
      <c r="P159" s="315"/>
      <c r="Q159" s="101">
        <f>база!$L$6</f>
        <v>261.04640000000001</v>
      </c>
      <c r="R159" s="273">
        <v>1.4</v>
      </c>
      <c r="S159" s="97">
        <f>SUMIFS(Таблица1[сумма],Таблица1[коэф],"1,4",Таблица1[р/р],"5/16",Таблица1[Ф. И. О.],B154)</f>
        <v>0</v>
      </c>
      <c r="T159" s="90">
        <f t="shared" si="96"/>
        <v>0</v>
      </c>
      <c r="U159" s="364">
        <f>база!$M$6</f>
        <v>279.0496</v>
      </c>
      <c r="V159" s="273">
        <v>1.4</v>
      </c>
      <c r="W159" s="347">
        <f>SUMIFS(Таблица1[сумма],Таблица1[коэф],"1,4",Таблица1[р/р],"5/24",Таблица1[Ф. И. О.],B154)</f>
        <v>0</v>
      </c>
      <c r="X159" s="343">
        <f>ROUND(U159*V159*W159,2)</f>
        <v>0</v>
      </c>
      <c r="Y159" s="820"/>
      <c r="Z159" s="811"/>
      <c r="AA159" s="814"/>
    </row>
    <row r="160" spans="1:29">
      <c r="A160" s="755">
        <v>15</v>
      </c>
      <c r="B160" s="215"/>
      <c r="C160" s="821">
        <f>INDEX(база!$E$2:$E$81, MATCH(B165,база!$B$2:$B$50,0))</f>
        <v>15880</v>
      </c>
      <c r="D160" s="822">
        <f>INDEX(база!$D$2:$D$89, MATCH(B165,база!$B$2:$B$50,0))</f>
        <v>3</v>
      </c>
      <c r="E160" s="81">
        <f>IF(D160&lt;=3,база!$I$4,
IF(D160=4,база!$I$5,
IF(D160=5,база!$I$6)))</f>
        <v>188.7912</v>
      </c>
      <c r="F160" s="270">
        <v>1</v>
      </c>
      <c r="G160" s="96">
        <f>SUMIFS(Таблица1[сумма],Таблица1[коэф],"1",Таблица1[р/р],"2/4",Таблица1[Ф. И. О.],B165)</f>
        <v>0</v>
      </c>
      <c r="H160" s="311">
        <f>ROUND(E160*F160*G160,2)</f>
        <v>0</v>
      </c>
      <c r="I160" s="72">
        <f>IF(D160&lt;=3,база!$J$4,
IF(D160=4,база!$J$5,
IF(D160=5,база!$J$6)))</f>
        <v>196.05240000000001</v>
      </c>
      <c r="J160" s="269">
        <v>1</v>
      </c>
      <c r="K160" s="287">
        <f>SUMIFS(Таблица1[сумма],Таблица1[коэф],"1",Таблица1[р/р],"2/8",Таблица1[Ф. И. О.],B165)</f>
        <v>0</v>
      </c>
      <c r="L160" s="287">
        <f>ROUND(I160*J160*K160,2)</f>
        <v>0</v>
      </c>
      <c r="M160" s="287"/>
      <c r="N160" s="287">
        <v>1</v>
      </c>
      <c r="O160" s="287">
        <f>SUMIFS(Data_Tech!$AM$3:$AM$67,Data_Tech!$E$3:$E$67,"1",Data_Tech!$G$3:$G$67,"3/12",Data_Tech!$F$3:$F$67,B165)</f>
        <v>0</v>
      </c>
      <c r="P160" s="28">
        <f>ROUND(M160*N160*O160,2)</f>
        <v>0</v>
      </c>
      <c r="Q160" s="72">
        <f>IF(D160&lt;=3,база!$L$4,
IF(D160=4,база!$L$5,
IF(D160=5,база!$L$6)))</f>
        <v>210.57480000000001</v>
      </c>
      <c r="R160" s="270">
        <v>1</v>
      </c>
      <c r="S160" s="96">
        <f>SUMIFS(Таблица1[сумма],Таблица1[коэф],"1",Таблица1[р/р],"3/16",Таблица1[Ф. И. О.],B165)</f>
        <v>0</v>
      </c>
      <c r="T160" s="311">
        <f t="shared" si="96"/>
        <v>0</v>
      </c>
      <c r="U160" s="365">
        <f>IF(D160&lt;=3,база!$M$4,
IF(D160=4,база!$M$5,
IF(D160=5,база!$M$6)))</f>
        <v>225.09719999999999</v>
      </c>
      <c r="V160" s="269">
        <v>1</v>
      </c>
      <c r="W160" s="340">
        <f>SUMIFS(Таблица1[сумма],Таблица1[коэф],"1",Таблица1[р/р],"3/24",Таблица1[Ф. И. О.],B165)</f>
        <v>0</v>
      </c>
      <c r="X160" s="342">
        <f>ROUND(U160*V160*W160,2)</f>
        <v>0</v>
      </c>
      <c r="Y160" s="819">
        <f t="shared" ref="Y160" si="97">SUM(G160:G170,K160:K170,O160:O170,S160:S170,W160:W170)</f>
        <v>0</v>
      </c>
      <c r="Z160" s="810">
        <f t="shared" ref="Z160" si="98">IFERROR(SUM(H160:H170,L160:L170,T160:T170,X160:X170),"")</f>
        <v>0</v>
      </c>
      <c r="AA160" s="813"/>
    </row>
    <row r="161" spans="1:29">
      <c r="A161" s="756"/>
      <c r="B161" s="215"/>
      <c r="C161" s="815"/>
      <c r="D161" s="817"/>
      <c r="E161" s="82">
        <f>IF(D160&lt;=3,база!$I$4,
IF(D160=4,база!$I$5,
IF(D160=5,база!$I$6)))</f>
        <v>188.7912</v>
      </c>
      <c r="F161" s="271">
        <v>1</v>
      </c>
      <c r="G161" s="98">
        <f>SUMIFS(Таблица1[сумма],Таблица1[коэф],"1",Таблица1[р/р],"3/4",Таблица1[Ф. И. О.],B165)</f>
        <v>0</v>
      </c>
      <c r="H161" s="92">
        <f>ROUND(E161*F161*G161,2)</f>
        <v>0</v>
      </c>
      <c r="I161" s="78">
        <f>IF(D160&lt;=3,база!$J$4,
IF(D160=4,база!$J$5,
IF(D160=5,база!$J$6)))</f>
        <v>196.05240000000001</v>
      </c>
      <c r="J161" s="271">
        <v>1</v>
      </c>
      <c r="K161" s="216">
        <f>SUMIFS(Таблица1[сумма],Таблица1[коэф],"1",Таблица1[р/р],"3/8",Таблица1[Ф. И. О.],B165)</f>
        <v>0</v>
      </c>
      <c r="L161" s="216">
        <f>ROUND(I161*J161*K161,2)</f>
        <v>0</v>
      </c>
      <c r="M161" s="216"/>
      <c r="N161" s="216">
        <v>1</v>
      </c>
      <c r="O161" s="216">
        <f>SUMIFS(Data_Tech!$AM$3:$AM$67,Data_Tech!$E$3:$E$67,"1",Data_Tech!$G$3:$G$67,"4/12",Data_Tech!$F$3:$F$67,B165)</f>
        <v>0</v>
      </c>
      <c r="P161" s="29">
        <f>ROUND(M161*O161,2)</f>
        <v>0</v>
      </c>
      <c r="Q161" s="78">
        <f>база!$L$5</f>
        <v>231.45480000000001</v>
      </c>
      <c r="R161" s="271">
        <v>1</v>
      </c>
      <c r="S161" s="98">
        <f>SUMIFS(Таблица1[сумма],Таблица1[коэф],"1",Таблица1[р/р],"4/16",Таблица1[Ф. И. О.],B165)</f>
        <v>0</v>
      </c>
      <c r="T161" s="92">
        <f t="shared" si="96"/>
        <v>0</v>
      </c>
      <c r="U161" s="366">
        <f>база!$M$5</f>
        <v>247.41720000000001</v>
      </c>
      <c r="V161" s="271">
        <v>1</v>
      </c>
      <c r="W161" s="307">
        <f>SUMIFS(Таблица1[сумма],Таблица1[коэф],"1",Таблица1[р/р],"4/24",Таблица1[Ф. И. О.],B165)</f>
        <v>0</v>
      </c>
      <c r="X161" s="313">
        <f t="shared" ref="X161" si="99">ROUND(U161*V161*W161,2)</f>
        <v>0</v>
      </c>
      <c r="Y161" s="819"/>
      <c r="Z161" s="810"/>
      <c r="AA161" s="813"/>
    </row>
    <row r="162" spans="1:29">
      <c r="A162" s="756"/>
      <c r="B162" s="215"/>
      <c r="C162" s="815"/>
      <c r="D162" s="817"/>
      <c r="E162" s="82"/>
      <c r="F162" s="271"/>
      <c r="G162" s="98"/>
      <c r="H162" s="92"/>
      <c r="I162" s="78"/>
      <c r="J162" s="271"/>
      <c r="K162" s="216"/>
      <c r="L162" s="216"/>
      <c r="M162" s="216"/>
      <c r="N162" s="216"/>
      <c r="O162" s="216"/>
      <c r="P162" s="29"/>
      <c r="Q162" s="78">
        <f>база!$L$6</f>
        <v>261.04640000000001</v>
      </c>
      <c r="R162" s="271">
        <v>1</v>
      </c>
      <c r="S162" s="98">
        <f>SUMIFS(Таблица1[сумма],Таблица1[коэф],"1",Таблица1[р/р],"5/16",Таблица1[Ф. И. О.],B165)</f>
        <v>0</v>
      </c>
      <c r="T162" s="92">
        <f t="shared" si="96"/>
        <v>0</v>
      </c>
      <c r="U162" s="366">
        <f>база!$M$6</f>
        <v>279.0496</v>
      </c>
      <c r="V162" s="271">
        <v>1</v>
      </c>
      <c r="W162" s="307">
        <f>SUMIFS(Таблица1[сумма],Таблица1[коэф],"1",Таблица1[р/р],"5/24",Таблица1[Ф. И. О.],B165)</f>
        <v>0</v>
      </c>
      <c r="X162" s="313">
        <f>ROUND(U162*V162*W162,2)</f>
        <v>0</v>
      </c>
      <c r="Y162" s="819"/>
      <c r="Z162" s="810"/>
      <c r="AA162" s="813"/>
    </row>
    <row r="163" spans="1:29">
      <c r="A163" s="756"/>
      <c r="B163" s="215"/>
      <c r="C163" s="815"/>
      <c r="D163" s="817"/>
      <c r="E163" s="82"/>
      <c r="F163" s="271"/>
      <c r="G163" s="98"/>
      <c r="H163" s="92"/>
      <c r="I163" s="78">
        <f>база!$J$5</f>
        <v>215.4924</v>
      </c>
      <c r="J163" s="271">
        <v>1.5</v>
      </c>
      <c r="K163" s="216">
        <f>SUMIFS(Таблица1[сумма],Таблица1[коэф],"1,5",Таблица1[р/р],"4/8",Таблица1[Ф. И. О.],B165)</f>
        <v>0</v>
      </c>
      <c r="L163" s="216">
        <f>ROUND(I163*J163*K163,2)</f>
        <v>0</v>
      </c>
      <c r="M163" s="216"/>
      <c r="N163" s="216"/>
      <c r="O163" s="216"/>
      <c r="P163" s="29"/>
      <c r="Q163" s="78">
        <f>IF(D160&lt;=3,база!$L$4,
IF(D160=4,база!$L$5,
IF(D160=5,база!$L$6)))</f>
        <v>210.57480000000001</v>
      </c>
      <c r="R163" s="271">
        <v>1.2</v>
      </c>
      <c r="S163" s="98">
        <f>SUMIFS(Таблица1[сумма],Таблица1[коэф],"1,2",Таблица1[р/р],"3/16",Таблица1[Ф. И. О.],B165)</f>
        <v>0</v>
      </c>
      <c r="T163" s="92">
        <f t="shared" ref="T163:T164" si="100">ROUND(Q163*R163*S163,2)</f>
        <v>0</v>
      </c>
      <c r="U163" s="366">
        <f>IF(D160&lt;=3,база!$M$4,
IF(D160=4,база!$M$5,
IF(D160=5,база!$M$6)))</f>
        <v>225.09719999999999</v>
      </c>
      <c r="V163" s="271">
        <v>1.2</v>
      </c>
      <c r="W163" s="307">
        <f>SUMIFS(Таблица1[сумма],Таблица1[коэф],"1,2",Таблица1[р/р],"3/24",Таблица1[Ф. И. О.],B165)</f>
        <v>0</v>
      </c>
      <c r="X163" s="313">
        <f t="shared" ref="X163:X164" si="101">ROUND(U163*V163*W163,2)</f>
        <v>0</v>
      </c>
      <c r="Y163" s="819"/>
      <c r="Z163" s="810"/>
      <c r="AA163" s="813"/>
    </row>
    <row r="164" spans="1:29">
      <c r="A164" s="756"/>
      <c r="B164" s="215"/>
      <c r="C164" s="815"/>
      <c r="D164" s="817"/>
      <c r="E164" s="82"/>
      <c r="F164" s="271"/>
      <c r="G164" s="98"/>
      <c r="H164" s="92"/>
      <c r="I164" s="78">
        <f>база!$J$6</f>
        <v>243.04319999999998</v>
      </c>
      <c r="J164" s="271">
        <v>1.5</v>
      </c>
      <c r="K164" s="216">
        <f>SUMIFS(Таблица1[сумма],Таблица1[коэф],"1,5",Таблица1[р/р],"5/8",Таблица1[Ф. И. О.],B165)</f>
        <v>0</v>
      </c>
      <c r="L164" s="216">
        <f>ROUND(I164*J164*K164,2)</f>
        <v>0</v>
      </c>
      <c r="M164" s="216"/>
      <c r="N164" s="216"/>
      <c r="O164" s="216"/>
      <c r="P164" s="29"/>
      <c r="Q164" s="78">
        <f>база!$L$5</f>
        <v>231.45480000000001</v>
      </c>
      <c r="R164" s="271">
        <v>1.2</v>
      </c>
      <c r="S164" s="98">
        <f>SUMIFS(Таблица1[сумма],Таблица1[коэф],"1,2",Таблица1[р/р],"4/16",Таблица1[Ф. И. О.],B165)</f>
        <v>0</v>
      </c>
      <c r="T164" s="92">
        <f t="shared" si="100"/>
        <v>0</v>
      </c>
      <c r="U164" s="366">
        <f>база!$M$5</f>
        <v>247.41720000000001</v>
      </c>
      <c r="V164" s="271">
        <v>1.2</v>
      </c>
      <c r="W164" s="307">
        <f>SUMIFS(Таблица1[сумма],Таблица1[коэф],"1,2",Таблица1[р/р],"4/24",Таблица1[Ф. И. О.],B165)</f>
        <v>0</v>
      </c>
      <c r="X164" s="313">
        <f t="shared" si="101"/>
        <v>0</v>
      </c>
      <c r="Y164" s="819"/>
      <c r="Z164" s="810"/>
      <c r="AA164" s="813"/>
      <c r="AC164" s="707" t="str">
        <f>IF(SUMIFS(Таблица1[Столбец2],Таблица1[Ф. И. О.],B165)-Z160=0,"",SUMIFS(Таблица1[Столбец2],Таблица1[Ф. И. О.],B165)-Z160)</f>
        <v/>
      </c>
    </row>
    <row r="165" spans="1:29">
      <c r="A165" s="756"/>
      <c r="B165" s="215" t="str">
        <f>база!B16</f>
        <v>Грешнова Ольга Викторовна</v>
      </c>
      <c r="C165" s="815"/>
      <c r="D165" s="817"/>
      <c r="E165" s="82"/>
      <c r="F165" s="271"/>
      <c r="G165" s="98"/>
      <c r="H165" s="92"/>
      <c r="I165" s="78"/>
      <c r="J165" s="271"/>
      <c r="K165" s="216"/>
      <c r="L165" s="216"/>
      <c r="M165" s="216"/>
      <c r="N165" s="216"/>
      <c r="O165" s="216"/>
      <c r="P165" s="29"/>
      <c r="Q165" s="78">
        <f>база!$L$6</f>
        <v>261.04640000000001</v>
      </c>
      <c r="R165" s="271">
        <v>1.2</v>
      </c>
      <c r="S165" s="98">
        <f>SUMIFS(Таблица1[сумма],Таблица1[коэф],"1,2",Таблица1[р/р],"5/16",Таблица1[Ф. И. О.],B165)</f>
        <v>0</v>
      </c>
      <c r="T165" s="92">
        <f>ROUND(Q165*R165*S165,2)</f>
        <v>0</v>
      </c>
      <c r="U165" s="366">
        <f>база!$M$6</f>
        <v>279.0496</v>
      </c>
      <c r="V165" s="271">
        <v>1.2</v>
      </c>
      <c r="W165" s="307">
        <f>SUMIFS(Таблица1[сумма],Таблица1[коэф],"1,2",Таблица1[р/р],"5/24",Таблица1[Ф. И. О.],B165)</f>
        <v>0</v>
      </c>
      <c r="X165" s="313">
        <f>ROUND(U165*V165*W165,2)</f>
        <v>0</v>
      </c>
      <c r="Y165" s="819"/>
      <c r="Z165" s="810"/>
      <c r="AA165" s="813"/>
      <c r="AC165" s="707" t="str">
        <f>IF(SUMIFS(Таблица1[сумма],Таблица1[Ф. И. О.],B165)=Y160,"",B160&amp;"  часы не верны")</f>
        <v/>
      </c>
    </row>
    <row r="166" spans="1:29">
      <c r="A166" s="756"/>
      <c r="B166" s="215"/>
      <c r="C166" s="815"/>
      <c r="D166" s="817"/>
      <c r="E166" s="82"/>
      <c r="F166" s="271"/>
      <c r="G166" s="98"/>
      <c r="H166" s="92"/>
      <c r="I166" s="78"/>
      <c r="J166" s="271"/>
      <c r="K166" s="216"/>
      <c r="L166" s="216"/>
      <c r="M166" s="216"/>
      <c r="N166" s="216"/>
      <c r="O166" s="216"/>
      <c r="P166" s="29"/>
      <c r="Q166" s="78">
        <f>IF($D$6&lt;=3,база!$L$4,
IF($D$6=4,база!$L$5,
IF($D$6=5,база!$L$6)))</f>
        <v>231.45480000000001</v>
      </c>
      <c r="R166" s="271">
        <v>1.3</v>
      </c>
      <c r="S166" s="98">
        <f>SUMIFS(Таблица1[сумма],Таблица1[коэф],"1,3",Таблица1[р/р],"3/16",Таблица1[Ф. И. О.],B165)</f>
        <v>0</v>
      </c>
      <c r="T166" s="92">
        <f t="shared" ref="T166:T167" si="102">ROUND(Q166*R166*S166,2)</f>
        <v>0</v>
      </c>
      <c r="U166" s="366">
        <f>IF(D160&lt;=3,база!$M$4,
IF(D160=4,база!$M$5,
IF(D160=5,база!$M$6)))</f>
        <v>225.09719999999999</v>
      </c>
      <c r="V166" s="271">
        <v>1.3</v>
      </c>
      <c r="W166" s="307">
        <f>SUMIFS(Таблица1[сумма],Таблица1[коэф],"1,3",Таблица1[р/р],"3/24",Таблица1[Ф. И. О.],B165)</f>
        <v>0</v>
      </c>
      <c r="X166" s="313">
        <f t="shared" ref="X166:X167" si="103">ROUND(U166*V166*W166,2)</f>
        <v>0</v>
      </c>
      <c r="Y166" s="819"/>
      <c r="Z166" s="810"/>
      <c r="AA166" s="813"/>
    </row>
    <row r="167" spans="1:29">
      <c r="A167" s="756"/>
      <c r="B167" s="215"/>
      <c r="C167" s="815"/>
      <c r="D167" s="817"/>
      <c r="E167" s="82"/>
      <c r="F167" s="271"/>
      <c r="G167" s="98"/>
      <c r="H167" s="92"/>
      <c r="I167" s="78"/>
      <c r="J167" s="271"/>
      <c r="K167" s="216"/>
      <c r="L167" s="216"/>
      <c r="M167" s="216"/>
      <c r="N167" s="216"/>
      <c r="O167" s="216"/>
      <c r="P167" s="29"/>
      <c r="Q167" s="78">
        <f>база!$L$5</f>
        <v>231.45480000000001</v>
      </c>
      <c r="R167" s="271">
        <v>1.3</v>
      </c>
      <c r="S167" s="98">
        <f>SUMIFS(Таблица1[сумма],Таблица1[коэф],"1,3",Таблица1[р/р],"4/16",Таблица1[Ф. И. О.],B165)</f>
        <v>0</v>
      </c>
      <c r="T167" s="92">
        <f t="shared" si="102"/>
        <v>0</v>
      </c>
      <c r="U167" s="366">
        <f>база!$M$5</f>
        <v>247.41720000000001</v>
      </c>
      <c r="V167" s="271">
        <v>1.3</v>
      </c>
      <c r="W167" s="307">
        <f>SUMIFS(Таблица1[сумма],Таблица1[коэф],"1,3",Таблица1[р/р],"4/24",Таблица1[Ф. И. О.],B165)</f>
        <v>0</v>
      </c>
      <c r="X167" s="313">
        <f t="shared" si="103"/>
        <v>0</v>
      </c>
      <c r="Y167" s="819"/>
      <c r="Z167" s="810"/>
      <c r="AA167" s="813"/>
    </row>
    <row r="168" spans="1:29">
      <c r="A168" s="756"/>
      <c r="B168" s="215"/>
      <c r="C168" s="815"/>
      <c r="D168" s="817"/>
      <c r="E168" s="82"/>
      <c r="F168" s="271"/>
      <c r="G168" s="98"/>
      <c r="H168" s="92"/>
      <c r="I168" s="78"/>
      <c r="J168" s="271"/>
      <c r="K168" s="216"/>
      <c r="L168" s="216"/>
      <c r="M168" s="216"/>
      <c r="N168" s="216"/>
      <c r="O168" s="216"/>
      <c r="P168" s="29"/>
      <c r="Q168" s="78">
        <f>IF(D160&lt;=3,база!$L$4,
IF(D160=4,база!$L$5,
IF(D160=5,база!$L$6)))</f>
        <v>210.57480000000001</v>
      </c>
      <c r="R168" s="271">
        <v>1.4</v>
      </c>
      <c r="S168" s="98">
        <f>SUMIFS(Таблица1[сумма],Таблица1[коэф],"1,4",Таблица1[р/р],"3/16",Таблица1[Ф. И. О.],B165)</f>
        <v>0</v>
      </c>
      <c r="T168" s="92">
        <f t="shared" ref="T168:T173" si="104">ROUND(Q168*R168*S168,2)</f>
        <v>0</v>
      </c>
      <c r="U168" s="366">
        <f>IF(D160&lt;=3,база!$M$4,
IF(D160=4,база!$M$5,
IF(D160=5,база!$M$6)))</f>
        <v>225.09719999999999</v>
      </c>
      <c r="V168" s="271">
        <v>1.4</v>
      </c>
      <c r="W168" s="307">
        <f>SUMIFS(Таблица1[сумма],Таблица1[коэф],"1,4",Таблица1[р/р],"3/24",Таблица1[Ф. И. О.],B165)</f>
        <v>0</v>
      </c>
      <c r="X168" s="313">
        <f>ROUND(U168*V168*W168,2)</f>
        <v>0</v>
      </c>
      <c r="Y168" s="819"/>
      <c r="Z168" s="810"/>
      <c r="AA168" s="813"/>
    </row>
    <row r="169" spans="1:29">
      <c r="A169" s="756"/>
      <c r="B169" s="215"/>
      <c r="C169" s="815"/>
      <c r="D169" s="817"/>
      <c r="E169" s="82"/>
      <c r="F169" s="271"/>
      <c r="G169" s="98"/>
      <c r="H169" s="92"/>
      <c r="I169" s="78"/>
      <c r="J169" s="271"/>
      <c r="K169" s="216"/>
      <c r="L169" s="216"/>
      <c r="M169" s="216"/>
      <c r="N169" s="216"/>
      <c r="O169" s="216"/>
      <c r="P169" s="29"/>
      <c r="Q169" s="78">
        <f>база!$L$5</f>
        <v>231.45480000000001</v>
      </c>
      <c r="R169" s="271">
        <v>1.4</v>
      </c>
      <c r="S169" s="98">
        <f>SUMIFS(Таблица1[сумма],Таблица1[коэф],"1,4",Таблица1[р/р],"4/16",Таблица1[Ф. И. О.],B165)</f>
        <v>0</v>
      </c>
      <c r="T169" s="92">
        <f t="shared" si="104"/>
        <v>0</v>
      </c>
      <c r="U169" s="366">
        <f>база!$M$5</f>
        <v>247.41720000000001</v>
      </c>
      <c r="V169" s="271">
        <v>1.4</v>
      </c>
      <c r="W169" s="307">
        <f>SUMIFS(Таблица1[сумма],Таблица1[коэф],"1,4",Таблица1[р/р],"4/24",Таблица1[Ф. И. О.],B165)</f>
        <v>0</v>
      </c>
      <c r="X169" s="313">
        <f>ROUND(U169*V169*W169,2)</f>
        <v>0</v>
      </c>
      <c r="Y169" s="819"/>
      <c r="Z169" s="810"/>
      <c r="AA169" s="813"/>
    </row>
    <row r="170" spans="1:29" ht="24" thickBot="1">
      <c r="A170" s="757"/>
      <c r="B170" s="215"/>
      <c r="C170" s="816"/>
      <c r="D170" s="818"/>
      <c r="E170" s="303"/>
      <c r="F170" s="274"/>
      <c r="G170" s="104"/>
      <c r="H170" s="316"/>
      <c r="I170" s="217"/>
      <c r="J170" s="274"/>
      <c r="K170" s="302"/>
      <c r="L170" s="302"/>
      <c r="M170" s="302"/>
      <c r="N170" s="302"/>
      <c r="O170" s="302"/>
      <c r="P170" s="219"/>
      <c r="Q170" s="217">
        <f>база!$L$6</f>
        <v>261.04640000000001</v>
      </c>
      <c r="R170" s="274">
        <v>1.4</v>
      </c>
      <c r="S170" s="104">
        <f>SUMIFS(Таблица1[сумма],Таблица1[коэф],"1,4",Таблица1[р/р],"5/16",Таблица1[Ф. И. О.],B165)</f>
        <v>0</v>
      </c>
      <c r="T170" s="316">
        <f t="shared" si="104"/>
        <v>0</v>
      </c>
      <c r="U170" s="369">
        <f>база!$M$6</f>
        <v>279.0496</v>
      </c>
      <c r="V170" s="274">
        <v>1.4</v>
      </c>
      <c r="W170" s="333">
        <f>SUMIFS(Таблица1[сумма],Таблица1[коэф],"1,4",Таблица1[р/р],"5/24",Таблица1[Ф. И. О.],B165)</f>
        <v>0</v>
      </c>
      <c r="X170" s="350">
        <f>ROUND(U170*V170*W170,2)</f>
        <v>0</v>
      </c>
      <c r="Y170" s="820"/>
      <c r="Z170" s="811"/>
      <c r="AA170" s="814"/>
    </row>
    <row r="171" spans="1:29">
      <c r="A171" s="755">
        <v>16</v>
      </c>
      <c r="B171" s="235"/>
      <c r="C171" s="821">
        <f>INDEX(база!$E$2:$E$81, MATCH(B176,база!$B$2:$B$50,0))</f>
        <v>15894</v>
      </c>
      <c r="D171" s="822">
        <f>INDEX(база!$D$2:$D$89, MATCH(B176,база!$B$2:$B$50,0))</f>
        <v>3</v>
      </c>
      <c r="E171" s="310">
        <f>IF(D171&lt;=3,база!$I$4,
IF(D171=4,база!$I$5,
IF(D171=5,база!$I$6)))</f>
        <v>188.7912</v>
      </c>
      <c r="F171" s="269">
        <v>1</v>
      </c>
      <c r="G171" s="95">
        <f>SUMIFS(Таблица1[сумма],Таблица1[коэф],"1",Таблица1[р/р],"2/4",Таблица1[Ф. И. О.],B176)</f>
        <v>0</v>
      </c>
      <c r="H171" s="317">
        <f>ROUND(E171*F171*G171,2)</f>
        <v>0</v>
      </c>
      <c r="I171" s="72">
        <f>IF(D171&lt;=3,база!$J$4,
IF(D171=4,база!$J$5,
IF(D171=5,база!$J$6)))</f>
        <v>196.05240000000001</v>
      </c>
      <c r="J171" s="269">
        <v>1</v>
      </c>
      <c r="K171" s="287">
        <f>SUMIFS(Таблица1[сумма],Таблица1[коэф],"1",Таблица1[р/р],"2/8",Таблица1[Ф. И. О.],B176)</f>
        <v>0</v>
      </c>
      <c r="L171" s="287">
        <f>ROUND(I171*J171*K171,2)</f>
        <v>0</v>
      </c>
      <c r="M171" s="287"/>
      <c r="N171" s="287">
        <v>1</v>
      </c>
      <c r="O171" s="287">
        <f>SUMIFS(Data_Tech!$AM$3:$AM$67,Data_Tech!$E$3:$E$67,"1",Data_Tech!$G$3:$G$67,"3/12",Data_Tech!$F$3:$F$67,B176)</f>
        <v>0</v>
      </c>
      <c r="P171" s="28">
        <f>ROUND(M171*N171*O171,2)</f>
        <v>0</v>
      </c>
      <c r="Q171" s="72">
        <f>IF(D171&lt;=3,база!$L$4,
IF(D171=4,база!$L$5,
IF(D171=5,база!$L$6)))</f>
        <v>210.57480000000001</v>
      </c>
      <c r="R171" s="269">
        <v>1</v>
      </c>
      <c r="S171" s="95">
        <f>SUMIFS(Таблица1[сумма],Таблица1[коэф],"1",Таблица1[р/р],"3/16",Таблица1[Ф. И. О.],B176)</f>
        <v>0</v>
      </c>
      <c r="T171" s="317">
        <f t="shared" si="104"/>
        <v>0</v>
      </c>
      <c r="U171" s="365">
        <f>IF(D171&lt;=3,база!$M$4,
IF(D171=4,база!$M$5,
IF(D171=5,база!$M$6)))</f>
        <v>225.09719999999999</v>
      </c>
      <c r="V171" s="269">
        <v>1</v>
      </c>
      <c r="W171" s="340">
        <f>SUMIFS(Таблица1[сумма],Таблица1[коэф],"1",Таблица1[р/р],"3/24",Таблица1[Ф. И. О.],B176)</f>
        <v>0</v>
      </c>
      <c r="X171" s="342">
        <f>ROUND(U171*V171*W171,2)</f>
        <v>0</v>
      </c>
      <c r="Y171" s="819">
        <f t="shared" ref="Y171" si="105">SUM(G171:G181,K171:K181,O171:O181,S171:S181,W171:W181)</f>
        <v>0</v>
      </c>
      <c r="Z171" s="810">
        <f t="shared" ref="Z171" si="106">IFERROR(SUM(H171:H181,L171:L181,T171:T181,X171:X181),"")</f>
        <v>0</v>
      </c>
      <c r="AA171" s="813"/>
    </row>
    <row r="172" spans="1:29">
      <c r="A172" s="756"/>
      <c r="B172" s="215"/>
      <c r="C172" s="815"/>
      <c r="D172" s="817"/>
      <c r="E172" s="82">
        <f>IF(D171&lt;=3,база!$I$4,
IF(D171=4,база!$I$5,
IF(D171=5,база!$I$6)))</f>
        <v>188.7912</v>
      </c>
      <c r="F172" s="271">
        <v>1</v>
      </c>
      <c r="G172" s="98">
        <f>SUMIFS(Таблица1[сумма],Таблица1[коэф],"1",Таблица1[р/р],"3/4",Таблица1[Ф. И. О.],B176)</f>
        <v>0</v>
      </c>
      <c r="H172" s="92">
        <f>ROUND(E172*F172*G172,2)</f>
        <v>0</v>
      </c>
      <c r="I172" s="78">
        <f>IF(D171&lt;=3,база!$J$4,
IF(D171=4,база!$J$5,
IF(D171=5,база!$J$6)))</f>
        <v>196.05240000000001</v>
      </c>
      <c r="J172" s="271">
        <v>1</v>
      </c>
      <c r="K172" s="216">
        <f>SUMIFS(Таблица1[сумма],Таблица1[коэф],"1",Таблица1[р/р],"3/8",Таблица1[Ф. И. О.],B176)</f>
        <v>0</v>
      </c>
      <c r="L172" s="216">
        <f>ROUND(I172*J172*K172,2)</f>
        <v>0</v>
      </c>
      <c r="M172" s="216"/>
      <c r="N172" s="216">
        <v>1</v>
      </c>
      <c r="O172" s="216">
        <f>SUMIFS(Data_Tech!$AM$3:$AM$67,Data_Tech!$E$3:$E$67,"1",Data_Tech!$G$3:$G$67,"4/12",Data_Tech!$F$3:$F$67,B176)</f>
        <v>0</v>
      </c>
      <c r="P172" s="29">
        <f>ROUND(M172*O172,2)</f>
        <v>0</v>
      </c>
      <c r="Q172" s="78">
        <f>база!$L$5</f>
        <v>231.45480000000001</v>
      </c>
      <c r="R172" s="271">
        <v>1</v>
      </c>
      <c r="S172" s="98">
        <f>SUMIFS(Таблица1[сумма],Таблица1[коэф],"1",Таблица1[р/р],"4/16",Таблица1[Ф. И. О.],B176)</f>
        <v>0</v>
      </c>
      <c r="T172" s="92">
        <f t="shared" si="104"/>
        <v>0</v>
      </c>
      <c r="U172" s="366">
        <f>база!$M$5</f>
        <v>247.41720000000001</v>
      </c>
      <c r="V172" s="271">
        <v>1</v>
      </c>
      <c r="W172" s="307">
        <f>SUMIFS(Таблица1[сумма],Таблица1[коэф],"1",Таблица1[р/р],"4/24",Таблица1[Ф. И. О.],B176)</f>
        <v>0</v>
      </c>
      <c r="X172" s="313">
        <f t="shared" ref="X172" si="107">ROUND(U172*V172*W172,2)</f>
        <v>0</v>
      </c>
      <c r="Y172" s="819"/>
      <c r="Z172" s="810"/>
      <c r="AA172" s="813"/>
    </row>
    <row r="173" spans="1:29">
      <c r="A173" s="756"/>
      <c r="B173" s="215"/>
      <c r="C173" s="815"/>
      <c r="D173" s="817"/>
      <c r="E173" s="82"/>
      <c r="F173" s="271"/>
      <c r="G173" s="98"/>
      <c r="H173" s="92"/>
      <c r="I173" s="78"/>
      <c r="J173" s="271"/>
      <c r="K173" s="216"/>
      <c r="L173" s="216"/>
      <c r="M173" s="216"/>
      <c r="N173" s="216"/>
      <c r="O173" s="216"/>
      <c r="P173" s="29"/>
      <c r="Q173" s="78">
        <f>база!$L$6</f>
        <v>261.04640000000001</v>
      </c>
      <c r="R173" s="271">
        <v>1</v>
      </c>
      <c r="S173" s="98">
        <f>SUMIFS(Таблица1[сумма],Таблица1[коэф],"1",Таблица1[р/р],"5/16",Таблица1[Ф. И. О.],B176)</f>
        <v>0</v>
      </c>
      <c r="T173" s="92">
        <f t="shared" si="104"/>
        <v>0</v>
      </c>
      <c r="U173" s="366">
        <f>база!$M$6</f>
        <v>279.0496</v>
      </c>
      <c r="V173" s="271">
        <v>1</v>
      </c>
      <c r="W173" s="307">
        <f>SUMIFS(Таблица1[сумма],Таблица1[коэф],"1",Таблица1[р/р],"5/24",Таблица1[Ф. И. О.],B176)</f>
        <v>0</v>
      </c>
      <c r="X173" s="313">
        <f>ROUND(U173*V173*W173,2)</f>
        <v>0</v>
      </c>
      <c r="Y173" s="819"/>
      <c r="Z173" s="810"/>
      <c r="AA173" s="813"/>
    </row>
    <row r="174" spans="1:29">
      <c r="A174" s="756"/>
      <c r="B174" s="215"/>
      <c r="C174" s="815"/>
      <c r="D174" s="817"/>
      <c r="E174" s="82"/>
      <c r="F174" s="271"/>
      <c r="G174" s="98"/>
      <c r="H174" s="92"/>
      <c r="I174" s="78">
        <f>база!$J$5</f>
        <v>215.4924</v>
      </c>
      <c r="J174" s="271">
        <v>1.5</v>
      </c>
      <c r="K174" s="216">
        <f>SUMIFS(Таблица1[сумма],Таблица1[коэф],"1,5",Таблица1[р/р],"4/8",Таблица1[Ф. И. О.],B176)</f>
        <v>0</v>
      </c>
      <c r="L174" s="216">
        <f>ROUND(I174*J174*K174,2)</f>
        <v>0</v>
      </c>
      <c r="M174" s="216"/>
      <c r="N174" s="216"/>
      <c r="O174" s="216"/>
      <c r="P174" s="29"/>
      <c r="Q174" s="78">
        <f>IF(D171&lt;=3,база!$L$4,
IF(D171=4,база!$L$5,
IF(D171=5,база!$L$6)))</f>
        <v>210.57480000000001</v>
      </c>
      <c r="R174" s="271">
        <v>1.2</v>
      </c>
      <c r="S174" s="98">
        <f>SUMIFS(Таблица1[сумма],Таблица1[коэф],"1,2",Таблица1[р/р],"3/16",Таблица1[Ф. И. О.],B176)</f>
        <v>0</v>
      </c>
      <c r="T174" s="92">
        <f t="shared" ref="T174:T175" si="108">ROUND(Q174*R174*S174,2)</f>
        <v>0</v>
      </c>
      <c r="U174" s="366">
        <f>IF(D171&lt;=3,база!$M$4,
IF(D171=4,база!$M$5,
IF(D171=5,база!$M$6)))</f>
        <v>225.09719999999999</v>
      </c>
      <c r="V174" s="271">
        <v>1.2</v>
      </c>
      <c r="W174" s="307">
        <f>SUMIFS(Таблица1[сумма],Таблица1[коэф],"1,2",Таблица1[р/р],"3/24",Таблица1[Ф. И. О.],B176)</f>
        <v>0</v>
      </c>
      <c r="X174" s="313">
        <f t="shared" ref="X174:X175" si="109">ROUND(U174*V174*W174,2)</f>
        <v>0</v>
      </c>
      <c r="Y174" s="819"/>
      <c r="Z174" s="810"/>
      <c r="AA174" s="813"/>
    </row>
    <row r="175" spans="1:29">
      <c r="A175" s="756"/>
      <c r="B175" s="215"/>
      <c r="C175" s="815"/>
      <c r="D175" s="817"/>
      <c r="E175" s="82"/>
      <c r="F175" s="271"/>
      <c r="G175" s="98"/>
      <c r="H175" s="92"/>
      <c r="I175" s="78">
        <f>база!$J$6</f>
        <v>243.04319999999998</v>
      </c>
      <c r="J175" s="271">
        <v>1.5</v>
      </c>
      <c r="K175" s="216">
        <f>SUMIFS(Таблица1[сумма],Таблица1[коэф],"1,5",Таблица1[р/р],"5/8",Таблица1[Ф. И. О.],B176)</f>
        <v>0</v>
      </c>
      <c r="L175" s="216">
        <f>ROUND(I175*J175*K175,2)</f>
        <v>0</v>
      </c>
      <c r="M175" s="216"/>
      <c r="N175" s="216"/>
      <c r="O175" s="216"/>
      <c r="P175" s="29"/>
      <c r="Q175" s="78">
        <f>база!$L$5</f>
        <v>231.45480000000001</v>
      </c>
      <c r="R175" s="271">
        <v>1.2</v>
      </c>
      <c r="S175" s="98">
        <f>SUMIFS(Таблица1[сумма],Таблица1[коэф],"1,2",Таблица1[р/р],"4/16",Таблица1[Ф. И. О.],B176)</f>
        <v>0</v>
      </c>
      <c r="T175" s="92">
        <f t="shared" si="108"/>
        <v>0</v>
      </c>
      <c r="U175" s="366">
        <f>база!$M$5</f>
        <v>247.41720000000001</v>
      </c>
      <c r="V175" s="271">
        <v>1.2</v>
      </c>
      <c r="W175" s="307">
        <f>SUMIFS(Таблица1[сумма],Таблица1[коэф],"1,2",Таблица1[р/р],"4/24",Таблица1[Ф. И. О.],B176)</f>
        <v>0</v>
      </c>
      <c r="X175" s="313">
        <f t="shared" si="109"/>
        <v>0</v>
      </c>
      <c r="Y175" s="819"/>
      <c r="Z175" s="810"/>
      <c r="AA175" s="813"/>
      <c r="AC175" s="707" t="str">
        <f>IF(SUMIFS(Таблица1[Столбец2],Таблица1[Ф. И. О.],B176)-Z171=0,"",SUMIFS(Таблица1[Столбец2],Таблица1[Ф. И. О.],B176)-Z171)</f>
        <v/>
      </c>
    </row>
    <row r="176" spans="1:29" ht="24" thickBot="1">
      <c r="A176" s="756"/>
      <c r="B176" s="215" t="str">
        <f>база!B17</f>
        <v>Груздева Олеся Изидоровна</v>
      </c>
      <c r="C176" s="815"/>
      <c r="D176" s="817"/>
      <c r="E176" s="82"/>
      <c r="F176" s="271"/>
      <c r="G176" s="98"/>
      <c r="H176" s="92"/>
      <c r="I176" s="78"/>
      <c r="J176" s="271"/>
      <c r="K176" s="216"/>
      <c r="L176" s="216"/>
      <c r="M176" s="216"/>
      <c r="N176" s="216"/>
      <c r="O176" s="216"/>
      <c r="P176" s="29"/>
      <c r="Q176" s="78">
        <f>база!$L$6</f>
        <v>261.04640000000001</v>
      </c>
      <c r="R176" s="271">
        <v>1.2</v>
      </c>
      <c r="S176" s="98">
        <f>SUMIFS(Таблица1[сумма],Таблица1[коэф],"1,2",Таблица1[р/р],"5/16",Таблица1[Ф. И. О.],B176)</f>
        <v>0</v>
      </c>
      <c r="T176" s="92">
        <f>ROUND(Q176*R176*S176,2)</f>
        <v>0</v>
      </c>
      <c r="U176" s="366">
        <f>база!$M$6</f>
        <v>279.0496</v>
      </c>
      <c r="V176" s="271">
        <v>1.2</v>
      </c>
      <c r="W176" s="307">
        <f>SUMIFS(Таблица1[сумма],Таблица1[коэф],"1,2",Таблица1[р/р],"5/24",Таблица1[Ф. И. О.],B176)</f>
        <v>0</v>
      </c>
      <c r="X176" s="313">
        <f>ROUND(U176*V176*W176,2)</f>
        <v>0</v>
      </c>
      <c r="Y176" s="819"/>
      <c r="Z176" s="810"/>
      <c r="AA176" s="813"/>
      <c r="AC176" s="707" t="str">
        <f>IF(SUMIFS(Таблица1[сумма],Таблица1[Ф. И. О.],B176)=Y171,"",B171&amp;"  часы не верны")</f>
        <v/>
      </c>
    </row>
    <row r="177" spans="1:29" ht="24" thickBot="1">
      <c r="A177" s="756"/>
      <c r="B177" s="215"/>
      <c r="C177" s="815"/>
      <c r="D177" s="817"/>
      <c r="E177" s="82"/>
      <c r="F177" s="271"/>
      <c r="G177" s="98"/>
      <c r="H177" s="92"/>
      <c r="I177" s="78"/>
      <c r="J177" s="271"/>
      <c r="K177" s="216"/>
      <c r="L177" s="216"/>
      <c r="M177" s="216"/>
      <c r="N177" s="216"/>
      <c r="O177" s="216"/>
      <c r="P177" s="29"/>
      <c r="Q177" s="78">
        <f>IF($D$6&lt;=3,база!$L$4,
IF($D$6=4,база!$L$5,
IF($D$6=5,база!$L$6)))</f>
        <v>231.45480000000001</v>
      </c>
      <c r="R177" s="271">
        <v>1.3</v>
      </c>
      <c r="S177" s="98">
        <f>SUMIFS(Таблица1[сумма],Таблица1[коэф],"1,3",Таблица1[р/р],"3/16",Таблица1[Ф. И. О.],B176)</f>
        <v>0</v>
      </c>
      <c r="T177" s="92">
        <f t="shared" ref="T177:T178" si="110">ROUND(Q177*R177*S177,2)</f>
        <v>0</v>
      </c>
      <c r="U177" s="366">
        <f>IF(D171&lt;=3,база!$M$4,
IF(D171=4,база!$M$5,
IF(D171=5,база!$M$6)))</f>
        <v>225.09719999999999</v>
      </c>
      <c r="V177" s="271">
        <v>1.3</v>
      </c>
      <c r="W177" s="307">
        <f>SUMIFS(Таблица1[сумма],Таблица1[коэф],"1,3",Таблица1[р/р],"3/24",Таблица1[Ф. И. О.],B176)</f>
        <v>0</v>
      </c>
      <c r="X177" s="313">
        <f t="shared" ref="X177:X178" si="111">ROUND(U177*V177*W177,2)</f>
        <v>0</v>
      </c>
      <c r="Y177" s="819"/>
      <c r="Z177" s="810"/>
      <c r="AA177" s="813"/>
    </row>
    <row r="178" spans="1:29" ht="24" thickBot="1">
      <c r="A178" s="756"/>
      <c r="B178" s="215"/>
      <c r="C178" s="815"/>
      <c r="D178" s="817"/>
      <c r="E178" s="82"/>
      <c r="F178" s="271"/>
      <c r="G178" s="98"/>
      <c r="H178" s="92"/>
      <c r="I178" s="78"/>
      <c r="J178" s="271"/>
      <c r="K178" s="216"/>
      <c r="L178" s="216"/>
      <c r="M178" s="216"/>
      <c r="N178" s="216"/>
      <c r="O178" s="216"/>
      <c r="P178" s="29"/>
      <c r="Q178" s="78">
        <f>база!$L$5</f>
        <v>231.45480000000001</v>
      </c>
      <c r="R178" s="271">
        <v>1.3</v>
      </c>
      <c r="S178" s="98">
        <f>SUMIFS(Таблица1[сумма],Таблица1[коэф],"1,3",Таблица1[р/р],"4/16",Таблица1[Ф. И. О.],B176)</f>
        <v>0</v>
      </c>
      <c r="T178" s="92">
        <f t="shared" si="110"/>
        <v>0</v>
      </c>
      <c r="U178" s="366">
        <f>база!$M$5</f>
        <v>247.41720000000001</v>
      </c>
      <c r="V178" s="271">
        <v>1.3</v>
      </c>
      <c r="W178" s="307">
        <f>SUMIFS(Таблица1[сумма],Таблица1[коэф],"1,3",Таблица1[р/р],"4/24",Таблица1[Ф. И. О.],B176)</f>
        <v>0</v>
      </c>
      <c r="X178" s="313">
        <f t="shared" si="111"/>
        <v>0</v>
      </c>
      <c r="Y178" s="819"/>
      <c r="Z178" s="810"/>
      <c r="AA178" s="813"/>
    </row>
    <row r="179" spans="1:29" ht="24" thickBot="1">
      <c r="A179" s="756"/>
      <c r="B179" s="215"/>
      <c r="C179" s="815"/>
      <c r="D179" s="817"/>
      <c r="E179" s="82"/>
      <c r="F179" s="271"/>
      <c r="G179" s="98"/>
      <c r="H179" s="92"/>
      <c r="I179" s="78"/>
      <c r="J179" s="271"/>
      <c r="K179" s="216"/>
      <c r="L179" s="216"/>
      <c r="M179" s="216"/>
      <c r="N179" s="216"/>
      <c r="O179" s="216"/>
      <c r="P179" s="29"/>
      <c r="Q179" s="78">
        <f>IF(D171&lt;=3,база!$L$4,
IF(D171=4,база!$L$5,
IF(D171=5,база!$L$6)))</f>
        <v>210.57480000000001</v>
      </c>
      <c r="R179" s="271">
        <v>1.4</v>
      </c>
      <c r="S179" s="98">
        <f>SUMIFS(Таблица1[сумма],Таблица1[коэф],"1,4",Таблица1[р/р],"3/16",Таблица1[Ф. И. О.],B176)</f>
        <v>0</v>
      </c>
      <c r="T179" s="92">
        <f t="shared" ref="T179:T184" si="112">ROUND(Q179*R179*S179,2)</f>
        <v>0</v>
      </c>
      <c r="U179" s="366">
        <f>IF(D171&lt;=3,база!$M$4,
IF(D171=4,база!$M$5,
IF(D171=5,база!$M$6)))</f>
        <v>225.09719999999999</v>
      </c>
      <c r="V179" s="271">
        <v>1.4</v>
      </c>
      <c r="W179" s="307">
        <f>SUMIFS(Таблица1[сумма],Таблица1[коэф],"1,4",Таблица1[р/р],"3/24",Таблица1[Ф. И. О.],B176)</f>
        <v>0</v>
      </c>
      <c r="X179" s="313">
        <f>ROUND(U179*V179*W179,2)</f>
        <v>0</v>
      </c>
      <c r="Y179" s="819"/>
      <c r="Z179" s="810"/>
      <c r="AA179" s="813"/>
    </row>
    <row r="180" spans="1:29" ht="24" thickBot="1">
      <c r="A180" s="756"/>
      <c r="B180" s="215"/>
      <c r="C180" s="815"/>
      <c r="D180" s="817"/>
      <c r="E180" s="82"/>
      <c r="F180" s="271"/>
      <c r="G180" s="98"/>
      <c r="H180" s="92"/>
      <c r="I180" s="78"/>
      <c r="J180" s="271"/>
      <c r="K180" s="216"/>
      <c r="L180" s="216"/>
      <c r="M180" s="216"/>
      <c r="N180" s="216"/>
      <c r="O180" s="216"/>
      <c r="P180" s="29"/>
      <c r="Q180" s="78">
        <f>база!$L$5</f>
        <v>231.45480000000001</v>
      </c>
      <c r="R180" s="271">
        <v>1.4</v>
      </c>
      <c r="S180" s="98">
        <f>SUMIFS(Таблица1[сумма],Таблица1[коэф],"1,4",Таблица1[р/р],"4/16",Таблица1[Ф. И. О.],B176)</f>
        <v>0</v>
      </c>
      <c r="T180" s="92">
        <f t="shared" si="112"/>
        <v>0</v>
      </c>
      <c r="U180" s="366">
        <f>база!$M$5</f>
        <v>247.41720000000001</v>
      </c>
      <c r="V180" s="271">
        <v>1.4</v>
      </c>
      <c r="W180" s="307">
        <f>SUMIFS(Таблица1[сумма],Таблица1[коэф],"1,4",Таблица1[р/р],"4/24",Таблица1[Ф. И. О.],B176)</f>
        <v>0</v>
      </c>
      <c r="X180" s="313">
        <f>ROUND(U180*V180*W180,2)</f>
        <v>0</v>
      </c>
      <c r="Y180" s="819"/>
      <c r="Z180" s="810"/>
      <c r="AA180" s="813"/>
    </row>
    <row r="181" spans="1:29" ht="24" thickBot="1">
      <c r="A181" s="757"/>
      <c r="B181" s="202"/>
      <c r="C181" s="816"/>
      <c r="D181" s="818"/>
      <c r="E181" s="220"/>
      <c r="F181" s="273"/>
      <c r="G181" s="97"/>
      <c r="H181" s="238"/>
      <c r="I181" s="101"/>
      <c r="J181" s="273"/>
      <c r="K181" s="288"/>
      <c r="L181" s="288"/>
      <c r="M181" s="288"/>
      <c r="N181" s="288"/>
      <c r="O181" s="288"/>
      <c r="P181" s="26"/>
      <c r="Q181" s="101">
        <f>база!$L$6</f>
        <v>261.04640000000001</v>
      </c>
      <c r="R181" s="273">
        <v>1.4</v>
      </c>
      <c r="S181" s="97">
        <f>SUMIFS(Таблица1[сумма],Таблица1[коэф],"1,4",Таблица1[р/р],"5/16",Таблица1[Ф. И. О.],B176)</f>
        <v>0</v>
      </c>
      <c r="T181" s="238">
        <f t="shared" si="112"/>
        <v>0</v>
      </c>
      <c r="U181" s="367">
        <f>база!$M$6</f>
        <v>279.0496</v>
      </c>
      <c r="V181" s="273">
        <v>1.4</v>
      </c>
      <c r="W181" s="312">
        <f>SUMIFS(Таблица1[сумма],Таблица1[коэф],"1,4",Таблица1[р/р],"5/24",Таблица1[Ф. И. О.],B176)</f>
        <v>0</v>
      </c>
      <c r="X181" s="343">
        <f>ROUND(U181*V181*W181,2)</f>
        <v>0</v>
      </c>
      <c r="Y181" s="820"/>
      <c r="Z181" s="811"/>
      <c r="AA181" s="814"/>
    </row>
    <row r="182" spans="1:29" ht="18.75" customHeight="1">
      <c r="A182" s="755">
        <v>17</v>
      </c>
      <c r="B182" s="215"/>
      <c r="C182" s="821">
        <f>INDEX(база!$E$2:$E$81, MATCH(B187,база!$B$2:$B$50,0))</f>
        <v>17160</v>
      </c>
      <c r="D182" s="822">
        <f>INDEX(база!$D$2:$D$89, MATCH(B187,база!$B$2:$B$50,0))</f>
        <v>3</v>
      </c>
      <c r="E182" s="72">
        <f>IF(D182&lt;=3,база!$I$4,
IF(D182=4,база!$I$5,
IF(D182=5,база!$I$6)))</f>
        <v>188.7912</v>
      </c>
      <c r="F182" s="269">
        <v>1</v>
      </c>
      <c r="G182" s="95">
        <f>SUMIFS(Таблица1[сумма],Таблица1[коэф],"1",Таблица1[р/р],"2/4",Таблица1[Ф. И. О.],B187)</f>
        <v>0</v>
      </c>
      <c r="H182" s="87">
        <f>ROUND(E182*F182*G182,2)</f>
        <v>0</v>
      </c>
      <c r="I182" s="81">
        <f>IF(D182&lt;=3,база!$J$4,
IF(D182=4,база!$J$5,
IF(D182=5,база!$J$6)))</f>
        <v>196.05240000000001</v>
      </c>
      <c r="J182" s="270">
        <v>1</v>
      </c>
      <c r="K182" s="309">
        <f>SUMIFS(Таблица1[сумма],Таблица1[коэф],"1",Таблица1[р/р],"2/8",Таблица1[Ф. И. О.],B187)</f>
        <v>0</v>
      </c>
      <c r="L182" s="309">
        <f>ROUND(I182*J182*K182,2)</f>
        <v>0</v>
      </c>
      <c r="M182" s="309"/>
      <c r="N182" s="309">
        <v>1</v>
      </c>
      <c r="O182" s="309">
        <f>SUMIFS(Data_Tech!$AM$3:$AM$67,Data_Tech!$E$3:$E$67,"1",Data_Tech!$G$3:$G$67,"3/12",Data_Tech!$F$3:$F$67,B187)</f>
        <v>0</v>
      </c>
      <c r="P182" s="281">
        <f>ROUND(M182*N182*O182,2)</f>
        <v>0</v>
      </c>
      <c r="Q182" s="72">
        <f>IF(D182&lt;=3,база!$L$4,
IF(D182=4,база!$L$5,
IF(D182=5,база!$L$6)))</f>
        <v>210.57480000000001</v>
      </c>
      <c r="R182" s="269">
        <v>1</v>
      </c>
      <c r="S182" s="95">
        <f>SUMIFS(Таблица1[сумма],Таблица1[коэф],"1",Таблица1[р/р],"3/16",Таблица1[Ф. И. О.],B187)</f>
        <v>0</v>
      </c>
      <c r="T182" s="87">
        <f t="shared" si="112"/>
        <v>0</v>
      </c>
      <c r="U182" s="368">
        <f>IF(D182&lt;=3,база!$M$4,
IF(D182=4,база!$M$5,
IF(D182=5,база!$M$6)))</f>
        <v>225.09719999999999</v>
      </c>
      <c r="V182" s="270">
        <v>1</v>
      </c>
      <c r="W182" s="337">
        <f>SUMIFS(Таблица1[сумма],Таблица1[коэф],"1",Таблица1[р/р],"3/24",Таблица1[Ф. И. О.],B187)</f>
        <v>0</v>
      </c>
      <c r="X182" s="342">
        <f>ROUND(U182*V182*W182,2)</f>
        <v>0</v>
      </c>
      <c r="Y182" s="819">
        <f t="shared" ref="Y182" si="113">SUM(G182:G192,K182:K192,O182:O192,S182:S192,W182:W192)</f>
        <v>0</v>
      </c>
      <c r="Z182" s="810">
        <f t="shared" ref="Z182" si="114">IFERROR(SUM(H182:H192,L182:L192,T182:T192,X182:X192),"")</f>
        <v>0</v>
      </c>
      <c r="AA182" s="813"/>
    </row>
    <row r="183" spans="1:29" ht="18.75" customHeight="1">
      <c r="A183" s="756"/>
      <c r="B183" s="215"/>
      <c r="C183" s="815"/>
      <c r="D183" s="817"/>
      <c r="E183" s="78">
        <f>IF(D182&lt;=3,база!$I$4,
IF(D182=4,база!$I$5,
IF(D182=5,база!$I$6)))</f>
        <v>188.7912</v>
      </c>
      <c r="F183" s="271">
        <v>1</v>
      </c>
      <c r="G183" s="98">
        <f>SUMIFS(Таблица1[сумма],Таблица1[коэф],"1",Таблица1[р/р],"3/4",Таблица1[Ф. И. О.],B187)</f>
        <v>0</v>
      </c>
      <c r="H183" s="94">
        <f>ROUND(E183*F183*G183,2)</f>
        <v>0</v>
      </c>
      <c r="I183" s="82">
        <f>IF(D182&lt;=3,база!$J$4,
IF(D182=4,база!$J$5,
IF(D182=5,база!$J$6)))</f>
        <v>196.05240000000001</v>
      </c>
      <c r="J183" s="271">
        <v>1</v>
      </c>
      <c r="K183" s="216">
        <f>SUMIFS(Таблица1[сумма],Таблица1[коэф],"1",Таблица1[р/р],"3/8",Таблица1[Ф. И. О.],B187)</f>
        <v>0</v>
      </c>
      <c r="L183" s="216">
        <f>ROUND(I183*J183*K183,2)</f>
        <v>0</v>
      </c>
      <c r="M183" s="216"/>
      <c r="N183" s="216">
        <v>1</v>
      </c>
      <c r="O183" s="216">
        <f>SUMIFS(Data_Tech!$AM$3:$AM$67,Data_Tech!$E$3:$E$67,"1",Data_Tech!$G$3:$G$67,"4/12",Data_Tech!$F$3:$F$67,B187)</f>
        <v>0</v>
      </c>
      <c r="P183" s="30">
        <f>ROUND(M183*O183,2)</f>
        <v>0</v>
      </c>
      <c r="Q183" s="78">
        <f>база!$L$5</f>
        <v>231.45480000000001</v>
      </c>
      <c r="R183" s="271">
        <v>1</v>
      </c>
      <c r="S183" s="98">
        <f>SUMIFS(Таблица1[сумма],Таблица1[коэф],"1",Таблица1[р/р],"4/16",Таблица1[Ф. И. О.],B187)</f>
        <v>0</v>
      </c>
      <c r="T183" s="94">
        <f t="shared" si="112"/>
        <v>0</v>
      </c>
      <c r="U183" s="361">
        <f>база!$M$5</f>
        <v>247.41720000000001</v>
      </c>
      <c r="V183" s="271">
        <v>1</v>
      </c>
      <c r="W183" s="307">
        <f>SUMIFS(Таблица1[сумма],Таблица1[коэф],"1",Таблица1[р/р],"4/24",Таблица1[Ф. И. О.],B187)</f>
        <v>0</v>
      </c>
      <c r="X183" s="313">
        <f t="shared" ref="X183" si="115">ROUND(U183*V183*W183,2)</f>
        <v>0</v>
      </c>
      <c r="Y183" s="819"/>
      <c r="Z183" s="810"/>
      <c r="AA183" s="813"/>
    </row>
    <row r="184" spans="1:29" ht="19.5" customHeight="1">
      <c r="A184" s="756"/>
      <c r="B184" s="215"/>
      <c r="C184" s="815"/>
      <c r="D184" s="817"/>
      <c r="E184" s="78"/>
      <c r="F184" s="271"/>
      <c r="G184" s="98"/>
      <c r="H184" s="94"/>
      <c r="I184" s="82"/>
      <c r="J184" s="271"/>
      <c r="K184" s="216"/>
      <c r="L184" s="216"/>
      <c r="M184" s="216"/>
      <c r="N184" s="216"/>
      <c r="O184" s="216"/>
      <c r="P184" s="30"/>
      <c r="Q184" s="78">
        <f>база!$L$6</f>
        <v>261.04640000000001</v>
      </c>
      <c r="R184" s="271">
        <v>1</v>
      </c>
      <c r="S184" s="98">
        <f>SUMIFS(Таблица1[сумма],Таблица1[коэф],"1",Таблица1[р/р],"5/16",Таблица1[Ф. И. О.],B187)</f>
        <v>0</v>
      </c>
      <c r="T184" s="94">
        <f t="shared" si="112"/>
        <v>0</v>
      </c>
      <c r="U184" s="361">
        <f>база!$M$6</f>
        <v>279.0496</v>
      </c>
      <c r="V184" s="271">
        <v>1</v>
      </c>
      <c r="W184" s="307">
        <f>SUMIFS(Таблица1[сумма],Таблица1[коэф],"1",Таблица1[р/р],"5/24",Таблица1[Ф. И. О.],B187)</f>
        <v>0</v>
      </c>
      <c r="X184" s="313">
        <f>ROUND(U184*V184*W184,2)</f>
        <v>0</v>
      </c>
      <c r="Y184" s="819"/>
      <c r="Z184" s="810"/>
      <c r="AA184" s="813"/>
    </row>
    <row r="185" spans="1:29" ht="19.5" customHeight="1">
      <c r="A185" s="756"/>
      <c r="B185" s="215"/>
      <c r="C185" s="815"/>
      <c r="D185" s="817"/>
      <c r="E185" s="78"/>
      <c r="F185" s="271"/>
      <c r="G185" s="98"/>
      <c r="H185" s="94"/>
      <c r="I185" s="82">
        <f>база!$J$5</f>
        <v>215.4924</v>
      </c>
      <c r="J185" s="271">
        <v>1.5</v>
      </c>
      <c r="K185" s="216">
        <f>SUMIFS(Таблица1[сумма],Таблица1[коэф],"1,5",Таблица1[р/р],"4/8",Таблица1[Ф. И. О.],B187)</f>
        <v>0</v>
      </c>
      <c r="L185" s="216">
        <f>ROUND(I185*J185*K185,2)</f>
        <v>0</v>
      </c>
      <c r="M185" s="216"/>
      <c r="N185" s="216"/>
      <c r="O185" s="216"/>
      <c r="P185" s="30"/>
      <c r="Q185" s="78">
        <f>IF(D182&lt;=3,база!$L$4,
IF(D182=4,база!$L$5,
IF(D182=5,база!$L$6)))</f>
        <v>210.57480000000001</v>
      </c>
      <c r="R185" s="271">
        <v>1.2</v>
      </c>
      <c r="S185" s="98">
        <f>SUMIFS(Таблица1[сумма],Таблица1[коэф],"1,2",Таблица1[р/р],"3/16",Таблица1[Ф. И. О.],B187)</f>
        <v>0</v>
      </c>
      <c r="T185" s="94">
        <f t="shared" ref="T185:T186" si="116">ROUND(Q185*R185*S185,2)</f>
        <v>0</v>
      </c>
      <c r="U185" s="361">
        <f>IF(D182&lt;=3,база!$M$4,
IF(D182=4,база!$M$5,
IF(D182=5,база!$M$6)))</f>
        <v>225.09719999999999</v>
      </c>
      <c r="V185" s="271">
        <v>1.2</v>
      </c>
      <c r="W185" s="307">
        <f>SUMIFS(Таблица1[сумма],Таблица1[коэф],"1,2",Таблица1[р/р],"3/24",Таблица1[Ф. И. О.],B187)</f>
        <v>0</v>
      </c>
      <c r="X185" s="313">
        <f t="shared" ref="X185:X186" si="117">ROUND(U185*V185*W185,2)</f>
        <v>0</v>
      </c>
      <c r="Y185" s="819"/>
      <c r="Z185" s="810"/>
      <c r="AA185" s="813"/>
    </row>
    <row r="186" spans="1:29" ht="19.5" customHeight="1">
      <c r="A186" s="756"/>
      <c r="B186" s="215"/>
      <c r="C186" s="815"/>
      <c r="D186" s="817"/>
      <c r="E186" s="78"/>
      <c r="F186" s="271"/>
      <c r="G186" s="98"/>
      <c r="H186" s="94"/>
      <c r="I186" s="82">
        <f>база!$J$6</f>
        <v>243.04319999999998</v>
      </c>
      <c r="J186" s="271">
        <v>1.5</v>
      </c>
      <c r="K186" s="216">
        <f>SUMIFS(Таблица1[сумма],Таблица1[коэф],"1,5",Таблица1[р/р],"5/8",Таблица1[Ф. И. О.],B187)</f>
        <v>0</v>
      </c>
      <c r="L186" s="216">
        <f>ROUND(I186*J186*K186,2)</f>
        <v>0</v>
      </c>
      <c r="M186" s="216"/>
      <c r="N186" s="216"/>
      <c r="O186" s="216"/>
      <c r="P186" s="30"/>
      <c r="Q186" s="78">
        <f>база!$L$5</f>
        <v>231.45480000000001</v>
      </c>
      <c r="R186" s="271">
        <v>1.2</v>
      </c>
      <c r="S186" s="98">
        <f>SUMIFS(Таблица1[сумма],Таблица1[коэф],"1,2",Таблица1[р/р],"4/16",Таблица1[Ф. И. О.],B187)</f>
        <v>0</v>
      </c>
      <c r="T186" s="94">
        <f t="shared" si="116"/>
        <v>0</v>
      </c>
      <c r="U186" s="361">
        <f>база!$M$5</f>
        <v>247.41720000000001</v>
      </c>
      <c r="V186" s="271">
        <v>1.2</v>
      </c>
      <c r="W186" s="307">
        <f>SUMIFS(Таблица1[сумма],Таблица1[коэф],"1,2",Таблица1[р/р],"4/24",Таблица1[Ф. И. О.],B187)</f>
        <v>0</v>
      </c>
      <c r="X186" s="313">
        <f t="shared" si="117"/>
        <v>0</v>
      </c>
      <c r="Y186" s="819"/>
      <c r="Z186" s="810"/>
      <c r="AA186" s="813"/>
      <c r="AC186" s="707" t="str">
        <f>IF(SUMIFS(Таблица1[Столбец2],Таблица1[Ф. И. О.],B187)-Z182=0,"",SUMIFS(Таблица1[Столбец2],Таблица1[Ф. И. О.],B187)-Z182)</f>
        <v/>
      </c>
    </row>
    <row r="187" spans="1:29" ht="19.5" customHeight="1">
      <c r="A187" s="756"/>
      <c r="B187" s="215" t="str">
        <f>база!B18</f>
        <v>Дорофеева Юлия Николаевна</v>
      </c>
      <c r="C187" s="815"/>
      <c r="D187" s="817"/>
      <c r="E187" s="78"/>
      <c r="F187" s="271"/>
      <c r="G187" s="98"/>
      <c r="H187" s="94"/>
      <c r="I187" s="82"/>
      <c r="J187" s="271"/>
      <c r="K187" s="216"/>
      <c r="L187" s="216"/>
      <c r="M187" s="216"/>
      <c r="N187" s="216"/>
      <c r="O187" s="216"/>
      <c r="P187" s="30"/>
      <c r="Q187" s="78">
        <f>база!$L$6</f>
        <v>261.04640000000001</v>
      </c>
      <c r="R187" s="271">
        <v>1.2</v>
      </c>
      <c r="S187" s="98">
        <f>SUMIFS(Таблица1[сумма],Таблица1[коэф],"1,2",Таблица1[р/р],"5/16",Таблица1[Ф. И. О.],B187)</f>
        <v>0</v>
      </c>
      <c r="T187" s="94">
        <f>ROUND(Q187*R187*S187,2)</f>
        <v>0</v>
      </c>
      <c r="U187" s="361">
        <f>база!$M$6</f>
        <v>279.0496</v>
      </c>
      <c r="V187" s="271">
        <v>1.2</v>
      </c>
      <c r="W187" s="307">
        <f>SUMIFS(Таблица1[сумма],Таблица1[коэф],"1,2",Таблица1[р/р],"5/24",Таблица1[Ф. И. О.],B187)</f>
        <v>0</v>
      </c>
      <c r="X187" s="313">
        <f>ROUND(U187*V187*W187,2)</f>
        <v>0</v>
      </c>
      <c r="Y187" s="819"/>
      <c r="Z187" s="810"/>
      <c r="AA187" s="813"/>
      <c r="AC187" s="707" t="str">
        <f>IF(SUMIFS(Таблица1[сумма],Таблица1[Ф. И. О.],B187)=Y182,"",B182&amp;"  часы не верны")</f>
        <v/>
      </c>
    </row>
    <row r="188" spans="1:29" ht="19.5" customHeight="1">
      <c r="A188" s="756"/>
      <c r="B188" s="215"/>
      <c r="C188" s="815"/>
      <c r="D188" s="817"/>
      <c r="E188" s="78"/>
      <c r="F188" s="271"/>
      <c r="G188" s="98"/>
      <c r="H188" s="94"/>
      <c r="I188" s="82"/>
      <c r="J188" s="271"/>
      <c r="K188" s="216"/>
      <c r="L188" s="216"/>
      <c r="M188" s="216"/>
      <c r="N188" s="216"/>
      <c r="O188" s="216"/>
      <c r="P188" s="30"/>
      <c r="Q188" s="78">
        <f>IF($D$6&lt;=3,база!$L$4,
IF($D$6=4,база!$L$5,
IF($D$6=5,база!$L$6)))</f>
        <v>231.45480000000001</v>
      </c>
      <c r="R188" s="271">
        <v>1.3</v>
      </c>
      <c r="S188" s="98">
        <f>SUMIFS(Таблица1[сумма],Таблица1[коэф],"1,3",Таблица1[р/р],"3/16",Таблица1[Ф. И. О.],B187)</f>
        <v>0</v>
      </c>
      <c r="T188" s="94">
        <f t="shared" ref="T188:T189" si="118">ROUND(Q188*R188*S188,2)</f>
        <v>0</v>
      </c>
      <c r="U188" s="361">
        <f>IF(D182&lt;=3,база!$M$4,
IF(D182=4,база!$M$5,
IF(D182=5,база!$M$6)))</f>
        <v>225.09719999999999</v>
      </c>
      <c r="V188" s="271">
        <v>1.3</v>
      </c>
      <c r="W188" s="307">
        <f>SUMIFS(Таблица1[сумма],Таблица1[коэф],"1,3",Таблица1[р/р],"3/24",Таблица1[Ф. И. О.],B187)</f>
        <v>0</v>
      </c>
      <c r="X188" s="313">
        <f t="shared" ref="X188:X189" si="119">ROUND(U188*V188*W188,2)</f>
        <v>0</v>
      </c>
      <c r="Y188" s="819"/>
      <c r="Z188" s="810"/>
      <c r="AA188" s="813"/>
    </row>
    <row r="189" spans="1:29" ht="19.5" customHeight="1">
      <c r="A189" s="756"/>
      <c r="B189" s="215"/>
      <c r="C189" s="815"/>
      <c r="D189" s="817"/>
      <c r="E189" s="78"/>
      <c r="F189" s="271"/>
      <c r="G189" s="98"/>
      <c r="H189" s="94"/>
      <c r="I189" s="82"/>
      <c r="J189" s="271"/>
      <c r="K189" s="216"/>
      <c r="L189" s="216"/>
      <c r="M189" s="216"/>
      <c r="N189" s="216"/>
      <c r="O189" s="216"/>
      <c r="P189" s="30"/>
      <c r="Q189" s="78">
        <f>база!$L$5</f>
        <v>231.45480000000001</v>
      </c>
      <c r="R189" s="271">
        <v>1.3</v>
      </c>
      <c r="S189" s="98">
        <f>SUMIFS(Таблица1[сумма],Таблица1[коэф],"1,3",Таблица1[р/р],"4/16",Таблица1[Ф. И. О.],B187)</f>
        <v>0</v>
      </c>
      <c r="T189" s="94">
        <f t="shared" si="118"/>
        <v>0</v>
      </c>
      <c r="U189" s="361">
        <f>база!$M$5</f>
        <v>247.41720000000001</v>
      </c>
      <c r="V189" s="271">
        <v>1.3</v>
      </c>
      <c r="W189" s="307">
        <f>SUMIFS(Таблица1[сумма],Таблица1[коэф],"1,3",Таблица1[р/р],"4/24",Таблица1[Ф. И. О.],B187)</f>
        <v>0</v>
      </c>
      <c r="X189" s="313">
        <f t="shared" si="119"/>
        <v>0</v>
      </c>
      <c r="Y189" s="819"/>
      <c r="Z189" s="810"/>
      <c r="AA189" s="813"/>
    </row>
    <row r="190" spans="1:29" ht="19.5" customHeight="1">
      <c r="A190" s="756"/>
      <c r="B190" s="215"/>
      <c r="C190" s="815"/>
      <c r="D190" s="817"/>
      <c r="E190" s="78"/>
      <c r="F190" s="271"/>
      <c r="G190" s="98"/>
      <c r="H190" s="94"/>
      <c r="I190" s="82"/>
      <c r="J190" s="271"/>
      <c r="K190" s="216"/>
      <c r="L190" s="216"/>
      <c r="M190" s="216"/>
      <c r="N190" s="216"/>
      <c r="O190" s="216"/>
      <c r="P190" s="30"/>
      <c r="Q190" s="78">
        <f>IF(D182&lt;=3,база!$L$4,
IF(D182=4,база!$L$5,
IF(D182=5,база!$L$6)))</f>
        <v>210.57480000000001</v>
      </c>
      <c r="R190" s="271">
        <v>1.4</v>
      </c>
      <c r="S190" s="98">
        <f>SUMIFS(Таблица1[сумма],Таблица1[коэф],"1,4",Таблица1[р/р],"3/16",Таблица1[Ф. И. О.],B187)</f>
        <v>0</v>
      </c>
      <c r="T190" s="94">
        <f t="shared" ref="T190:T195" si="120">ROUND(Q190*R190*S190,2)</f>
        <v>0</v>
      </c>
      <c r="U190" s="361">
        <f>IF(D182&lt;=3,база!$M$4,
IF(D182=4,база!$M$5,
IF(D182=5,база!$M$6)))</f>
        <v>225.09719999999999</v>
      </c>
      <c r="V190" s="271">
        <v>1.4</v>
      </c>
      <c r="W190" s="307">
        <f>SUMIFS(Таблица1[сумма],Таблица1[коэф],"1,4",Таблица1[р/р],"3/24",Таблица1[Ф. И. О.],B187)</f>
        <v>0</v>
      </c>
      <c r="X190" s="313">
        <f>ROUND(U190*V190*W190,2)</f>
        <v>0</v>
      </c>
      <c r="Y190" s="819"/>
      <c r="Z190" s="810"/>
      <c r="AA190" s="813"/>
    </row>
    <row r="191" spans="1:29" ht="19.5" customHeight="1">
      <c r="A191" s="756"/>
      <c r="B191" s="215"/>
      <c r="C191" s="815"/>
      <c r="D191" s="817"/>
      <c r="E191" s="78"/>
      <c r="F191" s="271"/>
      <c r="G191" s="98"/>
      <c r="H191" s="94"/>
      <c r="I191" s="82"/>
      <c r="J191" s="271"/>
      <c r="K191" s="216"/>
      <c r="L191" s="216"/>
      <c r="M191" s="216"/>
      <c r="N191" s="216"/>
      <c r="O191" s="216"/>
      <c r="P191" s="30"/>
      <c r="Q191" s="78">
        <f>база!$L$5</f>
        <v>231.45480000000001</v>
      </c>
      <c r="R191" s="271">
        <v>1.4</v>
      </c>
      <c r="S191" s="98">
        <f>SUMIFS(Таблица1[сумма],Таблица1[коэф],"1,4",Таблица1[р/р],"4/16",Таблица1[Ф. И. О.],B187)</f>
        <v>0</v>
      </c>
      <c r="T191" s="94">
        <f t="shared" si="120"/>
        <v>0</v>
      </c>
      <c r="U191" s="361">
        <f>база!$M$5</f>
        <v>247.41720000000001</v>
      </c>
      <c r="V191" s="271">
        <v>1.4</v>
      </c>
      <c r="W191" s="307">
        <f>SUMIFS(Таблица1[сумма],Таблица1[коэф],"1,4",Таблица1[р/р],"4/24",Таблица1[Ф. И. О.],B187)</f>
        <v>0</v>
      </c>
      <c r="X191" s="313">
        <f>ROUND(U191*V191*W191,2)</f>
        <v>0</v>
      </c>
      <c r="Y191" s="819"/>
      <c r="Z191" s="810"/>
      <c r="AA191" s="813"/>
    </row>
    <row r="192" spans="1:29" ht="19.5" customHeight="1" thickBot="1">
      <c r="A192" s="757"/>
      <c r="B192" s="215"/>
      <c r="C192" s="816"/>
      <c r="D192" s="818"/>
      <c r="E192" s="217"/>
      <c r="F192" s="274"/>
      <c r="G192" s="104"/>
      <c r="H192" s="103"/>
      <c r="I192" s="303"/>
      <c r="J192" s="274"/>
      <c r="K192" s="302"/>
      <c r="L192" s="302"/>
      <c r="M192" s="302"/>
      <c r="N192" s="302"/>
      <c r="O192" s="302"/>
      <c r="P192" s="308"/>
      <c r="Q192" s="217">
        <f>база!$L$6</f>
        <v>261.04640000000001</v>
      </c>
      <c r="R192" s="274">
        <v>1.4</v>
      </c>
      <c r="S192" s="104">
        <f>SUMIFS(Таблица1[сумма],Таблица1[коэф],"1,4",Таблица1[р/р],"5/16",Таблица1[Ф. И. О.],B187)</f>
        <v>0</v>
      </c>
      <c r="T192" s="103">
        <f t="shared" si="120"/>
        <v>0</v>
      </c>
      <c r="U192" s="362">
        <f>база!$M$6</f>
        <v>279.0496</v>
      </c>
      <c r="V192" s="274">
        <v>1.4</v>
      </c>
      <c r="W192" s="333">
        <f>SUMIFS(Таблица1[сумма],Таблица1[коэф],"1,4",Таблица1[р/р],"5/24",Таблица1[Ф. И. О.],B187)</f>
        <v>0</v>
      </c>
      <c r="X192" s="350">
        <f>ROUND(U192*V192*W192,2)</f>
        <v>0</v>
      </c>
      <c r="Y192" s="820"/>
      <c r="Z192" s="811"/>
      <c r="AA192" s="814"/>
    </row>
    <row r="193" spans="1:29" ht="18.75" customHeight="1">
      <c r="A193" s="755">
        <v>18</v>
      </c>
      <c r="B193" s="235"/>
      <c r="C193" s="821">
        <f>INDEX(база!$E$2:$E$81, MATCH(B198,база!$B$2:$B$50,0))</f>
        <v>16860</v>
      </c>
      <c r="D193" s="822">
        <f>INDEX(база!$D$2:$D$89, MATCH(B198,база!$B$2:$B$50,0))</f>
        <v>3</v>
      </c>
      <c r="E193" s="72">
        <f>IF(D193&lt;=3,база!$I$4,
IF(D193=4,база!$I$5,
IF(D193=5,база!$I$6)))</f>
        <v>188.7912</v>
      </c>
      <c r="F193" s="269">
        <v>1</v>
      </c>
      <c r="G193" s="95">
        <f>SUMIFS(Таблица1[сумма],Таблица1[коэф],"1",Таблица1[р/р],"2/4",Таблица1[Ф. И. О.],B198)</f>
        <v>0</v>
      </c>
      <c r="H193" s="87">
        <f>ROUND(E193*F193*G193,2)</f>
        <v>0</v>
      </c>
      <c r="I193" s="310">
        <f>IF(D193&lt;=3,база!$J$4,
IF(D193=4,база!$J$5,
IF(D193=5,база!$J$6)))</f>
        <v>196.05240000000001</v>
      </c>
      <c r="J193" s="269">
        <v>1</v>
      </c>
      <c r="K193" s="287">
        <f>SUMIFS(Таблица1[сумма],Таблица1[коэф],"1",Таблица1[р/р],"2/8",Таблица1[Ф. И. О.],B198)</f>
        <v>0</v>
      </c>
      <c r="L193" s="287">
        <f>ROUND(I193*J193*K193,2)</f>
        <v>0</v>
      </c>
      <c r="M193" s="287"/>
      <c r="N193" s="287">
        <v>1</v>
      </c>
      <c r="O193" s="287">
        <f>SUMIFS(Data_Tech!$AM$3:$AM$67,Data_Tech!$E$3:$E$67,"1",Data_Tech!$G$3:$G$67,"3/12",Data_Tech!$F$3:$F$67,B198)</f>
        <v>0</v>
      </c>
      <c r="P193" s="280">
        <f>ROUND(M193*N193*O193,2)</f>
        <v>0</v>
      </c>
      <c r="Q193" s="72">
        <f>IF(D193&lt;=3,база!$L$4,
IF(D193=4,база!$L$5,
IF(D193=5,база!$L$6)))</f>
        <v>210.57480000000001</v>
      </c>
      <c r="R193" s="269">
        <v>1</v>
      </c>
      <c r="S193" s="95">
        <f>SUMIFS(Таблица1[сумма],Таблица1[коэф],"1",Таблица1[р/р],"3/16",Таблица1[Ф. И. О.],B198)</f>
        <v>0</v>
      </c>
      <c r="T193" s="87">
        <f t="shared" si="120"/>
        <v>0</v>
      </c>
      <c r="U193" s="363">
        <f>IF(D193&lt;=3,база!$M$4,
IF(D193=4,база!$M$5,
IF(D193=5,база!$M$6)))</f>
        <v>225.09719999999999</v>
      </c>
      <c r="V193" s="269">
        <v>1</v>
      </c>
      <c r="W193" s="340">
        <f>SUMIFS(Таблица1[сумма],Таблица1[коэф],"1",Таблица1[р/р],"3/24",Таблица1[Ф. И. О.],B198)</f>
        <v>0</v>
      </c>
      <c r="X193" s="342">
        <f>ROUND(U193*V193*W193,2)</f>
        <v>0</v>
      </c>
      <c r="Y193" s="819">
        <f t="shared" ref="Y193" si="121">SUM(G193:G203,K193:K203,O193:O203,S193:S203,W193:W203)</f>
        <v>0</v>
      </c>
      <c r="Z193" s="810">
        <f t="shared" ref="Z193" si="122">IFERROR(SUM(H193:H203,L193:L203,T193:T203,X193:X203),"")</f>
        <v>0</v>
      </c>
      <c r="AA193" s="813"/>
    </row>
    <row r="194" spans="1:29" ht="18.75" customHeight="1">
      <c r="A194" s="756"/>
      <c r="B194" s="215"/>
      <c r="C194" s="815"/>
      <c r="D194" s="817"/>
      <c r="E194" s="78">
        <f>IF(D193&lt;=3,база!$I$4,
IF(D193=4,база!$I$5,
IF(D193=5,база!$I$6)))</f>
        <v>188.7912</v>
      </c>
      <c r="F194" s="271">
        <v>1</v>
      </c>
      <c r="G194" s="98">
        <f>SUMIFS(Таблица1[сумма],Таблица1[коэф],"1",Таблица1[р/р],"3/4",Таблица1[Ф. И. О.],B198)</f>
        <v>0</v>
      </c>
      <c r="H194" s="94">
        <f>ROUND(E194*F194*G194,2)</f>
        <v>0</v>
      </c>
      <c r="I194" s="82">
        <f>IF(D193&lt;=3,база!$J$4,
IF(D193=4,база!$J$5,
IF(D193=5,база!$J$6)))</f>
        <v>196.05240000000001</v>
      </c>
      <c r="J194" s="271">
        <v>1</v>
      </c>
      <c r="K194" s="216">
        <f>SUMIFS(Таблица1[сумма],Таблица1[коэф],"1",Таблица1[р/р],"3/8",Таблица1[Ф. И. О.],B198)</f>
        <v>0</v>
      </c>
      <c r="L194" s="216">
        <f>ROUND(I194*J194*K194,2)</f>
        <v>0</v>
      </c>
      <c r="M194" s="216"/>
      <c r="N194" s="216">
        <v>1</v>
      </c>
      <c r="O194" s="216">
        <f>SUMIFS(Data_Tech!$AM$3:$AM$67,Data_Tech!$E$3:$E$67,"1",Data_Tech!$G$3:$G$67,"4/12",Data_Tech!$F$3:$F$67,B198)</f>
        <v>0</v>
      </c>
      <c r="P194" s="30">
        <f>ROUND(M194*O194,2)</f>
        <v>0</v>
      </c>
      <c r="Q194" s="78">
        <f>база!$L$5</f>
        <v>231.45480000000001</v>
      </c>
      <c r="R194" s="271">
        <v>1</v>
      </c>
      <c r="S194" s="98">
        <f>SUMIFS(Таблица1[сумма],Таблица1[коэф],"1",Таблица1[р/р],"4/16",Таблица1[Ф. И. О.],B198)</f>
        <v>0</v>
      </c>
      <c r="T194" s="94">
        <f t="shared" si="120"/>
        <v>0</v>
      </c>
      <c r="U194" s="361">
        <f>база!$M$5</f>
        <v>247.41720000000001</v>
      </c>
      <c r="V194" s="271">
        <v>1</v>
      </c>
      <c r="W194" s="307">
        <f>SUMIFS(Таблица1[сумма],Таблица1[коэф],"1",Таблица1[р/р],"4/24",Таблица1[Ф. И. О.],B198)</f>
        <v>0</v>
      </c>
      <c r="X194" s="313">
        <f t="shared" ref="X194" si="123">ROUND(U194*V194*W194,2)</f>
        <v>0</v>
      </c>
      <c r="Y194" s="819"/>
      <c r="Z194" s="810"/>
      <c r="AA194" s="813"/>
    </row>
    <row r="195" spans="1:29" ht="19.5" customHeight="1">
      <c r="A195" s="756"/>
      <c r="B195" s="215"/>
      <c r="C195" s="815"/>
      <c r="D195" s="817"/>
      <c r="E195" s="78"/>
      <c r="F195" s="271"/>
      <c r="G195" s="98"/>
      <c r="H195" s="94"/>
      <c r="I195" s="82"/>
      <c r="J195" s="271"/>
      <c r="K195" s="216"/>
      <c r="L195" s="216"/>
      <c r="M195" s="216"/>
      <c r="N195" s="216"/>
      <c r="O195" s="216"/>
      <c r="P195" s="30"/>
      <c r="Q195" s="78">
        <f>база!$L$6</f>
        <v>261.04640000000001</v>
      </c>
      <c r="R195" s="271">
        <v>1</v>
      </c>
      <c r="S195" s="98">
        <f>SUMIFS(Таблица1[сумма],Таблица1[коэф],"1",Таблица1[р/р],"5/16",Таблица1[Ф. И. О.],B198)</f>
        <v>0</v>
      </c>
      <c r="T195" s="94">
        <f t="shared" si="120"/>
        <v>0</v>
      </c>
      <c r="U195" s="361">
        <f>база!$M$6</f>
        <v>279.0496</v>
      </c>
      <c r="V195" s="271">
        <v>1</v>
      </c>
      <c r="W195" s="307">
        <f>SUMIFS(Таблица1[сумма],Таблица1[коэф],"1",Таблица1[р/р],"5/24",Таблица1[Ф. И. О.],B198)</f>
        <v>0</v>
      </c>
      <c r="X195" s="313">
        <f>ROUND(U195*V195*W195,2)</f>
        <v>0</v>
      </c>
      <c r="Y195" s="819"/>
      <c r="Z195" s="810"/>
      <c r="AA195" s="813"/>
    </row>
    <row r="196" spans="1:29" ht="19.5" customHeight="1">
      <c r="A196" s="756"/>
      <c r="B196" s="215"/>
      <c r="C196" s="815"/>
      <c r="D196" s="817"/>
      <c r="E196" s="78"/>
      <c r="F196" s="271"/>
      <c r="G196" s="98"/>
      <c r="H196" s="94"/>
      <c r="I196" s="82">
        <f>база!$J$5</f>
        <v>215.4924</v>
      </c>
      <c r="J196" s="271">
        <v>1.5</v>
      </c>
      <c r="K196" s="216">
        <f>SUMIFS(Таблица1[сумма],Таблица1[коэф],"1,5",Таблица1[р/р],"4/8",Таблица1[Ф. И. О.],B198)</f>
        <v>0</v>
      </c>
      <c r="L196" s="216">
        <f>ROUND(I196*J196*K196,2)</f>
        <v>0</v>
      </c>
      <c r="M196" s="216"/>
      <c r="N196" s="216"/>
      <c r="O196" s="216"/>
      <c r="P196" s="30"/>
      <c r="Q196" s="78">
        <f>IF(D193&lt;=3,база!$L$4,
IF(D193=4,база!$L$5,
IF(D193=5,база!$L$6)))</f>
        <v>210.57480000000001</v>
      </c>
      <c r="R196" s="271">
        <v>1.2</v>
      </c>
      <c r="S196" s="98">
        <f>SUMIFS(Таблица1[сумма],Таблица1[коэф],"1,2",Таблица1[р/р],"3/16",Таблица1[Ф. И. О.],B198)</f>
        <v>0</v>
      </c>
      <c r="T196" s="94">
        <f t="shared" ref="T196:T197" si="124">ROUND(Q196*R196*S196,2)</f>
        <v>0</v>
      </c>
      <c r="U196" s="361">
        <f>IF(D193&lt;=3,база!$M$4,
IF(D193=4,база!$M$5,
IF(D193=5,база!$M$6)))</f>
        <v>225.09719999999999</v>
      </c>
      <c r="V196" s="271">
        <v>1.2</v>
      </c>
      <c r="W196" s="307">
        <f>SUMIFS(Таблица1[сумма],Таблица1[коэф],"1,2",Таблица1[р/р],"3/24",Таблица1[Ф. И. О.],B198)</f>
        <v>0</v>
      </c>
      <c r="X196" s="313">
        <f t="shared" ref="X196:X197" si="125">ROUND(U196*V196*W196,2)</f>
        <v>0</v>
      </c>
      <c r="Y196" s="819"/>
      <c r="Z196" s="810"/>
      <c r="AA196" s="813"/>
    </row>
    <row r="197" spans="1:29" ht="19.5" customHeight="1">
      <c r="A197" s="756"/>
      <c r="B197" s="215"/>
      <c r="C197" s="815"/>
      <c r="D197" s="817"/>
      <c r="E197" s="78"/>
      <c r="F197" s="271"/>
      <c r="G197" s="98"/>
      <c r="H197" s="94"/>
      <c r="I197" s="82">
        <f>база!$J$6</f>
        <v>243.04319999999998</v>
      </c>
      <c r="J197" s="271">
        <v>1.5</v>
      </c>
      <c r="K197" s="216">
        <f>SUMIFS(Таблица1[сумма],Таблица1[коэф],"1,5",Таблица1[р/р],"5/8",Таблица1[Ф. И. О.],B198)</f>
        <v>0</v>
      </c>
      <c r="L197" s="216">
        <f>ROUND(I197*J197*K197,2)</f>
        <v>0</v>
      </c>
      <c r="M197" s="216"/>
      <c r="N197" s="216"/>
      <c r="O197" s="216"/>
      <c r="P197" s="30"/>
      <c r="Q197" s="78">
        <f>база!$L$5</f>
        <v>231.45480000000001</v>
      </c>
      <c r="R197" s="271">
        <v>1.2</v>
      </c>
      <c r="S197" s="98">
        <f>SUMIFS(Таблица1[сумма],Таблица1[коэф],"1,2",Таблица1[р/р],"4/16",Таблица1[Ф. И. О.],B198)</f>
        <v>0</v>
      </c>
      <c r="T197" s="94">
        <f t="shared" si="124"/>
        <v>0</v>
      </c>
      <c r="U197" s="361">
        <f>база!$M$5</f>
        <v>247.41720000000001</v>
      </c>
      <c r="V197" s="271">
        <v>1.2</v>
      </c>
      <c r="W197" s="307">
        <f>SUMIFS(Таблица1[сумма],Таблица1[коэф],"1,2",Таблица1[р/р],"4/24",Таблица1[Ф. И. О.],B198)</f>
        <v>0</v>
      </c>
      <c r="X197" s="313">
        <f t="shared" si="125"/>
        <v>0</v>
      </c>
      <c r="Y197" s="819"/>
      <c r="Z197" s="810"/>
      <c r="AA197" s="813"/>
      <c r="AC197" s="707" t="str">
        <f>IF(SUMIFS(Таблица1[Столбец2],Таблица1[Ф. И. О.],B198)-Z193=0,"",SUMIFS(Таблица1[Столбец2],Таблица1[Ф. И. О.],B198)-Z193)</f>
        <v/>
      </c>
    </row>
    <row r="198" spans="1:29" ht="19.5" customHeight="1">
      <c r="A198" s="756"/>
      <c r="B198" s="215" t="str">
        <f>база!B19</f>
        <v>Егоров Дмитрий Геннадьевич</v>
      </c>
      <c r="C198" s="815"/>
      <c r="D198" s="817"/>
      <c r="E198" s="78"/>
      <c r="F198" s="271"/>
      <c r="G198" s="98"/>
      <c r="H198" s="94"/>
      <c r="I198" s="82"/>
      <c r="J198" s="271"/>
      <c r="K198" s="216"/>
      <c r="L198" s="216"/>
      <c r="M198" s="216"/>
      <c r="N198" s="216"/>
      <c r="O198" s="216"/>
      <c r="P198" s="30"/>
      <c r="Q198" s="78">
        <f>база!$L$6</f>
        <v>261.04640000000001</v>
      </c>
      <c r="R198" s="271">
        <v>1.2</v>
      </c>
      <c r="S198" s="98">
        <f>SUMIFS(Таблица1[сумма],Таблица1[коэф],"1,2",Таблица1[р/р],"5/16",Таблица1[Ф. И. О.],B198)</f>
        <v>0</v>
      </c>
      <c r="T198" s="94">
        <f>ROUND(Q198*R198*S198,2)</f>
        <v>0</v>
      </c>
      <c r="U198" s="361">
        <f>база!$M$6</f>
        <v>279.0496</v>
      </c>
      <c r="V198" s="271">
        <v>1.2</v>
      </c>
      <c r="W198" s="307">
        <f>SUMIFS(Таблица1[сумма],Таблица1[коэф],"1,2",Таблица1[р/р],"5/24",Таблица1[Ф. И. О.],B198)</f>
        <v>0</v>
      </c>
      <c r="X198" s="313">
        <f>ROUND(U198*V198*W198,2)</f>
        <v>0</v>
      </c>
      <c r="Y198" s="819"/>
      <c r="Z198" s="810"/>
      <c r="AA198" s="813"/>
      <c r="AC198" s="707" t="str">
        <f>IF(SUMIFS(Таблица1[сумма],Таблица1[Ф. И. О.],B198)=Y193,"",B193&amp;"  часы не верны")</f>
        <v/>
      </c>
    </row>
    <row r="199" spans="1:29" ht="19.5" customHeight="1">
      <c r="A199" s="756"/>
      <c r="B199" s="215"/>
      <c r="C199" s="815"/>
      <c r="D199" s="817"/>
      <c r="E199" s="78"/>
      <c r="F199" s="271"/>
      <c r="G199" s="98"/>
      <c r="H199" s="94"/>
      <c r="I199" s="82"/>
      <c r="J199" s="271"/>
      <c r="K199" s="216"/>
      <c r="L199" s="216"/>
      <c r="M199" s="216"/>
      <c r="N199" s="216"/>
      <c r="O199" s="216"/>
      <c r="P199" s="30"/>
      <c r="Q199" s="78">
        <f>IF($D$6&lt;=3,база!$L$4,
IF($D$6=4,база!$L$5,
IF($D$6=5,база!$L$6)))</f>
        <v>231.45480000000001</v>
      </c>
      <c r="R199" s="271">
        <v>1.3</v>
      </c>
      <c r="S199" s="98">
        <f>SUMIFS(Таблица1[сумма],Таблица1[коэф],"1,3",Таблица1[р/р],"3/16",Таблица1[Ф. И. О.],B198)</f>
        <v>0</v>
      </c>
      <c r="T199" s="94">
        <f t="shared" ref="T199:T200" si="126">ROUND(Q199*R199*S199,2)</f>
        <v>0</v>
      </c>
      <c r="U199" s="361">
        <f>IF(D193&lt;=3,база!$M$4,
IF(D193=4,база!$M$5,
IF(D193=5,база!$M$6)))</f>
        <v>225.09719999999999</v>
      </c>
      <c r="V199" s="271">
        <v>1.3</v>
      </c>
      <c r="W199" s="307">
        <f>SUMIFS(Таблица1[сумма],Таблица1[коэф],"1,3",Таблица1[р/р],"3/24",Таблица1[Ф. И. О.],B198)</f>
        <v>0</v>
      </c>
      <c r="X199" s="313">
        <f t="shared" ref="X199:X200" si="127">ROUND(U199*V199*W199,2)</f>
        <v>0</v>
      </c>
      <c r="Y199" s="819"/>
      <c r="Z199" s="810"/>
      <c r="AA199" s="813"/>
    </row>
    <row r="200" spans="1:29" ht="19.5" customHeight="1">
      <c r="A200" s="756"/>
      <c r="B200" s="215"/>
      <c r="C200" s="815"/>
      <c r="D200" s="817"/>
      <c r="E200" s="78"/>
      <c r="F200" s="271"/>
      <c r="G200" s="98"/>
      <c r="H200" s="94"/>
      <c r="I200" s="82"/>
      <c r="J200" s="271"/>
      <c r="K200" s="216"/>
      <c r="L200" s="216"/>
      <c r="M200" s="216"/>
      <c r="N200" s="216"/>
      <c r="O200" s="216"/>
      <c r="P200" s="30"/>
      <c r="Q200" s="78">
        <f>база!$L$5</f>
        <v>231.45480000000001</v>
      </c>
      <c r="R200" s="271">
        <v>1.3</v>
      </c>
      <c r="S200" s="98">
        <f>SUMIFS(Таблица1[сумма],Таблица1[коэф],"1,3",Таблица1[р/р],"4/16",Таблица1[Ф. И. О.],B198)</f>
        <v>0</v>
      </c>
      <c r="T200" s="94">
        <f t="shared" si="126"/>
        <v>0</v>
      </c>
      <c r="U200" s="361">
        <f>база!$M$5</f>
        <v>247.41720000000001</v>
      </c>
      <c r="V200" s="271">
        <v>1.3</v>
      </c>
      <c r="W200" s="307">
        <f>SUMIFS(Таблица1[сумма],Таблица1[коэф],"1,3",Таблица1[р/р],"4/24",Таблица1[Ф. И. О.],B198)</f>
        <v>0</v>
      </c>
      <c r="X200" s="313">
        <f t="shared" si="127"/>
        <v>0</v>
      </c>
      <c r="Y200" s="819"/>
      <c r="Z200" s="810"/>
      <c r="AA200" s="813"/>
    </row>
    <row r="201" spans="1:29" ht="19.5" customHeight="1">
      <c r="A201" s="756"/>
      <c r="B201" s="215"/>
      <c r="C201" s="815"/>
      <c r="D201" s="817"/>
      <c r="E201" s="78"/>
      <c r="F201" s="271"/>
      <c r="G201" s="98"/>
      <c r="H201" s="94"/>
      <c r="I201" s="82"/>
      <c r="J201" s="271"/>
      <c r="K201" s="216"/>
      <c r="L201" s="216"/>
      <c r="M201" s="216"/>
      <c r="N201" s="216"/>
      <c r="O201" s="216"/>
      <c r="P201" s="30"/>
      <c r="Q201" s="78">
        <f>IF(D193&lt;=3,база!$L$4,
IF(D193=4,база!$L$5,
IF(D193=5,база!$L$6)))</f>
        <v>210.57480000000001</v>
      </c>
      <c r="R201" s="271">
        <v>1.4</v>
      </c>
      <c r="S201" s="98">
        <f>SUMIFS(Таблица1[сумма],Таблица1[коэф],"1,4",Таблица1[р/р],"3/16",Таблица1[Ф. И. О.],B198)</f>
        <v>0</v>
      </c>
      <c r="T201" s="94">
        <f t="shared" ref="T201:T206" si="128">ROUND(Q201*R201*S201,2)</f>
        <v>0</v>
      </c>
      <c r="U201" s="361">
        <f>IF(D193&lt;=3,база!$M$4,
IF(D193=4,база!$M$5,
IF(D193=5,база!$M$6)))</f>
        <v>225.09719999999999</v>
      </c>
      <c r="V201" s="271">
        <v>1.4</v>
      </c>
      <c r="W201" s="307">
        <f>SUMIFS(Таблица1[сумма],Таблица1[коэф],"1,4",Таблица1[р/р],"3/24",Таблица1[Ф. И. О.],B198)</f>
        <v>0</v>
      </c>
      <c r="X201" s="313">
        <f>ROUND(U201*V201*W201,2)</f>
        <v>0</v>
      </c>
      <c r="Y201" s="819"/>
      <c r="Z201" s="810"/>
      <c r="AA201" s="813"/>
    </row>
    <row r="202" spans="1:29" ht="19.5" customHeight="1">
      <c r="A202" s="756"/>
      <c r="B202" s="215"/>
      <c r="C202" s="815"/>
      <c r="D202" s="817"/>
      <c r="E202" s="78"/>
      <c r="F202" s="271"/>
      <c r="G202" s="98"/>
      <c r="H202" s="94"/>
      <c r="I202" s="82"/>
      <c r="J202" s="271"/>
      <c r="K202" s="216"/>
      <c r="L202" s="216"/>
      <c r="M202" s="216"/>
      <c r="N202" s="216"/>
      <c r="O202" s="216"/>
      <c r="P202" s="30"/>
      <c r="Q202" s="78">
        <f>база!$L$5</f>
        <v>231.45480000000001</v>
      </c>
      <c r="R202" s="271">
        <v>1.4</v>
      </c>
      <c r="S202" s="98">
        <f>SUMIFS(Таблица1[сумма],Таблица1[коэф],"1,4",Таблица1[р/р],"4/16",Таблица1[Ф. И. О.],B198)</f>
        <v>0</v>
      </c>
      <c r="T202" s="94">
        <f t="shared" si="128"/>
        <v>0</v>
      </c>
      <c r="U202" s="361">
        <f>база!$M$5</f>
        <v>247.41720000000001</v>
      </c>
      <c r="V202" s="271">
        <v>1.4</v>
      </c>
      <c r="W202" s="307">
        <f>SUMIFS(Таблица1[сумма],Таблица1[коэф],"1,4",Таблица1[р/р],"4/24",Таблица1[Ф. И. О.],B198)</f>
        <v>0</v>
      </c>
      <c r="X202" s="313">
        <f>ROUND(U202*V202*W202,2)</f>
        <v>0</v>
      </c>
      <c r="Y202" s="819"/>
      <c r="Z202" s="810"/>
      <c r="AA202" s="813"/>
    </row>
    <row r="203" spans="1:29" ht="19.5" customHeight="1" thickBot="1">
      <c r="A203" s="757"/>
      <c r="B203" s="202"/>
      <c r="C203" s="816"/>
      <c r="D203" s="818"/>
      <c r="E203" s="101"/>
      <c r="F203" s="273"/>
      <c r="G203" s="97"/>
      <c r="H203" s="90"/>
      <c r="I203" s="220"/>
      <c r="J203" s="273"/>
      <c r="K203" s="288"/>
      <c r="L203" s="288"/>
      <c r="M203" s="288"/>
      <c r="N203" s="288"/>
      <c r="O203" s="288"/>
      <c r="P203" s="315"/>
      <c r="Q203" s="101">
        <f>база!$L$6</f>
        <v>261.04640000000001</v>
      </c>
      <c r="R203" s="273">
        <v>1.4</v>
      </c>
      <c r="S203" s="97">
        <f>SUMIFS(Таблица1[сумма],Таблица1[коэф],"1,4",Таблица1[р/р],"5/16",Таблица1[Ф. И. О.],B198)</f>
        <v>0</v>
      </c>
      <c r="T203" s="90">
        <f t="shared" si="128"/>
        <v>0</v>
      </c>
      <c r="U203" s="364">
        <f>база!$M$6</f>
        <v>279.0496</v>
      </c>
      <c r="V203" s="273">
        <v>1.4</v>
      </c>
      <c r="W203" s="312">
        <f>SUMIFS(Таблица1[сумма],Таблица1[коэф],"1,4",Таблица1[р/р],"5/24",Таблица1[Ф. И. О.],B198)</f>
        <v>0</v>
      </c>
      <c r="X203" s="343">
        <f>ROUND(U203*V203*W203,2)</f>
        <v>0</v>
      </c>
      <c r="Y203" s="820"/>
      <c r="Z203" s="811"/>
      <c r="AA203" s="814"/>
    </row>
    <row r="204" spans="1:29" ht="18.75" customHeight="1">
      <c r="A204" s="755">
        <v>19</v>
      </c>
      <c r="B204" s="215"/>
      <c r="C204" s="821">
        <f>INDEX(база!$E$2:$E$81, MATCH(B209,база!$B$2:$B$50,0))</f>
        <v>15590</v>
      </c>
      <c r="D204" s="822">
        <f>INDEX(база!$D$2:$D$89, MATCH(B209,база!$B$2:$B$50,0))</f>
        <v>3</v>
      </c>
      <c r="E204" s="81">
        <f>IF(D204&lt;=3,база!$I$4,
IF(D204=4,база!$I$5,
IF(D204=5,база!$I$6)))</f>
        <v>188.7912</v>
      </c>
      <c r="F204" s="270">
        <v>1</v>
      </c>
      <c r="G204" s="96">
        <f>SUMIFS(Таблица1[сумма],Таблица1[коэф],"1",Таблица1[р/р],"2/4",Таблица1[Ф. И. О.],B209)</f>
        <v>0</v>
      </c>
      <c r="H204" s="311">
        <f>ROUND(E204*F204*G204,2)</f>
        <v>0</v>
      </c>
      <c r="I204" s="72">
        <f>IF(D204&lt;=3,база!$J$4,
IF(D204=4,база!$J$5,
IF(D204=5,база!$J$6)))</f>
        <v>196.05240000000001</v>
      </c>
      <c r="J204" s="269">
        <v>1</v>
      </c>
      <c r="K204" s="287">
        <f>SUMIFS(Таблица1[сумма],Таблица1[коэф],"1",Таблица1[р/р],"2/8",Таблица1[Ф. И. О.],B209)</f>
        <v>0</v>
      </c>
      <c r="L204" s="28">
        <f>ROUND(I204*J204*K204,2)</f>
        <v>0</v>
      </c>
      <c r="M204" s="344"/>
      <c r="N204" s="309">
        <v>1</v>
      </c>
      <c r="O204" s="309">
        <f>SUMIFS(Data_Tech!$AM$3:$AM$67,Data_Tech!$E$3:$E$67,"1",Data_Tech!$G$3:$G$67,"3/12",Data_Tech!$F$3:$F$67,B209)</f>
        <v>0</v>
      </c>
      <c r="P204" s="309">
        <f>ROUND(M204*N204*O204,2)</f>
        <v>0</v>
      </c>
      <c r="Q204" s="75">
        <f>IF(D204&lt;=3,база!$L$4,
IF(D204=4,база!$L$5,
IF(D204=5,база!$L$6)))</f>
        <v>210.57480000000001</v>
      </c>
      <c r="R204" s="270">
        <v>1</v>
      </c>
      <c r="S204" s="96">
        <f>SUMIFS(Таблица1[сумма],Таблица1[коэф],"1",Таблица1[р/р],"3/16",Таблица1[Ф. И. О.],B209)</f>
        <v>0</v>
      </c>
      <c r="T204" s="311">
        <f t="shared" si="128"/>
        <v>0</v>
      </c>
      <c r="U204" s="365">
        <f>IF(D204&lt;=3,база!$M$4,
IF(D204=4,база!$M$5,
IF(D204=5,база!$M$6)))</f>
        <v>225.09719999999999</v>
      </c>
      <c r="V204" s="269">
        <v>1</v>
      </c>
      <c r="W204" s="340">
        <f>SUMIFS(Таблица1[сумма],Таблица1[коэф],"1",Таблица1[р/р],"3/24",Таблица1[Ф. И. О.],B209)</f>
        <v>0</v>
      </c>
      <c r="X204" s="342">
        <f>ROUND(U204*V204*W204,2)</f>
        <v>0</v>
      </c>
      <c r="Y204" s="819">
        <f t="shared" ref="Y204" si="129">SUM(G204:G214,K204:K214,O204:O214,S204:S214,W204:W214)</f>
        <v>0</v>
      </c>
      <c r="Z204" s="810">
        <f t="shared" ref="Z204" si="130">IFERROR(SUM(H204:H214,L204:L214,T204:T214,X204:X214),"")</f>
        <v>0</v>
      </c>
      <c r="AA204" s="813"/>
    </row>
    <row r="205" spans="1:29" ht="18.75" customHeight="1">
      <c r="A205" s="756"/>
      <c r="B205" s="215"/>
      <c r="C205" s="815"/>
      <c r="D205" s="817"/>
      <c r="E205" s="82">
        <f>IF(D204&lt;=3,база!$I$4,
IF(D204=4,база!$I$5,
IF(D204=5,база!$I$6)))</f>
        <v>188.7912</v>
      </c>
      <c r="F205" s="271">
        <v>1</v>
      </c>
      <c r="G205" s="98">
        <f>SUMIFS(Таблица1[сумма],Таблица1[коэф],"1",Таблица1[р/р],"3/4",Таблица1[Ф. И. О.],B209)</f>
        <v>0</v>
      </c>
      <c r="H205" s="92">
        <f>ROUND(E205*F205*G205,2)</f>
        <v>0</v>
      </c>
      <c r="I205" s="78">
        <f>IF(D204&lt;=3,база!$J$4,
IF(D204=4,база!$J$5,
IF(D204=5,база!$J$6)))</f>
        <v>196.05240000000001</v>
      </c>
      <c r="J205" s="271">
        <v>1</v>
      </c>
      <c r="K205" s="216">
        <f>SUMIFS(Таблица1[сумма],Таблица1[коэф],"1",Таблица1[р/р],"3/8",Таблица1[Ф. И. О.],B209)</f>
        <v>0</v>
      </c>
      <c r="L205" s="29">
        <f>ROUND(I205*J205*K205,2)</f>
        <v>0</v>
      </c>
      <c r="M205" s="334"/>
      <c r="N205" s="216">
        <v>1</v>
      </c>
      <c r="O205" s="216">
        <f>SUMIFS(Data_Tech!$AM$3:$AM$67,Data_Tech!$E$3:$E$67,"1",Data_Tech!$G$3:$G$67,"4/12",Data_Tech!$F$3:$F$67,B209)</f>
        <v>0</v>
      </c>
      <c r="P205" s="216">
        <f>ROUND(M205*O205,2)</f>
        <v>0</v>
      </c>
      <c r="Q205" s="79">
        <f>база!$L$5</f>
        <v>231.45480000000001</v>
      </c>
      <c r="R205" s="271">
        <v>1</v>
      </c>
      <c r="S205" s="98">
        <f>SUMIFS(Таблица1[сумма],Таблица1[коэф],"1",Таблица1[р/р],"4/16",Таблица1[Ф. И. О.],B209)</f>
        <v>0</v>
      </c>
      <c r="T205" s="92">
        <f t="shared" si="128"/>
        <v>0</v>
      </c>
      <c r="U205" s="366">
        <f>база!$M$5</f>
        <v>247.41720000000001</v>
      </c>
      <c r="V205" s="271">
        <v>1</v>
      </c>
      <c r="W205" s="307">
        <f>SUMIFS(Таблица1[сумма],Таблица1[коэф],"1",Таблица1[р/р],"4/24",Таблица1[Ф. И. О.],B209)</f>
        <v>0</v>
      </c>
      <c r="X205" s="313">
        <f t="shared" ref="X205" si="131">ROUND(U205*V205*W205,2)</f>
        <v>0</v>
      </c>
      <c r="Y205" s="819"/>
      <c r="Z205" s="810"/>
      <c r="AA205" s="813"/>
    </row>
    <row r="206" spans="1:29" ht="19.5" customHeight="1">
      <c r="A206" s="756"/>
      <c r="B206" s="215"/>
      <c r="C206" s="815"/>
      <c r="D206" s="817"/>
      <c r="E206" s="82"/>
      <c r="F206" s="271"/>
      <c r="G206" s="98"/>
      <c r="H206" s="92"/>
      <c r="I206" s="78"/>
      <c r="J206" s="271"/>
      <c r="K206" s="216"/>
      <c r="L206" s="29"/>
      <c r="M206" s="334"/>
      <c r="N206" s="216"/>
      <c r="O206" s="216"/>
      <c r="P206" s="216"/>
      <c r="Q206" s="79">
        <f>база!$L$6</f>
        <v>261.04640000000001</v>
      </c>
      <c r="R206" s="271">
        <v>1</v>
      </c>
      <c r="S206" s="98">
        <f>SUMIFS(Таблица1[сумма],Таблица1[коэф],"1",Таблица1[р/р],"5/16",Таблица1[Ф. И. О.],B209)</f>
        <v>0</v>
      </c>
      <c r="T206" s="92">
        <f t="shared" si="128"/>
        <v>0</v>
      </c>
      <c r="U206" s="366">
        <f>база!$M$6</f>
        <v>279.0496</v>
      </c>
      <c r="V206" s="271">
        <v>1</v>
      </c>
      <c r="W206" s="307">
        <f>SUMIFS(Таблица1[сумма],Таблица1[коэф],"1",Таблица1[р/р],"5/24",Таблица1[Ф. И. О.],B209)</f>
        <v>0</v>
      </c>
      <c r="X206" s="313">
        <f>ROUND(U206*V206*W206,2)</f>
        <v>0</v>
      </c>
      <c r="Y206" s="819"/>
      <c r="Z206" s="810"/>
      <c r="AA206" s="813"/>
    </row>
    <row r="207" spans="1:29" ht="19.5" customHeight="1">
      <c r="A207" s="756"/>
      <c r="B207" s="215"/>
      <c r="C207" s="815"/>
      <c r="D207" s="817"/>
      <c r="E207" s="82"/>
      <c r="F207" s="271"/>
      <c r="G207" s="98"/>
      <c r="H207" s="92"/>
      <c r="I207" s="78">
        <f>база!$J$5</f>
        <v>215.4924</v>
      </c>
      <c r="J207" s="271">
        <v>1.5</v>
      </c>
      <c r="K207" s="216">
        <f>SUMIFS(Таблица1[сумма],Таблица1[коэф],"1,5",Таблица1[р/р],"4/8",Таблица1[Ф. И. О.],B209)</f>
        <v>0</v>
      </c>
      <c r="L207" s="29">
        <f>ROUND(I207*J207*K207,2)</f>
        <v>0</v>
      </c>
      <c r="M207" s="334"/>
      <c r="N207" s="216"/>
      <c r="O207" s="216"/>
      <c r="P207" s="216"/>
      <c r="Q207" s="79">
        <f>IF(D204&lt;=3,база!$L$4,
IF(D204=4,база!$L$5,
IF(D204=5,база!$L$6)))</f>
        <v>210.57480000000001</v>
      </c>
      <c r="R207" s="271">
        <v>1.2</v>
      </c>
      <c r="S207" s="98">
        <f>SUMIFS(Таблица1[сумма],Таблица1[коэф],"1,2",Таблица1[р/р],"3/16",Таблица1[Ф. И. О.],B209)</f>
        <v>0</v>
      </c>
      <c r="T207" s="92">
        <f t="shared" ref="T207:T208" si="132">ROUND(Q207*R207*S207,2)</f>
        <v>0</v>
      </c>
      <c r="U207" s="366">
        <f>IF(D204&lt;=3,база!$M$4,
IF(D204=4,база!$M$5,
IF(D204=5,база!$M$6)))</f>
        <v>225.09719999999999</v>
      </c>
      <c r="V207" s="271">
        <v>1.2</v>
      </c>
      <c r="W207" s="307">
        <f>SUMIFS(Таблица1[сумма],Таблица1[коэф],"1,2",Таблица1[р/р],"3/24",Таблица1[Ф. И. О.],B209)</f>
        <v>0</v>
      </c>
      <c r="X207" s="313">
        <f t="shared" ref="X207:X208" si="133">ROUND(U207*V207*W207,2)</f>
        <v>0</v>
      </c>
      <c r="Y207" s="819"/>
      <c r="Z207" s="810"/>
      <c r="AA207" s="813"/>
    </row>
    <row r="208" spans="1:29" ht="19.5" customHeight="1">
      <c r="A208" s="756"/>
      <c r="B208" s="215"/>
      <c r="C208" s="815"/>
      <c r="D208" s="817"/>
      <c r="E208" s="82"/>
      <c r="F208" s="271"/>
      <c r="G208" s="98"/>
      <c r="H208" s="92"/>
      <c r="I208" s="78">
        <f>база!$J$6</f>
        <v>243.04319999999998</v>
      </c>
      <c r="J208" s="271">
        <v>1.5</v>
      </c>
      <c r="K208" s="216">
        <f>SUMIFS(Таблица1[сумма],Таблица1[коэф],"1,5",Таблица1[р/р],"5/8",Таблица1[Ф. И. О.],B209)</f>
        <v>0</v>
      </c>
      <c r="L208" s="29">
        <f>ROUND(I208*J208*K208,2)</f>
        <v>0</v>
      </c>
      <c r="M208" s="334"/>
      <c r="N208" s="216"/>
      <c r="O208" s="216"/>
      <c r="P208" s="216"/>
      <c r="Q208" s="79">
        <f>база!$L$5</f>
        <v>231.45480000000001</v>
      </c>
      <c r="R208" s="271">
        <v>1.2</v>
      </c>
      <c r="S208" s="98">
        <f>SUMIFS(Таблица1[сумма],Таблица1[коэф],"1,2",Таблица1[р/р],"4/16",Таблица1[Ф. И. О.],B209)</f>
        <v>0</v>
      </c>
      <c r="T208" s="92">
        <f t="shared" si="132"/>
        <v>0</v>
      </c>
      <c r="U208" s="366">
        <f>база!$M$5</f>
        <v>247.41720000000001</v>
      </c>
      <c r="V208" s="271">
        <v>1.2</v>
      </c>
      <c r="W208" s="307">
        <f>SUMIFS(Таблица1[сумма],Таблица1[коэф],"1,2",Таблица1[р/р],"4/24",Таблица1[Ф. И. О.],B209)</f>
        <v>0</v>
      </c>
      <c r="X208" s="313">
        <f t="shared" si="133"/>
        <v>0</v>
      </c>
      <c r="Y208" s="819"/>
      <c r="Z208" s="810"/>
      <c r="AA208" s="813"/>
      <c r="AC208" s="707" t="str">
        <f>IF(SUMIFS(Таблица1[Столбец2],Таблица1[Ф. И. О.],B209)-Z204=0,"",SUMIFS(Таблица1[Столбец2],Таблица1[Ф. И. О.],B209)-Z204)</f>
        <v/>
      </c>
    </row>
    <row r="209" spans="1:29" ht="18" customHeight="1">
      <c r="A209" s="756"/>
      <c r="B209" s="215" t="str">
        <f>база!B20</f>
        <v>Егорова Татьяна Владимировна</v>
      </c>
      <c r="C209" s="815"/>
      <c r="D209" s="817"/>
      <c r="E209" s="82"/>
      <c r="F209" s="271"/>
      <c r="G209" s="98"/>
      <c r="H209" s="92"/>
      <c r="I209" s="78"/>
      <c r="J209" s="271"/>
      <c r="K209" s="216"/>
      <c r="L209" s="29"/>
      <c r="M209" s="334"/>
      <c r="N209" s="216"/>
      <c r="O209" s="216"/>
      <c r="P209" s="216"/>
      <c r="Q209" s="79">
        <f>база!$L$6</f>
        <v>261.04640000000001</v>
      </c>
      <c r="R209" s="271">
        <v>1.2</v>
      </c>
      <c r="S209" s="98">
        <f>SUMIFS(Таблица1[сумма],Таблица1[коэф],"1,2",Таблица1[р/р],"5/16",Таблица1[Ф. И. О.],B209)</f>
        <v>0</v>
      </c>
      <c r="T209" s="92">
        <f>ROUND(Q209*R209*S209,2)</f>
        <v>0</v>
      </c>
      <c r="U209" s="366">
        <f>база!$M$6</f>
        <v>279.0496</v>
      </c>
      <c r="V209" s="271">
        <v>1.2</v>
      </c>
      <c r="W209" s="307">
        <f>SUMIFS(Таблица1[сумма],Таблица1[коэф],"1,2",Таблица1[р/р],"5/24",Таблица1[Ф. И. О.],B209)</f>
        <v>0</v>
      </c>
      <c r="X209" s="313">
        <f>ROUND(U209*V209*W209,2)</f>
        <v>0</v>
      </c>
      <c r="Y209" s="819"/>
      <c r="Z209" s="810"/>
      <c r="AA209" s="813"/>
      <c r="AC209" s="707" t="str">
        <f>IF(SUMIFS(Таблица1[сумма],Таблица1[Ф. И. О.],B209)=Y204,"",B204&amp;"  часы не верны")</f>
        <v/>
      </c>
    </row>
    <row r="210" spans="1:29" ht="19.5" customHeight="1">
      <c r="A210" s="756"/>
      <c r="B210" s="215"/>
      <c r="C210" s="815"/>
      <c r="D210" s="817"/>
      <c r="E210" s="82"/>
      <c r="F210" s="271"/>
      <c r="G210" s="98"/>
      <c r="H210" s="92"/>
      <c r="I210" s="78"/>
      <c r="J210" s="271"/>
      <c r="K210" s="216"/>
      <c r="L210" s="29"/>
      <c r="M210" s="334"/>
      <c r="N210" s="216"/>
      <c r="O210" s="216"/>
      <c r="P210" s="216"/>
      <c r="Q210" s="79">
        <f>IF($D$6&lt;=3,база!$L$4,
IF($D$6=4,база!$L$5,
IF($D$6=5,база!$L$6)))</f>
        <v>231.45480000000001</v>
      </c>
      <c r="R210" s="271">
        <v>1.3</v>
      </c>
      <c r="S210" s="98">
        <f>SUMIFS(Таблица1[сумма],Таблица1[коэф],"1,3",Таблица1[р/р],"3/16",Таблица1[Ф. И. О.],B209)</f>
        <v>0</v>
      </c>
      <c r="T210" s="92">
        <f t="shared" ref="T210:T211" si="134">ROUND(Q210*R210*S210,2)</f>
        <v>0</v>
      </c>
      <c r="U210" s="366">
        <f>IF(D204&lt;=3,база!$M$4,
IF(D204=4,база!$M$5,
IF(D204=5,база!$M$6)))</f>
        <v>225.09719999999999</v>
      </c>
      <c r="V210" s="271">
        <v>1.3</v>
      </c>
      <c r="W210" s="307">
        <f>SUMIFS(Таблица1[сумма],Таблица1[коэф],"1,3",Таблица1[р/р],"3/24",Таблица1[Ф. И. О.],B209)</f>
        <v>0</v>
      </c>
      <c r="X210" s="313">
        <f t="shared" ref="X210:X211" si="135">ROUND(U210*V210*W210,2)</f>
        <v>0</v>
      </c>
      <c r="Y210" s="819"/>
      <c r="Z210" s="810"/>
      <c r="AA210" s="813"/>
    </row>
    <row r="211" spans="1:29" ht="19.5" customHeight="1">
      <c r="A211" s="756"/>
      <c r="B211" s="215"/>
      <c r="C211" s="815"/>
      <c r="D211" s="817"/>
      <c r="E211" s="82"/>
      <c r="F211" s="271"/>
      <c r="G211" s="98"/>
      <c r="H211" s="92"/>
      <c r="I211" s="78"/>
      <c r="J211" s="271"/>
      <c r="K211" s="216"/>
      <c r="L211" s="29"/>
      <c r="M211" s="334"/>
      <c r="N211" s="216"/>
      <c r="O211" s="216"/>
      <c r="P211" s="216"/>
      <c r="Q211" s="79">
        <f>база!$L$5</f>
        <v>231.45480000000001</v>
      </c>
      <c r="R211" s="271">
        <v>1.3</v>
      </c>
      <c r="S211" s="98">
        <f>SUMIFS(Таблица1[сумма],Таблица1[коэф],"1,3",Таблица1[р/р],"4/16",Таблица1[Ф. И. О.],B209)</f>
        <v>0</v>
      </c>
      <c r="T211" s="92">
        <f t="shared" si="134"/>
        <v>0</v>
      </c>
      <c r="U211" s="366">
        <f>база!$M$5</f>
        <v>247.41720000000001</v>
      </c>
      <c r="V211" s="271">
        <v>1.3</v>
      </c>
      <c r="W211" s="307">
        <f>SUMIFS(Таблица1[сумма],Таблица1[коэф],"1,3",Таблица1[р/р],"4/24",Таблица1[Ф. И. О.],B209)</f>
        <v>0</v>
      </c>
      <c r="X211" s="313">
        <f t="shared" si="135"/>
        <v>0</v>
      </c>
      <c r="Y211" s="819"/>
      <c r="Z211" s="810"/>
      <c r="AA211" s="813"/>
    </row>
    <row r="212" spans="1:29" ht="19.5" customHeight="1">
      <c r="A212" s="756"/>
      <c r="B212" s="215"/>
      <c r="C212" s="815"/>
      <c r="D212" s="817"/>
      <c r="E212" s="82"/>
      <c r="F212" s="271"/>
      <c r="G212" s="98"/>
      <c r="H212" s="92"/>
      <c r="I212" s="78"/>
      <c r="J212" s="271"/>
      <c r="K212" s="216"/>
      <c r="L212" s="29"/>
      <c r="M212" s="334"/>
      <c r="N212" s="216"/>
      <c r="O212" s="216"/>
      <c r="P212" s="216"/>
      <c r="Q212" s="79">
        <f>IF(D204&lt;=3,база!$L$4,
IF(D204=4,база!$L$5,
IF(D204=5,база!$L$6)))</f>
        <v>210.57480000000001</v>
      </c>
      <c r="R212" s="271">
        <v>1.4</v>
      </c>
      <c r="S212" s="98">
        <f>SUMIFS(Таблица1[сумма],Таблица1[коэф],"1,4",Таблица1[р/р],"3/16",Таблица1[Ф. И. О.],B209)</f>
        <v>0</v>
      </c>
      <c r="T212" s="92">
        <f t="shared" ref="T212:T217" si="136">ROUND(Q212*R212*S212,2)</f>
        <v>0</v>
      </c>
      <c r="U212" s="366">
        <f>IF(D204&lt;=3,база!$M$4,
IF(D204=4,база!$M$5,
IF(D204=5,база!$M$6)))</f>
        <v>225.09719999999999</v>
      </c>
      <c r="V212" s="271">
        <v>1.4</v>
      </c>
      <c r="W212" s="307">
        <f>SUMIFS(Таблица1[сумма],Таблица1[коэф],"1,4",Таблица1[р/р],"3/24",Таблица1[Ф. И. О.],B209)</f>
        <v>0</v>
      </c>
      <c r="X212" s="313">
        <f>ROUND(U212*V212*W212,2)</f>
        <v>0</v>
      </c>
      <c r="Y212" s="819"/>
      <c r="Z212" s="810"/>
      <c r="AA212" s="813"/>
    </row>
    <row r="213" spans="1:29" ht="19.5" customHeight="1">
      <c r="A213" s="756"/>
      <c r="B213" s="215"/>
      <c r="C213" s="815"/>
      <c r="D213" s="817"/>
      <c r="E213" s="82"/>
      <c r="F213" s="271"/>
      <c r="G213" s="98"/>
      <c r="H213" s="92"/>
      <c r="I213" s="78"/>
      <c r="J213" s="271"/>
      <c r="K213" s="216"/>
      <c r="L213" s="29"/>
      <c r="M213" s="334"/>
      <c r="N213" s="216"/>
      <c r="O213" s="216"/>
      <c r="P213" s="216"/>
      <c r="Q213" s="79">
        <f>база!$L$5</f>
        <v>231.45480000000001</v>
      </c>
      <c r="R213" s="271">
        <v>1.4</v>
      </c>
      <c r="S213" s="98">
        <f>SUMIFS(Таблица1[сумма],Таблица1[коэф],"1,4",Таблица1[р/р],"4/16",Таблица1[Ф. И. О.],B209)</f>
        <v>0</v>
      </c>
      <c r="T213" s="92">
        <f t="shared" si="136"/>
        <v>0</v>
      </c>
      <c r="U213" s="366">
        <f>база!$M$5</f>
        <v>247.41720000000001</v>
      </c>
      <c r="V213" s="271">
        <v>1.4</v>
      </c>
      <c r="W213" s="307">
        <f>SUMIFS(Таблица1[сумма],Таблица1[коэф],"1,4",Таблица1[р/р],"4/24",Таблица1[Ф. И. О.],B209)</f>
        <v>0</v>
      </c>
      <c r="X213" s="313">
        <f>ROUND(U213*V213*W213,2)</f>
        <v>0</v>
      </c>
      <c r="Y213" s="819"/>
      <c r="Z213" s="810"/>
      <c r="AA213" s="813"/>
    </row>
    <row r="214" spans="1:29" ht="19.5" customHeight="1" thickBot="1">
      <c r="A214" s="757"/>
      <c r="B214" s="202"/>
      <c r="C214" s="816"/>
      <c r="D214" s="818"/>
      <c r="E214" s="220"/>
      <c r="F214" s="273"/>
      <c r="G214" s="97"/>
      <c r="H214" s="238"/>
      <c r="I214" s="101"/>
      <c r="J214" s="273"/>
      <c r="K214" s="288"/>
      <c r="L214" s="26"/>
      <c r="M214" s="348"/>
      <c r="N214" s="288"/>
      <c r="O214" s="288"/>
      <c r="P214" s="288"/>
      <c r="Q214" s="77">
        <f>база!$L$6</f>
        <v>261.04640000000001</v>
      </c>
      <c r="R214" s="273">
        <v>1.4</v>
      </c>
      <c r="S214" s="97">
        <f>SUMIFS(Таблица1[сумма],Таблица1[коэф],"1,4",Таблица1[р/р],"5/16",Таблица1[Ф. И. О.],B209)</f>
        <v>0</v>
      </c>
      <c r="T214" s="238">
        <f t="shared" si="136"/>
        <v>0</v>
      </c>
      <c r="U214" s="367">
        <f>база!$M$6</f>
        <v>279.0496</v>
      </c>
      <c r="V214" s="273">
        <v>1.4</v>
      </c>
      <c r="W214" s="312">
        <f>SUMIFS(Таблица1[сумма],Таблица1[коэф],"1,4",Таблица1[р/р],"5/24",Таблица1[Ф. И. О.],B209)</f>
        <v>0</v>
      </c>
      <c r="X214" s="343">
        <f>ROUND(U214*V214*W214,2)</f>
        <v>0</v>
      </c>
      <c r="Y214" s="820"/>
      <c r="Z214" s="811"/>
      <c r="AA214" s="814"/>
    </row>
    <row r="215" spans="1:29" ht="18.75" customHeight="1">
      <c r="A215" s="755">
        <v>20</v>
      </c>
      <c r="B215" s="215"/>
      <c r="C215" s="821">
        <f>INDEX(база!$E$2:$E$81, MATCH(B220,база!$B$2:$B$50,0))</f>
        <v>16771</v>
      </c>
      <c r="D215" s="822">
        <f>INDEX(база!$D$2:$D$89, MATCH(B220,база!$B$2:$B$50,0))</f>
        <v>3</v>
      </c>
      <c r="E215" s="81">
        <f>IF(D215&lt;=3,база!$I$4,
IF(D215=4,база!$I$5,
IF(D215=5,база!$I$6)))</f>
        <v>188.7912</v>
      </c>
      <c r="F215" s="270">
        <v>1</v>
      </c>
      <c r="G215" s="96">
        <f>SUMIFS(Таблица1[сумма],Таблица1[коэф],"1",Таблица1[р/р],"2/4",Таблица1[Ф. И. О.],B220)</f>
        <v>0</v>
      </c>
      <c r="H215" s="311">
        <f>ROUND(E215*F215*G215,2)</f>
        <v>0</v>
      </c>
      <c r="I215" s="74">
        <f>IF(D215&lt;=3,база!$J$4,
IF(D215=4,база!$J$5,
IF(D215=5,база!$J$6)))</f>
        <v>196.05240000000001</v>
      </c>
      <c r="J215" s="270">
        <v>1</v>
      </c>
      <c r="K215" s="309">
        <f>SUMIFS(Таблица1[сумма],Таблица1[коэф],"1",Таблица1[р/р],"2/8",Таблица1[Ф. И. О.],B220)</f>
        <v>0</v>
      </c>
      <c r="L215" s="23">
        <f>ROUND(I215*J215*K215,2)</f>
        <v>0</v>
      </c>
      <c r="M215" s="344"/>
      <c r="N215" s="309">
        <v>1</v>
      </c>
      <c r="O215" s="309">
        <f>SUMIFS(Data_Tech!$AM$3:$AM$67,Data_Tech!$E$3:$E$67,"1",Data_Tech!$G$3:$G$67,"3/12",Data_Tech!$F$3:$F$67,B220)</f>
        <v>0</v>
      </c>
      <c r="P215" s="309">
        <f>ROUND(M215*N215*O215,2)</f>
        <v>0</v>
      </c>
      <c r="Q215" s="75">
        <f>IF(D215&lt;=3,база!$L$4,
IF(D215=4,база!$L$5,
IF(D215=5,база!$L$6)))</f>
        <v>210.57480000000001</v>
      </c>
      <c r="R215" s="270">
        <v>1</v>
      </c>
      <c r="S215" s="96">
        <f>SUMIFS(Таблица1[сумма],Таблица1[коэф],"1",Таблица1[р/р],"3/16",Таблица1[Ф. И. О.],B220)</f>
        <v>0</v>
      </c>
      <c r="T215" s="311">
        <f t="shared" si="136"/>
        <v>0</v>
      </c>
      <c r="U215" s="370">
        <f>IF(D215&lt;=3,база!$M$4,
IF(D215=4,база!$M$5,
IF(D215=5,база!$M$6)))</f>
        <v>225.09719999999999</v>
      </c>
      <c r="V215" s="270">
        <v>1</v>
      </c>
      <c r="W215" s="337">
        <f>SUMIFS(Таблица1[сумма],Таблица1[коэф],"1",Таблица1[р/р],"3/24",Таблица1[Ф. И. О.],B220)</f>
        <v>0</v>
      </c>
      <c r="X215" s="351">
        <f>ROUND(U215*V215*W215,2)</f>
        <v>0</v>
      </c>
      <c r="Y215" s="819">
        <f t="shared" ref="Y215" si="137">SUM(G215:G225,K215:K225,O215:O225,S215:S225,W215:W225)</f>
        <v>0</v>
      </c>
      <c r="Z215" s="810">
        <f t="shared" ref="Z215" si="138">IFERROR(SUM(H215:H225,L215:L225,T215:T225,X215:X225),"")</f>
        <v>0</v>
      </c>
      <c r="AA215" s="813"/>
    </row>
    <row r="216" spans="1:29" ht="18.75" customHeight="1">
      <c r="A216" s="756"/>
      <c r="B216" s="215"/>
      <c r="C216" s="815"/>
      <c r="D216" s="817"/>
      <c r="E216" s="82">
        <f>IF(D215&lt;=3,база!$I$4,
IF(D215=4,база!$I$5,
IF(D215=5,база!$I$6)))</f>
        <v>188.7912</v>
      </c>
      <c r="F216" s="271">
        <v>1</v>
      </c>
      <c r="G216" s="98">
        <f>SUMIFS(Таблица1[сумма],Таблица1[коэф],"1",Таблица1[р/р],"3/4",Таблица1[Ф. И. О.],B220)</f>
        <v>0</v>
      </c>
      <c r="H216" s="92">
        <f>ROUND(E216*F216*G216,2)</f>
        <v>0</v>
      </c>
      <c r="I216" s="78">
        <f>IF(D215&lt;=3,база!$J$4,
IF(D215=4,база!$J$5,
IF(D215=5,база!$J$6)))</f>
        <v>196.05240000000001</v>
      </c>
      <c r="J216" s="271">
        <v>1</v>
      </c>
      <c r="K216" s="216">
        <f>SUMIFS(Таблица1[сумма],Таблица1[коэф],"1",Таблица1[р/р],"3/8",Таблица1[Ф. И. О.],B220)</f>
        <v>0</v>
      </c>
      <c r="L216" s="29">
        <f>ROUND(I216*J216*K216,2)</f>
        <v>0</v>
      </c>
      <c r="M216" s="334"/>
      <c r="N216" s="216">
        <v>1</v>
      </c>
      <c r="O216" s="216">
        <f>SUMIFS(Data_Tech!$AM$3:$AM$67,Data_Tech!$E$3:$E$67,"1",Data_Tech!$G$3:$G$67,"4/12",Data_Tech!$F$3:$F$67,B220)</f>
        <v>0</v>
      </c>
      <c r="P216" s="216">
        <f>ROUND(M216*O216,2)</f>
        <v>0</v>
      </c>
      <c r="Q216" s="79">
        <f>база!$L$5</f>
        <v>231.45480000000001</v>
      </c>
      <c r="R216" s="271">
        <v>1</v>
      </c>
      <c r="S216" s="98">
        <f>SUMIFS(Таблица1[сумма],Таблица1[коэф],"1",Таблица1[р/р],"4/16",Таблица1[Ф. И. О.],B220)</f>
        <v>0</v>
      </c>
      <c r="T216" s="92">
        <f t="shared" si="136"/>
        <v>0</v>
      </c>
      <c r="U216" s="366">
        <f>база!$M$5</f>
        <v>247.41720000000001</v>
      </c>
      <c r="V216" s="271">
        <v>1</v>
      </c>
      <c r="W216" s="307">
        <f>SUMIFS(Таблица1[сумма],Таблица1[коэф],"1",Таблица1[р/р],"4/24",Таблица1[Ф. И. О.],B220)</f>
        <v>0</v>
      </c>
      <c r="X216" s="313">
        <f t="shared" ref="X216" si="139">ROUND(U216*V216*W216,2)</f>
        <v>0</v>
      </c>
      <c r="Y216" s="819"/>
      <c r="Z216" s="810"/>
      <c r="AA216" s="813"/>
    </row>
    <row r="217" spans="1:29" ht="18.75" customHeight="1">
      <c r="A217" s="756"/>
      <c r="B217" s="215"/>
      <c r="C217" s="815"/>
      <c r="D217" s="817"/>
      <c r="E217" s="82"/>
      <c r="F217" s="271"/>
      <c r="G217" s="98"/>
      <c r="H217" s="92"/>
      <c r="I217" s="78"/>
      <c r="J217" s="271"/>
      <c r="K217" s="216"/>
      <c r="L217" s="29"/>
      <c r="M217" s="334"/>
      <c r="N217" s="216"/>
      <c r="O217" s="216"/>
      <c r="P217" s="216"/>
      <c r="Q217" s="79">
        <f>база!$L$6</f>
        <v>261.04640000000001</v>
      </c>
      <c r="R217" s="271">
        <v>1</v>
      </c>
      <c r="S217" s="98">
        <f>SUMIFS(Таблица1[сумма],Таблица1[коэф],"1",Таблица1[р/р],"5/16",Таблица1[Ф. И. О.],B220)</f>
        <v>0</v>
      </c>
      <c r="T217" s="92">
        <f t="shared" si="136"/>
        <v>0</v>
      </c>
      <c r="U217" s="366">
        <f>база!$M$6</f>
        <v>279.0496</v>
      </c>
      <c r="V217" s="271">
        <v>1</v>
      </c>
      <c r="W217" s="307">
        <f>SUMIFS(Таблица1[сумма],Таблица1[коэф],"1",Таблица1[р/р],"5/24",Таблица1[Ф. И. О.],B220)</f>
        <v>0</v>
      </c>
      <c r="X217" s="313">
        <f>ROUND(U217*V217*W217,2)</f>
        <v>0</v>
      </c>
      <c r="Y217" s="819"/>
      <c r="Z217" s="810"/>
      <c r="AA217" s="813"/>
    </row>
    <row r="218" spans="1:29" ht="18.75" customHeight="1">
      <c r="A218" s="756"/>
      <c r="B218" s="215"/>
      <c r="C218" s="815"/>
      <c r="D218" s="817"/>
      <c r="E218" s="82"/>
      <c r="F218" s="271"/>
      <c r="G218" s="98"/>
      <c r="H218" s="92"/>
      <c r="I218" s="78">
        <f>база!$J$5</f>
        <v>215.4924</v>
      </c>
      <c r="J218" s="271">
        <v>1.5</v>
      </c>
      <c r="K218" s="216">
        <f>SUMIFS(Таблица1[сумма],Таблица1[коэф],"1,5",Таблица1[р/р],"4/8",Таблица1[Ф. И. О.],B220)</f>
        <v>0</v>
      </c>
      <c r="L218" s="29">
        <f>ROUND(I218*J218*K218,2)</f>
        <v>0</v>
      </c>
      <c r="M218" s="334"/>
      <c r="N218" s="216"/>
      <c r="O218" s="216"/>
      <c r="P218" s="216"/>
      <c r="Q218" s="79">
        <f>IF(D215&lt;=3,база!$L$4,
IF(D215=4,база!$L$5,
IF(D215=5,база!$L$6)))</f>
        <v>210.57480000000001</v>
      </c>
      <c r="R218" s="271">
        <v>1.2</v>
      </c>
      <c r="S218" s="98">
        <f>SUMIFS(Таблица1[сумма],Таблица1[коэф],"1,2",Таблица1[р/р],"3/16",Таблица1[Ф. И. О.],B220)</f>
        <v>0</v>
      </c>
      <c r="T218" s="92">
        <f t="shared" ref="T218:T219" si="140">ROUND(Q218*R218*S218,2)</f>
        <v>0</v>
      </c>
      <c r="U218" s="366">
        <f>IF(D215&lt;=3,база!$M$4,
IF(D215=4,база!$M$5,
IF(D215=5,база!$M$6)))</f>
        <v>225.09719999999999</v>
      </c>
      <c r="V218" s="271">
        <v>1.2</v>
      </c>
      <c r="W218" s="307">
        <f>SUMIFS(Таблица1[сумма],Таблица1[коэф],"1,2",Таблица1[р/р],"3/24",Таблица1[Ф. И. О.],B220)</f>
        <v>0</v>
      </c>
      <c r="X218" s="313">
        <f t="shared" ref="X218:X219" si="141">ROUND(U218*V218*W218,2)</f>
        <v>0</v>
      </c>
      <c r="Y218" s="819"/>
      <c r="Z218" s="810"/>
      <c r="AA218" s="813"/>
    </row>
    <row r="219" spans="1:29" ht="18.75" customHeight="1">
      <c r="A219" s="756"/>
      <c r="B219" s="215"/>
      <c r="C219" s="815"/>
      <c r="D219" s="817"/>
      <c r="E219" s="82"/>
      <c r="F219" s="271"/>
      <c r="G219" s="98"/>
      <c r="H219" s="92"/>
      <c r="I219" s="78">
        <f>база!$J$6</f>
        <v>243.04319999999998</v>
      </c>
      <c r="J219" s="271">
        <v>1.5</v>
      </c>
      <c r="K219" s="216">
        <f>SUMIFS(Таблица1[сумма],Таблица1[коэф],"1,5",Таблица1[р/р],"5/8",Таблица1[Ф. И. О.],B220)</f>
        <v>0</v>
      </c>
      <c r="L219" s="29">
        <f>ROUND(I219*J219*K219,2)</f>
        <v>0</v>
      </c>
      <c r="M219" s="334"/>
      <c r="N219" s="216"/>
      <c r="O219" s="216"/>
      <c r="P219" s="216"/>
      <c r="Q219" s="79">
        <f>база!$L$5</f>
        <v>231.45480000000001</v>
      </c>
      <c r="R219" s="271">
        <v>1.2</v>
      </c>
      <c r="S219" s="98">
        <f>SUMIFS(Таблица1[сумма],Таблица1[коэф],"1,2",Таблица1[р/р],"4/16",Таблица1[Ф. И. О.],B220)</f>
        <v>0</v>
      </c>
      <c r="T219" s="92">
        <f t="shared" si="140"/>
        <v>0</v>
      </c>
      <c r="U219" s="366">
        <f>база!$M$5</f>
        <v>247.41720000000001</v>
      </c>
      <c r="V219" s="271">
        <v>1.2</v>
      </c>
      <c r="W219" s="307">
        <f>SUMIFS(Таблица1[сумма],Таблица1[коэф],"1,2",Таблица1[р/р],"4/24",Таблица1[Ф. И. О.],B220)</f>
        <v>0</v>
      </c>
      <c r="X219" s="313">
        <f t="shared" si="141"/>
        <v>0</v>
      </c>
      <c r="Y219" s="819"/>
      <c r="Z219" s="810"/>
      <c r="AA219" s="813"/>
      <c r="AC219" s="707" t="str">
        <f>IF(SUMIFS(Таблица1[Столбец2],Таблица1[Ф. И. О.],B220)-Z215=0,"",SUMIFS(Таблица1[Столбец2],Таблица1[Ф. И. О.],B220)-Z215)</f>
        <v/>
      </c>
    </row>
    <row r="220" spans="1:29" ht="22.5" customHeight="1">
      <c r="A220" s="756"/>
      <c r="B220" s="215" t="str">
        <f>база!B21</f>
        <v>Елькина Татьяна Владимировна</v>
      </c>
      <c r="C220" s="815"/>
      <c r="D220" s="817"/>
      <c r="E220" s="82"/>
      <c r="F220" s="271"/>
      <c r="G220" s="98"/>
      <c r="H220" s="92"/>
      <c r="I220" s="78"/>
      <c r="J220" s="271"/>
      <c r="K220" s="216"/>
      <c r="L220" s="29"/>
      <c r="M220" s="334"/>
      <c r="N220" s="216"/>
      <c r="O220" s="216"/>
      <c r="P220" s="216"/>
      <c r="Q220" s="79">
        <f>база!$L$6</f>
        <v>261.04640000000001</v>
      </c>
      <c r="R220" s="271">
        <v>1.2</v>
      </c>
      <c r="S220" s="98">
        <f>SUMIFS(Таблица1[сумма],Таблица1[коэф],"1,2",Таблица1[р/р],"5/16",Таблица1[Ф. И. О.],B220)</f>
        <v>0</v>
      </c>
      <c r="T220" s="92">
        <f>ROUND(Q220*R220*S220,2)</f>
        <v>0</v>
      </c>
      <c r="U220" s="366">
        <f>база!$M$6</f>
        <v>279.0496</v>
      </c>
      <c r="V220" s="271">
        <v>1.2</v>
      </c>
      <c r="W220" s="307">
        <f>SUMIFS(Таблица1[сумма],Таблица1[коэф],"1,2",Таблица1[р/р],"5/24",Таблица1[Ф. И. О.],B220)</f>
        <v>0</v>
      </c>
      <c r="X220" s="313">
        <f>ROUND(U220*V220*W220,2)</f>
        <v>0</v>
      </c>
      <c r="Y220" s="819"/>
      <c r="Z220" s="810"/>
      <c r="AA220" s="813"/>
      <c r="AC220" s="707" t="str">
        <f>IF(SUMIFS(Таблица1[сумма],Таблица1[Ф. И. О.],B220)=Y215,"",B215&amp;"  часы не верны")</f>
        <v/>
      </c>
    </row>
    <row r="221" spans="1:29" ht="18.75" customHeight="1">
      <c r="A221" s="756"/>
      <c r="B221" s="215"/>
      <c r="C221" s="815"/>
      <c r="D221" s="817"/>
      <c r="E221" s="82"/>
      <c r="F221" s="271"/>
      <c r="G221" s="98"/>
      <c r="H221" s="92"/>
      <c r="I221" s="78"/>
      <c r="J221" s="271"/>
      <c r="K221" s="216"/>
      <c r="L221" s="29"/>
      <c r="M221" s="334"/>
      <c r="N221" s="216"/>
      <c r="O221" s="216"/>
      <c r="P221" s="216"/>
      <c r="Q221" s="79">
        <f>IF($D$6&lt;=3,база!$L$4,
IF($D$6=4,база!$L$5,
IF($D$6=5,база!$L$6)))</f>
        <v>231.45480000000001</v>
      </c>
      <c r="R221" s="271">
        <v>1.3</v>
      </c>
      <c r="S221" s="98">
        <f>SUMIFS(Таблица1[сумма],Таблица1[коэф],"1,3",Таблица1[р/р],"3/16",Таблица1[Ф. И. О.],B220)</f>
        <v>0</v>
      </c>
      <c r="T221" s="92">
        <f t="shared" ref="T221:T222" si="142">ROUND(Q221*R221*S221,2)</f>
        <v>0</v>
      </c>
      <c r="U221" s="366">
        <f>IF(D215&lt;=3,база!$M$4,
IF(D215=4,база!$M$5,
IF(D215=5,база!$M$6)))</f>
        <v>225.09719999999999</v>
      </c>
      <c r="V221" s="271">
        <v>1.3</v>
      </c>
      <c r="W221" s="307">
        <f>SUMIFS(Таблица1[сумма],Таблица1[коэф],"1,3",Таблица1[р/р],"3/24",Таблица1[Ф. И. О.],B220)</f>
        <v>0</v>
      </c>
      <c r="X221" s="313">
        <f t="shared" ref="X221:X222" si="143">ROUND(U221*V221*W221,2)</f>
        <v>0</v>
      </c>
      <c r="Y221" s="819"/>
      <c r="Z221" s="810"/>
      <c r="AA221" s="813"/>
    </row>
    <row r="222" spans="1:29" ht="18.75" customHeight="1">
      <c r="A222" s="756"/>
      <c r="B222" s="215"/>
      <c r="C222" s="815"/>
      <c r="D222" s="817"/>
      <c r="E222" s="82"/>
      <c r="F222" s="271"/>
      <c r="G222" s="98"/>
      <c r="H222" s="92"/>
      <c r="I222" s="78"/>
      <c r="J222" s="271"/>
      <c r="K222" s="216"/>
      <c r="L222" s="29"/>
      <c r="M222" s="334"/>
      <c r="N222" s="216"/>
      <c r="O222" s="216"/>
      <c r="P222" s="216"/>
      <c r="Q222" s="79">
        <f>база!$L$5</f>
        <v>231.45480000000001</v>
      </c>
      <c r="R222" s="271">
        <v>1.3</v>
      </c>
      <c r="S222" s="98">
        <f>SUMIFS(Таблица1[сумма],Таблица1[коэф],"1,3",Таблица1[р/р],"4/16",Таблица1[Ф. И. О.],B220)</f>
        <v>0</v>
      </c>
      <c r="T222" s="92">
        <f t="shared" si="142"/>
        <v>0</v>
      </c>
      <c r="U222" s="366">
        <f>база!$M$5</f>
        <v>247.41720000000001</v>
      </c>
      <c r="V222" s="271">
        <v>1.3</v>
      </c>
      <c r="W222" s="307">
        <f>SUMIFS(Таблица1[сумма],Таблица1[коэф],"1,3",Таблица1[р/р],"4/24",Таблица1[Ф. И. О.],B220)</f>
        <v>0</v>
      </c>
      <c r="X222" s="313">
        <f t="shared" si="143"/>
        <v>0</v>
      </c>
      <c r="Y222" s="819"/>
      <c r="Z222" s="810"/>
      <c r="AA222" s="813"/>
    </row>
    <row r="223" spans="1:29" ht="18.75" customHeight="1">
      <c r="A223" s="756"/>
      <c r="B223" s="215"/>
      <c r="C223" s="815"/>
      <c r="D223" s="817"/>
      <c r="E223" s="82"/>
      <c r="F223" s="271"/>
      <c r="G223" s="98"/>
      <c r="H223" s="92"/>
      <c r="I223" s="78"/>
      <c r="J223" s="271"/>
      <c r="K223" s="216"/>
      <c r="L223" s="29"/>
      <c r="M223" s="334"/>
      <c r="N223" s="216"/>
      <c r="O223" s="216"/>
      <c r="P223" s="216"/>
      <c r="Q223" s="79">
        <f>IF(D215&lt;=3,база!$L$4,
IF(D215=4,база!$L$5,
IF(D215=5,база!$L$6)))</f>
        <v>210.57480000000001</v>
      </c>
      <c r="R223" s="271">
        <v>1.4</v>
      </c>
      <c r="S223" s="98">
        <f>SUMIFS(Таблица1[сумма],Таблица1[коэф],"1,4",Таблица1[р/р],"3/16",Таблица1[Ф. И. О.],B220)</f>
        <v>0</v>
      </c>
      <c r="T223" s="92">
        <f t="shared" ref="T223:T228" si="144">ROUND(Q223*R223*S223,2)</f>
        <v>0</v>
      </c>
      <c r="U223" s="366">
        <f>IF(D215&lt;=3,база!$M$4,
IF(D215=4,база!$M$5,
IF(D215=5,база!$M$6)))</f>
        <v>225.09719999999999</v>
      </c>
      <c r="V223" s="271">
        <v>1.4</v>
      </c>
      <c r="W223" s="307">
        <f>SUMIFS(Таблица1[сумма],Таблица1[коэф],"1,4",Таблица1[р/р],"3/24",Таблица1[Ф. И. О.],B220)</f>
        <v>0</v>
      </c>
      <c r="X223" s="313">
        <f>ROUND(U223*V223*W223,2)</f>
        <v>0</v>
      </c>
      <c r="Y223" s="819"/>
      <c r="Z223" s="810"/>
      <c r="AA223" s="813"/>
    </row>
    <row r="224" spans="1:29" ht="18.75" customHeight="1">
      <c r="A224" s="756"/>
      <c r="B224" s="215"/>
      <c r="C224" s="815"/>
      <c r="D224" s="817"/>
      <c r="E224" s="82"/>
      <c r="F224" s="271"/>
      <c r="G224" s="98"/>
      <c r="H224" s="92"/>
      <c r="I224" s="78"/>
      <c r="J224" s="271"/>
      <c r="K224" s="216"/>
      <c r="L224" s="29"/>
      <c r="M224" s="334"/>
      <c r="N224" s="216"/>
      <c r="O224" s="216"/>
      <c r="P224" s="216"/>
      <c r="Q224" s="79">
        <f>база!$L$5</f>
        <v>231.45480000000001</v>
      </c>
      <c r="R224" s="271">
        <v>1.4</v>
      </c>
      <c r="S224" s="98">
        <f>SUMIFS(Таблица1[сумма],Таблица1[коэф],"1,4",Таблица1[р/р],"4/16",Таблица1[Ф. И. О.],B220)</f>
        <v>0</v>
      </c>
      <c r="T224" s="92">
        <f t="shared" si="144"/>
        <v>0</v>
      </c>
      <c r="U224" s="366">
        <f>база!$M$5</f>
        <v>247.41720000000001</v>
      </c>
      <c r="V224" s="271">
        <v>1.4</v>
      </c>
      <c r="W224" s="307">
        <f>SUMIFS(Таблица1[сумма],Таблица1[коэф],"1,4",Таблица1[р/р],"4/24",Таблица1[Ф. И. О.],B220)</f>
        <v>0</v>
      </c>
      <c r="X224" s="313">
        <f>ROUND(U224*V224*W224,2)</f>
        <v>0</v>
      </c>
      <c r="Y224" s="819"/>
      <c r="Z224" s="810"/>
      <c r="AA224" s="813"/>
    </row>
    <row r="225" spans="1:29" ht="19.5" customHeight="1" thickBot="1">
      <c r="A225" s="757"/>
      <c r="B225" s="215"/>
      <c r="C225" s="816"/>
      <c r="D225" s="818"/>
      <c r="E225" s="303"/>
      <c r="F225" s="274"/>
      <c r="G225" s="104"/>
      <c r="H225" s="316"/>
      <c r="I225" s="217"/>
      <c r="J225" s="274"/>
      <c r="K225" s="302"/>
      <c r="L225" s="219"/>
      <c r="M225" s="345"/>
      <c r="N225" s="302"/>
      <c r="O225" s="302"/>
      <c r="P225" s="302"/>
      <c r="Q225" s="106">
        <f>база!$L$6</f>
        <v>261.04640000000001</v>
      </c>
      <c r="R225" s="274">
        <v>1.4</v>
      </c>
      <c r="S225" s="104">
        <f>SUMIFS(Таблица1[сумма],Таблица1[коэф],"1,4",Таблица1[р/р],"5/16",Таблица1[Ф. И. О.],B220)</f>
        <v>0</v>
      </c>
      <c r="T225" s="316">
        <f t="shared" si="144"/>
        <v>0</v>
      </c>
      <c r="U225" s="369">
        <f>база!$M$6</f>
        <v>279.0496</v>
      </c>
      <c r="V225" s="274">
        <v>1.4</v>
      </c>
      <c r="W225" s="333">
        <f>SUMIFS(Таблица1[сумма],Таблица1[коэф],"1,4",Таблица1[р/р],"5/24",Таблица1[Ф. И. О.],B220)</f>
        <v>0</v>
      </c>
      <c r="X225" s="350">
        <f>ROUND(U225*V225*W225,2)</f>
        <v>0</v>
      </c>
      <c r="Y225" s="820"/>
      <c r="Z225" s="811"/>
      <c r="AA225" s="814"/>
    </row>
    <row r="226" spans="1:29" ht="18.75" customHeight="1">
      <c r="A226" s="755">
        <v>21</v>
      </c>
      <c r="B226" s="235"/>
      <c r="C226" s="821">
        <f>INDEX(база!$E$2:$E$81, MATCH(B231,база!$B$2:$B$50,0))</f>
        <v>0</v>
      </c>
      <c r="D226" s="822">
        <f>INDEX(база!$D$2:$D$89, MATCH(B231,база!$B$2:$B$50,0))</f>
        <v>3</v>
      </c>
      <c r="E226" s="310">
        <f>IF(D226&lt;=3,база!$I$4,
IF(D226=4,база!$I$5,
IF(D226=5,база!$I$6)))</f>
        <v>188.7912</v>
      </c>
      <c r="F226" s="269">
        <v>1</v>
      </c>
      <c r="G226" s="95">
        <f>SUMIFS(Таблица1[сумма],Таблица1[коэф],"1",Таблица1[р/р],"2/4",Таблица1[Ф. И. О.],B231)</f>
        <v>0</v>
      </c>
      <c r="H226" s="317">
        <f>ROUND(E226*F226*G226,2)</f>
        <v>0</v>
      </c>
      <c r="I226" s="72">
        <f>IF(D226&lt;=3,база!$J$4,
IF(D226=4,база!$J$5,
IF(D226=5,база!$J$6)))</f>
        <v>196.05240000000001</v>
      </c>
      <c r="J226" s="269">
        <v>1</v>
      </c>
      <c r="K226" s="287">
        <f>SUMIFS(Таблица1[сумма],Таблица1[коэф],"1",Таблица1[р/р],"2/8",Таблица1[Ф. И. О.],B231)</f>
        <v>0</v>
      </c>
      <c r="L226" s="28">
        <f>ROUND(I226*J226*K226,2)</f>
        <v>0</v>
      </c>
      <c r="M226" s="338"/>
      <c r="N226" s="287">
        <v>1</v>
      </c>
      <c r="O226" s="287">
        <f>SUMIFS(Data_Tech!$AM$3:$AM$67,Data_Tech!$E$3:$E$67,"1",Data_Tech!$G$3:$G$67,"3/12",Data_Tech!$F$3:$F$67,B231)</f>
        <v>0</v>
      </c>
      <c r="P226" s="287">
        <f>ROUND(M226*N226*O226,2)</f>
        <v>0</v>
      </c>
      <c r="Q226" s="73">
        <f>IF(D226&lt;=3,база!$L$4,
IF(D226=4,база!$L$5,
IF(D226=5,база!$L$6)))</f>
        <v>210.57480000000001</v>
      </c>
      <c r="R226" s="269">
        <v>1</v>
      </c>
      <c r="S226" s="95">
        <f>SUMIFS(Таблица1[сумма],Таблица1[коэф],"1",Таблица1[р/р],"3/16",Таблица1[Ф. И. О.],B231)</f>
        <v>0</v>
      </c>
      <c r="T226" s="317">
        <f t="shared" si="144"/>
        <v>0</v>
      </c>
      <c r="U226" s="365">
        <f>IF(D226&lt;=3,база!$M$4,
IF(D226=4,база!$M$5,
IF(D226=5,база!$M$6)))</f>
        <v>225.09719999999999</v>
      </c>
      <c r="V226" s="269">
        <v>1</v>
      </c>
      <c r="W226" s="340">
        <f>SUMIFS(Таблица1[сумма],Таблица1[коэф],"1",Таблица1[р/р],"3/24",Таблица1[Ф. И. О.],B231)</f>
        <v>0</v>
      </c>
      <c r="X226" s="342">
        <f>ROUND(U226*V226*W226,2)</f>
        <v>0</v>
      </c>
      <c r="Y226" s="819">
        <f t="shared" ref="Y226" si="145">SUM(G226:G236,K226:K236,O226:O236,S226:S236,W226:W236)</f>
        <v>0</v>
      </c>
      <c r="Z226" s="810">
        <f t="shared" ref="Z226" si="146">IFERROR(SUM(H226:H236,L226:L236,T226:T236,X226:X236),"")</f>
        <v>0</v>
      </c>
      <c r="AA226" s="813"/>
    </row>
    <row r="227" spans="1:29" ht="18.75" customHeight="1">
      <c r="A227" s="756"/>
      <c r="B227" s="215"/>
      <c r="C227" s="815"/>
      <c r="D227" s="817"/>
      <c r="E227" s="82">
        <f>IF(D226&lt;=3,база!$I$4,
IF(D226=4,база!$I$5,
IF(D226=5,база!$I$6)))</f>
        <v>188.7912</v>
      </c>
      <c r="F227" s="271">
        <v>1</v>
      </c>
      <c r="G227" s="98">
        <f>SUMIFS(Таблица1[сумма],Таблица1[коэф],"1",Таблица1[р/р],"3/4",Таблица1[Ф. И. О.],B231)</f>
        <v>0</v>
      </c>
      <c r="H227" s="92">
        <f>ROUND(E227*F227*G227,2)</f>
        <v>0</v>
      </c>
      <c r="I227" s="78">
        <f>IF(D226&lt;=3,база!$J$4,
IF(D226=4,база!$J$5,
IF(D226=5,база!$J$6)))</f>
        <v>196.05240000000001</v>
      </c>
      <c r="J227" s="271">
        <v>1</v>
      </c>
      <c r="K227" s="216">
        <f>SUMIFS(Таблица1[сумма],Таблица1[коэф],"1",Таблица1[р/р],"3/8",Таблица1[Ф. И. О.],B231)</f>
        <v>0</v>
      </c>
      <c r="L227" s="29">
        <f>ROUND(I227*J227*K227,2)</f>
        <v>0</v>
      </c>
      <c r="M227" s="334"/>
      <c r="N227" s="216">
        <v>1</v>
      </c>
      <c r="O227" s="216">
        <f>SUMIFS(Data_Tech!$AM$3:$AM$67,Data_Tech!$E$3:$E$67,"1",Data_Tech!$G$3:$G$67,"4/12",Data_Tech!$F$3:$F$67,B231)</f>
        <v>0</v>
      </c>
      <c r="P227" s="216">
        <f>ROUND(M227*O227,2)</f>
        <v>0</v>
      </c>
      <c r="Q227" s="79">
        <f>база!$L$5</f>
        <v>231.45480000000001</v>
      </c>
      <c r="R227" s="271">
        <v>1</v>
      </c>
      <c r="S227" s="98">
        <f>SUMIFS(Таблица1[сумма],Таблица1[коэф],"1",Таблица1[р/р],"4/16",Таблица1[Ф. И. О.],B231)</f>
        <v>0</v>
      </c>
      <c r="T227" s="92">
        <f t="shared" si="144"/>
        <v>0</v>
      </c>
      <c r="U227" s="366">
        <f>база!$M$5</f>
        <v>247.41720000000001</v>
      </c>
      <c r="V227" s="271">
        <v>1</v>
      </c>
      <c r="W227" s="307">
        <f>SUMIFS(Таблица1[сумма],Таблица1[коэф],"1",Таблица1[р/р],"4/24",Таблица1[Ф. И. О.],B231)</f>
        <v>0</v>
      </c>
      <c r="X227" s="313">
        <f t="shared" ref="X227" si="147">ROUND(U227*V227*W227,2)</f>
        <v>0</v>
      </c>
      <c r="Y227" s="819"/>
      <c r="Z227" s="810"/>
      <c r="AA227" s="813"/>
    </row>
    <row r="228" spans="1:29" ht="19.5" customHeight="1">
      <c r="A228" s="756"/>
      <c r="B228" s="215"/>
      <c r="C228" s="815"/>
      <c r="D228" s="817"/>
      <c r="E228" s="82"/>
      <c r="F228" s="271"/>
      <c r="G228" s="98"/>
      <c r="H228" s="92"/>
      <c r="I228" s="78"/>
      <c r="J228" s="271"/>
      <c r="K228" s="216"/>
      <c r="L228" s="29"/>
      <c r="M228" s="334"/>
      <c r="N228" s="216"/>
      <c r="O228" s="216"/>
      <c r="P228" s="216"/>
      <c r="Q228" s="79">
        <f>база!$L$6</f>
        <v>261.04640000000001</v>
      </c>
      <c r="R228" s="271">
        <v>1</v>
      </c>
      <c r="S228" s="98">
        <f>SUMIFS(Таблица1[сумма],Таблица1[коэф],"1",Таблица1[р/р],"5/16",Таблица1[Ф. И. О.],B231)</f>
        <v>0</v>
      </c>
      <c r="T228" s="92">
        <f t="shared" si="144"/>
        <v>0</v>
      </c>
      <c r="U228" s="366">
        <f>база!$M$6</f>
        <v>279.0496</v>
      </c>
      <c r="V228" s="271">
        <v>1</v>
      </c>
      <c r="W228" s="307">
        <f>SUMIFS(Таблица1[сумма],Таблица1[коэф],"1",Таблица1[р/р],"5/24",Таблица1[Ф. И. О.],B231)</f>
        <v>0</v>
      </c>
      <c r="X228" s="313">
        <f>ROUND(U228*V228*W228,2)</f>
        <v>0</v>
      </c>
      <c r="Y228" s="819"/>
      <c r="Z228" s="810"/>
      <c r="AA228" s="813"/>
    </row>
    <row r="229" spans="1:29" ht="19.5" customHeight="1">
      <c r="A229" s="756"/>
      <c r="B229" s="215"/>
      <c r="C229" s="815"/>
      <c r="D229" s="817"/>
      <c r="E229" s="82"/>
      <c r="F229" s="271"/>
      <c r="G229" s="98"/>
      <c r="H229" s="92"/>
      <c r="I229" s="78">
        <f>база!$J$5</f>
        <v>215.4924</v>
      </c>
      <c r="J229" s="271">
        <v>1.5</v>
      </c>
      <c r="K229" s="216">
        <f>SUMIFS(Таблица1[сумма],Таблица1[коэф],"1,5",Таблица1[р/р],"4/8",Таблица1[Ф. И. О.],B231)</f>
        <v>0</v>
      </c>
      <c r="L229" s="29">
        <f>ROUND(I229*J229*K229,2)</f>
        <v>0</v>
      </c>
      <c r="M229" s="334"/>
      <c r="N229" s="216"/>
      <c r="O229" s="216"/>
      <c r="P229" s="216"/>
      <c r="Q229" s="79">
        <f>IF(D226&lt;=3,база!$L$4,
IF(D226=4,база!$L$5,
IF(D226=5,база!$L$6)))</f>
        <v>210.57480000000001</v>
      </c>
      <c r="R229" s="271">
        <v>1.2</v>
      </c>
      <c r="S229" s="98">
        <f>SUMIFS(Таблица1[сумма],Таблица1[коэф],"1,2",Таблица1[р/р],"3/16",Таблица1[Ф. И. О.],B231)</f>
        <v>0</v>
      </c>
      <c r="T229" s="92">
        <f t="shared" ref="T229:T230" si="148">ROUND(Q229*R229*S229,2)</f>
        <v>0</v>
      </c>
      <c r="U229" s="366">
        <f>IF(D226&lt;=3,база!$M$4,
IF(D226=4,база!$M$5,
IF(D226=5,база!$M$6)))</f>
        <v>225.09719999999999</v>
      </c>
      <c r="V229" s="271">
        <v>1.2</v>
      </c>
      <c r="W229" s="307">
        <f>SUMIFS(Таблица1[сумма],Таблица1[коэф],"1,2",Таблица1[р/р],"3/24",Таблица1[Ф. И. О.],B231)</f>
        <v>0</v>
      </c>
      <c r="X229" s="313">
        <f t="shared" ref="X229:X230" si="149">ROUND(U229*V229*W229,2)</f>
        <v>0</v>
      </c>
      <c r="Y229" s="819"/>
      <c r="Z229" s="810"/>
      <c r="AA229" s="813"/>
    </row>
    <row r="230" spans="1:29" ht="19.5" customHeight="1">
      <c r="A230" s="756"/>
      <c r="B230" s="215"/>
      <c r="C230" s="815"/>
      <c r="D230" s="817"/>
      <c r="E230" s="82"/>
      <c r="F230" s="271"/>
      <c r="G230" s="98"/>
      <c r="H230" s="92"/>
      <c r="I230" s="78">
        <f>база!$J$6</f>
        <v>243.04319999999998</v>
      </c>
      <c r="J230" s="271">
        <v>1.5</v>
      </c>
      <c r="K230" s="216">
        <f>SUMIFS(Таблица1[сумма],Таблица1[коэф],"1,5",Таблица1[р/р],"5/8",Таблица1[Ф. И. О.],B231)</f>
        <v>0</v>
      </c>
      <c r="L230" s="29">
        <f>ROUND(I230*J230*K230,2)</f>
        <v>0</v>
      </c>
      <c r="M230" s="334"/>
      <c r="N230" s="216"/>
      <c r="O230" s="216"/>
      <c r="P230" s="216"/>
      <c r="Q230" s="79">
        <f>база!$L$5</f>
        <v>231.45480000000001</v>
      </c>
      <c r="R230" s="271">
        <v>1.2</v>
      </c>
      <c r="S230" s="98">
        <f>SUMIFS(Таблица1[сумма],Таблица1[коэф],"1,2",Таблица1[р/р],"4/16",Таблица1[Ф. И. О.],B231)</f>
        <v>0</v>
      </c>
      <c r="T230" s="92">
        <f t="shared" si="148"/>
        <v>0</v>
      </c>
      <c r="U230" s="366">
        <f>база!$M$5</f>
        <v>247.41720000000001</v>
      </c>
      <c r="V230" s="271">
        <v>1.2</v>
      </c>
      <c r="W230" s="307">
        <f>SUMIFS(Таблица1[сумма],Таблица1[коэф],"1,2",Таблица1[р/р],"4/24",Таблица1[Ф. И. О.],B231)</f>
        <v>0</v>
      </c>
      <c r="X230" s="313">
        <f t="shared" si="149"/>
        <v>0</v>
      </c>
      <c r="Y230" s="819"/>
      <c r="Z230" s="810"/>
      <c r="AA230" s="813"/>
      <c r="AC230" s="707" t="str">
        <f>IF(SUMIFS(Таблица1[Столбец2],Таблица1[Ф. И. О.],B231)-Z226=0,"",SUMIFS(Таблица1[Столбец2],Таблица1[Ф. И. О.],B231)-Z226)</f>
        <v/>
      </c>
    </row>
    <row r="231" spans="1:29" ht="19.5" customHeight="1">
      <c r="A231" s="756"/>
      <c r="B231" s="215" t="str">
        <f>база!B22</f>
        <v>Ерошевич Дарья Александровна</v>
      </c>
      <c r="C231" s="815"/>
      <c r="D231" s="817"/>
      <c r="E231" s="82"/>
      <c r="F231" s="271"/>
      <c r="G231" s="98"/>
      <c r="H231" s="92"/>
      <c r="I231" s="78"/>
      <c r="J231" s="271"/>
      <c r="K231" s="216"/>
      <c r="L231" s="29"/>
      <c r="M231" s="334"/>
      <c r="N231" s="216"/>
      <c r="O231" s="216"/>
      <c r="P231" s="216"/>
      <c r="Q231" s="79">
        <f>база!$L$6</f>
        <v>261.04640000000001</v>
      </c>
      <c r="R231" s="271">
        <v>1.2</v>
      </c>
      <c r="S231" s="98">
        <f>SUMIFS(Таблица1[сумма],Таблица1[коэф],"1,2",Таблица1[р/р],"5/16",Таблица1[Ф. И. О.],B231)</f>
        <v>0</v>
      </c>
      <c r="T231" s="92">
        <f>ROUND(Q231*R231*S231,2)</f>
        <v>0</v>
      </c>
      <c r="U231" s="366">
        <f>база!$M$6</f>
        <v>279.0496</v>
      </c>
      <c r="V231" s="271">
        <v>1.2</v>
      </c>
      <c r="W231" s="307">
        <f>SUMIFS(Таблица1[сумма],Таблица1[коэф],"1,2",Таблица1[р/р],"5/24",Таблица1[Ф. И. О.],B231)</f>
        <v>0</v>
      </c>
      <c r="X231" s="313">
        <f>ROUND(U231*V231*W231,2)</f>
        <v>0</v>
      </c>
      <c r="Y231" s="819"/>
      <c r="Z231" s="810"/>
      <c r="AA231" s="813"/>
      <c r="AC231" s="707" t="str">
        <f>IF(SUMIFS(Таблица1[сумма],Таблица1[Ф. И. О.],B231)=Y226,"",B226&amp;"  часы не верны")</f>
        <v/>
      </c>
    </row>
    <row r="232" spans="1:29" ht="19.5" customHeight="1">
      <c r="A232" s="756"/>
      <c r="B232" s="215"/>
      <c r="C232" s="815"/>
      <c r="D232" s="817"/>
      <c r="E232" s="82"/>
      <c r="F232" s="271"/>
      <c r="G232" s="98"/>
      <c r="H232" s="92"/>
      <c r="I232" s="78"/>
      <c r="J232" s="271"/>
      <c r="K232" s="216"/>
      <c r="L232" s="29"/>
      <c r="M232" s="334"/>
      <c r="N232" s="216"/>
      <c r="O232" s="216"/>
      <c r="P232" s="216"/>
      <c r="Q232" s="79">
        <f>IF($D$6&lt;=3,база!$L$4,
IF($D$6=4,база!$L$5,
IF($D$6=5,база!$L$6)))</f>
        <v>231.45480000000001</v>
      </c>
      <c r="R232" s="271">
        <v>1.3</v>
      </c>
      <c r="S232" s="98">
        <f>SUMIFS(Таблица1[сумма],Таблица1[коэф],"1,3",Таблица1[р/р],"3/16",Таблица1[Ф. И. О.],B231)</f>
        <v>0</v>
      </c>
      <c r="T232" s="92">
        <f t="shared" ref="T232:T233" si="150">ROUND(Q232*R232*S232,2)</f>
        <v>0</v>
      </c>
      <c r="U232" s="366">
        <f>IF(D226&lt;=3,база!$M$4,
IF(D226=4,база!$M$5,
IF(D226=5,база!$M$6)))</f>
        <v>225.09719999999999</v>
      </c>
      <c r="V232" s="271">
        <v>1.3</v>
      </c>
      <c r="W232" s="307">
        <f>SUMIFS(Таблица1[сумма],Таблица1[коэф],"1,3",Таблица1[р/р],"3/24",Таблица1[Ф. И. О.],B231)</f>
        <v>0</v>
      </c>
      <c r="X232" s="313">
        <f t="shared" ref="X232:X233" si="151">ROUND(U232*V232*W232,2)</f>
        <v>0</v>
      </c>
      <c r="Y232" s="819"/>
      <c r="Z232" s="810"/>
      <c r="AA232" s="813"/>
    </row>
    <row r="233" spans="1:29" ht="19.5" customHeight="1">
      <c r="A233" s="756"/>
      <c r="B233" s="215"/>
      <c r="C233" s="815"/>
      <c r="D233" s="817"/>
      <c r="E233" s="82"/>
      <c r="F233" s="271"/>
      <c r="G233" s="98"/>
      <c r="H233" s="92"/>
      <c r="I233" s="78"/>
      <c r="J233" s="271"/>
      <c r="K233" s="216"/>
      <c r="L233" s="29"/>
      <c r="M233" s="334"/>
      <c r="N233" s="216"/>
      <c r="O233" s="216"/>
      <c r="P233" s="216"/>
      <c r="Q233" s="79">
        <f>база!$L$5</f>
        <v>231.45480000000001</v>
      </c>
      <c r="R233" s="271">
        <v>1.3</v>
      </c>
      <c r="S233" s="98">
        <f>SUMIFS(Таблица1[сумма],Таблица1[коэф],"1,3",Таблица1[р/р],"4/16",Таблица1[Ф. И. О.],B231)</f>
        <v>0</v>
      </c>
      <c r="T233" s="92">
        <f t="shared" si="150"/>
        <v>0</v>
      </c>
      <c r="U233" s="366">
        <f>база!$M$5</f>
        <v>247.41720000000001</v>
      </c>
      <c r="V233" s="271">
        <v>1.3</v>
      </c>
      <c r="W233" s="307">
        <f>SUMIFS(Таблица1[сумма],Таблица1[коэф],"1,3",Таблица1[р/р],"4/24",Таблица1[Ф. И. О.],B231)</f>
        <v>0</v>
      </c>
      <c r="X233" s="313">
        <f t="shared" si="151"/>
        <v>0</v>
      </c>
      <c r="Y233" s="819"/>
      <c r="Z233" s="810"/>
      <c r="AA233" s="813"/>
    </row>
    <row r="234" spans="1:29" ht="19.5" customHeight="1">
      <c r="A234" s="756"/>
      <c r="B234" s="215"/>
      <c r="C234" s="815"/>
      <c r="D234" s="817"/>
      <c r="E234" s="82"/>
      <c r="F234" s="271"/>
      <c r="G234" s="98"/>
      <c r="H234" s="92"/>
      <c r="I234" s="78"/>
      <c r="J234" s="271"/>
      <c r="K234" s="216"/>
      <c r="L234" s="29"/>
      <c r="M234" s="334"/>
      <c r="N234" s="216"/>
      <c r="O234" s="216"/>
      <c r="P234" s="216"/>
      <c r="Q234" s="79">
        <f>IF(D226&lt;=3,база!$L$4,
IF(D226=4,база!$L$5,
IF(D226=5,база!$L$6)))</f>
        <v>210.57480000000001</v>
      </c>
      <c r="R234" s="271">
        <v>1.4</v>
      </c>
      <c r="S234" s="98">
        <f>SUMIFS(Таблица1[сумма],Таблица1[коэф],"1,4",Таблица1[р/р],"3/16",Таблица1[Ф. И. О.],B231)</f>
        <v>0</v>
      </c>
      <c r="T234" s="92">
        <f t="shared" ref="T234:T239" si="152">ROUND(Q234*R234*S234,2)</f>
        <v>0</v>
      </c>
      <c r="U234" s="366">
        <f>IF(D226&lt;=3,база!$M$4,
IF(D226=4,база!$M$5,
IF(D226=5,база!$M$6)))</f>
        <v>225.09719999999999</v>
      </c>
      <c r="V234" s="271">
        <v>1.4</v>
      </c>
      <c r="W234" s="307">
        <f>SUMIFS(Таблица1[сумма],Таблица1[коэф],"1,4",Таблица1[р/р],"3/24",Таблица1[Ф. И. О.],B231)</f>
        <v>0</v>
      </c>
      <c r="X234" s="313">
        <f>ROUND(U234*V234*W234,2)</f>
        <v>0</v>
      </c>
      <c r="Y234" s="819"/>
      <c r="Z234" s="810"/>
      <c r="AA234" s="813"/>
    </row>
    <row r="235" spans="1:29" ht="19.5" customHeight="1">
      <c r="A235" s="756"/>
      <c r="B235" s="215"/>
      <c r="C235" s="815"/>
      <c r="D235" s="817"/>
      <c r="E235" s="82"/>
      <c r="F235" s="271"/>
      <c r="G235" s="98"/>
      <c r="H235" s="92"/>
      <c r="I235" s="78"/>
      <c r="J235" s="271"/>
      <c r="K235" s="216"/>
      <c r="L235" s="29"/>
      <c r="M235" s="334"/>
      <c r="N235" s="216"/>
      <c r="O235" s="216"/>
      <c r="P235" s="216"/>
      <c r="Q235" s="79">
        <f>база!$L$5</f>
        <v>231.45480000000001</v>
      </c>
      <c r="R235" s="271">
        <v>1.4</v>
      </c>
      <c r="S235" s="98">
        <f>SUMIFS(Таблица1[сумма],Таблица1[коэф],"1,4",Таблица1[р/р],"4/16",Таблица1[Ф. И. О.],B231)</f>
        <v>0</v>
      </c>
      <c r="T235" s="92">
        <f t="shared" si="152"/>
        <v>0</v>
      </c>
      <c r="U235" s="366">
        <f>база!$M$5</f>
        <v>247.41720000000001</v>
      </c>
      <c r="V235" s="271">
        <v>1.4</v>
      </c>
      <c r="W235" s="307">
        <f>SUMIFS(Таблица1[сумма],Таблица1[коэф],"1,4",Таблица1[р/р],"4/24",Таблица1[Ф. И. О.],B231)</f>
        <v>0</v>
      </c>
      <c r="X235" s="313">
        <f>ROUND(U235*V235*W235,2)</f>
        <v>0</v>
      </c>
      <c r="Y235" s="819"/>
      <c r="Z235" s="810"/>
      <c r="AA235" s="813"/>
    </row>
    <row r="236" spans="1:29" ht="19.5" customHeight="1" thickBot="1">
      <c r="A236" s="757"/>
      <c r="B236" s="202"/>
      <c r="C236" s="816"/>
      <c r="D236" s="818"/>
      <c r="E236" s="220"/>
      <c r="F236" s="273"/>
      <c r="G236" s="97"/>
      <c r="H236" s="238"/>
      <c r="I236" s="101"/>
      <c r="J236" s="273"/>
      <c r="K236" s="288"/>
      <c r="L236" s="26"/>
      <c r="M236" s="348"/>
      <c r="N236" s="288"/>
      <c r="O236" s="288"/>
      <c r="P236" s="288"/>
      <c r="Q236" s="77">
        <f>база!$L$6</f>
        <v>261.04640000000001</v>
      </c>
      <c r="R236" s="273">
        <v>1.4</v>
      </c>
      <c r="S236" s="97">
        <f>SUMIFS(Таблица1[сумма],Таблица1[коэф],"1,4",Таблица1[р/р],"5/16",Таблица1[Ф. И. О.],B231)</f>
        <v>0</v>
      </c>
      <c r="T236" s="238">
        <f t="shared" si="152"/>
        <v>0</v>
      </c>
      <c r="U236" s="367">
        <f>база!$M$6</f>
        <v>279.0496</v>
      </c>
      <c r="V236" s="273">
        <v>1.4</v>
      </c>
      <c r="W236" s="312">
        <f>SUMIFS(Таблица1[сумма],Таблица1[коэф],"1,4",Таблица1[р/р],"5/24",Таблица1[Ф. И. О.],B231)</f>
        <v>0</v>
      </c>
      <c r="X236" s="343">
        <f>ROUND(U236*V236*W236,2)</f>
        <v>0</v>
      </c>
      <c r="Y236" s="820"/>
      <c r="Z236" s="811"/>
      <c r="AA236" s="814"/>
    </row>
    <row r="237" spans="1:29" ht="18.75" customHeight="1">
      <c r="A237" s="755">
        <v>22</v>
      </c>
      <c r="B237" s="215"/>
      <c r="C237" s="821">
        <f>INDEX(база!$E$2:$E$81, MATCH(B242,база!$B$2:$B$50,0))</f>
        <v>15340</v>
      </c>
      <c r="D237" s="822">
        <f>INDEX(база!$D$2:$D$89, MATCH(B242,база!$B$2:$B$50,0))</f>
        <v>3</v>
      </c>
      <c r="E237" s="72">
        <f>IF(D237&lt;=3,база!$I$4,
IF(D237=4,база!$I$5,
IF(D237=5,база!$I$6)))</f>
        <v>188.7912</v>
      </c>
      <c r="F237" s="269">
        <v>1</v>
      </c>
      <c r="G237" s="95">
        <f>SUMIFS(Таблица1[сумма],Таблица1[коэф],"1",Таблица1[р/р],"2/4",Таблица1[Ф. И. О.],B242)</f>
        <v>0</v>
      </c>
      <c r="H237" s="87">
        <f>ROUND(E237*F237*G237,2)</f>
        <v>0</v>
      </c>
      <c r="I237" s="81">
        <f>IF(D237&lt;=3,база!$J$4,
IF(D237=4,база!$J$5,
IF(D237=5,база!$J$6)))</f>
        <v>196.05240000000001</v>
      </c>
      <c r="J237" s="270">
        <v>1</v>
      </c>
      <c r="K237" s="309">
        <f>SUMIFS(Таблица1[сумма],Таблица1[коэф],"1",Таблица1[р/р],"2/8",Таблица1[Ф. И. О.],B242)</f>
        <v>0</v>
      </c>
      <c r="L237" s="309">
        <f>ROUND(I237*J237*K237,2)</f>
        <v>0</v>
      </c>
      <c r="M237" s="309"/>
      <c r="N237" s="309">
        <v>1</v>
      </c>
      <c r="O237" s="309">
        <f>SUMIFS(Data_Tech!$AM$3:$AM$67,Data_Tech!$E$3:$E$67,"1",Data_Tech!$G$3:$G$67,"3/12",Data_Tech!$F$3:$F$67,B242)</f>
        <v>0</v>
      </c>
      <c r="P237" s="281">
        <f>ROUND(M237*N237*O237,2)</f>
        <v>0</v>
      </c>
      <c r="Q237" s="72">
        <f>IF(D237&lt;=3,база!$L$4,
IF(D237=4,база!$L$5,
IF(D237=5,база!$L$6)))</f>
        <v>210.57480000000001</v>
      </c>
      <c r="R237" s="269">
        <v>1</v>
      </c>
      <c r="S237" s="95">
        <f>SUMIFS(Таблица1[сумма],Таблица1[коэф],"1",Таблица1[р/р],"3/16",Таблица1[Ф. И. О.],B242)</f>
        <v>0</v>
      </c>
      <c r="T237" s="87">
        <f t="shared" si="152"/>
        <v>0</v>
      </c>
      <c r="U237" s="368">
        <f>IF(D237&lt;=3,база!$M$4,
IF(D237=4,база!$M$5,
IF(D237=5,база!$M$6)))</f>
        <v>225.09719999999999</v>
      </c>
      <c r="V237" s="270">
        <v>1</v>
      </c>
      <c r="W237" s="337">
        <f>SUMIFS(Таблица1[сумма],Таблица1[коэф],"1",Таблица1[р/р],"3/24",Таблица1[Ф. И. О.],B242)</f>
        <v>0</v>
      </c>
      <c r="X237" s="342">
        <f>ROUND(U237*V237*W237,2)</f>
        <v>0</v>
      </c>
      <c r="Y237" s="819">
        <f t="shared" ref="Y237" si="153">SUM(G237:G247,K237:K247,O237:O247,S237:S247,W237:W247)</f>
        <v>0</v>
      </c>
      <c r="Z237" s="810">
        <f t="shared" ref="Z237" si="154">IFERROR(SUM(H237:H247,L237:L247,T237:T247,X237:X247),"")</f>
        <v>0</v>
      </c>
      <c r="AA237" s="813"/>
    </row>
    <row r="238" spans="1:29" ht="18.75" customHeight="1">
      <c r="A238" s="756"/>
      <c r="B238" s="215"/>
      <c r="C238" s="815"/>
      <c r="D238" s="817"/>
      <c r="E238" s="78">
        <f>IF(D237&lt;=3,база!$I$4,
IF(D237=4,база!$I$5,
IF(D237=5,база!$I$6)))</f>
        <v>188.7912</v>
      </c>
      <c r="F238" s="271">
        <v>1</v>
      </c>
      <c r="G238" s="98">
        <f>SUMIFS(Таблица1[сумма],Таблица1[коэф],"1",Таблица1[р/р],"3/4",Таблица1[Ф. И. О.],B242)</f>
        <v>0</v>
      </c>
      <c r="H238" s="94">
        <f>ROUND(E238*F238*G238,2)</f>
        <v>0</v>
      </c>
      <c r="I238" s="82">
        <f>IF(D237&lt;=3,база!$J$4,
IF(D237=4,база!$J$5,
IF(D237=5,база!$J$6)))</f>
        <v>196.05240000000001</v>
      </c>
      <c r="J238" s="271">
        <v>1</v>
      </c>
      <c r="K238" s="216">
        <f>SUMIFS(Таблица1[сумма],Таблица1[коэф],"1",Таблица1[р/р],"3/8",Таблица1[Ф. И. О.],B242)</f>
        <v>0</v>
      </c>
      <c r="L238" s="216">
        <f>ROUND(I238*J238*K238,2)</f>
        <v>0</v>
      </c>
      <c r="M238" s="216"/>
      <c r="N238" s="216">
        <v>1</v>
      </c>
      <c r="O238" s="216">
        <f>SUMIFS(Data_Tech!$AM$3:$AM$67,Data_Tech!$E$3:$E$67,"1",Data_Tech!$G$3:$G$67,"4/12",Data_Tech!$F$3:$F$67,B242)</f>
        <v>0</v>
      </c>
      <c r="P238" s="30">
        <f>ROUND(M238*O238,2)</f>
        <v>0</v>
      </c>
      <c r="Q238" s="78">
        <f>база!$L$5</f>
        <v>231.45480000000001</v>
      </c>
      <c r="R238" s="271">
        <v>1</v>
      </c>
      <c r="S238" s="98">
        <f>SUMIFS(Таблица1[сумма],Таблица1[коэф],"1",Таблица1[р/р],"4/16",Таблица1[Ф. И. О.],B242)</f>
        <v>0</v>
      </c>
      <c r="T238" s="94">
        <f t="shared" si="152"/>
        <v>0</v>
      </c>
      <c r="U238" s="361">
        <f>база!$M$5</f>
        <v>247.41720000000001</v>
      </c>
      <c r="V238" s="271">
        <v>1</v>
      </c>
      <c r="W238" s="307">
        <f>SUMIFS(Таблица1[сумма],Таблица1[коэф],"1",Таблица1[р/р],"4/24",Таблица1[Ф. И. О.],B242)</f>
        <v>0</v>
      </c>
      <c r="X238" s="313">
        <f t="shared" ref="X238" si="155">ROUND(U238*V238*W238,2)</f>
        <v>0</v>
      </c>
      <c r="Y238" s="819"/>
      <c r="Z238" s="810"/>
      <c r="AA238" s="813"/>
    </row>
    <row r="239" spans="1:29" ht="18.75" customHeight="1">
      <c r="A239" s="756"/>
      <c r="B239" s="215"/>
      <c r="C239" s="815"/>
      <c r="D239" s="817"/>
      <c r="E239" s="78"/>
      <c r="F239" s="271"/>
      <c r="G239" s="98"/>
      <c r="H239" s="94"/>
      <c r="I239" s="82"/>
      <c r="J239" s="271"/>
      <c r="K239" s="216"/>
      <c r="L239" s="216"/>
      <c r="M239" s="216"/>
      <c r="N239" s="216"/>
      <c r="O239" s="216"/>
      <c r="P239" s="30"/>
      <c r="Q239" s="78">
        <f>база!$L$6</f>
        <v>261.04640000000001</v>
      </c>
      <c r="R239" s="271">
        <v>1</v>
      </c>
      <c r="S239" s="98">
        <f>SUMIFS(Таблица1[сумма],Таблица1[коэф],"1",Таблица1[р/р],"5/16",Таблица1[Ф. И. О.],B242)</f>
        <v>0</v>
      </c>
      <c r="T239" s="94">
        <f t="shared" si="152"/>
        <v>0</v>
      </c>
      <c r="U239" s="361">
        <f>база!$M$6</f>
        <v>279.0496</v>
      </c>
      <c r="V239" s="271">
        <v>1</v>
      </c>
      <c r="W239" s="307">
        <f>SUMIFS(Таблица1[сумма],Таблица1[коэф],"1",Таблица1[р/р],"5/24",Таблица1[Ф. И. О.],B242)</f>
        <v>0</v>
      </c>
      <c r="X239" s="313">
        <f>ROUND(U239*V239*W239,2)</f>
        <v>0</v>
      </c>
      <c r="Y239" s="819"/>
      <c r="Z239" s="810"/>
      <c r="AA239" s="813"/>
    </row>
    <row r="240" spans="1:29" ht="19.5" customHeight="1">
      <c r="A240" s="756"/>
      <c r="B240" s="215"/>
      <c r="C240" s="815"/>
      <c r="D240" s="817"/>
      <c r="E240" s="78"/>
      <c r="F240" s="271"/>
      <c r="G240" s="98"/>
      <c r="H240" s="94"/>
      <c r="I240" s="82">
        <f>база!$J$5</f>
        <v>215.4924</v>
      </c>
      <c r="J240" s="271">
        <v>1.5</v>
      </c>
      <c r="K240" s="216">
        <f>SUMIFS(Таблица1[сумма],Таблица1[коэф],"1,5",Таблица1[р/р],"4/8",Таблица1[Ф. И. О.],B242)</f>
        <v>0</v>
      </c>
      <c r="L240" s="216">
        <f>ROUND(I240*J240*K240,2)</f>
        <v>0</v>
      </c>
      <c r="M240" s="216"/>
      <c r="N240" s="216"/>
      <c r="O240" s="216"/>
      <c r="P240" s="30"/>
      <c r="Q240" s="78">
        <f>IF(D237&lt;=3,база!$L$4,
IF(D237=4,база!$L$5,
IF(D237=5,база!$L$6)))</f>
        <v>210.57480000000001</v>
      </c>
      <c r="R240" s="271">
        <v>1.2</v>
      </c>
      <c r="S240" s="98">
        <f>SUMIFS(Таблица1[сумма],Таблица1[коэф],"1,2",Таблица1[р/р],"3/16",Таблица1[Ф. И. О.],B242)</f>
        <v>0</v>
      </c>
      <c r="T240" s="94">
        <f t="shared" ref="T240:T241" si="156">ROUND(Q240*R240*S240,2)</f>
        <v>0</v>
      </c>
      <c r="U240" s="361">
        <f>IF(D237&lt;=3,база!$M$4,
IF(D237=4,база!$M$5,
IF(D237=5,база!$M$6)))</f>
        <v>225.09719999999999</v>
      </c>
      <c r="V240" s="271">
        <v>1.2</v>
      </c>
      <c r="W240" s="307">
        <f>SUMIFS(Таблица1[сумма],Таблица1[коэф],"1,2",Таблица1[р/р],"3/24",Таблица1[Ф. И. О.],B242)</f>
        <v>0</v>
      </c>
      <c r="X240" s="313">
        <f t="shared" ref="X240:X241" si="157">ROUND(U240*V240*W240,2)</f>
        <v>0</v>
      </c>
      <c r="Y240" s="819"/>
      <c r="Z240" s="810"/>
      <c r="AA240" s="813"/>
    </row>
    <row r="241" spans="1:29" ht="19.5" customHeight="1">
      <c r="A241" s="756"/>
      <c r="B241" s="215"/>
      <c r="C241" s="815"/>
      <c r="D241" s="817"/>
      <c r="E241" s="78"/>
      <c r="F241" s="271"/>
      <c r="G241" s="98"/>
      <c r="H241" s="94"/>
      <c r="I241" s="82">
        <f>база!$J$6</f>
        <v>243.04319999999998</v>
      </c>
      <c r="J241" s="271">
        <v>1.5</v>
      </c>
      <c r="K241" s="216">
        <f>SUMIFS(Таблица1[сумма],Таблица1[коэф],"1,5",Таблица1[р/р],"5/8",Таблица1[Ф. И. О.],B242)</f>
        <v>0</v>
      </c>
      <c r="L241" s="216">
        <f>ROUND(I241*J241*K241,2)</f>
        <v>0</v>
      </c>
      <c r="M241" s="216"/>
      <c r="N241" s="216"/>
      <c r="O241" s="216"/>
      <c r="P241" s="30"/>
      <c r="Q241" s="78">
        <f>база!$L$5</f>
        <v>231.45480000000001</v>
      </c>
      <c r="R241" s="271">
        <v>1.2</v>
      </c>
      <c r="S241" s="98">
        <f>SUMIFS(Таблица1[сумма],Таблица1[коэф],"1,2",Таблица1[р/р],"4/16",Таблица1[Ф. И. О.],B242)</f>
        <v>0</v>
      </c>
      <c r="T241" s="94">
        <f t="shared" si="156"/>
        <v>0</v>
      </c>
      <c r="U241" s="361">
        <f>база!$M$5</f>
        <v>247.41720000000001</v>
      </c>
      <c r="V241" s="271">
        <v>1.2</v>
      </c>
      <c r="W241" s="307">
        <f>SUMIFS(Таблица1[сумма],Таблица1[коэф],"1,2",Таблица1[р/р],"4/24",Таблица1[Ф. И. О.],B242)</f>
        <v>0</v>
      </c>
      <c r="X241" s="313">
        <f t="shared" si="157"/>
        <v>0</v>
      </c>
      <c r="Y241" s="819"/>
      <c r="Z241" s="810"/>
      <c r="AA241" s="813"/>
      <c r="AC241" s="707" t="str">
        <f>IF(SUMIFS(Таблица1[Столбец2],Таблица1[Ф. И. О.],B242)-Z237=0,"",SUMIFS(Таблица1[Столбец2],Таблица1[Ф. И. О.],B242)-Z237)</f>
        <v/>
      </c>
    </row>
    <row r="242" spans="1:29" ht="19.5" customHeight="1">
      <c r="A242" s="756"/>
      <c r="B242" s="215" t="str">
        <f>база!B23</f>
        <v>Ерошина Ирина Павловна</v>
      </c>
      <c r="C242" s="815"/>
      <c r="D242" s="817"/>
      <c r="E242" s="78"/>
      <c r="F242" s="271"/>
      <c r="G242" s="98"/>
      <c r="H242" s="94"/>
      <c r="I242" s="82"/>
      <c r="J242" s="271"/>
      <c r="K242" s="216"/>
      <c r="L242" s="216"/>
      <c r="M242" s="216"/>
      <c r="N242" s="216"/>
      <c r="O242" s="216"/>
      <c r="P242" s="30"/>
      <c r="Q242" s="78">
        <f>база!$L$6</f>
        <v>261.04640000000001</v>
      </c>
      <c r="R242" s="271">
        <v>1.2</v>
      </c>
      <c r="S242" s="98">
        <f>SUMIFS(Таблица1[сумма],Таблица1[коэф],"1,2",Таблица1[р/р],"5/16",Таблица1[Ф. И. О.],B242)</f>
        <v>0</v>
      </c>
      <c r="T242" s="94">
        <f>ROUND(Q242*R242*S242,2)</f>
        <v>0</v>
      </c>
      <c r="U242" s="361">
        <f>база!$M$6</f>
        <v>279.0496</v>
      </c>
      <c r="V242" s="271">
        <v>1.2</v>
      </c>
      <c r="W242" s="307">
        <f>SUMIFS(Таблица1[сумма],Таблица1[коэф],"1,2",Таблица1[р/р],"5/24",Таблица1[Ф. И. О.],B242)</f>
        <v>0</v>
      </c>
      <c r="X242" s="313">
        <f>ROUND(U242*V242*W242,2)</f>
        <v>0</v>
      </c>
      <c r="Y242" s="819"/>
      <c r="Z242" s="810"/>
      <c r="AA242" s="813"/>
      <c r="AC242" s="707" t="str">
        <f>IF(SUMIFS(Таблица1[сумма],Таблица1[Ф. И. О.],B242)=Y237,"",B237&amp;"  часы не верны")</f>
        <v/>
      </c>
    </row>
    <row r="243" spans="1:29" ht="19.5" customHeight="1">
      <c r="A243" s="756"/>
      <c r="B243" s="215"/>
      <c r="C243" s="815"/>
      <c r="D243" s="817"/>
      <c r="E243" s="78"/>
      <c r="F243" s="271"/>
      <c r="G243" s="98"/>
      <c r="H243" s="94"/>
      <c r="I243" s="82"/>
      <c r="J243" s="271"/>
      <c r="K243" s="216"/>
      <c r="L243" s="216"/>
      <c r="M243" s="216"/>
      <c r="N243" s="216"/>
      <c r="O243" s="216"/>
      <c r="P243" s="30"/>
      <c r="Q243" s="78">
        <f>IF($D$6&lt;=3,база!$L$4,
IF($D$6=4,база!$L$5,
IF($D$6=5,база!$L$6)))</f>
        <v>231.45480000000001</v>
      </c>
      <c r="R243" s="271">
        <v>1.3</v>
      </c>
      <c r="S243" s="98">
        <f>SUMIFS(Таблица1[сумма],Таблица1[коэф],"1,3",Таблица1[р/р],"3/16",Таблица1[Ф. И. О.],B242)</f>
        <v>0</v>
      </c>
      <c r="T243" s="94">
        <f t="shared" ref="T243:T244" si="158">ROUND(Q243*R243*S243,2)</f>
        <v>0</v>
      </c>
      <c r="U243" s="361">
        <f>IF(D237&lt;=3,база!$M$4,
IF(D237=4,база!$M$5,
IF(D237=5,база!$M$6)))</f>
        <v>225.09719999999999</v>
      </c>
      <c r="V243" s="271">
        <v>1.3</v>
      </c>
      <c r="W243" s="307">
        <f>SUMIFS(Таблица1[сумма],Таблица1[коэф],"1,3",Таблица1[р/р],"3/24",Таблица1[Ф. И. О.],B242)</f>
        <v>0</v>
      </c>
      <c r="X243" s="313">
        <f t="shared" ref="X243:X244" si="159">ROUND(U243*V243*W243,2)</f>
        <v>0</v>
      </c>
      <c r="Y243" s="819"/>
      <c r="Z243" s="810"/>
      <c r="AA243" s="813"/>
    </row>
    <row r="244" spans="1:29" ht="19.5" customHeight="1">
      <c r="A244" s="756"/>
      <c r="B244" s="215"/>
      <c r="C244" s="815"/>
      <c r="D244" s="817"/>
      <c r="E244" s="78"/>
      <c r="F244" s="271"/>
      <c r="G244" s="98"/>
      <c r="H244" s="94"/>
      <c r="I244" s="82"/>
      <c r="J244" s="271"/>
      <c r="K244" s="216"/>
      <c r="L244" s="216"/>
      <c r="M244" s="216"/>
      <c r="N244" s="216"/>
      <c r="O244" s="216"/>
      <c r="P244" s="30"/>
      <c r="Q244" s="78">
        <f>база!$L$5</f>
        <v>231.45480000000001</v>
      </c>
      <c r="R244" s="271">
        <v>1.3</v>
      </c>
      <c r="S244" s="98">
        <f>SUMIFS(Таблица1[сумма],Таблица1[коэф],"1,3",Таблица1[р/р],"4/16",Таблица1[Ф. И. О.],B242)</f>
        <v>0</v>
      </c>
      <c r="T244" s="94">
        <f t="shared" si="158"/>
        <v>0</v>
      </c>
      <c r="U244" s="361">
        <f>база!$M$5</f>
        <v>247.41720000000001</v>
      </c>
      <c r="V244" s="271">
        <v>1.3</v>
      </c>
      <c r="W244" s="307">
        <f>SUMIFS(Таблица1[сумма],Таблица1[коэф],"1,3",Таблица1[р/р],"4/24",Таблица1[Ф. И. О.],B242)</f>
        <v>0</v>
      </c>
      <c r="X244" s="313">
        <f t="shared" si="159"/>
        <v>0</v>
      </c>
      <c r="Y244" s="819"/>
      <c r="Z244" s="810"/>
      <c r="AA244" s="813"/>
    </row>
    <row r="245" spans="1:29" ht="19.5" customHeight="1">
      <c r="A245" s="756"/>
      <c r="B245" s="215"/>
      <c r="C245" s="815"/>
      <c r="D245" s="817"/>
      <c r="E245" s="78"/>
      <c r="F245" s="271"/>
      <c r="G245" s="98"/>
      <c r="H245" s="94"/>
      <c r="I245" s="82"/>
      <c r="J245" s="271"/>
      <c r="K245" s="216"/>
      <c r="L245" s="216"/>
      <c r="M245" s="216"/>
      <c r="N245" s="216"/>
      <c r="O245" s="216"/>
      <c r="P245" s="30"/>
      <c r="Q245" s="78">
        <f>IF(D237&lt;=3,база!$L$4,
IF(D237=4,база!$L$5,
IF(D237=5,база!$L$6)))</f>
        <v>210.57480000000001</v>
      </c>
      <c r="R245" s="271">
        <v>1.4</v>
      </c>
      <c r="S245" s="98">
        <f>SUMIFS(Таблица1[сумма],Таблица1[коэф],"1,4",Таблица1[р/р],"3/16",Таблица1[Ф. И. О.],B242)</f>
        <v>0</v>
      </c>
      <c r="T245" s="94">
        <f t="shared" ref="T245:T261" si="160">ROUND(Q245*R245*S245,2)</f>
        <v>0</v>
      </c>
      <c r="U245" s="361">
        <f>IF(D237&lt;=3,база!$M$4,
IF(D237=4,база!$M$5,
IF(D237=5,база!$M$6)))</f>
        <v>225.09719999999999</v>
      </c>
      <c r="V245" s="271">
        <v>1.4</v>
      </c>
      <c r="W245" s="307">
        <f>SUMIFS(Таблица1[сумма],Таблица1[коэф],"1,4",Таблица1[р/р],"3/24",Таблица1[Ф. И. О.],B242)</f>
        <v>0</v>
      </c>
      <c r="X245" s="313">
        <f>ROUND(U245*V245*W245,2)</f>
        <v>0</v>
      </c>
      <c r="Y245" s="819"/>
      <c r="Z245" s="810"/>
      <c r="AA245" s="813"/>
    </row>
    <row r="246" spans="1:29" ht="19.5" customHeight="1">
      <c r="A246" s="756"/>
      <c r="B246" s="215"/>
      <c r="C246" s="815"/>
      <c r="D246" s="817"/>
      <c r="E246" s="78"/>
      <c r="F246" s="271"/>
      <c r="G246" s="98"/>
      <c r="H246" s="94"/>
      <c r="I246" s="82"/>
      <c r="J246" s="271"/>
      <c r="K246" s="216"/>
      <c r="L246" s="216"/>
      <c r="M246" s="216"/>
      <c r="N246" s="216"/>
      <c r="O246" s="216"/>
      <c r="P246" s="30"/>
      <c r="Q246" s="78">
        <f>база!$L$5</f>
        <v>231.45480000000001</v>
      </c>
      <c r="R246" s="271">
        <v>1.4</v>
      </c>
      <c r="S246" s="98">
        <f>SUMIFS(Таблица1[сумма],Таблица1[коэф],"1,4",Таблица1[р/р],"4/16",Таблица1[Ф. И. О.],B242)</f>
        <v>0</v>
      </c>
      <c r="T246" s="94">
        <f t="shared" si="160"/>
        <v>0</v>
      </c>
      <c r="U246" s="361">
        <f>база!$M$5</f>
        <v>247.41720000000001</v>
      </c>
      <c r="V246" s="271">
        <v>1.4</v>
      </c>
      <c r="W246" s="307">
        <f>SUMIFS(Таблица1[сумма],Таблица1[коэф],"1,4",Таблица1[р/р],"4/24",Таблица1[Ф. И. О.],B242)</f>
        <v>0</v>
      </c>
      <c r="X246" s="313">
        <f>ROUND(U246*V246*W246,2)</f>
        <v>0</v>
      </c>
      <c r="Y246" s="819"/>
      <c r="Z246" s="810"/>
      <c r="AA246" s="813"/>
    </row>
    <row r="247" spans="1:29" ht="19.5" customHeight="1" thickBot="1">
      <c r="A247" s="757"/>
      <c r="B247" s="215"/>
      <c r="C247" s="816"/>
      <c r="D247" s="818"/>
      <c r="E247" s="217"/>
      <c r="F247" s="274"/>
      <c r="G247" s="104"/>
      <c r="H247" s="103"/>
      <c r="I247" s="303"/>
      <c r="J247" s="274"/>
      <c r="K247" s="302"/>
      <c r="L247" s="302"/>
      <c r="M247" s="302"/>
      <c r="N247" s="302"/>
      <c r="O247" s="302"/>
      <c r="P247" s="308"/>
      <c r="Q247" s="217">
        <f>база!$L$6</f>
        <v>261.04640000000001</v>
      </c>
      <c r="R247" s="274">
        <v>1.4</v>
      </c>
      <c r="S247" s="104">
        <f>SUMIFS(Таблица1[сумма],Таблица1[коэф],"1,4",Таблица1[р/р],"5/16",Таблица1[Ф. И. О.],B242)</f>
        <v>0</v>
      </c>
      <c r="T247" s="103">
        <f t="shared" si="160"/>
        <v>0</v>
      </c>
      <c r="U247" s="362">
        <f>база!$M$6</f>
        <v>279.0496</v>
      </c>
      <c r="V247" s="274">
        <v>1.4</v>
      </c>
      <c r="W247" s="333">
        <f>SUMIFS(Таблица1[сумма],Таблица1[коэф],"1,4",Таблица1[р/р],"5/24",Таблица1[Ф. И. О.],B242)</f>
        <v>0</v>
      </c>
      <c r="X247" s="350">
        <f>ROUND(U247*V247*W247,2)</f>
        <v>0</v>
      </c>
      <c r="Y247" s="820"/>
      <c r="Z247" s="811"/>
      <c r="AA247" s="814"/>
    </row>
    <row r="248" spans="1:29" ht="18.75" customHeight="1">
      <c r="A248" s="755">
        <v>23</v>
      </c>
      <c r="B248" s="235"/>
      <c r="C248" s="821">
        <f>INDEX(база!$E$2:$E$81, MATCH(B253,база!$B$2:$B$50,0))</f>
        <v>17309</v>
      </c>
      <c r="D248" s="822">
        <f>INDEX(база!$D$2:$D$89, MATCH(B253,база!$B$2:$B$50,0))</f>
        <v>3</v>
      </c>
      <c r="E248" s="72">
        <f>IF(D248&lt;=3,база!$I$4,
IF(D248=4,база!$I$5,
IF(D248=5,база!$I$6)))</f>
        <v>188.7912</v>
      </c>
      <c r="F248" s="269">
        <v>1</v>
      </c>
      <c r="G248" s="95">
        <f>SUMIFS(Таблица1[сумма],Таблица1[коэф],"1",Таблица1[р/р],"2/4",Таблица1[Ф. И. О.],B253)</f>
        <v>0</v>
      </c>
      <c r="H248" s="87">
        <f>ROUND(E248*F248*G248,2)</f>
        <v>0</v>
      </c>
      <c r="I248" s="338">
        <f>IF(D248&lt;=3,база!$J$4,
IF(D248=4,база!$J$5,
IF(D248=5,база!$J$6)))</f>
        <v>196.05240000000001</v>
      </c>
      <c r="J248" s="276">
        <v>1</v>
      </c>
      <c r="K248" s="287">
        <f>SUMIFS(Таблица1[сумма],Таблица1[коэф],"1",Таблица1[р/р],"2/8",Таблица1[Ф. И. О.],B253)</f>
        <v>0</v>
      </c>
      <c r="L248" s="287">
        <f>ROUND(I248*J248*K248,2)</f>
        <v>0</v>
      </c>
      <c r="M248" s="287"/>
      <c r="N248" s="287">
        <v>1</v>
      </c>
      <c r="O248" s="287">
        <f>SUMIFS(Data_Tech!$AM$3:$AM$67,Data_Tech!$E$3:$E$67,"1",Data_Tech!$G$3:$G$67,"3/12",Data_Tech!$F$3:$F$67,B253)</f>
        <v>0</v>
      </c>
      <c r="P248" s="280">
        <f>ROUND(M248*N248*O248,2)</f>
        <v>0</v>
      </c>
      <c r="Q248" s="72">
        <f>IF(D248&lt;=3,база!$L$4,
IF(D248=4,база!$L$5,
IF(D248=5,база!$L$6)))</f>
        <v>210.57480000000001</v>
      </c>
      <c r="R248" s="269">
        <v>1</v>
      </c>
      <c r="S248" s="95">
        <f>SUMIFS(Таблица1[сумма],Таблица1[коэф],"1",Таблица1[р/р],"3/16",Таблица1[Ф. И. О.],B253)</f>
        <v>0</v>
      </c>
      <c r="T248" s="87">
        <f t="shared" ref="T248:T252" si="161">ROUND(Q248*R248*S248,2)</f>
        <v>0</v>
      </c>
      <c r="U248" s="339">
        <f>IF(D248&lt;=3,база!$M$4,
IF(D248=4,база!$M$5,
IF(D248=5,база!$M$6)))</f>
        <v>225.09719999999999</v>
      </c>
      <c r="V248" s="269">
        <v>1</v>
      </c>
      <c r="W248" s="340">
        <f>SUMIFS(Таблица1[сумма],Таблица1[коэф],"1",Таблица1[р/р],"3/24",Таблица1[Ф. И. О.],B253)</f>
        <v>0</v>
      </c>
      <c r="X248" s="342">
        <f>ROUND(U248*V248*W248,2)</f>
        <v>0</v>
      </c>
      <c r="Y248" s="819">
        <f t="shared" ref="Y248" si="162">SUM(G248:G258,K248:K258,O248:O258,S248:S258,W248:W258)</f>
        <v>0</v>
      </c>
      <c r="Z248" s="810">
        <f t="shared" ref="Z248" si="163">IFERROR(SUM(H248:H258,L248:L258,T248:T258,X248:X258),"")</f>
        <v>0</v>
      </c>
      <c r="AA248" s="813"/>
    </row>
    <row r="249" spans="1:29" ht="18.75" customHeight="1">
      <c r="A249" s="756"/>
      <c r="B249" s="215"/>
      <c r="C249" s="815"/>
      <c r="D249" s="817"/>
      <c r="E249" s="78">
        <f>IF(D248&lt;=3,база!$I$4,
IF(D248=4,база!$I$5,
IF(D248=5,база!$I$6)))</f>
        <v>188.7912</v>
      </c>
      <c r="F249" s="271">
        <v>1</v>
      </c>
      <c r="G249" s="98">
        <f>SUMIFS(Таблица1[сумма],Таблица1[коэф],"1",Таблица1[р/р],"3/4",Таблица1[Ф. И. О.],B253)</f>
        <v>0</v>
      </c>
      <c r="H249" s="94">
        <f>ROUND(E249*F249*G249,2)</f>
        <v>0</v>
      </c>
      <c r="I249" s="334">
        <f>IF(D248&lt;=3,база!$J$4,
IF(D248=4,база!$J$5,
IF(D248=5,база!$J$6)))</f>
        <v>196.05240000000001</v>
      </c>
      <c r="J249" s="278">
        <v>1</v>
      </c>
      <c r="K249" s="216">
        <f>SUMIFS(Таблица1[сумма],Таблица1[коэф],"1",Таблица1[р/р],"3/8",Таблица1[Ф. И. О.],B253)</f>
        <v>0</v>
      </c>
      <c r="L249" s="216">
        <f>ROUND(I249*J249*K249,2)</f>
        <v>0</v>
      </c>
      <c r="M249" s="216"/>
      <c r="N249" s="216">
        <v>1</v>
      </c>
      <c r="O249" s="216">
        <f>SUMIFS(Data_Tech!$AM$3:$AM$67,Data_Tech!$E$3:$E$67,"1",Data_Tech!$G$3:$G$67,"4/12",Data_Tech!$F$3:$F$67,B253)</f>
        <v>0</v>
      </c>
      <c r="P249" s="30">
        <f>ROUND(M249*O249,2)</f>
        <v>0</v>
      </c>
      <c r="Q249" s="78">
        <f>база!$L$5</f>
        <v>231.45480000000001</v>
      </c>
      <c r="R249" s="271">
        <v>1</v>
      </c>
      <c r="S249" s="98">
        <f>SUMIFS(Таблица1[сумма],Таблица1[коэф],"1",Таблица1[р/р],"4/16",Таблица1[Ф. И. О.],B253)</f>
        <v>0</v>
      </c>
      <c r="T249" s="94">
        <f t="shared" si="161"/>
        <v>0</v>
      </c>
      <c r="U249" s="314">
        <f>база!$M$5</f>
        <v>247.41720000000001</v>
      </c>
      <c r="V249" s="271">
        <v>1</v>
      </c>
      <c r="W249" s="307">
        <f>SUMIFS(Таблица1[сумма],Таблица1[коэф],"1",Таблица1[р/р],"4/24",Таблица1[Ф. И. О.],B253)</f>
        <v>0</v>
      </c>
      <c r="X249" s="313">
        <f t="shared" ref="X249" si="164">ROUND(U249*V249*W249,2)</f>
        <v>0</v>
      </c>
      <c r="Y249" s="819"/>
      <c r="Z249" s="810"/>
      <c r="AA249" s="813"/>
    </row>
    <row r="250" spans="1:29" ht="19.5" customHeight="1">
      <c r="A250" s="756"/>
      <c r="B250" s="215"/>
      <c r="C250" s="815"/>
      <c r="D250" s="817"/>
      <c r="E250" s="78"/>
      <c r="F250" s="271"/>
      <c r="G250" s="98"/>
      <c r="H250" s="94"/>
      <c r="I250" s="334"/>
      <c r="J250" s="278"/>
      <c r="K250" s="216"/>
      <c r="L250" s="216"/>
      <c r="M250" s="216"/>
      <c r="N250" s="216"/>
      <c r="O250" s="216"/>
      <c r="P250" s="30"/>
      <c r="Q250" s="78">
        <f>база!$L$6</f>
        <v>261.04640000000001</v>
      </c>
      <c r="R250" s="271">
        <v>1</v>
      </c>
      <c r="S250" s="98">
        <f>SUMIFS(Таблица1[сумма],Таблица1[коэф],"1",Таблица1[р/р],"5/16",Таблица1[Ф. И. О.],B253)</f>
        <v>0</v>
      </c>
      <c r="T250" s="94">
        <f t="shared" si="161"/>
        <v>0</v>
      </c>
      <c r="U250" s="314">
        <f>база!$M$6</f>
        <v>279.0496</v>
      </c>
      <c r="V250" s="271">
        <v>1</v>
      </c>
      <c r="W250" s="307">
        <f>SUMIFS(Таблица1[сумма],Таблица1[коэф],"1",Таблица1[р/р],"5/24",Таблица1[Ф. И. О.],B253)</f>
        <v>0</v>
      </c>
      <c r="X250" s="313">
        <f>ROUND(U250*V250*W250,2)</f>
        <v>0</v>
      </c>
      <c r="Y250" s="819"/>
      <c r="Z250" s="810"/>
      <c r="AA250" s="813"/>
    </row>
    <row r="251" spans="1:29" ht="19.5" customHeight="1">
      <c r="A251" s="756"/>
      <c r="B251" s="215"/>
      <c r="C251" s="815"/>
      <c r="D251" s="817"/>
      <c r="E251" s="78"/>
      <c r="F251" s="271"/>
      <c r="G251" s="98"/>
      <c r="H251" s="94"/>
      <c r="I251" s="334">
        <f>база!$J$5</f>
        <v>215.4924</v>
      </c>
      <c r="J251" s="278">
        <v>1.5</v>
      </c>
      <c r="K251" s="216">
        <f>SUMIFS(Таблица1[сумма],Таблица1[коэф],"1,5",Таблица1[р/р],"4/8",Таблица1[Ф. И. О.],B253)</f>
        <v>0</v>
      </c>
      <c r="L251" s="216">
        <f>ROUND(I251*J251*K251,2)</f>
        <v>0</v>
      </c>
      <c r="M251" s="216"/>
      <c r="N251" s="216"/>
      <c r="O251" s="216"/>
      <c r="P251" s="30"/>
      <c r="Q251" s="78">
        <f>IF(D248&lt;=3,база!$L$4,
IF(D248=4,база!$L$5,
IF(D248=5,база!$L$6)))</f>
        <v>210.57480000000001</v>
      </c>
      <c r="R251" s="271">
        <v>1.2</v>
      </c>
      <c r="S251" s="98">
        <f>SUMIFS(Таблица1[сумма],Таблица1[коэф],"1,2",Таблица1[р/р],"3/16",Таблица1[Ф. И. О.],B253)</f>
        <v>0</v>
      </c>
      <c r="T251" s="94">
        <f t="shared" si="161"/>
        <v>0</v>
      </c>
      <c r="U251" s="314">
        <f>IF(D248&lt;=3,база!$M$4,
IF(D248=4,база!$M$5,
IF(D248=5,база!$M$6)))</f>
        <v>225.09719999999999</v>
      </c>
      <c r="V251" s="271">
        <v>1.2</v>
      </c>
      <c r="W251" s="307">
        <f>SUMIFS(Таблица1[сумма],Таблица1[коэф],"1,2",Таблица1[р/р],"3/24",Таблица1[Ф. И. О.],B253)</f>
        <v>0</v>
      </c>
      <c r="X251" s="313">
        <f t="shared" ref="X251:X252" si="165">ROUND(U251*V251*W251,2)</f>
        <v>0</v>
      </c>
      <c r="Y251" s="819"/>
      <c r="Z251" s="810"/>
      <c r="AA251" s="813"/>
    </row>
    <row r="252" spans="1:29" ht="19.5" customHeight="1">
      <c r="A252" s="756"/>
      <c r="B252" s="215"/>
      <c r="C252" s="815"/>
      <c r="D252" s="817"/>
      <c r="E252" s="78"/>
      <c r="F252" s="271"/>
      <c r="G252" s="98"/>
      <c r="H252" s="94"/>
      <c r="I252" s="334">
        <f>база!$J$6</f>
        <v>243.04319999999998</v>
      </c>
      <c r="J252" s="278">
        <v>1.5</v>
      </c>
      <c r="K252" s="216">
        <f>SUMIFS(Таблица1[сумма],Таблица1[коэф],"1,5",Таблица1[р/р],"5/8",Таблица1[Ф. И. О.],B253)</f>
        <v>0</v>
      </c>
      <c r="L252" s="216">
        <f>ROUND(I252*J252*K252,2)</f>
        <v>0</v>
      </c>
      <c r="M252" s="216"/>
      <c r="N252" s="216"/>
      <c r="O252" s="216"/>
      <c r="P252" s="30"/>
      <c r="Q252" s="78">
        <f>база!$L$5</f>
        <v>231.45480000000001</v>
      </c>
      <c r="R252" s="271">
        <v>1.2</v>
      </c>
      <c r="S252" s="98">
        <f>SUMIFS(Таблица1[сумма],Таблица1[коэф],"1,2",Таблица1[р/р],"4/16",Таблица1[Ф. И. О.],B253)</f>
        <v>0</v>
      </c>
      <c r="T252" s="94">
        <f t="shared" si="161"/>
        <v>0</v>
      </c>
      <c r="U252" s="314">
        <f>база!$M$5</f>
        <v>247.41720000000001</v>
      </c>
      <c r="V252" s="271">
        <v>1.2</v>
      </c>
      <c r="W252" s="307">
        <f>SUMIFS(Таблица1[сумма],Таблица1[коэф],"1,2",Таблица1[р/р],"4/24",Таблица1[Ф. И. О.],B253)</f>
        <v>0</v>
      </c>
      <c r="X252" s="313">
        <f t="shared" si="165"/>
        <v>0</v>
      </c>
      <c r="Y252" s="819"/>
      <c r="Z252" s="810"/>
      <c r="AA252" s="813"/>
      <c r="AC252" s="707" t="str">
        <f>IF(SUMIFS(Таблица1[Столбец2],Таблица1[Ф. И. О.],B253)-Z248=0,"",SUMIFS(Таблица1[Столбец2],Таблица1[Ф. И. О.],B253)-Z248)</f>
        <v/>
      </c>
    </row>
    <row r="253" spans="1:29" ht="19.5" customHeight="1">
      <c r="A253" s="756"/>
      <c r="B253" s="215" t="str">
        <f>база!B24</f>
        <v>Ескина Ксения Анатольевна</v>
      </c>
      <c r="C253" s="815"/>
      <c r="D253" s="817"/>
      <c r="E253" s="78"/>
      <c r="F253" s="271"/>
      <c r="G253" s="98"/>
      <c r="H253" s="94"/>
      <c r="I253" s="334"/>
      <c r="J253" s="278"/>
      <c r="K253" s="216"/>
      <c r="L253" s="216"/>
      <c r="M253" s="216"/>
      <c r="N253" s="216"/>
      <c r="O253" s="216"/>
      <c r="P253" s="30"/>
      <c r="Q253" s="78">
        <f>база!$L$6</f>
        <v>261.04640000000001</v>
      </c>
      <c r="R253" s="271">
        <v>1.2</v>
      </c>
      <c r="S253" s="98">
        <f>SUMIFS(Таблица1[сумма],Таблица1[коэф],"1,2",Таблица1[р/р],"5/16",Таблица1[Ф. И. О.],B253)</f>
        <v>0</v>
      </c>
      <c r="T253" s="94">
        <f>ROUND(Q253*R253*S253,2)</f>
        <v>0</v>
      </c>
      <c r="U253" s="314">
        <f>база!$M$6</f>
        <v>279.0496</v>
      </c>
      <c r="V253" s="271">
        <v>1.2</v>
      </c>
      <c r="W253" s="307">
        <f>SUMIFS(Таблица1[сумма],Таблица1[коэф],"1,2",Таблица1[р/р],"5/24",Таблица1[Ф. И. О.],B253)</f>
        <v>0</v>
      </c>
      <c r="X253" s="313">
        <f>ROUND(U253*V253*W253,2)</f>
        <v>0</v>
      </c>
      <c r="Y253" s="819"/>
      <c r="Z253" s="810"/>
      <c r="AA253" s="813"/>
      <c r="AC253" s="707" t="str">
        <f>IF(SUMIFS(Таблица1[сумма],Таблица1[Ф. И. О.],B253)=Y248,"",B248&amp;"  часы не верны")</f>
        <v/>
      </c>
    </row>
    <row r="254" spans="1:29" ht="19.5" customHeight="1">
      <c r="A254" s="756"/>
      <c r="B254" s="215"/>
      <c r="C254" s="815"/>
      <c r="D254" s="817"/>
      <c r="E254" s="78"/>
      <c r="F254" s="271"/>
      <c r="G254" s="98"/>
      <c r="H254" s="94"/>
      <c r="I254" s="334"/>
      <c r="J254" s="278"/>
      <c r="K254" s="216"/>
      <c r="L254" s="216"/>
      <c r="M254" s="216"/>
      <c r="N254" s="216"/>
      <c r="O254" s="216"/>
      <c r="P254" s="30"/>
      <c r="Q254" s="78">
        <f>IF($D$6&lt;=3,база!$L$4,
IF($D$6=4,база!$L$5,
IF($D$6=5,база!$L$6)))</f>
        <v>231.45480000000001</v>
      </c>
      <c r="R254" s="271">
        <v>1.3</v>
      </c>
      <c r="S254" s="98">
        <f>SUMIFS(Таблица1[сумма],Таблица1[коэф],"1,3",Таблица1[р/р],"3/16",Таблица1[Ф. И. О.],B253)</f>
        <v>0</v>
      </c>
      <c r="T254" s="94">
        <f t="shared" ref="T254:T258" si="166">ROUND(Q254*R254*S254,2)</f>
        <v>0</v>
      </c>
      <c r="U254" s="314">
        <f>IF(D248&lt;=3,база!$M$4,
IF(D248=4,база!$M$5,
IF(D248=5,база!$M$6)))</f>
        <v>225.09719999999999</v>
      </c>
      <c r="V254" s="271">
        <v>1.3</v>
      </c>
      <c r="W254" s="307">
        <f>SUMIFS(Таблица1[сумма],Таблица1[коэф],"1,3",Таблица1[р/р],"3/24",Таблица1[Ф. И. О.],B253)</f>
        <v>0</v>
      </c>
      <c r="X254" s="313">
        <f t="shared" ref="X254:X255" si="167">ROUND(U254*V254*W254,2)</f>
        <v>0</v>
      </c>
      <c r="Y254" s="819"/>
      <c r="Z254" s="810"/>
      <c r="AA254" s="813"/>
    </row>
    <row r="255" spans="1:29" ht="19.5" customHeight="1">
      <c r="A255" s="756"/>
      <c r="B255" s="215"/>
      <c r="C255" s="815"/>
      <c r="D255" s="817"/>
      <c r="E255" s="78"/>
      <c r="F255" s="271"/>
      <c r="G255" s="98"/>
      <c r="H255" s="94"/>
      <c r="I255" s="334"/>
      <c r="J255" s="278"/>
      <c r="K255" s="216"/>
      <c r="L255" s="216"/>
      <c r="M255" s="216"/>
      <c r="N255" s="216"/>
      <c r="O255" s="216"/>
      <c r="P255" s="30"/>
      <c r="Q255" s="78">
        <f>база!$L$5</f>
        <v>231.45480000000001</v>
      </c>
      <c r="R255" s="271">
        <v>1.3</v>
      </c>
      <c r="S255" s="98">
        <f>SUMIFS(Таблица1[сумма],Таблица1[коэф],"1,3",Таблица1[р/р],"4/16",Таблица1[Ф. И. О.],B253)</f>
        <v>0</v>
      </c>
      <c r="T255" s="94">
        <f t="shared" si="166"/>
        <v>0</v>
      </c>
      <c r="U255" s="314">
        <f>база!$M$5</f>
        <v>247.41720000000001</v>
      </c>
      <c r="V255" s="271">
        <v>1.3</v>
      </c>
      <c r="W255" s="307">
        <f>SUMIFS(Таблица1[сумма],Таблица1[коэф],"1,3",Таблица1[р/р],"4/24",Таблица1[Ф. И. О.],B253)</f>
        <v>0</v>
      </c>
      <c r="X255" s="313">
        <f t="shared" si="167"/>
        <v>0</v>
      </c>
      <c r="Y255" s="819"/>
      <c r="Z255" s="810"/>
      <c r="AA255" s="813"/>
    </row>
    <row r="256" spans="1:29" ht="19.5" customHeight="1">
      <c r="A256" s="756"/>
      <c r="B256" s="215"/>
      <c r="C256" s="815"/>
      <c r="D256" s="817"/>
      <c r="E256" s="78"/>
      <c r="F256" s="271"/>
      <c r="G256" s="98"/>
      <c r="H256" s="94"/>
      <c r="I256" s="334"/>
      <c r="J256" s="278"/>
      <c r="K256" s="216"/>
      <c r="L256" s="216"/>
      <c r="M256" s="216"/>
      <c r="N256" s="216"/>
      <c r="O256" s="216"/>
      <c r="P256" s="30"/>
      <c r="Q256" s="78">
        <f>IF(D248&lt;=3,база!$L$4,
IF(D248=4,база!$L$5,
IF(D248=5,база!$L$6)))</f>
        <v>210.57480000000001</v>
      </c>
      <c r="R256" s="271">
        <v>1.4</v>
      </c>
      <c r="S256" s="98">
        <f>SUMIFS(Таблица1[сумма],Таблица1[коэф],"1,4",Таблица1[р/р],"3/16",Таблица1[Ф. И. О.],B253)</f>
        <v>0</v>
      </c>
      <c r="T256" s="94">
        <f t="shared" si="166"/>
        <v>0</v>
      </c>
      <c r="U256" s="314">
        <f>IF(D248&lt;=3,база!$M$4,
IF(D248=4,база!$M$5,
IF(D248=5,база!$M$6)))</f>
        <v>225.09719999999999</v>
      </c>
      <c r="V256" s="271">
        <v>1.4</v>
      </c>
      <c r="W256" s="307">
        <f>SUMIFS(Таблица1[сумма],Таблица1[коэф],"1,4",Таблица1[р/р],"3/24",Таблица1[Ф. И. О.],B253)</f>
        <v>0</v>
      </c>
      <c r="X256" s="313">
        <f>ROUND(U256*V256*W256,2)</f>
        <v>0</v>
      </c>
      <c r="Y256" s="819"/>
      <c r="Z256" s="810"/>
      <c r="AA256" s="813"/>
    </row>
    <row r="257" spans="1:29" ht="19.5" customHeight="1">
      <c r="A257" s="756"/>
      <c r="B257" s="215"/>
      <c r="C257" s="815"/>
      <c r="D257" s="817"/>
      <c r="E257" s="78"/>
      <c r="F257" s="271"/>
      <c r="G257" s="98"/>
      <c r="H257" s="94"/>
      <c r="I257" s="334"/>
      <c r="J257" s="278"/>
      <c r="K257" s="216"/>
      <c r="L257" s="216"/>
      <c r="M257" s="216"/>
      <c r="N257" s="216"/>
      <c r="O257" s="216"/>
      <c r="P257" s="30"/>
      <c r="Q257" s="78">
        <f>база!$L$5</f>
        <v>231.45480000000001</v>
      </c>
      <c r="R257" s="271">
        <v>1.4</v>
      </c>
      <c r="S257" s="98">
        <f>SUMIFS(Таблица1[сумма],Таблица1[коэф],"1,4",Таблица1[р/р],"4/16",Таблица1[Ф. И. О.],B253)</f>
        <v>0</v>
      </c>
      <c r="T257" s="94">
        <f t="shared" si="166"/>
        <v>0</v>
      </c>
      <c r="U257" s="314">
        <f>база!$M$5</f>
        <v>247.41720000000001</v>
      </c>
      <c r="V257" s="271">
        <v>1.4</v>
      </c>
      <c r="W257" s="307">
        <f>SUMIFS(Таблица1[сумма],Таблица1[коэф],"1,4",Таблица1[р/р],"4/24",Таблица1[Ф. И. О.],B253)</f>
        <v>0</v>
      </c>
      <c r="X257" s="313">
        <f>ROUND(U257*V257*W257,2)</f>
        <v>0</v>
      </c>
      <c r="Y257" s="819"/>
      <c r="Z257" s="810"/>
      <c r="AA257" s="813"/>
    </row>
    <row r="258" spans="1:29" ht="19.5" customHeight="1" thickBot="1">
      <c r="A258" s="757"/>
      <c r="B258" s="202"/>
      <c r="C258" s="816"/>
      <c r="D258" s="818"/>
      <c r="E258" s="101"/>
      <c r="F258" s="273"/>
      <c r="G258" s="97"/>
      <c r="H258" s="90"/>
      <c r="I258" s="348"/>
      <c r="J258" s="279"/>
      <c r="K258" s="288"/>
      <c r="L258" s="288"/>
      <c r="M258" s="288"/>
      <c r="N258" s="288"/>
      <c r="O258" s="288"/>
      <c r="P258" s="315"/>
      <c r="Q258" s="101">
        <f>база!$L$6</f>
        <v>261.04640000000001</v>
      </c>
      <c r="R258" s="273">
        <v>1.4</v>
      </c>
      <c r="S258" s="97">
        <f>SUMIFS(Таблица1[сумма],Таблица1[коэф],"1,4",Таблица1[р/р],"5/16",Таблица1[Ф. И. О.],B253)</f>
        <v>0</v>
      </c>
      <c r="T258" s="90">
        <f t="shared" si="166"/>
        <v>0</v>
      </c>
      <c r="U258" s="347">
        <f>база!$M$6</f>
        <v>279.0496</v>
      </c>
      <c r="V258" s="273">
        <v>1.4</v>
      </c>
      <c r="W258" s="312">
        <f>SUMIFS(Таблица1[сумма],Таблица1[коэф],"1,4",Таблица1[р/р],"5/24",Таблица1[Ф. И. О.],B253)</f>
        <v>0</v>
      </c>
      <c r="X258" s="343">
        <f>ROUND(U258*V258*W258,2)</f>
        <v>0</v>
      </c>
      <c r="Y258" s="820"/>
      <c r="Z258" s="811"/>
      <c r="AA258" s="814"/>
    </row>
    <row r="259" spans="1:29" ht="18.75" customHeight="1">
      <c r="A259" s="755">
        <v>24</v>
      </c>
      <c r="B259" s="235"/>
      <c r="C259" s="821">
        <f>INDEX(база!$E$2:$E$81, MATCH(B264,база!$B$2:$B$50,0))</f>
        <v>0</v>
      </c>
      <c r="D259" s="822">
        <f>INDEX(база!$D$2:$D$89, MATCH(B264,база!$B$2:$B$50,0))</f>
        <v>3</v>
      </c>
      <c r="E259" s="72">
        <f>IF(D259&lt;=3,база!$I$4,
IF(D259=4,база!$I$5,
IF(D259=5,база!$I$6)))</f>
        <v>188.7912</v>
      </c>
      <c r="F259" s="269">
        <v>1</v>
      </c>
      <c r="G259" s="95">
        <f>SUMIFS(Таблица1[сумма],Таблица1[коэф],"1",Таблица1[р/р],"2/4",Таблица1[Ф. И. О.],B264)</f>
        <v>0</v>
      </c>
      <c r="H259" s="87">
        <f>ROUND(E259*F259*G259,2)</f>
        <v>0</v>
      </c>
      <c r="I259" s="338">
        <f>IF(D259&lt;=3,база!$J$4,
IF(D259=4,база!$J$5,
IF(D259=5,база!$J$6)))</f>
        <v>196.05240000000001</v>
      </c>
      <c r="J259" s="276">
        <v>1</v>
      </c>
      <c r="K259" s="287">
        <f>SUMIFS(Таблица1[сумма],Таблица1[коэф],"1",Таблица1[р/р],"2/8",Таблица1[Ф. И. О.],B264)</f>
        <v>0</v>
      </c>
      <c r="L259" s="287">
        <f>ROUND(I259*J259*K259,2)</f>
        <v>0</v>
      </c>
      <c r="M259" s="287"/>
      <c r="N259" s="287">
        <v>1</v>
      </c>
      <c r="O259" s="287">
        <f>SUMIFS(Data_Tech!$AM$3:$AM$67,Data_Tech!$E$3:$E$67,"1",Data_Tech!$G$3:$G$67,"3/12",Data_Tech!$F$3:$F$67,B264)</f>
        <v>0</v>
      </c>
      <c r="P259" s="280">
        <f>ROUND(M259*N259*O259,2)</f>
        <v>0</v>
      </c>
      <c r="Q259" s="72">
        <f>IF(D259&lt;=3,база!$L$4,
IF(D259=4,база!$L$5,
IF(D259=5,база!$L$6)))</f>
        <v>210.57480000000001</v>
      </c>
      <c r="R259" s="269">
        <v>1</v>
      </c>
      <c r="S259" s="95">
        <f>SUMIFS(Таблица1[сумма],Таблица1[коэф],"1",Таблица1[р/р],"3/16",Таблица1[Ф. И. О.],B264)</f>
        <v>0</v>
      </c>
      <c r="T259" s="87">
        <f t="shared" si="160"/>
        <v>0</v>
      </c>
      <c r="U259" s="339">
        <f>IF(D259&lt;=3,база!$M$4,
IF(D259=4,база!$M$5,
IF(D259=5,база!$M$6)))</f>
        <v>225.09719999999999</v>
      </c>
      <c r="V259" s="269">
        <v>1</v>
      </c>
      <c r="W259" s="340">
        <f>SUMIFS(Таблица1[сумма],Таблица1[коэф],"1",Таблица1[р/р],"3/24",Таблица1[Ф. И. О.],B264)</f>
        <v>0</v>
      </c>
      <c r="X259" s="342">
        <f>ROUND(U259*V259*W259,2)</f>
        <v>0</v>
      </c>
      <c r="Y259" s="819">
        <f t="shared" ref="Y259" si="168">SUM(G259:G269,K259:K269,O259:O269,S259:S269,W259:W269)</f>
        <v>0</v>
      </c>
      <c r="Z259" s="810">
        <f t="shared" ref="Z259" si="169">IFERROR(SUM(H259:H269,L259:L269,T259:T269,X259:X269),"")</f>
        <v>0</v>
      </c>
      <c r="AA259" s="813"/>
    </row>
    <row r="260" spans="1:29" ht="18.75" customHeight="1">
      <c r="A260" s="756"/>
      <c r="B260" s="215"/>
      <c r="C260" s="815"/>
      <c r="D260" s="817"/>
      <c r="E260" s="78">
        <f>IF(D259&lt;=3,база!$I$4,
IF(D259=4,база!$I$5,
IF(D259=5,база!$I$6)))</f>
        <v>188.7912</v>
      </c>
      <c r="F260" s="271">
        <v>1</v>
      </c>
      <c r="G260" s="98">
        <f>SUMIFS(Таблица1[сумма],Таблица1[коэф],"1",Таблица1[р/р],"3/4",Таблица1[Ф. И. О.],B264)</f>
        <v>0</v>
      </c>
      <c r="H260" s="94">
        <f>ROUND(E260*F260*G260,2)</f>
        <v>0</v>
      </c>
      <c r="I260" s="334">
        <f>IF(D259&lt;=3,база!$J$4,
IF(D259=4,база!$J$5,
IF(D259=5,база!$J$6)))</f>
        <v>196.05240000000001</v>
      </c>
      <c r="J260" s="278">
        <v>1</v>
      </c>
      <c r="K260" s="216">
        <f>SUMIFS(Таблица1[сумма],Таблица1[коэф],"1",Таблица1[р/р],"3/8",Таблица1[Ф. И. О.],B264)</f>
        <v>0</v>
      </c>
      <c r="L260" s="216">
        <f>ROUND(I260*J260*K260,2)</f>
        <v>0</v>
      </c>
      <c r="M260" s="216"/>
      <c r="N260" s="216">
        <v>1</v>
      </c>
      <c r="O260" s="216">
        <f>SUMIFS(Data_Tech!$AM$3:$AM$67,Data_Tech!$E$3:$E$67,"1",Data_Tech!$G$3:$G$67,"4/12",Data_Tech!$F$3:$F$67,B264)</f>
        <v>0</v>
      </c>
      <c r="P260" s="30">
        <f>ROUND(M260*O260,2)</f>
        <v>0</v>
      </c>
      <c r="Q260" s="78">
        <f>база!$L$5</f>
        <v>231.45480000000001</v>
      </c>
      <c r="R260" s="271">
        <v>1</v>
      </c>
      <c r="S260" s="98">
        <f>SUMIFS(Таблица1[сумма],Таблица1[коэф],"1",Таблица1[р/р],"4/16",Таблица1[Ф. И. О.],B264)</f>
        <v>0</v>
      </c>
      <c r="T260" s="94">
        <f t="shared" si="160"/>
        <v>0</v>
      </c>
      <c r="U260" s="314">
        <f>база!$M$5</f>
        <v>247.41720000000001</v>
      </c>
      <c r="V260" s="271">
        <v>1</v>
      </c>
      <c r="W260" s="307">
        <f>SUMIFS(Таблица1[сумма],Таблица1[коэф],"1",Таблица1[р/р],"4/24",Таблица1[Ф. И. О.],B264)</f>
        <v>0</v>
      </c>
      <c r="X260" s="313">
        <f t="shared" ref="X260" si="170">ROUND(U260*V260*W260,2)</f>
        <v>0</v>
      </c>
      <c r="Y260" s="819"/>
      <c r="Z260" s="810"/>
      <c r="AA260" s="813"/>
    </row>
    <row r="261" spans="1:29" ht="19.5" customHeight="1">
      <c r="A261" s="756"/>
      <c r="B261" s="215"/>
      <c r="C261" s="815"/>
      <c r="D261" s="817"/>
      <c r="E261" s="78"/>
      <c r="F261" s="271"/>
      <c r="G261" s="98"/>
      <c r="H261" s="94"/>
      <c r="I261" s="334"/>
      <c r="J261" s="278"/>
      <c r="K261" s="216"/>
      <c r="L261" s="216"/>
      <c r="M261" s="216"/>
      <c r="N261" s="216"/>
      <c r="O261" s="216"/>
      <c r="P261" s="30"/>
      <c r="Q261" s="78">
        <f>база!$L$6</f>
        <v>261.04640000000001</v>
      </c>
      <c r="R261" s="271">
        <v>1</v>
      </c>
      <c r="S261" s="98">
        <f>SUMIFS(Таблица1[сумма],Таблица1[коэф],"1",Таблица1[р/р],"5/16",Таблица1[Ф. И. О.],B264)</f>
        <v>0</v>
      </c>
      <c r="T261" s="94">
        <f t="shared" si="160"/>
        <v>0</v>
      </c>
      <c r="U261" s="314">
        <f>база!$M$6</f>
        <v>279.0496</v>
      </c>
      <c r="V261" s="271">
        <v>1</v>
      </c>
      <c r="W261" s="307">
        <f>SUMIFS(Таблица1[сумма],Таблица1[коэф],"1",Таблица1[р/р],"5/24",Таблица1[Ф. И. О.],B264)</f>
        <v>0</v>
      </c>
      <c r="X261" s="313">
        <f>ROUND(U261*V261*W261,2)</f>
        <v>0</v>
      </c>
      <c r="Y261" s="819"/>
      <c r="Z261" s="810"/>
      <c r="AA261" s="813"/>
    </row>
    <row r="262" spans="1:29" ht="19.5" customHeight="1">
      <c r="A262" s="756"/>
      <c r="B262" s="215"/>
      <c r="C262" s="815"/>
      <c r="D262" s="817"/>
      <c r="E262" s="78"/>
      <c r="F262" s="271"/>
      <c r="G262" s="98"/>
      <c r="H262" s="94"/>
      <c r="I262" s="334">
        <f>база!$J$5</f>
        <v>215.4924</v>
      </c>
      <c r="J262" s="278">
        <v>1.5</v>
      </c>
      <c r="K262" s="216">
        <f>SUMIFS(Таблица1[сумма],Таблица1[коэф],"1,5",Таблица1[р/р],"4/8",Таблица1[Ф. И. О.],B264)</f>
        <v>0</v>
      </c>
      <c r="L262" s="216">
        <f>ROUND(I262*J262*K262,2)</f>
        <v>0</v>
      </c>
      <c r="M262" s="216"/>
      <c r="N262" s="216"/>
      <c r="O262" s="216"/>
      <c r="P262" s="30"/>
      <c r="Q262" s="78">
        <f>IF(D259&lt;=3,база!$L$4,
IF(D259=4,база!$L$5,
IF(D259=5,база!$L$6)))</f>
        <v>210.57480000000001</v>
      </c>
      <c r="R262" s="271">
        <v>1.2</v>
      </c>
      <c r="S262" s="98">
        <f>SUMIFS(Таблица1[сумма],Таблица1[коэф],"1,2",Таблица1[р/р],"3/16",Таблица1[Ф. И. О.],B264)</f>
        <v>0</v>
      </c>
      <c r="T262" s="94">
        <f t="shared" ref="T262:T263" si="171">ROUND(Q262*R262*S262,2)</f>
        <v>0</v>
      </c>
      <c r="U262" s="314">
        <f>IF(D259&lt;=3,база!$M$4,
IF(D259=4,база!$M$5,
IF(D259=5,база!$M$6)))</f>
        <v>225.09719999999999</v>
      </c>
      <c r="V262" s="271">
        <v>1.2</v>
      </c>
      <c r="W262" s="307">
        <f>SUMIFS(Таблица1[сумма],Таблица1[коэф],"1,2",Таблица1[р/р],"3/24",Таблица1[Ф. И. О.],B264)</f>
        <v>0</v>
      </c>
      <c r="X262" s="313">
        <f t="shared" ref="X262:X263" si="172">ROUND(U262*V262*W262,2)</f>
        <v>0</v>
      </c>
      <c r="Y262" s="819"/>
      <c r="Z262" s="810"/>
      <c r="AA262" s="813"/>
    </row>
    <row r="263" spans="1:29" ht="19.5" customHeight="1">
      <c r="A263" s="756"/>
      <c r="B263" s="215"/>
      <c r="C263" s="815"/>
      <c r="D263" s="817"/>
      <c r="E263" s="78"/>
      <c r="F263" s="271"/>
      <c r="G263" s="98"/>
      <c r="H263" s="94"/>
      <c r="I263" s="334">
        <f>база!$J$6</f>
        <v>243.04319999999998</v>
      </c>
      <c r="J263" s="278">
        <v>1.5</v>
      </c>
      <c r="K263" s="216">
        <f>SUMIFS(Таблица1[сумма],Таблица1[коэф],"1,5",Таблица1[р/р],"5/8",Таблица1[Ф. И. О.],B264)</f>
        <v>0</v>
      </c>
      <c r="L263" s="216">
        <f>ROUND(I263*J263*K263,2)</f>
        <v>0</v>
      </c>
      <c r="M263" s="216"/>
      <c r="N263" s="216"/>
      <c r="O263" s="216"/>
      <c r="P263" s="30"/>
      <c r="Q263" s="78">
        <f>база!$L$5</f>
        <v>231.45480000000001</v>
      </c>
      <c r="R263" s="271">
        <v>1.2</v>
      </c>
      <c r="S263" s="98">
        <f>SUMIFS(Таблица1[сумма],Таблица1[коэф],"1,2",Таблица1[р/р],"4/16",Таблица1[Ф. И. О.],B264)</f>
        <v>0</v>
      </c>
      <c r="T263" s="94">
        <f t="shared" si="171"/>
        <v>0</v>
      </c>
      <c r="U263" s="314">
        <f>база!$M$5</f>
        <v>247.41720000000001</v>
      </c>
      <c r="V263" s="271">
        <v>1.2</v>
      </c>
      <c r="W263" s="307">
        <f>SUMIFS(Таблица1[сумма],Таблица1[коэф],"1,2",Таблица1[р/р],"4/24",Таблица1[Ф. И. О.],B264)</f>
        <v>0</v>
      </c>
      <c r="X263" s="313">
        <f t="shared" si="172"/>
        <v>0</v>
      </c>
      <c r="Y263" s="819"/>
      <c r="Z263" s="810"/>
      <c r="AA263" s="813"/>
      <c r="AC263" s="707" t="str">
        <f>IF(SUMIFS(Таблица1[Столбец2],Таблица1[Ф. И. О.],B264)-Z259=0,"",SUMIFS(Таблица1[Столбец2],Таблица1[Ф. И. О.],B264)-Z259)</f>
        <v/>
      </c>
    </row>
    <row r="264" spans="1:29" ht="19.5" customHeight="1">
      <c r="A264" s="756"/>
      <c r="B264" s="215" t="str">
        <f>база!B25</f>
        <v>Ефремова Юлия Сергеевна</v>
      </c>
      <c r="C264" s="815"/>
      <c r="D264" s="817"/>
      <c r="E264" s="78"/>
      <c r="F264" s="271"/>
      <c r="G264" s="98"/>
      <c r="H264" s="94"/>
      <c r="I264" s="334"/>
      <c r="J264" s="278"/>
      <c r="K264" s="216"/>
      <c r="L264" s="216"/>
      <c r="M264" s="216"/>
      <c r="N264" s="216"/>
      <c r="O264" s="216"/>
      <c r="P264" s="30"/>
      <c r="Q264" s="78">
        <f>база!$L$6</f>
        <v>261.04640000000001</v>
      </c>
      <c r="R264" s="271">
        <v>1.2</v>
      </c>
      <c r="S264" s="98">
        <f>SUMIFS(Таблица1[сумма],Таблица1[коэф],"1,2",Таблица1[р/р],"5/16",Таблица1[Ф. И. О.],B264)</f>
        <v>0</v>
      </c>
      <c r="T264" s="94">
        <f>ROUND(Q264*R264*S264,2)</f>
        <v>0</v>
      </c>
      <c r="U264" s="314">
        <f>база!$M$6</f>
        <v>279.0496</v>
      </c>
      <c r="V264" s="271">
        <v>1.2</v>
      </c>
      <c r="W264" s="307">
        <f>SUMIFS(Таблица1[сумма],Таблица1[коэф],"1,2",Таблица1[р/р],"5/24",Таблица1[Ф. И. О.],B264)</f>
        <v>0</v>
      </c>
      <c r="X264" s="313">
        <f>ROUND(U264*V264*W264,2)</f>
        <v>0</v>
      </c>
      <c r="Y264" s="819"/>
      <c r="Z264" s="810"/>
      <c r="AA264" s="813"/>
      <c r="AC264" s="707" t="str">
        <f>IF(SUMIFS(Таблица1[сумма],Таблица1[Ф. И. О.],B264)=Y259,"",B259&amp;"  часы не верны")</f>
        <v/>
      </c>
    </row>
    <row r="265" spans="1:29" ht="19.5" customHeight="1">
      <c r="A265" s="756"/>
      <c r="B265" s="215"/>
      <c r="C265" s="815"/>
      <c r="D265" s="817"/>
      <c r="E265" s="78"/>
      <c r="F265" s="271"/>
      <c r="G265" s="98"/>
      <c r="H265" s="94"/>
      <c r="I265" s="334"/>
      <c r="J265" s="278"/>
      <c r="K265" s="216"/>
      <c r="L265" s="216"/>
      <c r="M265" s="216"/>
      <c r="N265" s="216"/>
      <c r="O265" s="216"/>
      <c r="P265" s="30"/>
      <c r="Q265" s="78">
        <f>IF($D$6&lt;=3,база!$L$4,
IF($D$6=4,база!$L$5,
IF($D$6=5,база!$L$6)))</f>
        <v>231.45480000000001</v>
      </c>
      <c r="R265" s="271">
        <v>1.3</v>
      </c>
      <c r="S265" s="98">
        <f>SUMIFS(Таблица1[сумма],Таблица1[коэф],"1,3",Таблица1[р/р],"3/16",Таблица1[Ф. И. О.],B264)</f>
        <v>0</v>
      </c>
      <c r="T265" s="94">
        <f t="shared" ref="T265:T266" si="173">ROUND(Q265*R265*S265,2)</f>
        <v>0</v>
      </c>
      <c r="U265" s="314">
        <f>IF(D259&lt;=3,база!$M$4,
IF(D259=4,база!$M$5,
IF(D259=5,база!$M$6)))</f>
        <v>225.09719999999999</v>
      </c>
      <c r="V265" s="271">
        <v>1.3</v>
      </c>
      <c r="W265" s="307">
        <f>SUMIFS(Таблица1[сумма],Таблица1[коэф],"1,3",Таблица1[р/р],"3/24",Таблица1[Ф. И. О.],B264)</f>
        <v>0</v>
      </c>
      <c r="X265" s="313">
        <f t="shared" ref="X265:X266" si="174">ROUND(U265*V265*W265,2)</f>
        <v>0</v>
      </c>
      <c r="Y265" s="819"/>
      <c r="Z265" s="810"/>
      <c r="AA265" s="813"/>
    </row>
    <row r="266" spans="1:29" ht="19.5" customHeight="1">
      <c r="A266" s="756"/>
      <c r="B266" s="215"/>
      <c r="C266" s="815"/>
      <c r="D266" s="817"/>
      <c r="E266" s="78"/>
      <c r="F266" s="271"/>
      <c r="G266" s="98"/>
      <c r="H266" s="94"/>
      <c r="I266" s="334"/>
      <c r="J266" s="278"/>
      <c r="K266" s="216"/>
      <c r="L266" s="216"/>
      <c r="M266" s="216"/>
      <c r="N266" s="216"/>
      <c r="O266" s="216"/>
      <c r="P266" s="30"/>
      <c r="Q266" s="78">
        <f>база!$L$5</f>
        <v>231.45480000000001</v>
      </c>
      <c r="R266" s="271">
        <v>1.3</v>
      </c>
      <c r="S266" s="98">
        <f>SUMIFS(Таблица1[сумма],Таблица1[коэф],"1,3",Таблица1[р/р],"4/16",Таблица1[Ф. И. О.],B264)</f>
        <v>0</v>
      </c>
      <c r="T266" s="94">
        <f t="shared" si="173"/>
        <v>0</v>
      </c>
      <c r="U266" s="314">
        <f>база!$M$5</f>
        <v>247.41720000000001</v>
      </c>
      <c r="V266" s="271">
        <v>1.3</v>
      </c>
      <c r="W266" s="307">
        <f>SUMIFS(Таблица1[сумма],Таблица1[коэф],"1,3",Таблица1[р/р],"4/24",Таблица1[Ф. И. О.],B264)</f>
        <v>0</v>
      </c>
      <c r="X266" s="313">
        <f t="shared" si="174"/>
        <v>0</v>
      </c>
      <c r="Y266" s="819"/>
      <c r="Z266" s="810"/>
      <c r="AA266" s="813"/>
    </row>
    <row r="267" spans="1:29" ht="19.5" customHeight="1">
      <c r="A267" s="756"/>
      <c r="B267" s="215"/>
      <c r="C267" s="815"/>
      <c r="D267" s="817"/>
      <c r="E267" s="78"/>
      <c r="F267" s="271"/>
      <c r="G267" s="98"/>
      <c r="H267" s="94"/>
      <c r="I267" s="334"/>
      <c r="J267" s="278"/>
      <c r="K267" s="216"/>
      <c r="L267" s="216"/>
      <c r="M267" s="216"/>
      <c r="N267" s="216"/>
      <c r="O267" s="216"/>
      <c r="P267" s="30"/>
      <c r="Q267" s="78">
        <f>IF(D259&lt;=3,база!$L$4,
IF(D259=4,база!$L$5,
IF(D259=5,база!$L$6)))</f>
        <v>210.57480000000001</v>
      </c>
      <c r="R267" s="271">
        <v>1.4</v>
      </c>
      <c r="S267" s="98">
        <f>SUMIFS(Таблица1[сумма],Таблица1[коэф],"1,4",Таблица1[р/р],"3/16",Таблица1[Ф. И. О.],B264)</f>
        <v>0</v>
      </c>
      <c r="T267" s="94">
        <f t="shared" ref="T267:T888" si="175">ROUND(Q267*R267*S267,2)</f>
        <v>0</v>
      </c>
      <c r="U267" s="314">
        <f>IF(D259&lt;=3,база!$M$4,
IF(D259=4,база!$M$5,
IF(D259=5,база!$M$6)))</f>
        <v>225.09719999999999</v>
      </c>
      <c r="V267" s="271">
        <v>1.4</v>
      </c>
      <c r="W267" s="307">
        <f>SUMIFS(Таблица1[сумма],Таблица1[коэф],"1,4",Таблица1[р/р],"3/24",Таблица1[Ф. И. О.],B264)</f>
        <v>0</v>
      </c>
      <c r="X267" s="313">
        <f>ROUND(U267*V267*W267,2)</f>
        <v>0</v>
      </c>
      <c r="Y267" s="819"/>
      <c r="Z267" s="810"/>
      <c r="AA267" s="813"/>
    </row>
    <row r="268" spans="1:29" ht="19.5" customHeight="1">
      <c r="A268" s="756"/>
      <c r="B268" s="215"/>
      <c r="C268" s="815"/>
      <c r="D268" s="817"/>
      <c r="E268" s="78"/>
      <c r="F268" s="271"/>
      <c r="G268" s="98"/>
      <c r="H268" s="94"/>
      <c r="I268" s="334"/>
      <c r="J268" s="278"/>
      <c r="K268" s="216"/>
      <c r="L268" s="216"/>
      <c r="M268" s="216"/>
      <c r="N268" s="216"/>
      <c r="O268" s="216"/>
      <c r="P268" s="30"/>
      <c r="Q268" s="78">
        <f>база!$L$5</f>
        <v>231.45480000000001</v>
      </c>
      <c r="R268" s="271">
        <v>1.4</v>
      </c>
      <c r="S268" s="98">
        <f>SUMIFS(Таблица1[сумма],Таблица1[коэф],"1,4",Таблица1[р/р],"4/16",Таблица1[Ф. И. О.],B264)</f>
        <v>0</v>
      </c>
      <c r="T268" s="94">
        <f t="shared" si="175"/>
        <v>0</v>
      </c>
      <c r="U268" s="314">
        <f>база!$M$5</f>
        <v>247.41720000000001</v>
      </c>
      <c r="V268" s="271">
        <v>1.4</v>
      </c>
      <c r="W268" s="307">
        <f>SUMIFS(Таблица1[сумма],Таблица1[коэф],"1,4",Таблица1[р/р],"4/24",Таблица1[Ф. И. О.],B264)</f>
        <v>0</v>
      </c>
      <c r="X268" s="313">
        <f>ROUND(U268*V268*W268,2)</f>
        <v>0</v>
      </c>
      <c r="Y268" s="819"/>
      <c r="Z268" s="810"/>
      <c r="AA268" s="813"/>
    </row>
    <row r="269" spans="1:29" ht="19.5" customHeight="1" thickBot="1">
      <c r="A269" s="757"/>
      <c r="B269" s="202"/>
      <c r="C269" s="816"/>
      <c r="D269" s="818"/>
      <c r="E269" s="101"/>
      <c r="F269" s="273"/>
      <c r="G269" s="97"/>
      <c r="H269" s="90"/>
      <c r="I269" s="348"/>
      <c r="J269" s="279"/>
      <c r="K269" s="288"/>
      <c r="L269" s="288"/>
      <c r="M269" s="288"/>
      <c r="N269" s="288"/>
      <c r="O269" s="288"/>
      <c r="P269" s="315"/>
      <c r="Q269" s="101">
        <f>база!$L$6</f>
        <v>261.04640000000001</v>
      </c>
      <c r="R269" s="273">
        <v>1.4</v>
      </c>
      <c r="S269" s="97">
        <f>SUMIFS(Таблица1[сумма],Таблица1[коэф],"1,4",Таблица1[р/р],"5/16",Таблица1[Ф. И. О.],B264)</f>
        <v>0</v>
      </c>
      <c r="T269" s="90">
        <f t="shared" si="175"/>
        <v>0</v>
      </c>
      <c r="U269" s="347">
        <f>база!$M$6</f>
        <v>279.0496</v>
      </c>
      <c r="V269" s="273">
        <v>1.4</v>
      </c>
      <c r="W269" s="312">
        <f>SUMIFS(Таблица1[сумма],Таблица1[коэф],"1,4",Таблица1[р/р],"5/24",Таблица1[Ф. И. О.],B264)</f>
        <v>0</v>
      </c>
      <c r="X269" s="343">
        <f>ROUND(U269*V269*W269,2)</f>
        <v>0</v>
      </c>
      <c r="Y269" s="820"/>
      <c r="Z269" s="811"/>
      <c r="AA269" s="814"/>
    </row>
    <row r="270" spans="1:29" ht="18.75" customHeight="1">
      <c r="A270" s="755">
        <v>25</v>
      </c>
      <c r="B270" s="235"/>
      <c r="C270" s="821">
        <f>INDEX(база!$E$2:$E$81, MATCH(B275,база!$B$2:$B$50,0))</f>
        <v>15608</v>
      </c>
      <c r="D270" s="822">
        <f>INDEX(база!$D$2:$D$89, MATCH(B275,база!$B$2:$B$50,0))</f>
        <v>3</v>
      </c>
      <c r="E270" s="72">
        <f>IF(D270&lt;=3,база!$I$4,
IF(D270=4,база!$I$5,
IF(D270=5,база!$I$6)))</f>
        <v>188.7912</v>
      </c>
      <c r="F270" s="269">
        <v>1</v>
      </c>
      <c r="G270" s="95">
        <f>SUMIFS(Таблица1[сумма],Таблица1[коэф],"1",Таблица1[р/р],"2/4",Таблица1[Ф. И. О.],B275)</f>
        <v>0</v>
      </c>
      <c r="H270" s="87">
        <f>ROUND(E270*F270*G270,2)</f>
        <v>0</v>
      </c>
      <c r="I270" s="338">
        <f>IF(D270&lt;=3,база!$J$4,
IF(D270=4,база!$J$5,
IF(D270=5,база!$J$6)))</f>
        <v>196.05240000000001</v>
      </c>
      <c r="J270" s="276">
        <v>1</v>
      </c>
      <c r="K270" s="287">
        <f>SUMIFS(Таблица1[сумма],Таблица1[коэф],"1",Таблица1[р/р],"2/8",Таблица1[Ф. И. О.],B275)</f>
        <v>0</v>
      </c>
      <c r="L270" s="287">
        <f>ROUND(I270*J270*K270,2)</f>
        <v>0</v>
      </c>
      <c r="M270" s="287"/>
      <c r="N270" s="287">
        <v>1</v>
      </c>
      <c r="O270" s="287">
        <f>SUMIFS(Data_Tech!$AM$3:$AM$67,Data_Tech!$E$3:$E$67,"1",Data_Tech!$G$3:$G$67,"3/12",Data_Tech!$F$3:$F$67,B275)</f>
        <v>0</v>
      </c>
      <c r="P270" s="280">
        <f>ROUND(M270*N270*O270,2)</f>
        <v>0</v>
      </c>
      <c r="Q270" s="72">
        <f>IF(D270&lt;=3,база!$L$4,
IF(D270=4,база!$L$5,
IF(D270=5,база!$L$6)))</f>
        <v>210.57480000000001</v>
      </c>
      <c r="R270" s="269">
        <v>1</v>
      </c>
      <c r="S270" s="95">
        <f>SUMIFS(Таблица1[сумма],Таблица1[коэф],"1",Таблица1[р/р],"3/16",Таблица1[Ф. И. О.],B275)</f>
        <v>0</v>
      </c>
      <c r="T270" s="87">
        <f t="shared" si="175"/>
        <v>0</v>
      </c>
      <c r="U270" s="339">
        <f>IF(D270&lt;=3,база!$M$4,
IF(D270=4,база!$M$5,
IF(D270=5,база!$M$6)))</f>
        <v>225.09719999999999</v>
      </c>
      <c r="V270" s="269">
        <v>1</v>
      </c>
      <c r="W270" s="340">
        <f>SUMIFS(Таблица1[сумма],Таблица1[коэф],"1",Таблица1[р/р],"3/24",Таблица1[Ф. И. О.],B275)</f>
        <v>0</v>
      </c>
      <c r="X270" s="342">
        <f>ROUND(U270*V270*W270,2)</f>
        <v>0</v>
      </c>
      <c r="Y270" s="819">
        <f t="shared" ref="Y270" si="176">SUM(G270:G280,K270:K280,O270:O280,S270:S280,W270:W280)</f>
        <v>0</v>
      </c>
      <c r="Z270" s="810">
        <f t="shared" ref="Z270" si="177">IFERROR(SUM(H270:H280,L270:L280,T270:T280,X270:X280),"")</f>
        <v>0</v>
      </c>
      <c r="AA270" s="813"/>
    </row>
    <row r="271" spans="1:29" ht="18.75" customHeight="1">
      <c r="A271" s="756"/>
      <c r="B271" s="215"/>
      <c r="C271" s="815"/>
      <c r="D271" s="817"/>
      <c r="E271" s="78">
        <f>IF(D270&lt;=3,база!$I$4,
IF(D270=4,база!$I$5,
IF(D270=5,база!$I$6)))</f>
        <v>188.7912</v>
      </c>
      <c r="F271" s="271">
        <v>1</v>
      </c>
      <c r="G271" s="98">
        <f>SUMIFS(Таблица1[сумма],Таблица1[коэф],"1",Таблица1[р/р],"3/4",Таблица1[Ф. И. О.],B275)</f>
        <v>0</v>
      </c>
      <c r="H271" s="94">
        <f>ROUND(E271*F271*G271,2)</f>
        <v>0</v>
      </c>
      <c r="I271" s="334">
        <f>IF(D270&lt;=3,база!$J$4,
IF(D270=4,база!$J$5,
IF(D270=5,база!$J$6)))</f>
        <v>196.05240000000001</v>
      </c>
      <c r="J271" s="278">
        <v>1</v>
      </c>
      <c r="K271" s="216">
        <f>SUMIFS(Таблица1[сумма],Таблица1[коэф],"1",Таблица1[р/р],"3/8",Таблица1[Ф. И. О.],B275)</f>
        <v>0</v>
      </c>
      <c r="L271" s="216">
        <f>ROUND(I271*J271*K271,2)</f>
        <v>0</v>
      </c>
      <c r="M271" s="216"/>
      <c r="N271" s="216">
        <v>1</v>
      </c>
      <c r="O271" s="216">
        <f>SUMIFS(Data_Tech!$AM$3:$AM$67,Data_Tech!$E$3:$E$67,"1",Data_Tech!$G$3:$G$67,"4/12",Data_Tech!$F$3:$F$67,B275)</f>
        <v>0</v>
      </c>
      <c r="P271" s="30">
        <f>ROUND(M271*O271,2)</f>
        <v>0</v>
      </c>
      <c r="Q271" s="78">
        <f>база!$L$5</f>
        <v>231.45480000000001</v>
      </c>
      <c r="R271" s="271">
        <v>1</v>
      </c>
      <c r="S271" s="98">
        <f>SUMIFS(Таблица1[сумма],Таблица1[коэф],"1",Таблица1[р/р],"4/16",Таблица1[Ф. И. О.],B275)</f>
        <v>0</v>
      </c>
      <c r="T271" s="94">
        <f t="shared" si="175"/>
        <v>0</v>
      </c>
      <c r="U271" s="314">
        <f>база!$M$5</f>
        <v>247.41720000000001</v>
      </c>
      <c r="V271" s="271">
        <v>1</v>
      </c>
      <c r="W271" s="307">
        <f>SUMIFS(Таблица1[сумма],Таблица1[коэф],"1",Таблица1[р/р],"4/24",Таблица1[Ф. И. О.],B275)</f>
        <v>0</v>
      </c>
      <c r="X271" s="313">
        <f t="shared" ref="X271" si="178">ROUND(U271*V271*W271,2)</f>
        <v>0</v>
      </c>
      <c r="Y271" s="819"/>
      <c r="Z271" s="810"/>
      <c r="AA271" s="813"/>
    </row>
    <row r="272" spans="1:29" ht="19.5" customHeight="1">
      <c r="A272" s="756"/>
      <c r="B272" s="215"/>
      <c r="C272" s="815"/>
      <c r="D272" s="817"/>
      <c r="E272" s="78"/>
      <c r="F272" s="271"/>
      <c r="G272" s="98"/>
      <c r="H272" s="94"/>
      <c r="I272" s="334"/>
      <c r="J272" s="278"/>
      <c r="K272" s="216"/>
      <c r="L272" s="216"/>
      <c r="M272" s="216"/>
      <c r="N272" s="216"/>
      <c r="O272" s="216"/>
      <c r="P272" s="30"/>
      <c r="Q272" s="78">
        <f>база!$L$6</f>
        <v>261.04640000000001</v>
      </c>
      <c r="R272" s="271">
        <v>1</v>
      </c>
      <c r="S272" s="98">
        <f>SUMIFS(Таблица1[сумма],Таблица1[коэф],"1",Таблица1[р/р],"5/16",Таблица1[Ф. И. О.],B275)</f>
        <v>0</v>
      </c>
      <c r="T272" s="94">
        <f t="shared" si="175"/>
        <v>0</v>
      </c>
      <c r="U272" s="314">
        <f>база!$M$6</f>
        <v>279.0496</v>
      </c>
      <c r="V272" s="271">
        <v>1</v>
      </c>
      <c r="W272" s="307">
        <f>SUMIFS(Таблица1[сумма],Таблица1[коэф],"1",Таблица1[р/р],"5/24",Таблица1[Ф. И. О.],B275)</f>
        <v>0</v>
      </c>
      <c r="X272" s="313">
        <f>ROUND(U272*V272*W272,2)</f>
        <v>0</v>
      </c>
      <c r="Y272" s="819"/>
      <c r="Z272" s="810"/>
      <c r="AA272" s="813"/>
    </row>
    <row r="273" spans="1:29" ht="19.5" customHeight="1">
      <c r="A273" s="756"/>
      <c r="B273" s="215"/>
      <c r="C273" s="815"/>
      <c r="D273" s="817"/>
      <c r="E273" s="78"/>
      <c r="F273" s="271"/>
      <c r="G273" s="98"/>
      <c r="H273" s="94"/>
      <c r="I273" s="334">
        <f>база!$J$5</f>
        <v>215.4924</v>
      </c>
      <c r="J273" s="278">
        <v>1.5</v>
      </c>
      <c r="K273" s="216">
        <f>SUMIFS(Таблица1[сумма],Таблица1[коэф],"1,5",Таблица1[р/р],"4/8",Таблица1[Ф. И. О.],B275)</f>
        <v>0</v>
      </c>
      <c r="L273" s="216">
        <f>ROUND(I273*J273*K273,2)</f>
        <v>0</v>
      </c>
      <c r="M273" s="216"/>
      <c r="N273" s="216"/>
      <c r="O273" s="216"/>
      <c r="P273" s="30"/>
      <c r="Q273" s="78">
        <f>IF(D270&lt;=3,база!$L$4,
IF(D270=4,база!$L$5,
IF(D270=5,база!$L$6)))</f>
        <v>210.57480000000001</v>
      </c>
      <c r="R273" s="271">
        <v>1.2</v>
      </c>
      <c r="S273" s="98">
        <f>SUMIFS(Таблица1[сумма],Таблица1[коэф],"1,2",Таблица1[р/р],"3/16",Таблица1[Ф. И. О.],B275)</f>
        <v>0</v>
      </c>
      <c r="T273" s="94">
        <f t="shared" si="175"/>
        <v>0</v>
      </c>
      <c r="U273" s="314">
        <f>IF(D270&lt;=3,база!$M$4,
IF(D270=4,база!$M$5,
IF(D270=5,база!$M$6)))</f>
        <v>225.09719999999999</v>
      </c>
      <c r="V273" s="271">
        <v>1.2</v>
      </c>
      <c r="W273" s="307">
        <f>SUMIFS(Таблица1[сумма],Таблица1[коэф],"1,2",Таблица1[р/р],"3/24",Таблица1[Ф. И. О.],B275)</f>
        <v>0</v>
      </c>
      <c r="X273" s="313">
        <f t="shared" ref="X273:X274" si="179">ROUND(U273*V273*W273,2)</f>
        <v>0</v>
      </c>
      <c r="Y273" s="819"/>
      <c r="Z273" s="810"/>
      <c r="AA273" s="813"/>
    </row>
    <row r="274" spans="1:29" ht="19.5" customHeight="1">
      <c r="A274" s="756"/>
      <c r="B274" s="215"/>
      <c r="C274" s="815"/>
      <c r="D274" s="817"/>
      <c r="E274" s="78"/>
      <c r="F274" s="271"/>
      <c r="G274" s="98"/>
      <c r="H274" s="94"/>
      <c r="I274" s="334">
        <f>база!$J$6</f>
        <v>243.04319999999998</v>
      </c>
      <c r="J274" s="278">
        <v>1.5</v>
      </c>
      <c r="K274" s="216">
        <f>SUMIFS(Таблица1[сумма],Таблица1[коэф],"1,5",Таблица1[р/р],"5/8",Таблица1[Ф. И. О.],B275)</f>
        <v>0</v>
      </c>
      <c r="L274" s="216">
        <f>ROUND(I274*J274*K274,2)</f>
        <v>0</v>
      </c>
      <c r="M274" s="216"/>
      <c r="N274" s="216"/>
      <c r="O274" s="216"/>
      <c r="P274" s="30"/>
      <c r="Q274" s="78">
        <f>база!$L$5</f>
        <v>231.45480000000001</v>
      </c>
      <c r="R274" s="271">
        <v>1.2</v>
      </c>
      <c r="S274" s="98">
        <f>SUMIFS(Таблица1[сумма],Таблица1[коэф],"1,2",Таблица1[р/р],"4/16",Таблица1[Ф. И. О.],B275)</f>
        <v>0</v>
      </c>
      <c r="T274" s="94">
        <f t="shared" si="175"/>
        <v>0</v>
      </c>
      <c r="U274" s="314">
        <f>база!$M$5</f>
        <v>247.41720000000001</v>
      </c>
      <c r="V274" s="271">
        <v>1.2</v>
      </c>
      <c r="W274" s="307">
        <f>SUMIFS(Таблица1[сумма],Таблица1[коэф],"1,2",Таблица1[р/р],"4/24",Таблица1[Ф. И. О.],B275)</f>
        <v>0</v>
      </c>
      <c r="X274" s="313">
        <f t="shared" si="179"/>
        <v>0</v>
      </c>
      <c r="Y274" s="819"/>
      <c r="Z274" s="810"/>
      <c r="AA274" s="813"/>
      <c r="AC274" s="707" t="str">
        <f>IF(SUMIFS(Таблица1[Столбец2],Таблица1[Ф. И. О.],B275)-Z270=0,"",SUMIFS(Таблица1[Столбец2],Таблица1[Ф. И. О.],B275)-Z270)</f>
        <v/>
      </c>
    </row>
    <row r="275" spans="1:29" ht="19.5" customHeight="1">
      <c r="A275" s="756"/>
      <c r="B275" s="215" t="str">
        <f>база!B26</f>
        <v>Журавлева Мария Валентиновна</v>
      </c>
      <c r="C275" s="815"/>
      <c r="D275" s="817"/>
      <c r="E275" s="78"/>
      <c r="F275" s="271"/>
      <c r="G275" s="98"/>
      <c r="H275" s="94"/>
      <c r="I275" s="334"/>
      <c r="J275" s="278"/>
      <c r="K275" s="216"/>
      <c r="L275" s="216"/>
      <c r="M275" s="216"/>
      <c r="N275" s="216"/>
      <c r="O275" s="216"/>
      <c r="P275" s="30"/>
      <c r="Q275" s="78">
        <f>база!$L$6</f>
        <v>261.04640000000001</v>
      </c>
      <c r="R275" s="271">
        <v>1.2</v>
      </c>
      <c r="S275" s="98">
        <f>SUMIFS(Таблица1[сумма],Таблица1[коэф],"1,2",Таблица1[р/р],"5/16",Таблица1[Ф. И. О.],B275)</f>
        <v>0</v>
      </c>
      <c r="T275" s="94">
        <f>ROUND(Q275*R275*S275,2)</f>
        <v>0</v>
      </c>
      <c r="U275" s="314">
        <f>база!$M$6</f>
        <v>279.0496</v>
      </c>
      <c r="V275" s="271">
        <v>1.2</v>
      </c>
      <c r="W275" s="307">
        <f>SUMIFS(Таблица1[сумма],Таблица1[коэф],"1,2",Таблица1[р/р],"5/24",Таблица1[Ф. И. О.],B275)</f>
        <v>0</v>
      </c>
      <c r="X275" s="313">
        <f>ROUND(U275*V275*W275,2)</f>
        <v>0</v>
      </c>
      <c r="Y275" s="819"/>
      <c r="Z275" s="810"/>
      <c r="AA275" s="813"/>
      <c r="AC275" s="707" t="str">
        <f>IF(SUMIFS(Таблица1[сумма],Таблица1[Ф. И. О.],B275)=Y270,"",B270&amp;"  часы не верны")</f>
        <v/>
      </c>
    </row>
    <row r="276" spans="1:29" ht="19.5" customHeight="1">
      <c r="A276" s="756"/>
      <c r="B276" s="215"/>
      <c r="C276" s="815"/>
      <c r="D276" s="817"/>
      <c r="E276" s="78"/>
      <c r="F276" s="271"/>
      <c r="G276" s="98"/>
      <c r="H276" s="94"/>
      <c r="I276" s="334"/>
      <c r="J276" s="278"/>
      <c r="K276" s="216"/>
      <c r="L276" s="216"/>
      <c r="M276" s="216"/>
      <c r="N276" s="216"/>
      <c r="O276" s="216"/>
      <c r="P276" s="30"/>
      <c r="Q276" s="78">
        <f>IF($D$6&lt;=3,база!$L$4,
IF($D$6=4,база!$L$5,
IF($D$6=5,база!$L$6)))</f>
        <v>231.45480000000001</v>
      </c>
      <c r="R276" s="271">
        <v>1.3</v>
      </c>
      <c r="S276" s="98">
        <f>SUMIFS(Таблица1[сумма],Таблица1[коэф],"1,3",Таблица1[р/р],"3/16",Таблица1[Ф. И. О.],B275)</f>
        <v>0</v>
      </c>
      <c r="T276" s="94">
        <f t="shared" ref="T276:T285" si="180">ROUND(Q276*R276*S276,2)</f>
        <v>0</v>
      </c>
      <c r="U276" s="314">
        <f>IF(D270&lt;=3,база!$M$4,
IF(D270=4,база!$M$5,
IF(D270=5,база!$M$6)))</f>
        <v>225.09719999999999</v>
      </c>
      <c r="V276" s="271">
        <v>1.3</v>
      </c>
      <c r="W276" s="307">
        <f>SUMIFS(Таблица1[сумма],Таблица1[коэф],"1,3",Таблица1[р/р],"3/24",Таблица1[Ф. И. О.],B275)</f>
        <v>0</v>
      </c>
      <c r="X276" s="313">
        <f t="shared" ref="X276:X277" si="181">ROUND(U276*V276*W276,2)</f>
        <v>0</v>
      </c>
      <c r="Y276" s="819"/>
      <c r="Z276" s="810"/>
      <c r="AA276" s="813"/>
    </row>
    <row r="277" spans="1:29" ht="19.5" customHeight="1">
      <c r="A277" s="756"/>
      <c r="B277" s="215"/>
      <c r="C277" s="815"/>
      <c r="D277" s="817"/>
      <c r="E277" s="78"/>
      <c r="F277" s="271"/>
      <c r="G277" s="98"/>
      <c r="H277" s="94"/>
      <c r="I277" s="334"/>
      <c r="J277" s="278"/>
      <c r="K277" s="216"/>
      <c r="L277" s="216"/>
      <c r="M277" s="216"/>
      <c r="N277" s="216"/>
      <c r="O277" s="216"/>
      <c r="P277" s="30"/>
      <c r="Q277" s="78">
        <f>база!$L$5</f>
        <v>231.45480000000001</v>
      </c>
      <c r="R277" s="271">
        <v>1.3</v>
      </c>
      <c r="S277" s="98">
        <f>SUMIFS(Таблица1[сумма],Таблица1[коэф],"1,3",Таблица1[р/р],"4/16",Таблица1[Ф. И. О.],B275)</f>
        <v>0</v>
      </c>
      <c r="T277" s="94">
        <f t="shared" si="180"/>
        <v>0</v>
      </c>
      <c r="U277" s="314">
        <f>база!$M$5</f>
        <v>247.41720000000001</v>
      </c>
      <c r="V277" s="271">
        <v>1.3</v>
      </c>
      <c r="W277" s="307">
        <f>SUMIFS(Таблица1[сумма],Таблица1[коэф],"1,3",Таблица1[р/р],"4/24",Таблица1[Ф. И. О.],B275)</f>
        <v>0</v>
      </c>
      <c r="X277" s="313">
        <f t="shared" si="181"/>
        <v>0</v>
      </c>
      <c r="Y277" s="819"/>
      <c r="Z277" s="810"/>
      <c r="AA277" s="813"/>
    </row>
    <row r="278" spans="1:29" ht="19.5" customHeight="1">
      <c r="A278" s="756"/>
      <c r="B278" s="215"/>
      <c r="C278" s="815"/>
      <c r="D278" s="817"/>
      <c r="E278" s="78"/>
      <c r="F278" s="271"/>
      <c r="G278" s="98"/>
      <c r="H278" s="94"/>
      <c r="I278" s="334"/>
      <c r="J278" s="278"/>
      <c r="K278" s="216"/>
      <c r="L278" s="216"/>
      <c r="M278" s="216"/>
      <c r="N278" s="216"/>
      <c r="O278" s="216"/>
      <c r="P278" s="30"/>
      <c r="Q278" s="78">
        <f>IF(D270&lt;=3,база!$L$4,
IF(D270=4,база!$L$5,
IF(D270=5,база!$L$6)))</f>
        <v>210.57480000000001</v>
      </c>
      <c r="R278" s="271">
        <v>1.4</v>
      </c>
      <c r="S278" s="98">
        <f>SUMIFS(Таблица1[сумма],Таблица1[коэф],"1,4",Таблица1[р/р],"3/16",Таблица1[Ф. И. О.],B275)</f>
        <v>0</v>
      </c>
      <c r="T278" s="94">
        <f t="shared" si="180"/>
        <v>0</v>
      </c>
      <c r="U278" s="314">
        <f>IF(D270&lt;=3,база!$M$4,
IF(D270=4,база!$M$5,
IF(D270=5,база!$M$6)))</f>
        <v>225.09719999999999</v>
      </c>
      <c r="V278" s="271">
        <v>1.4</v>
      </c>
      <c r="W278" s="307">
        <f>SUMIFS(Таблица1[сумма],Таблица1[коэф],"1,4",Таблица1[р/р],"3/24",Таблица1[Ф. И. О.],B275)</f>
        <v>0</v>
      </c>
      <c r="X278" s="313">
        <f>ROUND(U278*V278*W278,2)</f>
        <v>0</v>
      </c>
      <c r="Y278" s="819"/>
      <c r="Z278" s="810"/>
      <c r="AA278" s="813"/>
    </row>
    <row r="279" spans="1:29" ht="19.5" customHeight="1">
      <c r="A279" s="756"/>
      <c r="B279" s="215"/>
      <c r="C279" s="815"/>
      <c r="D279" s="817"/>
      <c r="E279" s="78"/>
      <c r="F279" s="271"/>
      <c r="G279" s="98"/>
      <c r="H279" s="94"/>
      <c r="I279" s="334"/>
      <c r="J279" s="278"/>
      <c r="K279" s="216"/>
      <c r="L279" s="216"/>
      <c r="M279" s="216"/>
      <c r="N279" s="216"/>
      <c r="O279" s="216"/>
      <c r="P279" s="30"/>
      <c r="Q279" s="78">
        <f>база!$L$5</f>
        <v>231.45480000000001</v>
      </c>
      <c r="R279" s="271">
        <v>1.4</v>
      </c>
      <c r="S279" s="98">
        <f>SUMIFS(Таблица1[сумма],Таблица1[коэф],"1,4",Таблица1[р/р],"4/16",Таблица1[Ф. И. О.],B275)</f>
        <v>0</v>
      </c>
      <c r="T279" s="94">
        <f t="shared" si="180"/>
        <v>0</v>
      </c>
      <c r="U279" s="314">
        <f>база!$M$5</f>
        <v>247.41720000000001</v>
      </c>
      <c r="V279" s="271">
        <v>1.4</v>
      </c>
      <c r="W279" s="307">
        <f>SUMIFS(Таблица1[сумма],Таблица1[коэф],"1,4",Таблица1[р/р],"4/24",Таблица1[Ф. И. О.],B275)</f>
        <v>0</v>
      </c>
      <c r="X279" s="313">
        <f>ROUND(U279*V279*W279,2)</f>
        <v>0</v>
      </c>
      <c r="Y279" s="819"/>
      <c r="Z279" s="810"/>
      <c r="AA279" s="813"/>
    </row>
    <row r="280" spans="1:29" ht="19.5" customHeight="1" thickBot="1">
      <c r="A280" s="757"/>
      <c r="B280" s="202"/>
      <c r="C280" s="816"/>
      <c r="D280" s="818"/>
      <c r="E280" s="101"/>
      <c r="F280" s="273"/>
      <c r="G280" s="97"/>
      <c r="H280" s="90"/>
      <c r="I280" s="348"/>
      <c r="J280" s="279"/>
      <c r="K280" s="288"/>
      <c r="L280" s="288"/>
      <c r="M280" s="288"/>
      <c r="N280" s="288"/>
      <c r="O280" s="288"/>
      <c r="P280" s="315"/>
      <c r="Q280" s="101">
        <f>база!$L$6</f>
        <v>261.04640000000001</v>
      </c>
      <c r="R280" s="273">
        <v>1.4</v>
      </c>
      <c r="S280" s="97">
        <f>SUMIFS(Таблица1[сумма],Таблица1[коэф],"1,4",Таблица1[р/р],"5/16",Таблица1[Ф. И. О.],B275)</f>
        <v>0</v>
      </c>
      <c r="T280" s="90">
        <f t="shared" si="180"/>
        <v>0</v>
      </c>
      <c r="U280" s="347">
        <f>база!$M$6</f>
        <v>279.0496</v>
      </c>
      <c r="V280" s="273">
        <v>1.4</v>
      </c>
      <c r="W280" s="312">
        <f>SUMIFS(Таблица1[сумма],Таблица1[коэф],"1,4",Таблица1[р/р],"5/24",Таблица1[Ф. И. О.],B275)</f>
        <v>0</v>
      </c>
      <c r="X280" s="343">
        <f>ROUND(U280*V280*W280,2)</f>
        <v>0</v>
      </c>
      <c r="Y280" s="820"/>
      <c r="Z280" s="811"/>
      <c r="AA280" s="814"/>
    </row>
    <row r="281" spans="1:29" ht="18.75" customHeight="1">
      <c r="A281" s="755">
        <v>26</v>
      </c>
      <c r="B281" s="235"/>
      <c r="C281" s="821">
        <f>INDEX(база!$E$2:$E$81, MATCH(B286,база!$B$2:$B$50,0))</f>
        <v>17129</v>
      </c>
      <c r="D281" s="822">
        <f>INDEX(база!$D$2:$D$89, MATCH(B286,база!$B$2:$B$50,0))</f>
        <v>3</v>
      </c>
      <c r="E281" s="72">
        <f>IF(D281&lt;=3,база!$I$4,
IF(D281=4,база!$I$5,
IF(D281=5,база!$I$6)))</f>
        <v>188.7912</v>
      </c>
      <c r="F281" s="269">
        <v>1</v>
      </c>
      <c r="G281" s="95">
        <f>SUMIFS(Таблица1[сумма],Таблица1[коэф],"1",Таблица1[р/р],"2/4",Таблица1[Ф. И. О.],B286)</f>
        <v>0</v>
      </c>
      <c r="H281" s="87">
        <f>ROUND(E281*F281*G281,2)</f>
        <v>0</v>
      </c>
      <c r="I281" s="338">
        <f>IF(D281&lt;=3,база!$J$4,
IF(D281=4,база!$J$5,
IF(D281=5,база!$J$6)))</f>
        <v>196.05240000000001</v>
      </c>
      <c r="J281" s="276">
        <v>1</v>
      </c>
      <c r="K281" s="287">
        <f>SUMIFS(Таблица1[сумма],Таблица1[коэф],"1",Таблица1[р/р],"2/8",Таблица1[Ф. И. О.],B286)</f>
        <v>0</v>
      </c>
      <c r="L281" s="287">
        <f>ROUND(I281*J281*K281,2)</f>
        <v>0</v>
      </c>
      <c r="M281" s="287"/>
      <c r="N281" s="287">
        <v>1</v>
      </c>
      <c r="O281" s="287">
        <f>SUMIFS(Data_Tech!$AM$3:$AM$67,Data_Tech!$E$3:$E$67,"1",Data_Tech!$G$3:$G$67,"3/12",Data_Tech!$F$3:$F$67,B286)</f>
        <v>0</v>
      </c>
      <c r="P281" s="280">
        <f>ROUND(M281*N281*O281,2)</f>
        <v>0</v>
      </c>
      <c r="Q281" s="72">
        <f>IF(D281&lt;=3,база!$L$4,
IF(D281=4,база!$L$5,
IF(D281=5,база!$L$6)))</f>
        <v>210.57480000000001</v>
      </c>
      <c r="R281" s="269">
        <v>1</v>
      </c>
      <c r="S281" s="95">
        <f>SUMIFS(Таблица1[сумма],Таблица1[коэф],"1",Таблица1[р/р],"3/16",Таблица1[Ф. И. О.],B286)</f>
        <v>0</v>
      </c>
      <c r="T281" s="87">
        <f t="shared" si="180"/>
        <v>0</v>
      </c>
      <c r="U281" s="339">
        <f>IF(D281&lt;=3,база!$M$4,
IF(D281=4,база!$M$5,
IF(D281=5,база!$M$6)))</f>
        <v>225.09719999999999</v>
      </c>
      <c r="V281" s="269">
        <v>1</v>
      </c>
      <c r="W281" s="340">
        <f>SUMIFS(Таблица1[сумма],Таблица1[коэф],"1",Таблица1[р/р],"3/24",Таблица1[Ф. И. О.],B286)</f>
        <v>0</v>
      </c>
      <c r="X281" s="342">
        <f>ROUND(U281*V281*W281,2)</f>
        <v>0</v>
      </c>
      <c r="Y281" s="819">
        <f t="shared" ref="Y281" si="182">SUM(G281:G291,K281:K291,O281:O291,S281:S291,W281:W291)</f>
        <v>0</v>
      </c>
      <c r="Z281" s="810">
        <f t="shared" ref="Z281" si="183">IFERROR(SUM(H281:H291,L281:L291,T281:T291,X281:X291),"")</f>
        <v>0</v>
      </c>
      <c r="AA281" s="813"/>
    </row>
    <row r="282" spans="1:29" ht="18.75" customHeight="1">
      <c r="A282" s="756"/>
      <c r="B282" s="215"/>
      <c r="C282" s="815"/>
      <c r="D282" s="817"/>
      <c r="E282" s="78">
        <f>IF(D281&lt;=3,база!$I$4,
IF(D281=4,база!$I$5,
IF(D281=5,база!$I$6)))</f>
        <v>188.7912</v>
      </c>
      <c r="F282" s="271">
        <v>1</v>
      </c>
      <c r="G282" s="98">
        <f>SUMIFS(Таблица1[сумма],Таблица1[коэф],"1",Таблица1[р/р],"3/4",Таблица1[Ф. И. О.],B286)</f>
        <v>0</v>
      </c>
      <c r="H282" s="94">
        <f>ROUND(E282*F282*G282,2)</f>
        <v>0</v>
      </c>
      <c r="I282" s="334">
        <f>IF(D281&lt;=3,база!$J$4,
IF(D281=4,база!$J$5,
IF(D281=5,база!$J$6)))</f>
        <v>196.05240000000001</v>
      </c>
      <c r="J282" s="278">
        <v>1</v>
      </c>
      <c r="K282" s="216">
        <f>SUMIFS(Таблица1[сумма],Таблица1[коэф],"1",Таблица1[р/р],"3/8",Таблица1[Ф. И. О.],B286)</f>
        <v>0</v>
      </c>
      <c r="L282" s="216">
        <f>ROUND(I282*J282*K282,2)</f>
        <v>0</v>
      </c>
      <c r="M282" s="216"/>
      <c r="N282" s="216">
        <v>1</v>
      </c>
      <c r="O282" s="216">
        <f>SUMIFS(Data_Tech!$AM$3:$AM$67,Data_Tech!$E$3:$E$67,"1",Data_Tech!$G$3:$G$67,"4/12",Data_Tech!$F$3:$F$67,B286)</f>
        <v>0</v>
      </c>
      <c r="P282" s="30">
        <f>ROUND(M282*O282,2)</f>
        <v>0</v>
      </c>
      <c r="Q282" s="78">
        <f>база!$L$5</f>
        <v>231.45480000000001</v>
      </c>
      <c r="R282" s="271">
        <v>1</v>
      </c>
      <c r="S282" s="98">
        <f>SUMIFS(Таблица1[сумма],Таблица1[коэф],"1",Таблица1[р/р],"4/16",Таблица1[Ф. И. О.],B286)</f>
        <v>0</v>
      </c>
      <c r="T282" s="94">
        <f t="shared" si="180"/>
        <v>0</v>
      </c>
      <c r="U282" s="314">
        <f>база!$M$5</f>
        <v>247.41720000000001</v>
      </c>
      <c r="V282" s="271">
        <v>1</v>
      </c>
      <c r="W282" s="307">
        <f>SUMIFS(Таблица1[сумма],Таблица1[коэф],"1",Таблица1[р/р],"4/24",Таблица1[Ф. И. О.],B286)</f>
        <v>0</v>
      </c>
      <c r="X282" s="313">
        <f t="shared" ref="X282" si="184">ROUND(U282*V282*W282,2)</f>
        <v>0</v>
      </c>
      <c r="Y282" s="819"/>
      <c r="Z282" s="810"/>
      <c r="AA282" s="813"/>
    </row>
    <row r="283" spans="1:29" ht="19.5" customHeight="1">
      <c r="A283" s="756"/>
      <c r="B283" s="215"/>
      <c r="C283" s="815"/>
      <c r="D283" s="817"/>
      <c r="E283" s="78"/>
      <c r="F283" s="271"/>
      <c r="G283" s="98"/>
      <c r="H283" s="94"/>
      <c r="I283" s="334"/>
      <c r="J283" s="278"/>
      <c r="K283" s="216"/>
      <c r="L283" s="216"/>
      <c r="M283" s="216"/>
      <c r="N283" s="216"/>
      <c r="O283" s="216"/>
      <c r="P283" s="30"/>
      <c r="Q283" s="78">
        <f>база!$L$6</f>
        <v>261.04640000000001</v>
      </c>
      <c r="R283" s="271">
        <v>1</v>
      </c>
      <c r="S283" s="98">
        <f>SUMIFS(Таблица1[сумма],Таблица1[коэф],"1",Таблица1[р/р],"5/16",Таблица1[Ф. И. О.],B286)</f>
        <v>0</v>
      </c>
      <c r="T283" s="94">
        <f t="shared" si="180"/>
        <v>0</v>
      </c>
      <c r="U283" s="314">
        <f>база!$M$6</f>
        <v>279.0496</v>
      </c>
      <c r="V283" s="271">
        <v>1</v>
      </c>
      <c r="W283" s="307">
        <f>SUMIFS(Таблица1[сумма],Таблица1[коэф],"1",Таблица1[р/р],"5/24",Таблица1[Ф. И. О.],B286)</f>
        <v>0</v>
      </c>
      <c r="X283" s="313">
        <f>ROUND(U283*V283*W283,2)</f>
        <v>0</v>
      </c>
      <c r="Y283" s="819"/>
      <c r="Z283" s="810"/>
      <c r="AA283" s="813"/>
    </row>
    <row r="284" spans="1:29" ht="19.5" customHeight="1">
      <c r="A284" s="756"/>
      <c r="B284" s="215"/>
      <c r="C284" s="815"/>
      <c r="D284" s="817"/>
      <c r="E284" s="78"/>
      <c r="F284" s="271"/>
      <c r="G284" s="98"/>
      <c r="H284" s="94"/>
      <c r="I284" s="334">
        <f>база!$J$5</f>
        <v>215.4924</v>
      </c>
      <c r="J284" s="278">
        <v>1.5</v>
      </c>
      <c r="K284" s="216">
        <f>SUMIFS(Таблица1[сумма],Таблица1[коэф],"1,5",Таблица1[р/р],"4/8",Таблица1[Ф. И. О.],B286)</f>
        <v>0</v>
      </c>
      <c r="L284" s="216">
        <f>ROUND(I284*J284*K284,2)</f>
        <v>0</v>
      </c>
      <c r="M284" s="216"/>
      <c r="N284" s="216"/>
      <c r="O284" s="216"/>
      <c r="P284" s="30"/>
      <c r="Q284" s="78">
        <f>IF(D281&lt;=3,база!$L$4,
IF(D281=4,база!$L$5,
IF(D281=5,база!$L$6)))</f>
        <v>210.57480000000001</v>
      </c>
      <c r="R284" s="271">
        <v>1.2</v>
      </c>
      <c r="S284" s="98">
        <f>SUMIFS(Таблица1[сумма],Таблица1[коэф],"1,2",Таблица1[р/р],"3/16",Таблица1[Ф. И. О.],B286)</f>
        <v>0</v>
      </c>
      <c r="T284" s="94">
        <f t="shared" si="180"/>
        <v>0</v>
      </c>
      <c r="U284" s="314">
        <f>IF(D281&lt;=3,база!$M$4,
IF(D281=4,база!$M$5,
IF(D281=5,база!$M$6)))</f>
        <v>225.09719999999999</v>
      </c>
      <c r="V284" s="271">
        <v>1.2</v>
      </c>
      <c r="W284" s="307">
        <f>SUMIFS(Таблица1[сумма],Таблица1[коэф],"1,2",Таблица1[р/р],"3/24",Таблица1[Ф. И. О.],B286)</f>
        <v>0</v>
      </c>
      <c r="X284" s="313">
        <f t="shared" ref="X284:X285" si="185">ROUND(U284*V284*W284,2)</f>
        <v>0</v>
      </c>
      <c r="Y284" s="819"/>
      <c r="Z284" s="810"/>
      <c r="AA284" s="813"/>
    </row>
    <row r="285" spans="1:29" ht="19.5" customHeight="1">
      <c r="A285" s="756"/>
      <c r="B285" s="215"/>
      <c r="C285" s="815"/>
      <c r="D285" s="817"/>
      <c r="E285" s="78"/>
      <c r="F285" s="271"/>
      <c r="G285" s="98"/>
      <c r="H285" s="94"/>
      <c r="I285" s="334">
        <f>база!$J$6</f>
        <v>243.04319999999998</v>
      </c>
      <c r="J285" s="278">
        <v>1.5</v>
      </c>
      <c r="K285" s="216">
        <f>SUMIFS(Таблица1[сумма],Таблица1[коэф],"1,5",Таблица1[р/р],"5/8",Таблица1[Ф. И. О.],B286)</f>
        <v>0</v>
      </c>
      <c r="L285" s="216">
        <f>ROUND(I285*J285*K285,2)</f>
        <v>0</v>
      </c>
      <c r="M285" s="216"/>
      <c r="N285" s="216"/>
      <c r="O285" s="216"/>
      <c r="P285" s="30"/>
      <c r="Q285" s="78">
        <f>база!$L$5</f>
        <v>231.45480000000001</v>
      </c>
      <c r="R285" s="271">
        <v>1.2</v>
      </c>
      <c r="S285" s="98">
        <f>SUMIFS(Таблица1[сумма],Таблица1[коэф],"1,2",Таблица1[р/р],"4/16",Таблица1[Ф. И. О.],B286)</f>
        <v>0</v>
      </c>
      <c r="T285" s="94">
        <f t="shared" si="180"/>
        <v>0</v>
      </c>
      <c r="U285" s="314">
        <f>база!$M$5</f>
        <v>247.41720000000001</v>
      </c>
      <c r="V285" s="271">
        <v>1.2</v>
      </c>
      <c r="W285" s="307">
        <f>SUMIFS(Таблица1[сумма],Таблица1[коэф],"1,2",Таблица1[р/р],"4/24",Таблица1[Ф. И. О.],B286)</f>
        <v>0</v>
      </c>
      <c r="X285" s="313">
        <f t="shared" si="185"/>
        <v>0</v>
      </c>
      <c r="Y285" s="819"/>
      <c r="Z285" s="810"/>
      <c r="AA285" s="813"/>
      <c r="AC285" s="707" t="str">
        <f>IF(SUMIFS(Таблица1[Столбец2],Таблица1[Ф. И. О.],B286)-Z281=0,"",SUMIFS(Таблица1[Столбец2],Таблица1[Ф. И. О.],B286)-Z281)</f>
        <v/>
      </c>
    </row>
    <row r="286" spans="1:29" ht="19.5" customHeight="1">
      <c r="A286" s="756"/>
      <c r="B286" s="215" t="str">
        <f>база!B27</f>
        <v>Зинина Екатерина Олеговна</v>
      </c>
      <c r="C286" s="815"/>
      <c r="D286" s="817"/>
      <c r="E286" s="78"/>
      <c r="F286" s="271"/>
      <c r="G286" s="98"/>
      <c r="H286" s="94"/>
      <c r="I286" s="334"/>
      <c r="J286" s="278"/>
      <c r="K286" s="216"/>
      <c r="L286" s="216"/>
      <c r="M286" s="216"/>
      <c r="N286" s="216"/>
      <c r="O286" s="216"/>
      <c r="P286" s="30"/>
      <c r="Q286" s="78">
        <f>база!$L$6</f>
        <v>261.04640000000001</v>
      </c>
      <c r="R286" s="271">
        <v>1.2</v>
      </c>
      <c r="S286" s="98">
        <f>SUMIFS(Таблица1[сумма],Таблица1[коэф],"1,2",Таблица1[р/р],"5/16",Таблица1[Ф. И. О.],B286)</f>
        <v>0</v>
      </c>
      <c r="T286" s="94">
        <f>ROUND(Q286*R286*S286,2)</f>
        <v>0</v>
      </c>
      <c r="U286" s="314">
        <f>база!$M$6</f>
        <v>279.0496</v>
      </c>
      <c r="V286" s="271">
        <v>1.2</v>
      </c>
      <c r="W286" s="307">
        <f>SUMIFS(Таблица1[сумма],Таблица1[коэф],"1,2",Таблица1[р/р],"5/24",Таблица1[Ф. И. О.],B286)</f>
        <v>0</v>
      </c>
      <c r="X286" s="313">
        <f>ROUND(U286*V286*W286,2)</f>
        <v>0</v>
      </c>
      <c r="Y286" s="819"/>
      <c r="Z286" s="810"/>
      <c r="AA286" s="813"/>
      <c r="AC286" s="707" t="str">
        <f>IF(SUMIFS(Таблица1[сумма],Таблица1[Ф. И. О.],B286)=Y281,"",B281&amp;"  часы не верны")</f>
        <v/>
      </c>
    </row>
    <row r="287" spans="1:29" ht="19.5" customHeight="1">
      <c r="A287" s="756"/>
      <c r="B287" s="215"/>
      <c r="C287" s="815"/>
      <c r="D287" s="817"/>
      <c r="E287" s="78"/>
      <c r="F287" s="271"/>
      <c r="G287" s="98"/>
      <c r="H287" s="94"/>
      <c r="I287" s="334"/>
      <c r="J287" s="278"/>
      <c r="K287" s="216"/>
      <c r="L287" s="216"/>
      <c r="M287" s="216"/>
      <c r="N287" s="216"/>
      <c r="O287" s="216"/>
      <c r="P287" s="30"/>
      <c r="Q287" s="78">
        <f>IF($D$6&lt;=3,база!$L$4,
IF($D$6=4,база!$L$5,
IF($D$6=5,база!$L$6)))</f>
        <v>231.45480000000001</v>
      </c>
      <c r="R287" s="271">
        <v>1.3</v>
      </c>
      <c r="S287" s="98">
        <f>SUMIFS(Таблица1[сумма],Таблица1[коэф],"1,3",Таблица1[р/р],"3/16",Таблица1[Ф. И. О.],B286)</f>
        <v>0</v>
      </c>
      <c r="T287" s="94">
        <f t="shared" ref="T287:T296" si="186">ROUND(Q287*R287*S287,2)</f>
        <v>0</v>
      </c>
      <c r="U287" s="314">
        <f>IF(D281&lt;=3,база!$M$4,
IF(D281=4,база!$M$5,
IF(D281=5,база!$M$6)))</f>
        <v>225.09719999999999</v>
      </c>
      <c r="V287" s="271">
        <v>1.3</v>
      </c>
      <c r="W287" s="307">
        <f>SUMIFS(Таблица1[сумма],Таблица1[коэф],"1,3",Таблица1[р/р],"3/24",Таблица1[Ф. И. О.],B286)</f>
        <v>0</v>
      </c>
      <c r="X287" s="313">
        <f t="shared" ref="X287:X288" si="187">ROUND(U287*V287*W287,2)</f>
        <v>0</v>
      </c>
      <c r="Y287" s="819"/>
      <c r="Z287" s="810"/>
      <c r="AA287" s="813"/>
    </row>
    <row r="288" spans="1:29" ht="19.5" customHeight="1">
      <c r="A288" s="756"/>
      <c r="B288" s="215"/>
      <c r="C288" s="815"/>
      <c r="D288" s="817"/>
      <c r="E288" s="78"/>
      <c r="F288" s="271"/>
      <c r="G288" s="98"/>
      <c r="H288" s="94"/>
      <c r="I288" s="334"/>
      <c r="J288" s="278"/>
      <c r="K288" s="216"/>
      <c r="L288" s="216"/>
      <c r="M288" s="216"/>
      <c r="N288" s="216"/>
      <c r="O288" s="216"/>
      <c r="P288" s="30"/>
      <c r="Q288" s="78">
        <f>база!$L$5</f>
        <v>231.45480000000001</v>
      </c>
      <c r="R288" s="271">
        <v>1.3</v>
      </c>
      <c r="S288" s="98">
        <f>SUMIFS(Таблица1[сумма],Таблица1[коэф],"1,3",Таблица1[р/р],"4/16",Таблица1[Ф. И. О.],B286)</f>
        <v>0</v>
      </c>
      <c r="T288" s="94">
        <f t="shared" si="186"/>
        <v>0</v>
      </c>
      <c r="U288" s="314">
        <f>база!$M$5</f>
        <v>247.41720000000001</v>
      </c>
      <c r="V288" s="271">
        <v>1.3</v>
      </c>
      <c r="W288" s="307">
        <f>SUMIFS(Таблица1[сумма],Таблица1[коэф],"1,3",Таблица1[р/р],"4/24",Таблица1[Ф. И. О.],B286)</f>
        <v>0</v>
      </c>
      <c r="X288" s="313">
        <f t="shared" si="187"/>
        <v>0</v>
      </c>
      <c r="Y288" s="819"/>
      <c r="Z288" s="810"/>
      <c r="AA288" s="813"/>
    </row>
    <row r="289" spans="1:29" ht="19.5" customHeight="1">
      <c r="A289" s="756"/>
      <c r="B289" s="215"/>
      <c r="C289" s="815"/>
      <c r="D289" s="817"/>
      <c r="E289" s="78"/>
      <c r="F289" s="271"/>
      <c r="G289" s="98"/>
      <c r="H289" s="94"/>
      <c r="I289" s="334"/>
      <c r="J289" s="278"/>
      <c r="K289" s="216"/>
      <c r="L289" s="216"/>
      <c r="M289" s="216"/>
      <c r="N289" s="216"/>
      <c r="O289" s="216"/>
      <c r="P289" s="30"/>
      <c r="Q289" s="78">
        <f>IF(D281&lt;=3,база!$L$4,
IF(D281=4,база!$L$5,
IF(D281=5,база!$L$6)))</f>
        <v>210.57480000000001</v>
      </c>
      <c r="R289" s="271">
        <v>1.4</v>
      </c>
      <c r="S289" s="98">
        <f>SUMIFS(Таблица1[сумма],Таблица1[коэф],"1,4",Таблица1[р/р],"3/16",Таблица1[Ф. И. О.],B286)</f>
        <v>0</v>
      </c>
      <c r="T289" s="94">
        <f t="shared" si="186"/>
        <v>0</v>
      </c>
      <c r="U289" s="314">
        <f>IF(D281&lt;=3,база!$M$4,
IF(D281=4,база!$M$5,
IF(D281=5,база!$M$6)))</f>
        <v>225.09719999999999</v>
      </c>
      <c r="V289" s="271">
        <v>1.4</v>
      </c>
      <c r="W289" s="307">
        <f>SUMIFS(Таблица1[сумма],Таблица1[коэф],"1,4",Таблица1[р/р],"3/24",Таблица1[Ф. И. О.],B286)</f>
        <v>0</v>
      </c>
      <c r="X289" s="313">
        <f>ROUND(U289*V289*W289,2)</f>
        <v>0</v>
      </c>
      <c r="Y289" s="819"/>
      <c r="Z289" s="810"/>
      <c r="AA289" s="813"/>
    </row>
    <row r="290" spans="1:29" ht="19.5" customHeight="1">
      <c r="A290" s="756"/>
      <c r="B290" s="215"/>
      <c r="C290" s="815"/>
      <c r="D290" s="817"/>
      <c r="E290" s="78"/>
      <c r="F290" s="271"/>
      <c r="G290" s="98"/>
      <c r="H290" s="94"/>
      <c r="I290" s="334"/>
      <c r="J290" s="278"/>
      <c r="K290" s="216"/>
      <c r="L290" s="216"/>
      <c r="M290" s="216"/>
      <c r="N290" s="216"/>
      <c r="O290" s="216"/>
      <c r="P290" s="30"/>
      <c r="Q290" s="78">
        <f>база!$L$5</f>
        <v>231.45480000000001</v>
      </c>
      <c r="R290" s="271">
        <v>1.4</v>
      </c>
      <c r="S290" s="98">
        <f>SUMIFS(Таблица1[сумма],Таблица1[коэф],"1,4",Таблица1[р/р],"4/16",Таблица1[Ф. И. О.],B286)</f>
        <v>0</v>
      </c>
      <c r="T290" s="94">
        <f t="shared" si="186"/>
        <v>0</v>
      </c>
      <c r="U290" s="314">
        <f>база!$M$5</f>
        <v>247.41720000000001</v>
      </c>
      <c r="V290" s="271">
        <v>1.4</v>
      </c>
      <c r="W290" s="307">
        <f>SUMIFS(Таблица1[сумма],Таблица1[коэф],"1,4",Таблица1[р/р],"4/24",Таблица1[Ф. И. О.],B286)</f>
        <v>0</v>
      </c>
      <c r="X290" s="313">
        <f>ROUND(U290*V290*W290,2)</f>
        <v>0</v>
      </c>
      <c r="Y290" s="819"/>
      <c r="Z290" s="810"/>
      <c r="AA290" s="813"/>
    </row>
    <row r="291" spans="1:29" ht="19.5" customHeight="1" thickBot="1">
      <c r="A291" s="757"/>
      <c r="B291" s="202"/>
      <c r="C291" s="816"/>
      <c r="D291" s="818"/>
      <c r="E291" s="101"/>
      <c r="F291" s="273"/>
      <c r="G291" s="97"/>
      <c r="H291" s="90"/>
      <c r="I291" s="348"/>
      <c r="J291" s="279"/>
      <c r="K291" s="288"/>
      <c r="L291" s="288"/>
      <c r="M291" s="288"/>
      <c r="N291" s="288"/>
      <c r="O291" s="288"/>
      <c r="P291" s="315"/>
      <c r="Q291" s="101">
        <f>база!$L$6</f>
        <v>261.04640000000001</v>
      </c>
      <c r="R291" s="273">
        <v>1.4</v>
      </c>
      <c r="S291" s="97">
        <f>SUMIFS(Таблица1[сумма],Таблица1[коэф],"1,4",Таблица1[р/р],"5/16",Таблица1[Ф. И. О.],B286)</f>
        <v>0</v>
      </c>
      <c r="T291" s="90">
        <f t="shared" si="186"/>
        <v>0</v>
      </c>
      <c r="U291" s="347">
        <f>база!$M$6</f>
        <v>279.0496</v>
      </c>
      <c r="V291" s="273">
        <v>1.4</v>
      </c>
      <c r="W291" s="312">
        <f>SUMIFS(Таблица1[сумма],Таблица1[коэф],"1,4",Таблица1[р/р],"5/24",Таблица1[Ф. И. О.],B286)</f>
        <v>0</v>
      </c>
      <c r="X291" s="343">
        <f>ROUND(U291*V291*W291,2)</f>
        <v>0</v>
      </c>
      <c r="Y291" s="820"/>
      <c r="Z291" s="811"/>
      <c r="AA291" s="814"/>
    </row>
    <row r="292" spans="1:29" ht="18.75" customHeight="1">
      <c r="A292" s="755">
        <v>27</v>
      </c>
      <c r="B292" s="235"/>
      <c r="C292" s="821">
        <f>INDEX(база!$E$2:$E$81, MATCH(B297,база!$B$2:$B$50,0))</f>
        <v>13676</v>
      </c>
      <c r="D292" s="822">
        <f>INDEX(база!$D$2:$D$89, MATCH(B297,база!$B$2:$B$50,0))</f>
        <v>4</v>
      </c>
      <c r="E292" s="72">
        <f>IF(D292&lt;=3,база!$I$4,
IF(D292=4,база!$I$5,
IF(D292=5,база!$I$6)))</f>
        <v>207.5112</v>
      </c>
      <c r="F292" s="269">
        <v>1</v>
      </c>
      <c r="G292" s="95">
        <f>SUMIFS(Таблица1[сумма],Таблица1[коэф],"1",Таблица1[р/р],"2/4",Таблица1[Ф. И. О.],B297)</f>
        <v>0</v>
      </c>
      <c r="H292" s="87">
        <f>ROUND(E292*F292*G292,2)</f>
        <v>0</v>
      </c>
      <c r="I292" s="338">
        <f>IF(D292&lt;=3,база!$J$4,
IF(D292=4,база!$J$5,
IF(D292=5,база!$J$6)))</f>
        <v>215.4924</v>
      </c>
      <c r="J292" s="276">
        <v>1</v>
      </c>
      <c r="K292" s="287">
        <f>SUMIFS(Таблица1[сумма],Таблица1[коэф],"1",Таблица1[р/р],"2/8",Таблица1[Ф. И. О.],B297)</f>
        <v>0</v>
      </c>
      <c r="L292" s="287">
        <f>ROUND(I292*J292*K292,2)</f>
        <v>0</v>
      </c>
      <c r="M292" s="287"/>
      <c r="N292" s="287">
        <v>1</v>
      </c>
      <c r="O292" s="287">
        <f>SUMIFS(Data_Tech!$AM$3:$AM$67,Data_Tech!$E$3:$E$67,"1",Data_Tech!$G$3:$G$67,"3/12",Data_Tech!$F$3:$F$67,B297)</f>
        <v>0</v>
      </c>
      <c r="P292" s="280">
        <f>ROUND(M292*N292*O292,2)</f>
        <v>0</v>
      </c>
      <c r="Q292" s="72">
        <f>IF(D292&lt;=3,база!$L$4,
IF(D292=4,база!$L$5,
IF(D292=5,база!$L$6)))</f>
        <v>231.45480000000001</v>
      </c>
      <c r="R292" s="269">
        <v>1</v>
      </c>
      <c r="S292" s="95">
        <f>SUMIFS(Таблица1[сумма],Таблица1[коэф],"1",Таблица1[р/р],"3/16",Таблица1[Ф. И. О.],B297)</f>
        <v>0</v>
      </c>
      <c r="T292" s="87">
        <f t="shared" si="186"/>
        <v>0</v>
      </c>
      <c r="U292" s="339">
        <f>IF(D292&lt;=3,база!$M$4,
IF(D292=4,база!$M$5,
IF(D292=5,база!$M$6)))</f>
        <v>247.41720000000001</v>
      </c>
      <c r="V292" s="269">
        <v>1</v>
      </c>
      <c r="W292" s="340">
        <f>SUMIFS(Таблица1[сумма],Таблица1[коэф],"1",Таблица1[р/р],"3/24",Таблица1[Ф. И. О.],B297)</f>
        <v>0</v>
      </c>
      <c r="X292" s="342">
        <f>ROUND(U292*V292*W292,2)</f>
        <v>0</v>
      </c>
      <c r="Y292" s="819">
        <f t="shared" ref="Y292" si="188">SUM(G292:G302,K292:K302,O292:O302,S292:S302,W292:W302)</f>
        <v>0</v>
      </c>
      <c r="Z292" s="810">
        <f t="shared" ref="Z292" si="189">IFERROR(SUM(H292:H302,L292:L302,T292:T302,X292:X302),"")</f>
        <v>0</v>
      </c>
      <c r="AA292" s="813"/>
    </row>
    <row r="293" spans="1:29" ht="18.75" customHeight="1">
      <c r="A293" s="756"/>
      <c r="B293" s="215"/>
      <c r="C293" s="815"/>
      <c r="D293" s="817"/>
      <c r="E293" s="78">
        <f>IF(D292&lt;=3,база!$I$4,
IF(D292=4,база!$I$5,
IF(D292=5,база!$I$6)))</f>
        <v>207.5112</v>
      </c>
      <c r="F293" s="271">
        <v>1</v>
      </c>
      <c r="G293" s="98">
        <f>SUMIFS(Таблица1[сумма],Таблица1[коэф],"1",Таблица1[р/р],"3/4",Таблица1[Ф. И. О.],B297)</f>
        <v>0</v>
      </c>
      <c r="H293" s="94">
        <f>ROUND(E293*F293*G293,2)</f>
        <v>0</v>
      </c>
      <c r="I293" s="334">
        <f>IF(D292&lt;=3,база!$J$4,
IF(D292=4,база!$J$5,
IF(D292=5,база!$J$6)))</f>
        <v>215.4924</v>
      </c>
      <c r="J293" s="278">
        <v>1</v>
      </c>
      <c r="K293" s="216">
        <f>SUMIFS(Таблица1[сумма],Таблица1[коэф],"1",Таблица1[р/р],"3/8",Таблица1[Ф. И. О.],B297)</f>
        <v>0</v>
      </c>
      <c r="L293" s="216">
        <f>ROUND(I293*J293*K293,2)</f>
        <v>0</v>
      </c>
      <c r="M293" s="216"/>
      <c r="N293" s="216">
        <v>1</v>
      </c>
      <c r="O293" s="216">
        <f>SUMIFS(Data_Tech!$AM$3:$AM$67,Data_Tech!$E$3:$E$67,"1",Data_Tech!$G$3:$G$67,"4/12",Data_Tech!$F$3:$F$67,B297)</f>
        <v>0</v>
      </c>
      <c r="P293" s="30">
        <f>ROUND(M293*O293,2)</f>
        <v>0</v>
      </c>
      <c r="Q293" s="78">
        <f>база!$L$5</f>
        <v>231.45480000000001</v>
      </c>
      <c r="R293" s="271">
        <v>1</v>
      </c>
      <c r="S293" s="98">
        <f>SUMIFS(Таблица1[сумма],Таблица1[коэф],"1",Таблица1[р/р],"4/16",Таблица1[Ф. И. О.],B297)</f>
        <v>0</v>
      </c>
      <c r="T293" s="94">
        <f t="shared" si="186"/>
        <v>0</v>
      </c>
      <c r="U293" s="314">
        <f>база!$M$5</f>
        <v>247.41720000000001</v>
      </c>
      <c r="V293" s="271">
        <v>1</v>
      </c>
      <c r="W293" s="307">
        <f>SUMIFS(Таблица1[сумма],Таблица1[коэф],"1",Таблица1[р/р],"4/24",Таблица1[Ф. И. О.],B297)</f>
        <v>0</v>
      </c>
      <c r="X293" s="313">
        <f t="shared" ref="X293" si="190">ROUND(U293*V293*W293,2)</f>
        <v>0</v>
      </c>
      <c r="Y293" s="819"/>
      <c r="Z293" s="810"/>
      <c r="AA293" s="813"/>
    </row>
    <row r="294" spans="1:29" ht="19.5" customHeight="1">
      <c r="A294" s="756"/>
      <c r="B294" s="215"/>
      <c r="C294" s="815"/>
      <c r="D294" s="817"/>
      <c r="E294" s="78"/>
      <c r="F294" s="271"/>
      <c r="G294" s="98"/>
      <c r="H294" s="94"/>
      <c r="I294" s="334"/>
      <c r="J294" s="278"/>
      <c r="K294" s="216"/>
      <c r="L294" s="216"/>
      <c r="M294" s="216"/>
      <c r="N294" s="216"/>
      <c r="O294" s="216"/>
      <c r="P294" s="30"/>
      <c r="Q294" s="78">
        <f>база!$L$6</f>
        <v>261.04640000000001</v>
      </c>
      <c r="R294" s="271">
        <v>1</v>
      </c>
      <c r="S294" s="98">
        <f>SUMIFS(Таблица1[сумма],Таблица1[коэф],"1",Таблица1[р/р],"5/16",Таблица1[Ф. И. О.],B297)</f>
        <v>0</v>
      </c>
      <c r="T294" s="94">
        <f t="shared" si="186"/>
        <v>0</v>
      </c>
      <c r="U294" s="314">
        <f>база!$M$6</f>
        <v>279.0496</v>
      </c>
      <c r="V294" s="271">
        <v>1</v>
      </c>
      <c r="W294" s="307">
        <f>SUMIFS(Таблица1[сумма],Таблица1[коэф],"1",Таблица1[р/р],"5/24",Таблица1[Ф. И. О.],B297)</f>
        <v>0</v>
      </c>
      <c r="X294" s="313">
        <f>ROUND(U294*V294*W294,2)</f>
        <v>0</v>
      </c>
      <c r="Y294" s="819"/>
      <c r="Z294" s="810"/>
      <c r="AA294" s="813"/>
    </row>
    <row r="295" spans="1:29" ht="19.5" customHeight="1">
      <c r="A295" s="756"/>
      <c r="B295" s="215"/>
      <c r="C295" s="815"/>
      <c r="D295" s="817"/>
      <c r="E295" s="78"/>
      <c r="F295" s="271"/>
      <c r="G295" s="98"/>
      <c r="H295" s="94"/>
      <c r="I295" s="334">
        <f>база!$J$5</f>
        <v>215.4924</v>
      </c>
      <c r="J295" s="278">
        <v>1.5</v>
      </c>
      <c r="K295" s="216">
        <f>SUMIFS(Таблица1[сумма],Таблица1[коэф],"1,5",Таблица1[р/р],"4/8",Таблица1[Ф. И. О.],B297)</f>
        <v>0</v>
      </c>
      <c r="L295" s="216">
        <f>ROUND(I295*J295*K295,2)</f>
        <v>0</v>
      </c>
      <c r="M295" s="216"/>
      <c r="N295" s="216"/>
      <c r="O295" s="216"/>
      <c r="P295" s="30"/>
      <c r="Q295" s="78">
        <f>IF(D292&lt;=3,база!$L$4,
IF(D292=4,база!$L$5,
IF(D292=5,база!$L$6)))</f>
        <v>231.45480000000001</v>
      </c>
      <c r="R295" s="271">
        <v>1.2</v>
      </c>
      <c r="S295" s="98">
        <f>SUMIFS(Таблица1[сумма],Таблица1[коэф],"1,2",Таблица1[р/р],"3/16",Таблица1[Ф. И. О.],B297)</f>
        <v>0</v>
      </c>
      <c r="T295" s="94">
        <f t="shared" si="186"/>
        <v>0</v>
      </c>
      <c r="U295" s="314">
        <f>IF(D292&lt;=3,база!$M$4,
IF(D292=4,база!$M$5,
IF(D292=5,база!$M$6)))</f>
        <v>247.41720000000001</v>
      </c>
      <c r="V295" s="271">
        <v>1.2</v>
      </c>
      <c r="W295" s="307">
        <f>SUMIFS(Таблица1[сумма],Таблица1[коэф],"1,2",Таблица1[р/р],"3/24",Таблица1[Ф. И. О.],B297)</f>
        <v>0</v>
      </c>
      <c r="X295" s="313">
        <f t="shared" ref="X295:X296" si="191">ROUND(U295*V295*W295,2)</f>
        <v>0</v>
      </c>
      <c r="Y295" s="819"/>
      <c r="Z295" s="810"/>
      <c r="AA295" s="813"/>
    </row>
    <row r="296" spans="1:29" ht="19.5" customHeight="1">
      <c r="A296" s="756"/>
      <c r="B296" s="215"/>
      <c r="C296" s="815"/>
      <c r="D296" s="817"/>
      <c r="E296" s="78"/>
      <c r="F296" s="271"/>
      <c r="G296" s="98"/>
      <c r="H296" s="94"/>
      <c r="I296" s="334">
        <f>база!$J$6</f>
        <v>243.04319999999998</v>
      </c>
      <c r="J296" s="278">
        <v>1.5</v>
      </c>
      <c r="K296" s="216">
        <f>SUMIFS(Таблица1[сумма],Таблица1[коэф],"1,5",Таблица1[р/р],"5/8",Таблица1[Ф. И. О.],B297)</f>
        <v>0</v>
      </c>
      <c r="L296" s="216">
        <f>ROUND(I296*J296*K296,2)</f>
        <v>0</v>
      </c>
      <c r="M296" s="216"/>
      <c r="N296" s="216"/>
      <c r="O296" s="216"/>
      <c r="P296" s="30"/>
      <c r="Q296" s="78">
        <f>база!$L$5</f>
        <v>231.45480000000001</v>
      </c>
      <c r="R296" s="271">
        <v>1.2</v>
      </c>
      <c r="S296" s="98">
        <f>SUMIFS(Таблица1[сумма],Таблица1[коэф],"1,2",Таблица1[р/р],"4/16",Таблица1[Ф. И. О.],B297)</f>
        <v>0</v>
      </c>
      <c r="T296" s="94">
        <f t="shared" si="186"/>
        <v>0</v>
      </c>
      <c r="U296" s="314">
        <f>база!$M$5</f>
        <v>247.41720000000001</v>
      </c>
      <c r="V296" s="271">
        <v>1.2</v>
      </c>
      <c r="W296" s="307">
        <f>SUMIFS(Таблица1[сумма],Таблица1[коэф],"1,2",Таблица1[р/р],"4/24",Таблица1[Ф. И. О.],B297)</f>
        <v>0</v>
      </c>
      <c r="X296" s="313">
        <f t="shared" si="191"/>
        <v>0</v>
      </c>
      <c r="Y296" s="819"/>
      <c r="Z296" s="810"/>
      <c r="AA296" s="813"/>
      <c r="AC296" s="707" t="str">
        <f>IF(SUMIFS(Таблица1[Столбец2],Таблица1[Ф. И. О.],B297)-Z292=0,"",SUMIFS(Таблица1[Столбец2],Таблица1[Ф. И. О.],B297)-Z292)</f>
        <v/>
      </c>
    </row>
    <row r="297" spans="1:29" ht="19.5" customHeight="1">
      <c r="A297" s="756"/>
      <c r="B297" s="215" t="str">
        <f>база!B28</f>
        <v>Зоидзе Ирина Сергеевна</v>
      </c>
      <c r="C297" s="815"/>
      <c r="D297" s="817"/>
      <c r="E297" s="78"/>
      <c r="F297" s="271"/>
      <c r="G297" s="98"/>
      <c r="H297" s="94"/>
      <c r="I297" s="334"/>
      <c r="J297" s="278"/>
      <c r="K297" s="216"/>
      <c r="L297" s="216"/>
      <c r="M297" s="216"/>
      <c r="N297" s="216"/>
      <c r="O297" s="216"/>
      <c r="P297" s="30"/>
      <c r="Q297" s="78">
        <f>база!$L$6</f>
        <v>261.04640000000001</v>
      </c>
      <c r="R297" s="271">
        <v>1.2</v>
      </c>
      <c r="S297" s="98">
        <f>SUMIFS(Таблица1[сумма],Таблица1[коэф],"1,2",Таблица1[р/р],"5/16",Таблица1[Ф. И. О.],B297)</f>
        <v>0</v>
      </c>
      <c r="T297" s="94">
        <f>ROUND(Q297*R297*S297,2)</f>
        <v>0</v>
      </c>
      <c r="U297" s="314">
        <f>база!$M$6</f>
        <v>279.0496</v>
      </c>
      <c r="V297" s="271">
        <v>1.2</v>
      </c>
      <c r="W297" s="307">
        <f>SUMIFS(Таблица1[сумма],Таблица1[коэф],"1,2",Таблица1[р/р],"5/24",Таблица1[Ф. И. О.],B297)</f>
        <v>0</v>
      </c>
      <c r="X297" s="313">
        <f>ROUND(U297*V297*W297,2)</f>
        <v>0</v>
      </c>
      <c r="Y297" s="819"/>
      <c r="Z297" s="810"/>
      <c r="AA297" s="813"/>
      <c r="AC297" s="707" t="str">
        <f>IF(SUMIFS(Таблица1[сумма],Таблица1[Ф. И. О.],B297)=Y292,"",B292&amp;"  часы не верны")</f>
        <v/>
      </c>
    </row>
    <row r="298" spans="1:29" ht="19.5" customHeight="1">
      <c r="A298" s="756"/>
      <c r="B298" s="215"/>
      <c r="C298" s="815"/>
      <c r="D298" s="817"/>
      <c r="E298" s="78"/>
      <c r="F298" s="271"/>
      <c r="G298" s="98"/>
      <c r="H298" s="94"/>
      <c r="I298" s="334"/>
      <c r="J298" s="278"/>
      <c r="K298" s="216"/>
      <c r="L298" s="216"/>
      <c r="M298" s="216"/>
      <c r="N298" s="216"/>
      <c r="O298" s="216"/>
      <c r="P298" s="30"/>
      <c r="Q298" s="78">
        <f>IF($D$6&lt;=3,база!$L$4,
IF($D$6=4,база!$L$5,
IF($D$6=5,база!$L$6)))</f>
        <v>231.45480000000001</v>
      </c>
      <c r="R298" s="271">
        <v>1.3</v>
      </c>
      <c r="S298" s="98">
        <f>SUMIFS(Таблица1[сумма],Таблица1[коэф],"1,3",Таблица1[р/р],"3/16",Таблица1[Ф. И. О.],B297)</f>
        <v>0</v>
      </c>
      <c r="T298" s="94">
        <f t="shared" ref="T298:T307" si="192">ROUND(Q298*R298*S298,2)</f>
        <v>0</v>
      </c>
      <c r="U298" s="314">
        <f>IF(D292&lt;=3,база!$M$4,
IF(D292=4,база!$M$5,
IF(D292=5,база!$M$6)))</f>
        <v>247.41720000000001</v>
      </c>
      <c r="V298" s="271">
        <v>1.3</v>
      </c>
      <c r="W298" s="307">
        <f>SUMIFS(Таблица1[сумма],Таблица1[коэф],"1,3",Таблица1[р/р],"3/24",Таблица1[Ф. И. О.],B297)</f>
        <v>0</v>
      </c>
      <c r="X298" s="313">
        <f t="shared" ref="X298:X299" si="193">ROUND(U298*V298*W298,2)</f>
        <v>0</v>
      </c>
      <c r="Y298" s="819"/>
      <c r="Z298" s="810"/>
      <c r="AA298" s="813"/>
    </row>
    <row r="299" spans="1:29" ht="19.5" customHeight="1">
      <c r="A299" s="756"/>
      <c r="B299" s="215"/>
      <c r="C299" s="815"/>
      <c r="D299" s="817"/>
      <c r="E299" s="78"/>
      <c r="F299" s="271"/>
      <c r="G299" s="98"/>
      <c r="H299" s="94"/>
      <c r="I299" s="334"/>
      <c r="J299" s="278"/>
      <c r="K299" s="216"/>
      <c r="L299" s="216"/>
      <c r="M299" s="216"/>
      <c r="N299" s="216"/>
      <c r="O299" s="216"/>
      <c r="P299" s="30"/>
      <c r="Q299" s="78">
        <f>база!$L$5</f>
        <v>231.45480000000001</v>
      </c>
      <c r="R299" s="271">
        <v>1.3</v>
      </c>
      <c r="S299" s="98">
        <f>SUMIFS(Таблица1[сумма],Таблица1[коэф],"1,3",Таблица1[р/р],"4/16",Таблица1[Ф. И. О.],B297)</f>
        <v>0</v>
      </c>
      <c r="T299" s="94">
        <f t="shared" si="192"/>
        <v>0</v>
      </c>
      <c r="U299" s="314">
        <f>база!$M$5</f>
        <v>247.41720000000001</v>
      </c>
      <c r="V299" s="271">
        <v>1.3</v>
      </c>
      <c r="W299" s="307">
        <f>SUMIFS(Таблица1[сумма],Таблица1[коэф],"1,3",Таблица1[р/р],"4/24",Таблица1[Ф. И. О.],B297)</f>
        <v>0</v>
      </c>
      <c r="X299" s="313">
        <f t="shared" si="193"/>
        <v>0</v>
      </c>
      <c r="Y299" s="819"/>
      <c r="Z299" s="810"/>
      <c r="AA299" s="813"/>
    </row>
    <row r="300" spans="1:29" ht="19.5" customHeight="1">
      <c r="A300" s="756"/>
      <c r="B300" s="215"/>
      <c r="C300" s="815"/>
      <c r="D300" s="817"/>
      <c r="E300" s="78"/>
      <c r="F300" s="271"/>
      <c r="G300" s="98"/>
      <c r="H300" s="94"/>
      <c r="I300" s="334"/>
      <c r="J300" s="278"/>
      <c r="K300" s="216"/>
      <c r="L300" s="216"/>
      <c r="M300" s="216"/>
      <c r="N300" s="216"/>
      <c r="O300" s="216"/>
      <c r="P300" s="30"/>
      <c r="Q300" s="78">
        <f>IF(D292&lt;=3,база!$L$4,
IF(D292=4,база!$L$5,
IF(D292=5,база!$L$6)))</f>
        <v>231.45480000000001</v>
      </c>
      <c r="R300" s="271">
        <v>1.4</v>
      </c>
      <c r="S300" s="98">
        <f>SUMIFS(Таблица1[сумма],Таблица1[коэф],"1,4",Таблица1[р/р],"3/16",Таблица1[Ф. И. О.],B297)</f>
        <v>0</v>
      </c>
      <c r="T300" s="94">
        <f t="shared" si="192"/>
        <v>0</v>
      </c>
      <c r="U300" s="314">
        <f>IF(D292&lt;=3,база!$M$4,
IF(D292=4,база!$M$5,
IF(D292=5,база!$M$6)))</f>
        <v>247.41720000000001</v>
      </c>
      <c r="V300" s="271">
        <v>1.4</v>
      </c>
      <c r="W300" s="307">
        <f>SUMIFS(Таблица1[сумма],Таблица1[коэф],"1,4",Таблица1[р/р],"3/24",Таблица1[Ф. И. О.],B297)</f>
        <v>0</v>
      </c>
      <c r="X300" s="313">
        <f>ROUND(U300*V300*W300,2)</f>
        <v>0</v>
      </c>
      <c r="Y300" s="819"/>
      <c r="Z300" s="810"/>
      <c r="AA300" s="813"/>
    </row>
    <row r="301" spans="1:29" ht="19.5" customHeight="1">
      <c r="A301" s="756"/>
      <c r="B301" s="215"/>
      <c r="C301" s="815"/>
      <c r="D301" s="817"/>
      <c r="E301" s="78"/>
      <c r="F301" s="271"/>
      <c r="G301" s="98"/>
      <c r="H301" s="94"/>
      <c r="I301" s="334"/>
      <c r="J301" s="278"/>
      <c r="K301" s="216"/>
      <c r="L301" s="216"/>
      <c r="M301" s="216"/>
      <c r="N301" s="216"/>
      <c r="O301" s="216"/>
      <c r="P301" s="30"/>
      <c r="Q301" s="78">
        <f>база!$L$5</f>
        <v>231.45480000000001</v>
      </c>
      <c r="R301" s="271">
        <v>1.4</v>
      </c>
      <c r="S301" s="98">
        <f>SUMIFS(Таблица1[сумма],Таблица1[коэф],"1,4",Таблица1[р/р],"4/16",Таблица1[Ф. И. О.],B297)</f>
        <v>0</v>
      </c>
      <c r="T301" s="94">
        <f t="shared" si="192"/>
        <v>0</v>
      </c>
      <c r="U301" s="314">
        <f>база!$M$5</f>
        <v>247.41720000000001</v>
      </c>
      <c r="V301" s="271">
        <v>1.4</v>
      </c>
      <c r="W301" s="307">
        <f>SUMIFS(Таблица1[сумма],Таблица1[коэф],"1,4",Таблица1[р/р],"4/24",Таблица1[Ф. И. О.],B297)</f>
        <v>0</v>
      </c>
      <c r="X301" s="313">
        <f>ROUND(U301*V301*W301,2)</f>
        <v>0</v>
      </c>
      <c r="Y301" s="819"/>
      <c r="Z301" s="810"/>
      <c r="AA301" s="813"/>
    </row>
    <row r="302" spans="1:29" ht="19.5" customHeight="1" thickBot="1">
      <c r="A302" s="757"/>
      <c r="B302" s="202"/>
      <c r="C302" s="816"/>
      <c r="D302" s="818"/>
      <c r="E302" s="101"/>
      <c r="F302" s="273"/>
      <c r="G302" s="97"/>
      <c r="H302" s="90"/>
      <c r="I302" s="348"/>
      <c r="J302" s="279"/>
      <c r="K302" s="288"/>
      <c r="L302" s="288"/>
      <c r="M302" s="288"/>
      <c r="N302" s="288"/>
      <c r="O302" s="288"/>
      <c r="P302" s="315"/>
      <c r="Q302" s="101">
        <f>база!$L$6</f>
        <v>261.04640000000001</v>
      </c>
      <c r="R302" s="273">
        <v>1.4</v>
      </c>
      <c r="S302" s="97">
        <f>SUMIFS(Таблица1[сумма],Таблица1[коэф],"1,4",Таблица1[р/р],"5/16",Таблица1[Ф. И. О.],B297)</f>
        <v>0</v>
      </c>
      <c r="T302" s="90">
        <f t="shared" si="192"/>
        <v>0</v>
      </c>
      <c r="U302" s="347">
        <f>база!$M$6</f>
        <v>279.0496</v>
      </c>
      <c r="V302" s="273">
        <v>1.4</v>
      </c>
      <c r="W302" s="312">
        <f>SUMIFS(Таблица1[сумма],Таблица1[коэф],"1,4",Таблица1[р/р],"5/24",Таблица1[Ф. И. О.],B297)</f>
        <v>0</v>
      </c>
      <c r="X302" s="343">
        <f>ROUND(U302*V302*W302,2)</f>
        <v>0</v>
      </c>
      <c r="Y302" s="820"/>
      <c r="Z302" s="811"/>
      <c r="AA302" s="814"/>
    </row>
    <row r="303" spans="1:29">
      <c r="A303" s="755">
        <v>28</v>
      </c>
      <c r="B303" s="235"/>
      <c r="C303" s="821">
        <f>INDEX(база!$E$2:$E$81, MATCH(B308,база!$B$2:$B$50,0))</f>
        <v>17122</v>
      </c>
      <c r="D303" s="822">
        <f>INDEX(база!$D$2:$D$89, MATCH(B308,база!$B$2:$B$50,0))</f>
        <v>3</v>
      </c>
      <c r="E303" s="72">
        <f>IF(D303&lt;=3,база!$I$4,
IF(D303=4,база!$I$5,
IF(D303=5,база!$I$6)))</f>
        <v>188.7912</v>
      </c>
      <c r="F303" s="269">
        <v>1</v>
      </c>
      <c r="G303" s="95">
        <f>SUMIFS(Таблица1[сумма],Таблица1[коэф],"1",Таблица1[р/р],"2/4",Таблица1[Ф. И. О.],B308)</f>
        <v>0</v>
      </c>
      <c r="H303" s="87">
        <f>ROUND(E303*F303*G303,2)</f>
        <v>0</v>
      </c>
      <c r="I303" s="338">
        <f>IF(D303&lt;=3,база!$J$4,
IF(D303=4,база!$J$5,
IF(D303=5,база!$J$6)))</f>
        <v>196.05240000000001</v>
      </c>
      <c r="J303" s="276">
        <v>1</v>
      </c>
      <c r="K303" s="287">
        <f>SUMIFS(Таблица1[сумма],Таблица1[коэф],"1",Таблица1[р/р],"2/8",Таблица1[Ф. И. О.],B308)</f>
        <v>0</v>
      </c>
      <c r="L303" s="287">
        <f>ROUND(I303*J303*K303,2)</f>
        <v>0</v>
      </c>
      <c r="M303" s="287"/>
      <c r="N303" s="287">
        <v>1</v>
      </c>
      <c r="O303" s="287">
        <f>SUMIFS(Data_Tech!$AM$3:$AM$67,Data_Tech!$E$3:$E$67,"1",Data_Tech!$G$3:$G$67,"3/12",Data_Tech!$F$3:$F$67,B308)</f>
        <v>0</v>
      </c>
      <c r="P303" s="280">
        <f>ROUND(M303*N303*O303,2)</f>
        <v>0</v>
      </c>
      <c r="Q303" s="72">
        <f>IF(D303&lt;=3,база!$L$4,
IF(D303=4,база!$L$5,
IF(D303=5,база!$L$6)))</f>
        <v>210.57480000000001</v>
      </c>
      <c r="R303" s="269">
        <v>1</v>
      </c>
      <c r="S303" s="95">
        <f>SUMIFS(Таблица1[сумма],Таблица1[коэф],"1",Таблица1[р/р],"3/16",Таблица1[Ф. И. О.],B308)</f>
        <v>0</v>
      </c>
      <c r="T303" s="87">
        <f t="shared" si="192"/>
        <v>0</v>
      </c>
      <c r="U303" s="339">
        <f>IF(D303&lt;=3,база!$M$4,
IF(D303=4,база!$M$5,
IF(D303=5,база!$M$6)))</f>
        <v>225.09719999999999</v>
      </c>
      <c r="V303" s="269">
        <v>1</v>
      </c>
      <c r="W303" s="340">
        <f>SUMIFS(Таблица1[сумма],Таблица1[коэф],"1",Таблица1[р/р],"3/24",Таблица1[Ф. И. О.],B308)</f>
        <v>0</v>
      </c>
      <c r="X303" s="342">
        <f>ROUND(U303*V303*W303,2)</f>
        <v>0</v>
      </c>
      <c r="Y303" s="819">
        <f t="shared" ref="Y303" si="194">SUM(G303:G313,K303:K313,O303:O313,S303:S313,W303:W313)</f>
        <v>0</v>
      </c>
      <c r="Z303" s="810">
        <f t="shared" ref="Z303" si="195">IFERROR(SUM(H303:H313,L303:L313,T303:T313,X303:X313),"")</f>
        <v>0</v>
      </c>
      <c r="AA303" s="813"/>
    </row>
    <row r="304" spans="1:29">
      <c r="A304" s="756"/>
      <c r="B304" s="215"/>
      <c r="C304" s="815"/>
      <c r="D304" s="817"/>
      <c r="E304" s="78">
        <f>IF(D303&lt;=3,база!$I$4,
IF(D303=4,база!$I$5,
IF(D303=5,база!$I$6)))</f>
        <v>188.7912</v>
      </c>
      <c r="F304" s="271">
        <v>1</v>
      </c>
      <c r="G304" s="98">
        <f>SUMIFS(Таблица1[сумма],Таблица1[коэф],"1",Таблица1[р/р],"3/4",Таблица1[Ф. И. О.],B308)</f>
        <v>0</v>
      </c>
      <c r="H304" s="94">
        <f>ROUND(E304*F304*G304,2)</f>
        <v>0</v>
      </c>
      <c r="I304" s="334">
        <f>IF(D303&lt;=3,база!$J$4,
IF(D303=4,база!$J$5,
IF(D303=5,база!$J$6)))</f>
        <v>196.05240000000001</v>
      </c>
      <c r="J304" s="278">
        <v>1</v>
      </c>
      <c r="K304" s="216">
        <f>SUMIFS(Таблица1[сумма],Таблица1[коэф],"1",Таблица1[р/р],"3/8",Таблица1[Ф. И. О.],B308)</f>
        <v>0</v>
      </c>
      <c r="L304" s="216">
        <f>ROUND(I304*J304*K304,2)</f>
        <v>0</v>
      </c>
      <c r="M304" s="216"/>
      <c r="N304" s="216">
        <v>1</v>
      </c>
      <c r="O304" s="216">
        <f>SUMIFS(Data_Tech!$AM$3:$AM$67,Data_Tech!$E$3:$E$67,"1",Data_Tech!$G$3:$G$67,"4/12",Data_Tech!$F$3:$F$67,B308)</f>
        <v>0</v>
      </c>
      <c r="P304" s="30">
        <f>ROUND(M304*O304,2)</f>
        <v>0</v>
      </c>
      <c r="Q304" s="78">
        <f>база!$L$5</f>
        <v>231.45480000000001</v>
      </c>
      <c r="R304" s="271">
        <v>1</v>
      </c>
      <c r="S304" s="98">
        <f>SUMIFS(Таблица1[сумма],Таблица1[коэф],"1",Таблица1[р/р],"4/16",Таблица1[Ф. И. О.],B308)</f>
        <v>0</v>
      </c>
      <c r="T304" s="94">
        <f t="shared" si="192"/>
        <v>0</v>
      </c>
      <c r="U304" s="314">
        <f>база!$M$5</f>
        <v>247.41720000000001</v>
      </c>
      <c r="V304" s="271">
        <v>1</v>
      </c>
      <c r="W304" s="307">
        <f>SUMIFS(Таблица1[сумма],Таблица1[коэф],"1",Таблица1[р/р],"4/24",Таблица1[Ф. И. О.],B308)</f>
        <v>0</v>
      </c>
      <c r="X304" s="313">
        <f t="shared" ref="X304" si="196">ROUND(U304*V304*W304,2)</f>
        <v>0</v>
      </c>
      <c r="Y304" s="819"/>
      <c r="Z304" s="810"/>
      <c r="AA304" s="813"/>
    </row>
    <row r="305" spans="1:29">
      <c r="A305" s="756"/>
      <c r="B305" s="215"/>
      <c r="C305" s="815"/>
      <c r="D305" s="817"/>
      <c r="E305" s="78"/>
      <c r="F305" s="271"/>
      <c r="G305" s="98"/>
      <c r="H305" s="94"/>
      <c r="I305" s="334"/>
      <c r="J305" s="278"/>
      <c r="K305" s="216"/>
      <c r="L305" s="216"/>
      <c r="M305" s="216"/>
      <c r="N305" s="216"/>
      <c r="O305" s="216"/>
      <c r="P305" s="30"/>
      <c r="Q305" s="78">
        <f>база!$L$6</f>
        <v>261.04640000000001</v>
      </c>
      <c r="R305" s="271">
        <v>1</v>
      </c>
      <c r="S305" s="98">
        <f>SUMIFS(Таблица1[сумма],Таблица1[коэф],"1",Таблица1[р/р],"5/16",Таблица1[Ф. И. О.],B308)</f>
        <v>0</v>
      </c>
      <c r="T305" s="94">
        <f t="shared" si="192"/>
        <v>0</v>
      </c>
      <c r="U305" s="314">
        <f>база!$M$6</f>
        <v>279.0496</v>
      </c>
      <c r="V305" s="271">
        <v>1</v>
      </c>
      <c r="W305" s="307">
        <f>SUMIFS(Таблица1[сумма],Таблица1[коэф],"1",Таблица1[р/р],"5/24",Таблица1[Ф. И. О.],B308)</f>
        <v>0</v>
      </c>
      <c r="X305" s="313">
        <f>ROUND(U305*V305*W305,2)</f>
        <v>0</v>
      </c>
      <c r="Y305" s="819"/>
      <c r="Z305" s="810"/>
      <c r="AA305" s="813"/>
    </row>
    <row r="306" spans="1:29">
      <c r="A306" s="756"/>
      <c r="B306" s="215"/>
      <c r="C306" s="815"/>
      <c r="D306" s="817"/>
      <c r="E306" s="78"/>
      <c r="F306" s="271"/>
      <c r="G306" s="98"/>
      <c r="H306" s="94"/>
      <c r="I306" s="334">
        <f>база!$J$5</f>
        <v>215.4924</v>
      </c>
      <c r="J306" s="278">
        <v>1.5</v>
      </c>
      <c r="K306" s="216">
        <f>SUMIFS(Таблица1[сумма],Таблица1[коэф],"1,5",Таблица1[р/р],"4/8",Таблица1[Ф. И. О.],B308)</f>
        <v>0</v>
      </c>
      <c r="L306" s="216">
        <f>ROUND(I306*J306*K306,2)</f>
        <v>0</v>
      </c>
      <c r="M306" s="216"/>
      <c r="N306" s="216"/>
      <c r="O306" s="216"/>
      <c r="P306" s="30"/>
      <c r="Q306" s="78">
        <f>IF(D303&lt;=3,база!$L$4,
IF(D303=4,база!$L$5,
IF(D303=5,база!$L$6)))</f>
        <v>210.57480000000001</v>
      </c>
      <c r="R306" s="271">
        <v>1.2</v>
      </c>
      <c r="S306" s="98">
        <f>SUMIFS(Таблица1[сумма],Таблица1[коэф],"1,2",Таблица1[р/р],"3/16",Таблица1[Ф. И. О.],B308)</f>
        <v>0</v>
      </c>
      <c r="T306" s="94">
        <f t="shared" si="192"/>
        <v>0</v>
      </c>
      <c r="U306" s="314">
        <f>IF(D303&lt;=3,база!$M$4,
IF(D303=4,база!$M$5,
IF(D303=5,база!$M$6)))</f>
        <v>225.09719999999999</v>
      </c>
      <c r="V306" s="271">
        <v>1.2</v>
      </c>
      <c r="W306" s="307">
        <f>SUMIFS(Таблица1[сумма],Таблица1[коэф],"1,2",Таблица1[р/р],"3/24",Таблица1[Ф. И. О.],B308)</f>
        <v>0</v>
      </c>
      <c r="X306" s="313">
        <f t="shared" ref="X306:X307" si="197">ROUND(U306*V306*W306,2)</f>
        <v>0</v>
      </c>
      <c r="Y306" s="819"/>
      <c r="Z306" s="810"/>
      <c r="AA306" s="813"/>
    </row>
    <row r="307" spans="1:29">
      <c r="A307" s="756"/>
      <c r="B307" s="215"/>
      <c r="C307" s="815"/>
      <c r="D307" s="817"/>
      <c r="E307" s="78"/>
      <c r="F307" s="271"/>
      <c r="G307" s="98"/>
      <c r="H307" s="94"/>
      <c r="I307" s="334">
        <f>база!$J$6</f>
        <v>243.04319999999998</v>
      </c>
      <c r="J307" s="278">
        <v>1.5</v>
      </c>
      <c r="K307" s="216">
        <f>SUMIFS(Таблица1[сумма],Таблица1[коэф],"1,5",Таблица1[р/р],"5/8",Таблица1[Ф. И. О.],B308)</f>
        <v>0</v>
      </c>
      <c r="L307" s="216">
        <f>ROUND(I307*J307*K307,2)</f>
        <v>0</v>
      </c>
      <c r="M307" s="216"/>
      <c r="N307" s="216"/>
      <c r="O307" s="216"/>
      <c r="P307" s="30"/>
      <c r="Q307" s="78">
        <f>база!$L$5</f>
        <v>231.45480000000001</v>
      </c>
      <c r="R307" s="271">
        <v>1.2</v>
      </c>
      <c r="S307" s="98">
        <f>SUMIFS(Таблица1[сумма],Таблица1[коэф],"1,2",Таблица1[р/р],"4/16",Таблица1[Ф. И. О.],B308)</f>
        <v>0</v>
      </c>
      <c r="T307" s="94">
        <f t="shared" si="192"/>
        <v>0</v>
      </c>
      <c r="U307" s="314">
        <f>база!$M$5</f>
        <v>247.41720000000001</v>
      </c>
      <c r="V307" s="271">
        <v>1.2</v>
      </c>
      <c r="W307" s="307">
        <f>SUMIFS(Таблица1[сумма],Таблица1[коэф],"1,2",Таблица1[р/р],"4/24",Таблица1[Ф. И. О.],B308)</f>
        <v>0</v>
      </c>
      <c r="X307" s="313">
        <f t="shared" si="197"/>
        <v>0</v>
      </c>
      <c r="Y307" s="819"/>
      <c r="Z307" s="810"/>
      <c r="AA307" s="813"/>
      <c r="AC307" s="707" t="str">
        <f>IF(SUMIFS(Таблица1[Столбец2],Таблица1[Ф. И. О.],B308)-Z303=0,"",SUMIFS(Таблица1[Столбец2],Таблица1[Ф. И. О.],B308)-Z303)</f>
        <v/>
      </c>
    </row>
    <row r="308" spans="1:29">
      <c r="A308" s="756"/>
      <c r="B308" s="215" t="str">
        <f>база!B29</f>
        <v>Иванова Екатерина Борисовна</v>
      </c>
      <c r="C308" s="815"/>
      <c r="D308" s="817"/>
      <c r="E308" s="78"/>
      <c r="F308" s="271"/>
      <c r="G308" s="98"/>
      <c r="H308" s="94"/>
      <c r="I308" s="334"/>
      <c r="J308" s="278"/>
      <c r="K308" s="216"/>
      <c r="L308" s="216"/>
      <c r="M308" s="216"/>
      <c r="N308" s="216"/>
      <c r="O308" s="216"/>
      <c r="P308" s="30"/>
      <c r="Q308" s="78">
        <f>база!$L$6</f>
        <v>261.04640000000001</v>
      </c>
      <c r="R308" s="271">
        <v>1.2</v>
      </c>
      <c r="S308" s="98">
        <f>SUMIFS(Таблица1[сумма],Таблица1[коэф],"1,2",Таблица1[р/р],"5/16",Таблица1[Ф. И. О.],B308)</f>
        <v>0</v>
      </c>
      <c r="T308" s="94">
        <f>ROUND(Q308*R308*S308,2)</f>
        <v>0</v>
      </c>
      <c r="U308" s="314">
        <f>база!$M$6</f>
        <v>279.0496</v>
      </c>
      <c r="V308" s="271">
        <v>1.2</v>
      </c>
      <c r="W308" s="307">
        <f>SUMIFS(Таблица1[сумма],Таблица1[коэф],"1,2",Таблица1[р/р],"5/24",Таблица1[Ф. И. О.],B308)</f>
        <v>0</v>
      </c>
      <c r="X308" s="313">
        <f>ROUND(U308*V308*W308,2)</f>
        <v>0</v>
      </c>
      <c r="Y308" s="819"/>
      <c r="Z308" s="810"/>
      <c r="AA308" s="813"/>
      <c r="AC308" s="707" t="str">
        <f>IF(SUMIFS(Таблица1[сумма],Таблица1[Ф. И. О.],B308)=Y303,"",B303&amp;"  часы не верны")</f>
        <v/>
      </c>
    </row>
    <row r="309" spans="1:29">
      <c r="A309" s="756"/>
      <c r="B309" s="215"/>
      <c r="C309" s="815"/>
      <c r="D309" s="817"/>
      <c r="E309" s="78"/>
      <c r="F309" s="271"/>
      <c r="G309" s="98"/>
      <c r="H309" s="94"/>
      <c r="I309" s="334"/>
      <c r="J309" s="278"/>
      <c r="K309" s="216"/>
      <c r="L309" s="216"/>
      <c r="M309" s="216"/>
      <c r="N309" s="216"/>
      <c r="O309" s="216"/>
      <c r="P309" s="30"/>
      <c r="Q309" s="78">
        <f>IF($D$6&lt;=3,база!$L$4,
IF($D$6=4,база!$L$5,
IF($D$6=5,база!$L$6)))</f>
        <v>231.45480000000001</v>
      </c>
      <c r="R309" s="271">
        <v>1.3</v>
      </c>
      <c r="S309" s="98">
        <f>SUMIFS(Таблица1[сумма],Таблица1[коэф],"1,3",Таблица1[р/р],"3/16",Таблица1[Ф. И. О.],B308)</f>
        <v>0</v>
      </c>
      <c r="T309" s="94">
        <f t="shared" ref="T309:T318" si="198">ROUND(Q309*R309*S309,2)</f>
        <v>0</v>
      </c>
      <c r="U309" s="314">
        <f>IF(D303&lt;=3,база!$M$4,
IF(D303=4,база!$M$5,
IF(D303=5,база!$M$6)))</f>
        <v>225.09719999999999</v>
      </c>
      <c r="V309" s="271">
        <v>1.3</v>
      </c>
      <c r="W309" s="307">
        <f>SUMIFS(Таблица1[сумма],Таблица1[коэф],"1,3",Таблица1[р/р],"3/24",Таблица1[Ф. И. О.],B308)</f>
        <v>0</v>
      </c>
      <c r="X309" s="313">
        <f t="shared" ref="X309:X310" si="199">ROUND(U309*V309*W309,2)</f>
        <v>0</v>
      </c>
      <c r="Y309" s="819"/>
      <c r="Z309" s="810"/>
      <c r="AA309" s="813"/>
    </row>
    <row r="310" spans="1:29">
      <c r="A310" s="756"/>
      <c r="B310" s="215"/>
      <c r="C310" s="815"/>
      <c r="D310" s="817"/>
      <c r="E310" s="78"/>
      <c r="F310" s="271"/>
      <c r="G310" s="98"/>
      <c r="H310" s="94"/>
      <c r="I310" s="334"/>
      <c r="J310" s="278"/>
      <c r="K310" s="216"/>
      <c r="L310" s="216"/>
      <c r="M310" s="216"/>
      <c r="N310" s="216"/>
      <c r="O310" s="216"/>
      <c r="P310" s="30"/>
      <c r="Q310" s="78">
        <f>база!$L$5</f>
        <v>231.45480000000001</v>
      </c>
      <c r="R310" s="271">
        <v>1.3</v>
      </c>
      <c r="S310" s="98">
        <f>SUMIFS(Таблица1[сумма],Таблица1[коэф],"1,3",Таблица1[р/р],"4/16",Таблица1[Ф. И. О.],B308)</f>
        <v>0</v>
      </c>
      <c r="T310" s="94">
        <f t="shared" si="198"/>
        <v>0</v>
      </c>
      <c r="U310" s="314">
        <f>база!$M$5</f>
        <v>247.41720000000001</v>
      </c>
      <c r="V310" s="271">
        <v>1.3</v>
      </c>
      <c r="W310" s="307">
        <f>SUMIFS(Таблица1[сумма],Таблица1[коэф],"1,3",Таблица1[р/р],"4/24",Таблица1[Ф. И. О.],B308)</f>
        <v>0</v>
      </c>
      <c r="X310" s="313">
        <f t="shared" si="199"/>
        <v>0</v>
      </c>
      <c r="Y310" s="819"/>
      <c r="Z310" s="810"/>
      <c r="AA310" s="813"/>
    </row>
    <row r="311" spans="1:29">
      <c r="A311" s="756"/>
      <c r="B311" s="215"/>
      <c r="C311" s="815"/>
      <c r="D311" s="817"/>
      <c r="E311" s="78"/>
      <c r="F311" s="271"/>
      <c r="G311" s="98"/>
      <c r="H311" s="94"/>
      <c r="I311" s="334"/>
      <c r="J311" s="278"/>
      <c r="K311" s="216"/>
      <c r="L311" s="216"/>
      <c r="M311" s="216"/>
      <c r="N311" s="216"/>
      <c r="O311" s="216"/>
      <c r="P311" s="30"/>
      <c r="Q311" s="78">
        <f>IF(D303&lt;=3,база!$L$4,
IF(D303=4,база!$L$5,
IF(D303=5,база!$L$6)))</f>
        <v>210.57480000000001</v>
      </c>
      <c r="R311" s="271">
        <v>1.4</v>
      </c>
      <c r="S311" s="98">
        <f>SUMIFS(Таблица1[сумма],Таблица1[коэф],"1,4",Таблица1[р/р],"3/16",Таблица1[Ф. И. О.],B308)</f>
        <v>0</v>
      </c>
      <c r="T311" s="94">
        <f t="shared" si="198"/>
        <v>0</v>
      </c>
      <c r="U311" s="314">
        <f>IF(D303&lt;=3,база!$M$4,
IF(D303=4,база!$M$5,
IF(D303=5,база!$M$6)))</f>
        <v>225.09719999999999</v>
      </c>
      <c r="V311" s="271">
        <v>1.4</v>
      </c>
      <c r="W311" s="307">
        <f>SUMIFS(Таблица1[сумма],Таблица1[коэф],"1,4",Таблица1[р/р],"3/24",Таблица1[Ф. И. О.],B308)</f>
        <v>0</v>
      </c>
      <c r="X311" s="313">
        <f>ROUND(U311*V311*W311,2)</f>
        <v>0</v>
      </c>
      <c r="Y311" s="819"/>
      <c r="Z311" s="810"/>
      <c r="AA311" s="813"/>
    </row>
    <row r="312" spans="1:29">
      <c r="A312" s="756"/>
      <c r="B312" s="215"/>
      <c r="C312" s="815"/>
      <c r="D312" s="817"/>
      <c r="E312" s="78"/>
      <c r="F312" s="271"/>
      <c r="G312" s="98"/>
      <c r="H312" s="94"/>
      <c r="I312" s="334"/>
      <c r="J312" s="278"/>
      <c r="K312" s="216"/>
      <c r="L312" s="216"/>
      <c r="M312" s="216"/>
      <c r="N312" s="216"/>
      <c r="O312" s="216"/>
      <c r="P312" s="30"/>
      <c r="Q312" s="78">
        <f>база!$L$5</f>
        <v>231.45480000000001</v>
      </c>
      <c r="R312" s="271">
        <v>1.4</v>
      </c>
      <c r="S312" s="98">
        <f>SUMIFS(Таблица1[сумма],Таблица1[коэф],"1,4",Таблица1[р/р],"4/16",Таблица1[Ф. И. О.],B308)</f>
        <v>0</v>
      </c>
      <c r="T312" s="94">
        <f t="shared" si="198"/>
        <v>0</v>
      </c>
      <c r="U312" s="314">
        <f>база!$M$5</f>
        <v>247.41720000000001</v>
      </c>
      <c r="V312" s="271">
        <v>1.4</v>
      </c>
      <c r="W312" s="307">
        <f>SUMIFS(Таблица1[сумма],Таблица1[коэф],"1,4",Таблица1[р/р],"4/24",Таблица1[Ф. И. О.],B308)</f>
        <v>0</v>
      </c>
      <c r="X312" s="313">
        <f>ROUND(U312*V312*W312,2)</f>
        <v>0</v>
      </c>
      <c r="Y312" s="819"/>
      <c r="Z312" s="810"/>
      <c r="AA312" s="813"/>
    </row>
    <row r="313" spans="1:29" ht="24" thickBot="1">
      <c r="A313" s="757"/>
      <c r="B313" s="202"/>
      <c r="C313" s="816"/>
      <c r="D313" s="818"/>
      <c r="E313" s="101"/>
      <c r="F313" s="273"/>
      <c r="G313" s="97"/>
      <c r="H313" s="90"/>
      <c r="I313" s="348"/>
      <c r="J313" s="279"/>
      <c r="K313" s="288"/>
      <c r="L313" s="288"/>
      <c r="M313" s="288"/>
      <c r="N313" s="288"/>
      <c r="O313" s="288"/>
      <c r="P313" s="315"/>
      <c r="Q313" s="101">
        <f>база!$L$6</f>
        <v>261.04640000000001</v>
      </c>
      <c r="R313" s="273">
        <v>1.4</v>
      </c>
      <c r="S313" s="97">
        <f>SUMIFS(Таблица1[сумма],Таблица1[коэф],"1,4",Таблица1[р/р],"5/16",Таблица1[Ф. И. О.],B308)</f>
        <v>0</v>
      </c>
      <c r="T313" s="90">
        <f t="shared" si="198"/>
        <v>0</v>
      </c>
      <c r="U313" s="347">
        <f>база!$M$6</f>
        <v>279.0496</v>
      </c>
      <c r="V313" s="273">
        <v>1.4</v>
      </c>
      <c r="W313" s="312">
        <f>SUMIFS(Таблица1[сумма],Таблица1[коэф],"1,4",Таблица1[р/р],"5/24",Таблица1[Ф. И. О.],B308)</f>
        <v>0</v>
      </c>
      <c r="X313" s="343">
        <f>ROUND(U313*V313*W313,2)</f>
        <v>0</v>
      </c>
      <c r="Y313" s="820"/>
      <c r="Z313" s="811"/>
      <c r="AA313" s="814"/>
    </row>
    <row r="314" spans="1:29">
      <c r="A314" s="755">
        <v>29</v>
      </c>
      <c r="B314" s="235"/>
      <c r="C314" s="821">
        <f>INDEX(база!$E$2:$E$81, MATCH(B319,база!$B$2:$B$50,0))</f>
        <v>17068</v>
      </c>
      <c r="D314" s="822">
        <f>INDEX(база!$D$2:$D$89, MATCH(B319,база!$B$2:$B$50,0))</f>
        <v>3</v>
      </c>
      <c r="E314" s="72">
        <f>IF(D314&lt;=3,база!$I$4,
IF(D314=4,база!$I$5,
IF(D314=5,база!$I$6)))</f>
        <v>188.7912</v>
      </c>
      <c r="F314" s="269">
        <v>1</v>
      </c>
      <c r="G314" s="95">
        <f>SUMIFS(Таблица1[сумма],Таблица1[коэф],"1",Таблица1[р/р],"2/4",Таблица1[Ф. И. О.],B319)</f>
        <v>0</v>
      </c>
      <c r="H314" s="87">
        <f>ROUND(E314*F314*G314,2)</f>
        <v>0</v>
      </c>
      <c r="I314" s="338">
        <f>IF(D314&lt;=3,база!$J$4,
IF(D314=4,база!$J$5,
IF(D314=5,база!$J$6)))</f>
        <v>196.05240000000001</v>
      </c>
      <c r="J314" s="276">
        <v>1</v>
      </c>
      <c r="K314" s="287">
        <f>SUMIFS(Таблица1[сумма],Таблица1[коэф],"1",Таблица1[р/р],"2/8",Таблица1[Ф. И. О.],B319)</f>
        <v>0</v>
      </c>
      <c r="L314" s="287">
        <f>ROUND(I314*J314*K314,2)</f>
        <v>0</v>
      </c>
      <c r="M314" s="287"/>
      <c r="N314" s="287">
        <v>1</v>
      </c>
      <c r="O314" s="287">
        <f>SUMIFS(Data_Tech!$AM$3:$AM$67,Data_Tech!$E$3:$E$67,"1",Data_Tech!$G$3:$G$67,"3/12",Data_Tech!$F$3:$F$67,B319)</f>
        <v>0</v>
      </c>
      <c r="P314" s="280">
        <f>ROUND(M314*N314*O314,2)</f>
        <v>0</v>
      </c>
      <c r="Q314" s="72">
        <f>IF(D314&lt;=3,база!$L$4,
IF(D314=4,база!$L$5,
IF(D314=5,база!$L$6)))</f>
        <v>210.57480000000001</v>
      </c>
      <c r="R314" s="269">
        <v>1</v>
      </c>
      <c r="S314" s="95">
        <f>SUMIFS(Таблица1[сумма],Таблица1[коэф],"1",Таблица1[р/р],"3/16",Таблица1[Ф. И. О.],B319)</f>
        <v>0</v>
      </c>
      <c r="T314" s="87">
        <f t="shared" si="198"/>
        <v>0</v>
      </c>
      <c r="U314" s="339">
        <f>IF(D314&lt;=3,база!$M$4,
IF(D314=4,база!$M$5,
IF(D314=5,база!$M$6)))</f>
        <v>225.09719999999999</v>
      </c>
      <c r="V314" s="269">
        <v>1</v>
      </c>
      <c r="W314" s="340">
        <f>SUMIFS(Таблица1[сумма],Таблица1[коэф],"1",Таблица1[р/р],"3/24",Таблица1[Ф. И. О.],B319)</f>
        <v>0</v>
      </c>
      <c r="X314" s="342">
        <f>ROUND(U314*V314*W314,2)</f>
        <v>0</v>
      </c>
      <c r="Y314" s="819">
        <f t="shared" ref="Y314" si="200">SUM(G314:G324,K314:K324,O314:O324,S314:S324,W314:W324)</f>
        <v>0</v>
      </c>
      <c r="Z314" s="810">
        <f t="shared" ref="Z314" si="201">IFERROR(SUM(H314:H324,L314:L324,T314:T324,X314:X324),"")</f>
        <v>0</v>
      </c>
      <c r="AA314" s="813"/>
    </row>
    <row r="315" spans="1:29">
      <c r="A315" s="756"/>
      <c r="B315" s="215"/>
      <c r="C315" s="815"/>
      <c r="D315" s="817"/>
      <c r="E315" s="78">
        <f>IF(D314&lt;=3,база!$I$4,
IF(D314=4,база!$I$5,
IF(D314=5,база!$I$6)))</f>
        <v>188.7912</v>
      </c>
      <c r="F315" s="271">
        <v>1</v>
      </c>
      <c r="G315" s="98">
        <f>SUMIFS(Таблица1[сумма],Таблица1[коэф],"1",Таблица1[р/р],"3/4",Таблица1[Ф. И. О.],B319)</f>
        <v>0</v>
      </c>
      <c r="H315" s="94">
        <f>ROUND(E315*F315*G315,2)</f>
        <v>0</v>
      </c>
      <c r="I315" s="334">
        <f>IF(D314&lt;=3,база!$J$4,
IF(D314=4,база!$J$5,
IF(D314=5,база!$J$6)))</f>
        <v>196.05240000000001</v>
      </c>
      <c r="J315" s="278">
        <v>1</v>
      </c>
      <c r="K315" s="216">
        <f>SUMIFS(Таблица1[сумма],Таблица1[коэф],"1",Таблица1[р/р],"3/8",Таблица1[Ф. И. О.],B319)</f>
        <v>0</v>
      </c>
      <c r="L315" s="216">
        <f>ROUND(I315*J315*K315,2)</f>
        <v>0</v>
      </c>
      <c r="M315" s="216"/>
      <c r="N315" s="216">
        <v>1</v>
      </c>
      <c r="O315" s="216">
        <f>SUMIFS(Data_Tech!$AM$3:$AM$67,Data_Tech!$E$3:$E$67,"1",Data_Tech!$G$3:$G$67,"4/12",Data_Tech!$F$3:$F$67,B319)</f>
        <v>0</v>
      </c>
      <c r="P315" s="30">
        <f>ROUND(M315*O315,2)</f>
        <v>0</v>
      </c>
      <c r="Q315" s="78">
        <f>база!$L$5</f>
        <v>231.45480000000001</v>
      </c>
      <c r="R315" s="271">
        <v>1</v>
      </c>
      <c r="S315" s="98">
        <f>SUMIFS(Таблица1[сумма],Таблица1[коэф],"1",Таблица1[р/р],"4/16",Таблица1[Ф. И. О.],B319)</f>
        <v>0</v>
      </c>
      <c r="T315" s="94">
        <f t="shared" si="198"/>
        <v>0</v>
      </c>
      <c r="U315" s="314">
        <f>база!$M$5</f>
        <v>247.41720000000001</v>
      </c>
      <c r="V315" s="271">
        <v>1</v>
      </c>
      <c r="W315" s="307">
        <f>SUMIFS(Таблица1[сумма],Таблица1[коэф],"1",Таблица1[р/р],"4/24",Таблица1[Ф. И. О.],B319)</f>
        <v>0</v>
      </c>
      <c r="X315" s="313">
        <f t="shared" ref="X315" si="202">ROUND(U315*V315*W315,2)</f>
        <v>0</v>
      </c>
      <c r="Y315" s="819"/>
      <c r="Z315" s="810"/>
      <c r="AA315" s="813"/>
    </row>
    <row r="316" spans="1:29">
      <c r="A316" s="756"/>
      <c r="B316" s="215"/>
      <c r="C316" s="815"/>
      <c r="D316" s="817"/>
      <c r="E316" s="78"/>
      <c r="F316" s="271"/>
      <c r="G316" s="98"/>
      <c r="H316" s="94"/>
      <c r="I316" s="334"/>
      <c r="J316" s="278"/>
      <c r="K316" s="216"/>
      <c r="L316" s="216"/>
      <c r="M316" s="216"/>
      <c r="N316" s="216"/>
      <c r="O316" s="216"/>
      <c r="P316" s="30"/>
      <c r="Q316" s="78">
        <f>база!$L$6</f>
        <v>261.04640000000001</v>
      </c>
      <c r="R316" s="271">
        <v>1</v>
      </c>
      <c r="S316" s="98">
        <f>SUMIFS(Таблица1[сумма],Таблица1[коэф],"1",Таблица1[р/р],"5/16",Таблица1[Ф. И. О.],B319)</f>
        <v>0</v>
      </c>
      <c r="T316" s="94">
        <f t="shared" si="198"/>
        <v>0</v>
      </c>
      <c r="U316" s="314">
        <f>база!$M$6</f>
        <v>279.0496</v>
      </c>
      <c r="V316" s="271">
        <v>1</v>
      </c>
      <c r="W316" s="307">
        <f>SUMIFS(Таблица1[сумма],Таблица1[коэф],"1",Таблица1[р/р],"5/24",Таблица1[Ф. И. О.],B319)</f>
        <v>0</v>
      </c>
      <c r="X316" s="313">
        <f>ROUND(U316*V316*W316,2)</f>
        <v>0</v>
      </c>
      <c r="Y316" s="819"/>
      <c r="Z316" s="810"/>
      <c r="AA316" s="813"/>
    </row>
    <row r="317" spans="1:29">
      <c r="A317" s="756"/>
      <c r="B317" s="215"/>
      <c r="C317" s="815"/>
      <c r="D317" s="817"/>
      <c r="E317" s="78"/>
      <c r="F317" s="271"/>
      <c r="G317" s="98"/>
      <c r="H317" s="94"/>
      <c r="I317" s="334">
        <f>база!$J$5</f>
        <v>215.4924</v>
      </c>
      <c r="J317" s="278">
        <v>1.5</v>
      </c>
      <c r="K317" s="216">
        <f>SUMIFS(Таблица1[сумма],Таблица1[коэф],"1,5",Таблица1[р/р],"4/8",Таблица1[Ф. И. О.],B319)</f>
        <v>0</v>
      </c>
      <c r="L317" s="216">
        <f>ROUND(I317*J317*K317,2)</f>
        <v>0</v>
      </c>
      <c r="M317" s="216"/>
      <c r="N317" s="216"/>
      <c r="O317" s="216"/>
      <c r="P317" s="30"/>
      <c r="Q317" s="78">
        <f>IF(D314&lt;=3,база!$L$4,
IF(D314=4,база!$L$5,
IF(D314=5,база!$L$6)))</f>
        <v>210.57480000000001</v>
      </c>
      <c r="R317" s="271">
        <v>1.2</v>
      </c>
      <c r="S317" s="98">
        <f>SUMIFS(Таблица1[сумма],Таблица1[коэф],"1,2",Таблица1[р/р],"3/16",Таблица1[Ф. И. О.],B319)</f>
        <v>0</v>
      </c>
      <c r="T317" s="94">
        <f t="shared" si="198"/>
        <v>0</v>
      </c>
      <c r="U317" s="314">
        <f>IF(D314&lt;=3,база!$M$4,
IF(D314=4,база!$M$5,
IF(D314=5,база!$M$6)))</f>
        <v>225.09719999999999</v>
      </c>
      <c r="V317" s="271">
        <v>1.2</v>
      </c>
      <c r="W317" s="307">
        <f>SUMIFS(Таблица1[сумма],Таблица1[коэф],"1,2",Таблица1[р/р],"3/24",Таблица1[Ф. И. О.],B319)</f>
        <v>0</v>
      </c>
      <c r="X317" s="313">
        <f t="shared" ref="X317:X318" si="203">ROUND(U317*V317*W317,2)</f>
        <v>0</v>
      </c>
      <c r="Y317" s="819"/>
      <c r="Z317" s="810"/>
      <c r="AA317" s="813"/>
    </row>
    <row r="318" spans="1:29">
      <c r="A318" s="756"/>
      <c r="B318" s="215"/>
      <c r="C318" s="815"/>
      <c r="D318" s="817"/>
      <c r="E318" s="78"/>
      <c r="F318" s="271"/>
      <c r="G318" s="98"/>
      <c r="H318" s="94"/>
      <c r="I318" s="334">
        <f>база!$J$6</f>
        <v>243.04319999999998</v>
      </c>
      <c r="J318" s="278">
        <v>1.5</v>
      </c>
      <c r="K318" s="216">
        <f>SUMIFS(Таблица1[сумма],Таблица1[коэф],"1,5",Таблица1[р/р],"5/8",Таблица1[Ф. И. О.],B319)</f>
        <v>0</v>
      </c>
      <c r="L318" s="216">
        <f>ROUND(I318*J318*K318,2)</f>
        <v>0</v>
      </c>
      <c r="M318" s="216"/>
      <c r="N318" s="216"/>
      <c r="O318" s="216"/>
      <c r="P318" s="30"/>
      <c r="Q318" s="78">
        <f>база!$L$5</f>
        <v>231.45480000000001</v>
      </c>
      <c r="R318" s="271">
        <v>1.2</v>
      </c>
      <c r="S318" s="98">
        <f>SUMIFS(Таблица1[сумма],Таблица1[коэф],"1,2",Таблица1[р/р],"4/16",Таблица1[Ф. И. О.],B319)</f>
        <v>0</v>
      </c>
      <c r="T318" s="94">
        <f t="shared" si="198"/>
        <v>0</v>
      </c>
      <c r="U318" s="314">
        <f>база!$M$5</f>
        <v>247.41720000000001</v>
      </c>
      <c r="V318" s="271">
        <v>1.2</v>
      </c>
      <c r="W318" s="307">
        <f>SUMIFS(Таблица1[сумма],Таблица1[коэф],"1,2",Таблица1[р/р],"4/24",Таблица1[Ф. И. О.],B319)</f>
        <v>0</v>
      </c>
      <c r="X318" s="313">
        <f t="shared" si="203"/>
        <v>0</v>
      </c>
      <c r="Y318" s="819"/>
      <c r="Z318" s="810"/>
      <c r="AA318" s="813"/>
      <c r="AC318" s="707" t="str">
        <f>IF(SUMIFS(Таблица1[Столбец2],Таблица1[Ф. И. О.],B319)-Z314=0,"",SUMIFS(Таблица1[Столбец2],Таблица1[Ф. И. О.],B319)-Z314)</f>
        <v/>
      </c>
    </row>
    <row r="319" spans="1:29">
      <c r="A319" s="756"/>
      <c r="B319" s="215" t="str">
        <f>база!B30</f>
        <v>Иванова Оксана Михайловна</v>
      </c>
      <c r="C319" s="815"/>
      <c r="D319" s="817"/>
      <c r="E319" s="78"/>
      <c r="F319" s="271"/>
      <c r="G319" s="98"/>
      <c r="H319" s="94"/>
      <c r="I319" s="334"/>
      <c r="J319" s="278"/>
      <c r="K319" s="216"/>
      <c r="L319" s="216"/>
      <c r="M319" s="216"/>
      <c r="N319" s="216"/>
      <c r="O319" s="216"/>
      <c r="P319" s="30"/>
      <c r="Q319" s="78">
        <f>база!$L$6</f>
        <v>261.04640000000001</v>
      </c>
      <c r="R319" s="271">
        <v>1.2</v>
      </c>
      <c r="S319" s="98">
        <f>SUMIFS(Таблица1[сумма],Таблица1[коэф],"1,2",Таблица1[р/р],"5/16",Таблица1[Ф. И. О.],B319)</f>
        <v>0</v>
      </c>
      <c r="T319" s="94">
        <f>ROUND(Q319*R319*S319,2)</f>
        <v>0</v>
      </c>
      <c r="U319" s="314">
        <f>база!$M$6</f>
        <v>279.0496</v>
      </c>
      <c r="V319" s="271">
        <v>1.2</v>
      </c>
      <c r="W319" s="307">
        <f>SUMIFS(Таблица1[сумма],Таблица1[коэф],"1,2",Таблица1[р/р],"5/24",Таблица1[Ф. И. О.],B319)</f>
        <v>0</v>
      </c>
      <c r="X319" s="313">
        <f>ROUND(U319*V319*W319,2)</f>
        <v>0</v>
      </c>
      <c r="Y319" s="819"/>
      <c r="Z319" s="810"/>
      <c r="AA319" s="813"/>
      <c r="AC319" s="707" t="str">
        <f>IF(SUMIFS(Таблица1[сумма],Таблица1[Ф. И. О.],B319)=Y314,"",B314&amp;"  часы не верны")</f>
        <v/>
      </c>
    </row>
    <row r="320" spans="1:29">
      <c r="A320" s="756"/>
      <c r="B320" s="215"/>
      <c r="C320" s="815"/>
      <c r="D320" s="817"/>
      <c r="E320" s="78"/>
      <c r="F320" s="271"/>
      <c r="G320" s="98"/>
      <c r="H320" s="94"/>
      <c r="I320" s="334"/>
      <c r="J320" s="278"/>
      <c r="K320" s="216"/>
      <c r="L320" s="216"/>
      <c r="M320" s="216"/>
      <c r="N320" s="216"/>
      <c r="O320" s="216"/>
      <c r="P320" s="30"/>
      <c r="Q320" s="78">
        <f>IF($D$6&lt;=3,база!$L$4,
IF($D$6=4,база!$L$5,
IF($D$6=5,база!$L$6)))</f>
        <v>231.45480000000001</v>
      </c>
      <c r="R320" s="271">
        <v>1.3</v>
      </c>
      <c r="S320" s="98">
        <f>SUMIFS(Таблица1[сумма],Таблица1[коэф],"1,3",Таблица1[р/р],"3/16",Таблица1[Ф. И. О.],B319)</f>
        <v>0</v>
      </c>
      <c r="T320" s="94">
        <f t="shared" ref="T320:T329" si="204">ROUND(Q320*R320*S320,2)</f>
        <v>0</v>
      </c>
      <c r="U320" s="314">
        <f>IF(D314&lt;=3,база!$M$4,
IF(D314=4,база!$M$5,
IF(D314=5,база!$M$6)))</f>
        <v>225.09719999999999</v>
      </c>
      <c r="V320" s="271">
        <v>1.3</v>
      </c>
      <c r="W320" s="307">
        <f>SUMIFS(Таблица1[сумма],Таблица1[коэф],"1,3",Таблица1[р/р],"3/24",Таблица1[Ф. И. О.],B319)</f>
        <v>0</v>
      </c>
      <c r="X320" s="313">
        <f t="shared" ref="X320:X321" si="205">ROUND(U320*V320*W320,2)</f>
        <v>0</v>
      </c>
      <c r="Y320" s="819"/>
      <c r="Z320" s="810"/>
      <c r="AA320" s="813"/>
    </row>
    <row r="321" spans="1:29">
      <c r="A321" s="756"/>
      <c r="B321" s="215"/>
      <c r="C321" s="815"/>
      <c r="D321" s="817"/>
      <c r="E321" s="78"/>
      <c r="F321" s="271"/>
      <c r="G321" s="98"/>
      <c r="H321" s="94"/>
      <c r="I321" s="334"/>
      <c r="J321" s="278"/>
      <c r="K321" s="216"/>
      <c r="L321" s="216"/>
      <c r="M321" s="216"/>
      <c r="N321" s="216"/>
      <c r="O321" s="216"/>
      <c r="P321" s="30"/>
      <c r="Q321" s="78">
        <f>база!$L$5</f>
        <v>231.45480000000001</v>
      </c>
      <c r="R321" s="271">
        <v>1.3</v>
      </c>
      <c r="S321" s="98">
        <f>SUMIFS(Таблица1[сумма],Таблица1[коэф],"1,3",Таблица1[р/р],"4/16",Таблица1[Ф. И. О.],B319)</f>
        <v>0</v>
      </c>
      <c r="T321" s="94">
        <f t="shared" si="204"/>
        <v>0</v>
      </c>
      <c r="U321" s="314">
        <f>база!$M$5</f>
        <v>247.41720000000001</v>
      </c>
      <c r="V321" s="271">
        <v>1.3</v>
      </c>
      <c r="W321" s="307">
        <f>SUMIFS(Таблица1[сумма],Таблица1[коэф],"1,3",Таблица1[р/р],"4/24",Таблица1[Ф. И. О.],B319)</f>
        <v>0</v>
      </c>
      <c r="X321" s="313">
        <f t="shared" si="205"/>
        <v>0</v>
      </c>
      <c r="Y321" s="819"/>
      <c r="Z321" s="810"/>
      <c r="AA321" s="813"/>
    </row>
    <row r="322" spans="1:29">
      <c r="A322" s="756"/>
      <c r="B322" s="215"/>
      <c r="C322" s="815"/>
      <c r="D322" s="817"/>
      <c r="E322" s="78"/>
      <c r="F322" s="271"/>
      <c r="G322" s="98"/>
      <c r="H322" s="94"/>
      <c r="I322" s="334"/>
      <c r="J322" s="278"/>
      <c r="K322" s="216"/>
      <c r="L322" s="216"/>
      <c r="M322" s="216"/>
      <c r="N322" s="216"/>
      <c r="O322" s="216"/>
      <c r="P322" s="30"/>
      <c r="Q322" s="78">
        <f>IF(D314&lt;=3,база!$L$4,
IF(D314=4,база!$L$5,
IF(D314=5,база!$L$6)))</f>
        <v>210.57480000000001</v>
      </c>
      <c r="R322" s="271">
        <v>1.4</v>
      </c>
      <c r="S322" s="98">
        <f>SUMIFS(Таблица1[сумма],Таблица1[коэф],"1,4",Таблица1[р/р],"3/16",Таблица1[Ф. И. О.],B319)</f>
        <v>0</v>
      </c>
      <c r="T322" s="94">
        <f t="shared" si="204"/>
        <v>0</v>
      </c>
      <c r="U322" s="314">
        <f>IF(D314&lt;=3,база!$M$4,
IF(D314=4,база!$M$5,
IF(D314=5,база!$M$6)))</f>
        <v>225.09719999999999</v>
      </c>
      <c r="V322" s="271">
        <v>1.4</v>
      </c>
      <c r="W322" s="307">
        <f>SUMIFS(Таблица1[сумма],Таблица1[коэф],"1,4",Таблица1[р/р],"3/24",Таблица1[Ф. И. О.],B319)</f>
        <v>0</v>
      </c>
      <c r="X322" s="313">
        <f>ROUND(U322*V322*W322,2)</f>
        <v>0</v>
      </c>
      <c r="Y322" s="819"/>
      <c r="Z322" s="810"/>
      <c r="AA322" s="813"/>
    </row>
    <row r="323" spans="1:29">
      <c r="A323" s="756"/>
      <c r="B323" s="215"/>
      <c r="C323" s="815"/>
      <c r="D323" s="817"/>
      <c r="E323" s="78"/>
      <c r="F323" s="271"/>
      <c r="G323" s="98"/>
      <c r="H323" s="94"/>
      <c r="I323" s="334"/>
      <c r="J323" s="278"/>
      <c r="K323" s="216"/>
      <c r="L323" s="216"/>
      <c r="M323" s="216"/>
      <c r="N323" s="216"/>
      <c r="O323" s="216"/>
      <c r="P323" s="30"/>
      <c r="Q323" s="78">
        <f>база!$L$5</f>
        <v>231.45480000000001</v>
      </c>
      <c r="R323" s="271">
        <v>1.4</v>
      </c>
      <c r="S323" s="98">
        <f>SUMIFS(Таблица1[сумма],Таблица1[коэф],"1,4",Таблица1[р/р],"4/16",Таблица1[Ф. И. О.],B319)</f>
        <v>0</v>
      </c>
      <c r="T323" s="94">
        <f t="shared" si="204"/>
        <v>0</v>
      </c>
      <c r="U323" s="314">
        <f>база!$M$5</f>
        <v>247.41720000000001</v>
      </c>
      <c r="V323" s="271">
        <v>1.4</v>
      </c>
      <c r="W323" s="307">
        <f>SUMIFS(Таблица1[сумма],Таблица1[коэф],"1,4",Таблица1[р/р],"4/24",Таблица1[Ф. И. О.],B319)</f>
        <v>0</v>
      </c>
      <c r="X323" s="313">
        <f>ROUND(U323*V323*W323,2)</f>
        <v>0</v>
      </c>
      <c r="Y323" s="819"/>
      <c r="Z323" s="810"/>
      <c r="AA323" s="813"/>
    </row>
    <row r="324" spans="1:29" ht="24" thickBot="1">
      <c r="A324" s="757"/>
      <c r="B324" s="202"/>
      <c r="C324" s="816"/>
      <c r="D324" s="818"/>
      <c r="E324" s="101"/>
      <c r="F324" s="273"/>
      <c r="G324" s="97"/>
      <c r="H324" s="90"/>
      <c r="I324" s="348"/>
      <c r="J324" s="279"/>
      <c r="K324" s="288"/>
      <c r="L324" s="288"/>
      <c r="M324" s="288"/>
      <c r="N324" s="288"/>
      <c r="O324" s="288"/>
      <c r="P324" s="315"/>
      <c r="Q324" s="101">
        <f>база!$L$6</f>
        <v>261.04640000000001</v>
      </c>
      <c r="R324" s="273">
        <v>1.4</v>
      </c>
      <c r="S324" s="97">
        <f>SUMIFS(Таблица1[сумма],Таблица1[коэф],"1,4",Таблица1[р/р],"5/16",Таблица1[Ф. И. О.],B319)</f>
        <v>0</v>
      </c>
      <c r="T324" s="90">
        <f t="shared" si="204"/>
        <v>0</v>
      </c>
      <c r="U324" s="347">
        <f>база!$M$6</f>
        <v>279.0496</v>
      </c>
      <c r="V324" s="273">
        <v>1.4</v>
      </c>
      <c r="W324" s="312">
        <f>SUMIFS(Таблица1[сумма],Таблица1[коэф],"1,4",Таблица1[р/р],"5/24",Таблица1[Ф. И. О.],B319)</f>
        <v>0</v>
      </c>
      <c r="X324" s="343">
        <f>ROUND(U324*V324*W324,2)</f>
        <v>0</v>
      </c>
      <c r="Y324" s="820"/>
      <c r="Z324" s="811"/>
      <c r="AA324" s="814"/>
    </row>
    <row r="325" spans="1:29">
      <c r="A325" s="755">
        <v>30</v>
      </c>
      <c r="B325" s="235"/>
      <c r="C325" s="821">
        <f>INDEX(база!$E$2:$E$81, MATCH(B330,база!$B$2:$B$50,0))</f>
        <v>16799</v>
      </c>
      <c r="D325" s="822">
        <f>INDEX(база!$D$2:$D$89, MATCH(B330,база!$B$2:$B$50,0))</f>
        <v>3</v>
      </c>
      <c r="E325" s="72">
        <f>IF(D325&lt;=3,база!$I$4,
IF(D325=4,база!$I$5,
IF(D325=5,база!$I$6)))</f>
        <v>188.7912</v>
      </c>
      <c r="F325" s="269">
        <v>1</v>
      </c>
      <c r="G325" s="95">
        <f>SUMIFS(Таблица1[сумма],Таблица1[коэф],"1",Таблица1[р/р],"2/4",Таблица1[Ф. И. О.],B330)</f>
        <v>0</v>
      </c>
      <c r="H325" s="87">
        <f>ROUND(E325*F325*G325,2)</f>
        <v>0</v>
      </c>
      <c r="I325" s="338">
        <f>IF(D325&lt;=3,база!$J$4,
IF(D325=4,база!$J$5,
IF(D325=5,база!$J$6)))</f>
        <v>196.05240000000001</v>
      </c>
      <c r="J325" s="276">
        <v>1</v>
      </c>
      <c r="K325" s="287">
        <f>SUMIFS(Таблица1[сумма],Таблица1[коэф],"1",Таблица1[р/р],"2/8",Таблица1[Ф. И. О.],B330)</f>
        <v>0</v>
      </c>
      <c r="L325" s="287">
        <f>ROUND(I325*J325*K325,2)</f>
        <v>0</v>
      </c>
      <c r="M325" s="287"/>
      <c r="N325" s="287">
        <v>1</v>
      </c>
      <c r="O325" s="287">
        <f>SUMIFS(Data_Tech!$AM$3:$AM$67,Data_Tech!$E$3:$E$67,"1",Data_Tech!$G$3:$G$67,"3/12",Data_Tech!$F$3:$F$67,B330)</f>
        <v>0</v>
      </c>
      <c r="P325" s="280">
        <f>ROUND(M325*N325*O325,2)</f>
        <v>0</v>
      </c>
      <c r="Q325" s="72">
        <f>IF(D325&lt;=3,база!$L$4,
IF(D325=4,база!$L$5,
IF(D325=5,база!$L$6)))</f>
        <v>210.57480000000001</v>
      </c>
      <c r="R325" s="269">
        <v>1</v>
      </c>
      <c r="S325" s="95">
        <f>SUMIFS(Таблица1[сумма],Таблица1[коэф],"1",Таблица1[р/р],"3/16",Таблица1[Ф. И. О.],B330)</f>
        <v>0</v>
      </c>
      <c r="T325" s="87">
        <f t="shared" si="204"/>
        <v>0</v>
      </c>
      <c r="U325" s="339">
        <f>IF(D325&lt;=3,база!$M$4,
IF(D325=4,база!$M$5,
IF(D325=5,база!$M$6)))</f>
        <v>225.09719999999999</v>
      </c>
      <c r="V325" s="269">
        <v>1</v>
      </c>
      <c r="W325" s="340">
        <f>SUMIFS(Таблица1[сумма],Таблица1[коэф],"1",Таблица1[р/р],"3/24",Таблица1[Ф. И. О.],B330)</f>
        <v>0</v>
      </c>
      <c r="X325" s="342">
        <f>ROUND(U325*V325*W325,2)</f>
        <v>0</v>
      </c>
      <c r="Y325" s="819">
        <f t="shared" ref="Y325" si="206">SUM(G325:G335,K325:K335,O325:O335,S325:S335,W325:W335)</f>
        <v>0</v>
      </c>
      <c r="Z325" s="810">
        <f t="shared" ref="Z325" si="207">IFERROR(SUM(H325:H335,L325:L335,T325:T335,X325:X335),"")</f>
        <v>0</v>
      </c>
      <c r="AA325" s="813"/>
    </row>
    <row r="326" spans="1:29">
      <c r="A326" s="756"/>
      <c r="B326" s="215"/>
      <c r="C326" s="815"/>
      <c r="D326" s="817"/>
      <c r="E326" s="78">
        <f>IF(D325&lt;=3,база!$I$4,
IF(D325=4,база!$I$5,
IF(D325=5,база!$I$6)))</f>
        <v>188.7912</v>
      </c>
      <c r="F326" s="271">
        <v>1</v>
      </c>
      <c r="G326" s="98">
        <f>SUMIFS(Таблица1[сумма],Таблица1[коэф],"1",Таблица1[р/р],"3/4",Таблица1[Ф. И. О.],B330)</f>
        <v>0</v>
      </c>
      <c r="H326" s="94">
        <f>ROUND(E326*F326*G326,2)</f>
        <v>0</v>
      </c>
      <c r="I326" s="334">
        <f>IF(D325&lt;=3,база!$J$4,
IF(D325=4,база!$J$5,
IF(D325=5,база!$J$6)))</f>
        <v>196.05240000000001</v>
      </c>
      <c r="J326" s="278">
        <v>1</v>
      </c>
      <c r="K326" s="216">
        <f>SUMIFS(Таблица1[сумма],Таблица1[коэф],"1",Таблица1[р/р],"3/8",Таблица1[Ф. И. О.],B330)</f>
        <v>0</v>
      </c>
      <c r="L326" s="216">
        <f>ROUND(I326*J326*K326,2)</f>
        <v>0</v>
      </c>
      <c r="M326" s="216"/>
      <c r="N326" s="216">
        <v>1</v>
      </c>
      <c r="O326" s="216">
        <f>SUMIFS(Data_Tech!$AM$3:$AM$67,Data_Tech!$E$3:$E$67,"1",Data_Tech!$G$3:$G$67,"4/12",Data_Tech!$F$3:$F$67,B330)</f>
        <v>0</v>
      </c>
      <c r="P326" s="30">
        <f>ROUND(M326*O326,2)</f>
        <v>0</v>
      </c>
      <c r="Q326" s="78">
        <f>база!$L$5</f>
        <v>231.45480000000001</v>
      </c>
      <c r="R326" s="271">
        <v>1</v>
      </c>
      <c r="S326" s="98">
        <f>SUMIFS(Таблица1[сумма],Таблица1[коэф],"1",Таблица1[р/р],"4/16",Таблица1[Ф. И. О.],B330)</f>
        <v>0</v>
      </c>
      <c r="T326" s="94">
        <f t="shared" si="204"/>
        <v>0</v>
      </c>
      <c r="U326" s="314">
        <f>база!$M$5</f>
        <v>247.41720000000001</v>
      </c>
      <c r="V326" s="271">
        <v>1</v>
      </c>
      <c r="W326" s="307">
        <f>SUMIFS(Таблица1[сумма],Таблица1[коэф],"1",Таблица1[р/р],"4/24",Таблица1[Ф. И. О.],B330)</f>
        <v>0</v>
      </c>
      <c r="X326" s="313">
        <f t="shared" ref="X326" si="208">ROUND(U326*V326*W326,2)</f>
        <v>0</v>
      </c>
      <c r="Y326" s="819"/>
      <c r="Z326" s="810"/>
      <c r="AA326" s="813"/>
    </row>
    <row r="327" spans="1:29">
      <c r="A327" s="756"/>
      <c r="B327" s="215"/>
      <c r="C327" s="815"/>
      <c r="D327" s="817"/>
      <c r="E327" s="78"/>
      <c r="F327" s="271"/>
      <c r="G327" s="98"/>
      <c r="H327" s="94"/>
      <c r="I327" s="334"/>
      <c r="J327" s="278"/>
      <c r="K327" s="216"/>
      <c r="L327" s="216"/>
      <c r="M327" s="216"/>
      <c r="N327" s="216"/>
      <c r="O327" s="216"/>
      <c r="P327" s="30"/>
      <c r="Q327" s="78">
        <f>база!$L$6</f>
        <v>261.04640000000001</v>
      </c>
      <c r="R327" s="271">
        <v>1</v>
      </c>
      <c r="S327" s="98">
        <f>SUMIFS(Таблица1[сумма],Таблица1[коэф],"1",Таблица1[р/р],"5/16",Таблица1[Ф. И. О.],B330)</f>
        <v>0</v>
      </c>
      <c r="T327" s="94">
        <f t="shared" si="204"/>
        <v>0</v>
      </c>
      <c r="U327" s="314">
        <f>база!$M$6</f>
        <v>279.0496</v>
      </c>
      <c r="V327" s="271">
        <v>1</v>
      </c>
      <c r="W327" s="307">
        <f>SUMIFS(Таблица1[сумма],Таблица1[коэф],"1",Таблица1[р/р],"5/24",Таблица1[Ф. И. О.],B330)</f>
        <v>0</v>
      </c>
      <c r="X327" s="313">
        <f>ROUND(U327*V327*W327,2)</f>
        <v>0</v>
      </c>
      <c r="Y327" s="819"/>
      <c r="Z327" s="810"/>
      <c r="AA327" s="813"/>
    </row>
    <row r="328" spans="1:29" ht="24" thickBot="1">
      <c r="A328" s="756"/>
      <c r="B328" s="215"/>
      <c r="C328" s="815"/>
      <c r="D328" s="817"/>
      <c r="E328" s="78"/>
      <c r="F328" s="271"/>
      <c r="G328" s="98"/>
      <c r="H328" s="94"/>
      <c r="I328" s="334">
        <f>база!$J$5</f>
        <v>215.4924</v>
      </c>
      <c r="J328" s="278">
        <v>1.5</v>
      </c>
      <c r="K328" s="216">
        <f>SUMIFS(Таблица1[сумма],Таблица1[коэф],"1,5",Таблица1[р/р],"4/8",Таблица1[Ф. И. О.],B330)</f>
        <v>0</v>
      </c>
      <c r="L328" s="216">
        <f>ROUND(I328*J328*K328,2)</f>
        <v>0</v>
      </c>
      <c r="M328" s="216"/>
      <c r="N328" s="216"/>
      <c r="O328" s="216"/>
      <c r="P328" s="30"/>
      <c r="Q328" s="78">
        <f>IF(D325&lt;=3,база!$L$4,
IF(D325=4,база!$L$5,
IF(D325=5,база!$L$6)))</f>
        <v>210.57480000000001</v>
      </c>
      <c r="R328" s="271">
        <v>1.2</v>
      </c>
      <c r="S328" s="98">
        <f>SUMIFS(Таблица1[сумма],Таблица1[коэф],"1,2",Таблица1[р/р],"3/16",Таблица1[Ф. И. О.],B330)</f>
        <v>0</v>
      </c>
      <c r="T328" s="94">
        <f t="shared" si="204"/>
        <v>0</v>
      </c>
      <c r="U328" s="314">
        <f>IF(D325&lt;=3,база!$M$4,
IF(D325=4,база!$M$5,
IF(D325=5,база!$M$6)))</f>
        <v>225.09719999999999</v>
      </c>
      <c r="V328" s="271">
        <v>1.2</v>
      </c>
      <c r="W328" s="307">
        <f>SUMIFS(Таблица1[сумма],Таблица1[коэф],"1,2",Таблица1[р/р],"3/24",Таблица1[Ф. И. О.],B330)</f>
        <v>0</v>
      </c>
      <c r="X328" s="313">
        <f t="shared" ref="X328:X329" si="209">ROUND(U328*V328*W328,2)</f>
        <v>0</v>
      </c>
      <c r="Y328" s="819"/>
      <c r="Z328" s="810"/>
      <c r="AA328" s="813"/>
    </row>
    <row r="329" spans="1:29" ht="24" thickBot="1">
      <c r="A329" s="756"/>
      <c r="B329" s="215"/>
      <c r="C329" s="815"/>
      <c r="D329" s="817"/>
      <c r="E329" s="78"/>
      <c r="F329" s="271"/>
      <c r="G329" s="98"/>
      <c r="H329" s="94"/>
      <c r="I329" s="334">
        <f>база!$J$6</f>
        <v>243.04319999999998</v>
      </c>
      <c r="J329" s="278">
        <v>1.5</v>
      </c>
      <c r="K329" s="216">
        <f>SUMIFS(Таблица1[сумма],Таблица1[коэф],"1,5",Таблица1[р/р],"5/8",Таблица1[Ф. И. О.],B330)</f>
        <v>0</v>
      </c>
      <c r="L329" s="216">
        <f>ROUND(I329*J329*K329,2)</f>
        <v>0</v>
      </c>
      <c r="M329" s="216"/>
      <c r="N329" s="216"/>
      <c r="O329" s="216"/>
      <c r="P329" s="30"/>
      <c r="Q329" s="78">
        <f>база!$L$5</f>
        <v>231.45480000000001</v>
      </c>
      <c r="R329" s="271">
        <v>1.2</v>
      </c>
      <c r="S329" s="98">
        <f>SUMIFS(Таблица1[сумма],Таблица1[коэф],"1,2",Таблица1[р/р],"4/16",Таблица1[Ф. И. О.],B330)</f>
        <v>0</v>
      </c>
      <c r="T329" s="94">
        <f t="shared" si="204"/>
        <v>0</v>
      </c>
      <c r="U329" s="314">
        <f>база!$M$5</f>
        <v>247.41720000000001</v>
      </c>
      <c r="V329" s="271">
        <v>1.2</v>
      </c>
      <c r="W329" s="307">
        <f>SUMIFS(Таблица1[сумма],Таблица1[коэф],"1,2",Таблица1[р/р],"4/24",Таблица1[Ф. И. О.],B330)</f>
        <v>0</v>
      </c>
      <c r="X329" s="313">
        <f t="shared" si="209"/>
        <v>0</v>
      </c>
      <c r="Y329" s="819"/>
      <c r="Z329" s="810"/>
      <c r="AA329" s="813"/>
      <c r="AC329" s="707" t="str">
        <f>IF(SUMIFS(Таблица1[Столбец2],Таблица1[Ф. И. О.],B330)-Z325=0,"",SUMIFS(Таблица1[Столбец2],Таблица1[Ф. И. О.],B330)-Z325)</f>
        <v/>
      </c>
    </row>
    <row r="330" spans="1:29" ht="24" thickBot="1">
      <c r="A330" s="756"/>
      <c r="B330" s="215" t="str">
        <f>база!B31</f>
        <v>Иванченко Ульяна Леонидовна</v>
      </c>
      <c r="C330" s="815"/>
      <c r="D330" s="817"/>
      <c r="E330" s="78"/>
      <c r="F330" s="271"/>
      <c r="G330" s="98"/>
      <c r="H330" s="94"/>
      <c r="I330" s="334"/>
      <c r="J330" s="278"/>
      <c r="K330" s="216"/>
      <c r="L330" s="216"/>
      <c r="M330" s="216"/>
      <c r="N330" s="216"/>
      <c r="O330" s="216"/>
      <c r="P330" s="30"/>
      <c r="Q330" s="78">
        <f>база!$L$6</f>
        <v>261.04640000000001</v>
      </c>
      <c r="R330" s="271">
        <v>1.2</v>
      </c>
      <c r="S330" s="98">
        <f>SUMIFS(Таблица1[сумма],Таблица1[коэф],"1,2",Таблица1[р/р],"5/16",Таблица1[Ф. И. О.],B330)</f>
        <v>0</v>
      </c>
      <c r="T330" s="94">
        <f>ROUND(Q330*R330*S330,2)</f>
        <v>0</v>
      </c>
      <c r="U330" s="314">
        <f>база!$M$6</f>
        <v>279.0496</v>
      </c>
      <c r="V330" s="271">
        <v>1.2</v>
      </c>
      <c r="W330" s="307">
        <f>SUMIFS(Таблица1[сумма],Таблица1[коэф],"1,2",Таблица1[р/р],"5/24",Таблица1[Ф. И. О.],B330)</f>
        <v>0</v>
      </c>
      <c r="X330" s="313">
        <f>ROUND(U330*V330*W330,2)</f>
        <v>0</v>
      </c>
      <c r="Y330" s="819"/>
      <c r="Z330" s="810"/>
      <c r="AA330" s="813"/>
      <c r="AC330" s="707" t="str">
        <f>IF(SUMIFS(Таблица1[сумма],Таблица1[Ф. И. О.],B330)=Y325,"",B325&amp;"  часы не верны")</f>
        <v/>
      </c>
    </row>
    <row r="331" spans="1:29" ht="24" thickBot="1">
      <c r="A331" s="756"/>
      <c r="B331" s="215"/>
      <c r="C331" s="815"/>
      <c r="D331" s="817"/>
      <c r="E331" s="78"/>
      <c r="F331" s="271"/>
      <c r="G331" s="98"/>
      <c r="H331" s="94"/>
      <c r="I331" s="334"/>
      <c r="J331" s="278"/>
      <c r="K331" s="216"/>
      <c r="L331" s="216"/>
      <c r="M331" s="216"/>
      <c r="N331" s="216"/>
      <c r="O331" s="216"/>
      <c r="P331" s="30"/>
      <c r="Q331" s="78">
        <f>IF($D$6&lt;=3,база!$L$4,
IF($D$6=4,база!$L$5,
IF($D$6=5,база!$L$6)))</f>
        <v>231.45480000000001</v>
      </c>
      <c r="R331" s="271">
        <v>1.3</v>
      </c>
      <c r="S331" s="98">
        <f>SUMIFS(Таблица1[сумма],Таблица1[коэф],"1,3",Таблица1[р/р],"3/16",Таблица1[Ф. И. О.],B330)</f>
        <v>0</v>
      </c>
      <c r="T331" s="94">
        <f t="shared" ref="T331:T340" si="210">ROUND(Q331*R331*S331,2)</f>
        <v>0</v>
      </c>
      <c r="U331" s="314">
        <f>IF(D325&lt;=3,база!$M$4,
IF(D325=4,база!$M$5,
IF(D325=5,база!$M$6)))</f>
        <v>225.09719999999999</v>
      </c>
      <c r="V331" s="271">
        <v>1.3</v>
      </c>
      <c r="W331" s="307">
        <f>SUMIFS(Таблица1[сумма],Таблица1[коэф],"1,3",Таблица1[р/р],"3/24",Таблица1[Ф. И. О.],B330)</f>
        <v>0</v>
      </c>
      <c r="X331" s="313">
        <f t="shared" ref="X331:X332" si="211">ROUND(U331*V331*W331,2)</f>
        <v>0</v>
      </c>
      <c r="Y331" s="819"/>
      <c r="Z331" s="810"/>
      <c r="AA331" s="813"/>
    </row>
    <row r="332" spans="1:29" ht="24" thickBot="1">
      <c r="A332" s="756"/>
      <c r="B332" s="215"/>
      <c r="C332" s="815"/>
      <c r="D332" s="817"/>
      <c r="E332" s="78"/>
      <c r="F332" s="271"/>
      <c r="G332" s="98"/>
      <c r="H332" s="94"/>
      <c r="I332" s="334"/>
      <c r="J332" s="278"/>
      <c r="K332" s="216"/>
      <c r="L332" s="216"/>
      <c r="M332" s="216"/>
      <c r="N332" s="216"/>
      <c r="O332" s="216"/>
      <c r="P332" s="30"/>
      <c r="Q332" s="78">
        <f>база!$L$5</f>
        <v>231.45480000000001</v>
      </c>
      <c r="R332" s="271">
        <v>1.3</v>
      </c>
      <c r="S332" s="98">
        <f>SUMIFS(Таблица1[сумма],Таблица1[коэф],"1,3",Таблица1[р/р],"4/16",Таблица1[Ф. И. О.],B330)</f>
        <v>0</v>
      </c>
      <c r="T332" s="94">
        <f t="shared" si="210"/>
        <v>0</v>
      </c>
      <c r="U332" s="314">
        <f>база!$M$5</f>
        <v>247.41720000000001</v>
      </c>
      <c r="V332" s="271">
        <v>1.3</v>
      </c>
      <c r="W332" s="307">
        <f>SUMIFS(Таблица1[сумма],Таблица1[коэф],"1,3",Таблица1[р/р],"4/24",Таблица1[Ф. И. О.],B330)</f>
        <v>0</v>
      </c>
      <c r="X332" s="313">
        <f t="shared" si="211"/>
        <v>0</v>
      </c>
      <c r="Y332" s="819"/>
      <c r="Z332" s="810"/>
      <c r="AA332" s="813"/>
    </row>
    <row r="333" spans="1:29" ht="24" thickBot="1">
      <c r="A333" s="756"/>
      <c r="B333" s="215"/>
      <c r="C333" s="815"/>
      <c r="D333" s="817"/>
      <c r="E333" s="78"/>
      <c r="F333" s="271"/>
      <c r="G333" s="98"/>
      <c r="H333" s="94"/>
      <c r="I333" s="334"/>
      <c r="J333" s="278"/>
      <c r="K333" s="216"/>
      <c r="L333" s="216"/>
      <c r="M333" s="216"/>
      <c r="N333" s="216"/>
      <c r="O333" s="216"/>
      <c r="P333" s="30"/>
      <c r="Q333" s="78">
        <f>IF(D325&lt;=3,база!$L$4,
IF(D325=4,база!$L$5,
IF(D325=5,база!$L$6)))</f>
        <v>210.57480000000001</v>
      </c>
      <c r="R333" s="271">
        <v>1.4</v>
      </c>
      <c r="S333" s="98">
        <f>SUMIFS(Таблица1[сумма],Таблица1[коэф],"1,4",Таблица1[р/р],"3/16",Таблица1[Ф. И. О.],B330)</f>
        <v>0</v>
      </c>
      <c r="T333" s="94">
        <f t="shared" si="210"/>
        <v>0</v>
      </c>
      <c r="U333" s="314">
        <f>IF(D325&lt;=3,база!$M$4,
IF(D325=4,база!$M$5,
IF(D325=5,база!$M$6)))</f>
        <v>225.09719999999999</v>
      </c>
      <c r="V333" s="271">
        <v>1.4</v>
      </c>
      <c r="W333" s="307">
        <f>SUMIFS(Таблица1[сумма],Таблица1[коэф],"1,4",Таблица1[р/р],"3/24",Таблица1[Ф. И. О.],B330)</f>
        <v>0</v>
      </c>
      <c r="X333" s="313">
        <f>ROUND(U333*V333*W333,2)</f>
        <v>0</v>
      </c>
      <c r="Y333" s="819"/>
      <c r="Z333" s="810"/>
      <c r="AA333" s="813"/>
    </row>
    <row r="334" spans="1:29" ht="24" thickBot="1">
      <c r="A334" s="756"/>
      <c r="B334" s="215"/>
      <c r="C334" s="815"/>
      <c r="D334" s="817"/>
      <c r="E334" s="78"/>
      <c r="F334" s="271"/>
      <c r="G334" s="98"/>
      <c r="H334" s="94"/>
      <c r="I334" s="334"/>
      <c r="J334" s="278"/>
      <c r="K334" s="216"/>
      <c r="L334" s="216"/>
      <c r="M334" s="216"/>
      <c r="N334" s="216"/>
      <c r="O334" s="216"/>
      <c r="P334" s="30"/>
      <c r="Q334" s="78">
        <f>база!$L$5</f>
        <v>231.45480000000001</v>
      </c>
      <c r="R334" s="271">
        <v>1.4</v>
      </c>
      <c r="S334" s="98">
        <f>SUMIFS(Таблица1[сумма],Таблица1[коэф],"1,4",Таблица1[р/р],"4/16",Таблица1[Ф. И. О.],B330)</f>
        <v>0</v>
      </c>
      <c r="T334" s="94">
        <f t="shared" si="210"/>
        <v>0</v>
      </c>
      <c r="U334" s="314">
        <f>база!$M$5</f>
        <v>247.41720000000001</v>
      </c>
      <c r="V334" s="271">
        <v>1.4</v>
      </c>
      <c r="W334" s="307">
        <f>SUMIFS(Таблица1[сумма],Таблица1[коэф],"1,4",Таблица1[р/р],"4/24",Таблица1[Ф. И. О.],B330)</f>
        <v>0</v>
      </c>
      <c r="X334" s="313">
        <f>ROUND(U334*V334*W334,2)</f>
        <v>0</v>
      </c>
      <c r="Y334" s="819"/>
      <c r="Z334" s="810"/>
      <c r="AA334" s="813"/>
    </row>
    <row r="335" spans="1:29" ht="24" thickBot="1">
      <c r="A335" s="757"/>
      <c r="B335" s="202"/>
      <c r="C335" s="816"/>
      <c r="D335" s="818"/>
      <c r="E335" s="101"/>
      <c r="F335" s="273"/>
      <c r="G335" s="97"/>
      <c r="H335" s="90"/>
      <c r="I335" s="348"/>
      <c r="J335" s="279"/>
      <c r="K335" s="288"/>
      <c r="L335" s="288"/>
      <c r="M335" s="288"/>
      <c r="N335" s="288"/>
      <c r="O335" s="288"/>
      <c r="P335" s="315"/>
      <c r="Q335" s="101">
        <f>база!$L$6</f>
        <v>261.04640000000001</v>
      </c>
      <c r="R335" s="273">
        <v>1.4</v>
      </c>
      <c r="S335" s="97">
        <f>SUMIFS(Таблица1[сумма],Таблица1[коэф],"1,4",Таблица1[р/р],"5/16",Таблица1[Ф. И. О.],B330)</f>
        <v>0</v>
      </c>
      <c r="T335" s="90">
        <f t="shared" si="210"/>
        <v>0</v>
      </c>
      <c r="U335" s="347">
        <f>база!$M$6</f>
        <v>279.0496</v>
      </c>
      <c r="V335" s="273">
        <v>1.4</v>
      </c>
      <c r="W335" s="312">
        <f>SUMIFS(Таблица1[сумма],Таблица1[коэф],"1,4",Таблица1[р/р],"5/24",Таблица1[Ф. И. О.],B330)</f>
        <v>0</v>
      </c>
      <c r="X335" s="343">
        <f>ROUND(U335*V335*W335,2)</f>
        <v>0</v>
      </c>
      <c r="Y335" s="820"/>
      <c r="Z335" s="811"/>
      <c r="AA335" s="814"/>
    </row>
    <row r="336" spans="1:29">
      <c r="A336" s="755">
        <v>31</v>
      </c>
      <c r="B336" s="235"/>
      <c r="C336" s="821">
        <f>INDEX(база!$E$2:$E$81, MATCH(B341,база!$B$2:$B$50,0))</f>
        <v>17305</v>
      </c>
      <c r="D336" s="822">
        <f>INDEX(база!$D$2:$D$89, MATCH(B341,база!$B$2:$B$50,0))</f>
        <v>3</v>
      </c>
      <c r="E336" s="72">
        <f>IF(D336&lt;=3,база!$I$4,
IF(D336=4,база!$I$5,
IF(D336=5,база!$I$6)))</f>
        <v>188.7912</v>
      </c>
      <c r="F336" s="269">
        <v>1</v>
      </c>
      <c r="G336" s="95">
        <f>SUMIFS(Таблица1[сумма],Таблица1[коэф],"1",Таблица1[р/р],"2/4",Таблица1[Ф. И. О.],B341)</f>
        <v>0</v>
      </c>
      <c r="H336" s="87">
        <f>ROUND(E336*F336*G336,2)</f>
        <v>0</v>
      </c>
      <c r="I336" s="338">
        <f>IF(D336&lt;=3,база!$J$4,
IF(D336=4,база!$J$5,
IF(D336=5,база!$J$6)))</f>
        <v>196.05240000000001</v>
      </c>
      <c r="J336" s="276">
        <v>1</v>
      </c>
      <c r="K336" s="287">
        <f>SUMIFS(Таблица1[сумма],Таблица1[коэф],"1",Таблица1[р/р],"2/8",Таблица1[Ф. И. О.],B341)</f>
        <v>0</v>
      </c>
      <c r="L336" s="287">
        <f>ROUND(I336*J336*K336,2)</f>
        <v>0</v>
      </c>
      <c r="M336" s="287"/>
      <c r="N336" s="287">
        <v>1</v>
      </c>
      <c r="O336" s="287">
        <f>SUMIFS(Data_Tech!$AM$3:$AM$67,Data_Tech!$E$3:$E$67,"1",Data_Tech!$G$3:$G$67,"3/12",Data_Tech!$F$3:$F$67,B341)</f>
        <v>0</v>
      </c>
      <c r="P336" s="280">
        <f>ROUND(M336*N336*O336,2)</f>
        <v>0</v>
      </c>
      <c r="Q336" s="72">
        <f>IF(D336&lt;=3,база!$L$4,
IF(D336=4,база!$L$5,
IF(D336=5,база!$L$6)))</f>
        <v>210.57480000000001</v>
      </c>
      <c r="R336" s="269">
        <v>1</v>
      </c>
      <c r="S336" s="95">
        <f>SUMIFS(Таблица1[сумма],Таблица1[коэф],"1",Таблица1[р/р],"3/16",Таблица1[Ф. И. О.],B341)</f>
        <v>0</v>
      </c>
      <c r="T336" s="87">
        <f t="shared" si="210"/>
        <v>0</v>
      </c>
      <c r="U336" s="339">
        <f>IF(D336&lt;=3,база!$M$4,
IF(D336=4,база!$M$5,
IF(D336=5,база!$M$6)))</f>
        <v>225.09719999999999</v>
      </c>
      <c r="V336" s="269">
        <v>1</v>
      </c>
      <c r="W336" s="340">
        <f>SUMIFS(Таблица1[сумма],Таблица1[коэф],"1",Таблица1[р/р],"3/24",Таблица1[Ф. И. О.],B341)</f>
        <v>0</v>
      </c>
      <c r="X336" s="342">
        <f>ROUND(U336*V336*W336,2)</f>
        <v>0</v>
      </c>
      <c r="Y336" s="819">
        <f t="shared" ref="Y336" si="212">SUM(G336:G346,K336:K346,O336:O346,S336:S346,W336:W346)</f>
        <v>0</v>
      </c>
      <c r="Z336" s="810">
        <f t="shared" ref="Z336" si="213">IFERROR(SUM(H336:H346,L336:L346,T336:T346,X336:X346),"")</f>
        <v>0</v>
      </c>
      <c r="AA336" s="813"/>
    </row>
    <row r="337" spans="1:29">
      <c r="A337" s="756"/>
      <c r="B337" s="215"/>
      <c r="C337" s="815"/>
      <c r="D337" s="817"/>
      <c r="E337" s="78">
        <f>IF(D336&lt;=3,база!$I$4,
IF(D336=4,база!$I$5,
IF(D336=5,база!$I$6)))</f>
        <v>188.7912</v>
      </c>
      <c r="F337" s="271">
        <v>1</v>
      </c>
      <c r="G337" s="98">
        <f>SUMIFS(Таблица1[сумма],Таблица1[коэф],"1",Таблица1[р/р],"3/4",Таблица1[Ф. И. О.],B341)</f>
        <v>0</v>
      </c>
      <c r="H337" s="94">
        <f>ROUND(E337*F337*G337,2)</f>
        <v>0</v>
      </c>
      <c r="I337" s="334">
        <f>IF(D336&lt;=3,база!$J$4,
IF(D336=4,база!$J$5,
IF(D336=5,база!$J$6)))</f>
        <v>196.05240000000001</v>
      </c>
      <c r="J337" s="278">
        <v>1</v>
      </c>
      <c r="K337" s="216">
        <f>SUMIFS(Таблица1[сумма],Таблица1[коэф],"1",Таблица1[р/р],"3/8",Таблица1[Ф. И. О.],B341)</f>
        <v>0</v>
      </c>
      <c r="L337" s="216">
        <f>ROUND(I337*J337*K337,2)</f>
        <v>0</v>
      </c>
      <c r="M337" s="216"/>
      <c r="N337" s="216">
        <v>1</v>
      </c>
      <c r="O337" s="216">
        <f>SUMIFS(Data_Tech!$AM$3:$AM$67,Data_Tech!$E$3:$E$67,"1",Data_Tech!$G$3:$G$67,"4/12",Data_Tech!$F$3:$F$67,B341)</f>
        <v>0</v>
      </c>
      <c r="P337" s="30">
        <f>ROUND(M337*O337,2)</f>
        <v>0</v>
      </c>
      <c r="Q337" s="78">
        <f>база!$L$5</f>
        <v>231.45480000000001</v>
      </c>
      <c r="R337" s="271">
        <v>1</v>
      </c>
      <c r="S337" s="98">
        <f>SUMIFS(Таблица1[сумма],Таблица1[коэф],"1",Таблица1[р/р],"4/16",Таблица1[Ф. И. О.],B341)</f>
        <v>0</v>
      </c>
      <c r="T337" s="94">
        <f t="shared" si="210"/>
        <v>0</v>
      </c>
      <c r="U337" s="314">
        <f>база!$M$5</f>
        <v>247.41720000000001</v>
      </c>
      <c r="V337" s="271">
        <v>1</v>
      </c>
      <c r="W337" s="307">
        <f>SUMIFS(Таблица1[сумма],Таблица1[коэф],"1",Таблица1[р/р],"4/24",Таблица1[Ф. И. О.],B341)</f>
        <v>0</v>
      </c>
      <c r="X337" s="313">
        <f t="shared" ref="X337" si="214">ROUND(U337*V337*W337,2)</f>
        <v>0</v>
      </c>
      <c r="Y337" s="819"/>
      <c r="Z337" s="810"/>
      <c r="AA337" s="813"/>
    </row>
    <row r="338" spans="1:29" ht="24" thickBot="1">
      <c r="A338" s="756"/>
      <c r="B338" s="215"/>
      <c r="C338" s="815"/>
      <c r="D338" s="817"/>
      <c r="E338" s="78"/>
      <c r="F338" s="271"/>
      <c r="G338" s="98"/>
      <c r="H338" s="94"/>
      <c r="I338" s="334"/>
      <c r="J338" s="278"/>
      <c r="K338" s="216"/>
      <c r="L338" s="216"/>
      <c r="M338" s="216"/>
      <c r="N338" s="216"/>
      <c r="O338" s="216"/>
      <c r="P338" s="30"/>
      <c r="Q338" s="78">
        <f>база!$L$6</f>
        <v>261.04640000000001</v>
      </c>
      <c r="R338" s="271">
        <v>1</v>
      </c>
      <c r="S338" s="98">
        <f>SUMIFS(Таблица1[сумма],Таблица1[коэф],"1",Таблица1[р/р],"5/16",Таблица1[Ф. И. О.],B341)</f>
        <v>0</v>
      </c>
      <c r="T338" s="94">
        <f t="shared" si="210"/>
        <v>0</v>
      </c>
      <c r="U338" s="314">
        <f>база!$M$6</f>
        <v>279.0496</v>
      </c>
      <c r="V338" s="271">
        <v>1</v>
      </c>
      <c r="W338" s="307">
        <f>SUMIFS(Таблица1[сумма],Таблица1[коэф],"1",Таблица1[р/р],"5/24",Таблица1[Ф. И. О.],B341)</f>
        <v>0</v>
      </c>
      <c r="X338" s="313">
        <f>ROUND(U338*V338*W338,2)</f>
        <v>0</v>
      </c>
      <c r="Y338" s="819"/>
      <c r="Z338" s="810"/>
      <c r="AA338" s="813"/>
    </row>
    <row r="339" spans="1:29" ht="24" thickBot="1">
      <c r="A339" s="756"/>
      <c r="B339" s="215"/>
      <c r="C339" s="815"/>
      <c r="D339" s="817"/>
      <c r="E339" s="78"/>
      <c r="F339" s="271"/>
      <c r="G339" s="98"/>
      <c r="H339" s="94"/>
      <c r="I339" s="334">
        <f>база!$J$5</f>
        <v>215.4924</v>
      </c>
      <c r="J339" s="278">
        <v>1.5</v>
      </c>
      <c r="K339" s="216">
        <f>SUMIFS(Таблица1[сумма],Таблица1[коэф],"1,5",Таблица1[р/р],"4/8",Таблица1[Ф. И. О.],B341)</f>
        <v>0</v>
      </c>
      <c r="L339" s="216">
        <f>ROUND(I339*J339*K339,2)</f>
        <v>0</v>
      </c>
      <c r="M339" s="216"/>
      <c r="N339" s="216"/>
      <c r="O339" s="216"/>
      <c r="P339" s="30"/>
      <c r="Q339" s="78">
        <f>IF(D336&lt;=3,база!$L$4,
IF(D336=4,база!$L$5,
IF(D336=5,база!$L$6)))</f>
        <v>210.57480000000001</v>
      </c>
      <c r="R339" s="271">
        <v>1.2</v>
      </c>
      <c r="S339" s="98">
        <f>SUMIFS(Таблица1[сумма],Таблица1[коэф],"1,2",Таблица1[р/р],"3/16",Таблица1[Ф. И. О.],B341)</f>
        <v>0</v>
      </c>
      <c r="T339" s="94">
        <f t="shared" si="210"/>
        <v>0</v>
      </c>
      <c r="U339" s="314">
        <f>IF(D336&lt;=3,база!$M$4,
IF(D336=4,база!$M$5,
IF(D336=5,база!$M$6)))</f>
        <v>225.09719999999999</v>
      </c>
      <c r="V339" s="271">
        <v>1.2</v>
      </c>
      <c r="W339" s="307">
        <f>SUMIFS(Таблица1[сумма],Таблица1[коэф],"1,2",Таблица1[р/р],"3/24",Таблица1[Ф. И. О.],B341)</f>
        <v>0</v>
      </c>
      <c r="X339" s="313">
        <f t="shared" ref="X339:X340" si="215">ROUND(U339*V339*W339,2)</f>
        <v>0</v>
      </c>
      <c r="Y339" s="819"/>
      <c r="Z339" s="810"/>
      <c r="AA339" s="813"/>
    </row>
    <row r="340" spans="1:29" ht="24" thickBot="1">
      <c r="A340" s="756"/>
      <c r="B340" s="215"/>
      <c r="C340" s="815"/>
      <c r="D340" s="817"/>
      <c r="E340" s="78"/>
      <c r="F340" s="271"/>
      <c r="G340" s="98"/>
      <c r="H340" s="94"/>
      <c r="I340" s="334">
        <f>база!$J$6</f>
        <v>243.04319999999998</v>
      </c>
      <c r="J340" s="278">
        <v>1.5</v>
      </c>
      <c r="K340" s="216">
        <f>SUMIFS(Таблица1[сумма],Таблица1[коэф],"1,5",Таблица1[р/р],"5/8",Таблица1[Ф. И. О.],B341)</f>
        <v>0</v>
      </c>
      <c r="L340" s="216">
        <f>ROUND(I340*J340*K340,2)</f>
        <v>0</v>
      </c>
      <c r="M340" s="216"/>
      <c r="N340" s="216"/>
      <c r="O340" s="216"/>
      <c r="P340" s="30"/>
      <c r="Q340" s="78">
        <f>база!$L$5</f>
        <v>231.45480000000001</v>
      </c>
      <c r="R340" s="271">
        <v>1.2</v>
      </c>
      <c r="S340" s="98">
        <f>SUMIFS(Таблица1[сумма],Таблица1[коэф],"1,2",Таблица1[р/р],"4/16",Таблица1[Ф. И. О.],B341)</f>
        <v>0</v>
      </c>
      <c r="T340" s="94">
        <f t="shared" si="210"/>
        <v>0</v>
      </c>
      <c r="U340" s="314">
        <f>база!$M$5</f>
        <v>247.41720000000001</v>
      </c>
      <c r="V340" s="271">
        <v>1.2</v>
      </c>
      <c r="W340" s="307">
        <f>SUMIFS(Таблица1[сумма],Таблица1[коэф],"1,2",Таблица1[р/р],"4/24",Таблица1[Ф. И. О.],B341)</f>
        <v>0</v>
      </c>
      <c r="X340" s="313">
        <f t="shared" si="215"/>
        <v>0</v>
      </c>
      <c r="Y340" s="819"/>
      <c r="Z340" s="810"/>
      <c r="AA340" s="813"/>
      <c r="AC340" s="707" t="e">
        <f>IF(SUMIFS([1]!Таблица1[Столбец2],[1]!Таблица1[Ф. И. О.],B341)-Z336=0,"",SUMIFS([1]!Таблица1[Столбец2],[1]!Таблица1[Ф. И. О.],B341)-Z336)</f>
        <v>#REF!</v>
      </c>
    </row>
    <row r="341" spans="1:29" ht="24" thickBot="1">
      <c r="A341" s="756"/>
      <c r="B341" s="215" t="str">
        <f>база!B32</f>
        <v>Исаева Инна Игоревна</v>
      </c>
      <c r="C341" s="815"/>
      <c r="D341" s="817"/>
      <c r="E341" s="78"/>
      <c r="F341" s="271"/>
      <c r="G341" s="98"/>
      <c r="H341" s="94"/>
      <c r="I341" s="334"/>
      <c r="J341" s="278"/>
      <c r="K341" s="216"/>
      <c r="L341" s="216"/>
      <c r="M341" s="216"/>
      <c r="N341" s="216"/>
      <c r="O341" s="216"/>
      <c r="P341" s="30"/>
      <c r="Q341" s="78">
        <f>база!$L$6</f>
        <v>261.04640000000001</v>
      </c>
      <c r="R341" s="271">
        <v>1.2</v>
      </c>
      <c r="S341" s="98">
        <f>SUMIFS(Таблица1[сумма],Таблица1[коэф],"1,2",Таблица1[р/р],"5/16",Таблица1[Ф. И. О.],B341)</f>
        <v>0</v>
      </c>
      <c r="T341" s="94">
        <f>ROUND(Q341*R341*S341,2)</f>
        <v>0</v>
      </c>
      <c r="U341" s="314">
        <f>база!$M$6</f>
        <v>279.0496</v>
      </c>
      <c r="V341" s="271">
        <v>1.2</v>
      </c>
      <c r="W341" s="307">
        <f>SUMIFS(Таблица1[сумма],Таблица1[коэф],"1,2",Таблица1[р/р],"5/24",Таблица1[Ф. И. О.],B341)</f>
        <v>0</v>
      </c>
      <c r="X341" s="313">
        <f>ROUND(U341*V341*W341,2)</f>
        <v>0</v>
      </c>
      <c r="Y341" s="819"/>
      <c r="Z341" s="810"/>
      <c r="AA341" s="813"/>
      <c r="AC341" s="707" t="e">
        <f>IF(SUMIFS([1]!Таблица1[[                                                     ]],[1]!Таблица1[Ф. И. О.],B341)=Y336,"",B341&amp;"  часы не верны")</f>
        <v>#REF!</v>
      </c>
    </row>
    <row r="342" spans="1:29" ht="24" thickBot="1">
      <c r="A342" s="756"/>
      <c r="B342" s="215"/>
      <c r="C342" s="815"/>
      <c r="D342" s="817"/>
      <c r="E342" s="78"/>
      <c r="F342" s="271"/>
      <c r="G342" s="98"/>
      <c r="H342" s="94"/>
      <c r="I342" s="334"/>
      <c r="J342" s="278"/>
      <c r="K342" s="216"/>
      <c r="L342" s="216"/>
      <c r="M342" s="216"/>
      <c r="N342" s="216"/>
      <c r="O342" s="216"/>
      <c r="P342" s="30"/>
      <c r="Q342" s="78">
        <f>IF($D$6&lt;=3,база!$L$4,
IF($D$6=4,база!$L$5,
IF($D$6=5,база!$L$6)))</f>
        <v>231.45480000000001</v>
      </c>
      <c r="R342" s="271">
        <v>1.3</v>
      </c>
      <c r="S342" s="98">
        <f>SUMIFS(Таблица1[сумма],Таблица1[коэф],"1,3",Таблица1[р/р],"3/16",Таблица1[Ф. И. О.],B341)</f>
        <v>0</v>
      </c>
      <c r="T342" s="94">
        <f t="shared" ref="T342:T351" si="216">ROUND(Q342*R342*S342,2)</f>
        <v>0</v>
      </c>
      <c r="U342" s="314">
        <f>IF(D336&lt;=3,база!$M$4,
IF(D336=4,база!$M$5,
IF(D336=5,база!$M$6)))</f>
        <v>225.09719999999999</v>
      </c>
      <c r="V342" s="271">
        <v>1.3</v>
      </c>
      <c r="W342" s="307">
        <f>SUMIFS(Таблица1[сумма],Таблица1[коэф],"1,3",Таблица1[р/р],"3/24",Таблица1[Ф. И. О.],B341)</f>
        <v>0</v>
      </c>
      <c r="X342" s="313">
        <f t="shared" ref="X342:X343" si="217">ROUND(U342*V342*W342,2)</f>
        <v>0</v>
      </c>
      <c r="Y342" s="819"/>
      <c r="Z342" s="810"/>
      <c r="AA342" s="813"/>
    </row>
    <row r="343" spans="1:29" ht="24" thickBot="1">
      <c r="A343" s="756"/>
      <c r="B343" s="215"/>
      <c r="C343" s="815"/>
      <c r="D343" s="817"/>
      <c r="E343" s="78"/>
      <c r="F343" s="271"/>
      <c r="G343" s="98"/>
      <c r="H343" s="94"/>
      <c r="I343" s="334"/>
      <c r="J343" s="278"/>
      <c r="K343" s="216"/>
      <c r="L343" s="216"/>
      <c r="M343" s="216"/>
      <c r="N343" s="216"/>
      <c r="O343" s="216"/>
      <c r="P343" s="30"/>
      <c r="Q343" s="78">
        <f>база!$L$5</f>
        <v>231.45480000000001</v>
      </c>
      <c r="R343" s="271">
        <v>1.3</v>
      </c>
      <c r="S343" s="98">
        <f>SUMIFS(Таблица1[сумма],Таблица1[коэф],"1,3",Таблица1[р/р],"4/16",Таблица1[Ф. И. О.],B341)</f>
        <v>0</v>
      </c>
      <c r="T343" s="94">
        <f t="shared" si="216"/>
        <v>0</v>
      </c>
      <c r="U343" s="314">
        <f>база!$M$5</f>
        <v>247.41720000000001</v>
      </c>
      <c r="V343" s="271">
        <v>1.3</v>
      </c>
      <c r="W343" s="307">
        <f>SUMIFS(Таблица1[сумма],Таблица1[коэф],"1,3",Таблица1[р/р],"4/24",Таблица1[Ф. И. О.],B341)</f>
        <v>0</v>
      </c>
      <c r="X343" s="313">
        <f t="shared" si="217"/>
        <v>0</v>
      </c>
      <c r="Y343" s="819"/>
      <c r="Z343" s="810"/>
      <c r="AA343" s="813"/>
    </row>
    <row r="344" spans="1:29" ht="24" thickBot="1">
      <c r="A344" s="756"/>
      <c r="B344" s="215"/>
      <c r="C344" s="815"/>
      <c r="D344" s="817"/>
      <c r="E344" s="78"/>
      <c r="F344" s="271"/>
      <c r="G344" s="98"/>
      <c r="H344" s="94"/>
      <c r="I344" s="334"/>
      <c r="J344" s="278"/>
      <c r="K344" s="216"/>
      <c r="L344" s="216"/>
      <c r="M344" s="216"/>
      <c r="N344" s="216"/>
      <c r="O344" s="216"/>
      <c r="P344" s="30"/>
      <c r="Q344" s="78">
        <f>IF(D336&lt;=3,база!$L$4,
IF(D336=4,база!$L$5,
IF(D336=5,база!$L$6)))</f>
        <v>210.57480000000001</v>
      </c>
      <c r="R344" s="271">
        <v>1.4</v>
      </c>
      <c r="S344" s="98">
        <f>SUMIFS(Таблица1[сумма],Таблица1[коэф],"1,4",Таблица1[р/р],"3/16",Таблица1[Ф. И. О.],B341)</f>
        <v>0</v>
      </c>
      <c r="T344" s="94">
        <f t="shared" si="216"/>
        <v>0</v>
      </c>
      <c r="U344" s="314">
        <f>IF(D336&lt;=3,база!$M$4,
IF(D336=4,база!$M$5,
IF(D336=5,база!$M$6)))</f>
        <v>225.09719999999999</v>
      </c>
      <c r="V344" s="271">
        <v>1.4</v>
      </c>
      <c r="W344" s="307">
        <f>SUMIFS(Таблица1[сумма],Таблица1[коэф],"1,4",Таблица1[р/р],"3/24",Таблица1[Ф. И. О.],B341)</f>
        <v>0</v>
      </c>
      <c r="X344" s="313">
        <f>ROUND(U344*V344*W344,2)</f>
        <v>0</v>
      </c>
      <c r="Y344" s="819"/>
      <c r="Z344" s="810"/>
      <c r="AA344" s="813"/>
    </row>
    <row r="345" spans="1:29" ht="24" thickBot="1">
      <c r="A345" s="756"/>
      <c r="B345" s="215"/>
      <c r="C345" s="815"/>
      <c r="D345" s="817"/>
      <c r="E345" s="78"/>
      <c r="F345" s="271"/>
      <c r="G345" s="98"/>
      <c r="H345" s="94"/>
      <c r="I345" s="334"/>
      <c r="J345" s="278"/>
      <c r="K345" s="216"/>
      <c r="L345" s="216"/>
      <c r="M345" s="216"/>
      <c r="N345" s="216"/>
      <c r="O345" s="216"/>
      <c r="P345" s="30"/>
      <c r="Q345" s="78">
        <f>база!$L$5</f>
        <v>231.45480000000001</v>
      </c>
      <c r="R345" s="271">
        <v>1.4</v>
      </c>
      <c r="S345" s="98">
        <f>SUMIFS(Таблица1[сумма],Таблица1[коэф],"1,4",Таблица1[р/р],"4/16",Таблица1[Ф. И. О.],B341)</f>
        <v>0</v>
      </c>
      <c r="T345" s="94">
        <f t="shared" si="216"/>
        <v>0</v>
      </c>
      <c r="U345" s="314">
        <f>база!$M$5</f>
        <v>247.41720000000001</v>
      </c>
      <c r="V345" s="271">
        <v>1.4</v>
      </c>
      <c r="W345" s="307">
        <f>SUMIFS(Таблица1[сумма],Таблица1[коэф],"1,4",Таблица1[р/р],"4/24",Таблица1[Ф. И. О.],B341)</f>
        <v>0</v>
      </c>
      <c r="X345" s="313">
        <f>ROUND(U345*V345*W345,2)</f>
        <v>0</v>
      </c>
      <c r="Y345" s="819"/>
      <c r="Z345" s="810"/>
      <c r="AA345" s="813"/>
    </row>
    <row r="346" spans="1:29" ht="24" thickBot="1">
      <c r="A346" s="757"/>
      <c r="B346" s="202"/>
      <c r="C346" s="816"/>
      <c r="D346" s="818"/>
      <c r="E346" s="101"/>
      <c r="F346" s="273"/>
      <c r="G346" s="97"/>
      <c r="H346" s="90"/>
      <c r="I346" s="348"/>
      <c r="J346" s="279"/>
      <c r="K346" s="288"/>
      <c r="L346" s="288"/>
      <c r="M346" s="288"/>
      <c r="N346" s="288"/>
      <c r="O346" s="288"/>
      <c r="P346" s="315"/>
      <c r="Q346" s="101">
        <f>база!$L$6</f>
        <v>261.04640000000001</v>
      </c>
      <c r="R346" s="273">
        <v>1.4</v>
      </c>
      <c r="S346" s="97">
        <f>SUMIFS(Таблица1[сумма],Таблица1[коэф],"1,4",Таблица1[р/р],"5/16",Таблица1[Ф. И. О.],B341)</f>
        <v>0</v>
      </c>
      <c r="T346" s="90">
        <f t="shared" si="216"/>
        <v>0</v>
      </c>
      <c r="U346" s="347">
        <f>база!$M$6</f>
        <v>279.0496</v>
      </c>
      <c r="V346" s="273">
        <v>1.4</v>
      </c>
      <c r="W346" s="312">
        <f>SUMIFS(Таблица1[сумма],Таблица1[коэф],"1,4",Таблица1[р/р],"5/24",Таблица1[Ф. И. О.],B341)</f>
        <v>0</v>
      </c>
      <c r="X346" s="343">
        <f>ROUND(U346*V346*W346,2)</f>
        <v>0</v>
      </c>
      <c r="Y346" s="820"/>
      <c r="Z346" s="811"/>
      <c r="AA346" s="814"/>
    </row>
    <row r="347" spans="1:29">
      <c r="A347" s="755">
        <v>32</v>
      </c>
      <c r="B347" s="235"/>
      <c r="C347" s="821">
        <f>INDEX(база!$E$2:$E$81, MATCH(B352,база!$B$2:$B$50,0))</f>
        <v>17270</v>
      </c>
      <c r="D347" s="822">
        <f>INDEX(база!$D$2:$D$89, MATCH(B352,база!$B$2:$B$50,0))</f>
        <v>3</v>
      </c>
      <c r="E347" s="72">
        <f>IF(D347&lt;=3,база!$I$4,
IF(D347=4,база!$I$5,
IF(D347=5,база!$I$6)))</f>
        <v>188.7912</v>
      </c>
      <c r="F347" s="269">
        <v>1</v>
      </c>
      <c r="G347" s="95">
        <f>SUMIFS(Таблица1[сумма],Таблица1[коэф],"1",Таблица1[р/р],"2/4",Таблица1[Ф. И. О.],B352)</f>
        <v>0</v>
      </c>
      <c r="H347" s="87">
        <f>ROUND(E347*F347*G347,2)</f>
        <v>0</v>
      </c>
      <c r="I347" s="338">
        <f>IF(D347&lt;=3,база!$J$4,
IF(D347=4,база!$J$5,
IF(D347=5,база!$J$6)))</f>
        <v>196.05240000000001</v>
      </c>
      <c r="J347" s="276">
        <v>1</v>
      </c>
      <c r="K347" s="287">
        <f>SUMIFS(Таблица1[сумма],Таблица1[коэф],"1",Таблица1[р/р],"2/8",Таблица1[Ф. И. О.],B352)</f>
        <v>0</v>
      </c>
      <c r="L347" s="287">
        <f>ROUND(I347*J347*K347,2)</f>
        <v>0</v>
      </c>
      <c r="M347" s="287"/>
      <c r="N347" s="287">
        <v>1</v>
      </c>
      <c r="O347" s="287">
        <f>SUMIFS(Data_Tech!$AM$3:$AM$67,Data_Tech!$E$3:$E$67,"1",Data_Tech!$G$3:$G$67,"3/12",Data_Tech!$F$3:$F$67,B352)</f>
        <v>0</v>
      </c>
      <c r="P347" s="280">
        <f>ROUND(M347*N347*O347,2)</f>
        <v>0</v>
      </c>
      <c r="Q347" s="72">
        <f>IF(D347&lt;=3,база!$L$4,
IF(D347=4,база!$L$5,
IF(D347=5,база!$L$6)))</f>
        <v>210.57480000000001</v>
      </c>
      <c r="R347" s="269">
        <v>1</v>
      </c>
      <c r="S347" s="95">
        <f>SUMIFS(Таблица1[сумма],Таблица1[коэф],"1",Таблица1[р/р],"3/16",Таблица1[Ф. И. О.],B352)</f>
        <v>0</v>
      </c>
      <c r="T347" s="87">
        <f t="shared" si="216"/>
        <v>0</v>
      </c>
      <c r="U347" s="339">
        <f>IF(D347&lt;=3,база!$M$4,
IF(D347=4,база!$M$5,
IF(D347=5,база!$M$6)))</f>
        <v>225.09719999999999</v>
      </c>
      <c r="V347" s="269">
        <v>1</v>
      </c>
      <c r="W347" s="340">
        <f>SUMIFS(Таблица1[сумма],Таблица1[коэф],"1",Таблица1[р/р],"3/24",Таблица1[Ф. И. О.],B352)</f>
        <v>0</v>
      </c>
      <c r="X347" s="342">
        <f>ROUND(U347*V347*W347,2)</f>
        <v>0</v>
      </c>
      <c r="Y347" s="819">
        <f t="shared" ref="Y347" si="218">SUM(G347:G357,K347:K357,O347:O357,S347:S357,W347:W357)</f>
        <v>0</v>
      </c>
      <c r="Z347" s="810">
        <f t="shared" ref="Z347" si="219">IFERROR(SUM(H347:H357,L347:L357,T347:T357,X347:X357),"")</f>
        <v>0</v>
      </c>
      <c r="AA347" s="813"/>
    </row>
    <row r="348" spans="1:29">
      <c r="A348" s="756"/>
      <c r="B348" s="215"/>
      <c r="C348" s="815"/>
      <c r="D348" s="817"/>
      <c r="E348" s="78">
        <f>IF(D347&lt;=3,база!$I$4,
IF(D347=4,база!$I$5,
IF(D347=5,база!$I$6)))</f>
        <v>188.7912</v>
      </c>
      <c r="F348" s="271">
        <v>1</v>
      </c>
      <c r="G348" s="98">
        <f>SUMIFS(Таблица1[сумма],Таблица1[коэф],"1",Таблица1[р/р],"3/4",Таблица1[Ф. И. О.],B352)</f>
        <v>0</v>
      </c>
      <c r="H348" s="94">
        <f>ROUND(E348*F348*G348,2)</f>
        <v>0</v>
      </c>
      <c r="I348" s="334">
        <f>IF(D347&lt;=3,база!$J$4,
IF(D347=4,база!$J$5,
IF(D347=5,база!$J$6)))</f>
        <v>196.05240000000001</v>
      </c>
      <c r="J348" s="278">
        <v>1</v>
      </c>
      <c r="K348" s="216">
        <f>SUMIFS(Таблица1[сумма],Таблица1[коэф],"1",Таблица1[р/р],"3/8",Таблица1[Ф. И. О.],B352)</f>
        <v>0</v>
      </c>
      <c r="L348" s="216">
        <f>ROUND(I348*J348*K348,2)</f>
        <v>0</v>
      </c>
      <c r="M348" s="216"/>
      <c r="N348" s="216">
        <v>1</v>
      </c>
      <c r="O348" s="216">
        <f>SUMIFS(Data_Tech!$AM$3:$AM$67,Data_Tech!$E$3:$E$67,"1",Data_Tech!$G$3:$G$67,"4/12",Data_Tech!$F$3:$F$67,B352)</f>
        <v>0</v>
      </c>
      <c r="P348" s="30">
        <f>ROUND(M348*O348,2)</f>
        <v>0</v>
      </c>
      <c r="Q348" s="78">
        <f>база!$L$5</f>
        <v>231.45480000000001</v>
      </c>
      <c r="R348" s="271">
        <v>1</v>
      </c>
      <c r="S348" s="98">
        <f>SUMIFS(Таблица1[сумма],Таблица1[коэф],"1",Таблица1[р/р],"4/16",Таблица1[Ф. И. О.],B352)</f>
        <v>0</v>
      </c>
      <c r="T348" s="94">
        <f t="shared" si="216"/>
        <v>0</v>
      </c>
      <c r="U348" s="314">
        <f>база!$M$5</f>
        <v>247.41720000000001</v>
      </c>
      <c r="V348" s="271">
        <v>1</v>
      </c>
      <c r="W348" s="307">
        <f>SUMIFS(Таблица1[сумма],Таблица1[коэф],"1",Таблица1[р/р],"4/24",Таблица1[Ф. И. О.],B352)</f>
        <v>0</v>
      </c>
      <c r="X348" s="313">
        <f t="shared" ref="X348" si="220">ROUND(U348*V348*W348,2)</f>
        <v>0</v>
      </c>
      <c r="Y348" s="819"/>
      <c r="Z348" s="810"/>
      <c r="AA348" s="813"/>
    </row>
    <row r="349" spans="1:29" ht="24" thickBot="1">
      <c r="A349" s="756"/>
      <c r="B349" s="215"/>
      <c r="C349" s="815"/>
      <c r="D349" s="817"/>
      <c r="E349" s="78"/>
      <c r="F349" s="271"/>
      <c r="G349" s="98"/>
      <c r="H349" s="94"/>
      <c r="I349" s="334"/>
      <c r="J349" s="278"/>
      <c r="K349" s="216"/>
      <c r="L349" s="216"/>
      <c r="M349" s="216"/>
      <c r="N349" s="216"/>
      <c r="O349" s="216"/>
      <c r="P349" s="30"/>
      <c r="Q349" s="78">
        <f>база!$L$6</f>
        <v>261.04640000000001</v>
      </c>
      <c r="R349" s="271">
        <v>1</v>
      </c>
      <c r="S349" s="98">
        <f>SUMIFS(Таблица1[сумма],Таблица1[коэф],"1",Таблица1[р/р],"5/16",Таблица1[Ф. И. О.],B352)</f>
        <v>0</v>
      </c>
      <c r="T349" s="94">
        <f t="shared" si="216"/>
        <v>0</v>
      </c>
      <c r="U349" s="314">
        <f>база!$M$6</f>
        <v>279.0496</v>
      </c>
      <c r="V349" s="271">
        <v>1</v>
      </c>
      <c r="W349" s="307">
        <f>SUMIFS(Таблица1[сумма],Таблица1[коэф],"1",Таблица1[р/р],"5/24",Таблица1[Ф. И. О.],B352)</f>
        <v>0</v>
      </c>
      <c r="X349" s="313">
        <f>ROUND(U349*V349*W349,2)</f>
        <v>0</v>
      </c>
      <c r="Y349" s="819"/>
      <c r="Z349" s="810"/>
      <c r="AA349" s="813"/>
    </row>
    <row r="350" spans="1:29" ht="24" thickBot="1">
      <c r="A350" s="756"/>
      <c r="B350" s="215"/>
      <c r="C350" s="815"/>
      <c r="D350" s="817"/>
      <c r="E350" s="78"/>
      <c r="F350" s="271"/>
      <c r="G350" s="98"/>
      <c r="H350" s="94"/>
      <c r="I350" s="334">
        <f>база!$J$5</f>
        <v>215.4924</v>
      </c>
      <c r="J350" s="278">
        <v>1.5</v>
      </c>
      <c r="K350" s="216">
        <f>SUMIFS(Таблица1[сумма],Таблица1[коэф],"1,5",Таблица1[р/р],"4/8",Таблица1[Ф. И. О.],B352)</f>
        <v>0</v>
      </c>
      <c r="L350" s="216">
        <f>ROUND(I350*J350*K350,2)</f>
        <v>0</v>
      </c>
      <c r="M350" s="216"/>
      <c r="N350" s="216"/>
      <c r="O350" s="216"/>
      <c r="P350" s="30"/>
      <c r="Q350" s="78">
        <f>IF(D347&lt;=3,база!$L$4,
IF(D347=4,база!$L$5,
IF(D347=5,база!$L$6)))</f>
        <v>210.57480000000001</v>
      </c>
      <c r="R350" s="271">
        <v>1.2</v>
      </c>
      <c r="S350" s="98">
        <f>SUMIFS(Таблица1[сумма],Таблица1[коэф],"1,2",Таблица1[р/р],"3/16",Таблица1[Ф. И. О.],B352)</f>
        <v>0</v>
      </c>
      <c r="T350" s="94">
        <f t="shared" si="216"/>
        <v>0</v>
      </c>
      <c r="U350" s="314">
        <f>IF(D347&lt;=3,база!$M$4,
IF(D347=4,база!$M$5,
IF(D347=5,база!$M$6)))</f>
        <v>225.09719999999999</v>
      </c>
      <c r="V350" s="271">
        <v>1.2</v>
      </c>
      <c r="W350" s="307">
        <f>SUMIFS(Таблица1[сумма],Таблица1[коэф],"1,2",Таблица1[р/р],"3/24",Таблица1[Ф. И. О.],B352)</f>
        <v>0</v>
      </c>
      <c r="X350" s="313">
        <f t="shared" ref="X350:X351" si="221">ROUND(U350*V350*W350,2)</f>
        <v>0</v>
      </c>
      <c r="Y350" s="819"/>
      <c r="Z350" s="810"/>
      <c r="AA350" s="813"/>
    </row>
    <row r="351" spans="1:29" ht="24" thickBot="1">
      <c r="A351" s="756"/>
      <c r="B351" s="215"/>
      <c r="C351" s="815"/>
      <c r="D351" s="817"/>
      <c r="E351" s="78"/>
      <c r="F351" s="271"/>
      <c r="G351" s="98"/>
      <c r="H351" s="94"/>
      <c r="I351" s="334">
        <f>база!$J$6</f>
        <v>243.04319999999998</v>
      </c>
      <c r="J351" s="278">
        <v>1.5</v>
      </c>
      <c r="K351" s="216">
        <f>SUMIFS(Таблица1[сумма],Таблица1[коэф],"1,5",Таблица1[р/р],"5/8",Таблица1[Ф. И. О.],B352)</f>
        <v>0</v>
      </c>
      <c r="L351" s="216">
        <f>ROUND(I351*J351*K351,2)</f>
        <v>0</v>
      </c>
      <c r="M351" s="216"/>
      <c r="N351" s="216"/>
      <c r="O351" s="216"/>
      <c r="P351" s="30"/>
      <c r="Q351" s="78">
        <f>база!$L$5</f>
        <v>231.45480000000001</v>
      </c>
      <c r="R351" s="271">
        <v>1.2</v>
      </c>
      <c r="S351" s="98">
        <f>SUMIFS(Таблица1[сумма],Таблица1[коэф],"1,2",Таблица1[р/р],"4/16",Таблица1[Ф. И. О.],B352)</f>
        <v>0</v>
      </c>
      <c r="T351" s="94">
        <f t="shared" si="216"/>
        <v>0</v>
      </c>
      <c r="U351" s="314">
        <f>база!$M$5</f>
        <v>247.41720000000001</v>
      </c>
      <c r="V351" s="271">
        <v>1.2</v>
      </c>
      <c r="W351" s="307">
        <f>SUMIFS(Таблица1[сумма],Таблица1[коэф],"1,2",Таблица1[р/р],"4/24",Таблица1[Ф. И. О.],B352)</f>
        <v>0</v>
      </c>
      <c r="X351" s="313">
        <f t="shared" si="221"/>
        <v>0</v>
      </c>
      <c r="Y351" s="819"/>
      <c r="Z351" s="810"/>
      <c r="AA351" s="813"/>
      <c r="AC351" s="707" t="str">
        <f>IF(SUMIFS(Таблица1[Столбец2],Таблица1[Ф. И. О.],B352)-Z347=0,"",SUMIFS(Таблица1[Столбец2],Таблица1[Ф. И. О.],B352)-Z347)</f>
        <v/>
      </c>
    </row>
    <row r="352" spans="1:29" ht="24" thickBot="1">
      <c r="A352" s="756"/>
      <c r="B352" s="215" t="str">
        <f>база!B33</f>
        <v>Кабакова Алина Дмитриевна</v>
      </c>
      <c r="C352" s="815"/>
      <c r="D352" s="817"/>
      <c r="E352" s="78"/>
      <c r="F352" s="271"/>
      <c r="G352" s="98"/>
      <c r="H352" s="94"/>
      <c r="I352" s="334"/>
      <c r="J352" s="278"/>
      <c r="K352" s="216"/>
      <c r="L352" s="216"/>
      <c r="M352" s="216"/>
      <c r="N352" s="216"/>
      <c r="O352" s="216"/>
      <c r="P352" s="30"/>
      <c r="Q352" s="78">
        <f>база!$L$6</f>
        <v>261.04640000000001</v>
      </c>
      <c r="R352" s="271">
        <v>1.2</v>
      </c>
      <c r="S352" s="98">
        <f>SUMIFS(Таблица1[сумма],Таблица1[коэф],"1,2",Таблица1[р/р],"5/16",Таблица1[Ф. И. О.],B352)</f>
        <v>0</v>
      </c>
      <c r="T352" s="94">
        <f>ROUND(Q352*R352*S352,2)</f>
        <v>0</v>
      </c>
      <c r="U352" s="314">
        <f>база!$M$6</f>
        <v>279.0496</v>
      </c>
      <c r="V352" s="271">
        <v>1.2</v>
      </c>
      <c r="W352" s="307">
        <f>SUMIFS(Таблица1[сумма],Таблица1[коэф],"1,2",Таблица1[р/р],"5/24",Таблица1[Ф. И. О.],B352)</f>
        <v>0</v>
      </c>
      <c r="X352" s="313">
        <f>ROUND(U352*V352*W352,2)</f>
        <v>0</v>
      </c>
      <c r="Y352" s="819"/>
      <c r="Z352" s="810"/>
      <c r="AA352" s="813"/>
      <c r="AC352" s="707" t="str">
        <f>IF(SUMIFS(Таблица1[сумма],Таблица1[Ф. И. О.],B352)=Y347,"",B347&amp;"  часы не верны")</f>
        <v/>
      </c>
    </row>
    <row r="353" spans="1:29" ht="24" thickBot="1">
      <c r="A353" s="756"/>
      <c r="B353" s="215"/>
      <c r="C353" s="815"/>
      <c r="D353" s="817"/>
      <c r="E353" s="78"/>
      <c r="F353" s="271"/>
      <c r="G353" s="98"/>
      <c r="H353" s="94"/>
      <c r="I353" s="334"/>
      <c r="J353" s="278"/>
      <c r="K353" s="216"/>
      <c r="L353" s="216"/>
      <c r="M353" s="216"/>
      <c r="N353" s="216"/>
      <c r="O353" s="216"/>
      <c r="P353" s="30"/>
      <c r="Q353" s="78">
        <f>IF($D$6&lt;=3,база!$L$4,
IF($D$6=4,база!$L$5,
IF($D$6=5,база!$L$6)))</f>
        <v>231.45480000000001</v>
      </c>
      <c r="R353" s="271">
        <v>1.3</v>
      </c>
      <c r="S353" s="98">
        <f>SUMIFS(Таблица1[сумма],Таблица1[коэф],"1,3",Таблица1[р/р],"3/16",Таблица1[Ф. И. О.],B352)</f>
        <v>0</v>
      </c>
      <c r="T353" s="94">
        <f t="shared" ref="T353:T362" si="222">ROUND(Q353*R353*S353,2)</f>
        <v>0</v>
      </c>
      <c r="U353" s="314">
        <f>IF(D347&lt;=3,база!$M$4,
IF(D347=4,база!$M$5,
IF(D347=5,база!$M$6)))</f>
        <v>225.09719999999999</v>
      </c>
      <c r="V353" s="271">
        <v>1.3</v>
      </c>
      <c r="W353" s="307">
        <f>SUMIFS(Таблица1[сумма],Таблица1[коэф],"1,3",Таблица1[р/р],"3/24",Таблица1[Ф. И. О.],B352)</f>
        <v>0</v>
      </c>
      <c r="X353" s="313">
        <f t="shared" ref="X353:X354" si="223">ROUND(U353*V353*W353,2)</f>
        <v>0</v>
      </c>
      <c r="Y353" s="819"/>
      <c r="Z353" s="810"/>
      <c r="AA353" s="813"/>
    </row>
    <row r="354" spans="1:29" ht="24" thickBot="1">
      <c r="A354" s="756"/>
      <c r="B354" s="215"/>
      <c r="C354" s="815"/>
      <c r="D354" s="817"/>
      <c r="E354" s="78"/>
      <c r="F354" s="271"/>
      <c r="G354" s="98"/>
      <c r="H354" s="94"/>
      <c r="I354" s="334"/>
      <c r="J354" s="278"/>
      <c r="K354" s="216"/>
      <c r="L354" s="216"/>
      <c r="M354" s="216"/>
      <c r="N354" s="216"/>
      <c r="O354" s="216"/>
      <c r="P354" s="30"/>
      <c r="Q354" s="78">
        <f>база!$L$5</f>
        <v>231.45480000000001</v>
      </c>
      <c r="R354" s="271">
        <v>1.3</v>
      </c>
      <c r="S354" s="98">
        <f>SUMIFS(Таблица1[сумма],Таблица1[коэф],"1,3",Таблица1[р/р],"4/16",Таблица1[Ф. И. О.],B352)</f>
        <v>0</v>
      </c>
      <c r="T354" s="94">
        <f t="shared" si="222"/>
        <v>0</v>
      </c>
      <c r="U354" s="314">
        <f>база!$M$5</f>
        <v>247.41720000000001</v>
      </c>
      <c r="V354" s="271">
        <v>1.3</v>
      </c>
      <c r="W354" s="307">
        <f>SUMIFS(Таблица1[сумма],Таблица1[коэф],"1,3",Таблица1[р/р],"4/24",Таблица1[Ф. И. О.],B352)</f>
        <v>0</v>
      </c>
      <c r="X354" s="313">
        <f t="shared" si="223"/>
        <v>0</v>
      </c>
      <c r="Y354" s="819"/>
      <c r="Z354" s="810"/>
      <c r="AA354" s="813"/>
    </row>
    <row r="355" spans="1:29" ht="24" thickBot="1">
      <c r="A355" s="756"/>
      <c r="B355" s="215"/>
      <c r="C355" s="815"/>
      <c r="D355" s="817"/>
      <c r="E355" s="78"/>
      <c r="F355" s="271"/>
      <c r="G355" s="98"/>
      <c r="H355" s="94"/>
      <c r="I355" s="334"/>
      <c r="J355" s="278"/>
      <c r="K355" s="216"/>
      <c r="L355" s="216"/>
      <c r="M355" s="216"/>
      <c r="N355" s="216"/>
      <c r="O355" s="216"/>
      <c r="P355" s="30"/>
      <c r="Q355" s="78">
        <f>IF(D347&lt;=3,база!$L$4,
IF(D347=4,база!$L$5,
IF(D347=5,база!$L$6)))</f>
        <v>210.57480000000001</v>
      </c>
      <c r="R355" s="271">
        <v>1.4</v>
      </c>
      <c r="S355" s="98">
        <f>SUMIFS(Таблица1[сумма],Таблица1[коэф],"1,4",Таблица1[р/р],"3/16",Таблица1[Ф. И. О.],B352)</f>
        <v>0</v>
      </c>
      <c r="T355" s="94">
        <f t="shared" si="222"/>
        <v>0</v>
      </c>
      <c r="U355" s="314">
        <f>IF(D347&lt;=3,база!$M$4,
IF(D347=4,база!$M$5,
IF(D347=5,база!$M$6)))</f>
        <v>225.09719999999999</v>
      </c>
      <c r="V355" s="271">
        <v>1.4</v>
      </c>
      <c r="W355" s="307">
        <f>SUMIFS(Таблица1[сумма],Таблица1[коэф],"1,4",Таблица1[р/р],"3/24",Таблица1[Ф. И. О.],B352)</f>
        <v>0</v>
      </c>
      <c r="X355" s="313">
        <f>ROUND(U355*V355*W355,2)</f>
        <v>0</v>
      </c>
      <c r="Y355" s="819"/>
      <c r="Z355" s="810"/>
      <c r="AA355" s="813"/>
    </row>
    <row r="356" spans="1:29" ht="24" thickBot="1">
      <c r="A356" s="756"/>
      <c r="B356" s="215"/>
      <c r="C356" s="815"/>
      <c r="D356" s="817"/>
      <c r="E356" s="78"/>
      <c r="F356" s="271"/>
      <c r="G356" s="98"/>
      <c r="H356" s="94"/>
      <c r="I356" s="334"/>
      <c r="J356" s="278"/>
      <c r="K356" s="216"/>
      <c r="L356" s="216"/>
      <c r="M356" s="216"/>
      <c r="N356" s="216"/>
      <c r="O356" s="216"/>
      <c r="P356" s="30"/>
      <c r="Q356" s="78">
        <f>база!$L$5</f>
        <v>231.45480000000001</v>
      </c>
      <c r="R356" s="271">
        <v>1.4</v>
      </c>
      <c r="S356" s="98">
        <f>SUMIFS(Таблица1[сумма],Таблица1[коэф],"1,4",Таблица1[р/р],"4/16",Таблица1[Ф. И. О.],B352)</f>
        <v>0</v>
      </c>
      <c r="T356" s="94">
        <f t="shared" si="222"/>
        <v>0</v>
      </c>
      <c r="U356" s="314">
        <f>база!$M$5</f>
        <v>247.41720000000001</v>
      </c>
      <c r="V356" s="271">
        <v>1.4</v>
      </c>
      <c r="W356" s="307">
        <f>SUMIFS(Таблица1[сумма],Таблица1[коэф],"1,4",Таблица1[р/р],"4/24",Таблица1[Ф. И. О.],B352)</f>
        <v>0</v>
      </c>
      <c r="X356" s="313">
        <f>ROUND(U356*V356*W356,2)</f>
        <v>0</v>
      </c>
      <c r="Y356" s="819"/>
      <c r="Z356" s="810"/>
      <c r="AA356" s="813"/>
    </row>
    <row r="357" spans="1:29" ht="24" thickBot="1">
      <c r="A357" s="757"/>
      <c r="B357" s="202"/>
      <c r="C357" s="816"/>
      <c r="D357" s="818"/>
      <c r="E357" s="101"/>
      <c r="F357" s="273"/>
      <c r="G357" s="97"/>
      <c r="H357" s="90"/>
      <c r="I357" s="348"/>
      <c r="J357" s="279"/>
      <c r="K357" s="288"/>
      <c r="L357" s="288"/>
      <c r="M357" s="288"/>
      <c r="N357" s="288"/>
      <c r="O357" s="288"/>
      <c r="P357" s="315"/>
      <c r="Q357" s="101">
        <f>база!$L$6</f>
        <v>261.04640000000001</v>
      </c>
      <c r="R357" s="273">
        <v>1.4</v>
      </c>
      <c r="S357" s="97">
        <f>SUMIFS(Таблица1[сумма],Таблица1[коэф],"1,4",Таблица1[р/р],"5/16",Таблица1[Ф. И. О.],B352)</f>
        <v>0</v>
      </c>
      <c r="T357" s="90">
        <f t="shared" si="222"/>
        <v>0</v>
      </c>
      <c r="U357" s="347">
        <f>база!$M$6</f>
        <v>279.0496</v>
      </c>
      <c r="V357" s="273">
        <v>1.4</v>
      </c>
      <c r="W357" s="312">
        <f>SUMIFS(Таблица1[сумма],Таблица1[коэф],"1,4",Таблица1[р/р],"5/24",Таблица1[Ф. И. О.],B352)</f>
        <v>0</v>
      </c>
      <c r="X357" s="343">
        <f>ROUND(U357*V357*W357,2)</f>
        <v>0</v>
      </c>
      <c r="Y357" s="820"/>
      <c r="Z357" s="811"/>
      <c r="AA357" s="814"/>
    </row>
    <row r="358" spans="1:29">
      <c r="A358" s="755">
        <v>33</v>
      </c>
      <c r="B358" s="235"/>
      <c r="C358" s="821">
        <f>INDEX(база!$E$2:$E$81, MATCH(B363,база!$B$2:$B$50,0))</f>
        <v>16919</v>
      </c>
      <c r="D358" s="822">
        <f>INDEX(база!$D$2:$D$89, MATCH(B363,база!$B$2:$B$50,0))</f>
        <v>3</v>
      </c>
      <c r="E358" s="72">
        <f>IF(D358&lt;=3,база!$I$4,
IF(D358=4,база!$I$5,
IF(D358=5,база!$I$6)))</f>
        <v>188.7912</v>
      </c>
      <c r="F358" s="269">
        <v>1</v>
      </c>
      <c r="G358" s="95">
        <f>SUMIFS(Таблица1[сумма],Таблица1[коэф],"1",Таблица1[р/р],"2/4",Таблица1[Ф. И. О.],B363)</f>
        <v>0</v>
      </c>
      <c r="H358" s="87">
        <f>ROUND(E358*F358*G358,2)</f>
        <v>0</v>
      </c>
      <c r="I358" s="338">
        <f>IF(D358&lt;=3,база!$J$4,
IF(D358=4,база!$J$5,
IF(D358=5,база!$J$6)))</f>
        <v>196.05240000000001</v>
      </c>
      <c r="J358" s="276">
        <v>1</v>
      </c>
      <c r="K358" s="287">
        <f>SUMIFS(Таблица1[сумма],Таблица1[коэф],"1",Таблица1[р/р],"2/8",Таблица1[Ф. И. О.],B363)</f>
        <v>0</v>
      </c>
      <c r="L358" s="287">
        <f>ROUND(I358*J358*K358,2)</f>
        <v>0</v>
      </c>
      <c r="M358" s="287"/>
      <c r="N358" s="287">
        <v>1</v>
      </c>
      <c r="O358" s="287">
        <f>SUMIFS(Data_Tech!$AM$3:$AM$67,Data_Tech!$E$3:$E$67,"1",Data_Tech!$G$3:$G$67,"3/12",Data_Tech!$F$3:$F$67,B363)</f>
        <v>0</v>
      </c>
      <c r="P358" s="280">
        <f>ROUND(M358*N358*O358,2)</f>
        <v>0</v>
      </c>
      <c r="Q358" s="72">
        <f>IF(D358&lt;=3,база!$L$4,
IF(D358=4,база!$L$5,
IF(D358=5,база!$L$6)))</f>
        <v>210.57480000000001</v>
      </c>
      <c r="R358" s="269">
        <v>1</v>
      </c>
      <c r="S358" s="95">
        <f>SUMIFS(Таблица1[сумма],Таблица1[коэф],"1",Таблица1[р/р],"3/16",Таблица1[Ф. И. О.],B363)</f>
        <v>0</v>
      </c>
      <c r="T358" s="87">
        <f t="shared" si="222"/>
        <v>0</v>
      </c>
      <c r="U358" s="339">
        <f>IF(D358&lt;=3,база!$M$4,
IF(D358=4,база!$M$5,
IF(D358=5,база!$M$6)))</f>
        <v>225.09719999999999</v>
      </c>
      <c r="V358" s="269">
        <v>1</v>
      </c>
      <c r="W358" s="340">
        <f>SUMIFS(Таблица1[сумма],Таблица1[коэф],"1",Таблица1[р/р],"3/24",Таблица1[Ф. И. О.],B363)</f>
        <v>0</v>
      </c>
      <c r="X358" s="342">
        <f>ROUND(U358*V358*W358,2)</f>
        <v>0</v>
      </c>
      <c r="Y358" s="819">
        <f t="shared" ref="Y358" si="224">SUM(G358:G368,K358:K368,O358:O368,S358:S368,W358:W368)</f>
        <v>0</v>
      </c>
      <c r="Z358" s="810">
        <f t="shared" ref="Z358" si="225">IFERROR(SUM(H358:H368,L358:L368,T358:T368,X358:X368),"")</f>
        <v>0</v>
      </c>
      <c r="AA358" s="813"/>
    </row>
    <row r="359" spans="1:29">
      <c r="A359" s="756"/>
      <c r="B359" s="215"/>
      <c r="C359" s="815"/>
      <c r="D359" s="817"/>
      <c r="E359" s="78">
        <f>IF(D358&lt;=3,база!$I$4,
IF(D358=4,база!$I$5,
IF(D358=5,база!$I$6)))</f>
        <v>188.7912</v>
      </c>
      <c r="F359" s="271">
        <v>1</v>
      </c>
      <c r="G359" s="98">
        <f>SUMIFS(Таблица1[сумма],Таблица1[коэф],"1",Таблица1[р/р],"3/4",Таблица1[Ф. И. О.],B363)</f>
        <v>0</v>
      </c>
      <c r="H359" s="94">
        <f>ROUND(E359*F359*G359,2)</f>
        <v>0</v>
      </c>
      <c r="I359" s="334">
        <f>IF(D358&lt;=3,база!$J$4,
IF(D358=4,база!$J$5,
IF(D358=5,база!$J$6)))</f>
        <v>196.05240000000001</v>
      </c>
      <c r="J359" s="278">
        <v>1</v>
      </c>
      <c r="K359" s="216">
        <f>SUMIFS(Таблица1[сумма],Таблица1[коэф],"1",Таблица1[р/р],"3/8",Таблица1[Ф. И. О.],B363)</f>
        <v>0</v>
      </c>
      <c r="L359" s="216">
        <f>ROUND(I359*J359*K359,2)</f>
        <v>0</v>
      </c>
      <c r="M359" s="216"/>
      <c r="N359" s="216">
        <v>1</v>
      </c>
      <c r="O359" s="216">
        <f>SUMIFS(Data_Tech!$AM$3:$AM$67,Data_Tech!$E$3:$E$67,"1",Data_Tech!$G$3:$G$67,"4/12",Data_Tech!$F$3:$F$67,B363)</f>
        <v>0</v>
      </c>
      <c r="P359" s="30">
        <f>ROUND(M359*O359,2)</f>
        <v>0</v>
      </c>
      <c r="Q359" s="78">
        <f>база!$L$5</f>
        <v>231.45480000000001</v>
      </c>
      <c r="R359" s="271">
        <v>1</v>
      </c>
      <c r="S359" s="98">
        <f>SUMIFS(Таблица1[сумма],Таблица1[коэф],"1",Таблица1[р/р],"4/16",Таблица1[Ф. И. О.],B363)</f>
        <v>0</v>
      </c>
      <c r="T359" s="94">
        <f t="shared" si="222"/>
        <v>0</v>
      </c>
      <c r="U359" s="314">
        <f>база!$M$5</f>
        <v>247.41720000000001</v>
      </c>
      <c r="V359" s="271">
        <v>1</v>
      </c>
      <c r="W359" s="307">
        <f>SUMIFS(Таблица1[сумма],Таблица1[коэф],"1",Таблица1[р/р],"4/24",Таблица1[Ф. И. О.],B363)</f>
        <v>0</v>
      </c>
      <c r="X359" s="313">
        <f t="shared" ref="X359" si="226">ROUND(U359*V359*W359,2)</f>
        <v>0</v>
      </c>
      <c r="Y359" s="819"/>
      <c r="Z359" s="810"/>
      <c r="AA359" s="813"/>
    </row>
    <row r="360" spans="1:29" ht="24" thickBot="1">
      <c r="A360" s="756"/>
      <c r="B360" s="215"/>
      <c r="C360" s="815"/>
      <c r="D360" s="817"/>
      <c r="E360" s="78"/>
      <c r="F360" s="271"/>
      <c r="G360" s="98"/>
      <c r="H360" s="94"/>
      <c r="I360" s="334"/>
      <c r="J360" s="278"/>
      <c r="K360" s="216"/>
      <c r="L360" s="216"/>
      <c r="M360" s="216"/>
      <c r="N360" s="216"/>
      <c r="O360" s="216"/>
      <c r="P360" s="30"/>
      <c r="Q360" s="78">
        <f>база!$L$6</f>
        <v>261.04640000000001</v>
      </c>
      <c r="R360" s="271">
        <v>1</v>
      </c>
      <c r="S360" s="98">
        <f>SUMIFS(Таблица1[сумма],Таблица1[коэф],"1",Таблица1[р/р],"5/16",Таблица1[Ф. И. О.],B363)</f>
        <v>0</v>
      </c>
      <c r="T360" s="94">
        <f t="shared" si="222"/>
        <v>0</v>
      </c>
      <c r="U360" s="314">
        <f>база!$M$6</f>
        <v>279.0496</v>
      </c>
      <c r="V360" s="271">
        <v>1</v>
      </c>
      <c r="W360" s="307">
        <f>SUMIFS(Таблица1[сумма],Таблица1[коэф],"1",Таблица1[р/р],"5/24",Таблица1[Ф. И. О.],B363)</f>
        <v>0</v>
      </c>
      <c r="X360" s="313">
        <f>ROUND(U360*V360*W360,2)</f>
        <v>0</v>
      </c>
      <c r="Y360" s="819"/>
      <c r="Z360" s="810"/>
      <c r="AA360" s="813"/>
    </row>
    <row r="361" spans="1:29" ht="24" thickBot="1">
      <c r="A361" s="756"/>
      <c r="B361" s="215"/>
      <c r="C361" s="815"/>
      <c r="D361" s="817"/>
      <c r="E361" s="78"/>
      <c r="F361" s="271"/>
      <c r="G361" s="98"/>
      <c r="H361" s="94"/>
      <c r="I361" s="334">
        <f>база!$J$5</f>
        <v>215.4924</v>
      </c>
      <c r="J361" s="278">
        <v>1.5</v>
      </c>
      <c r="K361" s="216">
        <f>SUMIFS(Таблица1[сумма],Таблица1[коэф],"1,5",Таблица1[р/р],"4/8",Таблица1[Ф. И. О.],B363)</f>
        <v>0</v>
      </c>
      <c r="L361" s="216">
        <f>ROUND(I361*J361*K361,2)</f>
        <v>0</v>
      </c>
      <c r="M361" s="216"/>
      <c r="N361" s="216"/>
      <c r="O361" s="216"/>
      <c r="P361" s="30"/>
      <c r="Q361" s="78">
        <f>IF(D358&lt;=3,база!$L$4,
IF(D358=4,база!$L$5,
IF(D358=5,база!$L$6)))</f>
        <v>210.57480000000001</v>
      </c>
      <c r="R361" s="271">
        <v>1.2</v>
      </c>
      <c r="S361" s="98">
        <f>SUMIFS(Таблица1[сумма],Таблица1[коэф],"1,2",Таблица1[р/р],"3/16",Таблица1[Ф. И. О.],B363)</f>
        <v>0</v>
      </c>
      <c r="T361" s="94">
        <f t="shared" si="222"/>
        <v>0</v>
      </c>
      <c r="U361" s="314">
        <f>IF(D358&lt;=3,база!$M$4,
IF(D358=4,база!$M$5,
IF(D358=5,база!$M$6)))</f>
        <v>225.09719999999999</v>
      </c>
      <c r="V361" s="271">
        <v>1.2</v>
      </c>
      <c r="W361" s="307">
        <f>SUMIFS(Таблица1[сумма],Таблица1[коэф],"1,2",Таблица1[р/р],"3/24",Таблица1[Ф. И. О.],B363)</f>
        <v>0</v>
      </c>
      <c r="X361" s="313">
        <f t="shared" ref="X361:X362" si="227">ROUND(U361*V361*W361,2)</f>
        <v>0</v>
      </c>
      <c r="Y361" s="819"/>
      <c r="Z361" s="810"/>
      <c r="AA361" s="813"/>
    </row>
    <row r="362" spans="1:29" ht="24" thickBot="1">
      <c r="A362" s="756"/>
      <c r="B362" s="215"/>
      <c r="C362" s="815"/>
      <c r="D362" s="817"/>
      <c r="E362" s="78"/>
      <c r="F362" s="271"/>
      <c r="G362" s="98"/>
      <c r="H362" s="94"/>
      <c r="I362" s="334">
        <f>база!$J$6</f>
        <v>243.04319999999998</v>
      </c>
      <c r="J362" s="278">
        <v>1.5</v>
      </c>
      <c r="K362" s="216">
        <f>SUMIFS(Таблица1[сумма],Таблица1[коэф],"1,5",Таблица1[р/р],"5/8",Таблица1[Ф. И. О.],B363)</f>
        <v>0</v>
      </c>
      <c r="L362" s="216">
        <f>ROUND(I362*J362*K362,2)</f>
        <v>0</v>
      </c>
      <c r="M362" s="216"/>
      <c r="N362" s="216"/>
      <c r="O362" s="216"/>
      <c r="P362" s="30"/>
      <c r="Q362" s="78">
        <f>база!$L$5</f>
        <v>231.45480000000001</v>
      </c>
      <c r="R362" s="271">
        <v>1.2</v>
      </c>
      <c r="S362" s="98">
        <f>SUMIFS(Таблица1[сумма],Таблица1[коэф],"1,2",Таблица1[р/р],"4/16",Таблица1[Ф. И. О.],B363)</f>
        <v>0</v>
      </c>
      <c r="T362" s="94">
        <f t="shared" si="222"/>
        <v>0</v>
      </c>
      <c r="U362" s="314">
        <f>база!$M$5</f>
        <v>247.41720000000001</v>
      </c>
      <c r="V362" s="271">
        <v>1.2</v>
      </c>
      <c r="W362" s="307">
        <f>SUMIFS(Таблица1[сумма],Таблица1[коэф],"1,2",Таблица1[р/р],"4/24",Таблица1[Ф. И. О.],B363)</f>
        <v>0</v>
      </c>
      <c r="X362" s="313">
        <f t="shared" si="227"/>
        <v>0</v>
      </c>
      <c r="Y362" s="819"/>
      <c r="Z362" s="810"/>
      <c r="AA362" s="813"/>
      <c r="AC362" s="707" t="str">
        <f>IF(SUMIFS(Таблица1[Столбец2],Таблица1[Ф. И. О.],B363)-Z358=0,"",SUMIFS(Таблица1[Столбец2],Таблица1[Ф. И. О.],B363)-Z358)</f>
        <v/>
      </c>
    </row>
    <row r="363" spans="1:29" ht="24" thickBot="1">
      <c r="A363" s="756"/>
      <c r="B363" s="215" t="str">
        <f>база!B34</f>
        <v>Кабанова Анастасия Евгеньевна</v>
      </c>
      <c r="C363" s="815"/>
      <c r="D363" s="817"/>
      <c r="E363" s="78"/>
      <c r="F363" s="271"/>
      <c r="G363" s="98"/>
      <c r="H363" s="94"/>
      <c r="I363" s="334"/>
      <c r="J363" s="278"/>
      <c r="K363" s="216"/>
      <c r="L363" s="216"/>
      <c r="M363" s="216"/>
      <c r="N363" s="216"/>
      <c r="O363" s="216"/>
      <c r="P363" s="30"/>
      <c r="Q363" s="78">
        <f>база!$L$6</f>
        <v>261.04640000000001</v>
      </c>
      <c r="R363" s="271">
        <v>1.2</v>
      </c>
      <c r="S363" s="98">
        <f>SUMIFS(Таблица1[сумма],Таблица1[коэф],"1,2",Таблица1[р/р],"5/16",Таблица1[Ф. И. О.],B363)</f>
        <v>0</v>
      </c>
      <c r="T363" s="94">
        <f>ROUND(Q363*R363*S363,2)</f>
        <v>0</v>
      </c>
      <c r="U363" s="314">
        <f>база!$M$6</f>
        <v>279.0496</v>
      </c>
      <c r="V363" s="271">
        <v>1.2</v>
      </c>
      <c r="W363" s="307">
        <f>SUMIFS(Таблица1[сумма],Таблица1[коэф],"1,2",Таблица1[р/р],"5/24",Таблица1[Ф. И. О.],B363)</f>
        <v>0</v>
      </c>
      <c r="X363" s="313">
        <f>ROUND(U363*V363*W363,2)</f>
        <v>0</v>
      </c>
      <c r="Y363" s="819"/>
      <c r="Z363" s="810"/>
      <c r="AA363" s="813"/>
      <c r="AC363" s="707" t="str">
        <f>IF(SUMIFS(Таблица1[сумма],Таблица1[Ф. И. О.],B363)=Y358,"",B358&amp;"  часы не верны")</f>
        <v/>
      </c>
    </row>
    <row r="364" spans="1:29" ht="24" thickBot="1">
      <c r="A364" s="756"/>
      <c r="B364" s="215"/>
      <c r="C364" s="815"/>
      <c r="D364" s="817"/>
      <c r="E364" s="78"/>
      <c r="F364" s="271"/>
      <c r="G364" s="98"/>
      <c r="H364" s="94"/>
      <c r="I364" s="334"/>
      <c r="J364" s="278"/>
      <c r="K364" s="216"/>
      <c r="L364" s="216"/>
      <c r="M364" s="216"/>
      <c r="N364" s="216"/>
      <c r="O364" s="216"/>
      <c r="P364" s="30"/>
      <c r="Q364" s="78">
        <f>IF($D$6&lt;=3,база!$L$4,
IF($D$6=4,база!$L$5,
IF($D$6=5,база!$L$6)))</f>
        <v>231.45480000000001</v>
      </c>
      <c r="R364" s="271">
        <v>1.3</v>
      </c>
      <c r="S364" s="98">
        <f>SUMIFS(Таблица1[сумма],Таблица1[коэф],"1,3",Таблица1[р/р],"3/16",Таблица1[Ф. И. О.],B363)</f>
        <v>0</v>
      </c>
      <c r="T364" s="94">
        <f t="shared" ref="T364:T373" si="228">ROUND(Q364*R364*S364,2)</f>
        <v>0</v>
      </c>
      <c r="U364" s="314">
        <f>IF(D358&lt;=3,база!$M$4,
IF(D358=4,база!$M$5,
IF(D358=5,база!$M$6)))</f>
        <v>225.09719999999999</v>
      </c>
      <c r="V364" s="271">
        <v>1.3</v>
      </c>
      <c r="W364" s="307">
        <f>SUMIFS(Таблица1[сумма],Таблица1[коэф],"1,3",Таблица1[р/р],"3/24",Таблица1[Ф. И. О.],B363)</f>
        <v>0</v>
      </c>
      <c r="X364" s="313">
        <f t="shared" ref="X364:X365" si="229">ROUND(U364*V364*W364,2)</f>
        <v>0</v>
      </c>
      <c r="Y364" s="819"/>
      <c r="Z364" s="810"/>
      <c r="AA364" s="813"/>
    </row>
    <row r="365" spans="1:29" ht="24" thickBot="1">
      <c r="A365" s="756"/>
      <c r="B365" s="215"/>
      <c r="C365" s="815"/>
      <c r="D365" s="817"/>
      <c r="E365" s="78"/>
      <c r="F365" s="271"/>
      <c r="G365" s="98"/>
      <c r="H365" s="94"/>
      <c r="I365" s="334"/>
      <c r="J365" s="278"/>
      <c r="K365" s="216"/>
      <c r="L365" s="216"/>
      <c r="M365" s="216"/>
      <c r="N365" s="216"/>
      <c r="O365" s="216"/>
      <c r="P365" s="30"/>
      <c r="Q365" s="78">
        <f>база!$L$5</f>
        <v>231.45480000000001</v>
      </c>
      <c r="R365" s="271">
        <v>1.3</v>
      </c>
      <c r="S365" s="98">
        <f>SUMIFS(Таблица1[сумма],Таблица1[коэф],"1,3",Таблица1[р/р],"4/16",Таблица1[Ф. И. О.],B363)</f>
        <v>0</v>
      </c>
      <c r="T365" s="94">
        <f t="shared" si="228"/>
        <v>0</v>
      </c>
      <c r="U365" s="314">
        <f>база!$M$5</f>
        <v>247.41720000000001</v>
      </c>
      <c r="V365" s="271">
        <v>1.3</v>
      </c>
      <c r="W365" s="307">
        <f>SUMIFS(Таблица1[сумма],Таблица1[коэф],"1,3",Таблица1[р/р],"4/24",Таблица1[Ф. И. О.],B363)</f>
        <v>0</v>
      </c>
      <c r="X365" s="313">
        <f t="shared" si="229"/>
        <v>0</v>
      </c>
      <c r="Y365" s="819"/>
      <c r="Z365" s="810"/>
      <c r="AA365" s="813"/>
    </row>
    <row r="366" spans="1:29" ht="24" thickBot="1">
      <c r="A366" s="756"/>
      <c r="B366" s="215"/>
      <c r="C366" s="815"/>
      <c r="D366" s="817"/>
      <c r="E366" s="78"/>
      <c r="F366" s="271"/>
      <c r="G366" s="98"/>
      <c r="H366" s="94"/>
      <c r="I366" s="334"/>
      <c r="J366" s="278"/>
      <c r="K366" s="216"/>
      <c r="L366" s="216"/>
      <c r="M366" s="216"/>
      <c r="N366" s="216"/>
      <c r="O366" s="216"/>
      <c r="P366" s="30"/>
      <c r="Q366" s="78">
        <f>IF(D358&lt;=3,база!$L$4,
IF(D358=4,база!$L$5,
IF(D358=5,база!$L$6)))</f>
        <v>210.57480000000001</v>
      </c>
      <c r="R366" s="271">
        <v>1.4</v>
      </c>
      <c r="S366" s="98">
        <f>SUMIFS(Таблица1[сумма],Таблица1[коэф],"1,4",Таблица1[р/р],"3/16",Таблица1[Ф. И. О.],B363)</f>
        <v>0</v>
      </c>
      <c r="T366" s="94">
        <f t="shared" si="228"/>
        <v>0</v>
      </c>
      <c r="U366" s="314">
        <f>IF(D358&lt;=3,база!$M$4,
IF(D358=4,база!$M$5,
IF(D358=5,база!$M$6)))</f>
        <v>225.09719999999999</v>
      </c>
      <c r="V366" s="271">
        <v>1.4</v>
      </c>
      <c r="W366" s="307">
        <f>SUMIFS(Таблица1[сумма],Таблица1[коэф],"1,4",Таблица1[р/р],"3/24",Таблица1[Ф. И. О.],B363)</f>
        <v>0</v>
      </c>
      <c r="X366" s="313">
        <f>ROUND(U366*V366*W366,2)</f>
        <v>0</v>
      </c>
      <c r="Y366" s="819"/>
      <c r="Z366" s="810"/>
      <c r="AA366" s="813"/>
    </row>
    <row r="367" spans="1:29" ht="24" thickBot="1">
      <c r="A367" s="756"/>
      <c r="B367" s="215"/>
      <c r="C367" s="815"/>
      <c r="D367" s="817"/>
      <c r="E367" s="78"/>
      <c r="F367" s="271"/>
      <c r="G367" s="98"/>
      <c r="H367" s="94"/>
      <c r="I367" s="334"/>
      <c r="J367" s="278"/>
      <c r="K367" s="216"/>
      <c r="L367" s="216"/>
      <c r="M367" s="216"/>
      <c r="N367" s="216"/>
      <c r="O367" s="216"/>
      <c r="P367" s="30"/>
      <c r="Q367" s="78">
        <f>база!$L$5</f>
        <v>231.45480000000001</v>
      </c>
      <c r="R367" s="271">
        <v>1.4</v>
      </c>
      <c r="S367" s="98">
        <f>SUMIFS(Таблица1[сумма],Таблица1[коэф],"1,4",Таблица1[р/р],"4/16",Таблица1[Ф. И. О.],B363)</f>
        <v>0</v>
      </c>
      <c r="T367" s="94">
        <f t="shared" si="228"/>
        <v>0</v>
      </c>
      <c r="U367" s="314">
        <f>база!$M$5</f>
        <v>247.41720000000001</v>
      </c>
      <c r="V367" s="271">
        <v>1.4</v>
      </c>
      <c r="W367" s="307">
        <f>SUMIFS(Таблица1[сумма],Таблица1[коэф],"1,4",Таблица1[р/р],"4/24",Таблица1[Ф. И. О.],B363)</f>
        <v>0</v>
      </c>
      <c r="X367" s="313">
        <f>ROUND(U367*V367*W367,2)</f>
        <v>0</v>
      </c>
      <c r="Y367" s="819"/>
      <c r="Z367" s="810"/>
      <c r="AA367" s="813"/>
    </row>
    <row r="368" spans="1:29" ht="24" thickBot="1">
      <c r="A368" s="757"/>
      <c r="B368" s="202"/>
      <c r="C368" s="816"/>
      <c r="D368" s="818"/>
      <c r="E368" s="101"/>
      <c r="F368" s="273"/>
      <c r="G368" s="97"/>
      <c r="H368" s="90"/>
      <c r="I368" s="348"/>
      <c r="J368" s="279"/>
      <c r="K368" s="288"/>
      <c r="L368" s="288"/>
      <c r="M368" s="288"/>
      <c r="N368" s="288"/>
      <c r="O368" s="288"/>
      <c r="P368" s="315"/>
      <c r="Q368" s="101">
        <f>база!$L$6</f>
        <v>261.04640000000001</v>
      </c>
      <c r="R368" s="273">
        <v>1.4</v>
      </c>
      <c r="S368" s="97">
        <f>SUMIFS(Таблица1[сумма],Таблица1[коэф],"1,4",Таблица1[р/р],"5/16",Таблица1[Ф. И. О.],B363)</f>
        <v>0</v>
      </c>
      <c r="T368" s="90">
        <f t="shared" si="228"/>
        <v>0</v>
      </c>
      <c r="U368" s="347">
        <f>база!$M$6</f>
        <v>279.0496</v>
      </c>
      <c r="V368" s="273">
        <v>1.4</v>
      </c>
      <c r="W368" s="312">
        <f>SUMIFS(Таблица1[сумма],Таблица1[коэф],"1,4",Таблица1[р/р],"5/24",Таблица1[Ф. И. О.],B363)</f>
        <v>0</v>
      </c>
      <c r="X368" s="343">
        <f>ROUND(U368*V368*W368,2)</f>
        <v>0</v>
      </c>
      <c r="Y368" s="820"/>
      <c r="Z368" s="811"/>
      <c r="AA368" s="814"/>
    </row>
    <row r="369" spans="1:29">
      <c r="A369" s="755">
        <v>34</v>
      </c>
      <c r="B369" s="235"/>
      <c r="C369" s="821">
        <f>INDEX(база!$E$2:$E$81, MATCH(B374,база!$B$2:$B$50,0))</f>
        <v>17282</v>
      </c>
      <c r="D369" s="822">
        <f>INDEX(база!$D$2:$D$89, MATCH(B374,база!$B$2:$B$50,0))</f>
        <v>3</v>
      </c>
      <c r="E369" s="72">
        <f>IF(D369&lt;=3,база!$I$4,
IF(D369=4,база!$I$5,
IF(D369=5,база!$I$6)))</f>
        <v>188.7912</v>
      </c>
      <c r="F369" s="269">
        <v>1</v>
      </c>
      <c r="G369" s="95">
        <f>SUMIFS(Таблица1[сумма],Таблица1[коэф],"1",Таблица1[р/р],"2/4",Таблица1[Ф. И. О.],B374)</f>
        <v>0</v>
      </c>
      <c r="H369" s="87">
        <f>ROUND(E369*F369*G369,2)</f>
        <v>0</v>
      </c>
      <c r="I369" s="338">
        <f>IF(D369&lt;=3,база!$J$4,
IF(D369=4,база!$J$5,
IF(D369=5,база!$J$6)))</f>
        <v>196.05240000000001</v>
      </c>
      <c r="J369" s="276">
        <v>1</v>
      </c>
      <c r="K369" s="287">
        <f>SUMIFS(Таблица1[сумма],Таблица1[коэф],"1",Таблица1[р/р],"2/8",Таблица1[Ф. И. О.],B374)</f>
        <v>0</v>
      </c>
      <c r="L369" s="287">
        <f>ROUND(I369*J369*K369,2)</f>
        <v>0</v>
      </c>
      <c r="M369" s="287"/>
      <c r="N369" s="287">
        <v>1</v>
      </c>
      <c r="O369" s="287">
        <f>SUMIFS(Data_Tech!$AM$3:$AM$67,Data_Tech!$E$3:$E$67,"1",Data_Tech!$G$3:$G$67,"3/12",Data_Tech!$F$3:$F$67,B374)</f>
        <v>0</v>
      </c>
      <c r="P369" s="280">
        <f>ROUND(M369*N369*O369,2)</f>
        <v>0</v>
      </c>
      <c r="Q369" s="72">
        <f>IF(D369&lt;=3,база!$L$4,
IF(D369=4,база!$L$5,
IF(D369=5,база!$L$6)))</f>
        <v>210.57480000000001</v>
      </c>
      <c r="R369" s="269">
        <v>1</v>
      </c>
      <c r="S369" s="95">
        <f>SUMIFS(Таблица1[сумма],Таблица1[коэф],"1",Таблица1[р/р],"3/16",Таблица1[Ф. И. О.],B374)</f>
        <v>0</v>
      </c>
      <c r="T369" s="87">
        <f t="shared" si="228"/>
        <v>0</v>
      </c>
      <c r="U369" s="339">
        <f>IF(D369&lt;=3,база!$M$4,
IF(D369=4,база!$M$5,
IF(D369=5,база!$M$6)))</f>
        <v>225.09719999999999</v>
      </c>
      <c r="V369" s="269">
        <v>1</v>
      </c>
      <c r="W369" s="340">
        <f>SUMIFS(Таблица1[сумма],Таблица1[коэф],"1",Таблица1[р/р],"3/24",Таблица1[Ф. И. О.],B374)</f>
        <v>0</v>
      </c>
      <c r="X369" s="342">
        <f>ROUND(U369*V369*W369,2)</f>
        <v>0</v>
      </c>
      <c r="Y369" s="819">
        <f t="shared" ref="Y369" si="230">SUM(G369:G379,K369:K379,O369:O379,S369:S379,W369:W379)</f>
        <v>0</v>
      </c>
      <c r="Z369" s="810">
        <f t="shared" ref="Z369" si="231">IFERROR(SUM(H369:H379,L369:L379,T369:T379,X369:X379),"")</f>
        <v>0</v>
      </c>
      <c r="AA369" s="813"/>
    </row>
    <row r="370" spans="1:29">
      <c r="A370" s="756"/>
      <c r="B370" s="215"/>
      <c r="C370" s="815"/>
      <c r="D370" s="817"/>
      <c r="E370" s="78">
        <f>IF(D369&lt;=3,база!$I$4,
IF(D369=4,база!$I$5,
IF(D369=5,база!$I$6)))</f>
        <v>188.7912</v>
      </c>
      <c r="F370" s="271">
        <v>1</v>
      </c>
      <c r="G370" s="98">
        <f>SUMIFS(Таблица1[сумма],Таблица1[коэф],"1",Таблица1[р/р],"3/4",Таблица1[Ф. И. О.],B374)</f>
        <v>0</v>
      </c>
      <c r="H370" s="94">
        <f>ROUND(E370*F370*G370,2)</f>
        <v>0</v>
      </c>
      <c r="I370" s="334">
        <f>IF(D369&lt;=3,база!$J$4,
IF(D369=4,база!$J$5,
IF(D369=5,база!$J$6)))</f>
        <v>196.05240000000001</v>
      </c>
      <c r="J370" s="278">
        <v>1</v>
      </c>
      <c r="K370" s="216">
        <f>SUMIFS(Таблица1[сумма],Таблица1[коэф],"1",Таблица1[р/р],"3/8",Таблица1[Ф. И. О.],B374)</f>
        <v>0</v>
      </c>
      <c r="L370" s="216">
        <f>ROUND(I370*J370*K370,2)</f>
        <v>0</v>
      </c>
      <c r="M370" s="216"/>
      <c r="N370" s="216">
        <v>1</v>
      </c>
      <c r="O370" s="216">
        <f>SUMIFS(Data_Tech!$AM$3:$AM$67,Data_Tech!$E$3:$E$67,"1",Data_Tech!$G$3:$G$67,"4/12",Data_Tech!$F$3:$F$67,B374)</f>
        <v>0</v>
      </c>
      <c r="P370" s="30">
        <f>ROUND(M370*O370,2)</f>
        <v>0</v>
      </c>
      <c r="Q370" s="78">
        <f>база!$L$5</f>
        <v>231.45480000000001</v>
      </c>
      <c r="R370" s="271">
        <v>1</v>
      </c>
      <c r="S370" s="98">
        <f>SUMIFS(Таблица1[сумма],Таблица1[коэф],"1",Таблица1[р/р],"4/16",Таблица1[Ф. И. О.],B374)</f>
        <v>0</v>
      </c>
      <c r="T370" s="94">
        <f t="shared" si="228"/>
        <v>0</v>
      </c>
      <c r="U370" s="314">
        <f>база!$M$5</f>
        <v>247.41720000000001</v>
      </c>
      <c r="V370" s="271">
        <v>1</v>
      </c>
      <c r="W370" s="307">
        <f>SUMIFS(Таблица1[сумма],Таблица1[коэф],"1",Таблица1[р/р],"4/24",Таблица1[Ф. И. О.],B374)</f>
        <v>0</v>
      </c>
      <c r="X370" s="313">
        <f t="shared" ref="X370" si="232">ROUND(U370*V370*W370,2)</f>
        <v>0</v>
      </c>
      <c r="Y370" s="819"/>
      <c r="Z370" s="810"/>
      <c r="AA370" s="813"/>
    </row>
    <row r="371" spans="1:29" ht="24" thickBot="1">
      <c r="A371" s="756"/>
      <c r="B371" s="215"/>
      <c r="C371" s="815"/>
      <c r="D371" s="817"/>
      <c r="E371" s="78"/>
      <c r="F371" s="271"/>
      <c r="G371" s="98"/>
      <c r="H371" s="94"/>
      <c r="I371" s="334"/>
      <c r="J371" s="278"/>
      <c r="K371" s="216"/>
      <c r="L371" s="216"/>
      <c r="M371" s="216"/>
      <c r="N371" s="216"/>
      <c r="O371" s="216"/>
      <c r="P371" s="30"/>
      <c r="Q371" s="78">
        <f>база!$L$6</f>
        <v>261.04640000000001</v>
      </c>
      <c r="R371" s="271">
        <v>1</v>
      </c>
      <c r="S371" s="98">
        <f>SUMIFS(Таблица1[сумма],Таблица1[коэф],"1",Таблица1[р/р],"5/16",Таблица1[Ф. И. О.],B374)</f>
        <v>0</v>
      </c>
      <c r="T371" s="94">
        <f t="shared" si="228"/>
        <v>0</v>
      </c>
      <c r="U371" s="314">
        <f>база!$M$6</f>
        <v>279.0496</v>
      </c>
      <c r="V371" s="271">
        <v>1</v>
      </c>
      <c r="W371" s="307">
        <f>SUMIFS(Таблица1[сумма],Таблица1[коэф],"1",Таблица1[р/р],"5/24",Таблица1[Ф. И. О.],B374)</f>
        <v>0</v>
      </c>
      <c r="X371" s="313">
        <f>ROUND(U371*V371*W371,2)</f>
        <v>0</v>
      </c>
      <c r="Y371" s="819"/>
      <c r="Z371" s="810"/>
      <c r="AA371" s="813"/>
    </row>
    <row r="372" spans="1:29" ht="24" thickBot="1">
      <c r="A372" s="756"/>
      <c r="B372" s="215"/>
      <c r="C372" s="815"/>
      <c r="D372" s="817"/>
      <c r="E372" s="78"/>
      <c r="F372" s="271"/>
      <c r="G372" s="98"/>
      <c r="H372" s="94"/>
      <c r="I372" s="334">
        <f>база!$J$5</f>
        <v>215.4924</v>
      </c>
      <c r="J372" s="278">
        <v>1.5</v>
      </c>
      <c r="K372" s="216">
        <f>SUMIFS(Таблица1[сумма],Таблица1[коэф],"1,5",Таблица1[р/р],"4/8",Таблица1[Ф. И. О.],B374)</f>
        <v>0</v>
      </c>
      <c r="L372" s="216">
        <f>ROUND(I372*J372*K372,2)</f>
        <v>0</v>
      </c>
      <c r="M372" s="216"/>
      <c r="N372" s="216"/>
      <c r="O372" s="216"/>
      <c r="P372" s="30"/>
      <c r="Q372" s="78">
        <f>IF(D369&lt;=3,база!$L$4,
IF(D369=4,база!$L$5,
IF(D369=5,база!$L$6)))</f>
        <v>210.57480000000001</v>
      </c>
      <c r="R372" s="271">
        <v>1.2</v>
      </c>
      <c r="S372" s="98">
        <f>SUMIFS(Таблица1[сумма],Таблица1[коэф],"1,2",Таблица1[р/р],"3/16",Таблица1[Ф. И. О.],B374)</f>
        <v>0</v>
      </c>
      <c r="T372" s="94">
        <f t="shared" si="228"/>
        <v>0</v>
      </c>
      <c r="U372" s="314">
        <f>IF(D369&lt;=3,база!$M$4,
IF(D369=4,база!$M$5,
IF(D369=5,база!$M$6)))</f>
        <v>225.09719999999999</v>
      </c>
      <c r="V372" s="271">
        <v>1.2</v>
      </c>
      <c r="W372" s="307">
        <f>SUMIFS(Таблица1[сумма],Таблица1[коэф],"1,2",Таблица1[р/р],"3/24",Таблица1[Ф. И. О.],B374)</f>
        <v>0</v>
      </c>
      <c r="X372" s="313">
        <f t="shared" ref="X372:X373" si="233">ROUND(U372*V372*W372,2)</f>
        <v>0</v>
      </c>
      <c r="Y372" s="819"/>
      <c r="Z372" s="810"/>
      <c r="AA372" s="813"/>
    </row>
    <row r="373" spans="1:29" ht="24" thickBot="1">
      <c r="A373" s="756"/>
      <c r="B373" s="215"/>
      <c r="C373" s="815"/>
      <c r="D373" s="817"/>
      <c r="E373" s="78"/>
      <c r="F373" s="271"/>
      <c r="G373" s="98"/>
      <c r="H373" s="94"/>
      <c r="I373" s="334">
        <f>база!$J$6</f>
        <v>243.04319999999998</v>
      </c>
      <c r="J373" s="278">
        <v>1.5</v>
      </c>
      <c r="K373" s="216">
        <f>SUMIFS(Таблица1[сумма],Таблица1[коэф],"1,5",Таблица1[р/р],"5/8",Таблица1[Ф. И. О.],B374)</f>
        <v>0</v>
      </c>
      <c r="L373" s="216">
        <f>ROUND(I373*J373*K373,2)</f>
        <v>0</v>
      </c>
      <c r="M373" s="216"/>
      <c r="N373" s="216"/>
      <c r="O373" s="216"/>
      <c r="P373" s="30"/>
      <c r="Q373" s="78">
        <f>база!$L$5</f>
        <v>231.45480000000001</v>
      </c>
      <c r="R373" s="271">
        <v>1.2</v>
      </c>
      <c r="S373" s="98">
        <f>SUMIFS(Таблица1[сумма],Таблица1[коэф],"1,2",Таблица1[р/р],"4/16",Таблица1[Ф. И. О.],B374)</f>
        <v>0</v>
      </c>
      <c r="T373" s="94">
        <f t="shared" si="228"/>
        <v>0</v>
      </c>
      <c r="U373" s="314">
        <f>база!$M$5</f>
        <v>247.41720000000001</v>
      </c>
      <c r="V373" s="271">
        <v>1.2</v>
      </c>
      <c r="W373" s="307">
        <f>SUMIFS(Таблица1[сумма],Таблица1[коэф],"1,2",Таблица1[р/р],"4/24",Таблица1[Ф. И. О.],B374)</f>
        <v>0</v>
      </c>
      <c r="X373" s="313">
        <f t="shared" si="233"/>
        <v>0</v>
      </c>
      <c r="Y373" s="819"/>
      <c r="Z373" s="810"/>
      <c r="AA373" s="813"/>
      <c r="AC373" s="707" t="str">
        <f>IF(SUMIFS(Таблица1[Столбец2],Таблица1[Ф. И. О.],B374)-Z369=0,"",SUMIFS(Таблица1[Столбец2],Таблица1[Ф. И. О.],B374)-Z369)</f>
        <v/>
      </c>
    </row>
    <row r="374" spans="1:29" ht="24" thickBot="1">
      <c r="A374" s="756"/>
      <c r="B374" s="215" t="str">
        <f>база!B35</f>
        <v>Кириллова Надежда Вячеславовна</v>
      </c>
      <c r="C374" s="815"/>
      <c r="D374" s="817"/>
      <c r="E374" s="78"/>
      <c r="F374" s="271"/>
      <c r="G374" s="98"/>
      <c r="H374" s="94"/>
      <c r="I374" s="334"/>
      <c r="J374" s="278"/>
      <c r="K374" s="216"/>
      <c r="L374" s="216"/>
      <c r="M374" s="216"/>
      <c r="N374" s="216"/>
      <c r="O374" s="216"/>
      <c r="P374" s="30"/>
      <c r="Q374" s="78">
        <f>база!$L$6</f>
        <v>261.04640000000001</v>
      </c>
      <c r="R374" s="271">
        <v>1.2</v>
      </c>
      <c r="S374" s="98">
        <f>SUMIFS(Таблица1[сумма],Таблица1[коэф],"1,2",Таблица1[р/р],"5/16",Таблица1[Ф. И. О.],B374)</f>
        <v>0</v>
      </c>
      <c r="T374" s="94">
        <f>ROUND(Q374*R374*S374,2)</f>
        <v>0</v>
      </c>
      <c r="U374" s="314">
        <f>база!$M$6</f>
        <v>279.0496</v>
      </c>
      <c r="V374" s="271">
        <v>1.2</v>
      </c>
      <c r="W374" s="307">
        <f>SUMIFS(Таблица1[сумма],Таблица1[коэф],"1,2",Таблица1[р/р],"5/24",Таблица1[Ф. И. О.],B374)</f>
        <v>0</v>
      </c>
      <c r="X374" s="313">
        <f>ROUND(U374*V374*W374,2)</f>
        <v>0</v>
      </c>
      <c r="Y374" s="819"/>
      <c r="Z374" s="810"/>
      <c r="AA374" s="813"/>
      <c r="AC374" s="707" t="str">
        <f>IF(SUMIFS(Таблица1[сумма],Таблица1[Ф. И. О.],B374)=Y369,"",B369&amp;"  часы не верны")</f>
        <v/>
      </c>
    </row>
    <row r="375" spans="1:29" ht="24" thickBot="1">
      <c r="A375" s="756"/>
      <c r="B375" s="215"/>
      <c r="C375" s="815"/>
      <c r="D375" s="817"/>
      <c r="E375" s="78"/>
      <c r="F375" s="271"/>
      <c r="G375" s="98"/>
      <c r="H375" s="94"/>
      <c r="I375" s="334"/>
      <c r="J375" s="278"/>
      <c r="K375" s="216"/>
      <c r="L375" s="216"/>
      <c r="M375" s="216"/>
      <c r="N375" s="216"/>
      <c r="O375" s="216"/>
      <c r="P375" s="30"/>
      <c r="Q375" s="78">
        <f>IF($D$6&lt;=3,база!$L$4,
IF($D$6=4,база!$L$5,
IF($D$6=5,база!$L$6)))</f>
        <v>231.45480000000001</v>
      </c>
      <c r="R375" s="271">
        <v>1.3</v>
      </c>
      <c r="S375" s="98">
        <f>SUMIFS(Таблица1[сумма],Таблица1[коэф],"1,3",Таблица1[р/р],"3/16",Таблица1[Ф. И. О.],B374)</f>
        <v>0</v>
      </c>
      <c r="T375" s="94">
        <f t="shared" ref="T375:T384" si="234">ROUND(Q375*R375*S375,2)</f>
        <v>0</v>
      </c>
      <c r="U375" s="314">
        <f>IF(D369&lt;=3,база!$M$4,
IF(D369=4,база!$M$5,
IF(D369=5,база!$M$6)))</f>
        <v>225.09719999999999</v>
      </c>
      <c r="V375" s="271">
        <v>1.3</v>
      </c>
      <c r="W375" s="307">
        <f>SUMIFS(Таблица1[сумма],Таблица1[коэф],"1,3",Таблица1[р/р],"3/24",Таблица1[Ф. И. О.],B374)</f>
        <v>0</v>
      </c>
      <c r="X375" s="313">
        <f t="shared" ref="X375:X376" si="235">ROUND(U375*V375*W375,2)</f>
        <v>0</v>
      </c>
      <c r="Y375" s="819"/>
      <c r="Z375" s="810"/>
      <c r="AA375" s="813"/>
    </row>
    <row r="376" spans="1:29" ht="24" thickBot="1">
      <c r="A376" s="756"/>
      <c r="B376" s="215"/>
      <c r="C376" s="815"/>
      <c r="D376" s="817"/>
      <c r="E376" s="78"/>
      <c r="F376" s="271"/>
      <c r="G376" s="98"/>
      <c r="H376" s="94"/>
      <c r="I376" s="334"/>
      <c r="J376" s="278"/>
      <c r="K376" s="216"/>
      <c r="L376" s="216"/>
      <c r="M376" s="216"/>
      <c r="N376" s="216"/>
      <c r="O376" s="216"/>
      <c r="P376" s="30"/>
      <c r="Q376" s="78">
        <f>база!$L$5</f>
        <v>231.45480000000001</v>
      </c>
      <c r="R376" s="271">
        <v>1.3</v>
      </c>
      <c r="S376" s="98">
        <f>SUMIFS(Таблица1[сумма],Таблица1[коэф],"1,3",Таблица1[р/р],"4/16",Таблица1[Ф. И. О.],B374)</f>
        <v>0</v>
      </c>
      <c r="T376" s="94">
        <f t="shared" si="234"/>
        <v>0</v>
      </c>
      <c r="U376" s="314">
        <f>база!$M$5</f>
        <v>247.41720000000001</v>
      </c>
      <c r="V376" s="271">
        <v>1.3</v>
      </c>
      <c r="W376" s="307">
        <f>SUMIFS(Таблица1[сумма],Таблица1[коэф],"1,3",Таблица1[р/р],"4/24",Таблица1[Ф. И. О.],B374)</f>
        <v>0</v>
      </c>
      <c r="X376" s="313">
        <f t="shared" si="235"/>
        <v>0</v>
      </c>
      <c r="Y376" s="819"/>
      <c r="Z376" s="810"/>
      <c r="AA376" s="813"/>
    </row>
    <row r="377" spans="1:29" ht="24" thickBot="1">
      <c r="A377" s="756"/>
      <c r="B377" s="215"/>
      <c r="C377" s="815"/>
      <c r="D377" s="817"/>
      <c r="E377" s="78"/>
      <c r="F377" s="271"/>
      <c r="G377" s="98"/>
      <c r="H377" s="94"/>
      <c r="I377" s="334"/>
      <c r="J377" s="278"/>
      <c r="K377" s="216"/>
      <c r="L377" s="216"/>
      <c r="M377" s="216"/>
      <c r="N377" s="216"/>
      <c r="O377" s="216"/>
      <c r="P377" s="30"/>
      <c r="Q377" s="78">
        <f>IF(D369&lt;=3,база!$L$4,
IF(D369=4,база!$L$5,
IF(D369=5,база!$L$6)))</f>
        <v>210.57480000000001</v>
      </c>
      <c r="R377" s="271">
        <v>1.4</v>
      </c>
      <c r="S377" s="98">
        <f>SUMIFS(Таблица1[сумма],Таблица1[коэф],"1,4",Таблица1[р/р],"3/16",Таблица1[Ф. И. О.],B374)</f>
        <v>0</v>
      </c>
      <c r="T377" s="94">
        <f t="shared" si="234"/>
        <v>0</v>
      </c>
      <c r="U377" s="314">
        <f>IF(D369&lt;=3,база!$M$4,
IF(D369=4,база!$M$5,
IF(D369=5,база!$M$6)))</f>
        <v>225.09719999999999</v>
      </c>
      <c r="V377" s="271">
        <v>1.4</v>
      </c>
      <c r="W377" s="307">
        <f>SUMIFS(Таблица1[сумма],Таблица1[коэф],"1,4",Таблица1[р/р],"3/24",Таблица1[Ф. И. О.],B374)</f>
        <v>0</v>
      </c>
      <c r="X377" s="313">
        <f>ROUND(U377*V377*W377,2)</f>
        <v>0</v>
      </c>
      <c r="Y377" s="819"/>
      <c r="Z377" s="810"/>
      <c r="AA377" s="813"/>
    </row>
    <row r="378" spans="1:29" ht="24" thickBot="1">
      <c r="A378" s="756"/>
      <c r="B378" s="215"/>
      <c r="C378" s="815"/>
      <c r="D378" s="817"/>
      <c r="E378" s="78"/>
      <c r="F378" s="271"/>
      <c r="G378" s="98"/>
      <c r="H378" s="94"/>
      <c r="I378" s="334"/>
      <c r="J378" s="278"/>
      <c r="K378" s="216"/>
      <c r="L378" s="216"/>
      <c r="M378" s="216"/>
      <c r="N378" s="216"/>
      <c r="O378" s="216"/>
      <c r="P378" s="30"/>
      <c r="Q378" s="78">
        <f>база!$L$5</f>
        <v>231.45480000000001</v>
      </c>
      <c r="R378" s="271">
        <v>1.4</v>
      </c>
      <c r="S378" s="98">
        <f>SUMIFS(Таблица1[сумма],Таблица1[коэф],"1,4",Таблица1[р/р],"4/16",Таблица1[Ф. И. О.],B374)</f>
        <v>0</v>
      </c>
      <c r="T378" s="94">
        <f t="shared" si="234"/>
        <v>0</v>
      </c>
      <c r="U378" s="314">
        <f>база!$M$5</f>
        <v>247.41720000000001</v>
      </c>
      <c r="V378" s="271">
        <v>1.4</v>
      </c>
      <c r="W378" s="307">
        <f>SUMIFS(Таблица1[сумма],Таблица1[коэф],"1,4",Таблица1[р/р],"4/24",Таблица1[Ф. И. О.],B374)</f>
        <v>0</v>
      </c>
      <c r="X378" s="313">
        <f>ROUND(U378*V378*W378,2)</f>
        <v>0</v>
      </c>
      <c r="Y378" s="819"/>
      <c r="Z378" s="810"/>
      <c r="AA378" s="813"/>
    </row>
    <row r="379" spans="1:29" ht="24" thickBot="1">
      <c r="A379" s="757"/>
      <c r="B379" s="202"/>
      <c r="C379" s="816"/>
      <c r="D379" s="818"/>
      <c r="E379" s="101"/>
      <c r="F379" s="273"/>
      <c r="G379" s="97"/>
      <c r="H379" s="90"/>
      <c r="I379" s="348"/>
      <c r="J379" s="279"/>
      <c r="K379" s="288"/>
      <c r="L379" s="288"/>
      <c r="M379" s="288"/>
      <c r="N379" s="288"/>
      <c r="O379" s="288"/>
      <c r="P379" s="315"/>
      <c r="Q379" s="101">
        <f>база!$L$6</f>
        <v>261.04640000000001</v>
      </c>
      <c r="R379" s="273">
        <v>1.4</v>
      </c>
      <c r="S379" s="97">
        <f>SUMIFS(Таблица1[сумма],Таблица1[коэф],"1,4",Таблица1[р/р],"5/16",Таблица1[Ф. И. О.],B374)</f>
        <v>0</v>
      </c>
      <c r="T379" s="90">
        <f t="shared" si="234"/>
        <v>0</v>
      </c>
      <c r="U379" s="347">
        <f>база!$M$6</f>
        <v>279.0496</v>
      </c>
      <c r="V379" s="273">
        <v>1.4</v>
      </c>
      <c r="W379" s="312">
        <f>SUMIFS(Таблица1[сумма],Таблица1[коэф],"1,4",Таблица1[р/р],"5/24",Таблица1[Ф. И. О.],B374)</f>
        <v>0</v>
      </c>
      <c r="X379" s="343">
        <f>ROUND(U379*V379*W379,2)</f>
        <v>0</v>
      </c>
      <c r="Y379" s="820"/>
      <c r="Z379" s="811"/>
      <c r="AA379" s="814"/>
    </row>
    <row r="380" spans="1:29">
      <c r="A380" s="755">
        <v>35</v>
      </c>
      <c r="B380" s="235"/>
      <c r="C380" s="821">
        <f>INDEX(база!$E$2:$E$81, MATCH(B385,база!$B$2:$B$50,0))</f>
        <v>15575</v>
      </c>
      <c r="D380" s="822">
        <f>INDEX(база!$D$2:$D$89, MATCH(B385,база!$B$2:$B$50,0))</f>
        <v>3</v>
      </c>
      <c r="E380" s="72">
        <f>IF(D380&lt;=3,база!$I$4,
IF(D380=4,база!$I$5,
IF(D380=5,база!$I$6)))</f>
        <v>188.7912</v>
      </c>
      <c r="F380" s="269">
        <v>1</v>
      </c>
      <c r="G380" s="95">
        <f>SUMIFS(Таблица1[сумма],Таблица1[коэф],"1",Таблица1[р/р],"2/4",Таблица1[Ф. И. О.],B385)</f>
        <v>0</v>
      </c>
      <c r="H380" s="87">
        <f>ROUND(E380*F380*G380,2)</f>
        <v>0</v>
      </c>
      <c r="I380" s="338">
        <f>IF(D380&lt;=3,база!$J$4,
IF(D380=4,база!$J$5,
IF(D380=5,база!$J$6)))</f>
        <v>196.05240000000001</v>
      </c>
      <c r="J380" s="276">
        <v>1</v>
      </c>
      <c r="K380" s="287">
        <f>SUMIFS(Таблица1[сумма],Таблица1[коэф],"1",Таблица1[р/р],"2/8",Таблица1[Ф. И. О.],B385)</f>
        <v>0</v>
      </c>
      <c r="L380" s="287">
        <f>ROUND(I380*J380*K380,2)</f>
        <v>0</v>
      </c>
      <c r="M380" s="287"/>
      <c r="N380" s="287">
        <v>1</v>
      </c>
      <c r="O380" s="287">
        <f>SUMIFS(Data_Tech!$AM$3:$AM$67,Data_Tech!$E$3:$E$67,"1",Data_Tech!$G$3:$G$67,"3/12",Data_Tech!$F$3:$F$67,B385)</f>
        <v>0</v>
      </c>
      <c r="P380" s="280">
        <f>ROUND(M380*N380*O380,2)</f>
        <v>0</v>
      </c>
      <c r="Q380" s="72">
        <f>IF(D380&lt;=3,база!$L$4,
IF(D380=4,база!$L$5,
IF(D380=5,база!$L$6)))</f>
        <v>210.57480000000001</v>
      </c>
      <c r="R380" s="269">
        <v>1</v>
      </c>
      <c r="S380" s="95">
        <f>SUMIFS(Таблица1[сумма],Таблица1[коэф],"1",Таблица1[р/р],"3/16",Таблица1[Ф. И. О.],B385)</f>
        <v>0</v>
      </c>
      <c r="T380" s="87">
        <f t="shared" si="234"/>
        <v>0</v>
      </c>
      <c r="U380" s="339">
        <f>IF(D380&lt;=3,база!$M$4,
IF(D380=4,база!$M$5,
IF(D380=5,база!$M$6)))</f>
        <v>225.09719999999999</v>
      </c>
      <c r="V380" s="269">
        <v>1</v>
      </c>
      <c r="W380" s="340">
        <f>SUMIFS(Таблица1[сумма],Таблица1[коэф],"1",Таблица1[р/р],"3/24",Таблица1[Ф. И. О.],B385)</f>
        <v>0</v>
      </c>
      <c r="X380" s="342">
        <f>ROUND(U380*V380*W380,2)</f>
        <v>0</v>
      </c>
      <c r="Y380" s="819">
        <f t="shared" ref="Y380" si="236">SUM(G380:G390,K380:K390,O380:O390,S380:S390,W380:W390)</f>
        <v>0</v>
      </c>
      <c r="Z380" s="810">
        <f t="shared" ref="Z380" si="237">IFERROR(SUM(H380:H390,L380:L390,T380:T390,X380:X390),"")</f>
        <v>0</v>
      </c>
      <c r="AA380" s="813"/>
    </row>
    <row r="381" spans="1:29">
      <c r="A381" s="756"/>
      <c r="B381" s="215"/>
      <c r="C381" s="815"/>
      <c r="D381" s="817"/>
      <c r="E381" s="78">
        <f>IF(D380&lt;=3,база!$I$4,
IF(D380=4,база!$I$5,
IF(D380=5,база!$I$6)))</f>
        <v>188.7912</v>
      </c>
      <c r="F381" s="271">
        <v>1</v>
      </c>
      <c r="G381" s="98">
        <f>SUMIFS(Таблица1[сумма],Таблица1[коэф],"1",Таблица1[р/р],"3/4",Таблица1[Ф. И. О.],B385)</f>
        <v>0</v>
      </c>
      <c r="H381" s="94">
        <f>ROUND(E381*F381*G381,2)</f>
        <v>0</v>
      </c>
      <c r="I381" s="334">
        <f>IF(D380&lt;=3,база!$J$4,
IF(D380=4,база!$J$5,
IF(D380=5,база!$J$6)))</f>
        <v>196.05240000000001</v>
      </c>
      <c r="J381" s="278">
        <v>1</v>
      </c>
      <c r="K381" s="216">
        <f>SUMIFS(Таблица1[сумма],Таблица1[коэф],"1",Таблица1[р/р],"3/8",Таблица1[Ф. И. О.],B385)</f>
        <v>0</v>
      </c>
      <c r="L381" s="216">
        <f>ROUND(I381*J381*K381,2)</f>
        <v>0</v>
      </c>
      <c r="M381" s="216"/>
      <c r="N381" s="216">
        <v>1</v>
      </c>
      <c r="O381" s="216">
        <f>SUMIFS(Data_Tech!$AM$3:$AM$67,Data_Tech!$E$3:$E$67,"1",Data_Tech!$G$3:$G$67,"4/12",Data_Tech!$F$3:$F$67,B385)</f>
        <v>0</v>
      </c>
      <c r="P381" s="30">
        <f>ROUND(M381*O381,2)</f>
        <v>0</v>
      </c>
      <c r="Q381" s="78">
        <f>база!$L$5</f>
        <v>231.45480000000001</v>
      </c>
      <c r="R381" s="271">
        <v>1</v>
      </c>
      <c r="S381" s="98">
        <f>SUMIFS(Таблица1[сумма],Таблица1[коэф],"1",Таблица1[р/р],"4/16",Таблица1[Ф. И. О.],B385)</f>
        <v>0</v>
      </c>
      <c r="T381" s="94">
        <f t="shared" si="234"/>
        <v>0</v>
      </c>
      <c r="U381" s="314">
        <f>база!$M$5</f>
        <v>247.41720000000001</v>
      </c>
      <c r="V381" s="271">
        <v>1</v>
      </c>
      <c r="W381" s="307">
        <f>SUMIFS(Таблица1[сумма],Таблица1[коэф],"1",Таблица1[р/р],"4/24",Таблица1[Ф. И. О.],B385)</f>
        <v>0</v>
      </c>
      <c r="X381" s="313">
        <f t="shared" ref="X381" si="238">ROUND(U381*V381*W381,2)</f>
        <v>0</v>
      </c>
      <c r="Y381" s="819"/>
      <c r="Z381" s="810"/>
      <c r="AA381" s="813"/>
    </row>
    <row r="382" spans="1:29">
      <c r="A382" s="756"/>
      <c r="B382" s="215"/>
      <c r="C382" s="815"/>
      <c r="D382" s="817"/>
      <c r="E382" s="78"/>
      <c r="F382" s="271"/>
      <c r="G382" s="98"/>
      <c r="H382" s="94"/>
      <c r="I382" s="334"/>
      <c r="J382" s="278"/>
      <c r="K382" s="216"/>
      <c r="L382" s="216"/>
      <c r="M382" s="216"/>
      <c r="N382" s="216"/>
      <c r="O382" s="216"/>
      <c r="P382" s="30"/>
      <c r="Q382" s="78">
        <f>база!$L$6</f>
        <v>261.04640000000001</v>
      </c>
      <c r="R382" s="271">
        <v>1</v>
      </c>
      <c r="S382" s="98">
        <f>SUMIFS(Таблица1[сумма],Таблица1[коэф],"1",Таблица1[р/р],"5/16",Таблица1[Ф. И. О.],B385)</f>
        <v>0</v>
      </c>
      <c r="T382" s="94">
        <f t="shared" si="234"/>
        <v>0</v>
      </c>
      <c r="U382" s="314">
        <f>база!$M$6</f>
        <v>279.0496</v>
      </c>
      <c r="V382" s="271">
        <v>1</v>
      </c>
      <c r="W382" s="307">
        <f>SUMIFS(Таблица1[сумма],Таблица1[коэф],"1",Таблица1[р/р],"5/24",Таблица1[Ф. И. О.],B385)</f>
        <v>0</v>
      </c>
      <c r="X382" s="313">
        <f>ROUND(U382*V382*W382,2)</f>
        <v>0</v>
      </c>
      <c r="Y382" s="819"/>
      <c r="Z382" s="810"/>
      <c r="AA382" s="813"/>
    </row>
    <row r="383" spans="1:29">
      <c r="A383" s="756"/>
      <c r="B383" s="215"/>
      <c r="C383" s="815"/>
      <c r="D383" s="817"/>
      <c r="E383" s="78"/>
      <c r="F383" s="271"/>
      <c r="G383" s="98"/>
      <c r="H383" s="94"/>
      <c r="I383" s="334">
        <f>база!$J$5</f>
        <v>215.4924</v>
      </c>
      <c r="J383" s="278">
        <v>1.5</v>
      </c>
      <c r="K383" s="216">
        <f>SUMIFS(Таблица1[сумма],Таблица1[коэф],"1,5",Таблица1[р/р],"4/8",Таблица1[Ф. И. О.],B385)</f>
        <v>0</v>
      </c>
      <c r="L383" s="216">
        <f>ROUND(I383*J383*K383,2)</f>
        <v>0</v>
      </c>
      <c r="M383" s="216"/>
      <c r="N383" s="216"/>
      <c r="O383" s="216"/>
      <c r="P383" s="30"/>
      <c r="Q383" s="78">
        <f>IF(D380&lt;=3,база!$L$4,
IF(D380=4,база!$L$5,
IF(D380=5,база!$L$6)))</f>
        <v>210.57480000000001</v>
      </c>
      <c r="R383" s="271">
        <v>1.2</v>
      </c>
      <c r="S383" s="98">
        <f>SUMIFS(Таблица1[сумма],Таблица1[коэф],"1,2",Таблица1[р/р],"3/16",Таблица1[Ф. И. О.],B385)</f>
        <v>0</v>
      </c>
      <c r="T383" s="94">
        <f t="shared" si="234"/>
        <v>0</v>
      </c>
      <c r="U383" s="314">
        <f>IF(D380&lt;=3,база!$M$4,
IF(D380=4,база!$M$5,
IF(D380=5,база!$M$6)))</f>
        <v>225.09719999999999</v>
      </c>
      <c r="V383" s="271">
        <v>1.2</v>
      </c>
      <c r="W383" s="307">
        <f>SUMIFS(Таблица1[сумма],Таблица1[коэф],"1,2",Таблица1[р/р],"3/24",Таблица1[Ф. И. О.],B385)</f>
        <v>0</v>
      </c>
      <c r="X383" s="313">
        <f t="shared" ref="X383:X384" si="239">ROUND(U383*V383*W383,2)</f>
        <v>0</v>
      </c>
      <c r="Y383" s="819"/>
      <c r="Z383" s="810"/>
      <c r="AA383" s="813"/>
    </row>
    <row r="384" spans="1:29">
      <c r="A384" s="756"/>
      <c r="B384" s="215"/>
      <c r="C384" s="815"/>
      <c r="D384" s="817"/>
      <c r="E384" s="78"/>
      <c r="F384" s="271"/>
      <c r="G384" s="98"/>
      <c r="H384" s="94"/>
      <c r="I384" s="334">
        <f>база!$J$6</f>
        <v>243.04319999999998</v>
      </c>
      <c r="J384" s="278">
        <v>1.5</v>
      </c>
      <c r="K384" s="216">
        <f>SUMIFS(Таблица1[сумма],Таблица1[коэф],"1,5",Таблица1[р/р],"5/8",Таблица1[Ф. И. О.],B385)</f>
        <v>0</v>
      </c>
      <c r="L384" s="216">
        <f>ROUND(I384*J384*K384,2)</f>
        <v>0</v>
      </c>
      <c r="M384" s="216"/>
      <c r="N384" s="216"/>
      <c r="O384" s="216"/>
      <c r="P384" s="30"/>
      <c r="Q384" s="78">
        <f>база!$L$5</f>
        <v>231.45480000000001</v>
      </c>
      <c r="R384" s="271">
        <v>1.2</v>
      </c>
      <c r="S384" s="98">
        <f>SUMIFS(Таблица1[сумма],Таблица1[коэф],"1,2",Таблица1[р/р],"4/16",Таблица1[Ф. И. О.],B385)</f>
        <v>0</v>
      </c>
      <c r="T384" s="94">
        <f t="shared" si="234"/>
        <v>0</v>
      </c>
      <c r="U384" s="314">
        <f>база!$M$5</f>
        <v>247.41720000000001</v>
      </c>
      <c r="V384" s="271">
        <v>1.2</v>
      </c>
      <c r="W384" s="307">
        <f>SUMIFS(Таблица1[сумма],Таблица1[коэф],"1,2",Таблица1[р/р],"4/24",Таблица1[Ф. И. О.],B385)</f>
        <v>0</v>
      </c>
      <c r="X384" s="313">
        <f t="shared" si="239"/>
        <v>0</v>
      </c>
      <c r="Y384" s="819"/>
      <c r="Z384" s="810"/>
      <c r="AA384" s="813"/>
      <c r="AC384" s="707" t="str">
        <f>IF(SUMIFS(Таблица1[Столбец2],Таблица1[Ф. И. О.],B385)-Z380=0,"",SUMIFS(Таблица1[Столбец2],Таблица1[Ф. И. О.],B385)-Z380)</f>
        <v/>
      </c>
    </row>
    <row r="385" spans="1:29" ht="24" thickBot="1">
      <c r="A385" s="756"/>
      <c r="B385" s="215" t="str">
        <f>база!B36</f>
        <v>Киселёва Надежда Игоревна</v>
      </c>
      <c r="C385" s="815"/>
      <c r="D385" s="817"/>
      <c r="E385" s="78"/>
      <c r="F385" s="271"/>
      <c r="G385" s="98"/>
      <c r="H385" s="94"/>
      <c r="I385" s="334"/>
      <c r="J385" s="278"/>
      <c r="K385" s="216"/>
      <c r="L385" s="216"/>
      <c r="M385" s="216"/>
      <c r="N385" s="216"/>
      <c r="O385" s="216"/>
      <c r="P385" s="30"/>
      <c r="Q385" s="78">
        <f>база!$L$6</f>
        <v>261.04640000000001</v>
      </c>
      <c r="R385" s="271">
        <v>1.2</v>
      </c>
      <c r="S385" s="98">
        <f>SUMIFS(Таблица1[сумма],Таблица1[коэф],"1,2",Таблица1[р/р],"5/16",Таблица1[Ф. И. О.],B385)</f>
        <v>0</v>
      </c>
      <c r="T385" s="94">
        <f>ROUND(Q385*R385*S385,2)</f>
        <v>0</v>
      </c>
      <c r="U385" s="314">
        <f>база!$M$6</f>
        <v>279.0496</v>
      </c>
      <c r="V385" s="271">
        <v>1.2</v>
      </c>
      <c r="W385" s="307">
        <f>SUMIFS(Таблица1[сумма],Таблица1[коэф],"1,2",Таблица1[р/р],"5/24",Таблица1[Ф. И. О.],B385)</f>
        <v>0</v>
      </c>
      <c r="X385" s="313">
        <f>ROUND(U385*V385*W385,2)</f>
        <v>0</v>
      </c>
      <c r="Y385" s="819"/>
      <c r="Z385" s="810"/>
      <c r="AA385" s="813"/>
      <c r="AC385" s="707" t="str">
        <f>IF(SUMIFS(Таблица1[сумма],Таблица1[Ф. И. О.],B385)=Y380,"",B380&amp;"  часы не верны")</f>
        <v/>
      </c>
    </row>
    <row r="386" spans="1:29" ht="24" thickBot="1">
      <c r="A386" s="756"/>
      <c r="B386" s="215"/>
      <c r="C386" s="815"/>
      <c r="D386" s="817"/>
      <c r="E386" s="78"/>
      <c r="F386" s="271"/>
      <c r="G386" s="98"/>
      <c r="H386" s="94"/>
      <c r="I386" s="334"/>
      <c r="J386" s="278"/>
      <c r="K386" s="216"/>
      <c r="L386" s="216"/>
      <c r="M386" s="216"/>
      <c r="N386" s="216"/>
      <c r="O386" s="216"/>
      <c r="P386" s="30"/>
      <c r="Q386" s="78">
        <f>IF($D$6&lt;=3,база!$L$4,
IF($D$6=4,база!$L$5,
IF($D$6=5,база!$L$6)))</f>
        <v>231.45480000000001</v>
      </c>
      <c r="R386" s="271">
        <v>1.3</v>
      </c>
      <c r="S386" s="98">
        <f>SUMIFS(Таблица1[сумма],Таблица1[коэф],"1,3",Таблица1[р/р],"3/16",Таблица1[Ф. И. О.],B385)</f>
        <v>0</v>
      </c>
      <c r="T386" s="94">
        <f t="shared" ref="T386:T395" si="240">ROUND(Q386*R386*S386,2)</f>
        <v>0</v>
      </c>
      <c r="U386" s="314">
        <f>IF(D380&lt;=3,база!$M$4,
IF(D380=4,база!$M$5,
IF(D380=5,база!$M$6)))</f>
        <v>225.09719999999999</v>
      </c>
      <c r="V386" s="271">
        <v>1.3</v>
      </c>
      <c r="W386" s="307">
        <f>SUMIFS(Таблица1[сумма],Таблица1[коэф],"1,3",Таблица1[р/р],"3/24",Таблица1[Ф. И. О.],B385)</f>
        <v>0</v>
      </c>
      <c r="X386" s="313">
        <f t="shared" ref="X386:X387" si="241">ROUND(U386*V386*W386,2)</f>
        <v>0</v>
      </c>
      <c r="Y386" s="819"/>
      <c r="Z386" s="810"/>
      <c r="AA386" s="813"/>
    </row>
    <row r="387" spans="1:29" ht="24" thickBot="1">
      <c r="A387" s="756"/>
      <c r="B387" s="215"/>
      <c r="C387" s="815"/>
      <c r="D387" s="817"/>
      <c r="E387" s="78"/>
      <c r="F387" s="271"/>
      <c r="G387" s="98"/>
      <c r="H387" s="94"/>
      <c r="I387" s="334"/>
      <c r="J387" s="278"/>
      <c r="K387" s="216"/>
      <c r="L387" s="216"/>
      <c r="M387" s="216"/>
      <c r="N387" s="216"/>
      <c r="O387" s="216"/>
      <c r="P387" s="30"/>
      <c r="Q387" s="78">
        <f>база!$L$5</f>
        <v>231.45480000000001</v>
      </c>
      <c r="R387" s="271">
        <v>1.3</v>
      </c>
      <c r="S387" s="98">
        <f>SUMIFS(Таблица1[сумма],Таблица1[коэф],"1,3",Таблица1[р/р],"4/16",Таблица1[Ф. И. О.],B385)</f>
        <v>0</v>
      </c>
      <c r="T387" s="94">
        <f t="shared" si="240"/>
        <v>0</v>
      </c>
      <c r="U387" s="314">
        <f>база!$M$5</f>
        <v>247.41720000000001</v>
      </c>
      <c r="V387" s="271">
        <v>1.3</v>
      </c>
      <c r="W387" s="307">
        <f>SUMIFS(Таблица1[сумма],Таблица1[коэф],"1,3",Таблица1[р/р],"4/24",Таблица1[Ф. И. О.],B385)</f>
        <v>0</v>
      </c>
      <c r="X387" s="313">
        <f t="shared" si="241"/>
        <v>0</v>
      </c>
      <c r="Y387" s="819"/>
      <c r="Z387" s="810"/>
      <c r="AA387" s="813"/>
    </row>
    <row r="388" spans="1:29" ht="24" thickBot="1">
      <c r="A388" s="756"/>
      <c r="B388" s="215"/>
      <c r="C388" s="815"/>
      <c r="D388" s="817"/>
      <c r="E388" s="78"/>
      <c r="F388" s="271"/>
      <c r="G388" s="98"/>
      <c r="H388" s="94"/>
      <c r="I388" s="334"/>
      <c r="J388" s="278"/>
      <c r="K388" s="216"/>
      <c r="L388" s="216"/>
      <c r="M388" s="216"/>
      <c r="N388" s="216"/>
      <c r="O388" s="216"/>
      <c r="P388" s="30"/>
      <c r="Q388" s="78">
        <f>IF(D380&lt;=3,база!$L$4,
IF(D380=4,база!$L$5,
IF(D380=5,база!$L$6)))</f>
        <v>210.57480000000001</v>
      </c>
      <c r="R388" s="271">
        <v>1.4</v>
      </c>
      <c r="S388" s="98">
        <f>SUMIFS(Таблица1[сумма],Таблица1[коэф],"1,4",Таблица1[р/р],"3/16",Таблица1[Ф. И. О.],B385)</f>
        <v>0</v>
      </c>
      <c r="T388" s="94">
        <f t="shared" si="240"/>
        <v>0</v>
      </c>
      <c r="U388" s="314">
        <f>IF(D380&lt;=3,база!$M$4,
IF(D380=4,база!$M$5,
IF(D380=5,база!$M$6)))</f>
        <v>225.09719999999999</v>
      </c>
      <c r="V388" s="271">
        <v>1.4</v>
      </c>
      <c r="W388" s="307">
        <f>SUMIFS(Таблица1[сумма],Таблица1[коэф],"1,4",Таблица1[р/р],"3/24",Таблица1[Ф. И. О.],B385)</f>
        <v>0</v>
      </c>
      <c r="X388" s="313">
        <f>ROUND(U388*V388*W388,2)</f>
        <v>0</v>
      </c>
      <c r="Y388" s="819"/>
      <c r="Z388" s="810"/>
      <c r="AA388" s="813"/>
    </row>
    <row r="389" spans="1:29" ht="24" thickBot="1">
      <c r="A389" s="756"/>
      <c r="B389" s="215"/>
      <c r="C389" s="815"/>
      <c r="D389" s="817"/>
      <c r="E389" s="78"/>
      <c r="F389" s="271"/>
      <c r="G389" s="98"/>
      <c r="H389" s="94"/>
      <c r="I389" s="334"/>
      <c r="J389" s="278"/>
      <c r="K389" s="216"/>
      <c r="L389" s="216"/>
      <c r="M389" s="216"/>
      <c r="N389" s="216"/>
      <c r="O389" s="216"/>
      <c r="P389" s="30"/>
      <c r="Q389" s="78">
        <f>база!$L$5</f>
        <v>231.45480000000001</v>
      </c>
      <c r="R389" s="271">
        <v>1.4</v>
      </c>
      <c r="S389" s="98">
        <f>SUMIFS(Таблица1[сумма],Таблица1[коэф],"1,4",Таблица1[р/р],"4/16",Таблица1[Ф. И. О.],B385)</f>
        <v>0</v>
      </c>
      <c r="T389" s="94">
        <f t="shared" si="240"/>
        <v>0</v>
      </c>
      <c r="U389" s="314">
        <f>база!$M$5</f>
        <v>247.41720000000001</v>
      </c>
      <c r="V389" s="271">
        <v>1.4</v>
      </c>
      <c r="W389" s="307">
        <f>SUMIFS(Таблица1[сумма],Таблица1[коэф],"1,4",Таблица1[р/р],"4/24",Таблица1[Ф. И. О.],B385)</f>
        <v>0</v>
      </c>
      <c r="X389" s="313">
        <f>ROUND(U389*V389*W389,2)</f>
        <v>0</v>
      </c>
      <c r="Y389" s="819"/>
      <c r="Z389" s="810"/>
      <c r="AA389" s="813"/>
    </row>
    <row r="390" spans="1:29" ht="24" thickBot="1">
      <c r="A390" s="757"/>
      <c r="B390" s="202"/>
      <c r="C390" s="816"/>
      <c r="D390" s="818"/>
      <c r="E390" s="101"/>
      <c r="F390" s="273"/>
      <c r="G390" s="97"/>
      <c r="H390" s="90"/>
      <c r="I390" s="348"/>
      <c r="J390" s="279"/>
      <c r="K390" s="288"/>
      <c r="L390" s="288"/>
      <c r="M390" s="288"/>
      <c r="N390" s="288"/>
      <c r="O390" s="288"/>
      <c r="P390" s="315"/>
      <c r="Q390" s="101">
        <f>база!$L$6</f>
        <v>261.04640000000001</v>
      </c>
      <c r="R390" s="273">
        <v>1.4</v>
      </c>
      <c r="S390" s="97">
        <f>SUMIFS(Таблица1[сумма],Таблица1[коэф],"1,4",Таблица1[р/р],"5/16",Таблица1[Ф. И. О.],B385)</f>
        <v>0</v>
      </c>
      <c r="T390" s="90">
        <f t="shared" si="240"/>
        <v>0</v>
      </c>
      <c r="U390" s="347">
        <f>база!$M$6</f>
        <v>279.0496</v>
      </c>
      <c r="V390" s="273">
        <v>1.4</v>
      </c>
      <c r="W390" s="312">
        <f>SUMIFS(Таблица1[сумма],Таблица1[коэф],"1,4",Таблица1[р/р],"5/24",Таблица1[Ф. И. О.],B385)</f>
        <v>0</v>
      </c>
      <c r="X390" s="343">
        <f>ROUND(U390*V390*W390,2)</f>
        <v>0</v>
      </c>
      <c r="Y390" s="820"/>
      <c r="Z390" s="811"/>
      <c r="AA390" s="814"/>
    </row>
    <row r="391" spans="1:29">
      <c r="A391" s="755">
        <v>36</v>
      </c>
      <c r="B391" s="235"/>
      <c r="C391" s="821">
        <f>INDEX(база!$E$2:$E$81, MATCH(B396,база!$B$2:$B$50,0))</f>
        <v>17188</v>
      </c>
      <c r="D391" s="822">
        <f>INDEX(база!$D$2:$D$89, MATCH(B396,база!$B$2:$B$50,0))</f>
        <v>3</v>
      </c>
      <c r="E391" s="72">
        <f>IF(D391&lt;=3,база!$I$4,
IF(D391=4,база!$I$5,
IF(D391=5,база!$I$6)))</f>
        <v>188.7912</v>
      </c>
      <c r="F391" s="269">
        <v>1</v>
      </c>
      <c r="G391" s="95">
        <f>SUMIFS(Таблица1[сумма],Таблица1[коэф],"1",Таблица1[р/р],"2/4",Таблица1[Ф. И. О.],B396)</f>
        <v>0</v>
      </c>
      <c r="H391" s="87">
        <f>ROUND(E391*F391*G391,2)</f>
        <v>0</v>
      </c>
      <c r="I391" s="338">
        <f>IF(D391&lt;=3,база!$J$4,
IF(D391=4,база!$J$5,
IF(D391=5,база!$J$6)))</f>
        <v>196.05240000000001</v>
      </c>
      <c r="J391" s="276">
        <v>1</v>
      </c>
      <c r="K391" s="287">
        <f>SUMIFS(Таблица1[сумма],Таблица1[коэф],"1",Таблица1[р/р],"2/8",Таблица1[Ф. И. О.],B396)</f>
        <v>0</v>
      </c>
      <c r="L391" s="287">
        <f>ROUND(I391*J391*K391,2)</f>
        <v>0</v>
      </c>
      <c r="M391" s="287"/>
      <c r="N391" s="287">
        <v>1</v>
      </c>
      <c r="O391" s="287">
        <f>SUMIFS(Data_Tech!$AM$3:$AM$67,Data_Tech!$E$3:$E$67,"1",Data_Tech!$G$3:$G$67,"3/12",Data_Tech!$F$3:$F$67,B396)</f>
        <v>0</v>
      </c>
      <c r="P391" s="280">
        <f>ROUND(M391*N391*O391,2)</f>
        <v>0</v>
      </c>
      <c r="Q391" s="72">
        <f>IF(D391&lt;=3,база!$L$4,
IF(D391=4,база!$L$5,
IF(D391=5,база!$L$6)))</f>
        <v>210.57480000000001</v>
      </c>
      <c r="R391" s="269">
        <v>1</v>
      </c>
      <c r="S391" s="95">
        <f>SUMIFS(Таблица1[сумма],Таблица1[коэф],"1",Таблица1[р/р],"3/16",Таблица1[Ф. И. О.],B396)</f>
        <v>0</v>
      </c>
      <c r="T391" s="87">
        <f t="shared" si="240"/>
        <v>0</v>
      </c>
      <c r="U391" s="339">
        <f>IF(D391&lt;=3,база!$M$4,
IF(D391=4,база!$M$5,
IF(D391=5,база!$M$6)))</f>
        <v>225.09719999999999</v>
      </c>
      <c r="V391" s="269">
        <v>1</v>
      </c>
      <c r="W391" s="340">
        <f>SUMIFS(Таблица1[сумма],Таблица1[коэф],"1",Таблица1[р/р],"3/24",Таблица1[Ф. И. О.],B396)</f>
        <v>0</v>
      </c>
      <c r="X391" s="342">
        <f>ROUND(U391*V391*W391,2)</f>
        <v>0</v>
      </c>
      <c r="Y391" s="819">
        <f t="shared" ref="Y391" si="242">SUM(G391:G401,K391:K401,O391:O401,S391:S401,W391:W401)</f>
        <v>0</v>
      </c>
      <c r="Z391" s="810">
        <f t="shared" ref="Z391" si="243">IFERROR(SUM(H391:H401,L391:L401,T391:T401,X391:X401),"")</f>
        <v>0</v>
      </c>
      <c r="AA391" s="813"/>
    </row>
    <row r="392" spans="1:29">
      <c r="A392" s="756"/>
      <c r="B392" s="215"/>
      <c r="C392" s="815"/>
      <c r="D392" s="817"/>
      <c r="E392" s="78">
        <f>IF(D391&lt;=3,база!$I$4,
IF(D391=4,база!$I$5,
IF(D391=5,база!$I$6)))</f>
        <v>188.7912</v>
      </c>
      <c r="F392" s="271">
        <v>1</v>
      </c>
      <c r="G392" s="98">
        <f>SUMIFS(Таблица1[сумма],Таблица1[коэф],"1",Таблица1[р/р],"3/4",Таблица1[Ф. И. О.],B396)</f>
        <v>0</v>
      </c>
      <c r="H392" s="94">
        <f>ROUND(E392*F392*G392,2)</f>
        <v>0</v>
      </c>
      <c r="I392" s="334">
        <f>IF(D391&lt;=3,база!$J$4,
IF(D391=4,база!$J$5,
IF(D391=5,база!$J$6)))</f>
        <v>196.05240000000001</v>
      </c>
      <c r="J392" s="278">
        <v>1</v>
      </c>
      <c r="K392" s="216">
        <f>SUMIFS(Таблица1[сумма],Таблица1[коэф],"1",Таблица1[р/р],"3/8",Таблица1[Ф. И. О.],B396)</f>
        <v>0</v>
      </c>
      <c r="L392" s="216">
        <f>ROUND(I392*J392*K392,2)</f>
        <v>0</v>
      </c>
      <c r="M392" s="216"/>
      <c r="N392" s="216">
        <v>1</v>
      </c>
      <c r="O392" s="216">
        <f>SUMIFS(Data_Tech!$AM$3:$AM$67,Data_Tech!$E$3:$E$67,"1",Data_Tech!$G$3:$G$67,"4/12",Data_Tech!$F$3:$F$67,B396)</f>
        <v>0</v>
      </c>
      <c r="P392" s="30">
        <f>ROUND(M392*O392,2)</f>
        <v>0</v>
      </c>
      <c r="Q392" s="78">
        <f>база!$L$5</f>
        <v>231.45480000000001</v>
      </c>
      <c r="R392" s="271">
        <v>1</v>
      </c>
      <c r="S392" s="98">
        <f>SUMIFS(Таблица1[сумма],Таблица1[коэф],"1",Таблица1[р/р],"4/16",Таблица1[Ф. И. О.],B396)</f>
        <v>0</v>
      </c>
      <c r="T392" s="94">
        <f t="shared" si="240"/>
        <v>0</v>
      </c>
      <c r="U392" s="314">
        <f>база!$M$5</f>
        <v>247.41720000000001</v>
      </c>
      <c r="V392" s="271">
        <v>1</v>
      </c>
      <c r="W392" s="307">
        <f>SUMIFS(Таблица1[сумма],Таблица1[коэф],"1",Таблица1[р/р],"4/24",Таблица1[Ф. И. О.],B396)</f>
        <v>0</v>
      </c>
      <c r="X392" s="313">
        <f t="shared" ref="X392" si="244">ROUND(U392*V392*W392,2)</f>
        <v>0</v>
      </c>
      <c r="Y392" s="819"/>
      <c r="Z392" s="810"/>
      <c r="AA392" s="813"/>
    </row>
    <row r="393" spans="1:29" ht="24" thickBot="1">
      <c r="A393" s="756"/>
      <c r="B393" s="215"/>
      <c r="C393" s="815"/>
      <c r="D393" s="817"/>
      <c r="E393" s="78"/>
      <c r="F393" s="271"/>
      <c r="G393" s="98"/>
      <c r="H393" s="94"/>
      <c r="I393" s="334"/>
      <c r="J393" s="278"/>
      <c r="K393" s="216"/>
      <c r="L393" s="216"/>
      <c r="M393" s="216"/>
      <c r="N393" s="216"/>
      <c r="O393" s="216"/>
      <c r="P393" s="30"/>
      <c r="Q393" s="78">
        <f>база!$L$6</f>
        <v>261.04640000000001</v>
      </c>
      <c r="R393" s="271">
        <v>1</v>
      </c>
      <c r="S393" s="98">
        <f>SUMIFS(Таблица1[сумма],Таблица1[коэф],"1",Таблица1[р/р],"5/16",Таблица1[Ф. И. О.],B396)</f>
        <v>0</v>
      </c>
      <c r="T393" s="94">
        <f t="shared" si="240"/>
        <v>0</v>
      </c>
      <c r="U393" s="314">
        <f>база!$M$6</f>
        <v>279.0496</v>
      </c>
      <c r="V393" s="271">
        <v>1</v>
      </c>
      <c r="W393" s="307">
        <f>SUMIFS(Таблица1[сумма],Таблица1[коэф],"1",Таблица1[р/р],"5/24",Таблица1[Ф. И. О.],B396)</f>
        <v>0</v>
      </c>
      <c r="X393" s="313">
        <f>ROUND(U393*V393*W393,2)</f>
        <v>0</v>
      </c>
      <c r="Y393" s="819"/>
      <c r="Z393" s="810"/>
      <c r="AA393" s="813"/>
    </row>
    <row r="394" spans="1:29" ht="24" thickBot="1">
      <c r="A394" s="756"/>
      <c r="B394" s="215"/>
      <c r="C394" s="815"/>
      <c r="D394" s="817"/>
      <c r="E394" s="78"/>
      <c r="F394" s="271"/>
      <c r="G394" s="98"/>
      <c r="H394" s="94"/>
      <c r="I394" s="334">
        <f>база!$J$5</f>
        <v>215.4924</v>
      </c>
      <c r="J394" s="278">
        <v>1.5</v>
      </c>
      <c r="K394" s="216">
        <f>SUMIFS(Таблица1[сумма],Таблица1[коэф],"1,5",Таблица1[р/р],"4/8",Таблица1[Ф. И. О.],B396)</f>
        <v>0</v>
      </c>
      <c r="L394" s="216">
        <f>ROUND(I394*J394*K394,2)</f>
        <v>0</v>
      </c>
      <c r="M394" s="216"/>
      <c r="N394" s="216"/>
      <c r="O394" s="216"/>
      <c r="P394" s="30"/>
      <c r="Q394" s="78">
        <f>IF(D391&lt;=3,база!$L$4,
IF(D391=4,база!$L$5,
IF(D391=5,база!$L$6)))</f>
        <v>210.57480000000001</v>
      </c>
      <c r="R394" s="271">
        <v>1.2</v>
      </c>
      <c r="S394" s="98">
        <f>SUMIFS(Таблица1[сумма],Таблица1[коэф],"1,2",Таблица1[р/р],"3/16",Таблица1[Ф. И. О.],B396)</f>
        <v>0</v>
      </c>
      <c r="T394" s="94">
        <f t="shared" si="240"/>
        <v>0</v>
      </c>
      <c r="U394" s="314">
        <f>IF(D391&lt;=3,база!$M$4,
IF(D391=4,база!$M$5,
IF(D391=5,база!$M$6)))</f>
        <v>225.09719999999999</v>
      </c>
      <c r="V394" s="271">
        <v>1.2</v>
      </c>
      <c r="W394" s="307">
        <f>SUMIFS(Таблица1[сумма],Таблица1[коэф],"1,2",Таблица1[р/р],"3/24",Таблица1[Ф. И. О.],B396)</f>
        <v>0</v>
      </c>
      <c r="X394" s="313">
        <f t="shared" ref="X394:X395" si="245">ROUND(U394*V394*W394,2)</f>
        <v>0</v>
      </c>
      <c r="Y394" s="819"/>
      <c r="Z394" s="810"/>
      <c r="AA394" s="813"/>
    </row>
    <row r="395" spans="1:29" ht="24" thickBot="1">
      <c r="A395" s="756"/>
      <c r="B395" s="215"/>
      <c r="C395" s="815"/>
      <c r="D395" s="817"/>
      <c r="E395" s="78"/>
      <c r="F395" s="271"/>
      <c r="G395" s="98"/>
      <c r="H395" s="94"/>
      <c r="I395" s="334">
        <f>база!$J$6</f>
        <v>243.04319999999998</v>
      </c>
      <c r="J395" s="278">
        <v>1.5</v>
      </c>
      <c r="K395" s="216">
        <f>SUMIFS(Таблица1[сумма],Таблица1[коэф],"1,5",Таблица1[р/р],"5/8",Таблица1[Ф. И. О.],B396)</f>
        <v>0</v>
      </c>
      <c r="L395" s="216">
        <f>ROUND(I395*J395*K395,2)</f>
        <v>0</v>
      </c>
      <c r="M395" s="216"/>
      <c r="N395" s="216"/>
      <c r="O395" s="216"/>
      <c r="P395" s="30"/>
      <c r="Q395" s="78">
        <f>база!$L$5</f>
        <v>231.45480000000001</v>
      </c>
      <c r="R395" s="271">
        <v>1.2</v>
      </c>
      <c r="S395" s="98">
        <f>SUMIFS(Таблица1[сумма],Таблица1[коэф],"1,2",Таблица1[р/р],"4/16",Таблица1[Ф. И. О.],B396)</f>
        <v>0</v>
      </c>
      <c r="T395" s="94">
        <f t="shared" si="240"/>
        <v>0</v>
      </c>
      <c r="U395" s="314">
        <f>база!$M$5</f>
        <v>247.41720000000001</v>
      </c>
      <c r="V395" s="271">
        <v>1.2</v>
      </c>
      <c r="W395" s="307">
        <f>SUMIFS(Таблица1[сумма],Таблица1[коэф],"1,2",Таблица1[р/р],"4/24",Таблица1[Ф. И. О.],B396)</f>
        <v>0</v>
      </c>
      <c r="X395" s="313">
        <f t="shared" si="245"/>
        <v>0</v>
      </c>
      <c r="Y395" s="819"/>
      <c r="Z395" s="810"/>
      <c r="AA395" s="813"/>
      <c r="AC395" s="707" t="str">
        <f>IF(SUMIFS(Таблица1[Столбец2],Таблица1[Ф. И. О.],B396)-Z391=0,"",SUMIFS(Таблица1[Столбец2],Таблица1[Ф. И. О.],B396)-Z391)</f>
        <v/>
      </c>
    </row>
    <row r="396" spans="1:29" ht="24" thickBot="1">
      <c r="A396" s="756"/>
      <c r="B396" s="215" t="str">
        <f>база!B37</f>
        <v>Климонтович Янина Анатольевна</v>
      </c>
      <c r="C396" s="815"/>
      <c r="D396" s="817"/>
      <c r="E396" s="78"/>
      <c r="F396" s="271"/>
      <c r="G396" s="98"/>
      <c r="H396" s="94"/>
      <c r="I396" s="334"/>
      <c r="J396" s="278"/>
      <c r="K396" s="216"/>
      <c r="L396" s="216"/>
      <c r="M396" s="216"/>
      <c r="N396" s="216"/>
      <c r="O396" s="216"/>
      <c r="P396" s="30"/>
      <c r="Q396" s="78">
        <f>база!$L$6</f>
        <v>261.04640000000001</v>
      </c>
      <c r="R396" s="271">
        <v>1.2</v>
      </c>
      <c r="S396" s="98">
        <f>SUMIFS(Таблица1[сумма],Таблица1[коэф],"1,2",Таблица1[р/р],"5/16",Таблица1[Ф. И. О.],B396)</f>
        <v>0</v>
      </c>
      <c r="T396" s="94">
        <f>ROUND(Q396*R396*S396,2)</f>
        <v>0</v>
      </c>
      <c r="U396" s="314">
        <f>база!$M$6</f>
        <v>279.0496</v>
      </c>
      <c r="V396" s="271">
        <v>1.2</v>
      </c>
      <c r="W396" s="307">
        <f>SUMIFS(Таблица1[сумма],Таблица1[коэф],"1,2",Таблица1[р/р],"5/24",Таблица1[Ф. И. О.],B396)</f>
        <v>0</v>
      </c>
      <c r="X396" s="313">
        <f>ROUND(U396*V396*W396,2)</f>
        <v>0</v>
      </c>
      <c r="Y396" s="819"/>
      <c r="Z396" s="810"/>
      <c r="AA396" s="813"/>
      <c r="AC396" s="707" t="str">
        <f>IF(SUMIFS(Таблица1[сумма],Таблица1[Ф. И. О.],B396)=Y391,"",B391&amp;"  часы не верны")</f>
        <v/>
      </c>
    </row>
    <row r="397" spans="1:29" ht="24" thickBot="1">
      <c r="A397" s="756"/>
      <c r="B397" s="215"/>
      <c r="C397" s="815"/>
      <c r="D397" s="817"/>
      <c r="E397" s="78"/>
      <c r="F397" s="271"/>
      <c r="G397" s="98"/>
      <c r="H397" s="94"/>
      <c r="I397" s="334"/>
      <c r="J397" s="278"/>
      <c r="K397" s="216"/>
      <c r="L397" s="216"/>
      <c r="M397" s="216"/>
      <c r="N397" s="216"/>
      <c r="O397" s="216"/>
      <c r="P397" s="30"/>
      <c r="Q397" s="78">
        <f>IF($D$6&lt;=3,база!$L$4,
IF($D$6=4,база!$L$5,
IF($D$6=5,база!$L$6)))</f>
        <v>231.45480000000001</v>
      </c>
      <c r="R397" s="271">
        <v>1.3</v>
      </c>
      <c r="S397" s="98">
        <f>SUMIFS(Таблица1[сумма],Таблица1[коэф],"1,3",Таблица1[р/р],"3/16",Таблица1[Ф. И. О.],B396)</f>
        <v>0</v>
      </c>
      <c r="T397" s="94">
        <f t="shared" ref="T397:T406" si="246">ROUND(Q397*R397*S397,2)</f>
        <v>0</v>
      </c>
      <c r="U397" s="314">
        <f>IF(D391&lt;=3,база!$M$4,
IF(D391=4,база!$M$5,
IF(D391=5,база!$M$6)))</f>
        <v>225.09719999999999</v>
      </c>
      <c r="V397" s="271">
        <v>1.3</v>
      </c>
      <c r="W397" s="307">
        <f>SUMIFS(Таблица1[сумма],Таблица1[коэф],"1,3",Таблица1[р/р],"3/24",Таблица1[Ф. И. О.],B396)</f>
        <v>0</v>
      </c>
      <c r="X397" s="313">
        <f t="shared" ref="X397:X398" si="247">ROUND(U397*V397*W397,2)</f>
        <v>0</v>
      </c>
      <c r="Y397" s="819"/>
      <c r="Z397" s="810"/>
      <c r="AA397" s="813"/>
    </row>
    <row r="398" spans="1:29" ht="24" thickBot="1">
      <c r="A398" s="756"/>
      <c r="B398" s="215"/>
      <c r="C398" s="815"/>
      <c r="D398" s="817"/>
      <c r="E398" s="78"/>
      <c r="F398" s="271"/>
      <c r="G398" s="98"/>
      <c r="H398" s="94"/>
      <c r="I398" s="334"/>
      <c r="J398" s="278"/>
      <c r="K398" s="216"/>
      <c r="L398" s="216"/>
      <c r="M398" s="216"/>
      <c r="N398" s="216"/>
      <c r="O398" s="216"/>
      <c r="P398" s="30"/>
      <c r="Q398" s="78">
        <f>база!$L$5</f>
        <v>231.45480000000001</v>
      </c>
      <c r="R398" s="271">
        <v>1.3</v>
      </c>
      <c r="S398" s="98">
        <f>SUMIFS(Таблица1[сумма],Таблица1[коэф],"1,3",Таблица1[р/р],"4/16",Таблица1[Ф. И. О.],B396)</f>
        <v>0</v>
      </c>
      <c r="T398" s="94">
        <f t="shared" si="246"/>
        <v>0</v>
      </c>
      <c r="U398" s="314">
        <f>база!$M$5</f>
        <v>247.41720000000001</v>
      </c>
      <c r="V398" s="271">
        <v>1.3</v>
      </c>
      <c r="W398" s="307">
        <f>SUMIFS(Таблица1[сумма],Таблица1[коэф],"1,3",Таблица1[р/р],"4/24",Таблица1[Ф. И. О.],B396)</f>
        <v>0</v>
      </c>
      <c r="X398" s="313">
        <f t="shared" si="247"/>
        <v>0</v>
      </c>
      <c r="Y398" s="819"/>
      <c r="Z398" s="810"/>
      <c r="AA398" s="813"/>
    </row>
    <row r="399" spans="1:29" ht="24" thickBot="1">
      <c r="A399" s="756"/>
      <c r="B399" s="215"/>
      <c r="C399" s="815"/>
      <c r="D399" s="817"/>
      <c r="E399" s="78"/>
      <c r="F399" s="271"/>
      <c r="G399" s="98"/>
      <c r="H399" s="94"/>
      <c r="I399" s="334"/>
      <c r="J399" s="278"/>
      <c r="K399" s="216"/>
      <c r="L399" s="216"/>
      <c r="M399" s="216"/>
      <c r="N399" s="216"/>
      <c r="O399" s="216"/>
      <c r="P399" s="30"/>
      <c r="Q399" s="78">
        <f>IF(D391&lt;=3,база!$L$4,
IF(D391=4,база!$L$5,
IF(D391=5,база!$L$6)))</f>
        <v>210.57480000000001</v>
      </c>
      <c r="R399" s="271">
        <v>1.4</v>
      </c>
      <c r="S399" s="98">
        <f>SUMIFS(Таблица1[сумма],Таблица1[коэф],"1,4",Таблица1[р/р],"3/16",Таблица1[Ф. И. О.],B396)</f>
        <v>0</v>
      </c>
      <c r="T399" s="94">
        <f t="shared" si="246"/>
        <v>0</v>
      </c>
      <c r="U399" s="314">
        <f>IF(D391&lt;=3,база!$M$4,
IF(D391=4,база!$M$5,
IF(D391=5,база!$M$6)))</f>
        <v>225.09719999999999</v>
      </c>
      <c r="V399" s="271">
        <v>1.4</v>
      </c>
      <c r="W399" s="307">
        <f>SUMIFS(Таблица1[сумма],Таблица1[коэф],"1,4",Таблица1[р/р],"3/24",Таблица1[Ф. И. О.],B396)</f>
        <v>0</v>
      </c>
      <c r="X399" s="313">
        <f>ROUND(U399*V399*W399,2)</f>
        <v>0</v>
      </c>
      <c r="Y399" s="819"/>
      <c r="Z399" s="810"/>
      <c r="AA399" s="813"/>
    </row>
    <row r="400" spans="1:29" ht="24" thickBot="1">
      <c r="A400" s="756"/>
      <c r="B400" s="215"/>
      <c r="C400" s="815"/>
      <c r="D400" s="817"/>
      <c r="E400" s="78"/>
      <c r="F400" s="271"/>
      <c r="G400" s="98"/>
      <c r="H400" s="94"/>
      <c r="I400" s="334"/>
      <c r="J400" s="278"/>
      <c r="K400" s="216"/>
      <c r="L400" s="216"/>
      <c r="M400" s="216"/>
      <c r="N400" s="216"/>
      <c r="O400" s="216"/>
      <c r="P400" s="30"/>
      <c r="Q400" s="78">
        <f>база!$L$5</f>
        <v>231.45480000000001</v>
      </c>
      <c r="R400" s="271">
        <v>1.4</v>
      </c>
      <c r="S400" s="98">
        <f>SUMIFS(Таблица1[сумма],Таблица1[коэф],"1,4",Таблица1[р/р],"4/16",Таблица1[Ф. И. О.],B396)</f>
        <v>0</v>
      </c>
      <c r="T400" s="94">
        <f t="shared" si="246"/>
        <v>0</v>
      </c>
      <c r="U400" s="314">
        <f>база!$M$5</f>
        <v>247.41720000000001</v>
      </c>
      <c r="V400" s="271">
        <v>1.4</v>
      </c>
      <c r="W400" s="307">
        <f>SUMIFS(Таблица1[сумма],Таблица1[коэф],"1,4",Таблица1[р/р],"4/24",Таблица1[Ф. И. О.],B396)</f>
        <v>0</v>
      </c>
      <c r="X400" s="313">
        <f>ROUND(U400*V400*W400,2)</f>
        <v>0</v>
      </c>
      <c r="Y400" s="819"/>
      <c r="Z400" s="810"/>
      <c r="AA400" s="813"/>
    </row>
    <row r="401" spans="1:29" ht="24" thickBot="1">
      <c r="A401" s="757"/>
      <c r="B401" s="202"/>
      <c r="C401" s="816"/>
      <c r="D401" s="818"/>
      <c r="E401" s="101"/>
      <c r="F401" s="273"/>
      <c r="G401" s="97"/>
      <c r="H401" s="90"/>
      <c r="I401" s="348"/>
      <c r="J401" s="279"/>
      <c r="K401" s="288"/>
      <c r="L401" s="288"/>
      <c r="M401" s="288"/>
      <c r="N401" s="288"/>
      <c r="O401" s="288"/>
      <c r="P401" s="315"/>
      <c r="Q401" s="101">
        <f>база!$L$6</f>
        <v>261.04640000000001</v>
      </c>
      <c r="R401" s="273">
        <v>1.4</v>
      </c>
      <c r="S401" s="97">
        <f>SUMIFS(Таблица1[сумма],Таблица1[коэф],"1,4",Таблица1[р/р],"5/16",Таблица1[Ф. И. О.],B396)</f>
        <v>0</v>
      </c>
      <c r="T401" s="90">
        <f t="shared" si="246"/>
        <v>0</v>
      </c>
      <c r="U401" s="347">
        <f>база!$M$6</f>
        <v>279.0496</v>
      </c>
      <c r="V401" s="273">
        <v>1.4</v>
      </c>
      <c r="W401" s="312">
        <f>SUMIFS(Таблица1[сумма],Таблица1[коэф],"1,4",Таблица1[р/р],"5/24",Таблица1[Ф. И. О.],B396)</f>
        <v>0</v>
      </c>
      <c r="X401" s="343">
        <f>ROUND(U401*V401*W401,2)</f>
        <v>0</v>
      </c>
      <c r="Y401" s="820"/>
      <c r="Z401" s="811"/>
      <c r="AA401" s="814"/>
    </row>
    <row r="402" spans="1:29">
      <c r="A402" s="755">
        <v>37</v>
      </c>
      <c r="B402" s="235"/>
      <c r="C402" s="821">
        <f>INDEX(база!$E$2:$E$81, MATCH(B407,база!$B$2:$B$50,0))</f>
        <v>15888</v>
      </c>
      <c r="D402" s="822">
        <f>INDEX(база!$D$2:$D$89, MATCH(B407,база!$B$2:$B$50,0))</f>
        <v>3</v>
      </c>
      <c r="E402" s="72">
        <f>IF(D402&lt;=3,база!$I$4,
IF(D402=4,база!$I$5,
IF(D402=5,база!$I$6)))</f>
        <v>188.7912</v>
      </c>
      <c r="F402" s="269">
        <v>1</v>
      </c>
      <c r="G402" s="95">
        <f>SUMIFS(Таблица1[сумма],Таблица1[коэф],"1",Таблица1[р/р],"2/4",Таблица1[Ф. И. О.],B407)</f>
        <v>0</v>
      </c>
      <c r="H402" s="87">
        <f>ROUND(E402*F402*G402,2)</f>
        <v>0</v>
      </c>
      <c r="I402" s="338">
        <f>IF(D402&lt;=3,база!$J$4,
IF(D402=4,база!$J$5,
IF(D402=5,база!$J$6)))</f>
        <v>196.05240000000001</v>
      </c>
      <c r="J402" s="276">
        <v>1</v>
      </c>
      <c r="K402" s="287">
        <f>SUMIFS(Таблица1[сумма],Таблица1[коэф],"1",Таблица1[р/р],"2/8",Таблица1[Ф. И. О.],B407)</f>
        <v>0</v>
      </c>
      <c r="L402" s="287">
        <f>ROUND(I402*J402*K402,2)</f>
        <v>0</v>
      </c>
      <c r="M402" s="287"/>
      <c r="N402" s="287">
        <v>1</v>
      </c>
      <c r="O402" s="287">
        <f>SUMIFS(Data_Tech!$AM$3:$AM$67,Data_Tech!$E$3:$E$67,"1",Data_Tech!$G$3:$G$67,"3/12",Data_Tech!$F$3:$F$67,B407)</f>
        <v>0</v>
      </c>
      <c r="P402" s="280">
        <f>ROUND(M402*N402*O402,2)</f>
        <v>0</v>
      </c>
      <c r="Q402" s="72">
        <f>IF(D402&lt;=3,база!$L$4,
IF(D402=4,база!$L$5,
IF(D402=5,база!$L$6)))</f>
        <v>210.57480000000001</v>
      </c>
      <c r="R402" s="269">
        <v>1</v>
      </c>
      <c r="S402" s="95">
        <f>SUMIFS(Таблица1[сумма],Таблица1[коэф],"1",Таблица1[р/р],"3/16",Таблица1[Ф. И. О.],B407)</f>
        <v>0</v>
      </c>
      <c r="T402" s="87">
        <f t="shared" si="246"/>
        <v>0</v>
      </c>
      <c r="U402" s="339">
        <f>IF(D402&lt;=3,база!$M$4,
IF(D402=4,база!$M$5,
IF(D402=5,база!$M$6)))</f>
        <v>225.09719999999999</v>
      </c>
      <c r="V402" s="269">
        <v>1</v>
      </c>
      <c r="W402" s="340">
        <f>SUMIFS(Таблица1[сумма],Таблица1[коэф],"1",Таблица1[р/р],"3/24",Таблица1[Ф. И. О.],B407)</f>
        <v>0</v>
      </c>
      <c r="X402" s="342">
        <f>ROUND(U402*V402*W402,2)</f>
        <v>0</v>
      </c>
      <c r="Y402" s="819">
        <f t="shared" ref="Y402" si="248">SUM(G402:G412,K402:K412,O402:O412,S402:S412,W402:W412)</f>
        <v>0</v>
      </c>
      <c r="Z402" s="810">
        <f t="shared" ref="Z402" si="249">IFERROR(SUM(H402:H412,L402:L412,T402:T412,X402:X412),"")</f>
        <v>0</v>
      </c>
      <c r="AA402" s="813"/>
    </row>
    <row r="403" spans="1:29">
      <c r="A403" s="756"/>
      <c r="B403" s="215"/>
      <c r="C403" s="815"/>
      <c r="D403" s="817"/>
      <c r="E403" s="78">
        <f>IF(D402&lt;=3,база!$I$4,
IF(D402=4,база!$I$5,
IF(D402=5,база!$I$6)))</f>
        <v>188.7912</v>
      </c>
      <c r="F403" s="271">
        <v>1</v>
      </c>
      <c r="G403" s="98">
        <f>SUMIFS(Таблица1[сумма],Таблица1[коэф],"1",Таблица1[р/р],"3/4",Таблица1[Ф. И. О.],B407)</f>
        <v>0</v>
      </c>
      <c r="H403" s="94">
        <f>ROUND(E403*F403*G403,2)</f>
        <v>0</v>
      </c>
      <c r="I403" s="334">
        <f>IF(D402&lt;=3,база!$J$4,
IF(D402=4,база!$J$5,
IF(D402=5,база!$J$6)))</f>
        <v>196.05240000000001</v>
      </c>
      <c r="J403" s="278">
        <v>1</v>
      </c>
      <c r="K403" s="216">
        <f>SUMIFS(Таблица1[сумма],Таблица1[коэф],"1",Таблица1[р/р],"3/8",Таблица1[Ф. И. О.],B407)</f>
        <v>0</v>
      </c>
      <c r="L403" s="216">
        <f>ROUND(I403*J403*K403,2)</f>
        <v>0</v>
      </c>
      <c r="M403" s="216"/>
      <c r="N403" s="216">
        <v>1</v>
      </c>
      <c r="O403" s="216">
        <f>SUMIFS(Data_Tech!$AM$3:$AM$67,Data_Tech!$E$3:$E$67,"1",Data_Tech!$G$3:$G$67,"4/12",Data_Tech!$F$3:$F$67,B407)</f>
        <v>0</v>
      </c>
      <c r="P403" s="30">
        <f>ROUND(M403*O403,2)</f>
        <v>0</v>
      </c>
      <c r="Q403" s="78">
        <f>база!$L$5</f>
        <v>231.45480000000001</v>
      </c>
      <c r="R403" s="271">
        <v>1</v>
      </c>
      <c r="S403" s="98">
        <f>SUMIFS(Таблица1[сумма],Таблица1[коэф],"1",Таблица1[р/р],"4/16",Таблица1[Ф. И. О.],B407)</f>
        <v>0</v>
      </c>
      <c r="T403" s="94">
        <f t="shared" si="246"/>
        <v>0</v>
      </c>
      <c r="U403" s="314">
        <f>база!$M$5</f>
        <v>247.41720000000001</v>
      </c>
      <c r="V403" s="271">
        <v>1</v>
      </c>
      <c r="W403" s="307">
        <f>SUMIFS(Таблица1[сумма],Таблица1[коэф],"1",Таблица1[р/р],"4/24",Таблица1[Ф. И. О.],B407)</f>
        <v>0</v>
      </c>
      <c r="X403" s="313">
        <f t="shared" ref="X403" si="250">ROUND(U403*V403*W403,2)</f>
        <v>0</v>
      </c>
      <c r="Y403" s="819"/>
      <c r="Z403" s="810"/>
      <c r="AA403" s="813"/>
    </row>
    <row r="404" spans="1:29" ht="24" thickBot="1">
      <c r="A404" s="756"/>
      <c r="B404" s="215"/>
      <c r="C404" s="815"/>
      <c r="D404" s="817"/>
      <c r="E404" s="78"/>
      <c r="F404" s="271"/>
      <c r="G404" s="98"/>
      <c r="H404" s="94"/>
      <c r="I404" s="334"/>
      <c r="J404" s="278"/>
      <c r="K404" s="216"/>
      <c r="L404" s="216"/>
      <c r="M404" s="216"/>
      <c r="N404" s="216"/>
      <c r="O404" s="216"/>
      <c r="P404" s="30"/>
      <c r="Q404" s="78">
        <f>база!$L$6</f>
        <v>261.04640000000001</v>
      </c>
      <c r="R404" s="271">
        <v>1</v>
      </c>
      <c r="S404" s="98">
        <f>SUMIFS(Таблица1[сумма],Таблица1[коэф],"1",Таблица1[р/р],"5/16",Таблица1[Ф. И. О.],B407)</f>
        <v>0</v>
      </c>
      <c r="T404" s="94">
        <f t="shared" si="246"/>
        <v>0</v>
      </c>
      <c r="U404" s="314">
        <f>база!$M$6</f>
        <v>279.0496</v>
      </c>
      <c r="V404" s="271">
        <v>1</v>
      </c>
      <c r="W404" s="307">
        <f>SUMIFS(Таблица1[сумма],Таблица1[коэф],"1",Таблица1[р/р],"5/24",Таблица1[Ф. И. О.],B407)</f>
        <v>0</v>
      </c>
      <c r="X404" s="313">
        <f>ROUND(U404*V404*W404,2)</f>
        <v>0</v>
      </c>
      <c r="Y404" s="819"/>
      <c r="Z404" s="810"/>
      <c r="AA404" s="813"/>
    </row>
    <row r="405" spans="1:29" ht="24" thickBot="1">
      <c r="A405" s="756"/>
      <c r="B405" s="215"/>
      <c r="C405" s="815"/>
      <c r="D405" s="817"/>
      <c r="E405" s="78"/>
      <c r="F405" s="271"/>
      <c r="G405" s="98"/>
      <c r="H405" s="94"/>
      <c r="I405" s="334">
        <f>база!$J$5</f>
        <v>215.4924</v>
      </c>
      <c r="J405" s="278">
        <v>1.5</v>
      </c>
      <c r="K405" s="216">
        <f>SUMIFS(Таблица1[сумма],Таблица1[коэф],"1,5",Таблица1[р/р],"4/8",Таблица1[Ф. И. О.],B407)</f>
        <v>0</v>
      </c>
      <c r="L405" s="216">
        <f>ROUND(I405*J405*K405,2)</f>
        <v>0</v>
      </c>
      <c r="M405" s="216"/>
      <c r="N405" s="216"/>
      <c r="O405" s="216"/>
      <c r="P405" s="30"/>
      <c r="Q405" s="78">
        <f>IF(D402&lt;=3,база!$L$4,
IF(D402=4,база!$L$5,
IF(D402=5,база!$L$6)))</f>
        <v>210.57480000000001</v>
      </c>
      <c r="R405" s="271">
        <v>1.2</v>
      </c>
      <c r="S405" s="98">
        <f>SUMIFS(Таблица1[сумма],Таблица1[коэф],"1,2",Таблица1[р/р],"3/16",Таблица1[Ф. И. О.],B407)</f>
        <v>0</v>
      </c>
      <c r="T405" s="94">
        <f t="shared" si="246"/>
        <v>0</v>
      </c>
      <c r="U405" s="314">
        <f>IF(D402&lt;=3,база!$M$4,
IF(D402=4,база!$M$5,
IF(D402=5,база!$M$6)))</f>
        <v>225.09719999999999</v>
      </c>
      <c r="V405" s="271">
        <v>1.2</v>
      </c>
      <c r="W405" s="307">
        <f>SUMIFS(Таблица1[сумма],Таблица1[коэф],"1,2",Таблица1[р/р],"3/24",Таблица1[Ф. И. О.],B407)</f>
        <v>0</v>
      </c>
      <c r="X405" s="313">
        <f t="shared" ref="X405:X406" si="251">ROUND(U405*V405*W405,2)</f>
        <v>0</v>
      </c>
      <c r="Y405" s="819"/>
      <c r="Z405" s="810"/>
      <c r="AA405" s="813"/>
    </row>
    <row r="406" spans="1:29" ht="24" thickBot="1">
      <c r="A406" s="756"/>
      <c r="B406" s="215"/>
      <c r="C406" s="815"/>
      <c r="D406" s="817"/>
      <c r="E406" s="78"/>
      <c r="F406" s="271"/>
      <c r="G406" s="98"/>
      <c r="H406" s="94"/>
      <c r="I406" s="334">
        <f>база!$J$6</f>
        <v>243.04319999999998</v>
      </c>
      <c r="J406" s="278">
        <v>1.5</v>
      </c>
      <c r="K406" s="216">
        <f>SUMIFS(Таблица1[сумма],Таблица1[коэф],"1,5",Таблица1[р/р],"5/8",Таблица1[Ф. И. О.],B407)</f>
        <v>0</v>
      </c>
      <c r="L406" s="216">
        <f>ROUND(I406*J406*K406,2)</f>
        <v>0</v>
      </c>
      <c r="M406" s="216"/>
      <c r="N406" s="216"/>
      <c r="O406" s="216"/>
      <c r="P406" s="30"/>
      <c r="Q406" s="78">
        <f>база!$L$5</f>
        <v>231.45480000000001</v>
      </c>
      <c r="R406" s="271">
        <v>1.2</v>
      </c>
      <c r="S406" s="98">
        <f>SUMIFS(Таблица1[сумма],Таблица1[коэф],"1,2",Таблица1[р/р],"4/16",Таблица1[Ф. И. О.],B407)</f>
        <v>0</v>
      </c>
      <c r="T406" s="94">
        <f t="shared" si="246"/>
        <v>0</v>
      </c>
      <c r="U406" s="314">
        <f>база!$M$5</f>
        <v>247.41720000000001</v>
      </c>
      <c r="V406" s="271">
        <v>1.2</v>
      </c>
      <c r="W406" s="307">
        <f>SUMIFS(Таблица1[сумма],Таблица1[коэф],"1,2",Таблица1[р/р],"4/24",Таблица1[Ф. И. О.],B407)</f>
        <v>0</v>
      </c>
      <c r="X406" s="313">
        <f t="shared" si="251"/>
        <v>0</v>
      </c>
      <c r="Y406" s="819"/>
      <c r="Z406" s="810"/>
      <c r="AA406" s="813"/>
      <c r="AC406" s="707" t="str">
        <f>IF(SUMIFS(Таблица1[Столбец2],Таблица1[Ф. И. О.],B407)-Z402=0,"",SUMIFS(Таблица1[Столбец2],Таблица1[Ф. И. О.],B407)-Z402)</f>
        <v/>
      </c>
    </row>
    <row r="407" spans="1:29" ht="24" thickBot="1">
      <c r="A407" s="756"/>
      <c r="B407" s="215" t="str">
        <f>база!B38</f>
        <v>Коричева Юлия Владимировна</v>
      </c>
      <c r="C407" s="815"/>
      <c r="D407" s="817"/>
      <c r="E407" s="78"/>
      <c r="F407" s="271"/>
      <c r="G407" s="98"/>
      <c r="H407" s="94"/>
      <c r="I407" s="334"/>
      <c r="J407" s="278"/>
      <c r="K407" s="216"/>
      <c r="L407" s="216"/>
      <c r="M407" s="216"/>
      <c r="N407" s="216"/>
      <c r="O407" s="216"/>
      <c r="P407" s="30"/>
      <c r="Q407" s="78">
        <f>база!$L$6</f>
        <v>261.04640000000001</v>
      </c>
      <c r="R407" s="271">
        <v>1.2</v>
      </c>
      <c r="S407" s="98">
        <f>SUMIFS(Таблица1[сумма],Таблица1[коэф],"1,2",Таблица1[р/р],"5/16",Таблица1[Ф. И. О.],B407)</f>
        <v>0</v>
      </c>
      <c r="T407" s="94">
        <f>ROUND(Q407*R407*S407,2)</f>
        <v>0</v>
      </c>
      <c r="U407" s="314">
        <f>база!$M$6</f>
        <v>279.0496</v>
      </c>
      <c r="V407" s="271">
        <v>1.2</v>
      </c>
      <c r="W407" s="307">
        <f>SUMIFS(Таблица1[сумма],Таблица1[коэф],"1,2",Таблица1[р/р],"5/24",Таблица1[Ф. И. О.],B407)</f>
        <v>0</v>
      </c>
      <c r="X407" s="313">
        <f>ROUND(U407*V407*W407,2)</f>
        <v>0</v>
      </c>
      <c r="Y407" s="819"/>
      <c r="Z407" s="810"/>
      <c r="AA407" s="813"/>
      <c r="AC407" s="707" t="str">
        <f>IF(SUMIFS(Таблица1[сумма],Таблица1[Ф. И. О.],B407)=Y402,"",B402&amp;"  часы не верны")</f>
        <v/>
      </c>
    </row>
    <row r="408" spans="1:29" ht="24" thickBot="1">
      <c r="A408" s="756"/>
      <c r="B408" s="215"/>
      <c r="C408" s="815"/>
      <c r="D408" s="817"/>
      <c r="E408" s="78"/>
      <c r="F408" s="271"/>
      <c r="G408" s="98"/>
      <c r="H408" s="94"/>
      <c r="I408" s="334"/>
      <c r="J408" s="278"/>
      <c r="K408" s="216"/>
      <c r="L408" s="216"/>
      <c r="M408" s="216"/>
      <c r="N408" s="216"/>
      <c r="O408" s="216"/>
      <c r="P408" s="30"/>
      <c r="Q408" s="78">
        <f>IF($D$6&lt;=3,база!$L$4,
IF($D$6=4,база!$L$5,
IF($D$6=5,база!$L$6)))</f>
        <v>231.45480000000001</v>
      </c>
      <c r="R408" s="271">
        <v>1.3</v>
      </c>
      <c r="S408" s="98">
        <f>SUMIFS(Таблица1[сумма],Таблица1[коэф],"1,3",Таблица1[р/р],"3/16",Таблица1[Ф. И. О.],B407)</f>
        <v>0</v>
      </c>
      <c r="T408" s="94">
        <f t="shared" ref="T408:T417" si="252">ROUND(Q408*R408*S408,2)</f>
        <v>0</v>
      </c>
      <c r="U408" s="314">
        <f>IF(D402&lt;=3,база!$M$4,
IF(D402=4,база!$M$5,
IF(D402=5,база!$M$6)))</f>
        <v>225.09719999999999</v>
      </c>
      <c r="V408" s="271">
        <v>1.3</v>
      </c>
      <c r="W408" s="307">
        <f>SUMIFS(Таблица1[сумма],Таблица1[коэф],"1,3",Таблица1[р/р],"3/24",Таблица1[Ф. И. О.],B407)</f>
        <v>0</v>
      </c>
      <c r="X408" s="313">
        <f t="shared" ref="X408:X409" si="253">ROUND(U408*V408*W408,2)</f>
        <v>0</v>
      </c>
      <c r="Y408" s="819"/>
      <c r="Z408" s="810"/>
      <c r="AA408" s="813"/>
    </row>
    <row r="409" spans="1:29" ht="24" thickBot="1">
      <c r="A409" s="756"/>
      <c r="B409" s="215"/>
      <c r="C409" s="815"/>
      <c r="D409" s="817"/>
      <c r="E409" s="78"/>
      <c r="F409" s="271"/>
      <c r="G409" s="98"/>
      <c r="H409" s="94"/>
      <c r="I409" s="334"/>
      <c r="J409" s="278"/>
      <c r="K409" s="216"/>
      <c r="L409" s="216"/>
      <c r="M409" s="216"/>
      <c r="N409" s="216"/>
      <c r="O409" s="216"/>
      <c r="P409" s="30"/>
      <c r="Q409" s="78">
        <f>база!$L$5</f>
        <v>231.45480000000001</v>
      </c>
      <c r="R409" s="271">
        <v>1.3</v>
      </c>
      <c r="S409" s="98">
        <f>SUMIFS(Таблица1[сумма],Таблица1[коэф],"1,3",Таблица1[р/р],"4/16",Таблица1[Ф. И. О.],B407)</f>
        <v>0</v>
      </c>
      <c r="T409" s="94">
        <f t="shared" si="252"/>
        <v>0</v>
      </c>
      <c r="U409" s="314">
        <f>база!$M$5</f>
        <v>247.41720000000001</v>
      </c>
      <c r="V409" s="271">
        <v>1.3</v>
      </c>
      <c r="W409" s="307">
        <f>SUMIFS(Таблица1[сумма],Таблица1[коэф],"1,3",Таблица1[р/р],"4/24",Таблица1[Ф. И. О.],B407)</f>
        <v>0</v>
      </c>
      <c r="X409" s="313">
        <f t="shared" si="253"/>
        <v>0</v>
      </c>
      <c r="Y409" s="819"/>
      <c r="Z409" s="810"/>
      <c r="AA409" s="813"/>
    </row>
    <row r="410" spans="1:29" ht="24" thickBot="1">
      <c r="A410" s="756"/>
      <c r="B410" s="215"/>
      <c r="C410" s="815"/>
      <c r="D410" s="817"/>
      <c r="E410" s="78"/>
      <c r="F410" s="271"/>
      <c r="G410" s="98"/>
      <c r="H410" s="94"/>
      <c r="I410" s="334"/>
      <c r="J410" s="278"/>
      <c r="K410" s="216"/>
      <c r="L410" s="216"/>
      <c r="M410" s="216"/>
      <c r="N410" s="216"/>
      <c r="O410" s="216"/>
      <c r="P410" s="30"/>
      <c r="Q410" s="78">
        <f>IF(D402&lt;=3,база!$L$4,
IF(D402=4,база!$L$5,
IF(D402=5,база!$L$6)))</f>
        <v>210.57480000000001</v>
      </c>
      <c r="R410" s="271">
        <v>1.4</v>
      </c>
      <c r="S410" s="98">
        <f>SUMIFS(Таблица1[сумма],Таблица1[коэф],"1,4",Таблица1[р/р],"3/16",Таблица1[Ф. И. О.],B407)</f>
        <v>0</v>
      </c>
      <c r="T410" s="94">
        <f t="shared" si="252"/>
        <v>0</v>
      </c>
      <c r="U410" s="314">
        <f>IF(D402&lt;=3,база!$M$4,
IF(D402=4,база!$M$5,
IF(D402=5,база!$M$6)))</f>
        <v>225.09719999999999</v>
      </c>
      <c r="V410" s="271">
        <v>1.4</v>
      </c>
      <c r="W410" s="307">
        <f>SUMIFS(Таблица1[сумма],Таблица1[коэф],"1,4",Таблица1[р/р],"3/24",Таблица1[Ф. И. О.],B407)</f>
        <v>0</v>
      </c>
      <c r="X410" s="313">
        <f>ROUND(U410*V410*W410,2)</f>
        <v>0</v>
      </c>
      <c r="Y410" s="819"/>
      <c r="Z410" s="810"/>
      <c r="AA410" s="813"/>
    </row>
    <row r="411" spans="1:29" ht="24" thickBot="1">
      <c r="A411" s="756"/>
      <c r="B411" s="215"/>
      <c r="C411" s="815"/>
      <c r="D411" s="817"/>
      <c r="E411" s="78"/>
      <c r="F411" s="271"/>
      <c r="G411" s="98"/>
      <c r="H411" s="94"/>
      <c r="I411" s="334"/>
      <c r="J411" s="278"/>
      <c r="K411" s="216"/>
      <c r="L411" s="216"/>
      <c r="M411" s="216"/>
      <c r="N411" s="216"/>
      <c r="O411" s="216"/>
      <c r="P411" s="30"/>
      <c r="Q411" s="78">
        <f>база!$L$5</f>
        <v>231.45480000000001</v>
      </c>
      <c r="R411" s="271">
        <v>1.4</v>
      </c>
      <c r="S411" s="98">
        <f>SUMIFS(Таблица1[сумма],Таблица1[коэф],"1,4",Таблица1[р/р],"4/16",Таблица1[Ф. И. О.],B407)</f>
        <v>0</v>
      </c>
      <c r="T411" s="94">
        <f t="shared" si="252"/>
        <v>0</v>
      </c>
      <c r="U411" s="314">
        <f>база!$M$5</f>
        <v>247.41720000000001</v>
      </c>
      <c r="V411" s="271">
        <v>1.4</v>
      </c>
      <c r="W411" s="307">
        <f>SUMIFS(Таблица1[сумма],Таблица1[коэф],"1,4",Таблица1[р/р],"4/24",Таблица1[Ф. И. О.],B407)</f>
        <v>0</v>
      </c>
      <c r="X411" s="313">
        <f>ROUND(U411*V411*W411,2)</f>
        <v>0</v>
      </c>
      <c r="Y411" s="819"/>
      <c r="Z411" s="810"/>
      <c r="AA411" s="813"/>
    </row>
    <row r="412" spans="1:29" ht="24" thickBot="1">
      <c r="A412" s="757"/>
      <c r="B412" s="202"/>
      <c r="C412" s="816"/>
      <c r="D412" s="818"/>
      <c r="E412" s="101"/>
      <c r="F412" s="273"/>
      <c r="G412" s="97"/>
      <c r="H412" s="90"/>
      <c r="I412" s="348"/>
      <c r="J412" s="279"/>
      <c r="K412" s="288"/>
      <c r="L412" s="288"/>
      <c r="M412" s="288"/>
      <c r="N412" s="288"/>
      <c r="O412" s="288"/>
      <c r="P412" s="315"/>
      <c r="Q412" s="101">
        <f>база!$L$6</f>
        <v>261.04640000000001</v>
      </c>
      <c r="R412" s="273">
        <v>1.4</v>
      </c>
      <c r="S412" s="97">
        <f>SUMIFS(Таблица1[сумма],Таблица1[коэф],"1,4",Таблица1[р/р],"5/16",Таблица1[Ф. И. О.],B407)</f>
        <v>0</v>
      </c>
      <c r="T412" s="90">
        <f t="shared" si="252"/>
        <v>0</v>
      </c>
      <c r="U412" s="347">
        <f>база!$M$6</f>
        <v>279.0496</v>
      </c>
      <c r="V412" s="273">
        <v>1.4</v>
      </c>
      <c r="W412" s="312">
        <f>SUMIFS(Таблица1[сумма],Таблица1[коэф],"1,4",Таблица1[р/р],"5/24",Таблица1[Ф. И. О.],B407)</f>
        <v>0</v>
      </c>
      <c r="X412" s="343">
        <f>ROUND(U412*V412*W412,2)</f>
        <v>0</v>
      </c>
      <c r="Y412" s="820"/>
      <c r="Z412" s="811"/>
      <c r="AA412" s="814"/>
    </row>
    <row r="413" spans="1:29">
      <c r="A413" s="755">
        <v>38</v>
      </c>
      <c r="B413" s="235"/>
      <c r="C413" s="821">
        <f>INDEX(база!$E$2:$E$81, MATCH(B418,база!$B$2:$B$50,0))</f>
        <v>17271</v>
      </c>
      <c r="D413" s="822">
        <f>INDEX(база!$D$2:$D$89, MATCH(B418,база!$B$2:$B$50,0))</f>
        <v>3</v>
      </c>
      <c r="E413" s="72">
        <f>IF(D413&lt;=3,база!$I$4,
IF(D413=4,база!$I$5,
IF(D413=5,база!$I$6)))</f>
        <v>188.7912</v>
      </c>
      <c r="F413" s="269">
        <v>1</v>
      </c>
      <c r="G413" s="95">
        <f>SUMIFS(Таблица1[сумма],Таблица1[коэф],"1",Таблица1[р/р],"2/4",Таблица1[Ф. И. О.],B418)</f>
        <v>0</v>
      </c>
      <c r="H413" s="87">
        <f>ROUND(E413*F413*G413,2)</f>
        <v>0</v>
      </c>
      <c r="I413" s="338">
        <f>IF(D413&lt;=3,база!$J$4,
IF(D413=4,база!$J$5,
IF(D413=5,база!$J$6)))</f>
        <v>196.05240000000001</v>
      </c>
      <c r="J413" s="276">
        <v>1</v>
      </c>
      <c r="K413" s="287">
        <f>SUMIFS(Таблица1[сумма],Таблица1[коэф],"1",Таблица1[р/р],"2/8",Таблица1[Ф. И. О.],B418)</f>
        <v>0</v>
      </c>
      <c r="L413" s="287">
        <f>ROUND(I413*J413*K413,2)</f>
        <v>0</v>
      </c>
      <c r="M413" s="287"/>
      <c r="N413" s="287">
        <v>1</v>
      </c>
      <c r="O413" s="287">
        <f>SUMIFS(Data_Tech!$AM$3:$AM$67,Data_Tech!$E$3:$E$67,"1",Data_Tech!$G$3:$G$67,"3/12",Data_Tech!$F$3:$F$67,B418)</f>
        <v>0</v>
      </c>
      <c r="P413" s="280">
        <f>ROUND(M413*N413*O413,2)</f>
        <v>0</v>
      </c>
      <c r="Q413" s="72">
        <f>IF(D413&lt;=3,база!$L$4,
IF(D413=4,база!$L$5,
IF(D413=5,база!$L$6)))</f>
        <v>210.57480000000001</v>
      </c>
      <c r="R413" s="269">
        <v>1</v>
      </c>
      <c r="S413" s="95">
        <f>SUMIFS(Таблица1[сумма],Таблица1[коэф],"1",Таблица1[р/р],"3/16",Таблица1[Ф. И. О.],B418)</f>
        <v>0</v>
      </c>
      <c r="T413" s="87">
        <f t="shared" si="252"/>
        <v>0</v>
      </c>
      <c r="U413" s="339">
        <f>IF(D413&lt;=3,база!$M$4,
IF(D413=4,база!$M$5,
IF(D413=5,база!$M$6)))</f>
        <v>225.09719999999999</v>
      </c>
      <c r="V413" s="269">
        <v>1</v>
      </c>
      <c r="W413" s="340">
        <f>SUMIFS(Таблица1[сумма],Таблица1[коэф],"1",Таблица1[р/р],"3/24",Таблица1[Ф. И. О.],B418)</f>
        <v>0</v>
      </c>
      <c r="X413" s="342">
        <f>ROUND(U413*V413*W413,2)</f>
        <v>0</v>
      </c>
      <c r="Y413" s="819">
        <f t="shared" ref="Y413" si="254">SUM(G413:G423,K413:K423,O413:O423,S413:S423,W413:W423)</f>
        <v>0</v>
      </c>
      <c r="Z413" s="810">
        <f t="shared" ref="Z413" si="255">IFERROR(SUM(H413:H423,L413:L423,T413:T423,X413:X423),"")</f>
        <v>0</v>
      </c>
      <c r="AA413" s="813"/>
    </row>
    <row r="414" spans="1:29">
      <c r="A414" s="756"/>
      <c r="B414" s="215"/>
      <c r="C414" s="815"/>
      <c r="D414" s="817"/>
      <c r="E414" s="78">
        <f>IF(D413&lt;=3,база!$I$4,
IF(D413=4,база!$I$5,
IF(D413=5,база!$I$6)))</f>
        <v>188.7912</v>
      </c>
      <c r="F414" s="271">
        <v>1</v>
      </c>
      <c r="G414" s="98">
        <f>SUMIFS(Таблица1[сумма],Таблица1[коэф],"1",Таблица1[р/р],"3/4",Таблица1[Ф. И. О.],B418)</f>
        <v>0</v>
      </c>
      <c r="H414" s="94">
        <f>ROUND(E414*F414*G414,2)</f>
        <v>0</v>
      </c>
      <c r="I414" s="334">
        <f>IF(D413&lt;=3,база!$J$4,
IF(D413=4,база!$J$5,
IF(D413=5,база!$J$6)))</f>
        <v>196.05240000000001</v>
      </c>
      <c r="J414" s="278">
        <v>1</v>
      </c>
      <c r="K414" s="216">
        <f>SUMIFS(Таблица1[сумма],Таблица1[коэф],"1",Таблица1[р/р],"3/8",Таблица1[Ф. И. О.],B418)</f>
        <v>0</v>
      </c>
      <c r="L414" s="216">
        <f>ROUND(I414*J414*K414,2)</f>
        <v>0</v>
      </c>
      <c r="M414" s="216"/>
      <c r="N414" s="216">
        <v>1</v>
      </c>
      <c r="O414" s="216">
        <f>SUMIFS(Data_Tech!$AM$3:$AM$67,Data_Tech!$E$3:$E$67,"1",Data_Tech!$G$3:$G$67,"4/12",Data_Tech!$F$3:$F$67,B418)</f>
        <v>0</v>
      </c>
      <c r="P414" s="30">
        <f>ROUND(M414*O414,2)</f>
        <v>0</v>
      </c>
      <c r="Q414" s="78">
        <f>база!$L$5</f>
        <v>231.45480000000001</v>
      </c>
      <c r="R414" s="271">
        <v>1</v>
      </c>
      <c r="S414" s="98">
        <f>SUMIFS(Таблица1[сумма],Таблица1[коэф],"1",Таблица1[р/р],"4/16",Таблица1[Ф. И. О.],B418)</f>
        <v>0</v>
      </c>
      <c r="T414" s="94">
        <f t="shared" si="252"/>
        <v>0</v>
      </c>
      <c r="U414" s="314">
        <f>база!$M$5</f>
        <v>247.41720000000001</v>
      </c>
      <c r="V414" s="271">
        <v>1</v>
      </c>
      <c r="W414" s="307">
        <f>SUMIFS(Таблица1[сумма],Таблица1[коэф],"1",Таблица1[р/р],"4/24",Таблица1[Ф. И. О.],B418)</f>
        <v>0</v>
      </c>
      <c r="X414" s="313">
        <f t="shared" ref="X414" si="256">ROUND(U414*V414*W414,2)</f>
        <v>0</v>
      </c>
      <c r="Y414" s="819"/>
      <c r="Z414" s="810"/>
      <c r="AA414" s="813"/>
    </row>
    <row r="415" spans="1:29">
      <c r="A415" s="756"/>
      <c r="B415" s="215"/>
      <c r="C415" s="815"/>
      <c r="D415" s="817"/>
      <c r="E415" s="78"/>
      <c r="F415" s="271"/>
      <c r="G415" s="98"/>
      <c r="H415" s="94"/>
      <c r="I415" s="334"/>
      <c r="J415" s="278"/>
      <c r="K415" s="216"/>
      <c r="L415" s="216"/>
      <c r="M415" s="216"/>
      <c r="N415" s="216"/>
      <c r="O415" s="216"/>
      <c r="P415" s="30"/>
      <c r="Q415" s="78">
        <f>база!$L$6</f>
        <v>261.04640000000001</v>
      </c>
      <c r="R415" s="271">
        <v>1</v>
      </c>
      <c r="S415" s="98">
        <f>SUMIFS(Таблица1[сумма],Таблица1[коэф],"1",Таблица1[р/р],"5/16",Таблица1[Ф. И. О.],B418)</f>
        <v>0</v>
      </c>
      <c r="T415" s="94">
        <f t="shared" si="252"/>
        <v>0</v>
      </c>
      <c r="U415" s="314">
        <f>база!$M$6</f>
        <v>279.0496</v>
      </c>
      <c r="V415" s="271">
        <v>1</v>
      </c>
      <c r="W415" s="307">
        <f>SUMIFS(Таблица1[сумма],Таблица1[коэф],"1",Таблица1[р/р],"5/24",Таблица1[Ф. И. О.],B418)</f>
        <v>0</v>
      </c>
      <c r="X415" s="313">
        <f>ROUND(U415*V415*W415,2)</f>
        <v>0</v>
      </c>
      <c r="Y415" s="819"/>
      <c r="Z415" s="810"/>
      <c r="AA415" s="813"/>
    </row>
    <row r="416" spans="1:29">
      <c r="A416" s="756"/>
      <c r="B416" s="215"/>
      <c r="C416" s="815"/>
      <c r="D416" s="817"/>
      <c r="E416" s="78"/>
      <c r="F416" s="271"/>
      <c r="G416" s="98"/>
      <c r="H416" s="94"/>
      <c r="I416" s="334">
        <f>база!$J$5</f>
        <v>215.4924</v>
      </c>
      <c r="J416" s="278">
        <v>1.5</v>
      </c>
      <c r="K416" s="216">
        <f>SUMIFS(Таблица1[сумма],Таблица1[коэф],"1,5",Таблица1[р/р],"4/8",Таблица1[Ф. И. О.],B418)</f>
        <v>0</v>
      </c>
      <c r="L416" s="216">
        <f>ROUND(I416*J416*K416,2)</f>
        <v>0</v>
      </c>
      <c r="M416" s="216"/>
      <c r="N416" s="216"/>
      <c r="O416" s="216"/>
      <c r="P416" s="30"/>
      <c r="Q416" s="78">
        <f>IF(D413&lt;=3,база!$L$4,
IF(D413=4,база!$L$5,
IF(D413=5,база!$L$6)))</f>
        <v>210.57480000000001</v>
      </c>
      <c r="R416" s="271">
        <v>1.2</v>
      </c>
      <c r="S416" s="98">
        <f>SUMIFS(Таблица1[сумма],Таблица1[коэф],"1,2",Таблица1[р/р],"3/16",Таблица1[Ф. И. О.],B418)</f>
        <v>0</v>
      </c>
      <c r="T416" s="94">
        <f t="shared" si="252"/>
        <v>0</v>
      </c>
      <c r="U416" s="314">
        <f>IF(D413&lt;=3,база!$M$4,
IF(D413=4,база!$M$5,
IF(D413=5,база!$M$6)))</f>
        <v>225.09719999999999</v>
      </c>
      <c r="V416" s="271">
        <v>1.2</v>
      </c>
      <c r="W416" s="307">
        <f>SUMIFS(Таблица1[сумма],Таблица1[коэф],"1,2",Таблица1[р/р],"3/24",Таблица1[Ф. И. О.],B418)</f>
        <v>0</v>
      </c>
      <c r="X416" s="313">
        <f t="shared" ref="X416:X417" si="257">ROUND(U416*V416*W416,2)</f>
        <v>0</v>
      </c>
      <c r="Y416" s="819"/>
      <c r="Z416" s="810"/>
      <c r="AA416" s="813"/>
    </row>
    <row r="417" spans="1:29">
      <c r="A417" s="756"/>
      <c r="B417" s="215"/>
      <c r="C417" s="815"/>
      <c r="D417" s="817"/>
      <c r="E417" s="78"/>
      <c r="F417" s="271"/>
      <c r="G417" s="98"/>
      <c r="H417" s="94"/>
      <c r="I417" s="334">
        <f>база!$J$6</f>
        <v>243.04319999999998</v>
      </c>
      <c r="J417" s="278">
        <v>1.5</v>
      </c>
      <c r="K417" s="216">
        <f>SUMIFS(Таблица1[сумма],Таблица1[коэф],"1,5",Таблица1[р/р],"5/8",Таблица1[Ф. И. О.],B418)</f>
        <v>0</v>
      </c>
      <c r="L417" s="216">
        <f>ROUND(I417*J417*K417,2)</f>
        <v>0</v>
      </c>
      <c r="M417" s="216"/>
      <c r="N417" s="216"/>
      <c r="O417" s="216"/>
      <c r="P417" s="30"/>
      <c r="Q417" s="78">
        <f>база!$L$5</f>
        <v>231.45480000000001</v>
      </c>
      <c r="R417" s="271">
        <v>1.2</v>
      </c>
      <c r="S417" s="98">
        <f>SUMIFS(Таблица1[сумма],Таблица1[коэф],"1,2",Таблица1[р/р],"4/16",Таблица1[Ф. И. О.],B418)</f>
        <v>0</v>
      </c>
      <c r="T417" s="94">
        <f t="shared" si="252"/>
        <v>0</v>
      </c>
      <c r="U417" s="314">
        <f>база!$M$5</f>
        <v>247.41720000000001</v>
      </c>
      <c r="V417" s="271">
        <v>1.2</v>
      </c>
      <c r="W417" s="307">
        <f>SUMIFS(Таблица1[сумма],Таблица1[коэф],"1,2",Таблица1[р/р],"4/24",Таблица1[Ф. И. О.],B418)</f>
        <v>0</v>
      </c>
      <c r="X417" s="313">
        <f t="shared" si="257"/>
        <v>0</v>
      </c>
      <c r="Y417" s="819"/>
      <c r="Z417" s="810"/>
      <c r="AA417" s="813"/>
      <c r="AC417" s="707" t="str">
        <f>IF(SUMIFS(Таблица1[Столбец2],Таблица1[Ф. И. О.],B418)-Z413=0,"",SUMIFS(Таблица1[Столбец2],Таблица1[Ф. И. О.],B418)-Z413)</f>
        <v/>
      </c>
    </row>
    <row r="418" spans="1:29">
      <c r="A418" s="756"/>
      <c r="B418" s="215" t="str">
        <f>база!B39</f>
        <v>Кочеткова Мария Андреевна</v>
      </c>
      <c r="C418" s="815"/>
      <c r="D418" s="817"/>
      <c r="E418" s="78"/>
      <c r="F418" s="271"/>
      <c r="G418" s="98"/>
      <c r="H418" s="94"/>
      <c r="I418" s="334"/>
      <c r="J418" s="278"/>
      <c r="K418" s="216"/>
      <c r="L418" s="216"/>
      <c r="M418" s="216"/>
      <c r="N418" s="216"/>
      <c r="O418" s="216"/>
      <c r="P418" s="30"/>
      <c r="Q418" s="78">
        <f>база!$L$6</f>
        <v>261.04640000000001</v>
      </c>
      <c r="R418" s="271">
        <v>1.2</v>
      </c>
      <c r="S418" s="98">
        <f>SUMIFS(Таблица1[сумма],Таблица1[коэф],"1,2",Таблица1[р/р],"5/16",Таблица1[Ф. И. О.],B418)</f>
        <v>0</v>
      </c>
      <c r="T418" s="94">
        <f>ROUND(Q418*R418*S418,2)</f>
        <v>0</v>
      </c>
      <c r="U418" s="314">
        <f>база!$M$6</f>
        <v>279.0496</v>
      </c>
      <c r="V418" s="271">
        <v>1.2</v>
      </c>
      <c r="W418" s="307">
        <f>SUMIFS(Таблица1[сумма],Таблица1[коэф],"1,2",Таблица1[р/р],"5/24",Таблица1[Ф. И. О.],B418)</f>
        <v>0</v>
      </c>
      <c r="X418" s="313">
        <f>ROUND(U418*V418*W418,2)</f>
        <v>0</v>
      </c>
      <c r="Y418" s="819"/>
      <c r="Z418" s="810"/>
      <c r="AA418" s="813"/>
      <c r="AC418" s="707" t="str">
        <f>IF(SUMIFS(Таблица1[сумма],Таблица1[Ф. И. О.],B418)=Y413,"",B413&amp;"  часы не верны")</f>
        <v/>
      </c>
    </row>
    <row r="419" spans="1:29">
      <c r="A419" s="756"/>
      <c r="B419" s="215"/>
      <c r="C419" s="815"/>
      <c r="D419" s="817"/>
      <c r="E419" s="78"/>
      <c r="F419" s="271"/>
      <c r="G419" s="98"/>
      <c r="H419" s="94"/>
      <c r="I419" s="334"/>
      <c r="J419" s="278"/>
      <c r="K419" s="216"/>
      <c r="L419" s="216"/>
      <c r="M419" s="216"/>
      <c r="N419" s="216"/>
      <c r="O419" s="216"/>
      <c r="P419" s="30"/>
      <c r="Q419" s="78">
        <f>IF($D$6&lt;=3,база!$L$4,
IF($D$6=4,база!$L$5,
IF($D$6=5,база!$L$6)))</f>
        <v>231.45480000000001</v>
      </c>
      <c r="R419" s="271">
        <v>1.3</v>
      </c>
      <c r="S419" s="98">
        <f>SUMIFS(Таблица1[сумма],Таблица1[коэф],"1,3",Таблица1[р/р],"3/16",Таблица1[Ф. И. О.],B418)</f>
        <v>0</v>
      </c>
      <c r="T419" s="94">
        <f t="shared" ref="T419:T428" si="258">ROUND(Q419*R419*S419,2)</f>
        <v>0</v>
      </c>
      <c r="U419" s="314">
        <f>IF(D413&lt;=3,база!$M$4,
IF(D413=4,база!$M$5,
IF(D413=5,база!$M$6)))</f>
        <v>225.09719999999999</v>
      </c>
      <c r="V419" s="271">
        <v>1.3</v>
      </c>
      <c r="W419" s="307">
        <f>SUMIFS(Таблица1[сумма],Таблица1[коэф],"1,3",Таблица1[р/р],"3/24",Таблица1[Ф. И. О.],B418)</f>
        <v>0</v>
      </c>
      <c r="X419" s="313">
        <f t="shared" ref="X419:X420" si="259">ROUND(U419*V419*W419,2)</f>
        <v>0</v>
      </c>
      <c r="Y419" s="819"/>
      <c r="Z419" s="810"/>
      <c r="AA419" s="813"/>
    </row>
    <row r="420" spans="1:29">
      <c r="A420" s="756"/>
      <c r="B420" s="215"/>
      <c r="C420" s="815"/>
      <c r="D420" s="817"/>
      <c r="E420" s="78"/>
      <c r="F420" s="271"/>
      <c r="G420" s="98"/>
      <c r="H420" s="94"/>
      <c r="I420" s="334"/>
      <c r="J420" s="278"/>
      <c r="K420" s="216"/>
      <c r="L420" s="216"/>
      <c r="M420" s="216"/>
      <c r="N420" s="216"/>
      <c r="O420" s="216"/>
      <c r="P420" s="30"/>
      <c r="Q420" s="78">
        <f>база!$L$5</f>
        <v>231.45480000000001</v>
      </c>
      <c r="R420" s="271">
        <v>1.3</v>
      </c>
      <c r="S420" s="98">
        <f>SUMIFS(Таблица1[сумма],Таблица1[коэф],"1,3",Таблица1[р/р],"4/16",Таблица1[Ф. И. О.],B418)</f>
        <v>0</v>
      </c>
      <c r="T420" s="94">
        <f t="shared" si="258"/>
        <v>0</v>
      </c>
      <c r="U420" s="314">
        <f>база!$M$5</f>
        <v>247.41720000000001</v>
      </c>
      <c r="V420" s="271">
        <v>1.3</v>
      </c>
      <c r="W420" s="307">
        <f>SUMIFS(Таблица1[сумма],Таблица1[коэф],"1,3",Таблица1[р/р],"4/24",Таблица1[Ф. И. О.],B418)</f>
        <v>0</v>
      </c>
      <c r="X420" s="313">
        <f t="shared" si="259"/>
        <v>0</v>
      </c>
      <c r="Y420" s="819"/>
      <c r="Z420" s="810"/>
      <c r="AA420" s="813"/>
    </row>
    <row r="421" spans="1:29">
      <c r="A421" s="756"/>
      <c r="B421" s="215"/>
      <c r="C421" s="815"/>
      <c r="D421" s="817"/>
      <c r="E421" s="78"/>
      <c r="F421" s="271"/>
      <c r="G421" s="98"/>
      <c r="H421" s="94"/>
      <c r="I421" s="334"/>
      <c r="J421" s="278"/>
      <c r="K421" s="216"/>
      <c r="L421" s="216"/>
      <c r="M421" s="216"/>
      <c r="N421" s="216"/>
      <c r="O421" s="216"/>
      <c r="P421" s="30"/>
      <c r="Q421" s="78">
        <f>IF(D413&lt;=3,база!$L$4,
IF(D413=4,база!$L$5,
IF(D413=5,база!$L$6)))</f>
        <v>210.57480000000001</v>
      </c>
      <c r="R421" s="271">
        <v>1.4</v>
      </c>
      <c r="S421" s="98">
        <f>SUMIFS(Таблица1[сумма],Таблица1[коэф],"1,4",Таблица1[р/р],"3/16",Таблица1[Ф. И. О.],B418)</f>
        <v>0</v>
      </c>
      <c r="T421" s="94">
        <f t="shared" si="258"/>
        <v>0</v>
      </c>
      <c r="U421" s="314">
        <f>IF(D413&lt;=3,база!$M$4,
IF(D413=4,база!$M$5,
IF(D413=5,база!$M$6)))</f>
        <v>225.09719999999999</v>
      </c>
      <c r="V421" s="271">
        <v>1.4</v>
      </c>
      <c r="W421" s="307">
        <f>SUMIFS(Таблица1[сумма],Таблица1[коэф],"1,4",Таблица1[р/р],"3/24",Таблица1[Ф. И. О.],B418)</f>
        <v>0</v>
      </c>
      <c r="X421" s="313">
        <f>ROUND(U421*V421*W421,2)</f>
        <v>0</v>
      </c>
      <c r="Y421" s="819"/>
      <c r="Z421" s="810"/>
      <c r="AA421" s="813"/>
    </row>
    <row r="422" spans="1:29">
      <c r="A422" s="756"/>
      <c r="B422" s="215"/>
      <c r="C422" s="815"/>
      <c r="D422" s="817"/>
      <c r="E422" s="78"/>
      <c r="F422" s="271"/>
      <c r="G422" s="98"/>
      <c r="H422" s="94"/>
      <c r="I422" s="334"/>
      <c r="J422" s="278"/>
      <c r="K422" s="216"/>
      <c r="L422" s="216"/>
      <c r="M422" s="216"/>
      <c r="N422" s="216"/>
      <c r="O422" s="216"/>
      <c r="P422" s="30"/>
      <c r="Q422" s="78">
        <f>база!$L$5</f>
        <v>231.45480000000001</v>
      </c>
      <c r="R422" s="271">
        <v>1.4</v>
      </c>
      <c r="S422" s="98">
        <f>SUMIFS(Таблица1[сумма],Таблица1[коэф],"1,4",Таблица1[р/р],"4/16",Таблица1[Ф. И. О.],B418)</f>
        <v>0</v>
      </c>
      <c r="T422" s="94">
        <f t="shared" si="258"/>
        <v>0</v>
      </c>
      <c r="U422" s="314">
        <f>база!$M$5</f>
        <v>247.41720000000001</v>
      </c>
      <c r="V422" s="271">
        <v>1.4</v>
      </c>
      <c r="W422" s="307">
        <f>SUMIFS(Таблица1[сумма],Таблица1[коэф],"1,4",Таблица1[р/р],"4/24",Таблица1[Ф. И. О.],B418)</f>
        <v>0</v>
      </c>
      <c r="X422" s="313">
        <f>ROUND(U422*V422*W422,2)</f>
        <v>0</v>
      </c>
      <c r="Y422" s="819"/>
      <c r="Z422" s="810"/>
      <c r="AA422" s="813"/>
    </row>
    <row r="423" spans="1:29" ht="24" thickBot="1">
      <c r="A423" s="757"/>
      <c r="B423" s="202"/>
      <c r="C423" s="816"/>
      <c r="D423" s="818"/>
      <c r="E423" s="101"/>
      <c r="F423" s="273"/>
      <c r="G423" s="97"/>
      <c r="H423" s="90"/>
      <c r="I423" s="348"/>
      <c r="J423" s="279"/>
      <c r="K423" s="288"/>
      <c r="L423" s="288"/>
      <c r="M423" s="288"/>
      <c r="N423" s="288"/>
      <c r="O423" s="288"/>
      <c r="P423" s="315"/>
      <c r="Q423" s="101">
        <f>база!$L$6</f>
        <v>261.04640000000001</v>
      </c>
      <c r="R423" s="273">
        <v>1.4</v>
      </c>
      <c r="S423" s="97">
        <f>SUMIFS(Таблица1[сумма],Таблица1[коэф],"1,4",Таблица1[р/р],"5/16",Таблица1[Ф. И. О.],B418)</f>
        <v>0</v>
      </c>
      <c r="T423" s="90">
        <f t="shared" si="258"/>
        <v>0</v>
      </c>
      <c r="U423" s="347">
        <f>база!$M$6</f>
        <v>279.0496</v>
      </c>
      <c r="V423" s="273">
        <v>1.4</v>
      </c>
      <c r="W423" s="312">
        <f>SUMIFS(Таблица1[сумма],Таблица1[коэф],"1,4",Таблица1[р/р],"5/24",Таблица1[Ф. И. О.],B418)</f>
        <v>0</v>
      </c>
      <c r="X423" s="343">
        <f>ROUND(U423*V423*W423,2)</f>
        <v>0</v>
      </c>
      <c r="Y423" s="820"/>
      <c r="Z423" s="811"/>
      <c r="AA423" s="814"/>
    </row>
    <row r="424" spans="1:29" ht="20.25" customHeight="1">
      <c r="A424" s="755">
        <v>39</v>
      </c>
      <c r="B424" s="215"/>
      <c r="C424" s="821">
        <f>INDEX(база!$E$2:$E$81, MATCH(B429,база!$B$2:$B$50,0))</f>
        <v>16944</v>
      </c>
      <c r="D424" s="822">
        <f>INDEX(база!$D$2:$D$89, MATCH(B429,база!$B$2:$B$50,0))</f>
        <v>3</v>
      </c>
      <c r="E424" s="72">
        <f>IF(D424&lt;=3,база!$I$4,
IF(D424=4,база!$I$5,
IF(D424=5,база!$I$6)))</f>
        <v>188.7912</v>
      </c>
      <c r="F424" s="269">
        <v>1</v>
      </c>
      <c r="G424" s="95">
        <f>SUMIFS(Таблица1[сумма],Таблица1[коэф],"1",Таблица1[р/р],"2/4",Таблица1[Ф. И. О.],B429)</f>
        <v>0</v>
      </c>
      <c r="H424" s="87">
        <f>ROUND(E424*F424*G424,2)</f>
        <v>0</v>
      </c>
      <c r="I424" s="338">
        <f>IF(D424&lt;=3,база!$J$4,
IF(D424=4,база!$J$5,
IF(D424=5,база!$J$6)))</f>
        <v>196.05240000000001</v>
      </c>
      <c r="J424" s="276">
        <v>1</v>
      </c>
      <c r="K424" s="287">
        <f>SUMIFS(Таблица1[сумма],Таблица1[коэф],"1",Таблица1[р/р],"2/8",Таблица1[Ф. И. О.],B429)</f>
        <v>0</v>
      </c>
      <c r="L424" s="287">
        <f>ROUND(I424*J424*K424,2)</f>
        <v>0</v>
      </c>
      <c r="M424" s="287"/>
      <c r="N424" s="287">
        <v>1</v>
      </c>
      <c r="O424" s="287">
        <f>SUMIFS(Data_Tech!$AM$3:$AM$67,Data_Tech!$E$3:$E$67,"1",Data_Tech!$G$3:$G$67,"3/12",Data_Tech!$F$3:$F$67,B429)</f>
        <v>0</v>
      </c>
      <c r="P424" s="280">
        <f>ROUND(M424*N424*O424,2)</f>
        <v>0</v>
      </c>
      <c r="Q424" s="72">
        <f>IF(D424&lt;=3,база!$L$4,
IF(D424=4,база!$L$5,
IF(D424=5,база!$L$6)))</f>
        <v>210.57480000000001</v>
      </c>
      <c r="R424" s="269">
        <v>1</v>
      </c>
      <c r="S424" s="95">
        <f>SUMIFS(Таблица1[сумма],Таблица1[коэф],"1",Таблица1[р/р],"3/16",Таблица1[Ф. И. О.],B429)</f>
        <v>0</v>
      </c>
      <c r="T424" s="87">
        <f t="shared" si="258"/>
        <v>0</v>
      </c>
      <c r="U424" s="339">
        <f>IF(D424&lt;=3,база!$M$4,
IF(D424=4,база!$M$5,
IF(D424=5,база!$M$6)))</f>
        <v>225.09719999999999</v>
      </c>
      <c r="V424" s="269">
        <v>1</v>
      </c>
      <c r="W424" s="340">
        <f>SUMIFS(Таблица1[сумма],Таблица1[коэф],"1",Таблица1[р/р],"3/24",Таблица1[Ф. И. О.],B429)</f>
        <v>0</v>
      </c>
      <c r="X424" s="342">
        <f>ROUND(U424*V424*W424,2)</f>
        <v>0</v>
      </c>
      <c r="Y424" s="807">
        <f t="shared" ref="Y424" si="260">SUM(G424:G434,K424:K434,O424:O434,S424:S434,W424:W434)</f>
        <v>0</v>
      </c>
      <c r="Z424" s="823">
        <f t="shared" ref="Z424" si="261">IFERROR(SUM(H424:H434,L424:L434,T424:T434,X424:X434),"")</f>
        <v>0</v>
      </c>
      <c r="AA424" s="812"/>
    </row>
    <row r="425" spans="1:29">
      <c r="A425" s="756"/>
      <c r="B425" s="215"/>
      <c r="C425" s="815"/>
      <c r="D425" s="817"/>
      <c r="E425" s="78">
        <f>IF(D424&lt;=3,база!$I$4,
IF(D424=4,база!$I$5,
IF(D424=5,база!$I$6)))</f>
        <v>188.7912</v>
      </c>
      <c r="F425" s="271">
        <v>1</v>
      </c>
      <c r="G425" s="98">
        <f>SUMIFS(Таблица1[сумма],Таблица1[коэф],"1",Таблица1[р/р],"3/4",Таблица1[Ф. И. О.],B429)</f>
        <v>0</v>
      </c>
      <c r="H425" s="94">
        <f>ROUND(E425*F425*G425,2)</f>
        <v>0</v>
      </c>
      <c r="I425" s="334">
        <f>IF(D424&lt;=3,база!$J$4,
IF(D424=4,база!$J$5,
IF(D424=5,база!$J$6)))</f>
        <v>196.05240000000001</v>
      </c>
      <c r="J425" s="278">
        <v>1</v>
      </c>
      <c r="K425" s="216">
        <f>SUMIFS(Таблица1[сумма],Таблица1[коэф],"1",Таблица1[р/р],"3/8",Таблица1[Ф. И. О.],B429)</f>
        <v>0</v>
      </c>
      <c r="L425" s="216">
        <f>ROUND(I425*J425*K425,2)</f>
        <v>0</v>
      </c>
      <c r="M425" s="216"/>
      <c r="N425" s="216">
        <v>1</v>
      </c>
      <c r="O425" s="216">
        <f>SUMIFS(Data_Tech!$AM$3:$AM$67,Data_Tech!$E$3:$E$67,"1",Data_Tech!$G$3:$G$67,"4/12",Data_Tech!$F$3:$F$67,B429)</f>
        <v>0</v>
      </c>
      <c r="P425" s="30">
        <f>ROUND(M425*O425,2)</f>
        <v>0</v>
      </c>
      <c r="Q425" s="78">
        <f>база!$L$5</f>
        <v>231.45480000000001</v>
      </c>
      <c r="R425" s="271">
        <v>1</v>
      </c>
      <c r="S425" s="98">
        <f>SUMIFS(Таблица1[сумма],Таблица1[коэф],"1",Таблица1[р/р],"4/16",Таблица1[Ф. И. О.],B429)</f>
        <v>0</v>
      </c>
      <c r="T425" s="94">
        <f t="shared" si="258"/>
        <v>0</v>
      </c>
      <c r="U425" s="314">
        <f>база!$M$5</f>
        <v>247.41720000000001</v>
      </c>
      <c r="V425" s="271">
        <v>1</v>
      </c>
      <c r="W425" s="307">
        <f>SUMIFS(Таблица1[сумма],Таблица1[коэф],"1",Таблица1[р/р],"4/24",Таблица1[Ф. И. О.],B429)</f>
        <v>0</v>
      </c>
      <c r="X425" s="313">
        <f t="shared" ref="X425" si="262">ROUND(U425*V425*W425,2)</f>
        <v>0</v>
      </c>
      <c r="Y425" s="808"/>
      <c r="Z425" s="810"/>
      <c r="AA425" s="813"/>
    </row>
    <row r="426" spans="1:29">
      <c r="A426" s="756"/>
      <c r="B426" s="215"/>
      <c r="C426" s="815"/>
      <c r="D426" s="817"/>
      <c r="E426" s="78"/>
      <c r="F426" s="271"/>
      <c r="G426" s="98"/>
      <c r="H426" s="94"/>
      <c r="I426" s="334"/>
      <c r="J426" s="278"/>
      <c r="K426" s="216"/>
      <c r="L426" s="216"/>
      <c r="M426" s="216"/>
      <c r="N426" s="216"/>
      <c r="O426" s="216"/>
      <c r="P426" s="30"/>
      <c r="Q426" s="78">
        <f>база!$L$6</f>
        <v>261.04640000000001</v>
      </c>
      <c r="R426" s="271">
        <v>1</v>
      </c>
      <c r="S426" s="98">
        <f>SUMIFS(Таблица1[сумма],Таблица1[коэф],"1",Таблица1[р/р],"5/16",Таблица1[Ф. И. О.],B429)</f>
        <v>0</v>
      </c>
      <c r="T426" s="94">
        <f t="shared" si="258"/>
        <v>0</v>
      </c>
      <c r="U426" s="314">
        <f>база!$M$6</f>
        <v>279.0496</v>
      </c>
      <c r="V426" s="271">
        <v>1</v>
      </c>
      <c r="W426" s="307">
        <f>SUMIFS(Таблица1[сумма],Таблица1[коэф],"1",Таблица1[р/р],"5/24",Таблица1[Ф. И. О.],B429)</f>
        <v>0</v>
      </c>
      <c r="X426" s="313">
        <f>ROUND(U426*V426*W426,2)</f>
        <v>0</v>
      </c>
      <c r="Y426" s="808"/>
      <c r="Z426" s="810"/>
      <c r="AA426" s="813"/>
    </row>
    <row r="427" spans="1:29" ht="24" thickBot="1">
      <c r="A427" s="756"/>
      <c r="B427" s="215"/>
      <c r="C427" s="815"/>
      <c r="D427" s="817"/>
      <c r="E427" s="78"/>
      <c r="F427" s="271"/>
      <c r="G427" s="98"/>
      <c r="H427" s="94"/>
      <c r="I427" s="334">
        <f>база!$J$5</f>
        <v>215.4924</v>
      </c>
      <c r="J427" s="278">
        <v>1.5</v>
      </c>
      <c r="K427" s="216">
        <f>SUMIFS(Таблица1[сумма],Таблица1[коэф],"1,5",Таблица1[р/р],"4/8",Таблица1[Ф. И. О.],B429)</f>
        <v>0</v>
      </c>
      <c r="L427" s="216">
        <f>ROUND(I427*J427*K427,2)</f>
        <v>0</v>
      </c>
      <c r="M427" s="216"/>
      <c r="N427" s="216"/>
      <c r="O427" s="216"/>
      <c r="P427" s="30"/>
      <c r="Q427" s="78">
        <f>IF(D424&lt;=3,база!$L$4,
IF(D424=4,база!$L$5,
IF(D424=5,база!$L$6)))</f>
        <v>210.57480000000001</v>
      </c>
      <c r="R427" s="271">
        <v>1.2</v>
      </c>
      <c r="S427" s="98">
        <f>SUMIFS(Таблица1[сумма],Таблица1[коэф],"1,2",Таблица1[р/р],"3/16",Таблица1[Ф. И. О.],B429)</f>
        <v>0</v>
      </c>
      <c r="T427" s="94">
        <f t="shared" si="258"/>
        <v>0</v>
      </c>
      <c r="U427" s="314">
        <f>IF(D424&lt;=3,база!$M$4,
IF(D424=4,база!$M$5,
IF(D424=5,база!$M$6)))</f>
        <v>225.09719999999999</v>
      </c>
      <c r="V427" s="271">
        <v>1.2</v>
      </c>
      <c r="W427" s="307">
        <f>SUMIFS(Таблица1[сумма],Таблица1[коэф],"1,2",Таблица1[р/р],"3/24",Таблица1[Ф. И. О.],B429)</f>
        <v>0</v>
      </c>
      <c r="X427" s="313">
        <f t="shared" ref="X427:X428" si="263">ROUND(U427*V427*W427,2)</f>
        <v>0</v>
      </c>
      <c r="Y427" s="808"/>
      <c r="Z427" s="810"/>
      <c r="AA427" s="813"/>
    </row>
    <row r="428" spans="1:29" ht="24" thickBot="1">
      <c r="A428" s="756"/>
      <c r="B428" s="215"/>
      <c r="C428" s="815"/>
      <c r="D428" s="817"/>
      <c r="E428" s="78"/>
      <c r="F428" s="271"/>
      <c r="G428" s="98"/>
      <c r="H428" s="94"/>
      <c r="I428" s="334">
        <f>база!$J$6</f>
        <v>243.04319999999998</v>
      </c>
      <c r="J428" s="278">
        <v>1.5</v>
      </c>
      <c r="K428" s="216">
        <f>SUMIFS(Таблица1[сумма],Таблица1[коэф],"1,5",Таблица1[р/р],"5/8",Таблица1[Ф. И. О.],B429)</f>
        <v>0</v>
      </c>
      <c r="L428" s="216">
        <f>ROUND(I428*J428*K428,2)</f>
        <v>0</v>
      </c>
      <c r="M428" s="216"/>
      <c r="N428" s="216"/>
      <c r="O428" s="216"/>
      <c r="P428" s="30"/>
      <c r="Q428" s="78">
        <f>база!$L$5</f>
        <v>231.45480000000001</v>
      </c>
      <c r="R428" s="271">
        <v>1.2</v>
      </c>
      <c r="S428" s="98">
        <f>SUMIFS(Таблица1[сумма],Таблица1[коэф],"1,2",Таблица1[р/р],"4/16",Таблица1[Ф. И. О.],B429)</f>
        <v>0</v>
      </c>
      <c r="T428" s="94">
        <f t="shared" si="258"/>
        <v>0</v>
      </c>
      <c r="U428" s="314">
        <f>база!$M$5</f>
        <v>247.41720000000001</v>
      </c>
      <c r="V428" s="271">
        <v>1.2</v>
      </c>
      <c r="W428" s="307">
        <f>SUMIFS(Таблица1[сумма],Таблица1[коэф],"1,2",Таблица1[р/р],"4/24",Таблица1[Ф. И. О.],B429)</f>
        <v>0</v>
      </c>
      <c r="X428" s="313">
        <f t="shared" si="263"/>
        <v>0</v>
      </c>
      <c r="Y428" s="808"/>
      <c r="Z428" s="810"/>
      <c r="AA428" s="813"/>
      <c r="AC428" s="707" t="str">
        <f>IF(SUMIFS(Таблица1[Столбец2],Таблица1[Ф. И. О.],B429)-Z424=0,"",SUMIFS(Таблица1[Столбец2],Таблица1[Ф. И. О.],B429)-Z424)</f>
        <v/>
      </c>
    </row>
    <row r="429" spans="1:29" ht="24" thickBot="1">
      <c r="A429" s="756"/>
      <c r="B429" s="215" t="str">
        <f>база!B40</f>
        <v>Кравченко Светлана Александровна</v>
      </c>
      <c r="C429" s="815"/>
      <c r="D429" s="817"/>
      <c r="E429" s="78"/>
      <c r="F429" s="271"/>
      <c r="G429" s="98"/>
      <c r="H429" s="94"/>
      <c r="I429" s="334"/>
      <c r="J429" s="278"/>
      <c r="K429" s="216"/>
      <c r="L429" s="216"/>
      <c r="M429" s="216"/>
      <c r="N429" s="216"/>
      <c r="O429" s="216"/>
      <c r="P429" s="30"/>
      <c r="Q429" s="78">
        <f>база!$L$6</f>
        <v>261.04640000000001</v>
      </c>
      <c r="R429" s="271">
        <v>1.2</v>
      </c>
      <c r="S429" s="98">
        <f>SUMIFS(Таблица1[сумма],Таблица1[коэф],"1,2",Таблица1[р/р],"5/16",Таблица1[Ф. И. О.],B429)</f>
        <v>0</v>
      </c>
      <c r="T429" s="94">
        <f>ROUND(Q429*R429*S429,2)</f>
        <v>0</v>
      </c>
      <c r="U429" s="314">
        <f>база!$M$6</f>
        <v>279.0496</v>
      </c>
      <c r="V429" s="271">
        <v>1.2</v>
      </c>
      <c r="W429" s="307">
        <f>SUMIFS(Таблица1[сумма],Таблица1[коэф],"1,2",Таблица1[р/р],"5/24",Таблица1[Ф. И. О.],B429)</f>
        <v>0</v>
      </c>
      <c r="X429" s="313">
        <f>ROUND(U429*V429*W429,2)</f>
        <v>0</v>
      </c>
      <c r="Y429" s="808"/>
      <c r="Z429" s="810"/>
      <c r="AA429" s="813"/>
      <c r="AC429" s="707" t="str">
        <f>IF(SUMIFS(Таблица1[сумма],Таблица1[Ф. И. О.],B429)=Y424,"",B424&amp;"  часы не верны")</f>
        <v/>
      </c>
    </row>
    <row r="430" spans="1:29" ht="24" thickBot="1">
      <c r="A430" s="756"/>
      <c r="B430" s="215"/>
      <c r="C430" s="815"/>
      <c r="D430" s="817"/>
      <c r="E430" s="78"/>
      <c r="F430" s="271"/>
      <c r="G430" s="98"/>
      <c r="H430" s="94"/>
      <c r="I430" s="334"/>
      <c r="J430" s="278"/>
      <c r="K430" s="216"/>
      <c r="L430" s="216"/>
      <c r="M430" s="216"/>
      <c r="N430" s="216"/>
      <c r="O430" s="216"/>
      <c r="P430" s="30"/>
      <c r="Q430" s="78">
        <f>IF($D$6&lt;=3,база!$L$4,
IF($D$6=4,база!$L$5,
IF($D$6=5,база!$L$6)))</f>
        <v>231.45480000000001</v>
      </c>
      <c r="R430" s="271">
        <v>1.3</v>
      </c>
      <c r="S430" s="98">
        <f>SUMIFS(Таблица1[сумма],Таблица1[коэф],"1,3",Таблица1[р/р],"3/16",Таблица1[Ф. И. О.],B429)</f>
        <v>0</v>
      </c>
      <c r="T430" s="94">
        <f t="shared" ref="T430:T439" si="264">ROUND(Q430*R430*S430,2)</f>
        <v>0</v>
      </c>
      <c r="U430" s="314">
        <f>IF(D424&lt;=3,база!$M$4,
IF(D424=4,база!$M$5,
IF(D424=5,база!$M$6)))</f>
        <v>225.09719999999999</v>
      </c>
      <c r="V430" s="271">
        <v>1.3</v>
      </c>
      <c r="W430" s="307">
        <f>SUMIFS(Таблица1[сумма],Таблица1[коэф],"1,3",Таблица1[р/р],"3/24",Таблица1[Ф. И. О.],B429)</f>
        <v>0</v>
      </c>
      <c r="X430" s="313">
        <f t="shared" ref="X430:X431" si="265">ROUND(U430*V430*W430,2)</f>
        <v>0</v>
      </c>
      <c r="Y430" s="808"/>
      <c r="Z430" s="810"/>
      <c r="AA430" s="813"/>
    </row>
    <row r="431" spans="1:29" ht="24" thickBot="1">
      <c r="A431" s="756"/>
      <c r="B431" s="215"/>
      <c r="C431" s="815"/>
      <c r="D431" s="817"/>
      <c r="E431" s="78"/>
      <c r="F431" s="271"/>
      <c r="G431" s="98"/>
      <c r="H431" s="94"/>
      <c r="I431" s="334"/>
      <c r="J431" s="278"/>
      <c r="K431" s="216"/>
      <c r="L431" s="216"/>
      <c r="M431" s="216"/>
      <c r="N431" s="216"/>
      <c r="O431" s="216"/>
      <c r="P431" s="30"/>
      <c r="Q431" s="78">
        <f>база!$L$5</f>
        <v>231.45480000000001</v>
      </c>
      <c r="R431" s="271">
        <v>1.3</v>
      </c>
      <c r="S431" s="98">
        <f>SUMIFS(Таблица1[сумма],Таблица1[коэф],"1,3",Таблица1[р/р],"4/16",Таблица1[Ф. И. О.],B429)</f>
        <v>0</v>
      </c>
      <c r="T431" s="94">
        <f t="shared" si="264"/>
        <v>0</v>
      </c>
      <c r="U431" s="314">
        <f>база!$M$5</f>
        <v>247.41720000000001</v>
      </c>
      <c r="V431" s="271">
        <v>1.3</v>
      </c>
      <c r="W431" s="307">
        <f>SUMIFS(Таблица1[сумма],Таблица1[коэф],"1,3",Таблица1[р/р],"4/24",Таблица1[Ф. И. О.],B429)</f>
        <v>0</v>
      </c>
      <c r="X431" s="313">
        <f t="shared" si="265"/>
        <v>0</v>
      </c>
      <c r="Y431" s="808"/>
      <c r="Z431" s="810"/>
      <c r="AA431" s="813"/>
    </row>
    <row r="432" spans="1:29" ht="24" thickBot="1">
      <c r="A432" s="756"/>
      <c r="B432" s="215"/>
      <c r="C432" s="815"/>
      <c r="D432" s="817"/>
      <c r="E432" s="78"/>
      <c r="F432" s="271"/>
      <c r="G432" s="98"/>
      <c r="H432" s="94"/>
      <c r="I432" s="334"/>
      <c r="J432" s="278"/>
      <c r="K432" s="216"/>
      <c r="L432" s="216"/>
      <c r="M432" s="216"/>
      <c r="N432" s="216"/>
      <c r="O432" s="216"/>
      <c r="P432" s="30"/>
      <c r="Q432" s="78">
        <f>IF(D424&lt;=3,база!$L$4,
IF(D424=4,база!$L$5,
IF(D424=5,база!$L$6)))</f>
        <v>210.57480000000001</v>
      </c>
      <c r="R432" s="271">
        <v>1.4</v>
      </c>
      <c r="S432" s="98">
        <f>SUMIFS(Таблица1[сумма],Таблица1[коэф],"1,4",Таблица1[р/р],"3/16",Таблица1[Ф. И. О.],B429)</f>
        <v>0</v>
      </c>
      <c r="T432" s="94">
        <f t="shared" si="264"/>
        <v>0</v>
      </c>
      <c r="U432" s="314">
        <f>IF(D424&lt;=3,база!$M$4,
IF(D424=4,база!$M$5,
IF(D424=5,база!$M$6)))</f>
        <v>225.09719999999999</v>
      </c>
      <c r="V432" s="271">
        <v>1.4</v>
      </c>
      <c r="W432" s="307">
        <f>SUMIFS(Таблица1[сумма],Таблица1[коэф],"1,4",Таблица1[р/р],"3/24",Таблица1[Ф. И. О.],B429)</f>
        <v>0</v>
      </c>
      <c r="X432" s="313">
        <f>ROUND(U432*V432*W432,2)</f>
        <v>0</v>
      </c>
      <c r="Y432" s="808"/>
      <c r="Z432" s="810"/>
      <c r="AA432" s="813"/>
    </row>
    <row r="433" spans="1:29" ht="24" thickBot="1">
      <c r="A433" s="756"/>
      <c r="B433" s="215"/>
      <c r="C433" s="815"/>
      <c r="D433" s="817"/>
      <c r="E433" s="78"/>
      <c r="F433" s="271"/>
      <c r="G433" s="98"/>
      <c r="H433" s="94"/>
      <c r="I433" s="334"/>
      <c r="J433" s="278"/>
      <c r="K433" s="216"/>
      <c r="L433" s="216"/>
      <c r="M433" s="216"/>
      <c r="N433" s="216"/>
      <c r="O433" s="216"/>
      <c r="P433" s="30"/>
      <c r="Q433" s="78">
        <f>база!$L$5</f>
        <v>231.45480000000001</v>
      </c>
      <c r="R433" s="271">
        <v>1.4</v>
      </c>
      <c r="S433" s="98">
        <f>SUMIFS(Таблица1[сумма],Таблица1[коэф],"1,4",Таблица1[р/р],"4/16",Таблица1[Ф. И. О.],B429)</f>
        <v>0</v>
      </c>
      <c r="T433" s="94">
        <f t="shared" si="264"/>
        <v>0</v>
      </c>
      <c r="U433" s="314">
        <f>база!$M$5</f>
        <v>247.41720000000001</v>
      </c>
      <c r="V433" s="271">
        <v>1.4</v>
      </c>
      <c r="W433" s="307">
        <f>SUMIFS(Таблица1[сумма],Таблица1[коэф],"1,4",Таблица1[р/р],"4/24",Таблица1[Ф. И. О.],B429)</f>
        <v>0</v>
      </c>
      <c r="X433" s="313">
        <f>ROUND(U433*V433*W433,2)</f>
        <v>0</v>
      </c>
      <c r="Y433" s="808"/>
      <c r="Z433" s="810"/>
      <c r="AA433" s="813"/>
    </row>
    <row r="434" spans="1:29" ht="24" thickBot="1">
      <c r="A434" s="757"/>
      <c r="B434" s="202"/>
      <c r="C434" s="816"/>
      <c r="D434" s="818"/>
      <c r="E434" s="84"/>
      <c r="F434" s="272"/>
      <c r="G434" s="100"/>
      <c r="H434" s="89"/>
      <c r="I434" s="593"/>
      <c r="J434" s="594"/>
      <c r="K434" s="328"/>
      <c r="L434" s="328"/>
      <c r="M434" s="325"/>
      <c r="N434" s="325"/>
      <c r="O434" s="325"/>
      <c r="P434" s="282"/>
      <c r="Q434" s="84">
        <f>база!$L$6</f>
        <v>261.04640000000001</v>
      </c>
      <c r="R434" s="272">
        <v>1.4</v>
      </c>
      <c r="S434" s="100">
        <f>SUMIFS(Таблица1[сумма],Таблица1[коэф],"1,4",Таблица1[р/р],"5/16",Таблица1[Ф. И. О.],B429)</f>
        <v>0</v>
      </c>
      <c r="T434" s="89">
        <f t="shared" si="264"/>
        <v>0</v>
      </c>
      <c r="U434" s="595">
        <f>база!$M$6</f>
        <v>279.0496</v>
      </c>
      <c r="V434" s="275">
        <v>1.4</v>
      </c>
      <c r="W434" s="322">
        <f>SUMIFS(Таблица1[сумма],Таблица1[коэф],"1,4",Таблица1[р/р],"5/24",Таблица1[Ф. И. О.],B429)</f>
        <v>0</v>
      </c>
      <c r="X434" s="592">
        <f>ROUND(U434*V434*W434,2)</f>
        <v>0</v>
      </c>
      <c r="Y434" s="809"/>
      <c r="Z434" s="811"/>
      <c r="AA434" s="814"/>
    </row>
    <row r="435" spans="1:29">
      <c r="A435" s="755">
        <v>40</v>
      </c>
      <c r="B435" s="215"/>
      <c r="C435" s="821">
        <f>INDEX(база!$E$2:$E$81, MATCH(B440,база!$B$2:$B$50,0))</f>
        <v>17281</v>
      </c>
      <c r="D435" s="822">
        <f>INDEX(база!$D$2:$D$89, MATCH(B440,база!$B$2:$B$50,0))</f>
        <v>3</v>
      </c>
      <c r="E435" s="72">
        <f>IF(D435&lt;=3,база!$I$4,
IF(D435=4,база!$I$5,
IF(D435=5,база!$I$6)))</f>
        <v>188.7912</v>
      </c>
      <c r="F435" s="269">
        <v>1</v>
      </c>
      <c r="G435" s="95">
        <f>SUMIFS(Таблица1[сумма],Таблица1[коэф],"1",Таблица1[р/р],"2/4",Таблица1[Ф. И. О.],B440)</f>
        <v>0</v>
      </c>
      <c r="H435" s="87">
        <f>ROUND(E435*F435*G435,2)</f>
        <v>0</v>
      </c>
      <c r="I435" s="344">
        <f>IF(D435&lt;=3,база!$J$4,
IF(D435=4,база!$J$5,
IF(D435=5,база!$J$6)))</f>
        <v>196.05240000000001</v>
      </c>
      <c r="J435" s="277">
        <v>1</v>
      </c>
      <c r="K435" s="309">
        <f>SUMIFS(Таблица1[сумма],Таблица1[коэф],"1",Таблица1[р/р],"2/8",Таблица1[Ф. И. О.],B440)</f>
        <v>0</v>
      </c>
      <c r="L435" s="309">
        <f>ROUND(I435*J435*K435,2)</f>
        <v>0</v>
      </c>
      <c r="M435" s="309"/>
      <c r="N435" s="309">
        <v>1</v>
      </c>
      <c r="O435" s="309">
        <f>SUMIFS(Data_Tech!$AM$3:$AM$67,Data_Tech!$E$3:$E$67,"1",Data_Tech!$G$3:$G$67,"3/12",Data_Tech!$F$3:$F$67,B440)</f>
        <v>0</v>
      </c>
      <c r="P435" s="281">
        <f>ROUND(M435*N435*O435,2)</f>
        <v>0</v>
      </c>
      <c r="Q435" s="72">
        <f>IF(D435&lt;=3,база!$L$4,
IF(D435=4,база!$L$5,
IF(D435=5,база!$L$6)))</f>
        <v>210.57480000000001</v>
      </c>
      <c r="R435" s="269">
        <v>1</v>
      </c>
      <c r="S435" s="95">
        <f>SUMIFS(Таблица1[сумма],Таблица1[коэф],"1",Таблица1[р/р],"3/16",Таблица1[Ф. И. О.],B440)</f>
        <v>0</v>
      </c>
      <c r="T435" s="87">
        <f t="shared" si="264"/>
        <v>0</v>
      </c>
      <c r="U435" s="349">
        <f>IF(D435&lt;=3,база!$M$4,
IF(D435=4,база!$M$5,
IF(D435=5,база!$M$6)))</f>
        <v>225.09719999999999</v>
      </c>
      <c r="V435" s="270">
        <v>1</v>
      </c>
      <c r="W435" s="337">
        <f>SUMIFS(Таблица1[сумма],Таблица1[коэф],"1",Таблица1[р/р],"3/24",Таблица1[Ф. И. О.],B440)</f>
        <v>0</v>
      </c>
      <c r="X435" s="342">
        <f>ROUND(U435*V435*W435,2)</f>
        <v>0</v>
      </c>
      <c r="Y435" s="819">
        <f t="shared" ref="Y435" si="266">SUM(G435:G445,K435:K445,O435:O445,S435:S445,W435:W445)</f>
        <v>0</v>
      </c>
      <c r="Z435" s="823">
        <f t="shared" ref="Z435" si="267">IFERROR(SUM(H435:H445,L435:L445,T435:T445,X435:X445),"")</f>
        <v>0</v>
      </c>
      <c r="AA435" s="813"/>
    </row>
    <row r="436" spans="1:29">
      <c r="A436" s="756"/>
      <c r="B436" s="215"/>
      <c r="C436" s="815"/>
      <c r="D436" s="817"/>
      <c r="E436" s="78">
        <f>IF(D435&lt;=3,база!$I$4,
IF(D435=4,база!$I$5,
IF(D435=5,база!$I$6)))</f>
        <v>188.7912</v>
      </c>
      <c r="F436" s="271">
        <v>1</v>
      </c>
      <c r="G436" s="98">
        <f>SUMIFS(Таблица1[сумма],Таблица1[коэф],"1",Таблица1[р/р],"3/4",Таблица1[Ф. И. О.],B440)</f>
        <v>0</v>
      </c>
      <c r="H436" s="94">
        <f>ROUND(E436*F436*G436,2)</f>
        <v>0</v>
      </c>
      <c r="I436" s="334">
        <f>IF(D435&lt;=3,база!$J$4,
IF(D435=4,база!$J$5,
IF(D435=5,база!$J$6)))</f>
        <v>196.05240000000001</v>
      </c>
      <c r="J436" s="278">
        <v>1</v>
      </c>
      <c r="K436" s="216"/>
      <c r="L436" s="216">
        <f>ROUND(I436*J436*K436,2)</f>
        <v>0</v>
      </c>
      <c r="M436" s="216"/>
      <c r="N436" s="216">
        <v>1</v>
      </c>
      <c r="O436" s="216">
        <f>SUMIFS(Data_Tech!$AM$3:$AM$67,Data_Tech!$E$3:$E$67,"1",Data_Tech!$G$3:$G$67,"4/12",Data_Tech!$F$3:$F$67,B440)</f>
        <v>0</v>
      </c>
      <c r="P436" s="30">
        <f>ROUND(M436*O436,2)</f>
        <v>0</v>
      </c>
      <c r="Q436" s="78">
        <f>база!$L$5</f>
        <v>231.45480000000001</v>
      </c>
      <c r="R436" s="271">
        <v>1</v>
      </c>
      <c r="S436" s="98">
        <f>SUMIFS(Таблица1[сумма],Таблица1[коэф],"1",Таблица1[р/р],"4/16",Таблица1[Ф. И. О.],B440)</f>
        <v>0</v>
      </c>
      <c r="T436" s="94">
        <f t="shared" si="264"/>
        <v>0</v>
      </c>
      <c r="U436" s="314">
        <f>база!$M$5</f>
        <v>247.41720000000001</v>
      </c>
      <c r="V436" s="271">
        <v>1</v>
      </c>
      <c r="W436" s="307">
        <f>SUMIFS(Таблица1[сумма],Таблица1[коэф],"1",Таблица1[р/р],"4/24",Таблица1[Ф. И. О.],B440)</f>
        <v>0</v>
      </c>
      <c r="X436" s="313">
        <f t="shared" ref="X436" si="268">ROUND(U436*V436*W436,2)</f>
        <v>0</v>
      </c>
      <c r="Y436" s="819"/>
      <c r="Z436" s="810"/>
      <c r="AA436" s="813"/>
    </row>
    <row r="437" spans="1:29">
      <c r="A437" s="756"/>
      <c r="B437" s="215"/>
      <c r="C437" s="815"/>
      <c r="D437" s="817"/>
      <c r="E437" s="78"/>
      <c r="F437" s="271"/>
      <c r="G437" s="98"/>
      <c r="H437" s="94"/>
      <c r="I437" s="334"/>
      <c r="J437" s="278"/>
      <c r="K437" s="216"/>
      <c r="L437" s="216"/>
      <c r="M437" s="216"/>
      <c r="N437" s="216"/>
      <c r="O437" s="216"/>
      <c r="P437" s="30"/>
      <c r="Q437" s="78">
        <f>база!$L$6</f>
        <v>261.04640000000001</v>
      </c>
      <c r="R437" s="271">
        <v>1</v>
      </c>
      <c r="S437" s="98">
        <f>SUMIFS(Таблица1[сумма],Таблица1[коэф],"1",Таблица1[р/р],"5/16",Таблица1[Ф. И. О.],B440)</f>
        <v>0</v>
      </c>
      <c r="T437" s="94">
        <f t="shared" si="264"/>
        <v>0</v>
      </c>
      <c r="U437" s="314">
        <f>база!$M$6</f>
        <v>279.0496</v>
      </c>
      <c r="V437" s="271">
        <v>1</v>
      </c>
      <c r="W437" s="307">
        <f>SUMIFS(Таблица1[сумма],Таблица1[коэф],"1",Таблица1[р/р],"5/24",Таблица1[Ф. И. О.],B440)</f>
        <v>0</v>
      </c>
      <c r="X437" s="313">
        <f>ROUND(U437*V437*W437,2)</f>
        <v>0</v>
      </c>
      <c r="Y437" s="819"/>
      <c r="Z437" s="810"/>
      <c r="AA437" s="813"/>
    </row>
    <row r="438" spans="1:29">
      <c r="A438" s="756"/>
      <c r="B438" s="215"/>
      <c r="C438" s="815"/>
      <c r="D438" s="817"/>
      <c r="E438" s="78"/>
      <c r="F438" s="271"/>
      <c r="G438" s="98"/>
      <c r="H438" s="94"/>
      <c r="I438" s="334">
        <f>база!$J$5</f>
        <v>215.4924</v>
      </c>
      <c r="J438" s="278">
        <v>1.5</v>
      </c>
      <c r="K438" s="216">
        <f>SUMIFS(Таблица1[сумма],Таблица1[коэф],"1,5",Таблица1[р/р],"4/8",Таблица1[Ф. И. О.],B440)</f>
        <v>0</v>
      </c>
      <c r="L438" s="216">
        <f>ROUND(I438*J438*K438,2)</f>
        <v>0</v>
      </c>
      <c r="M438" s="216"/>
      <c r="N438" s="216"/>
      <c r="O438" s="216"/>
      <c r="P438" s="30"/>
      <c r="Q438" s="78">
        <f>IF(D435&lt;=3,база!$L$4,
IF(D435=4,база!$L$5,
IF(D435=5,база!$L$6)))</f>
        <v>210.57480000000001</v>
      </c>
      <c r="R438" s="271">
        <v>1.2</v>
      </c>
      <c r="S438" s="98">
        <f>SUMIFS(Таблица1[сумма],Таблица1[коэф],"1,2",Таблица1[р/р],"3/16",Таблица1[Ф. И. О.],B440)</f>
        <v>0</v>
      </c>
      <c r="T438" s="94">
        <f t="shared" si="264"/>
        <v>0</v>
      </c>
      <c r="U438" s="314">
        <f>IF(D435&lt;=3,база!$M$4,
IF(D435=4,база!$M$5,
IF(D435=5,база!$M$6)))</f>
        <v>225.09719999999999</v>
      </c>
      <c r="V438" s="271">
        <v>1.2</v>
      </c>
      <c r="W438" s="307">
        <f>SUMIFS(Таблица1[сумма],Таблица1[коэф],"1,2",Таблица1[р/р],"3/24",Таблица1[Ф. И. О.],B440)</f>
        <v>0</v>
      </c>
      <c r="X438" s="313">
        <f t="shared" ref="X438:X439" si="269">ROUND(U438*V438*W438,2)</f>
        <v>0</v>
      </c>
      <c r="Y438" s="819"/>
      <c r="Z438" s="810"/>
      <c r="AA438" s="813"/>
    </row>
    <row r="439" spans="1:29">
      <c r="A439" s="756"/>
      <c r="B439" s="215"/>
      <c r="C439" s="815"/>
      <c r="D439" s="817"/>
      <c r="E439" s="78"/>
      <c r="F439" s="271"/>
      <c r="G439" s="98"/>
      <c r="H439" s="94"/>
      <c r="I439" s="334">
        <f>база!$J$6</f>
        <v>243.04319999999998</v>
      </c>
      <c r="J439" s="278">
        <v>1.5</v>
      </c>
      <c r="K439" s="216">
        <f>SUMIFS(Таблица1[сумма],Таблица1[коэф],"1,5",Таблица1[р/р],"5/8",Таблица1[Ф. И. О.],B440)</f>
        <v>0</v>
      </c>
      <c r="L439" s="216">
        <f>ROUND(I439*J439*K439,2)</f>
        <v>0</v>
      </c>
      <c r="M439" s="216"/>
      <c r="N439" s="216"/>
      <c r="O439" s="216"/>
      <c r="P439" s="30"/>
      <c r="Q439" s="78">
        <f>база!$L$5</f>
        <v>231.45480000000001</v>
      </c>
      <c r="R439" s="271">
        <v>1.2</v>
      </c>
      <c r="S439" s="98">
        <f>SUMIFS(Таблица1[сумма],Таблица1[коэф],"1,2",Таблица1[р/р],"4/16",Таблица1[Ф. И. О.],B440)</f>
        <v>0</v>
      </c>
      <c r="T439" s="94">
        <f t="shared" si="264"/>
        <v>0</v>
      </c>
      <c r="U439" s="314">
        <f>база!$M$5</f>
        <v>247.41720000000001</v>
      </c>
      <c r="V439" s="271">
        <v>1.2</v>
      </c>
      <c r="W439" s="307">
        <f>SUMIFS(Таблица1[сумма],Таблица1[коэф],"1,2",Таблица1[р/р],"4/24",Таблица1[Ф. И. О.],B440)</f>
        <v>0</v>
      </c>
      <c r="X439" s="313">
        <f t="shared" si="269"/>
        <v>0</v>
      </c>
      <c r="Y439" s="819"/>
      <c r="Z439" s="810"/>
      <c r="AA439" s="813"/>
      <c r="AC439" s="707" t="str">
        <f>IF(SUMIFS(Таблица1[Столбец2],Таблица1[Ф. И. О.],B440)-Z435=0,"",SUMIFS(Таблица1[Столбец2],Таблица1[Ф. И. О.],B440)-Z435)</f>
        <v/>
      </c>
    </row>
    <row r="440" spans="1:29">
      <c r="A440" s="756"/>
      <c r="B440" s="215" t="str">
        <f>база!B41</f>
        <v>Лапина Елена Сергеевна</v>
      </c>
      <c r="C440" s="815"/>
      <c r="D440" s="817"/>
      <c r="E440" s="78"/>
      <c r="F440" s="271"/>
      <c r="G440" s="98"/>
      <c r="H440" s="94"/>
      <c r="I440" s="334"/>
      <c r="J440" s="278"/>
      <c r="K440" s="216"/>
      <c r="L440" s="216"/>
      <c r="M440" s="216"/>
      <c r="N440" s="216"/>
      <c r="O440" s="216"/>
      <c r="P440" s="30"/>
      <c r="Q440" s="78">
        <f>база!$L$6</f>
        <v>261.04640000000001</v>
      </c>
      <c r="R440" s="271">
        <v>1.2</v>
      </c>
      <c r="S440" s="98">
        <f>SUMIFS(Таблица1[сумма],Таблица1[коэф],"1,2",Таблица1[р/р],"5/16",Таблица1[Ф. И. О.],B440)</f>
        <v>0</v>
      </c>
      <c r="T440" s="94">
        <f>ROUND(Q440*R440*S440,2)</f>
        <v>0</v>
      </c>
      <c r="U440" s="314">
        <f>база!$M$6</f>
        <v>279.0496</v>
      </c>
      <c r="V440" s="271">
        <v>1.2</v>
      </c>
      <c r="W440" s="307">
        <f>SUMIFS(Таблица1[сумма],Таблица1[коэф],"1,2",Таблица1[р/р],"5/24",Таблица1[Ф. И. О.],B440)</f>
        <v>0</v>
      </c>
      <c r="X440" s="313">
        <f>ROUND(U440*V440*W440,2)</f>
        <v>0</v>
      </c>
      <c r="Y440" s="819"/>
      <c r="Z440" s="810"/>
      <c r="AA440" s="813"/>
      <c r="AC440" s="707" t="str">
        <f>IF(SUMIFS(Таблица1[сумма],Таблица1[Ф. И. О.],B440)=Y435,"",B435&amp;"  часы не верны")</f>
        <v/>
      </c>
    </row>
    <row r="441" spans="1:29">
      <c r="A441" s="756"/>
      <c r="B441" s="215"/>
      <c r="C441" s="815"/>
      <c r="D441" s="817"/>
      <c r="E441" s="78"/>
      <c r="F441" s="271"/>
      <c r="G441" s="98"/>
      <c r="H441" s="94"/>
      <c r="I441" s="334"/>
      <c r="J441" s="278"/>
      <c r="K441" s="216"/>
      <c r="L441" s="216"/>
      <c r="M441" s="216"/>
      <c r="N441" s="216"/>
      <c r="O441" s="216"/>
      <c r="P441" s="30"/>
      <c r="Q441" s="78">
        <f>IF($D$6&lt;=3,база!$L$4,
IF($D$6=4,база!$L$5,
IF($D$6=5,база!$L$6)))</f>
        <v>231.45480000000001</v>
      </c>
      <c r="R441" s="271">
        <v>1.3</v>
      </c>
      <c r="S441" s="98">
        <f>SUMIFS(Таблица1[сумма],Таблица1[коэф],"1,3",Таблица1[р/р],"3/16",Таблица1[Ф. И. О.],B440)</f>
        <v>0</v>
      </c>
      <c r="T441" s="94">
        <f t="shared" ref="T441:T442" si="270">ROUND(Q441*R441*S441,2)</f>
        <v>0</v>
      </c>
      <c r="U441" s="314">
        <f>IF(D435&lt;=3,база!$M$4,
IF(D435=4,база!$M$5,
IF(D435=5,база!$M$6)))</f>
        <v>225.09719999999999</v>
      </c>
      <c r="V441" s="271">
        <v>1.3</v>
      </c>
      <c r="W441" s="307">
        <f>SUMIFS(Таблица1[сумма],Таблица1[коэф],"1,3",Таблица1[р/р],"3/24",Таблица1[Ф. И. О.],B440)</f>
        <v>0</v>
      </c>
      <c r="X441" s="313">
        <f t="shared" ref="X441:X442" si="271">ROUND(U441*V441*W441,2)</f>
        <v>0</v>
      </c>
      <c r="Y441" s="819"/>
      <c r="Z441" s="810"/>
      <c r="AA441" s="813"/>
    </row>
    <row r="442" spans="1:29">
      <c r="A442" s="756"/>
      <c r="B442" s="215"/>
      <c r="C442" s="815"/>
      <c r="D442" s="817"/>
      <c r="E442" s="78"/>
      <c r="F442" s="271"/>
      <c r="G442" s="98"/>
      <c r="H442" s="94"/>
      <c r="I442" s="334"/>
      <c r="J442" s="278"/>
      <c r="K442" s="216"/>
      <c r="L442" s="216"/>
      <c r="M442" s="216"/>
      <c r="N442" s="216"/>
      <c r="O442" s="216"/>
      <c r="P442" s="30"/>
      <c r="Q442" s="78">
        <f>база!$L$5</f>
        <v>231.45480000000001</v>
      </c>
      <c r="R442" s="271">
        <v>1.3</v>
      </c>
      <c r="S442" s="98">
        <f>SUMIFS(Таблица1[сумма],Таблица1[коэф],"1,3",Таблица1[р/р],"4/16",Таблица1[Ф. И. О.],B440)</f>
        <v>0</v>
      </c>
      <c r="T442" s="94">
        <f t="shared" si="270"/>
        <v>0</v>
      </c>
      <c r="U442" s="314">
        <f>база!$M$5</f>
        <v>247.41720000000001</v>
      </c>
      <c r="V442" s="271">
        <v>1.3</v>
      </c>
      <c r="W442" s="307">
        <f>SUMIFS(Таблица1[сумма],Таблица1[коэф],"1,3",Таблица1[р/р],"4/24",Таблица1[Ф. И. О.],B440)</f>
        <v>0</v>
      </c>
      <c r="X442" s="313">
        <f t="shared" si="271"/>
        <v>0</v>
      </c>
      <c r="Y442" s="819"/>
      <c r="Z442" s="810"/>
      <c r="AA442" s="813"/>
    </row>
    <row r="443" spans="1:29">
      <c r="A443" s="756"/>
      <c r="B443" s="215"/>
      <c r="C443" s="815"/>
      <c r="D443" s="817"/>
      <c r="E443" s="78"/>
      <c r="F443" s="271"/>
      <c r="G443" s="98"/>
      <c r="H443" s="94"/>
      <c r="I443" s="334"/>
      <c r="J443" s="278"/>
      <c r="K443" s="216"/>
      <c r="L443" s="216"/>
      <c r="M443" s="216"/>
      <c r="N443" s="216"/>
      <c r="O443" s="216"/>
      <c r="P443" s="30"/>
      <c r="Q443" s="78">
        <f>IF(D435&lt;=3,база!$L$4,
IF(D435=4,база!$L$5,
IF(D435=5,база!$L$6)))</f>
        <v>210.57480000000001</v>
      </c>
      <c r="R443" s="271">
        <v>1.4</v>
      </c>
      <c r="S443" s="98">
        <f>SUMIFS(Таблица1[сумма],Таблица1[коэф],"1,4",Таблица1[р/р],"3/16",Таблица1[Ф. И. О.],B440)</f>
        <v>0</v>
      </c>
      <c r="T443" s="94">
        <f>ROUND(Q443*R443*S443,2)</f>
        <v>0</v>
      </c>
      <c r="U443" s="314">
        <f>IF(D435&lt;=3,база!$M$4,
IF(D435=4,база!$M$5,
IF(D435=5,база!$M$6)))</f>
        <v>225.09719999999999</v>
      </c>
      <c r="V443" s="271">
        <v>1.4</v>
      </c>
      <c r="W443" s="307">
        <f>SUMIFS(Таблица1[сумма],Таблица1[коэф],"1,4",Таблица1[р/р],"3/24",Таблица1[Ф. И. О.],B440)</f>
        <v>0</v>
      </c>
      <c r="X443" s="313">
        <f>ROUND(U443*V443*W443,2)</f>
        <v>0</v>
      </c>
      <c r="Y443" s="819"/>
      <c r="Z443" s="810"/>
      <c r="AA443" s="813"/>
    </row>
    <row r="444" spans="1:29">
      <c r="A444" s="756"/>
      <c r="B444" s="215"/>
      <c r="C444" s="815"/>
      <c r="D444" s="817"/>
      <c r="E444" s="78"/>
      <c r="F444" s="271"/>
      <c r="G444" s="98"/>
      <c r="H444" s="94"/>
      <c r="I444" s="334"/>
      <c r="J444" s="278"/>
      <c r="K444" s="216"/>
      <c r="L444" s="216"/>
      <c r="M444" s="216"/>
      <c r="N444" s="216"/>
      <c r="O444" s="216"/>
      <c r="P444" s="30"/>
      <c r="Q444" s="78">
        <f>база!$L$5</f>
        <v>231.45480000000001</v>
      </c>
      <c r="R444" s="271">
        <v>1.4</v>
      </c>
      <c r="S444" s="98">
        <f>SUMIFS(Таблица1[сумма],Таблица1[коэф],"1,4",Таблица1[р/р],"4/16",Таблица1[Ф. И. О.],B440)</f>
        <v>0</v>
      </c>
      <c r="T444" s="94">
        <f>ROUND(Q444*R444*S444,2)</f>
        <v>0</v>
      </c>
      <c r="U444" s="314">
        <f>база!$M$5</f>
        <v>247.41720000000001</v>
      </c>
      <c r="V444" s="271">
        <v>1.4</v>
      </c>
      <c r="W444" s="307">
        <f>SUMIFS(Таблица1[сумма],Таблица1[коэф],"1,4",Таблица1[р/р],"4/24",Таблица1[Ф. И. О.],B440)</f>
        <v>0</v>
      </c>
      <c r="X444" s="313">
        <f>ROUND(U444*V444*W444,2)</f>
        <v>0</v>
      </c>
      <c r="Y444" s="819"/>
      <c r="Z444" s="810"/>
      <c r="AA444" s="813"/>
    </row>
    <row r="445" spans="1:29" ht="24" thickBot="1">
      <c r="A445" s="757"/>
      <c r="B445" s="352"/>
      <c r="C445" s="816"/>
      <c r="D445" s="818"/>
      <c r="E445" s="74"/>
      <c r="F445" s="270"/>
      <c r="G445" s="88"/>
      <c r="H445" s="102"/>
      <c r="I445" s="24"/>
      <c r="J445" s="277"/>
      <c r="K445" s="22"/>
      <c r="L445" s="309"/>
      <c r="M445" s="24"/>
      <c r="N445" s="22"/>
      <c r="O445" s="22"/>
      <c r="P445" s="281"/>
      <c r="Q445" s="71">
        <f>база!$L$6</f>
        <v>261.04640000000001</v>
      </c>
      <c r="R445" s="270">
        <v>1.4</v>
      </c>
      <c r="S445" s="96">
        <f>SUMIFS(Таблица1[сумма],Таблица1[коэф],"1,4",Таблица1[р/р],"5/16",Таблица1[Ф. И. О.],B440)</f>
        <v>0</v>
      </c>
      <c r="T445" s="102">
        <f>ROUND(Q445*R445*S445,2)</f>
        <v>0</v>
      </c>
      <c r="U445" s="81">
        <f>база!$M$6</f>
        <v>279.0496</v>
      </c>
      <c r="V445" s="271">
        <v>1.4</v>
      </c>
      <c r="W445" s="96">
        <f>SUMIFS(Таблица1[сумма],Таблица1[коэф],"1,4",Таблица1[р/р],"5/24",Таблица1[Ф. И. О.],B440)</f>
        <v>0</v>
      </c>
      <c r="X445" s="102">
        <f>ROUND(U445*V445*W445,2)</f>
        <v>0</v>
      </c>
      <c r="Y445" s="820"/>
      <c r="Z445" s="811"/>
      <c r="AA445" s="814"/>
    </row>
    <row r="446" spans="1:29">
      <c r="A446" s="755">
        <v>41</v>
      </c>
      <c r="B446" s="215"/>
      <c r="C446" s="821">
        <f>INDEX(база!$E$2:$E$81, MATCH(B451,база!$B$2:$B$50,0))</f>
        <v>17303</v>
      </c>
      <c r="D446" s="822">
        <f>INDEX(база!$D$2:$D$89, MATCH(B451,база!$B$2:$B$50,0))</f>
        <v>3</v>
      </c>
      <c r="E446" s="72">
        <f>IF(D446&lt;=3,база!$I$4,
IF(D446=4,база!$I$5,
IF(D446=5,база!$I$6)))</f>
        <v>188.7912</v>
      </c>
      <c r="F446" s="269">
        <v>1</v>
      </c>
      <c r="G446" s="95">
        <f>SUMIFS(Таблица1[сумма],Таблица1[коэф],"1",Таблица1[р/р],"2/4",Таблица1[Ф. И. О.],B451)</f>
        <v>0</v>
      </c>
      <c r="H446" s="87">
        <f>ROUND(E446*F446*G446,2)</f>
        <v>0</v>
      </c>
      <c r="I446" s="344">
        <f>IF(D446&lt;=3,база!$J$4,
IF(D446=4,база!$J$5,
IF(D446=5,база!$J$6)))</f>
        <v>196.05240000000001</v>
      </c>
      <c r="J446" s="277">
        <v>1</v>
      </c>
      <c r="K446" s="309">
        <f>SUMIFS(Таблица1[сумма],Таблица1[коэф],"1",Таблица1[р/р],"2/8",Таблица1[Ф. И. О.],B451)</f>
        <v>0</v>
      </c>
      <c r="L446" s="309">
        <f>ROUND(I446*J446*K446,2)</f>
        <v>0</v>
      </c>
      <c r="M446" s="309"/>
      <c r="N446" s="309">
        <v>1</v>
      </c>
      <c r="O446" s="309">
        <f>SUMIFS(Data_Tech!$AM$3:$AM$67,Data_Tech!$E$3:$E$67,"1",Data_Tech!$G$3:$G$67,"3/12",Data_Tech!$F$3:$F$67,B451)</f>
        <v>0</v>
      </c>
      <c r="P446" s="281">
        <f>ROUND(M446*N446*O446,2)</f>
        <v>0</v>
      </c>
      <c r="Q446" s="72">
        <f>IF(D446&lt;=3,база!$L$4,
IF(D446=4,база!$L$5,
IF(D446=5,база!$L$6)))</f>
        <v>210.57480000000001</v>
      </c>
      <c r="R446" s="269">
        <v>1</v>
      </c>
      <c r="S446" s="95">
        <f>SUMIFS(Таблица1[сумма],Таблица1[коэф],"1",Таблица1[р/р],"3/16",Таблица1[Ф. И. О.],B451)</f>
        <v>0</v>
      </c>
      <c r="T446" s="87">
        <f t="shared" ref="T446:T450" si="272">ROUND(Q446*R446*S446,2)</f>
        <v>0</v>
      </c>
      <c r="U446" s="349">
        <f>IF(D446&lt;=3,база!$M$4,
IF(D446=4,база!$M$5,
IF(D446=5,база!$M$6)))</f>
        <v>225.09719999999999</v>
      </c>
      <c r="V446" s="270">
        <v>1</v>
      </c>
      <c r="W446" s="337">
        <f>SUMIFS(Таблица1[сумма],Таблица1[коэф],"1",Таблица1[р/р],"3/24",Таблица1[Ф. И. О.],B451)</f>
        <v>0</v>
      </c>
      <c r="X446" s="342">
        <f>ROUND(U446*V446*W446,2)</f>
        <v>0</v>
      </c>
      <c r="Y446" s="819">
        <f t="shared" ref="Y446" si="273">SUM(G446:G456,K446:K456,O446:O456,S446:S456,W446:W456)</f>
        <v>0</v>
      </c>
      <c r="Z446" s="823">
        <f t="shared" ref="Z446" si="274">IFERROR(SUM(H446:H456,L446:L456,T446:T456,X446:X456),"")</f>
        <v>0</v>
      </c>
      <c r="AA446" s="813"/>
    </row>
    <row r="447" spans="1:29">
      <c r="A447" s="756"/>
      <c r="B447" s="215"/>
      <c r="C447" s="815"/>
      <c r="D447" s="817"/>
      <c r="E447" s="78">
        <f>IF(D446&lt;=3,база!$I$4,
IF(D446=4,база!$I$5,
IF(D446=5,база!$I$6)))</f>
        <v>188.7912</v>
      </c>
      <c r="F447" s="271">
        <v>1</v>
      </c>
      <c r="G447" s="98">
        <f>SUMIFS(Таблица1[сумма],Таблица1[коэф],"1",Таблица1[р/р],"3/4",Таблица1[Ф. И. О.],B451)</f>
        <v>0</v>
      </c>
      <c r="H447" s="94">
        <f>ROUND(E447*F447*G447,2)</f>
        <v>0</v>
      </c>
      <c r="I447" s="334">
        <f>IF(D446&lt;=3,база!$J$4,
IF(D446=4,база!$J$5,
IF(D446=5,база!$J$6)))</f>
        <v>196.05240000000001</v>
      </c>
      <c r="J447" s="278">
        <v>1</v>
      </c>
      <c r="K447" s="216"/>
      <c r="L447" s="216">
        <f>ROUND(I447*J447*K447,2)</f>
        <v>0</v>
      </c>
      <c r="M447" s="216"/>
      <c r="N447" s="216">
        <v>1</v>
      </c>
      <c r="O447" s="216">
        <f>SUMIFS(Data_Tech!$AM$3:$AM$67,Data_Tech!$E$3:$E$67,"1",Data_Tech!$G$3:$G$67,"4/12",Data_Tech!$F$3:$F$67,B451)</f>
        <v>0</v>
      </c>
      <c r="P447" s="30">
        <f>ROUND(M447*O447,2)</f>
        <v>0</v>
      </c>
      <c r="Q447" s="78">
        <f>база!$L$5</f>
        <v>231.45480000000001</v>
      </c>
      <c r="R447" s="271">
        <v>1</v>
      </c>
      <c r="S447" s="98">
        <f>SUMIFS(Таблица1[сумма],Таблица1[коэф],"1",Таблица1[р/р],"4/16",Таблица1[Ф. И. О.],B451)</f>
        <v>0</v>
      </c>
      <c r="T447" s="94">
        <f t="shared" si="272"/>
        <v>0</v>
      </c>
      <c r="U447" s="314">
        <f>база!$M$5</f>
        <v>247.41720000000001</v>
      </c>
      <c r="V447" s="271">
        <v>1</v>
      </c>
      <c r="W447" s="307">
        <f>SUMIFS(Таблица1[сумма],Таблица1[коэф],"1",Таблица1[р/р],"4/24",Таблица1[Ф. И. О.],B451)</f>
        <v>0</v>
      </c>
      <c r="X447" s="313">
        <f t="shared" ref="X447" si="275">ROUND(U447*V447*W447,2)</f>
        <v>0</v>
      </c>
      <c r="Y447" s="819"/>
      <c r="Z447" s="810"/>
      <c r="AA447" s="813"/>
    </row>
    <row r="448" spans="1:29">
      <c r="A448" s="756"/>
      <c r="B448" s="215"/>
      <c r="C448" s="815"/>
      <c r="D448" s="817"/>
      <c r="E448" s="78"/>
      <c r="F448" s="271"/>
      <c r="G448" s="98"/>
      <c r="H448" s="94"/>
      <c r="I448" s="334"/>
      <c r="J448" s="278"/>
      <c r="K448" s="216"/>
      <c r="L448" s="216"/>
      <c r="M448" s="216"/>
      <c r="N448" s="216"/>
      <c r="O448" s="216"/>
      <c r="P448" s="30"/>
      <c r="Q448" s="78">
        <f>база!$L$6</f>
        <v>261.04640000000001</v>
      </c>
      <c r="R448" s="271">
        <v>1</v>
      </c>
      <c r="S448" s="98">
        <f>SUMIFS(Таблица1[сумма],Таблица1[коэф],"1",Таблица1[р/р],"5/16",Таблица1[Ф. И. О.],B451)</f>
        <v>0</v>
      </c>
      <c r="T448" s="94">
        <f t="shared" si="272"/>
        <v>0</v>
      </c>
      <c r="U448" s="314">
        <f>база!$M$6</f>
        <v>279.0496</v>
      </c>
      <c r="V448" s="271">
        <v>1</v>
      </c>
      <c r="W448" s="307">
        <f>SUMIFS(Таблица1[сумма],Таблица1[коэф],"1",Таблица1[р/р],"5/24",Таблица1[Ф. И. О.],B451)</f>
        <v>0</v>
      </c>
      <c r="X448" s="313">
        <f>ROUND(U448*V448*W448,2)</f>
        <v>0</v>
      </c>
      <c r="Y448" s="819"/>
      <c r="Z448" s="810"/>
      <c r="AA448" s="813"/>
    </row>
    <row r="449" spans="1:29">
      <c r="A449" s="756"/>
      <c r="B449" s="215"/>
      <c r="C449" s="815"/>
      <c r="D449" s="817"/>
      <c r="E449" s="78"/>
      <c r="F449" s="271"/>
      <c r="G449" s="98"/>
      <c r="H449" s="94"/>
      <c r="I449" s="334">
        <f>база!$J$5</f>
        <v>215.4924</v>
      </c>
      <c r="J449" s="278">
        <v>1.5</v>
      </c>
      <c r="K449" s="216">
        <f>SUMIFS(Таблица1[сумма],Таблица1[коэф],"1,5",Таблица1[р/р],"4/8",Таблица1[Ф. И. О.],B451)</f>
        <v>0</v>
      </c>
      <c r="L449" s="216">
        <f>ROUND(I449*J449*K449,2)</f>
        <v>0</v>
      </c>
      <c r="M449" s="216"/>
      <c r="N449" s="216"/>
      <c r="O449" s="216"/>
      <c r="P449" s="30"/>
      <c r="Q449" s="78">
        <f>IF(D446&lt;=3,база!$L$4,
IF(D446=4,база!$L$5,
IF(D446=5,база!$L$6)))</f>
        <v>210.57480000000001</v>
      </c>
      <c r="R449" s="271">
        <v>1.2</v>
      </c>
      <c r="S449" s="98">
        <f>SUMIFS(Таблица1[сумма],Таблица1[коэф],"1,2",Таблица1[р/р],"3/16",Таблица1[Ф. И. О.],B451)</f>
        <v>0</v>
      </c>
      <c r="T449" s="94">
        <f t="shared" si="272"/>
        <v>0</v>
      </c>
      <c r="U449" s="314">
        <f>IF(D446&lt;=3,база!$M$4,
IF(D446=4,база!$M$5,
IF(D446=5,база!$M$6)))</f>
        <v>225.09719999999999</v>
      </c>
      <c r="V449" s="271">
        <v>1.2</v>
      </c>
      <c r="W449" s="307">
        <f>SUMIFS(Таблица1[сумма],Таблица1[коэф],"1,2",Таблица1[р/р],"3/24",Таблица1[Ф. И. О.],B451)</f>
        <v>0</v>
      </c>
      <c r="X449" s="313">
        <f t="shared" ref="X449:X450" si="276">ROUND(U449*V449*W449,2)</f>
        <v>0</v>
      </c>
      <c r="Y449" s="819"/>
      <c r="Z449" s="810"/>
      <c r="AA449" s="813"/>
    </row>
    <row r="450" spans="1:29">
      <c r="A450" s="756"/>
      <c r="B450" s="215"/>
      <c r="C450" s="815"/>
      <c r="D450" s="817"/>
      <c r="E450" s="78"/>
      <c r="F450" s="271"/>
      <c r="G450" s="98"/>
      <c r="H450" s="94"/>
      <c r="I450" s="334">
        <f>база!$J$6</f>
        <v>243.04319999999998</v>
      </c>
      <c r="J450" s="278">
        <v>1.5</v>
      </c>
      <c r="K450" s="216">
        <f>SUMIFS(Таблица1[сумма],Таблица1[коэф],"1,5",Таблица1[р/р],"5/8",Таблица1[Ф. И. О.],B451)</f>
        <v>0</v>
      </c>
      <c r="L450" s="216">
        <f>ROUND(I450*J450*K450,2)</f>
        <v>0</v>
      </c>
      <c r="M450" s="216"/>
      <c r="N450" s="216"/>
      <c r="O450" s="216"/>
      <c r="P450" s="30"/>
      <c r="Q450" s="78">
        <f>база!$L$5</f>
        <v>231.45480000000001</v>
      </c>
      <c r="R450" s="271">
        <v>1.2</v>
      </c>
      <c r="S450" s="98">
        <f>SUMIFS(Таблица1[сумма],Таблица1[коэф],"1,2",Таблица1[р/р],"4/16",Таблица1[Ф. И. О.],B451)</f>
        <v>0</v>
      </c>
      <c r="T450" s="94">
        <f t="shared" si="272"/>
        <v>0</v>
      </c>
      <c r="U450" s="314">
        <f>база!$M$5</f>
        <v>247.41720000000001</v>
      </c>
      <c r="V450" s="271">
        <v>1.2</v>
      </c>
      <c r="W450" s="307">
        <f>SUMIFS(Таблица1[сумма],Таблица1[коэф],"1,2",Таблица1[р/р],"4/24",Таблица1[Ф. И. О.],B451)</f>
        <v>0</v>
      </c>
      <c r="X450" s="313">
        <f t="shared" si="276"/>
        <v>0</v>
      </c>
      <c r="Y450" s="819"/>
      <c r="Z450" s="810"/>
      <c r="AA450" s="813"/>
      <c r="AC450" s="707" t="str">
        <f>IF(SUMIFS(Таблица1[Столбец2],Таблица1[Ф. И. О.],B451)-Z446=0,"",SUMIFS(Таблица1[Столбец2],Таблица1[Ф. И. О.],B451)-Z446)</f>
        <v/>
      </c>
    </row>
    <row r="451" spans="1:29" ht="24" thickBot="1">
      <c r="A451" s="756"/>
      <c r="B451" s="215" t="str">
        <f>база!B42</f>
        <v>Лезина Анастасия Юрьевна</v>
      </c>
      <c r="C451" s="815"/>
      <c r="D451" s="817"/>
      <c r="E451" s="78"/>
      <c r="F451" s="271"/>
      <c r="G451" s="98"/>
      <c r="H451" s="94"/>
      <c r="I451" s="334"/>
      <c r="J451" s="278"/>
      <c r="K451" s="216"/>
      <c r="L451" s="216"/>
      <c r="M451" s="216"/>
      <c r="N451" s="216"/>
      <c r="O451" s="216"/>
      <c r="P451" s="30"/>
      <c r="Q451" s="78">
        <f>база!$L$6</f>
        <v>261.04640000000001</v>
      </c>
      <c r="R451" s="271">
        <v>1.2</v>
      </c>
      <c r="S451" s="98">
        <f>SUMIFS(Таблица1[сумма],Таблица1[коэф],"1,2",Таблица1[р/р],"5/16",Таблица1[Ф. И. О.],B451)</f>
        <v>0</v>
      </c>
      <c r="T451" s="94">
        <f>ROUND(Q451*R451*S451,2)</f>
        <v>0</v>
      </c>
      <c r="U451" s="314">
        <f>база!$M$6</f>
        <v>279.0496</v>
      </c>
      <c r="V451" s="271">
        <v>1.2</v>
      </c>
      <c r="W451" s="307">
        <f>SUMIFS(Таблица1[сумма],Таблица1[коэф],"1,2",Таблица1[р/р],"5/24",Таблица1[Ф. И. О.],B451)</f>
        <v>0</v>
      </c>
      <c r="X451" s="313">
        <f>ROUND(U451*V451*W451,2)</f>
        <v>0</v>
      </c>
      <c r="Y451" s="819"/>
      <c r="Z451" s="810"/>
      <c r="AA451" s="813"/>
      <c r="AC451" s="707" t="str">
        <f>IF(SUMIFS(Таблица1[сумма],Таблица1[Ф. И. О.],B451)=Y446,"",B446&amp;"  часы не верны")</f>
        <v/>
      </c>
    </row>
    <row r="452" spans="1:29" ht="24" thickBot="1">
      <c r="A452" s="756"/>
      <c r="B452" s="215"/>
      <c r="C452" s="815"/>
      <c r="D452" s="817"/>
      <c r="E452" s="78"/>
      <c r="F452" s="271"/>
      <c r="G452" s="98"/>
      <c r="H452" s="94"/>
      <c r="I452" s="334"/>
      <c r="J452" s="278"/>
      <c r="K452" s="216"/>
      <c r="L452" s="216"/>
      <c r="M452" s="216"/>
      <c r="N452" s="216"/>
      <c r="O452" s="216"/>
      <c r="P452" s="30"/>
      <c r="Q452" s="78">
        <f>IF($D$6&lt;=3,база!$L$4,
IF($D$6=4,база!$L$5,
IF($D$6=5,база!$L$6)))</f>
        <v>231.45480000000001</v>
      </c>
      <c r="R452" s="271">
        <v>1.3</v>
      </c>
      <c r="S452" s="98">
        <f>SUMIFS(Таблица1[сумма],Таблица1[коэф],"1,3",Таблица1[р/р],"3/16",Таблица1[Ф. И. О.],B451)</f>
        <v>0</v>
      </c>
      <c r="T452" s="94">
        <f t="shared" ref="T452:T453" si="277">ROUND(Q452*R452*S452,2)</f>
        <v>0</v>
      </c>
      <c r="U452" s="314">
        <f>IF(D446&lt;=3,база!$M$4,
IF(D446=4,база!$M$5,
IF(D446=5,база!$M$6)))</f>
        <v>225.09719999999999</v>
      </c>
      <c r="V452" s="271">
        <v>1.3</v>
      </c>
      <c r="W452" s="307">
        <f>SUMIFS(Таблица1[сумма],Таблица1[коэф],"1,3",Таблица1[р/р],"3/24",Таблица1[Ф. И. О.],B451)</f>
        <v>0</v>
      </c>
      <c r="X452" s="313">
        <f t="shared" ref="X452:X453" si="278">ROUND(U452*V452*W452,2)</f>
        <v>0</v>
      </c>
      <c r="Y452" s="819"/>
      <c r="Z452" s="810"/>
      <c r="AA452" s="813"/>
    </row>
    <row r="453" spans="1:29" ht="24" thickBot="1">
      <c r="A453" s="756"/>
      <c r="B453" s="215"/>
      <c r="C453" s="815"/>
      <c r="D453" s="817"/>
      <c r="E453" s="78"/>
      <c r="F453" s="271"/>
      <c r="G453" s="98"/>
      <c r="H453" s="94"/>
      <c r="I453" s="334"/>
      <c r="J453" s="278"/>
      <c r="K453" s="216"/>
      <c r="L453" s="216"/>
      <c r="M453" s="216"/>
      <c r="N453" s="216"/>
      <c r="O453" s="216"/>
      <c r="P453" s="30"/>
      <c r="Q453" s="78">
        <f>база!$L$5</f>
        <v>231.45480000000001</v>
      </c>
      <c r="R453" s="271">
        <v>1.3</v>
      </c>
      <c r="S453" s="98">
        <f>SUMIFS(Таблица1[сумма],Таблица1[коэф],"1,3",Таблица1[р/р],"4/16",Таблица1[Ф. И. О.],B451)</f>
        <v>0</v>
      </c>
      <c r="T453" s="94">
        <f t="shared" si="277"/>
        <v>0</v>
      </c>
      <c r="U453" s="314">
        <f>база!$M$5</f>
        <v>247.41720000000001</v>
      </c>
      <c r="V453" s="271">
        <v>1.3</v>
      </c>
      <c r="W453" s="307">
        <f>SUMIFS(Таблица1[сумма],Таблица1[коэф],"1,3",Таблица1[р/р],"4/24",Таблица1[Ф. И. О.],B451)</f>
        <v>0</v>
      </c>
      <c r="X453" s="313">
        <f t="shared" si="278"/>
        <v>0</v>
      </c>
      <c r="Y453" s="819"/>
      <c r="Z453" s="810"/>
      <c r="AA453" s="813"/>
    </row>
    <row r="454" spans="1:29" ht="24" thickBot="1">
      <c r="A454" s="756"/>
      <c r="B454" s="215"/>
      <c r="C454" s="815"/>
      <c r="D454" s="817"/>
      <c r="E454" s="78"/>
      <c r="F454" s="271"/>
      <c r="G454" s="98"/>
      <c r="H454" s="94"/>
      <c r="I454" s="334"/>
      <c r="J454" s="278"/>
      <c r="K454" s="216"/>
      <c r="L454" s="216"/>
      <c r="M454" s="216"/>
      <c r="N454" s="216"/>
      <c r="O454" s="216"/>
      <c r="P454" s="30"/>
      <c r="Q454" s="78">
        <f>IF(D446&lt;=3,база!$L$4,
IF(D446=4,база!$L$5,
IF(D446=5,база!$L$6)))</f>
        <v>210.57480000000001</v>
      </c>
      <c r="R454" s="271">
        <v>1.4</v>
      </c>
      <c r="S454" s="98">
        <f>SUMIFS(Таблица1[сумма],Таблица1[коэф],"1,4",Таблица1[р/р],"3/16",Таблица1[Ф. И. О.],B451)</f>
        <v>0</v>
      </c>
      <c r="T454" s="94">
        <f>ROUND(Q454*R454*S454,2)</f>
        <v>0</v>
      </c>
      <c r="U454" s="314">
        <f>IF(D446&lt;=3,база!$M$4,
IF(D446=4,база!$M$5,
IF(D446=5,база!$M$6)))</f>
        <v>225.09719999999999</v>
      </c>
      <c r="V454" s="271">
        <v>1.4</v>
      </c>
      <c r="W454" s="307">
        <f>SUMIFS(Таблица1[сумма],Таблица1[коэф],"1,4",Таблица1[р/р],"3/24",Таблица1[Ф. И. О.],B451)</f>
        <v>0</v>
      </c>
      <c r="X454" s="313">
        <f>ROUND(U454*V454*W454,2)</f>
        <v>0</v>
      </c>
      <c r="Y454" s="819"/>
      <c r="Z454" s="810"/>
      <c r="AA454" s="813"/>
    </row>
    <row r="455" spans="1:29" ht="24" thickBot="1">
      <c r="A455" s="756"/>
      <c r="B455" s="215"/>
      <c r="C455" s="815"/>
      <c r="D455" s="817"/>
      <c r="E455" s="78"/>
      <c r="F455" s="271"/>
      <c r="G455" s="98"/>
      <c r="H455" s="94"/>
      <c r="I455" s="334"/>
      <c r="J455" s="278"/>
      <c r="K455" s="216"/>
      <c r="L455" s="216"/>
      <c r="M455" s="216"/>
      <c r="N455" s="216"/>
      <c r="O455" s="216"/>
      <c r="P455" s="30"/>
      <c r="Q455" s="78">
        <f>база!$L$5</f>
        <v>231.45480000000001</v>
      </c>
      <c r="R455" s="271">
        <v>1.4</v>
      </c>
      <c r="S455" s="98">
        <f>SUMIFS(Таблица1[сумма],Таблица1[коэф],"1,4",Таблица1[р/р],"4/16",Таблица1[Ф. И. О.],B451)</f>
        <v>0</v>
      </c>
      <c r="T455" s="94">
        <f>ROUND(Q455*R455*S455,2)</f>
        <v>0</v>
      </c>
      <c r="U455" s="314">
        <f>база!$M$5</f>
        <v>247.41720000000001</v>
      </c>
      <c r="V455" s="271">
        <v>1.4</v>
      </c>
      <c r="W455" s="307">
        <f>SUMIFS(Таблица1[сумма],Таблица1[коэф],"1,4",Таблица1[р/р],"4/24",Таблица1[Ф. И. О.],B451)</f>
        <v>0</v>
      </c>
      <c r="X455" s="313">
        <f>ROUND(U455*V455*W455,2)</f>
        <v>0</v>
      </c>
      <c r="Y455" s="819"/>
      <c r="Z455" s="810"/>
      <c r="AA455" s="813"/>
    </row>
    <row r="456" spans="1:29" ht="24" thickBot="1">
      <c r="A456" s="757"/>
      <c r="B456" s="352"/>
      <c r="C456" s="816"/>
      <c r="D456" s="818"/>
      <c r="E456" s="74"/>
      <c r="F456" s="270"/>
      <c r="G456" s="88"/>
      <c r="H456" s="102"/>
      <c r="I456" s="24"/>
      <c r="J456" s="277"/>
      <c r="K456" s="22"/>
      <c r="L456" s="309"/>
      <c r="M456" s="24"/>
      <c r="N456" s="22"/>
      <c r="O456" s="22"/>
      <c r="P456" s="281"/>
      <c r="Q456" s="71">
        <f>база!$L$6</f>
        <v>261.04640000000001</v>
      </c>
      <c r="R456" s="270">
        <v>1.4</v>
      </c>
      <c r="S456" s="96">
        <f>SUMIFS(Таблица1[сумма],Таблица1[коэф],"1,4",Таблица1[р/р],"5/16",Таблица1[Ф. И. О.],B451)</f>
        <v>0</v>
      </c>
      <c r="T456" s="102">
        <f>ROUND(Q456*R456*S456,2)</f>
        <v>0</v>
      </c>
      <c r="U456" s="81">
        <f>база!$M$6</f>
        <v>279.0496</v>
      </c>
      <c r="V456" s="271">
        <v>1.4</v>
      </c>
      <c r="W456" s="96">
        <f>SUMIFS(Таблица1[сумма],Таблица1[коэф],"1,4",Таблица1[р/р],"5/24",Таблица1[Ф. И. О.],B451)</f>
        <v>0</v>
      </c>
      <c r="X456" s="102">
        <f>ROUND(U456*V456*W456,2)</f>
        <v>0</v>
      </c>
      <c r="Y456" s="820"/>
      <c r="Z456" s="811"/>
      <c r="AA456" s="814"/>
    </row>
    <row r="457" spans="1:29">
      <c r="A457" s="755">
        <v>42</v>
      </c>
      <c r="B457" s="215"/>
      <c r="C457" s="821">
        <f>INDEX(база!$E$2:$E$81, MATCH(B462,база!$B$2:$B$50,0))</f>
        <v>17321</v>
      </c>
      <c r="D457" s="822">
        <f>INDEX(база!$D$2:$D$89, MATCH(B462,база!$B$2:$B$50,0))</f>
        <v>3</v>
      </c>
      <c r="E457" s="72">
        <f>IF(D457&lt;=3,база!$I$4,
IF(D457=4,база!$I$5,
IF(D457=5,база!$I$6)))</f>
        <v>188.7912</v>
      </c>
      <c r="F457" s="269">
        <v>1</v>
      </c>
      <c r="G457" s="95">
        <f>SUMIFS(Таблица1[сумма],Таблица1[коэф],"1",Таблица1[р/р],"2/4",Таблица1[Ф. И. О.],B462)</f>
        <v>0</v>
      </c>
      <c r="H457" s="87">
        <f>ROUND(E457*F457*G457,2)</f>
        <v>0</v>
      </c>
      <c r="I457" s="344">
        <f>IF(D457&lt;=3,база!$J$4,
IF(D457=4,база!$J$5,
IF(D457=5,база!$J$6)))</f>
        <v>196.05240000000001</v>
      </c>
      <c r="J457" s="277">
        <v>1</v>
      </c>
      <c r="K457" s="309">
        <f>SUMIFS(Таблица1[сумма],Таблица1[коэф],"1",Таблица1[р/р],"2/8",Таблица1[Ф. И. О.],B462)</f>
        <v>0</v>
      </c>
      <c r="L457" s="309">
        <f>ROUND(I457*J457*K457,2)</f>
        <v>0</v>
      </c>
      <c r="M457" s="309"/>
      <c r="N457" s="309">
        <v>1</v>
      </c>
      <c r="O457" s="309">
        <f>SUMIFS(Data_Tech!$AM$3:$AM$67,Data_Tech!$E$3:$E$67,"1",Data_Tech!$G$3:$G$67,"3/12",Data_Tech!$F$3:$F$67,B462)</f>
        <v>0</v>
      </c>
      <c r="P457" s="281">
        <f>ROUND(M457*N457*O457,2)</f>
        <v>0</v>
      </c>
      <c r="Q457" s="72">
        <f>IF(D457&lt;=3,база!$L$4,
IF(D457=4,база!$L$5,
IF(D457=5,база!$L$6)))</f>
        <v>210.57480000000001</v>
      </c>
      <c r="R457" s="269">
        <v>1</v>
      </c>
      <c r="S457" s="95">
        <f>SUMIFS(Таблица1[сумма],Таблица1[коэф],"1",Таблица1[р/р],"3/16",Таблица1[Ф. И. О.],B462)</f>
        <v>0</v>
      </c>
      <c r="T457" s="87">
        <f t="shared" ref="T457:T461" si="279">ROUND(Q457*R457*S457,2)</f>
        <v>0</v>
      </c>
      <c r="U457" s="349">
        <f>IF(D457&lt;=3,база!$M$4,
IF(D457=4,база!$M$5,
IF(D457=5,база!$M$6)))</f>
        <v>225.09719999999999</v>
      </c>
      <c r="V457" s="270">
        <v>1</v>
      </c>
      <c r="W457" s="337">
        <f>SUMIFS(Таблица1[сумма],Таблица1[коэф],"1",Таблица1[р/р],"3/24",Таблица1[Ф. И. О.],B462)</f>
        <v>0</v>
      </c>
      <c r="X457" s="342">
        <f>ROUND(U457*V457*W457,2)</f>
        <v>0</v>
      </c>
      <c r="Y457" s="819">
        <f t="shared" ref="Y457" si="280">SUM(G457:G467,K457:K467,O457:O467,S457:S467,W457:W467)</f>
        <v>0</v>
      </c>
      <c r="Z457" s="823">
        <f t="shared" ref="Z457" si="281">IFERROR(SUM(H457:H467,L457:L467,T457:T467,X457:X467),"")</f>
        <v>0</v>
      </c>
      <c r="AA457" s="813"/>
    </row>
    <row r="458" spans="1:29">
      <c r="A458" s="756"/>
      <c r="B458" s="215"/>
      <c r="C458" s="815"/>
      <c r="D458" s="817"/>
      <c r="E458" s="78">
        <f>IF(D457&lt;=3,база!$I$4,
IF(D457=4,база!$I$5,
IF(D457=5,база!$I$6)))</f>
        <v>188.7912</v>
      </c>
      <c r="F458" s="271">
        <v>1</v>
      </c>
      <c r="G458" s="98">
        <f>SUMIFS(Таблица1[сумма],Таблица1[коэф],"1",Таблица1[р/р],"3/4",Таблица1[Ф. И. О.],B462)</f>
        <v>0</v>
      </c>
      <c r="H458" s="94">
        <f>ROUND(E458*F458*G458,2)</f>
        <v>0</v>
      </c>
      <c r="I458" s="334">
        <f>IF(D457&lt;=3,база!$J$4,
IF(D457=4,база!$J$5,
IF(D457=5,база!$J$6)))</f>
        <v>196.05240000000001</v>
      </c>
      <c r="J458" s="278">
        <v>1</v>
      </c>
      <c r="K458" s="216"/>
      <c r="L458" s="216">
        <f>ROUND(I458*J458*K458,2)</f>
        <v>0</v>
      </c>
      <c r="M458" s="216"/>
      <c r="N458" s="216">
        <v>1</v>
      </c>
      <c r="O458" s="216">
        <f>SUMIFS(Data_Tech!$AM$3:$AM$67,Data_Tech!$E$3:$E$67,"1",Data_Tech!$G$3:$G$67,"4/12",Data_Tech!$F$3:$F$67,B462)</f>
        <v>0</v>
      </c>
      <c r="P458" s="30">
        <f>ROUND(M458*O458,2)</f>
        <v>0</v>
      </c>
      <c r="Q458" s="78">
        <f>база!$L$5</f>
        <v>231.45480000000001</v>
      </c>
      <c r="R458" s="271">
        <v>1</v>
      </c>
      <c r="S458" s="98">
        <f>SUMIFS(Таблица1[сумма],Таблица1[коэф],"1",Таблица1[р/р],"4/16",Таблица1[Ф. И. О.],B462)</f>
        <v>0</v>
      </c>
      <c r="T458" s="94">
        <f t="shared" si="279"/>
        <v>0</v>
      </c>
      <c r="U458" s="314">
        <f>база!$M$5</f>
        <v>247.41720000000001</v>
      </c>
      <c r="V458" s="271">
        <v>1</v>
      </c>
      <c r="W458" s="307">
        <f>SUMIFS(Таблица1[сумма],Таблица1[коэф],"1",Таблица1[р/р],"4/24",Таблица1[Ф. И. О.],B462)</f>
        <v>0</v>
      </c>
      <c r="X458" s="313">
        <f t="shared" ref="X458" si="282">ROUND(U458*V458*W458,2)</f>
        <v>0</v>
      </c>
      <c r="Y458" s="819"/>
      <c r="Z458" s="810"/>
      <c r="AA458" s="813"/>
    </row>
    <row r="459" spans="1:29">
      <c r="A459" s="756"/>
      <c r="B459" s="215"/>
      <c r="C459" s="815"/>
      <c r="D459" s="817"/>
      <c r="E459" s="78"/>
      <c r="F459" s="271"/>
      <c r="G459" s="98"/>
      <c r="H459" s="94"/>
      <c r="I459" s="334"/>
      <c r="J459" s="278"/>
      <c r="K459" s="216"/>
      <c r="L459" s="216"/>
      <c r="M459" s="216"/>
      <c r="N459" s="216"/>
      <c r="O459" s="216"/>
      <c r="P459" s="30"/>
      <c r="Q459" s="78">
        <f>база!$L$6</f>
        <v>261.04640000000001</v>
      </c>
      <c r="R459" s="271">
        <v>1</v>
      </c>
      <c r="S459" s="98">
        <f>SUMIFS(Таблица1[сумма],Таблица1[коэф],"1",Таблица1[р/р],"5/16",Таблица1[Ф. И. О.],B462)</f>
        <v>0</v>
      </c>
      <c r="T459" s="94">
        <f t="shared" si="279"/>
        <v>0</v>
      </c>
      <c r="U459" s="314">
        <f>база!$M$6</f>
        <v>279.0496</v>
      </c>
      <c r="V459" s="271">
        <v>1</v>
      </c>
      <c r="W459" s="307">
        <f>SUMIFS(Таблица1[сумма],Таблица1[коэф],"1",Таблица1[р/р],"5/24",Таблица1[Ф. И. О.],B462)</f>
        <v>0</v>
      </c>
      <c r="X459" s="313">
        <f>ROUND(U459*V459*W459,2)</f>
        <v>0</v>
      </c>
      <c r="Y459" s="819"/>
      <c r="Z459" s="810"/>
      <c r="AA459" s="813"/>
    </row>
    <row r="460" spans="1:29">
      <c r="A460" s="756"/>
      <c r="B460" s="215"/>
      <c r="C460" s="815"/>
      <c r="D460" s="817"/>
      <c r="E460" s="78"/>
      <c r="F460" s="271"/>
      <c r="G460" s="98"/>
      <c r="H460" s="94"/>
      <c r="I460" s="334">
        <f>база!$J$5</f>
        <v>215.4924</v>
      </c>
      <c r="J460" s="278">
        <v>1.5</v>
      </c>
      <c r="K460" s="216">
        <f>SUMIFS(Таблица1[сумма],Таблица1[коэф],"1,5",Таблица1[р/р],"4/8",Таблица1[Ф. И. О.],B462)</f>
        <v>0</v>
      </c>
      <c r="L460" s="216">
        <f>ROUND(I460*J460*K460,2)</f>
        <v>0</v>
      </c>
      <c r="M460" s="216"/>
      <c r="N460" s="216"/>
      <c r="O460" s="216"/>
      <c r="P460" s="30"/>
      <c r="Q460" s="78">
        <f>IF(D457&lt;=3,база!$L$4,
IF(D457=4,база!$L$5,
IF(D457=5,база!$L$6)))</f>
        <v>210.57480000000001</v>
      </c>
      <c r="R460" s="271">
        <v>1.2</v>
      </c>
      <c r="S460" s="98">
        <f>SUMIFS(Таблица1[сумма],Таблица1[коэф],"1,2",Таблица1[р/р],"3/16",Таблица1[Ф. И. О.],B462)</f>
        <v>0</v>
      </c>
      <c r="T460" s="94">
        <f t="shared" si="279"/>
        <v>0</v>
      </c>
      <c r="U460" s="314">
        <f>IF(D457&lt;=3,база!$M$4,
IF(D457=4,база!$M$5,
IF(D457=5,база!$M$6)))</f>
        <v>225.09719999999999</v>
      </c>
      <c r="V460" s="271">
        <v>1.2</v>
      </c>
      <c r="W460" s="307">
        <f>SUMIFS(Таблица1[сумма],Таблица1[коэф],"1,2",Таблица1[р/р],"3/24",Таблица1[Ф. И. О.],B462)</f>
        <v>0</v>
      </c>
      <c r="X460" s="313">
        <f t="shared" ref="X460:X461" si="283">ROUND(U460*V460*W460,2)</f>
        <v>0</v>
      </c>
      <c r="Y460" s="819"/>
      <c r="Z460" s="810"/>
      <c r="AA460" s="813"/>
    </row>
    <row r="461" spans="1:29">
      <c r="A461" s="756"/>
      <c r="B461" s="215"/>
      <c r="C461" s="815"/>
      <c r="D461" s="817"/>
      <c r="E461" s="78"/>
      <c r="F461" s="271"/>
      <c r="G461" s="98"/>
      <c r="H461" s="94"/>
      <c r="I461" s="334">
        <f>база!$J$6</f>
        <v>243.04319999999998</v>
      </c>
      <c r="J461" s="278">
        <v>1.5</v>
      </c>
      <c r="K461" s="216">
        <f>SUMIFS(Таблица1[сумма],Таблица1[коэф],"1,5",Таблица1[р/р],"5/8",Таблица1[Ф. И. О.],B462)</f>
        <v>0</v>
      </c>
      <c r="L461" s="216">
        <f>ROUND(I461*J461*K461,2)</f>
        <v>0</v>
      </c>
      <c r="M461" s="216"/>
      <c r="N461" s="216"/>
      <c r="O461" s="216"/>
      <c r="P461" s="30"/>
      <c r="Q461" s="78">
        <f>база!$L$5</f>
        <v>231.45480000000001</v>
      </c>
      <c r="R461" s="271">
        <v>1.2</v>
      </c>
      <c r="S461" s="98">
        <f>SUMIFS(Таблица1[сумма],Таблица1[коэф],"1,2",Таблица1[р/р],"4/16",Таблица1[Ф. И. О.],B462)</f>
        <v>0</v>
      </c>
      <c r="T461" s="94">
        <f t="shared" si="279"/>
        <v>0</v>
      </c>
      <c r="U461" s="314">
        <f>база!$M$5</f>
        <v>247.41720000000001</v>
      </c>
      <c r="V461" s="271">
        <v>1.2</v>
      </c>
      <c r="W461" s="307">
        <f>SUMIFS(Таблица1[сумма],Таблица1[коэф],"1,2",Таблица1[р/р],"4/24",Таблица1[Ф. И. О.],B462)</f>
        <v>0</v>
      </c>
      <c r="X461" s="313">
        <f t="shared" si="283"/>
        <v>0</v>
      </c>
      <c r="Y461" s="819"/>
      <c r="Z461" s="810"/>
      <c r="AA461" s="813"/>
      <c r="AC461" s="707" t="str">
        <f>IF(SUMIFS(Таблица1[Столбец2],Таблица1[Ф. И. О.],B462)-Z457=0,"",SUMIFS(Таблица1[Столбец2],Таблица1[Ф. И. О.],B462)-Z457)</f>
        <v/>
      </c>
    </row>
    <row r="462" spans="1:29">
      <c r="A462" s="756"/>
      <c r="B462" s="215" t="str">
        <f>база!B43</f>
        <v>Малышева Анна Евгеньевна</v>
      </c>
      <c r="C462" s="815"/>
      <c r="D462" s="817"/>
      <c r="E462" s="78"/>
      <c r="F462" s="271"/>
      <c r="G462" s="98"/>
      <c r="H462" s="94"/>
      <c r="I462" s="334"/>
      <c r="J462" s="278"/>
      <c r="K462" s="216"/>
      <c r="L462" s="216"/>
      <c r="M462" s="216"/>
      <c r="N462" s="216"/>
      <c r="O462" s="216"/>
      <c r="P462" s="30"/>
      <c r="Q462" s="78">
        <f>база!$L$6</f>
        <v>261.04640000000001</v>
      </c>
      <c r="R462" s="271">
        <v>1.2</v>
      </c>
      <c r="S462" s="98">
        <f>SUMIFS(Таблица1[сумма],Таблица1[коэф],"1,2",Таблица1[р/р],"5/16",Таблица1[Ф. И. О.],B462)</f>
        <v>0</v>
      </c>
      <c r="T462" s="94">
        <f>ROUND(Q462*R462*S462,2)</f>
        <v>0</v>
      </c>
      <c r="U462" s="314">
        <f>база!$M$6</f>
        <v>279.0496</v>
      </c>
      <c r="V462" s="271">
        <v>1.2</v>
      </c>
      <c r="W462" s="307">
        <f>SUMIFS(Таблица1[сумма],Таблица1[коэф],"1,2",Таблица1[р/р],"5/24",Таблица1[Ф. И. О.],B462)</f>
        <v>0</v>
      </c>
      <c r="X462" s="313">
        <f>ROUND(U462*V462*W462,2)</f>
        <v>0</v>
      </c>
      <c r="Y462" s="819"/>
      <c r="Z462" s="810"/>
      <c r="AA462" s="813"/>
      <c r="AC462" s="707" t="str">
        <f>IF(SUMIFS(Таблица1[сумма],Таблица1[Ф. И. О.],B462)=Y457,"",B457&amp;"  часы не верны")</f>
        <v/>
      </c>
    </row>
    <row r="463" spans="1:29">
      <c r="A463" s="756"/>
      <c r="B463" s="215"/>
      <c r="C463" s="815"/>
      <c r="D463" s="817"/>
      <c r="E463" s="78"/>
      <c r="F463" s="271"/>
      <c r="G463" s="98"/>
      <c r="H463" s="94"/>
      <c r="I463" s="334"/>
      <c r="J463" s="278"/>
      <c r="K463" s="216"/>
      <c r="L463" s="216"/>
      <c r="M463" s="216"/>
      <c r="N463" s="216"/>
      <c r="O463" s="216"/>
      <c r="P463" s="30"/>
      <c r="Q463" s="78">
        <f>IF($D$6&lt;=3,база!$L$4,
IF($D$6=4,база!$L$5,
IF($D$6=5,база!$L$6)))</f>
        <v>231.45480000000001</v>
      </c>
      <c r="R463" s="271">
        <v>1.3</v>
      </c>
      <c r="S463" s="98">
        <f>SUMIFS(Таблица1[сумма],Таблица1[коэф],"1,3",Таблица1[р/р],"3/16",Таблица1[Ф. И. О.],B462)</f>
        <v>0</v>
      </c>
      <c r="T463" s="94">
        <f t="shared" ref="T463:T464" si="284">ROUND(Q463*R463*S463,2)</f>
        <v>0</v>
      </c>
      <c r="U463" s="314">
        <f>IF(D457&lt;=3,база!$M$4,
IF(D457=4,база!$M$5,
IF(D457=5,база!$M$6)))</f>
        <v>225.09719999999999</v>
      </c>
      <c r="V463" s="271">
        <v>1.3</v>
      </c>
      <c r="W463" s="307">
        <f>SUMIFS(Таблица1[сумма],Таблица1[коэф],"1,3",Таблица1[р/р],"3/24",Таблица1[Ф. И. О.],B462)</f>
        <v>0</v>
      </c>
      <c r="X463" s="313">
        <f t="shared" ref="X463:X464" si="285">ROUND(U463*V463*W463,2)</f>
        <v>0</v>
      </c>
      <c r="Y463" s="819"/>
      <c r="Z463" s="810"/>
      <c r="AA463" s="813"/>
    </row>
    <row r="464" spans="1:29">
      <c r="A464" s="756"/>
      <c r="B464" s="215"/>
      <c r="C464" s="815"/>
      <c r="D464" s="817"/>
      <c r="E464" s="78"/>
      <c r="F464" s="271"/>
      <c r="G464" s="98"/>
      <c r="H464" s="94"/>
      <c r="I464" s="334"/>
      <c r="J464" s="278"/>
      <c r="K464" s="216"/>
      <c r="L464" s="216"/>
      <c r="M464" s="216"/>
      <c r="N464" s="216"/>
      <c r="O464" s="216"/>
      <c r="P464" s="30"/>
      <c r="Q464" s="78">
        <f>база!$L$5</f>
        <v>231.45480000000001</v>
      </c>
      <c r="R464" s="271">
        <v>1.3</v>
      </c>
      <c r="S464" s="98">
        <f>SUMIFS(Таблица1[сумма],Таблица1[коэф],"1,3",Таблица1[р/р],"4/16",Таблица1[Ф. И. О.],B462)</f>
        <v>0</v>
      </c>
      <c r="T464" s="94">
        <f t="shared" si="284"/>
        <v>0</v>
      </c>
      <c r="U464" s="314">
        <f>база!$M$5</f>
        <v>247.41720000000001</v>
      </c>
      <c r="V464" s="271">
        <v>1.3</v>
      </c>
      <c r="W464" s="307">
        <f>SUMIFS(Таблица1[сумма],Таблица1[коэф],"1,3",Таблица1[р/р],"4/24",Таблица1[Ф. И. О.],B462)</f>
        <v>0</v>
      </c>
      <c r="X464" s="313">
        <f t="shared" si="285"/>
        <v>0</v>
      </c>
      <c r="Y464" s="819"/>
      <c r="Z464" s="810"/>
      <c r="AA464" s="813"/>
    </row>
    <row r="465" spans="1:29">
      <c r="A465" s="756"/>
      <c r="B465" s="215"/>
      <c r="C465" s="815"/>
      <c r="D465" s="817"/>
      <c r="E465" s="78"/>
      <c r="F465" s="271"/>
      <c r="G465" s="98"/>
      <c r="H465" s="94"/>
      <c r="I465" s="334"/>
      <c r="J465" s="278"/>
      <c r="K465" s="216"/>
      <c r="L465" s="216"/>
      <c r="M465" s="216"/>
      <c r="N465" s="216"/>
      <c r="O465" s="216"/>
      <c r="P465" s="30"/>
      <c r="Q465" s="78">
        <f>IF(D457&lt;=3,база!$L$4,
IF(D457=4,база!$L$5,
IF(D457=5,база!$L$6)))</f>
        <v>210.57480000000001</v>
      </c>
      <c r="R465" s="271">
        <v>1.4</v>
      </c>
      <c r="S465" s="98">
        <f>SUMIFS(Таблица1[сумма],Таблица1[коэф],"1,4",Таблица1[р/р],"3/16",Таблица1[Ф. И. О.],B462)</f>
        <v>0</v>
      </c>
      <c r="T465" s="94">
        <f>ROUND(Q465*R465*S465,2)</f>
        <v>0</v>
      </c>
      <c r="U465" s="314">
        <f>IF(D457&lt;=3,база!$M$4,
IF(D457=4,база!$M$5,
IF(D457=5,база!$M$6)))</f>
        <v>225.09719999999999</v>
      </c>
      <c r="V465" s="271">
        <v>1.4</v>
      </c>
      <c r="W465" s="307">
        <f>SUMIFS(Таблица1[сумма],Таблица1[коэф],"1,4",Таблица1[р/р],"3/24",Таблица1[Ф. И. О.],B462)</f>
        <v>0</v>
      </c>
      <c r="X465" s="313">
        <f>ROUND(U465*V465*W465,2)</f>
        <v>0</v>
      </c>
      <c r="Y465" s="819"/>
      <c r="Z465" s="810"/>
      <c r="AA465" s="813"/>
    </row>
    <row r="466" spans="1:29">
      <c r="A466" s="756"/>
      <c r="B466" s="215"/>
      <c r="C466" s="815"/>
      <c r="D466" s="817"/>
      <c r="E466" s="78"/>
      <c r="F466" s="271"/>
      <c r="G466" s="98"/>
      <c r="H466" s="94"/>
      <c r="I466" s="334"/>
      <c r="J466" s="278"/>
      <c r="K466" s="216"/>
      <c r="L466" s="216"/>
      <c r="M466" s="216"/>
      <c r="N466" s="216"/>
      <c r="O466" s="216"/>
      <c r="P466" s="30"/>
      <c r="Q466" s="78">
        <f>база!$L$5</f>
        <v>231.45480000000001</v>
      </c>
      <c r="R466" s="271">
        <v>1.4</v>
      </c>
      <c r="S466" s="98">
        <f>SUMIFS(Таблица1[сумма],Таблица1[коэф],"1,4",Таблица1[р/р],"4/16",Таблица1[Ф. И. О.],B462)</f>
        <v>0</v>
      </c>
      <c r="T466" s="94">
        <f>ROUND(Q466*R466*S466,2)</f>
        <v>0</v>
      </c>
      <c r="U466" s="314">
        <f>база!$M$5</f>
        <v>247.41720000000001</v>
      </c>
      <c r="V466" s="271">
        <v>1.4</v>
      </c>
      <c r="W466" s="307">
        <f>SUMIFS(Таблица1[сумма],Таблица1[коэф],"1,4",Таблица1[р/р],"4/24",Таблица1[Ф. И. О.],B462)</f>
        <v>0</v>
      </c>
      <c r="X466" s="313">
        <f>ROUND(U466*V466*W466,2)</f>
        <v>0</v>
      </c>
      <c r="Y466" s="819"/>
      <c r="Z466" s="810"/>
      <c r="AA466" s="813"/>
    </row>
    <row r="467" spans="1:29" ht="24" thickBot="1">
      <c r="A467" s="757"/>
      <c r="B467" s="352"/>
      <c r="C467" s="816"/>
      <c r="D467" s="818"/>
      <c r="E467" s="74"/>
      <c r="F467" s="270"/>
      <c r="G467" s="88"/>
      <c r="H467" s="102"/>
      <c r="I467" s="24"/>
      <c r="J467" s="277"/>
      <c r="K467" s="22"/>
      <c r="L467" s="309"/>
      <c r="M467" s="24"/>
      <c r="N467" s="22"/>
      <c r="O467" s="22"/>
      <c r="P467" s="281"/>
      <c r="Q467" s="71">
        <f>база!$L$6</f>
        <v>261.04640000000001</v>
      </c>
      <c r="R467" s="270">
        <v>1.4</v>
      </c>
      <c r="S467" s="96">
        <f>SUMIFS(Таблица1[сумма],Таблица1[коэф],"1,4",Таблица1[р/р],"5/16",Таблица1[Ф. И. О.],B462)</f>
        <v>0</v>
      </c>
      <c r="T467" s="102">
        <f>ROUND(Q467*R467*S467,2)</f>
        <v>0</v>
      </c>
      <c r="U467" s="81">
        <f>база!$M$6</f>
        <v>279.0496</v>
      </c>
      <c r="V467" s="271">
        <v>1.4</v>
      </c>
      <c r="W467" s="96">
        <f>SUMIFS(Таблица1[сумма],Таблица1[коэф],"1,4",Таблица1[р/р],"5/24",Таблица1[Ф. И. О.],B462)</f>
        <v>0</v>
      </c>
      <c r="X467" s="102">
        <f>ROUND(U467*V467*W467,2)</f>
        <v>0</v>
      </c>
      <c r="Y467" s="820"/>
      <c r="Z467" s="811"/>
      <c r="AA467" s="814"/>
    </row>
    <row r="468" spans="1:29">
      <c r="A468" s="755">
        <v>43</v>
      </c>
      <c r="B468" s="215"/>
      <c r="C468" s="821">
        <f>INDEX(база!$E$2:$E$81, MATCH(B473,база!$B$2:$B$50,0))</f>
        <v>17136</v>
      </c>
      <c r="D468" s="822">
        <f>INDEX(база!$D$2:$D$89, MATCH(B473,база!$B$2:$B$50,0))</f>
        <v>3</v>
      </c>
      <c r="E468" s="72">
        <f>IF(D468&lt;=3,база!$I$4,
IF(D468=4,база!$I$5,
IF(D468=5,база!$I$6)))</f>
        <v>188.7912</v>
      </c>
      <c r="F468" s="269">
        <v>1</v>
      </c>
      <c r="G468" s="95">
        <f>SUMIFS(Таблица1[сумма],Таблица1[коэф],"1",Таблица1[р/р],"2/4",Таблица1[Ф. И. О.],B473)</f>
        <v>0</v>
      </c>
      <c r="H468" s="87">
        <f>ROUND(E468*F468*G468,2)</f>
        <v>0</v>
      </c>
      <c r="I468" s="344">
        <f>IF(D468&lt;=3,база!$J$4,
IF(D468=4,база!$J$5,
IF(D468=5,база!$J$6)))</f>
        <v>196.05240000000001</v>
      </c>
      <c r="J468" s="277">
        <v>1</v>
      </c>
      <c r="K468" s="309">
        <f>SUMIFS(Таблица1[сумма],Таблица1[коэф],"1",Таблица1[р/р],"2/8",Таблица1[Ф. И. О.],B473)</f>
        <v>0</v>
      </c>
      <c r="L468" s="309">
        <f>ROUND(I468*J468*K468,2)</f>
        <v>0</v>
      </c>
      <c r="M468" s="309"/>
      <c r="N468" s="309">
        <v>1</v>
      </c>
      <c r="O468" s="309">
        <f>SUMIFS(Data_Tech!$AM$3:$AM$67,Data_Tech!$E$3:$E$67,"1",Data_Tech!$G$3:$G$67,"3/12",Data_Tech!$F$3:$F$67,B473)</f>
        <v>0</v>
      </c>
      <c r="P468" s="281">
        <f>ROUND(M468*N468*O468,2)</f>
        <v>0</v>
      </c>
      <c r="Q468" s="72">
        <f>IF(D468&lt;=3,база!$L$4,
IF(D468=4,база!$L$5,
IF(D468=5,база!$L$6)))</f>
        <v>210.57480000000001</v>
      </c>
      <c r="R468" s="269">
        <v>1</v>
      </c>
      <c r="S468" s="95">
        <f>SUMIFS(Таблица1[сумма],Таблица1[коэф],"1",Таблица1[р/р],"3/16",Таблица1[Ф. И. О.],B473)</f>
        <v>0</v>
      </c>
      <c r="T468" s="87">
        <f t="shared" ref="T468:T472" si="286">ROUND(Q468*R468*S468,2)</f>
        <v>0</v>
      </c>
      <c r="U468" s="349">
        <f>IF(D468&lt;=3,база!$M$4,
IF(D468=4,база!$M$5,
IF(D468=5,база!$M$6)))</f>
        <v>225.09719999999999</v>
      </c>
      <c r="V468" s="270">
        <v>1</v>
      </c>
      <c r="W468" s="337">
        <f>SUMIFS(Таблица1[сумма],Таблица1[коэф],"1",Таблица1[р/р],"3/24",Таблица1[Ф. И. О.],B473)</f>
        <v>0</v>
      </c>
      <c r="X468" s="342">
        <f>ROUND(U468*V468*W468,2)</f>
        <v>0</v>
      </c>
      <c r="Y468" s="819">
        <f t="shared" ref="Y468" si="287">SUM(G468:G478,K468:K478,O468:O478,S468:S478,W468:W478)</f>
        <v>0</v>
      </c>
      <c r="Z468" s="823">
        <f t="shared" ref="Z468" si="288">IFERROR(SUM(H468:H478,L468:L478,T468:T478,X468:X478),"")</f>
        <v>0</v>
      </c>
      <c r="AA468" s="813"/>
    </row>
    <row r="469" spans="1:29">
      <c r="A469" s="756"/>
      <c r="B469" s="215"/>
      <c r="C469" s="815"/>
      <c r="D469" s="817"/>
      <c r="E469" s="78">
        <f>IF(D468&lt;=3,база!$I$4,
IF(D468=4,база!$I$5,
IF(D468=5,база!$I$6)))</f>
        <v>188.7912</v>
      </c>
      <c r="F469" s="271">
        <v>1</v>
      </c>
      <c r="G469" s="98">
        <f>SUMIFS(Таблица1[сумма],Таблица1[коэф],"1",Таблица1[р/р],"3/4",Таблица1[Ф. И. О.],B473)</f>
        <v>0</v>
      </c>
      <c r="H469" s="94">
        <f>ROUND(E469*F469*G469,2)</f>
        <v>0</v>
      </c>
      <c r="I469" s="334">
        <f>IF(D468&lt;=3,база!$J$4,
IF(D468=4,база!$J$5,
IF(D468=5,база!$J$6)))</f>
        <v>196.05240000000001</v>
      </c>
      <c r="J469" s="278">
        <v>1</v>
      </c>
      <c r="K469" s="216"/>
      <c r="L469" s="216">
        <f>ROUND(I469*J469*K469,2)</f>
        <v>0</v>
      </c>
      <c r="M469" s="216"/>
      <c r="N469" s="216">
        <v>1</v>
      </c>
      <c r="O469" s="216">
        <f>SUMIFS(Data_Tech!$AM$3:$AM$67,Data_Tech!$E$3:$E$67,"1",Data_Tech!$G$3:$G$67,"4/12",Data_Tech!$F$3:$F$67,B473)</f>
        <v>0</v>
      </c>
      <c r="P469" s="30">
        <f>ROUND(M469*O469,2)</f>
        <v>0</v>
      </c>
      <c r="Q469" s="78">
        <f>база!$L$5</f>
        <v>231.45480000000001</v>
      </c>
      <c r="R469" s="271">
        <v>1</v>
      </c>
      <c r="S469" s="98">
        <f>SUMIFS(Таблица1[сумма],Таблица1[коэф],"1",Таблица1[р/р],"4/16",Таблица1[Ф. И. О.],B473)</f>
        <v>0</v>
      </c>
      <c r="T469" s="94">
        <f t="shared" si="286"/>
        <v>0</v>
      </c>
      <c r="U469" s="314">
        <f>база!$M$5</f>
        <v>247.41720000000001</v>
      </c>
      <c r="V469" s="271">
        <v>1</v>
      </c>
      <c r="W469" s="307">
        <f>SUMIFS(Таблица1[сумма],Таблица1[коэф],"1",Таблица1[р/р],"4/24",Таблица1[Ф. И. О.],B473)</f>
        <v>0</v>
      </c>
      <c r="X469" s="313">
        <f t="shared" ref="X469" si="289">ROUND(U469*V469*W469,2)</f>
        <v>0</v>
      </c>
      <c r="Y469" s="819"/>
      <c r="Z469" s="810"/>
      <c r="AA469" s="813"/>
    </row>
    <row r="470" spans="1:29" ht="24" thickBot="1">
      <c r="A470" s="756"/>
      <c r="B470" s="215"/>
      <c r="C470" s="815"/>
      <c r="D470" s="817"/>
      <c r="E470" s="78"/>
      <c r="F470" s="271"/>
      <c r="G470" s="98"/>
      <c r="H470" s="94"/>
      <c r="I470" s="334"/>
      <c r="J470" s="278"/>
      <c r="K470" s="216"/>
      <c r="L470" s="216"/>
      <c r="M470" s="216"/>
      <c r="N470" s="216"/>
      <c r="O470" s="216"/>
      <c r="P470" s="30"/>
      <c r="Q470" s="78">
        <f>база!$L$6</f>
        <v>261.04640000000001</v>
      </c>
      <c r="R470" s="271">
        <v>1</v>
      </c>
      <c r="S470" s="98">
        <f>SUMIFS(Таблица1[сумма],Таблица1[коэф],"1",Таблица1[р/р],"5/16",Таблица1[Ф. И. О.],B473)</f>
        <v>0</v>
      </c>
      <c r="T470" s="94">
        <f t="shared" si="286"/>
        <v>0</v>
      </c>
      <c r="U470" s="314">
        <f>база!$M$6</f>
        <v>279.0496</v>
      </c>
      <c r="V470" s="271">
        <v>1</v>
      </c>
      <c r="W470" s="307">
        <f>SUMIFS(Таблица1[сумма],Таблица1[коэф],"1",Таблица1[р/р],"5/24",Таблица1[Ф. И. О.],B473)</f>
        <v>0</v>
      </c>
      <c r="X470" s="313">
        <f>ROUND(U470*V470*W470,2)</f>
        <v>0</v>
      </c>
      <c r="Y470" s="819"/>
      <c r="Z470" s="810"/>
      <c r="AA470" s="813"/>
    </row>
    <row r="471" spans="1:29" ht="24" thickBot="1">
      <c r="A471" s="756"/>
      <c r="B471" s="215"/>
      <c r="C471" s="815"/>
      <c r="D471" s="817"/>
      <c r="E471" s="78"/>
      <c r="F471" s="271"/>
      <c r="G471" s="98"/>
      <c r="H471" s="94"/>
      <c r="I471" s="334">
        <f>база!$J$5</f>
        <v>215.4924</v>
      </c>
      <c r="J471" s="278">
        <v>1.5</v>
      </c>
      <c r="K471" s="216">
        <f>SUMIFS(Таблица1[сумма],Таблица1[коэф],"1,5",Таблица1[р/р],"4/8",Таблица1[Ф. И. О.],B473)</f>
        <v>0</v>
      </c>
      <c r="L471" s="216">
        <f>ROUND(I471*J471*K471,2)</f>
        <v>0</v>
      </c>
      <c r="M471" s="216"/>
      <c r="N471" s="216"/>
      <c r="O471" s="216"/>
      <c r="P471" s="30"/>
      <c r="Q471" s="78">
        <f>IF(D468&lt;=3,база!$L$4,
IF(D468=4,база!$L$5,
IF(D468=5,база!$L$6)))</f>
        <v>210.57480000000001</v>
      </c>
      <c r="R471" s="271">
        <v>1.2</v>
      </c>
      <c r="S471" s="98">
        <f>SUMIFS(Таблица1[сумма],Таблица1[коэф],"1,2",Таблица1[р/р],"3/16",Таблица1[Ф. И. О.],B473)</f>
        <v>0</v>
      </c>
      <c r="T471" s="94">
        <f t="shared" si="286"/>
        <v>0</v>
      </c>
      <c r="U471" s="314">
        <f>IF(D468&lt;=3,база!$M$4,
IF(D468=4,база!$M$5,
IF(D468=5,база!$M$6)))</f>
        <v>225.09719999999999</v>
      </c>
      <c r="V471" s="271">
        <v>1.2</v>
      </c>
      <c r="W471" s="307">
        <f>SUMIFS(Таблица1[сумма],Таблица1[коэф],"1,2",Таблица1[р/р],"3/24",Таблица1[Ф. И. О.],B473)</f>
        <v>0</v>
      </c>
      <c r="X471" s="313">
        <f t="shared" ref="X471:X472" si="290">ROUND(U471*V471*W471,2)</f>
        <v>0</v>
      </c>
      <c r="Y471" s="819"/>
      <c r="Z471" s="810"/>
      <c r="AA471" s="813"/>
    </row>
    <row r="472" spans="1:29" ht="24" thickBot="1">
      <c r="A472" s="756"/>
      <c r="B472" s="215"/>
      <c r="C472" s="815"/>
      <c r="D472" s="817"/>
      <c r="E472" s="78"/>
      <c r="F472" s="271"/>
      <c r="G472" s="98"/>
      <c r="H472" s="94"/>
      <c r="I472" s="334">
        <f>база!$J$6</f>
        <v>243.04319999999998</v>
      </c>
      <c r="J472" s="278">
        <v>1.5</v>
      </c>
      <c r="K472" s="216">
        <f>SUMIFS(Таблица1[сумма],Таблица1[коэф],"1,5",Таблица1[р/р],"5/8",Таблица1[Ф. И. О.],B473)</f>
        <v>0</v>
      </c>
      <c r="L472" s="216">
        <f>ROUND(I472*J472*K472,2)</f>
        <v>0</v>
      </c>
      <c r="M472" s="216"/>
      <c r="N472" s="216"/>
      <c r="O472" s="216"/>
      <c r="P472" s="30"/>
      <c r="Q472" s="78">
        <f>база!$L$5</f>
        <v>231.45480000000001</v>
      </c>
      <c r="R472" s="271">
        <v>1.2</v>
      </c>
      <c r="S472" s="98">
        <f>SUMIFS(Таблица1[сумма],Таблица1[коэф],"1,2",Таблица1[р/р],"4/16",Таблица1[Ф. И. О.],B473)</f>
        <v>0</v>
      </c>
      <c r="T472" s="94">
        <f t="shared" si="286"/>
        <v>0</v>
      </c>
      <c r="U472" s="314">
        <f>база!$M$5</f>
        <v>247.41720000000001</v>
      </c>
      <c r="V472" s="271">
        <v>1.2</v>
      </c>
      <c r="W472" s="307">
        <f>SUMIFS(Таблица1[сумма],Таблица1[коэф],"1,2",Таблица1[р/р],"4/24",Таблица1[Ф. И. О.],B473)</f>
        <v>0</v>
      </c>
      <c r="X472" s="313">
        <f t="shared" si="290"/>
        <v>0</v>
      </c>
      <c r="Y472" s="819"/>
      <c r="Z472" s="810"/>
      <c r="AA472" s="813"/>
      <c r="AC472" s="707" t="str">
        <f>IF(SUMIFS(Таблица1[Столбец2],Таблица1[Ф. И. О.],B473)-Z468=0,"",SUMIFS(Таблица1[Столбец2],Таблица1[Ф. И. О.],B473)-Z468)</f>
        <v/>
      </c>
    </row>
    <row r="473" spans="1:29" ht="24" thickBot="1">
      <c r="A473" s="756"/>
      <c r="B473" s="215" t="str">
        <f>база!B44</f>
        <v>Маргиева Фатима Александровна</v>
      </c>
      <c r="C473" s="815"/>
      <c r="D473" s="817"/>
      <c r="E473" s="78"/>
      <c r="F473" s="271"/>
      <c r="G473" s="98"/>
      <c r="H473" s="94"/>
      <c r="I473" s="334"/>
      <c r="J473" s="278"/>
      <c r="K473" s="216"/>
      <c r="L473" s="216"/>
      <c r="M473" s="216"/>
      <c r="N473" s="216"/>
      <c r="O473" s="216"/>
      <c r="P473" s="30"/>
      <c r="Q473" s="78">
        <f>база!$L$6</f>
        <v>261.04640000000001</v>
      </c>
      <c r="R473" s="271">
        <v>1.2</v>
      </c>
      <c r="S473" s="98">
        <f>SUMIFS(Таблица1[сумма],Таблица1[коэф],"1,2",Таблица1[р/р],"5/16",Таблица1[Ф. И. О.],B473)</f>
        <v>0</v>
      </c>
      <c r="T473" s="94">
        <f>ROUND(Q473*R473*S473,2)</f>
        <v>0</v>
      </c>
      <c r="U473" s="314">
        <f>база!$M$6</f>
        <v>279.0496</v>
      </c>
      <c r="V473" s="271">
        <v>1.2</v>
      </c>
      <c r="W473" s="307">
        <f>SUMIFS(Таблица1[сумма],Таблица1[коэф],"1,2",Таблица1[р/р],"5/24",Таблица1[Ф. И. О.],B473)</f>
        <v>0</v>
      </c>
      <c r="X473" s="313">
        <f>ROUND(U473*V473*W473,2)</f>
        <v>0</v>
      </c>
      <c r="Y473" s="819"/>
      <c r="Z473" s="810"/>
      <c r="AA473" s="813"/>
      <c r="AC473" s="707" t="str">
        <f>IF(SUMIFS(Таблица1[сумма],Таблица1[Ф. И. О.],B473)=Y468,"",B468&amp;"  часы не верны")</f>
        <v/>
      </c>
    </row>
    <row r="474" spans="1:29" ht="24" thickBot="1">
      <c r="A474" s="756"/>
      <c r="B474" s="215"/>
      <c r="C474" s="815"/>
      <c r="D474" s="817"/>
      <c r="E474" s="78"/>
      <c r="F474" s="271"/>
      <c r="G474" s="98"/>
      <c r="H474" s="94"/>
      <c r="I474" s="334"/>
      <c r="J474" s="278"/>
      <c r="K474" s="216"/>
      <c r="L474" s="216"/>
      <c r="M474" s="216"/>
      <c r="N474" s="216"/>
      <c r="O474" s="216"/>
      <c r="P474" s="30"/>
      <c r="Q474" s="78">
        <f>IF($D$6&lt;=3,база!$L$4,
IF($D$6=4,база!$L$5,
IF($D$6=5,база!$L$6)))</f>
        <v>231.45480000000001</v>
      </c>
      <c r="R474" s="271">
        <v>1.3</v>
      </c>
      <c r="S474" s="98">
        <f>SUMIFS(Таблица1[сумма],Таблица1[коэф],"1,3",Таблица1[р/р],"3/16",Таблица1[Ф. И. О.],B473)</f>
        <v>0</v>
      </c>
      <c r="T474" s="94">
        <f t="shared" ref="T474:T475" si="291">ROUND(Q474*R474*S474,2)</f>
        <v>0</v>
      </c>
      <c r="U474" s="314">
        <f>IF(D468&lt;=3,база!$M$4,
IF(D468=4,база!$M$5,
IF(D468=5,база!$M$6)))</f>
        <v>225.09719999999999</v>
      </c>
      <c r="V474" s="271">
        <v>1.3</v>
      </c>
      <c r="W474" s="307">
        <f>SUMIFS(Таблица1[сумма],Таблица1[коэф],"1,3",Таблица1[р/р],"3/24",Таблица1[Ф. И. О.],B473)</f>
        <v>0</v>
      </c>
      <c r="X474" s="313">
        <f t="shared" ref="X474:X475" si="292">ROUND(U474*V474*W474,2)</f>
        <v>0</v>
      </c>
      <c r="Y474" s="819"/>
      <c r="Z474" s="810"/>
      <c r="AA474" s="813"/>
    </row>
    <row r="475" spans="1:29" ht="24" thickBot="1">
      <c r="A475" s="756"/>
      <c r="B475" s="215"/>
      <c r="C475" s="815"/>
      <c r="D475" s="817"/>
      <c r="E475" s="78"/>
      <c r="F475" s="271"/>
      <c r="G475" s="98"/>
      <c r="H475" s="94"/>
      <c r="I475" s="334"/>
      <c r="J475" s="278"/>
      <c r="K475" s="216"/>
      <c r="L475" s="216"/>
      <c r="M475" s="216"/>
      <c r="N475" s="216"/>
      <c r="O475" s="216"/>
      <c r="P475" s="30"/>
      <c r="Q475" s="78">
        <f>база!$L$5</f>
        <v>231.45480000000001</v>
      </c>
      <c r="R475" s="271">
        <v>1.3</v>
      </c>
      <c r="S475" s="98">
        <f>SUMIFS(Таблица1[сумма],Таблица1[коэф],"1,3",Таблица1[р/р],"4/16",Таблица1[Ф. И. О.],B473)</f>
        <v>0</v>
      </c>
      <c r="T475" s="94">
        <f t="shared" si="291"/>
        <v>0</v>
      </c>
      <c r="U475" s="314">
        <f>база!$M$5</f>
        <v>247.41720000000001</v>
      </c>
      <c r="V475" s="271">
        <v>1.3</v>
      </c>
      <c r="W475" s="307">
        <f>SUMIFS(Таблица1[сумма],Таблица1[коэф],"1,3",Таблица1[р/р],"4/24",Таблица1[Ф. И. О.],B473)</f>
        <v>0</v>
      </c>
      <c r="X475" s="313">
        <f t="shared" si="292"/>
        <v>0</v>
      </c>
      <c r="Y475" s="819"/>
      <c r="Z475" s="810"/>
      <c r="AA475" s="813"/>
    </row>
    <row r="476" spans="1:29" ht="24" thickBot="1">
      <c r="A476" s="756"/>
      <c r="B476" s="215"/>
      <c r="C476" s="815"/>
      <c r="D476" s="817"/>
      <c r="E476" s="78"/>
      <c r="F476" s="271"/>
      <c r="G476" s="98"/>
      <c r="H476" s="94"/>
      <c r="I476" s="334"/>
      <c r="J476" s="278"/>
      <c r="K476" s="216"/>
      <c r="L476" s="216"/>
      <c r="M476" s="216"/>
      <c r="N476" s="216"/>
      <c r="O476" s="216"/>
      <c r="P476" s="30"/>
      <c r="Q476" s="78">
        <f>IF(D468&lt;=3,база!$L$4,
IF(D468=4,база!$L$5,
IF(D468=5,база!$L$6)))</f>
        <v>210.57480000000001</v>
      </c>
      <c r="R476" s="271">
        <v>1.4</v>
      </c>
      <c r="S476" s="98">
        <f>SUMIFS(Таблица1[сумма],Таблица1[коэф],"1,4",Таблица1[р/р],"3/16",Таблица1[Ф. И. О.],B473)</f>
        <v>0</v>
      </c>
      <c r="T476" s="94">
        <f>ROUND(Q476*R476*S476,2)</f>
        <v>0</v>
      </c>
      <c r="U476" s="314">
        <f>IF(D468&lt;=3,база!$M$4,
IF(D468=4,база!$M$5,
IF(D468=5,база!$M$6)))</f>
        <v>225.09719999999999</v>
      </c>
      <c r="V476" s="271">
        <v>1.4</v>
      </c>
      <c r="W476" s="307">
        <f>SUMIFS(Таблица1[сумма],Таблица1[коэф],"1,4",Таблица1[р/р],"3/24",Таблица1[Ф. И. О.],B473)</f>
        <v>0</v>
      </c>
      <c r="X476" s="313">
        <f>ROUND(U476*V476*W476,2)</f>
        <v>0</v>
      </c>
      <c r="Y476" s="819"/>
      <c r="Z476" s="810"/>
      <c r="AA476" s="813"/>
    </row>
    <row r="477" spans="1:29" ht="24" thickBot="1">
      <c r="A477" s="756"/>
      <c r="B477" s="215"/>
      <c r="C477" s="815"/>
      <c r="D477" s="817"/>
      <c r="E477" s="78"/>
      <c r="F477" s="271"/>
      <c r="G477" s="98"/>
      <c r="H477" s="94"/>
      <c r="I477" s="334"/>
      <c r="J477" s="278"/>
      <c r="K477" s="216"/>
      <c r="L477" s="216"/>
      <c r="M477" s="216"/>
      <c r="N477" s="216"/>
      <c r="O477" s="216"/>
      <c r="P477" s="30"/>
      <c r="Q477" s="78">
        <f>база!$L$5</f>
        <v>231.45480000000001</v>
      </c>
      <c r="R477" s="271">
        <v>1.4</v>
      </c>
      <c r="S477" s="98">
        <f>SUMIFS(Таблица1[сумма],Таблица1[коэф],"1,4",Таблица1[р/р],"4/16",Таблица1[Ф. И. О.],B473)</f>
        <v>0</v>
      </c>
      <c r="T477" s="94">
        <f>ROUND(Q477*R477*S477,2)</f>
        <v>0</v>
      </c>
      <c r="U477" s="314">
        <f>база!$M$5</f>
        <v>247.41720000000001</v>
      </c>
      <c r="V477" s="271">
        <v>1.4</v>
      </c>
      <c r="W477" s="307">
        <f>SUMIFS(Таблица1[сумма],Таблица1[коэф],"1,4",Таблица1[р/р],"4/24",Таблица1[Ф. И. О.],B473)</f>
        <v>0</v>
      </c>
      <c r="X477" s="313">
        <f>ROUND(U477*V477*W477,2)</f>
        <v>0</v>
      </c>
      <c r="Y477" s="819"/>
      <c r="Z477" s="810"/>
      <c r="AA477" s="813"/>
    </row>
    <row r="478" spans="1:29" ht="24" thickBot="1">
      <c r="A478" s="757"/>
      <c r="B478" s="352"/>
      <c r="C478" s="816"/>
      <c r="D478" s="818"/>
      <c r="E478" s="74"/>
      <c r="F478" s="270"/>
      <c r="G478" s="88"/>
      <c r="H478" s="102"/>
      <c r="I478" s="24"/>
      <c r="J478" s="277"/>
      <c r="K478" s="22"/>
      <c r="L478" s="309"/>
      <c r="M478" s="24"/>
      <c r="N478" s="22"/>
      <c r="O478" s="22"/>
      <c r="P478" s="281"/>
      <c r="Q478" s="71">
        <f>база!$L$6</f>
        <v>261.04640000000001</v>
      </c>
      <c r="R478" s="270">
        <v>1.4</v>
      </c>
      <c r="S478" s="96">
        <f>SUMIFS(Таблица1[сумма],Таблица1[коэф],"1,4",Таблица1[р/р],"5/16",Таблица1[Ф. И. О.],B473)</f>
        <v>0</v>
      </c>
      <c r="T478" s="102">
        <f>ROUND(Q478*R478*S478,2)</f>
        <v>0</v>
      </c>
      <c r="U478" s="81">
        <f>база!$M$6</f>
        <v>279.0496</v>
      </c>
      <c r="V478" s="271">
        <v>1.4</v>
      </c>
      <c r="W478" s="96">
        <f>SUMIFS(Таблица1[сумма],Таблица1[коэф],"1,4",Таблица1[р/р],"5/24",Таблица1[Ф. И. О.],B473)</f>
        <v>0</v>
      </c>
      <c r="X478" s="102">
        <f>ROUND(U478*V478*W478,2)</f>
        <v>0</v>
      </c>
      <c r="Y478" s="820"/>
      <c r="Z478" s="811"/>
      <c r="AA478" s="814"/>
    </row>
    <row r="479" spans="1:29">
      <c r="A479" s="755">
        <v>44</v>
      </c>
      <c r="B479" s="215"/>
      <c r="C479" s="821">
        <f>INDEX(база!$E$2:$E$81, MATCH(B484,база!$B$2:$B$50,0))</f>
        <v>16779</v>
      </c>
      <c r="D479" s="822">
        <f>INDEX(база!$D$2:$D$89, MATCH(B484,база!$B$2:$B$50,0))</f>
        <v>3</v>
      </c>
      <c r="E479" s="72">
        <f>IF(D479&lt;=3,база!$I$4,
IF(D479=4,база!$I$5,
IF(D479=5,база!$I$6)))</f>
        <v>188.7912</v>
      </c>
      <c r="F479" s="269">
        <v>1</v>
      </c>
      <c r="G479" s="95">
        <f>SUMIFS(Таблица1[сумма],Таблица1[коэф],"1",Таблица1[р/р],"2/4",Таблица1[Ф. И. О.],B484)</f>
        <v>0</v>
      </c>
      <c r="H479" s="87">
        <f>ROUND(E479*F479*G479,2)</f>
        <v>0</v>
      </c>
      <c r="I479" s="344">
        <f>IF(D479&lt;=3,база!$J$4,
IF(D479=4,база!$J$5,
IF(D479=5,база!$J$6)))</f>
        <v>196.05240000000001</v>
      </c>
      <c r="J479" s="277">
        <v>1</v>
      </c>
      <c r="K479" s="309">
        <f>SUMIFS(Таблица1[сумма],Таблица1[коэф],"1",Таблица1[р/р],"2/8",Таблица1[Ф. И. О.],B484)</f>
        <v>0</v>
      </c>
      <c r="L479" s="309">
        <f>ROUND(I479*J479*K479,2)</f>
        <v>0</v>
      </c>
      <c r="M479" s="309"/>
      <c r="N479" s="309">
        <v>1</v>
      </c>
      <c r="O479" s="309">
        <f>SUMIFS(Data_Tech!$AM$3:$AM$67,Data_Tech!$E$3:$E$67,"1",Data_Tech!$G$3:$G$67,"3/12",Data_Tech!$F$3:$F$67,B484)</f>
        <v>0</v>
      </c>
      <c r="P479" s="281">
        <f>ROUND(M479*N479*O479,2)</f>
        <v>0</v>
      </c>
      <c r="Q479" s="72">
        <f>IF(D479&lt;=3,база!$L$4,
IF(D479=4,база!$L$5,
IF(D479=5,база!$L$6)))</f>
        <v>210.57480000000001</v>
      </c>
      <c r="R479" s="269">
        <v>1</v>
      </c>
      <c r="S479" s="95">
        <f>SUMIFS(Таблица1[сумма],Таблица1[коэф],"1",Таблица1[р/р],"3/16",Таблица1[Ф. И. О.],B484)</f>
        <v>0</v>
      </c>
      <c r="T479" s="87">
        <f t="shared" ref="T479:T483" si="293">ROUND(Q479*R479*S479,2)</f>
        <v>0</v>
      </c>
      <c r="U479" s="349">
        <f>IF(D479&lt;=3,база!$M$4,
IF(D479=4,база!$M$5,
IF(D479=5,база!$M$6)))</f>
        <v>225.09719999999999</v>
      </c>
      <c r="V479" s="270">
        <v>1</v>
      </c>
      <c r="W479" s="337">
        <f>SUMIFS(Таблица1[сумма],Таблица1[коэф],"1",Таблица1[р/р],"3/24",Таблица1[Ф. И. О.],B484)</f>
        <v>0</v>
      </c>
      <c r="X479" s="342">
        <f>ROUND(U479*V479*W479,2)</f>
        <v>0</v>
      </c>
      <c r="Y479" s="819">
        <f t="shared" ref="Y479" si="294">SUM(G479:G489,K479:K489,O479:O489,S479:S489,W479:W489)</f>
        <v>0</v>
      </c>
      <c r="Z479" s="823">
        <f t="shared" ref="Z479" si="295">IFERROR(SUM(H479:H489,L479:L489,T479:T489,X479:X489),"")</f>
        <v>0</v>
      </c>
      <c r="AA479" s="813"/>
    </row>
    <row r="480" spans="1:29">
      <c r="A480" s="756"/>
      <c r="B480" s="215"/>
      <c r="C480" s="815"/>
      <c r="D480" s="817"/>
      <c r="E480" s="78">
        <f>IF(D479&lt;=3,база!$I$4,
IF(D479=4,база!$I$5,
IF(D479=5,база!$I$6)))</f>
        <v>188.7912</v>
      </c>
      <c r="F480" s="271">
        <v>1</v>
      </c>
      <c r="G480" s="98">
        <f>SUMIFS(Таблица1[сумма],Таблица1[коэф],"1",Таблица1[р/р],"3/4",Таблица1[Ф. И. О.],B484)</f>
        <v>0</v>
      </c>
      <c r="H480" s="94">
        <f>ROUND(E480*F480*G480,2)</f>
        <v>0</v>
      </c>
      <c r="I480" s="334">
        <f>IF(D479&lt;=3,база!$J$4,
IF(D479=4,база!$J$5,
IF(D479=5,база!$J$6)))</f>
        <v>196.05240000000001</v>
      </c>
      <c r="J480" s="278">
        <v>1</v>
      </c>
      <c r="K480" s="216"/>
      <c r="L480" s="216">
        <f>ROUND(I480*J480*K480,2)</f>
        <v>0</v>
      </c>
      <c r="M480" s="216"/>
      <c r="N480" s="216">
        <v>1</v>
      </c>
      <c r="O480" s="216">
        <f>SUMIFS(Data_Tech!$AM$3:$AM$67,Data_Tech!$E$3:$E$67,"1",Data_Tech!$G$3:$G$67,"4/12",Data_Tech!$F$3:$F$67,B484)</f>
        <v>0</v>
      </c>
      <c r="P480" s="30">
        <f>ROUND(M480*O480,2)</f>
        <v>0</v>
      </c>
      <c r="Q480" s="78">
        <f>база!$L$5</f>
        <v>231.45480000000001</v>
      </c>
      <c r="R480" s="271">
        <v>1</v>
      </c>
      <c r="S480" s="98">
        <f>SUMIFS(Таблица1[сумма],Таблица1[коэф],"1",Таблица1[р/р],"4/16",Таблица1[Ф. И. О.],B484)</f>
        <v>0</v>
      </c>
      <c r="T480" s="94">
        <f t="shared" si="293"/>
        <v>0</v>
      </c>
      <c r="U480" s="314">
        <f>база!$M$5</f>
        <v>247.41720000000001</v>
      </c>
      <c r="V480" s="271">
        <v>1</v>
      </c>
      <c r="W480" s="307">
        <f>SUMIFS(Таблица1[сумма],Таблица1[коэф],"1",Таблица1[р/р],"4/24",Таблица1[Ф. И. О.],B484)</f>
        <v>0</v>
      </c>
      <c r="X480" s="313">
        <f t="shared" ref="X480" si="296">ROUND(U480*V480*W480,2)</f>
        <v>0</v>
      </c>
      <c r="Y480" s="819"/>
      <c r="Z480" s="810"/>
      <c r="AA480" s="813"/>
    </row>
    <row r="481" spans="1:29">
      <c r="A481" s="756"/>
      <c r="B481" s="215"/>
      <c r="C481" s="815"/>
      <c r="D481" s="817"/>
      <c r="E481" s="78"/>
      <c r="F481" s="271"/>
      <c r="G481" s="98"/>
      <c r="H481" s="94"/>
      <c r="I481" s="334"/>
      <c r="J481" s="278"/>
      <c r="K481" s="216"/>
      <c r="L481" s="216"/>
      <c r="M481" s="216"/>
      <c r="N481" s="216"/>
      <c r="O481" s="216"/>
      <c r="P481" s="30"/>
      <c r="Q481" s="78">
        <f>база!$L$6</f>
        <v>261.04640000000001</v>
      </c>
      <c r="R481" s="271">
        <v>1</v>
      </c>
      <c r="S481" s="98">
        <f>SUMIFS(Таблица1[сумма],Таблица1[коэф],"1",Таблица1[р/р],"5/16",Таблица1[Ф. И. О.],B484)</f>
        <v>0</v>
      </c>
      <c r="T481" s="94">
        <f t="shared" si="293"/>
        <v>0</v>
      </c>
      <c r="U481" s="314">
        <f>база!$M$6</f>
        <v>279.0496</v>
      </c>
      <c r="V481" s="271">
        <v>1</v>
      </c>
      <c r="W481" s="307">
        <f>SUMIFS(Таблица1[сумма],Таблица1[коэф],"1",Таблица1[р/р],"5/24",Таблица1[Ф. И. О.],B484)</f>
        <v>0</v>
      </c>
      <c r="X481" s="313">
        <f>ROUND(U481*V481*W481,2)</f>
        <v>0</v>
      </c>
      <c r="Y481" s="819"/>
      <c r="Z481" s="810"/>
      <c r="AA481" s="813"/>
    </row>
    <row r="482" spans="1:29">
      <c r="A482" s="756"/>
      <c r="B482" s="215"/>
      <c r="C482" s="815"/>
      <c r="D482" s="817"/>
      <c r="E482" s="78"/>
      <c r="F482" s="271"/>
      <c r="G482" s="98"/>
      <c r="H482" s="94"/>
      <c r="I482" s="334">
        <f>база!$J$5</f>
        <v>215.4924</v>
      </c>
      <c r="J482" s="278">
        <v>1.5</v>
      </c>
      <c r="K482" s="216">
        <f>SUMIFS(Таблица1[сумма],Таблица1[коэф],"1,5",Таблица1[р/р],"4/8",Таблица1[Ф. И. О.],B484)</f>
        <v>0</v>
      </c>
      <c r="L482" s="216">
        <f>ROUND(I482*J482*K482,2)</f>
        <v>0</v>
      </c>
      <c r="M482" s="216"/>
      <c r="N482" s="216"/>
      <c r="O482" s="216"/>
      <c r="P482" s="30"/>
      <c r="Q482" s="78">
        <f>IF(D479&lt;=3,база!$L$4,
IF(D479=4,база!$L$5,
IF(D479=5,база!$L$6)))</f>
        <v>210.57480000000001</v>
      </c>
      <c r="R482" s="271">
        <v>1.2</v>
      </c>
      <c r="S482" s="98">
        <f>SUMIFS(Таблица1[сумма],Таблица1[коэф],"1,2",Таблица1[р/р],"3/16",Таблица1[Ф. И. О.],B484)</f>
        <v>0</v>
      </c>
      <c r="T482" s="94">
        <f t="shared" si="293"/>
        <v>0</v>
      </c>
      <c r="U482" s="314">
        <f>IF(D479&lt;=3,база!$M$4,
IF(D479=4,база!$M$5,
IF(D479=5,база!$M$6)))</f>
        <v>225.09719999999999</v>
      </c>
      <c r="V482" s="271">
        <v>1.2</v>
      </c>
      <c r="W482" s="307">
        <f>SUMIFS(Таблица1[сумма],Таблица1[коэф],"1,2",Таблица1[р/р],"3/24",Таблица1[Ф. И. О.],B484)</f>
        <v>0</v>
      </c>
      <c r="X482" s="313">
        <f t="shared" ref="X482:X483" si="297">ROUND(U482*V482*W482,2)</f>
        <v>0</v>
      </c>
      <c r="Y482" s="819"/>
      <c r="Z482" s="810"/>
      <c r="AA482" s="813"/>
    </row>
    <row r="483" spans="1:29">
      <c r="A483" s="756"/>
      <c r="B483" s="215"/>
      <c r="C483" s="815"/>
      <c r="D483" s="817"/>
      <c r="E483" s="78"/>
      <c r="F483" s="271"/>
      <c r="G483" s="98"/>
      <c r="H483" s="94"/>
      <c r="I483" s="334">
        <f>база!$J$6</f>
        <v>243.04319999999998</v>
      </c>
      <c r="J483" s="278">
        <v>1.5</v>
      </c>
      <c r="K483" s="216">
        <f>SUMIFS(Таблица1[сумма],Таблица1[коэф],"1,5",Таблица1[р/р],"5/8",Таблица1[Ф. И. О.],B484)</f>
        <v>0</v>
      </c>
      <c r="L483" s="216">
        <f>ROUND(I483*J483*K483,2)</f>
        <v>0</v>
      </c>
      <c r="M483" s="216"/>
      <c r="N483" s="216"/>
      <c r="O483" s="216"/>
      <c r="P483" s="30"/>
      <c r="Q483" s="78">
        <f>база!$L$5</f>
        <v>231.45480000000001</v>
      </c>
      <c r="R483" s="271">
        <v>1.2</v>
      </c>
      <c r="S483" s="98">
        <f>SUMIFS(Таблица1[сумма],Таблица1[коэф],"1,2",Таблица1[р/р],"4/16",Таблица1[Ф. И. О.],B484)</f>
        <v>0</v>
      </c>
      <c r="T483" s="94">
        <f t="shared" si="293"/>
        <v>0</v>
      </c>
      <c r="U483" s="314">
        <f>база!$M$5</f>
        <v>247.41720000000001</v>
      </c>
      <c r="V483" s="271">
        <v>1.2</v>
      </c>
      <c r="W483" s="307">
        <f>SUMIFS(Таблица1[сумма],Таблица1[коэф],"1,2",Таблица1[р/р],"4/24",Таблица1[Ф. И. О.],B484)</f>
        <v>0</v>
      </c>
      <c r="X483" s="313">
        <f t="shared" si="297"/>
        <v>0</v>
      </c>
      <c r="Y483" s="819"/>
      <c r="Z483" s="810"/>
      <c r="AA483" s="813"/>
      <c r="AC483" s="707" t="str">
        <f>IF(SUMIFS(Таблица1[Столбец2],Таблица1[Ф. И. О.],B484)-Z479=0,"",SUMIFS(Таблица1[Столбец2],Таблица1[Ф. И. О.],B484)-Z479)</f>
        <v/>
      </c>
    </row>
    <row r="484" spans="1:29">
      <c r="A484" s="756"/>
      <c r="B484" s="215" t="str">
        <f>база!B45</f>
        <v>Маркова Ольга Евгеньевна</v>
      </c>
      <c r="C484" s="815"/>
      <c r="D484" s="817"/>
      <c r="E484" s="78"/>
      <c r="F484" s="271"/>
      <c r="G484" s="98"/>
      <c r="H484" s="94"/>
      <c r="I484" s="334"/>
      <c r="J484" s="278"/>
      <c r="K484" s="216"/>
      <c r="L484" s="216"/>
      <c r="M484" s="216"/>
      <c r="N484" s="216"/>
      <c r="O484" s="216"/>
      <c r="P484" s="30"/>
      <c r="Q484" s="78">
        <f>база!$L$6</f>
        <v>261.04640000000001</v>
      </c>
      <c r="R484" s="271">
        <v>1.2</v>
      </c>
      <c r="S484" s="98">
        <f>SUMIFS(Таблица1[сумма],Таблица1[коэф],"1,2",Таблица1[р/р],"5/16",Таблица1[Ф. И. О.],B484)</f>
        <v>0</v>
      </c>
      <c r="T484" s="94">
        <f>ROUND(Q484*R484*S484,2)</f>
        <v>0</v>
      </c>
      <c r="U484" s="314">
        <f>база!$M$6</f>
        <v>279.0496</v>
      </c>
      <c r="V484" s="271">
        <v>1.2</v>
      </c>
      <c r="W484" s="307">
        <f>SUMIFS(Таблица1[сумма],Таблица1[коэф],"1,2",Таблица1[р/р],"5/24",Таблица1[Ф. И. О.],B484)</f>
        <v>0</v>
      </c>
      <c r="X484" s="313">
        <f>ROUND(U484*V484*W484,2)</f>
        <v>0</v>
      </c>
      <c r="Y484" s="819"/>
      <c r="Z484" s="810"/>
      <c r="AA484" s="813"/>
      <c r="AC484" s="707" t="str">
        <f>IF(SUMIFS(Таблица1[сумма],Таблица1[Ф. И. О.],B484)=Y479,"",B479&amp;"  часы не верны")</f>
        <v/>
      </c>
    </row>
    <row r="485" spans="1:29">
      <c r="A485" s="756"/>
      <c r="B485" s="215"/>
      <c r="C485" s="815"/>
      <c r="D485" s="817"/>
      <c r="E485" s="78"/>
      <c r="F485" s="271"/>
      <c r="G485" s="98"/>
      <c r="H485" s="94"/>
      <c r="I485" s="334"/>
      <c r="J485" s="278"/>
      <c r="K485" s="216"/>
      <c r="L485" s="216"/>
      <c r="M485" s="216"/>
      <c r="N485" s="216"/>
      <c r="O485" s="216"/>
      <c r="P485" s="30"/>
      <c r="Q485" s="78">
        <f>IF($D$6&lt;=3,база!$L$4,
IF($D$6=4,база!$L$5,
IF($D$6=5,база!$L$6)))</f>
        <v>231.45480000000001</v>
      </c>
      <c r="R485" s="271">
        <v>1.3</v>
      </c>
      <c r="S485" s="98">
        <f>SUMIFS(Таблица1[сумма],Таблица1[коэф],"1,3",Таблица1[р/р],"3/16",Таблица1[Ф. И. О.],B484)</f>
        <v>0</v>
      </c>
      <c r="T485" s="94">
        <f t="shared" ref="T485:T486" si="298">ROUND(Q485*R485*S485,2)</f>
        <v>0</v>
      </c>
      <c r="U485" s="314">
        <f>IF(D479&lt;=3,база!$M$4,
IF(D479=4,база!$M$5,
IF(D479=5,база!$M$6)))</f>
        <v>225.09719999999999</v>
      </c>
      <c r="V485" s="271">
        <v>1.3</v>
      </c>
      <c r="W485" s="307">
        <f>SUMIFS(Таблица1[сумма],Таблица1[коэф],"1,3",Таблица1[р/р],"3/24",Таблица1[Ф. И. О.],B484)</f>
        <v>0</v>
      </c>
      <c r="X485" s="313">
        <f t="shared" ref="X485:X486" si="299">ROUND(U485*V485*W485,2)</f>
        <v>0</v>
      </c>
      <c r="Y485" s="819"/>
      <c r="Z485" s="810"/>
      <c r="AA485" s="813"/>
    </row>
    <row r="486" spans="1:29">
      <c r="A486" s="756"/>
      <c r="B486" s="215"/>
      <c r="C486" s="815"/>
      <c r="D486" s="817"/>
      <c r="E486" s="78"/>
      <c r="F486" s="271"/>
      <c r="G486" s="98"/>
      <c r="H486" s="94"/>
      <c r="I486" s="334"/>
      <c r="J486" s="278"/>
      <c r="K486" s="216"/>
      <c r="L486" s="216"/>
      <c r="M486" s="216"/>
      <c r="N486" s="216"/>
      <c r="O486" s="216"/>
      <c r="P486" s="30"/>
      <c r="Q486" s="78">
        <f>база!$L$5</f>
        <v>231.45480000000001</v>
      </c>
      <c r="R486" s="271">
        <v>1.3</v>
      </c>
      <c r="S486" s="98">
        <f>SUMIFS(Таблица1[сумма],Таблица1[коэф],"1,3",Таблица1[р/р],"4/16",Таблица1[Ф. И. О.],B484)</f>
        <v>0</v>
      </c>
      <c r="T486" s="94">
        <f t="shared" si="298"/>
        <v>0</v>
      </c>
      <c r="U486" s="314">
        <f>база!$M$5</f>
        <v>247.41720000000001</v>
      </c>
      <c r="V486" s="271">
        <v>1.3</v>
      </c>
      <c r="W486" s="307">
        <f>SUMIFS(Таблица1[сумма],Таблица1[коэф],"1,3",Таблица1[р/р],"4/24",Таблица1[Ф. И. О.],B484)</f>
        <v>0</v>
      </c>
      <c r="X486" s="313">
        <f t="shared" si="299"/>
        <v>0</v>
      </c>
      <c r="Y486" s="819"/>
      <c r="Z486" s="810"/>
      <c r="AA486" s="813"/>
    </row>
    <row r="487" spans="1:29">
      <c r="A487" s="756"/>
      <c r="B487" s="215"/>
      <c r="C487" s="815"/>
      <c r="D487" s="817"/>
      <c r="E487" s="78"/>
      <c r="F487" s="271"/>
      <c r="G487" s="98"/>
      <c r="H487" s="94"/>
      <c r="I487" s="334"/>
      <c r="J487" s="278"/>
      <c r="K487" s="216"/>
      <c r="L487" s="216"/>
      <c r="M487" s="216"/>
      <c r="N487" s="216"/>
      <c r="O487" s="216"/>
      <c r="P487" s="30"/>
      <c r="Q487" s="78">
        <f>IF(D479&lt;=3,база!$L$4,
IF(D479=4,база!$L$5,
IF(D479=5,база!$L$6)))</f>
        <v>210.57480000000001</v>
      </c>
      <c r="R487" s="271">
        <v>1.4</v>
      </c>
      <c r="S487" s="98">
        <f>SUMIFS(Таблица1[сумма],Таблица1[коэф],"1,4",Таблица1[р/р],"3/16",Таблица1[Ф. И. О.],B484)</f>
        <v>0</v>
      </c>
      <c r="T487" s="94">
        <f>ROUND(Q487*R487*S487,2)</f>
        <v>0</v>
      </c>
      <c r="U487" s="314">
        <f>IF(D479&lt;=3,база!$M$4,
IF(D479=4,база!$M$5,
IF(D479=5,база!$M$6)))</f>
        <v>225.09719999999999</v>
      </c>
      <c r="V487" s="271">
        <v>1.4</v>
      </c>
      <c r="W487" s="307">
        <f>SUMIFS(Таблица1[сумма],Таблица1[коэф],"1,4",Таблица1[р/р],"3/24",Таблица1[Ф. И. О.],B484)</f>
        <v>0</v>
      </c>
      <c r="X487" s="313">
        <f>ROUND(U487*V487*W487,2)</f>
        <v>0</v>
      </c>
      <c r="Y487" s="819"/>
      <c r="Z487" s="810"/>
      <c r="AA487" s="813"/>
    </row>
    <row r="488" spans="1:29">
      <c r="A488" s="756"/>
      <c r="B488" s="215"/>
      <c r="C488" s="815"/>
      <c r="D488" s="817"/>
      <c r="E488" s="78"/>
      <c r="F488" s="271"/>
      <c r="G488" s="98"/>
      <c r="H488" s="94"/>
      <c r="I488" s="334"/>
      <c r="J488" s="278"/>
      <c r="K488" s="216"/>
      <c r="L488" s="216"/>
      <c r="M488" s="216"/>
      <c r="N488" s="216"/>
      <c r="O488" s="216"/>
      <c r="P488" s="30"/>
      <c r="Q488" s="78">
        <f>база!$L$5</f>
        <v>231.45480000000001</v>
      </c>
      <c r="R488" s="271">
        <v>1.4</v>
      </c>
      <c r="S488" s="98">
        <f>SUMIFS(Таблица1[сумма],Таблица1[коэф],"1,4",Таблица1[р/р],"4/16",Таблица1[Ф. И. О.],B484)</f>
        <v>0</v>
      </c>
      <c r="T488" s="94">
        <f>ROUND(Q488*R488*S488,2)</f>
        <v>0</v>
      </c>
      <c r="U488" s="314">
        <f>база!$M$5</f>
        <v>247.41720000000001</v>
      </c>
      <c r="V488" s="271">
        <v>1.4</v>
      </c>
      <c r="W488" s="307">
        <f>SUMIFS(Таблица1[сумма],Таблица1[коэф],"1,4",Таблица1[р/р],"4/24",Таблица1[Ф. И. О.],B484)</f>
        <v>0</v>
      </c>
      <c r="X488" s="313">
        <f>ROUND(U488*V488*W488,2)</f>
        <v>0</v>
      </c>
      <c r="Y488" s="819"/>
      <c r="Z488" s="810"/>
      <c r="AA488" s="813"/>
    </row>
    <row r="489" spans="1:29" ht="24" thickBot="1">
      <c r="A489" s="757"/>
      <c r="B489" s="352"/>
      <c r="C489" s="816"/>
      <c r="D489" s="818"/>
      <c r="E489" s="74"/>
      <c r="F489" s="270"/>
      <c r="G489" s="88"/>
      <c r="H489" s="102"/>
      <c r="I489" s="24"/>
      <c r="J489" s="277"/>
      <c r="K489" s="22"/>
      <c r="L489" s="309"/>
      <c r="M489" s="24"/>
      <c r="N489" s="22"/>
      <c r="O489" s="22"/>
      <c r="P489" s="281"/>
      <c r="Q489" s="71">
        <f>база!$L$6</f>
        <v>261.04640000000001</v>
      </c>
      <c r="R489" s="270">
        <v>1.4</v>
      </c>
      <c r="S489" s="96">
        <f>SUMIFS(Таблица1[сумма],Таблица1[коэф],"1,4",Таблица1[р/р],"5/16",Таблица1[Ф. И. О.],B484)</f>
        <v>0</v>
      </c>
      <c r="T489" s="102">
        <f>ROUND(Q489*R489*S489,2)</f>
        <v>0</v>
      </c>
      <c r="U489" s="81">
        <f>база!$M$6</f>
        <v>279.0496</v>
      </c>
      <c r="V489" s="271">
        <v>1.4</v>
      </c>
      <c r="W489" s="96">
        <f>SUMIFS(Таблица1[сумма],Таблица1[коэф],"1,4",Таблица1[р/р],"5/24",Таблица1[Ф. И. О.],B484)</f>
        <v>0</v>
      </c>
      <c r="X489" s="102">
        <f>ROUND(U489*V489*W489,2)</f>
        <v>0</v>
      </c>
      <c r="Y489" s="820"/>
      <c r="Z489" s="811"/>
      <c r="AA489" s="814"/>
    </row>
    <row r="490" spans="1:29">
      <c r="A490" s="755">
        <v>45</v>
      </c>
      <c r="B490" s="215"/>
      <c r="C490" s="821">
        <f>INDEX(база!$E$2:$E$81, MATCH(B495,база!$B$2:$B$50,0))</f>
        <v>16872</v>
      </c>
      <c r="D490" s="822">
        <f>INDEX(база!$D$2:$D$89, MATCH(B495,база!$B$2:$B$50,0))</f>
        <v>3</v>
      </c>
      <c r="E490" s="72">
        <f>IF(D490&lt;=3,база!$I$4,
IF(D490=4,база!$I$5,
IF(D490=5,база!$I$6)))</f>
        <v>188.7912</v>
      </c>
      <c r="F490" s="269">
        <v>1</v>
      </c>
      <c r="G490" s="95">
        <f>SUMIFS(Таблица1[сумма],Таблица1[коэф],"1",Таблица1[р/р],"2/4",Таблица1[Ф. И. О.],B495)</f>
        <v>0</v>
      </c>
      <c r="H490" s="87">
        <f>ROUND(E490*F490*G490,2)</f>
        <v>0</v>
      </c>
      <c r="I490" s="344">
        <f>IF(D490&lt;=3,база!$J$4,
IF(D490=4,база!$J$5,
IF(D490=5,база!$J$6)))</f>
        <v>196.05240000000001</v>
      </c>
      <c r="J490" s="277">
        <v>1</v>
      </c>
      <c r="K490" s="309">
        <f>SUMIFS(Таблица1[сумма],Таблица1[коэф],"1",Таблица1[р/р],"2/8",Таблица1[Ф. И. О.],B495)</f>
        <v>0</v>
      </c>
      <c r="L490" s="309">
        <f>ROUND(I490*J490*K490,2)</f>
        <v>0</v>
      </c>
      <c r="M490" s="309"/>
      <c r="N490" s="309">
        <v>1</v>
      </c>
      <c r="O490" s="309">
        <f>SUMIFS(Data_Tech!$AM$3:$AM$67,Data_Tech!$E$3:$E$67,"1",Data_Tech!$G$3:$G$67,"3/12",Data_Tech!$F$3:$F$67,B495)</f>
        <v>0</v>
      </c>
      <c r="P490" s="281">
        <f>ROUND(M490*N490*O490,2)</f>
        <v>0</v>
      </c>
      <c r="Q490" s="72">
        <f>IF(D490&lt;=3,база!$L$4,
IF(D490=4,база!$L$5,
IF(D490=5,база!$L$6)))</f>
        <v>210.57480000000001</v>
      </c>
      <c r="R490" s="269">
        <v>1</v>
      </c>
      <c r="S490" s="95">
        <f>SUMIFS(Таблица1[сумма],Таблица1[коэф],"1",Таблица1[р/р],"3/16",Таблица1[Ф. И. О.],B495)</f>
        <v>0</v>
      </c>
      <c r="T490" s="87">
        <f t="shared" ref="T490:T494" si="300">ROUND(Q490*R490*S490,2)</f>
        <v>0</v>
      </c>
      <c r="U490" s="349">
        <f>IF(D490&lt;=3,база!$M$4,
IF(D490=4,база!$M$5,
IF(D490=5,база!$M$6)))</f>
        <v>225.09719999999999</v>
      </c>
      <c r="V490" s="270">
        <v>1</v>
      </c>
      <c r="W490" s="337">
        <f>SUMIFS(Таблица1[сумма],Таблица1[коэф],"1",Таблица1[р/р],"3/24",Таблица1[Ф. И. О.],B495)</f>
        <v>0</v>
      </c>
      <c r="X490" s="342">
        <f>ROUND(U490*V490*W490,2)</f>
        <v>0</v>
      </c>
      <c r="Y490" s="819">
        <f t="shared" ref="Y490" si="301">SUM(G490:G500,K490:K500,O490:O500,S490:S500,W490:W500)</f>
        <v>0</v>
      </c>
      <c r="Z490" s="823">
        <f t="shared" ref="Z490" si="302">IFERROR(SUM(H490:H500,L490:L500,T490:T500,X490:X500),"")</f>
        <v>0</v>
      </c>
      <c r="AA490" s="813"/>
    </row>
    <row r="491" spans="1:29">
      <c r="A491" s="756"/>
      <c r="B491" s="215"/>
      <c r="C491" s="815"/>
      <c r="D491" s="817"/>
      <c r="E491" s="78">
        <f>IF(D490&lt;=3,база!$I$4,
IF(D490=4,база!$I$5,
IF(D490=5,база!$I$6)))</f>
        <v>188.7912</v>
      </c>
      <c r="F491" s="271">
        <v>1</v>
      </c>
      <c r="G491" s="98">
        <f>SUMIFS(Таблица1[сумма],Таблица1[коэф],"1",Таблица1[р/р],"3/4",Таблица1[Ф. И. О.],B495)</f>
        <v>0</v>
      </c>
      <c r="H491" s="94">
        <f>ROUND(E491*F491*G491,2)</f>
        <v>0</v>
      </c>
      <c r="I491" s="334">
        <f>IF(D490&lt;=3,база!$J$4,
IF(D490=4,база!$J$5,
IF(D490=5,база!$J$6)))</f>
        <v>196.05240000000001</v>
      </c>
      <c r="J491" s="278">
        <v>1</v>
      </c>
      <c r="K491" s="216"/>
      <c r="L491" s="216">
        <f>ROUND(I491*J491*K491,2)</f>
        <v>0</v>
      </c>
      <c r="M491" s="216"/>
      <c r="N491" s="216">
        <v>1</v>
      </c>
      <c r="O491" s="216">
        <f>SUMIFS(Data_Tech!$AM$3:$AM$67,Data_Tech!$E$3:$E$67,"1",Data_Tech!$G$3:$G$67,"4/12",Data_Tech!$F$3:$F$67,B495)</f>
        <v>0</v>
      </c>
      <c r="P491" s="30">
        <f>ROUND(M491*O491,2)</f>
        <v>0</v>
      </c>
      <c r="Q491" s="78">
        <f>база!$L$5</f>
        <v>231.45480000000001</v>
      </c>
      <c r="R491" s="271">
        <v>1</v>
      </c>
      <c r="S491" s="98">
        <f>SUMIFS(Таблица1[сумма],Таблица1[коэф],"1",Таблица1[р/р],"4/16",Таблица1[Ф. И. О.],B495)</f>
        <v>0</v>
      </c>
      <c r="T491" s="94">
        <f t="shared" si="300"/>
        <v>0</v>
      </c>
      <c r="U491" s="314">
        <f>база!$M$5</f>
        <v>247.41720000000001</v>
      </c>
      <c r="V491" s="271">
        <v>1</v>
      </c>
      <c r="W491" s="307">
        <f>SUMIFS(Таблица1[сумма],Таблица1[коэф],"1",Таблица1[р/р],"4/24",Таблица1[Ф. И. О.],B495)</f>
        <v>0</v>
      </c>
      <c r="X491" s="313">
        <f t="shared" ref="X491" si="303">ROUND(U491*V491*W491,2)</f>
        <v>0</v>
      </c>
      <c r="Y491" s="819"/>
      <c r="Z491" s="810"/>
      <c r="AA491" s="813"/>
    </row>
    <row r="492" spans="1:29">
      <c r="A492" s="756"/>
      <c r="B492" s="215"/>
      <c r="C492" s="815"/>
      <c r="D492" s="817"/>
      <c r="E492" s="78"/>
      <c r="F492" s="271"/>
      <c r="G492" s="98"/>
      <c r="H492" s="94"/>
      <c r="I492" s="334"/>
      <c r="J492" s="278"/>
      <c r="K492" s="216"/>
      <c r="L492" s="216"/>
      <c r="M492" s="216"/>
      <c r="N492" s="216"/>
      <c r="O492" s="216"/>
      <c r="P492" s="30"/>
      <c r="Q492" s="78">
        <f>база!$L$6</f>
        <v>261.04640000000001</v>
      </c>
      <c r="R492" s="271">
        <v>1</v>
      </c>
      <c r="S492" s="98">
        <f>SUMIFS(Таблица1[сумма],Таблица1[коэф],"1",Таблица1[р/р],"5/16",Таблица1[Ф. И. О.],B495)</f>
        <v>0</v>
      </c>
      <c r="T492" s="94">
        <f t="shared" si="300"/>
        <v>0</v>
      </c>
      <c r="U492" s="314">
        <f>база!$M$6</f>
        <v>279.0496</v>
      </c>
      <c r="V492" s="271">
        <v>1</v>
      </c>
      <c r="W492" s="307">
        <f>SUMIFS(Таблица1[сумма],Таблица1[коэф],"1",Таблица1[р/р],"5/24",Таблица1[Ф. И. О.],B495)</f>
        <v>0</v>
      </c>
      <c r="X492" s="313">
        <f>ROUND(U492*V492*W492,2)</f>
        <v>0</v>
      </c>
      <c r="Y492" s="819"/>
      <c r="Z492" s="810"/>
      <c r="AA492" s="813"/>
    </row>
    <row r="493" spans="1:29">
      <c r="A493" s="756"/>
      <c r="B493" s="215"/>
      <c r="C493" s="815"/>
      <c r="D493" s="817"/>
      <c r="E493" s="78"/>
      <c r="F493" s="271"/>
      <c r="G493" s="98"/>
      <c r="H493" s="94"/>
      <c r="I493" s="334">
        <f>база!$J$5</f>
        <v>215.4924</v>
      </c>
      <c r="J493" s="278">
        <v>1.5</v>
      </c>
      <c r="K493" s="216">
        <f>SUMIFS(Таблица1[сумма],Таблица1[коэф],"1,5",Таблица1[р/р],"4/8",Таблица1[Ф. И. О.],B495)</f>
        <v>0</v>
      </c>
      <c r="L493" s="216">
        <f>ROUND(I493*J493*K493,2)</f>
        <v>0</v>
      </c>
      <c r="M493" s="216"/>
      <c r="N493" s="216"/>
      <c r="O493" s="216"/>
      <c r="P493" s="30"/>
      <c r="Q493" s="78">
        <f>IF(D490&lt;=3,база!$L$4,
IF(D490=4,база!$L$5,
IF(D490=5,база!$L$6)))</f>
        <v>210.57480000000001</v>
      </c>
      <c r="R493" s="271">
        <v>1.2</v>
      </c>
      <c r="S493" s="98">
        <f>SUMIFS(Таблица1[сумма],Таблица1[коэф],"1,2",Таблица1[р/р],"3/16",Таблица1[Ф. И. О.],B495)</f>
        <v>0</v>
      </c>
      <c r="T493" s="94">
        <f t="shared" si="300"/>
        <v>0</v>
      </c>
      <c r="U493" s="314">
        <f>IF(D490&lt;=3,база!$M$4,
IF(D490=4,база!$M$5,
IF(D490=5,база!$M$6)))</f>
        <v>225.09719999999999</v>
      </c>
      <c r="V493" s="271">
        <v>1.2</v>
      </c>
      <c r="W493" s="307">
        <f>SUMIFS(Таблица1[сумма],Таблица1[коэф],"1,2",Таблица1[р/р],"3/24",Таблица1[Ф. И. О.],B495)</f>
        <v>0</v>
      </c>
      <c r="X493" s="313">
        <f t="shared" ref="X493:X494" si="304">ROUND(U493*V493*W493,2)</f>
        <v>0</v>
      </c>
      <c r="Y493" s="819"/>
      <c r="Z493" s="810"/>
      <c r="AA493" s="813"/>
    </row>
    <row r="494" spans="1:29">
      <c r="A494" s="756"/>
      <c r="B494" s="215"/>
      <c r="C494" s="815"/>
      <c r="D494" s="817"/>
      <c r="E494" s="78"/>
      <c r="F494" s="271"/>
      <c r="G494" s="98"/>
      <c r="H494" s="94"/>
      <c r="I494" s="334">
        <f>база!$J$6</f>
        <v>243.04319999999998</v>
      </c>
      <c r="J494" s="278">
        <v>1.5</v>
      </c>
      <c r="K494" s="216">
        <f>SUMIFS(Таблица1[сумма],Таблица1[коэф],"1,5",Таблица1[р/р],"5/8",Таблица1[Ф. И. О.],B495)</f>
        <v>0</v>
      </c>
      <c r="L494" s="216">
        <f>ROUND(I494*J494*K494,2)</f>
        <v>0</v>
      </c>
      <c r="M494" s="216"/>
      <c r="N494" s="216"/>
      <c r="O494" s="216"/>
      <c r="P494" s="30"/>
      <c r="Q494" s="78">
        <f>база!$L$5</f>
        <v>231.45480000000001</v>
      </c>
      <c r="R494" s="271">
        <v>1.2</v>
      </c>
      <c r="S494" s="98">
        <f>SUMIFS(Таблица1[сумма],Таблица1[коэф],"1,2",Таблица1[р/р],"4/16",Таблица1[Ф. И. О.],B495)</f>
        <v>0</v>
      </c>
      <c r="T494" s="94">
        <f t="shared" si="300"/>
        <v>0</v>
      </c>
      <c r="U494" s="314">
        <f>база!$M$5</f>
        <v>247.41720000000001</v>
      </c>
      <c r="V494" s="271">
        <v>1.2</v>
      </c>
      <c r="W494" s="307">
        <f>SUMIFS(Таблица1[сумма],Таблица1[коэф],"1,2",Таблица1[р/р],"4/24",Таблица1[Ф. И. О.],B495)</f>
        <v>0</v>
      </c>
      <c r="X494" s="313">
        <f t="shared" si="304"/>
        <v>0</v>
      </c>
      <c r="Y494" s="819"/>
      <c r="Z494" s="810"/>
      <c r="AA494" s="813"/>
      <c r="AC494" s="707" t="str">
        <f>IF(SUMIFS(Таблица1[Столбец2],Таблица1[Ф. И. О.],B495)-Z490=0,"",SUMIFS(Таблица1[Столбец2],Таблица1[Ф. И. О.],B495)-Z490)</f>
        <v/>
      </c>
    </row>
    <row r="495" spans="1:29">
      <c r="A495" s="756"/>
      <c r="B495" s="215" t="str">
        <f>база!B46</f>
        <v>Марченко Ирина Вячеславовна</v>
      </c>
      <c r="C495" s="815"/>
      <c r="D495" s="817"/>
      <c r="E495" s="78"/>
      <c r="F495" s="271"/>
      <c r="G495" s="98"/>
      <c r="H495" s="94"/>
      <c r="I495" s="334"/>
      <c r="J495" s="278"/>
      <c r="K495" s="216"/>
      <c r="L495" s="216"/>
      <c r="M495" s="216"/>
      <c r="N495" s="216"/>
      <c r="O495" s="216"/>
      <c r="P495" s="30"/>
      <c r="Q495" s="78">
        <f>база!$L$6</f>
        <v>261.04640000000001</v>
      </c>
      <c r="R495" s="271">
        <v>1.2</v>
      </c>
      <c r="S495" s="98">
        <f>SUMIFS(Таблица1[сумма],Таблица1[коэф],"1,2",Таблица1[р/р],"5/16",Таблица1[Ф. И. О.],B495)</f>
        <v>0</v>
      </c>
      <c r="T495" s="94">
        <f>ROUND(Q495*R495*S495,2)</f>
        <v>0</v>
      </c>
      <c r="U495" s="314">
        <f>база!$M$6</f>
        <v>279.0496</v>
      </c>
      <c r="V495" s="271">
        <v>1.2</v>
      </c>
      <c r="W495" s="307">
        <f>SUMIFS(Таблица1[сумма],Таблица1[коэф],"1,2",Таблица1[р/р],"5/24",Таблица1[Ф. И. О.],B495)</f>
        <v>0</v>
      </c>
      <c r="X495" s="313">
        <f>ROUND(U495*V495*W495,2)</f>
        <v>0</v>
      </c>
      <c r="Y495" s="819"/>
      <c r="Z495" s="810"/>
      <c r="AA495" s="813"/>
      <c r="AC495" s="707" t="str">
        <f>IF(SUMIFS(Таблица1[сумма],Таблица1[Ф. И. О.],B495)=Y490,"",B490&amp;"  часы не верны")</f>
        <v/>
      </c>
    </row>
    <row r="496" spans="1:29">
      <c r="A496" s="756"/>
      <c r="B496" s="215"/>
      <c r="C496" s="815"/>
      <c r="D496" s="817"/>
      <c r="E496" s="78"/>
      <c r="F496" s="271"/>
      <c r="G496" s="98"/>
      <c r="H496" s="94"/>
      <c r="I496" s="334"/>
      <c r="J496" s="278"/>
      <c r="K496" s="216"/>
      <c r="L496" s="216"/>
      <c r="M496" s="216"/>
      <c r="N496" s="216"/>
      <c r="O496" s="216"/>
      <c r="P496" s="30"/>
      <c r="Q496" s="78">
        <f>IF($D$6&lt;=3,база!$L$4,
IF($D$6=4,база!$L$5,
IF($D$6=5,база!$L$6)))</f>
        <v>231.45480000000001</v>
      </c>
      <c r="R496" s="271">
        <v>1.3</v>
      </c>
      <c r="S496" s="98">
        <f>SUMIFS(Таблица1[сумма],Таблица1[коэф],"1,3",Таблица1[р/р],"3/16",Таблица1[Ф. И. О.],B495)</f>
        <v>0</v>
      </c>
      <c r="T496" s="94">
        <f t="shared" ref="T496:T497" si="305">ROUND(Q496*R496*S496,2)</f>
        <v>0</v>
      </c>
      <c r="U496" s="314">
        <f>IF(D490&lt;=3,база!$M$4,
IF(D490=4,база!$M$5,
IF(D490=5,база!$M$6)))</f>
        <v>225.09719999999999</v>
      </c>
      <c r="V496" s="271">
        <v>1.3</v>
      </c>
      <c r="W496" s="307">
        <f>SUMIFS(Таблица1[сумма],Таблица1[коэф],"1,3",Таблица1[р/р],"3/24",Таблица1[Ф. И. О.],B495)</f>
        <v>0</v>
      </c>
      <c r="X496" s="313">
        <f t="shared" ref="X496:X497" si="306">ROUND(U496*V496*W496,2)</f>
        <v>0</v>
      </c>
      <c r="Y496" s="819"/>
      <c r="Z496" s="810"/>
      <c r="AA496" s="813"/>
    </row>
    <row r="497" spans="1:29">
      <c r="A497" s="756"/>
      <c r="B497" s="215"/>
      <c r="C497" s="815"/>
      <c r="D497" s="817"/>
      <c r="E497" s="78"/>
      <c r="F497" s="271"/>
      <c r="G497" s="98"/>
      <c r="H497" s="94"/>
      <c r="I497" s="334"/>
      <c r="J497" s="278"/>
      <c r="K497" s="216"/>
      <c r="L497" s="216"/>
      <c r="M497" s="216"/>
      <c r="N497" s="216"/>
      <c r="O497" s="216"/>
      <c r="P497" s="30"/>
      <c r="Q497" s="78">
        <f>база!$L$5</f>
        <v>231.45480000000001</v>
      </c>
      <c r="R497" s="271">
        <v>1.3</v>
      </c>
      <c r="S497" s="98">
        <f>SUMIFS(Таблица1[сумма],Таблица1[коэф],"1,3",Таблица1[р/р],"4/16",Таблица1[Ф. И. О.],B495)</f>
        <v>0</v>
      </c>
      <c r="T497" s="94">
        <f t="shared" si="305"/>
        <v>0</v>
      </c>
      <c r="U497" s="314">
        <f>база!$M$5</f>
        <v>247.41720000000001</v>
      </c>
      <c r="V497" s="271">
        <v>1.3</v>
      </c>
      <c r="W497" s="307">
        <f>SUMIFS(Таблица1[сумма],Таблица1[коэф],"1,3",Таблица1[р/р],"4/24",Таблица1[Ф. И. О.],B495)</f>
        <v>0</v>
      </c>
      <c r="X497" s="313">
        <f t="shared" si="306"/>
        <v>0</v>
      </c>
      <c r="Y497" s="819"/>
      <c r="Z497" s="810"/>
      <c r="AA497" s="813"/>
    </row>
    <row r="498" spans="1:29">
      <c r="A498" s="756"/>
      <c r="B498" s="215"/>
      <c r="C498" s="815"/>
      <c r="D498" s="817"/>
      <c r="E498" s="78"/>
      <c r="F498" s="271"/>
      <c r="G498" s="98"/>
      <c r="H498" s="94"/>
      <c r="I498" s="334"/>
      <c r="J498" s="278"/>
      <c r="K498" s="216"/>
      <c r="L498" s="216"/>
      <c r="M498" s="216"/>
      <c r="N498" s="216"/>
      <c r="O498" s="216"/>
      <c r="P498" s="30"/>
      <c r="Q498" s="78">
        <f>IF(D490&lt;=3,база!$L$4,
IF(D490=4,база!$L$5,
IF(D490=5,база!$L$6)))</f>
        <v>210.57480000000001</v>
      </c>
      <c r="R498" s="271">
        <v>1.4</v>
      </c>
      <c r="S498" s="98">
        <f>SUMIFS(Таблица1[сумма],Таблица1[коэф],"1,4",Таблица1[р/р],"3/16",Таблица1[Ф. И. О.],B495)</f>
        <v>0</v>
      </c>
      <c r="T498" s="94">
        <f>ROUND(Q498*R498*S498,2)</f>
        <v>0</v>
      </c>
      <c r="U498" s="314">
        <f>IF(D490&lt;=3,база!$M$4,
IF(D490=4,база!$M$5,
IF(D490=5,база!$M$6)))</f>
        <v>225.09719999999999</v>
      </c>
      <c r="V498" s="271">
        <v>1.4</v>
      </c>
      <c r="W498" s="307">
        <f>SUMIFS(Таблица1[сумма],Таблица1[коэф],"1,4",Таблица1[р/р],"3/24",Таблица1[Ф. И. О.],B495)</f>
        <v>0</v>
      </c>
      <c r="X498" s="313">
        <f>ROUND(U498*V498*W498,2)</f>
        <v>0</v>
      </c>
      <c r="Y498" s="819"/>
      <c r="Z498" s="810"/>
      <c r="AA498" s="813"/>
    </row>
    <row r="499" spans="1:29">
      <c r="A499" s="756"/>
      <c r="B499" s="215"/>
      <c r="C499" s="815"/>
      <c r="D499" s="817"/>
      <c r="E499" s="78"/>
      <c r="F499" s="271"/>
      <c r="G499" s="98"/>
      <c r="H499" s="94"/>
      <c r="I499" s="334"/>
      <c r="J499" s="278"/>
      <c r="K499" s="216"/>
      <c r="L499" s="216"/>
      <c r="M499" s="216"/>
      <c r="N499" s="216"/>
      <c r="O499" s="216"/>
      <c r="P499" s="30"/>
      <c r="Q499" s="78">
        <f>база!$L$5</f>
        <v>231.45480000000001</v>
      </c>
      <c r="R499" s="271">
        <v>1.4</v>
      </c>
      <c r="S499" s="98">
        <f>SUMIFS(Таблица1[сумма],Таблица1[коэф],"1,4",Таблица1[р/р],"4/16",Таблица1[Ф. И. О.],B495)</f>
        <v>0</v>
      </c>
      <c r="T499" s="94">
        <f>ROUND(Q499*R499*S499,2)</f>
        <v>0</v>
      </c>
      <c r="U499" s="314">
        <f>база!$M$5</f>
        <v>247.41720000000001</v>
      </c>
      <c r="V499" s="271">
        <v>1.4</v>
      </c>
      <c r="W499" s="307">
        <f>SUMIFS(Таблица1[сумма],Таблица1[коэф],"1,4",Таблица1[р/р],"4/24",Таблица1[Ф. И. О.],B495)</f>
        <v>0</v>
      </c>
      <c r="X499" s="313">
        <f>ROUND(U499*V499*W499,2)</f>
        <v>0</v>
      </c>
      <c r="Y499" s="819"/>
      <c r="Z499" s="810"/>
      <c r="AA499" s="813"/>
    </row>
    <row r="500" spans="1:29" ht="24" thickBot="1">
      <c r="A500" s="757"/>
      <c r="B500" s="352"/>
      <c r="C500" s="816"/>
      <c r="D500" s="818"/>
      <c r="E500" s="74"/>
      <c r="F500" s="270"/>
      <c r="G500" s="88"/>
      <c r="H500" s="102"/>
      <c r="I500" s="631"/>
      <c r="J500" s="279"/>
      <c r="K500" s="626"/>
      <c r="L500" s="288"/>
      <c r="M500" s="625"/>
      <c r="N500" s="626"/>
      <c r="O500" s="626"/>
      <c r="P500" s="315"/>
      <c r="Q500" s="627">
        <f>база!$L$6</f>
        <v>261.04640000000001</v>
      </c>
      <c r="R500" s="273">
        <v>1.4</v>
      </c>
      <c r="S500" s="97">
        <f>SUMIFS(Таблица1[сумма],Таблица1[коэф],"1,4",Таблица1[р/р],"5/16",Таблица1[Ф. И. О.],B495)</f>
        <v>0</v>
      </c>
      <c r="T500" s="90">
        <f>ROUND(Q500*R500*S500,2)</f>
        <v>0</v>
      </c>
      <c r="U500" s="220">
        <f>база!$M$6</f>
        <v>279.0496</v>
      </c>
      <c r="V500" s="273">
        <v>1.4</v>
      </c>
      <c r="W500" s="97">
        <f>SUMIFS(Таблица1[сумма],Таблица1[коэф],"1,4",Таблица1[р/р],"5/24",Таблица1[Ф. И. О.],B495)</f>
        <v>0</v>
      </c>
      <c r="X500" s="90">
        <f>ROUND(U500*V500*W500,2)</f>
        <v>0</v>
      </c>
      <c r="Y500" s="820"/>
      <c r="Z500" s="811"/>
      <c r="AA500" s="814"/>
    </row>
    <row r="501" spans="1:29">
      <c r="A501" s="755">
        <v>46</v>
      </c>
      <c r="B501" s="215"/>
      <c r="C501" s="821">
        <f>INDEX(база!$E$2:$E$81, MATCH(B506,база!$B$2:$B$50,0))</f>
        <v>15082</v>
      </c>
      <c r="D501" s="822">
        <f>INDEX(база!$D$2:$D$89, MATCH(B506,база!$B$2:$B$50,0))</f>
        <v>3</v>
      </c>
      <c r="E501" s="72">
        <f>IF(D501&lt;=3,база!$I$4,
IF(D501=4,база!$I$5,
IF(D501=5,база!$I$6)))</f>
        <v>188.7912</v>
      </c>
      <c r="F501" s="269">
        <v>1</v>
      </c>
      <c r="G501" s="95">
        <f>SUMIFS(Таблица1[сумма],Таблица1[коэф],"1",Таблица1[р/р],"2/4",Таблица1[Ф. И. О.],B506)</f>
        <v>0</v>
      </c>
      <c r="H501" s="87">
        <f>ROUND(E501*F501*G501,2)</f>
        <v>0</v>
      </c>
      <c r="I501" s="344">
        <f>IF(D501&lt;=3,база!$J$4,
IF(D501=4,база!$J$5,
IF(D501=5,база!$J$6)))</f>
        <v>196.05240000000001</v>
      </c>
      <c r="J501" s="277">
        <v>1</v>
      </c>
      <c r="K501" s="309">
        <f>SUMIFS(Таблица1[сумма],Таблица1[коэф],"1",Таблица1[р/р],"2/8",Таблица1[Ф. И. О.],B506)</f>
        <v>0</v>
      </c>
      <c r="L501" s="309">
        <f>ROUND(I501*J501*K501,2)</f>
        <v>0</v>
      </c>
      <c r="M501" s="309"/>
      <c r="N501" s="309">
        <v>1</v>
      </c>
      <c r="O501" s="309">
        <f>SUMIFS(Data_Tech!$AM$3:$AM$67,Data_Tech!$E$3:$E$67,"1",Data_Tech!$G$3:$G$67,"3/12",Data_Tech!$F$3:$F$67,B506)</f>
        <v>0</v>
      </c>
      <c r="P501" s="281">
        <f>ROUND(M501*N501*O501,2)</f>
        <v>0</v>
      </c>
      <c r="Q501" s="74">
        <f>IF(D501&lt;=3,база!$L$4,
IF(D501=4,база!$L$5,
IF(D501=5,база!$L$6)))</f>
        <v>210.57480000000001</v>
      </c>
      <c r="R501" s="270">
        <v>1</v>
      </c>
      <c r="S501" s="96">
        <f>SUMIFS(Таблица1[сумма],Таблица1[коэф],"1",Таблица1[р/р],"3/16",Таблица1[Ф. И. О.],B506)</f>
        <v>0</v>
      </c>
      <c r="T501" s="102">
        <f t="shared" ref="T501:T505" si="307">ROUND(Q501*R501*S501,2)</f>
        <v>0</v>
      </c>
      <c r="U501" s="349">
        <f>IF(D501&lt;=3,база!$M$4,
IF(D501=4,база!$M$5,
IF(D501=5,база!$M$6)))</f>
        <v>225.09719999999999</v>
      </c>
      <c r="V501" s="270">
        <v>1</v>
      </c>
      <c r="W501" s="337">
        <f>SUMIFS(Таблица1[сумма],Таблица1[коэф],"1",Таблица1[р/р],"3/24",Таблица1[Ф. И. О.],B506)</f>
        <v>0</v>
      </c>
      <c r="X501" s="351">
        <f>ROUND(U501*V501*W501,2)</f>
        <v>0</v>
      </c>
      <c r="Y501" s="819">
        <f t="shared" ref="Y501" si="308">SUM(G501:G511,K501:K511,O501:O511,S501:S511,W501:W511)</f>
        <v>0</v>
      </c>
      <c r="Z501" s="823">
        <f t="shared" ref="Z501" si="309">IFERROR(SUM(H501:H511,L501:L511,T501:T511,X501:X511),"")</f>
        <v>0</v>
      </c>
      <c r="AA501" s="813"/>
    </row>
    <row r="502" spans="1:29">
      <c r="A502" s="756"/>
      <c r="B502" s="215"/>
      <c r="C502" s="815"/>
      <c r="D502" s="817"/>
      <c r="E502" s="78">
        <f>IF(D501&lt;=3,база!$I$4,
IF(D501=4,база!$I$5,
IF(D501=5,база!$I$6)))</f>
        <v>188.7912</v>
      </c>
      <c r="F502" s="271">
        <v>1</v>
      </c>
      <c r="G502" s="98">
        <f>SUMIFS(Таблица1[сумма],Таблица1[коэф],"1",Таблица1[р/р],"3/4",Таблица1[Ф. И. О.],B506)</f>
        <v>0</v>
      </c>
      <c r="H502" s="94">
        <f>ROUND(E502*F502*G502,2)</f>
        <v>0</v>
      </c>
      <c r="I502" s="334">
        <f>IF(D501&lt;=3,база!$J$4,
IF(D501=4,база!$J$5,
IF(D501=5,база!$J$6)))</f>
        <v>196.05240000000001</v>
      </c>
      <c r="J502" s="278">
        <v>1</v>
      </c>
      <c r="K502" s="216"/>
      <c r="L502" s="216">
        <f>ROUND(I502*J502*K502,2)</f>
        <v>0</v>
      </c>
      <c r="M502" s="216"/>
      <c r="N502" s="216">
        <v>1</v>
      </c>
      <c r="O502" s="216">
        <f>SUMIFS(Data_Tech!$AM$3:$AM$67,Data_Tech!$E$3:$E$67,"1",Data_Tech!$G$3:$G$67,"4/12",Data_Tech!$F$3:$F$67,B506)</f>
        <v>0</v>
      </c>
      <c r="P502" s="30">
        <f>ROUND(M502*O502,2)</f>
        <v>0</v>
      </c>
      <c r="Q502" s="78">
        <f>база!$L$5</f>
        <v>231.45480000000001</v>
      </c>
      <c r="R502" s="271">
        <v>1</v>
      </c>
      <c r="S502" s="98">
        <f>SUMIFS(Таблица1[сумма],Таблица1[коэф],"1",Таблица1[р/р],"4/16",Таблица1[Ф. И. О.],B506)</f>
        <v>0</v>
      </c>
      <c r="T502" s="94">
        <f t="shared" si="307"/>
        <v>0</v>
      </c>
      <c r="U502" s="314">
        <f>база!$M$5</f>
        <v>247.41720000000001</v>
      </c>
      <c r="V502" s="271">
        <v>1</v>
      </c>
      <c r="W502" s="307">
        <f>SUMIFS(Таблица1[сумма],Таблица1[коэф],"1",Таблица1[р/р],"4/24",Таблица1[Ф. И. О.],B506)</f>
        <v>0</v>
      </c>
      <c r="X502" s="313">
        <f t="shared" ref="X502" si="310">ROUND(U502*V502*W502,2)</f>
        <v>0</v>
      </c>
      <c r="Y502" s="819"/>
      <c r="Z502" s="810"/>
      <c r="AA502" s="813"/>
    </row>
    <row r="503" spans="1:29" ht="24" thickBot="1">
      <c r="A503" s="756"/>
      <c r="B503" s="215"/>
      <c r="C503" s="815"/>
      <c r="D503" s="817"/>
      <c r="E503" s="78"/>
      <c r="F503" s="271"/>
      <c r="G503" s="98"/>
      <c r="H503" s="94"/>
      <c r="I503" s="334"/>
      <c r="J503" s="278"/>
      <c r="K503" s="216"/>
      <c r="L503" s="216"/>
      <c r="M503" s="216"/>
      <c r="N503" s="216"/>
      <c r="O503" s="216"/>
      <c r="P503" s="30"/>
      <c r="Q503" s="78">
        <f>база!$L$6</f>
        <v>261.04640000000001</v>
      </c>
      <c r="R503" s="271">
        <v>1</v>
      </c>
      <c r="S503" s="98">
        <f>SUMIFS(Таблица1[сумма],Таблица1[коэф],"1",Таблица1[р/р],"5/16",Таблица1[Ф. И. О.],B506)</f>
        <v>0</v>
      </c>
      <c r="T503" s="94">
        <f t="shared" si="307"/>
        <v>0</v>
      </c>
      <c r="U503" s="314">
        <f>база!$M$6</f>
        <v>279.0496</v>
      </c>
      <c r="V503" s="271">
        <v>1</v>
      </c>
      <c r="W503" s="307">
        <f>SUMIFS(Таблица1[сумма],Таблица1[коэф],"1",Таблица1[р/р],"5/24",Таблица1[Ф. И. О.],B506)</f>
        <v>0</v>
      </c>
      <c r="X503" s="313">
        <f>ROUND(U503*V503*W503,2)</f>
        <v>0</v>
      </c>
      <c r="Y503" s="819"/>
      <c r="Z503" s="810"/>
      <c r="AA503" s="813"/>
    </row>
    <row r="504" spans="1:29" ht="24" thickBot="1">
      <c r="A504" s="756"/>
      <c r="B504" s="215"/>
      <c r="C504" s="815"/>
      <c r="D504" s="817"/>
      <c r="E504" s="78"/>
      <c r="F504" s="271"/>
      <c r="G504" s="98"/>
      <c r="H504" s="94"/>
      <c r="I504" s="334">
        <f>база!$J$5</f>
        <v>215.4924</v>
      </c>
      <c r="J504" s="278">
        <v>1.5</v>
      </c>
      <c r="K504" s="216">
        <f>SUMIFS(Таблица1[сумма],Таблица1[коэф],"1,5",Таблица1[р/р],"4/8",Таблица1[Ф. И. О.],B506)</f>
        <v>0</v>
      </c>
      <c r="L504" s="216">
        <f>ROUND(I504*J504*K504,2)</f>
        <v>0</v>
      </c>
      <c r="M504" s="216"/>
      <c r="N504" s="216"/>
      <c r="O504" s="216"/>
      <c r="P504" s="30"/>
      <c r="Q504" s="78">
        <f>IF(D501&lt;=3,база!$L$4,
IF(D501=4,база!$L$5,
IF(D501=5,база!$L$6)))</f>
        <v>210.57480000000001</v>
      </c>
      <c r="R504" s="271">
        <v>1.2</v>
      </c>
      <c r="S504" s="98">
        <f>SUMIFS(Таблица1[сумма],Таблица1[коэф],"1,2",Таблица1[р/р],"3/16",Таблица1[Ф. И. О.],B506)</f>
        <v>0</v>
      </c>
      <c r="T504" s="94">
        <f t="shared" si="307"/>
        <v>0</v>
      </c>
      <c r="U504" s="314">
        <f>IF(D501&lt;=3,база!$M$4,
IF(D501=4,база!$M$5,
IF(D501=5,база!$M$6)))</f>
        <v>225.09719999999999</v>
      </c>
      <c r="V504" s="271">
        <v>1.2</v>
      </c>
      <c r="W504" s="307">
        <f>SUMIFS(Таблица1[сумма],Таблица1[коэф],"1,2",Таблица1[р/р],"3/24",Таблица1[Ф. И. О.],B506)</f>
        <v>0</v>
      </c>
      <c r="X504" s="313">
        <f t="shared" ref="X504:X505" si="311">ROUND(U504*V504*W504,2)</f>
        <v>0</v>
      </c>
      <c r="Y504" s="819"/>
      <c r="Z504" s="810"/>
      <c r="AA504" s="813"/>
    </row>
    <row r="505" spans="1:29" ht="24" thickBot="1">
      <c r="A505" s="756"/>
      <c r="B505" s="215"/>
      <c r="C505" s="815"/>
      <c r="D505" s="817"/>
      <c r="E505" s="78"/>
      <c r="F505" s="271"/>
      <c r="G505" s="98"/>
      <c r="H505" s="94"/>
      <c r="I505" s="334">
        <f>база!$J$6</f>
        <v>243.04319999999998</v>
      </c>
      <c r="J505" s="278">
        <v>1.5</v>
      </c>
      <c r="K505" s="216">
        <f>SUMIFS(Таблица1[сумма],Таблица1[коэф],"1,5",Таблица1[р/р],"5/8",Таблица1[Ф. И. О.],B506)</f>
        <v>0</v>
      </c>
      <c r="L505" s="216">
        <f>ROUND(I505*J505*K505,2)</f>
        <v>0</v>
      </c>
      <c r="M505" s="216"/>
      <c r="N505" s="216"/>
      <c r="O505" s="216"/>
      <c r="P505" s="30"/>
      <c r="Q505" s="78">
        <f>база!$L$5</f>
        <v>231.45480000000001</v>
      </c>
      <c r="R505" s="271">
        <v>1.2</v>
      </c>
      <c r="S505" s="98">
        <f>SUMIFS(Таблица1[сумма],Таблица1[коэф],"1,2",Таблица1[р/р],"4/16",Таблица1[Ф. И. О.],B506)</f>
        <v>0</v>
      </c>
      <c r="T505" s="94">
        <f t="shared" si="307"/>
        <v>0</v>
      </c>
      <c r="U505" s="314">
        <f>база!$M$5</f>
        <v>247.41720000000001</v>
      </c>
      <c r="V505" s="271">
        <v>1.2</v>
      </c>
      <c r="W505" s="307">
        <f>SUMIFS(Таблица1[сумма],Таблица1[коэф],"1,2",Таблица1[р/р],"4/24",Таблица1[Ф. И. О.],B506)</f>
        <v>0</v>
      </c>
      <c r="X505" s="313">
        <f t="shared" si="311"/>
        <v>0</v>
      </c>
      <c r="Y505" s="819"/>
      <c r="Z505" s="810"/>
      <c r="AA505" s="813"/>
      <c r="AC505" s="707" t="str">
        <f>IF(SUMIFS(Таблица1[Столбец2],Таблица1[Ф. И. О.],B506)-Z501=0,"",SUMIFS(Таблица1[Столбец2],Таблица1[Ф. И. О.],B506)-Z501)</f>
        <v/>
      </c>
    </row>
    <row r="506" spans="1:29" ht="24" thickBot="1">
      <c r="A506" s="756"/>
      <c r="B506" s="215" t="str">
        <f>база!B47</f>
        <v>Матыгулина Наталья Энвировна</v>
      </c>
      <c r="C506" s="815"/>
      <c r="D506" s="817"/>
      <c r="E506" s="78"/>
      <c r="F506" s="271"/>
      <c r="G506" s="98"/>
      <c r="H506" s="94"/>
      <c r="I506" s="334"/>
      <c r="J506" s="278"/>
      <c r="K506" s="216"/>
      <c r="L506" s="216"/>
      <c r="M506" s="216"/>
      <c r="N506" s="216"/>
      <c r="O506" s="216"/>
      <c r="P506" s="30"/>
      <c r="Q506" s="78">
        <f>база!$L$6</f>
        <v>261.04640000000001</v>
      </c>
      <c r="R506" s="271">
        <v>1.2</v>
      </c>
      <c r="S506" s="98">
        <f>SUMIFS(Таблица1[сумма],Таблица1[коэф],"1,2",Таблица1[р/р],"5/16",Таблица1[Ф. И. О.],B506)</f>
        <v>0</v>
      </c>
      <c r="T506" s="94">
        <f>ROUND(Q506*R506*S506,2)</f>
        <v>0</v>
      </c>
      <c r="U506" s="314">
        <f>база!$M$6</f>
        <v>279.0496</v>
      </c>
      <c r="V506" s="271">
        <v>1.2</v>
      </c>
      <c r="W506" s="307">
        <f>SUMIFS(Таблица1[сумма],Таблица1[коэф],"1,2",Таблица1[р/р],"5/24",Таблица1[Ф. И. О.],B506)</f>
        <v>0</v>
      </c>
      <c r="X506" s="313">
        <f>ROUND(U506*V506*W506,2)</f>
        <v>0</v>
      </c>
      <c r="Y506" s="819"/>
      <c r="Z506" s="810"/>
      <c r="AA506" s="813"/>
      <c r="AC506" s="707" t="str">
        <f>IF(SUMIFS(Таблица1[сумма],Таблица1[Ф. И. О.],B506)=Y501,"",B501&amp;"  часы не верны")</f>
        <v/>
      </c>
    </row>
    <row r="507" spans="1:29" ht="24" thickBot="1">
      <c r="A507" s="756"/>
      <c r="B507" s="215"/>
      <c r="C507" s="815"/>
      <c r="D507" s="817"/>
      <c r="E507" s="78"/>
      <c r="F507" s="271"/>
      <c r="G507" s="98"/>
      <c r="H507" s="94"/>
      <c r="I507" s="334"/>
      <c r="J507" s="278"/>
      <c r="K507" s="216"/>
      <c r="L507" s="216"/>
      <c r="M507" s="216"/>
      <c r="N507" s="216"/>
      <c r="O507" s="216"/>
      <c r="P507" s="30"/>
      <c r="Q507" s="78">
        <f>IF($D$6&lt;=3,база!$L$4,
IF($D$6=4,база!$L$5,
IF($D$6=5,база!$L$6)))</f>
        <v>231.45480000000001</v>
      </c>
      <c r="R507" s="271">
        <v>1.3</v>
      </c>
      <c r="S507" s="98">
        <f>SUMIFS(Таблица1[сумма],Таблица1[коэф],"1,3",Таблица1[р/р],"3/16",Таблица1[Ф. И. О.],B506)</f>
        <v>0</v>
      </c>
      <c r="T507" s="94">
        <f t="shared" ref="T507:T508" si="312">ROUND(Q507*R507*S507,2)</f>
        <v>0</v>
      </c>
      <c r="U507" s="314">
        <f>IF(D501&lt;=3,база!$M$4,
IF(D501=4,база!$M$5,
IF(D501=5,база!$M$6)))</f>
        <v>225.09719999999999</v>
      </c>
      <c r="V507" s="271">
        <v>1.3</v>
      </c>
      <c r="W507" s="307">
        <f>SUMIFS(Таблица1[сумма],Таблица1[коэф],"1,3",Таблица1[р/р],"3/24",Таблица1[Ф. И. О.],B506)</f>
        <v>0</v>
      </c>
      <c r="X507" s="313">
        <f t="shared" ref="X507:X508" si="313">ROUND(U507*V507*W507,2)</f>
        <v>0</v>
      </c>
      <c r="Y507" s="819"/>
      <c r="Z507" s="810"/>
      <c r="AA507" s="813"/>
    </row>
    <row r="508" spans="1:29" ht="24" thickBot="1">
      <c r="A508" s="756"/>
      <c r="B508" s="215"/>
      <c r="C508" s="815"/>
      <c r="D508" s="817"/>
      <c r="E508" s="78"/>
      <c r="F508" s="271"/>
      <c r="G508" s="98"/>
      <c r="H508" s="94"/>
      <c r="I508" s="334"/>
      <c r="J508" s="278"/>
      <c r="K508" s="216"/>
      <c r="L508" s="216"/>
      <c r="M508" s="216"/>
      <c r="N508" s="216"/>
      <c r="O508" s="216"/>
      <c r="P508" s="30"/>
      <c r="Q508" s="78">
        <f>база!$L$5</f>
        <v>231.45480000000001</v>
      </c>
      <c r="R508" s="271">
        <v>1.3</v>
      </c>
      <c r="S508" s="98">
        <f>SUMIFS(Таблица1[сумма],Таблица1[коэф],"1,3",Таблица1[р/р],"4/16",Таблица1[Ф. И. О.],B506)</f>
        <v>0</v>
      </c>
      <c r="T508" s="94">
        <f t="shared" si="312"/>
        <v>0</v>
      </c>
      <c r="U508" s="314">
        <f>база!$M$5</f>
        <v>247.41720000000001</v>
      </c>
      <c r="V508" s="271">
        <v>1.3</v>
      </c>
      <c r="W508" s="307">
        <f>SUMIFS(Таблица1[сумма],Таблица1[коэф],"1,3",Таблица1[р/р],"4/24",Таблица1[Ф. И. О.],B506)</f>
        <v>0</v>
      </c>
      <c r="X508" s="313">
        <f t="shared" si="313"/>
        <v>0</v>
      </c>
      <c r="Y508" s="819"/>
      <c r="Z508" s="810"/>
      <c r="AA508" s="813"/>
    </row>
    <row r="509" spans="1:29" ht="24" thickBot="1">
      <c r="A509" s="756"/>
      <c r="B509" s="215"/>
      <c r="C509" s="815"/>
      <c r="D509" s="817"/>
      <c r="E509" s="78"/>
      <c r="F509" s="271"/>
      <c r="G509" s="98"/>
      <c r="H509" s="94"/>
      <c r="I509" s="334"/>
      <c r="J509" s="278"/>
      <c r="K509" s="216"/>
      <c r="L509" s="216"/>
      <c r="M509" s="216"/>
      <c r="N509" s="216"/>
      <c r="O509" s="216"/>
      <c r="P509" s="30"/>
      <c r="Q509" s="78">
        <f>IF(D501&lt;=3,база!$L$4,
IF(D501=4,база!$L$5,
IF(D501=5,база!$L$6)))</f>
        <v>210.57480000000001</v>
      </c>
      <c r="R509" s="271">
        <v>1.4</v>
      </c>
      <c r="S509" s="98">
        <f>SUMIFS(Таблица1[сумма],Таблица1[коэф],"1,4",Таблица1[р/р],"3/16",Таблица1[Ф. И. О.],B506)</f>
        <v>0</v>
      </c>
      <c r="T509" s="94">
        <f>ROUND(Q509*R509*S509,2)</f>
        <v>0</v>
      </c>
      <c r="U509" s="314">
        <f>IF(D501&lt;=3,база!$M$4,
IF(D501=4,база!$M$5,
IF(D501=5,база!$M$6)))</f>
        <v>225.09719999999999</v>
      </c>
      <c r="V509" s="271">
        <v>1.4</v>
      </c>
      <c r="W509" s="307">
        <f>SUMIFS(Таблица1[сумма],Таблица1[коэф],"1,4",Таблица1[р/р],"3/24",Таблица1[Ф. И. О.],B506)</f>
        <v>0</v>
      </c>
      <c r="X509" s="313">
        <f>ROUND(U509*V509*W509,2)</f>
        <v>0</v>
      </c>
      <c r="Y509" s="819"/>
      <c r="Z509" s="810"/>
      <c r="AA509" s="813"/>
    </row>
    <row r="510" spans="1:29" ht="24" thickBot="1">
      <c r="A510" s="756"/>
      <c r="B510" s="215"/>
      <c r="C510" s="815"/>
      <c r="D510" s="817"/>
      <c r="E510" s="78"/>
      <c r="F510" s="271"/>
      <c r="G510" s="98"/>
      <c r="H510" s="94"/>
      <c r="I510" s="334"/>
      <c r="J510" s="278"/>
      <c r="K510" s="216"/>
      <c r="L510" s="216"/>
      <c r="M510" s="216"/>
      <c r="N510" s="216"/>
      <c r="O510" s="216"/>
      <c r="P510" s="30"/>
      <c r="Q510" s="78">
        <f>база!$L$5</f>
        <v>231.45480000000001</v>
      </c>
      <c r="R510" s="271">
        <v>1.4</v>
      </c>
      <c r="S510" s="98">
        <f>SUMIFS(Таблица1[сумма],Таблица1[коэф],"1,4",Таблица1[р/р],"4/16",Таблица1[Ф. И. О.],B506)</f>
        <v>0</v>
      </c>
      <c r="T510" s="94">
        <f>ROUND(Q510*R510*S510,2)</f>
        <v>0</v>
      </c>
      <c r="U510" s="314">
        <f>база!$M$5</f>
        <v>247.41720000000001</v>
      </c>
      <c r="V510" s="271">
        <v>1.4</v>
      </c>
      <c r="W510" s="307">
        <f>SUMIFS(Таблица1[сумма],Таблица1[коэф],"1,4",Таблица1[р/р],"4/24",Таблица1[Ф. И. О.],B506)</f>
        <v>0</v>
      </c>
      <c r="X510" s="313">
        <f>ROUND(U510*V510*W510,2)</f>
        <v>0</v>
      </c>
      <c r="Y510" s="819"/>
      <c r="Z510" s="810"/>
      <c r="AA510" s="813"/>
    </row>
    <row r="511" spans="1:29" ht="24" thickBot="1">
      <c r="A511" s="757"/>
      <c r="B511" s="352"/>
      <c r="C511" s="816"/>
      <c r="D511" s="818"/>
      <c r="E511" s="74"/>
      <c r="F511" s="270"/>
      <c r="G511" s="88"/>
      <c r="H511" s="102"/>
      <c r="I511" s="631"/>
      <c r="J511" s="279"/>
      <c r="K511" s="626"/>
      <c r="L511" s="288"/>
      <c r="M511" s="625"/>
      <c r="N511" s="626"/>
      <c r="O511" s="626"/>
      <c r="P511" s="315"/>
      <c r="Q511" s="627">
        <f>база!$L$6</f>
        <v>261.04640000000001</v>
      </c>
      <c r="R511" s="273">
        <v>1.4</v>
      </c>
      <c r="S511" s="97">
        <f>SUMIFS(Таблица1[сумма],Таблица1[коэф],"1,4",Таблица1[р/р],"5/16",Таблица1[Ф. И. О.],B506)</f>
        <v>0</v>
      </c>
      <c r="T511" s="90">
        <f>ROUND(Q511*R511*S511,2)</f>
        <v>0</v>
      </c>
      <c r="U511" s="220">
        <f>база!$M$6</f>
        <v>279.0496</v>
      </c>
      <c r="V511" s="273">
        <v>1.4</v>
      </c>
      <c r="W511" s="97">
        <f>SUMIFS(Таблица1[сумма],Таблица1[коэф],"1,4",Таблица1[р/р],"5/24",Таблица1[Ф. И. О.],B506)</f>
        <v>0</v>
      </c>
      <c r="X511" s="102">
        <f>ROUND(U511*V511*W511,2)</f>
        <v>0</v>
      </c>
      <c r="Y511" s="820"/>
      <c r="Z511" s="811"/>
      <c r="AA511" s="814"/>
    </row>
    <row r="512" spans="1:29">
      <c r="A512" s="755">
        <v>47</v>
      </c>
      <c r="B512" s="215"/>
      <c r="C512" s="821">
        <f>INDEX(база!$E$2:$E$81, MATCH(B517,база!$B$2:$B$50,0))</f>
        <v>17341</v>
      </c>
      <c r="D512" s="822">
        <f>INDEX(база!$D$2:$D$89, MATCH(B517,база!$B$2:$B$50,0))</f>
        <v>3</v>
      </c>
      <c r="E512" s="72">
        <f>IF(D512&lt;=3,база!$I$4,
IF(D512=4,база!$I$5,
IF(D512=5,база!$I$6)))</f>
        <v>188.7912</v>
      </c>
      <c r="F512" s="269">
        <v>1</v>
      </c>
      <c r="G512" s="95">
        <f>SUMIFS(Таблица1[сумма],Таблица1[коэф],"1",Таблица1[р/р],"2/4",Таблица1[Ф. И. О.],B517)</f>
        <v>0</v>
      </c>
      <c r="H512" s="87">
        <f>ROUND(E512*F512*G512,2)</f>
        <v>0</v>
      </c>
      <c r="I512" s="344">
        <f>IF(D512&lt;=3,база!$J$4,
IF(D512=4,база!$J$5,
IF(D512=5,база!$J$6)))</f>
        <v>196.05240000000001</v>
      </c>
      <c r="J512" s="277">
        <v>1</v>
      </c>
      <c r="K512" s="309">
        <f>SUMIFS(Таблица1[сумма],Таблица1[коэф],"1",Таблица1[р/р],"2/8",Таблица1[Ф. И. О.],B517)</f>
        <v>0</v>
      </c>
      <c r="L512" s="309">
        <f>ROUND(I512*J512*K512,2)</f>
        <v>0</v>
      </c>
      <c r="M512" s="309"/>
      <c r="N512" s="309">
        <v>1</v>
      </c>
      <c r="O512" s="309">
        <f>SUMIFS(Data_Tech!$AM$3:$AM$67,Data_Tech!$E$3:$E$67,"1",Data_Tech!$G$3:$G$67,"3/12",Data_Tech!$F$3:$F$67,B517)</f>
        <v>0</v>
      </c>
      <c r="P512" s="281">
        <f>ROUND(M512*N512*O512,2)</f>
        <v>0</v>
      </c>
      <c r="Q512" s="74">
        <f>IF(D512&lt;=3,база!$L$4,
IF(D512=4,база!$L$5,
IF(D512=5,база!$L$6)))</f>
        <v>210.57480000000001</v>
      </c>
      <c r="R512" s="270">
        <v>1</v>
      </c>
      <c r="S512" s="96">
        <f>SUMIFS(Таблица1[сумма],Таблица1[коэф],"1",Таблица1[р/р],"3/16",Таблица1[Ф. И. О.],B517)</f>
        <v>0</v>
      </c>
      <c r="T512" s="102">
        <f t="shared" ref="T512:T516" si="314">ROUND(Q512*R512*S512,2)</f>
        <v>0</v>
      </c>
      <c r="U512" s="349">
        <f>IF(D512&lt;=3,база!$M$4,
IF(D512=4,база!$M$5,
IF(D512=5,база!$M$6)))</f>
        <v>225.09719999999999</v>
      </c>
      <c r="V512" s="270">
        <v>1</v>
      </c>
      <c r="W512" s="337">
        <f>SUMIFS(Таблица1[сумма],Таблица1[коэф],"1",Таблица1[р/р],"3/24",Таблица1[Ф. И. О.],B517)</f>
        <v>0</v>
      </c>
      <c r="X512" s="342">
        <f>ROUND(U512*V512*W512,2)</f>
        <v>0</v>
      </c>
      <c r="Y512" s="819">
        <f t="shared" ref="Y512" si="315">SUM(G512:G522,K512:K522,O512:O522,S512:S522,W512:W522)</f>
        <v>0</v>
      </c>
      <c r="Z512" s="823">
        <f t="shared" ref="Z512" si="316">IFERROR(SUM(H512:H522,L512:L522,T512:T522,X512:X522),"")</f>
        <v>0</v>
      </c>
      <c r="AA512" s="813"/>
    </row>
    <row r="513" spans="1:29">
      <c r="A513" s="756"/>
      <c r="B513" s="215"/>
      <c r="C513" s="815"/>
      <c r="D513" s="817"/>
      <c r="E513" s="78">
        <f>IF(D512&lt;=3,база!$I$4,
IF(D512=4,база!$I$5,
IF(D512=5,база!$I$6)))</f>
        <v>188.7912</v>
      </c>
      <c r="F513" s="271">
        <v>1</v>
      </c>
      <c r="G513" s="98">
        <f>SUMIFS(Таблица1[сумма],Таблица1[коэф],"1",Таблица1[р/р],"3/4",Таблица1[Ф. И. О.],B517)</f>
        <v>0</v>
      </c>
      <c r="H513" s="94">
        <f>ROUND(E513*F513*G513,2)</f>
        <v>0</v>
      </c>
      <c r="I513" s="334">
        <f>IF(D512&lt;=3,база!$J$4,
IF(D512=4,база!$J$5,
IF(D512=5,база!$J$6)))</f>
        <v>196.05240000000001</v>
      </c>
      <c r="J513" s="278">
        <v>1</v>
      </c>
      <c r="K513" s="216"/>
      <c r="L513" s="216">
        <f>ROUND(I513*J513*K513,2)</f>
        <v>0</v>
      </c>
      <c r="M513" s="216"/>
      <c r="N513" s="216">
        <v>1</v>
      </c>
      <c r="O513" s="216">
        <f>SUMIFS(Data_Tech!$AM$3:$AM$67,Data_Tech!$E$3:$E$67,"1",Data_Tech!$G$3:$G$67,"4/12",Data_Tech!$F$3:$F$67,B517)</f>
        <v>0</v>
      </c>
      <c r="P513" s="30">
        <f>ROUND(M513*O513,2)</f>
        <v>0</v>
      </c>
      <c r="Q513" s="78">
        <f>база!$L$5</f>
        <v>231.45480000000001</v>
      </c>
      <c r="R513" s="271">
        <v>1</v>
      </c>
      <c r="S513" s="98">
        <f>SUMIFS(Таблица1[сумма],Таблица1[коэф],"1",Таблица1[р/р],"4/16",Таблица1[Ф. И. О.],B517)</f>
        <v>0</v>
      </c>
      <c r="T513" s="94">
        <f t="shared" si="314"/>
        <v>0</v>
      </c>
      <c r="U513" s="314">
        <f>база!$M$5</f>
        <v>247.41720000000001</v>
      </c>
      <c r="V513" s="271">
        <v>1</v>
      </c>
      <c r="W513" s="307">
        <f>SUMIFS(Таблица1[сумма],Таблица1[коэф],"1",Таблица1[р/р],"4/24",Таблица1[Ф. И. О.],B517)</f>
        <v>0</v>
      </c>
      <c r="X513" s="313">
        <f t="shared" ref="X513" si="317">ROUND(U513*V513*W513,2)</f>
        <v>0</v>
      </c>
      <c r="Y513" s="819"/>
      <c r="Z513" s="810"/>
      <c r="AA513" s="813"/>
    </row>
    <row r="514" spans="1:29" ht="24" thickBot="1">
      <c r="A514" s="756"/>
      <c r="B514" s="215"/>
      <c r="C514" s="815"/>
      <c r="D514" s="817"/>
      <c r="E514" s="78"/>
      <c r="F514" s="271"/>
      <c r="G514" s="98"/>
      <c r="H514" s="94"/>
      <c r="I514" s="334"/>
      <c r="J514" s="278"/>
      <c r="K514" s="216"/>
      <c r="L514" s="216"/>
      <c r="M514" s="216"/>
      <c r="N514" s="216"/>
      <c r="O514" s="216"/>
      <c r="P514" s="30"/>
      <c r="Q514" s="78">
        <f>база!$L$6</f>
        <v>261.04640000000001</v>
      </c>
      <c r="R514" s="271">
        <v>1</v>
      </c>
      <c r="S514" s="98">
        <f>SUMIFS(Таблица1[сумма],Таблица1[коэф],"1",Таблица1[р/р],"5/16",Таблица1[Ф. И. О.],B517)</f>
        <v>0</v>
      </c>
      <c r="T514" s="94">
        <f t="shared" si="314"/>
        <v>0</v>
      </c>
      <c r="U514" s="314">
        <f>база!$M$6</f>
        <v>279.0496</v>
      </c>
      <c r="V514" s="271">
        <v>1</v>
      </c>
      <c r="W514" s="307">
        <f>SUMIFS(Таблица1[сумма],Таблица1[коэф],"1",Таблица1[р/р],"5/24",Таблица1[Ф. И. О.],B517)</f>
        <v>0</v>
      </c>
      <c r="X514" s="313">
        <f>ROUND(U514*V514*W514,2)</f>
        <v>0</v>
      </c>
      <c r="Y514" s="819"/>
      <c r="Z514" s="810"/>
      <c r="AA514" s="813"/>
    </row>
    <row r="515" spans="1:29" ht="24" thickBot="1">
      <c r="A515" s="756"/>
      <c r="B515" s="215"/>
      <c r="C515" s="815"/>
      <c r="D515" s="817"/>
      <c r="E515" s="78"/>
      <c r="F515" s="271"/>
      <c r="G515" s="98"/>
      <c r="H515" s="94"/>
      <c r="I515" s="334">
        <f>база!$J$5</f>
        <v>215.4924</v>
      </c>
      <c r="J515" s="278">
        <v>1.5</v>
      </c>
      <c r="K515" s="216">
        <f>SUMIFS(Таблица1[сумма],Таблица1[коэф],"1,5",Таблица1[р/р],"4/8",Таблица1[Ф. И. О.],B517)</f>
        <v>0</v>
      </c>
      <c r="L515" s="216">
        <f>ROUND(I515*J515*K515,2)</f>
        <v>0</v>
      </c>
      <c r="M515" s="216"/>
      <c r="N515" s="216"/>
      <c r="O515" s="216"/>
      <c r="P515" s="30"/>
      <c r="Q515" s="78">
        <f>IF(D512&lt;=3,база!$L$4,
IF(D512=4,база!$L$5,
IF(D512=5,база!$L$6)))</f>
        <v>210.57480000000001</v>
      </c>
      <c r="R515" s="271">
        <v>1.2</v>
      </c>
      <c r="S515" s="98">
        <f>SUMIFS(Таблица1[сумма],Таблица1[коэф],"1,2",Таблица1[р/р],"3/16",Таблица1[Ф. И. О.],B517)</f>
        <v>0</v>
      </c>
      <c r="T515" s="94">
        <f t="shared" si="314"/>
        <v>0</v>
      </c>
      <c r="U515" s="314">
        <f>IF(D512&lt;=3,база!$M$4,
IF(D512=4,база!$M$5,
IF(D512=5,база!$M$6)))</f>
        <v>225.09719999999999</v>
      </c>
      <c r="V515" s="271">
        <v>1.2</v>
      </c>
      <c r="W515" s="307">
        <f>SUMIFS(Таблица1[сумма],Таблица1[коэф],"1,2",Таблица1[р/р],"3/24",Таблица1[Ф. И. О.],B517)</f>
        <v>0</v>
      </c>
      <c r="X515" s="313">
        <f t="shared" ref="X515:X516" si="318">ROUND(U515*V515*W515,2)</f>
        <v>0</v>
      </c>
      <c r="Y515" s="819"/>
      <c r="Z515" s="810"/>
      <c r="AA515" s="813"/>
    </row>
    <row r="516" spans="1:29" ht="24" thickBot="1">
      <c r="A516" s="756"/>
      <c r="B516" s="215"/>
      <c r="C516" s="815"/>
      <c r="D516" s="817"/>
      <c r="E516" s="78"/>
      <c r="F516" s="271"/>
      <c r="G516" s="98"/>
      <c r="H516" s="94"/>
      <c r="I516" s="334">
        <f>база!$J$6</f>
        <v>243.04319999999998</v>
      </c>
      <c r="J516" s="278">
        <v>1.5</v>
      </c>
      <c r="K516" s="216">
        <f>SUMIFS(Таблица1[сумма],Таблица1[коэф],"1,5",Таблица1[р/р],"5/8",Таблица1[Ф. И. О.],B517)</f>
        <v>0</v>
      </c>
      <c r="L516" s="216">
        <f>ROUND(I516*J516*K516,2)</f>
        <v>0</v>
      </c>
      <c r="M516" s="216"/>
      <c r="N516" s="216"/>
      <c r="O516" s="216"/>
      <c r="P516" s="30"/>
      <c r="Q516" s="78">
        <f>база!$L$5</f>
        <v>231.45480000000001</v>
      </c>
      <c r="R516" s="271">
        <v>1.2</v>
      </c>
      <c r="S516" s="98">
        <f>SUMIFS(Таблица1[сумма],Таблица1[коэф],"1,2",Таблица1[р/р],"4/16",Таблица1[Ф. И. О.],B517)</f>
        <v>0</v>
      </c>
      <c r="T516" s="94">
        <f t="shared" si="314"/>
        <v>0</v>
      </c>
      <c r="U516" s="314">
        <f>база!$M$5</f>
        <v>247.41720000000001</v>
      </c>
      <c r="V516" s="271">
        <v>1.2</v>
      </c>
      <c r="W516" s="307">
        <f>SUMIFS(Таблица1[сумма],Таблица1[коэф],"1,2",Таблица1[р/р],"4/24",Таблица1[Ф. И. О.],B517)</f>
        <v>0</v>
      </c>
      <c r="X516" s="313">
        <f t="shared" si="318"/>
        <v>0</v>
      </c>
      <c r="Y516" s="819"/>
      <c r="Z516" s="810"/>
      <c r="AA516" s="813"/>
      <c r="AC516" s="707" t="str">
        <f>IF(SUMIFS(Таблица1[Столбец2],Таблица1[Ф. И. О.],B517)-Z512=0,"",SUMIFS(Таблица1[Столбец2],Таблица1[Ф. И. О.],B517)-Z512)</f>
        <v/>
      </c>
    </row>
    <row r="517" spans="1:29" ht="24" thickBot="1">
      <c r="A517" s="756"/>
      <c r="B517" s="215" t="str">
        <f>база!B48</f>
        <v>Машталяр Анна Сергеевна</v>
      </c>
      <c r="C517" s="815"/>
      <c r="D517" s="817"/>
      <c r="E517" s="78"/>
      <c r="F517" s="271"/>
      <c r="G517" s="98"/>
      <c r="H517" s="94"/>
      <c r="I517" s="334"/>
      <c r="J517" s="278"/>
      <c r="K517" s="216"/>
      <c r="L517" s="216"/>
      <c r="M517" s="216"/>
      <c r="N517" s="216"/>
      <c r="O517" s="216"/>
      <c r="P517" s="30"/>
      <c r="Q517" s="78">
        <f>база!$L$6</f>
        <v>261.04640000000001</v>
      </c>
      <c r="R517" s="271">
        <v>1.2</v>
      </c>
      <c r="S517" s="98">
        <f>SUMIFS(Таблица1[сумма],Таблица1[коэф],"1,2",Таблица1[р/р],"5/16",Таблица1[Ф. И. О.],B517)</f>
        <v>0</v>
      </c>
      <c r="T517" s="94">
        <f>ROUND(Q517*R517*S517,2)</f>
        <v>0</v>
      </c>
      <c r="U517" s="314">
        <f>база!$M$6</f>
        <v>279.0496</v>
      </c>
      <c r="V517" s="271">
        <v>1.2</v>
      </c>
      <c r="W517" s="307">
        <f>SUMIFS(Таблица1[сумма],Таблица1[коэф],"1,2",Таблица1[р/р],"5/24",Таблица1[Ф. И. О.],B517)</f>
        <v>0</v>
      </c>
      <c r="X517" s="313">
        <f>ROUND(U517*V517*W517,2)</f>
        <v>0</v>
      </c>
      <c r="Y517" s="819"/>
      <c r="Z517" s="810"/>
      <c r="AA517" s="813"/>
      <c r="AC517" s="707" t="str">
        <f>IF(SUMIFS(Таблица1[сумма],Таблица1[Ф. И. О.],B517)=Y512,"",B512&amp;"  часы не верны")</f>
        <v/>
      </c>
    </row>
    <row r="518" spans="1:29" ht="24" thickBot="1">
      <c r="A518" s="756"/>
      <c r="B518" s="215"/>
      <c r="C518" s="815"/>
      <c r="D518" s="817"/>
      <c r="E518" s="78"/>
      <c r="F518" s="271"/>
      <c r="G518" s="98"/>
      <c r="H518" s="94"/>
      <c r="I518" s="334"/>
      <c r="J518" s="278"/>
      <c r="K518" s="216"/>
      <c r="L518" s="216"/>
      <c r="M518" s="216"/>
      <c r="N518" s="216"/>
      <c r="O518" s="216"/>
      <c r="P518" s="30"/>
      <c r="Q518" s="78">
        <f>IF($D$6&lt;=3,база!$L$4,
IF($D$6=4,база!$L$5,
IF($D$6=5,база!$L$6)))</f>
        <v>231.45480000000001</v>
      </c>
      <c r="R518" s="271">
        <v>1.3</v>
      </c>
      <c r="S518" s="98">
        <f>SUMIFS(Таблица1[сумма],Таблица1[коэф],"1,3",Таблица1[р/р],"3/16",Таблица1[Ф. И. О.],B517)</f>
        <v>0</v>
      </c>
      <c r="T518" s="94">
        <f t="shared" ref="T518:T519" si="319">ROUND(Q518*R518*S518,2)</f>
        <v>0</v>
      </c>
      <c r="U518" s="314">
        <f>IF(D512&lt;=3,база!$M$4,
IF(D512=4,база!$M$5,
IF(D512=5,база!$M$6)))</f>
        <v>225.09719999999999</v>
      </c>
      <c r="V518" s="271">
        <v>1.3</v>
      </c>
      <c r="W518" s="307">
        <f>SUMIFS(Таблица1[сумма],Таблица1[коэф],"1,3",Таблица1[р/р],"3/24",Таблица1[Ф. И. О.],B517)</f>
        <v>0</v>
      </c>
      <c r="X518" s="313">
        <f t="shared" ref="X518:X519" si="320">ROUND(U518*V518*W518,2)</f>
        <v>0</v>
      </c>
      <c r="Y518" s="819"/>
      <c r="Z518" s="810"/>
      <c r="AA518" s="813"/>
    </row>
    <row r="519" spans="1:29" ht="24" thickBot="1">
      <c r="A519" s="756"/>
      <c r="B519" s="215"/>
      <c r="C519" s="815"/>
      <c r="D519" s="817"/>
      <c r="E519" s="78"/>
      <c r="F519" s="271"/>
      <c r="G519" s="98"/>
      <c r="H519" s="94"/>
      <c r="I519" s="334"/>
      <c r="J519" s="278"/>
      <c r="K519" s="216"/>
      <c r="L519" s="216"/>
      <c r="M519" s="216"/>
      <c r="N519" s="216"/>
      <c r="O519" s="216"/>
      <c r="P519" s="30"/>
      <c r="Q519" s="78">
        <f>база!$L$5</f>
        <v>231.45480000000001</v>
      </c>
      <c r="R519" s="271">
        <v>1.3</v>
      </c>
      <c r="S519" s="98">
        <f>SUMIFS(Таблица1[сумма],Таблица1[коэф],"1,3",Таблица1[р/р],"4/16",Таблица1[Ф. И. О.],B517)</f>
        <v>0</v>
      </c>
      <c r="T519" s="94">
        <f t="shared" si="319"/>
        <v>0</v>
      </c>
      <c r="U519" s="314">
        <f>база!$M$5</f>
        <v>247.41720000000001</v>
      </c>
      <c r="V519" s="271">
        <v>1.3</v>
      </c>
      <c r="W519" s="307">
        <f>SUMIFS(Таблица1[сумма],Таблица1[коэф],"1,3",Таблица1[р/р],"4/24",Таблица1[Ф. И. О.],B517)</f>
        <v>0</v>
      </c>
      <c r="X519" s="313">
        <f t="shared" si="320"/>
        <v>0</v>
      </c>
      <c r="Y519" s="819"/>
      <c r="Z519" s="810"/>
      <c r="AA519" s="813"/>
    </row>
    <row r="520" spans="1:29" ht="24" thickBot="1">
      <c r="A520" s="756"/>
      <c r="B520" s="215"/>
      <c r="C520" s="815"/>
      <c r="D520" s="817"/>
      <c r="E520" s="78"/>
      <c r="F520" s="271"/>
      <c r="G520" s="98"/>
      <c r="H520" s="94"/>
      <c r="I520" s="334"/>
      <c r="J520" s="278"/>
      <c r="K520" s="216"/>
      <c r="L520" s="216"/>
      <c r="M520" s="216"/>
      <c r="N520" s="216"/>
      <c r="O520" s="216"/>
      <c r="P520" s="30"/>
      <c r="Q520" s="78">
        <f>IF(D512&lt;=3,база!$L$4,
IF(D512=4,база!$L$5,
IF(D512=5,база!$L$6)))</f>
        <v>210.57480000000001</v>
      </c>
      <c r="R520" s="271">
        <v>1.4</v>
      </c>
      <c r="S520" s="98">
        <f>SUMIFS(Таблица1[сумма],Таблица1[коэф],"1,4",Таблица1[р/р],"3/16",Таблица1[Ф. И. О.],B517)</f>
        <v>0</v>
      </c>
      <c r="T520" s="94">
        <f>ROUND(Q520*R520*S520,2)</f>
        <v>0</v>
      </c>
      <c r="U520" s="314">
        <f>IF(D512&lt;=3,база!$M$4,
IF(D512=4,база!$M$5,
IF(D512=5,база!$M$6)))</f>
        <v>225.09719999999999</v>
      </c>
      <c r="V520" s="271">
        <v>1.4</v>
      </c>
      <c r="W520" s="307">
        <f>SUMIFS(Таблица1[сумма],Таблица1[коэф],"1,4",Таблица1[р/р],"3/24",Таблица1[Ф. И. О.],B517)</f>
        <v>0</v>
      </c>
      <c r="X520" s="313">
        <f>ROUND(U520*V520*W520,2)</f>
        <v>0</v>
      </c>
      <c r="Y520" s="819"/>
      <c r="Z520" s="810"/>
      <c r="AA520" s="813"/>
    </row>
    <row r="521" spans="1:29" ht="24" thickBot="1">
      <c r="A521" s="756"/>
      <c r="B521" s="215"/>
      <c r="C521" s="815"/>
      <c r="D521" s="817"/>
      <c r="E521" s="78"/>
      <c r="F521" s="271"/>
      <c r="G521" s="98"/>
      <c r="H521" s="94"/>
      <c r="I521" s="334"/>
      <c r="J521" s="278"/>
      <c r="K521" s="216"/>
      <c r="L521" s="216"/>
      <c r="M521" s="216"/>
      <c r="N521" s="216"/>
      <c r="O521" s="216"/>
      <c r="P521" s="30"/>
      <c r="Q521" s="78">
        <f>база!$L$5</f>
        <v>231.45480000000001</v>
      </c>
      <c r="R521" s="271">
        <v>1.4</v>
      </c>
      <c r="S521" s="98">
        <f>SUMIFS(Таблица1[сумма],Таблица1[коэф],"1,4",Таблица1[р/р],"4/16",Таблица1[Ф. И. О.],B517)</f>
        <v>0</v>
      </c>
      <c r="T521" s="94">
        <f>ROUND(Q521*R521*S521,2)</f>
        <v>0</v>
      </c>
      <c r="U521" s="314">
        <f>база!$M$5</f>
        <v>247.41720000000001</v>
      </c>
      <c r="V521" s="271">
        <v>1.4</v>
      </c>
      <c r="W521" s="307">
        <f>SUMIFS(Таблица1[сумма],Таблица1[коэф],"1,4",Таблица1[р/р],"4/24",Таблица1[Ф. И. О.],B517)</f>
        <v>0</v>
      </c>
      <c r="X521" s="313">
        <f>ROUND(U521*V521*W521,2)</f>
        <v>0</v>
      </c>
      <c r="Y521" s="819"/>
      <c r="Z521" s="810"/>
      <c r="AA521" s="813"/>
    </row>
    <row r="522" spans="1:29" ht="24" thickBot="1">
      <c r="A522" s="757"/>
      <c r="B522" s="352"/>
      <c r="C522" s="816"/>
      <c r="D522" s="818"/>
      <c r="E522" s="101"/>
      <c r="F522" s="273"/>
      <c r="G522" s="624"/>
      <c r="H522" s="90"/>
      <c r="I522" s="625"/>
      <c r="J522" s="279"/>
      <c r="K522" s="626"/>
      <c r="L522" s="288"/>
      <c r="M522" s="625"/>
      <c r="N522" s="626"/>
      <c r="O522" s="626"/>
      <c r="P522" s="315"/>
      <c r="Q522" s="627">
        <f>база!$L$6</f>
        <v>261.04640000000001</v>
      </c>
      <c r="R522" s="273">
        <v>1.4</v>
      </c>
      <c r="S522" s="97">
        <f>SUMIFS(Таблица1[сумма],Таблица1[коэф],"1,4",Таблица1[р/р],"5/16",Таблица1[Ф. И. О.],B517)</f>
        <v>0</v>
      </c>
      <c r="T522" s="90">
        <f>ROUND(Q522*R522*S522,2)</f>
        <v>0</v>
      </c>
      <c r="U522" s="220">
        <f>база!$M$6</f>
        <v>279.0496</v>
      </c>
      <c r="V522" s="273">
        <v>1.4</v>
      </c>
      <c r="W522" s="97">
        <f>SUMIFS(Таблица1[сумма],Таблица1[коэф],"1,4",Таблица1[р/р],"5/24",Таблица1[Ф. И. О.],B517)</f>
        <v>0</v>
      </c>
      <c r="X522" s="90">
        <f>ROUND(U522*V522*W522,2)</f>
        <v>0</v>
      </c>
      <c r="Y522" s="820"/>
      <c r="Z522" s="811"/>
      <c r="AA522" s="814"/>
    </row>
    <row r="523" spans="1:29" ht="20.25" customHeight="1">
      <c r="A523" s="755">
        <v>48</v>
      </c>
      <c r="B523" s="237"/>
      <c r="C523" s="596">
        <f>INDEX(база!$E$2:$E$81, MATCH(B528,база!$B$2:$B$50,0))</f>
        <v>17121</v>
      </c>
      <c r="D523" s="599">
        <f>INDEX(база!$D$2:$D$89, MATCH(B528,база!$B$2:$B$50,0))</f>
        <v>3</v>
      </c>
      <c r="E523" s="632">
        <f>IF(D523&lt;=3,база!$I$4,
IF(D523=4,база!$I$5,
IF(D523=5,база!$I$6)))</f>
        <v>188.7912</v>
      </c>
      <c r="F523" s="633">
        <v>1</v>
      </c>
      <c r="G523" s="634">
        <f>SUMIFS(Таблица1[сумма],Таблица1[коэф],"1",Таблица1[р/р],"2/4",Таблица1[Ф. И. О.],B528)</f>
        <v>0</v>
      </c>
      <c r="H523" s="635">
        <f>ROUND(E523*F523*G523,2)</f>
        <v>0</v>
      </c>
      <c r="I523" s="636">
        <f>IF(D523&lt;=3,база!$J$4,
IF(D523=4,база!$J$5,
IF(D523=5,база!$J$6)))</f>
        <v>196.05240000000001</v>
      </c>
      <c r="J523" s="637">
        <v>1</v>
      </c>
      <c r="K523" s="638">
        <f>SUMIFS(Таблица1[сумма],Таблица1[коэф],"1",Таблица1[р/р],"2/8",Таблица1[Ф. И. О.],B528)</f>
        <v>0</v>
      </c>
      <c r="L523" s="639">
        <f>ROUND(I523*J523*K523,2)</f>
        <v>0</v>
      </c>
      <c r="M523" s="636"/>
      <c r="N523" s="638">
        <v>1</v>
      </c>
      <c r="O523" s="638">
        <f>SUMIFS(Data_Tech!$AM$3:$AM$67,Data_Tech!$E$3:$E$67,"1",Data_Tech!$G$3:$G$67,"3/12",Data_Tech!$F$3:$F$67,B528)</f>
        <v>0</v>
      </c>
      <c r="P523" s="640">
        <f>ROUND(M523*N523*O523,2)</f>
        <v>0</v>
      </c>
      <c r="Q523" s="641">
        <f>IF(D523&lt;=3,база!$L$4,
IF(D523=4,база!$L$5,
IF(D523=5,база!$L$6)))</f>
        <v>210.57480000000001</v>
      </c>
      <c r="R523" s="633">
        <v>1</v>
      </c>
      <c r="S523" s="642">
        <f>SUMIFS(Таблица1[сумма],Таблица1[коэф],"1",Таблица1[р/р],"3/16",Таблица1[Ф. И. О.],B528)</f>
        <v>0</v>
      </c>
      <c r="T523" s="635">
        <f t="shared" ref="T523:T527" si="321">ROUND(Q523*R523*S523,2)</f>
        <v>0</v>
      </c>
      <c r="U523" s="643">
        <f>IF(D523&lt;=3,база!$M$4,
IF(D523=4,база!$M$5,
IF(D523=5,база!$M$6)))</f>
        <v>225.09719999999999</v>
      </c>
      <c r="V523" s="633">
        <v>1</v>
      </c>
      <c r="W523" s="642">
        <f>SUMIFS(Таблица1[сумма],Таблица1[коэф],"1",Таблица1[р/р],"3/24",Таблица1[Ф. И. О.],B528)</f>
        <v>0</v>
      </c>
      <c r="X523" s="635">
        <f>ROUND(U523*V523*W523,2)</f>
        <v>0</v>
      </c>
      <c r="Y523" s="807">
        <f t="shared" ref="Y523" si="322">SUM(G523:G533,K523:K533,O523:O533,S523:S533,W523:W533)</f>
        <v>0</v>
      </c>
      <c r="Z523" s="823">
        <f t="shared" ref="Z523" si="323">IFERROR(SUM(H523:H533,L523:L533,T523:T533,X523:X533),"")</f>
        <v>0</v>
      </c>
      <c r="AA523" s="812"/>
    </row>
    <row r="524" spans="1:29" ht="20.25" customHeight="1">
      <c r="A524" s="756"/>
      <c r="B524" s="618"/>
      <c r="C524" s="597"/>
      <c r="D524" s="600"/>
      <c r="E524" s="84">
        <f>IF(D523&lt;=3,база!$I$4,
IF(D523=4,база!$I$5,
IF(D523=5,база!$I$6)))</f>
        <v>188.7912</v>
      </c>
      <c r="F524" s="272">
        <v>1</v>
      </c>
      <c r="G524" s="628">
        <f>SUMIFS(Таблица1[сумма],Таблица1[коэф],"1",Таблица1[р/р],"3/4",Таблица1[Ф. И. О.],B528)</f>
        <v>0</v>
      </c>
      <c r="H524" s="89">
        <f>ROUND(E524*F524*G524,2)</f>
        <v>0</v>
      </c>
      <c r="I524" s="67">
        <f>IF(D523&lt;=3,база!$J$4,
IF(D523=4,база!$J$5,
IF(D523=5,база!$J$6)))</f>
        <v>196.05240000000001</v>
      </c>
      <c r="J524" s="629">
        <v>1</v>
      </c>
      <c r="K524" s="59"/>
      <c r="L524" s="325">
        <f>ROUND(I524*J524*K524,2)</f>
        <v>0</v>
      </c>
      <c r="M524" s="67"/>
      <c r="N524" s="59">
        <v>1</v>
      </c>
      <c r="O524" s="59">
        <f>SUMIFS(Data_Tech!$AM$3:$AM$67,Data_Tech!$E$3:$E$67,"1",Data_Tech!$G$3:$G$67,"4/12",Data_Tech!$F$3:$F$67,B528)</f>
        <v>0</v>
      </c>
      <c r="P524" s="282">
        <f>ROUND(M524*O524,2)</f>
        <v>0</v>
      </c>
      <c r="Q524" s="630">
        <f>база!$L$5</f>
        <v>231.45480000000001</v>
      </c>
      <c r="R524" s="272">
        <v>1</v>
      </c>
      <c r="S524" s="100">
        <f>SUMIFS(Таблица1[сумма],Таблица1[коэф],"1",Таблица1[р/р],"4/16",Таблица1[Ф. И. О.],B528)</f>
        <v>0</v>
      </c>
      <c r="T524" s="89">
        <f t="shared" si="321"/>
        <v>0</v>
      </c>
      <c r="U524" s="105">
        <f>база!$M$5</f>
        <v>247.41720000000001</v>
      </c>
      <c r="V524" s="272">
        <v>1</v>
      </c>
      <c r="W524" s="100">
        <f>SUMIFS(Таблица1[сумма],Таблица1[коэф],"1",Таблица1[р/р],"4/24",Таблица1[Ф. И. О.],B528)</f>
        <v>0</v>
      </c>
      <c r="X524" s="89">
        <f t="shared" ref="X524" si="324">ROUND(U524*V524*W524,2)</f>
        <v>0</v>
      </c>
      <c r="Y524" s="808"/>
      <c r="Z524" s="810"/>
      <c r="AA524" s="813"/>
    </row>
    <row r="525" spans="1:29" ht="20.25" customHeight="1">
      <c r="A525" s="756"/>
      <c r="B525" s="618"/>
      <c r="C525" s="597"/>
      <c r="D525" s="600"/>
      <c r="E525" s="84"/>
      <c r="F525" s="272"/>
      <c r="G525" s="628"/>
      <c r="H525" s="89"/>
      <c r="I525" s="67"/>
      <c r="J525" s="629"/>
      <c r="K525" s="59"/>
      <c r="L525" s="325"/>
      <c r="M525" s="67"/>
      <c r="N525" s="59"/>
      <c r="O525" s="59"/>
      <c r="P525" s="282"/>
      <c r="Q525" s="630">
        <f>база!$L$6</f>
        <v>261.04640000000001</v>
      </c>
      <c r="R525" s="272">
        <v>1</v>
      </c>
      <c r="S525" s="100">
        <f>SUMIFS(Таблица1[сумма],Таблица1[коэф],"1",Таблица1[р/р],"5/16",Таблица1[Ф. И. О.],B528)</f>
        <v>0</v>
      </c>
      <c r="T525" s="89">
        <f t="shared" si="321"/>
        <v>0</v>
      </c>
      <c r="U525" s="105">
        <f>база!$M$6</f>
        <v>279.0496</v>
      </c>
      <c r="V525" s="272">
        <v>1</v>
      </c>
      <c r="W525" s="100">
        <f>SUMIFS(Таблица1[сумма],Таблица1[коэф],"1",Таблица1[р/р],"5/24",Таблица1[Ф. И. О.],B528)</f>
        <v>0</v>
      </c>
      <c r="X525" s="89">
        <f>ROUND(U525*V525*W525,2)</f>
        <v>0</v>
      </c>
      <c r="Y525" s="808"/>
      <c r="Z525" s="810"/>
      <c r="AA525" s="813"/>
    </row>
    <row r="526" spans="1:29" ht="20.25" customHeight="1">
      <c r="A526" s="756"/>
      <c r="B526" s="618"/>
      <c r="C526" s="597"/>
      <c r="D526" s="600"/>
      <c r="E526" s="84"/>
      <c r="F526" s="272"/>
      <c r="G526" s="628"/>
      <c r="H526" s="89"/>
      <c r="I526" s="67">
        <f>база!$J$5</f>
        <v>215.4924</v>
      </c>
      <c r="J526" s="629">
        <v>1.5</v>
      </c>
      <c r="K526" s="59">
        <f>SUMIFS(Таблица1[сумма],Таблица1[коэф],"1,5",Таблица1[р/р],"4/8",Таблица1[Ф. И. О.],B528)</f>
        <v>0</v>
      </c>
      <c r="L526" s="325">
        <f>ROUND(I526*J526*K526,2)</f>
        <v>0</v>
      </c>
      <c r="M526" s="67"/>
      <c r="N526" s="59"/>
      <c r="O526" s="59"/>
      <c r="P526" s="282"/>
      <c r="Q526" s="630">
        <f>IF(D523&lt;=3,база!$L$4,
IF(D523=4,база!$L$5,
IF(D523=5,база!$L$6)))</f>
        <v>210.57480000000001</v>
      </c>
      <c r="R526" s="272">
        <v>1.2</v>
      </c>
      <c r="S526" s="100">
        <f>SUMIFS(Таблица1[сумма],Таблица1[коэф],"1,2",Таблица1[р/р],"3/16",Таблица1[Ф. И. О.],B528)</f>
        <v>0</v>
      </c>
      <c r="T526" s="89">
        <f t="shared" si="321"/>
        <v>0</v>
      </c>
      <c r="U526" s="105">
        <f>IF(D523&lt;=3,база!$M$4,
IF(D523=4,база!$M$5,
IF(D523=5,база!$M$6)))</f>
        <v>225.09719999999999</v>
      </c>
      <c r="V526" s="272">
        <v>1.2</v>
      </c>
      <c r="W526" s="100">
        <f>SUMIFS(Таблица1[сумма],Таблица1[коэф],"1,2",Таблица1[р/р],"3/24",Таблица1[Ф. И. О.],B528)</f>
        <v>0</v>
      </c>
      <c r="X526" s="89">
        <f t="shared" ref="X526:X527" si="325">ROUND(U526*V526*W526,2)</f>
        <v>0</v>
      </c>
      <c r="Y526" s="808"/>
      <c r="Z526" s="810"/>
      <c r="AA526" s="813"/>
    </row>
    <row r="527" spans="1:29" ht="20.25" customHeight="1">
      <c r="A527" s="756"/>
      <c r="B527" s="618"/>
      <c r="C527" s="597"/>
      <c r="D527" s="600"/>
      <c r="E527" s="84"/>
      <c r="F527" s="272"/>
      <c r="G527" s="628"/>
      <c r="H527" s="89"/>
      <c r="I527" s="67">
        <f>база!$J$6</f>
        <v>243.04319999999998</v>
      </c>
      <c r="J527" s="629">
        <v>1.5</v>
      </c>
      <c r="K527" s="59">
        <f>SUMIFS(Таблица1[сумма],Таблица1[коэф],"1,5",Таблица1[р/р],"5/8",Таблица1[Ф. И. О.],B528)</f>
        <v>0</v>
      </c>
      <c r="L527" s="325">
        <f>ROUND(I527*J527*K527,2)</f>
        <v>0</v>
      </c>
      <c r="M527" s="67"/>
      <c r="N527" s="59"/>
      <c r="O527" s="59"/>
      <c r="P527" s="282"/>
      <c r="Q527" s="630">
        <f>база!$L$5</f>
        <v>231.45480000000001</v>
      </c>
      <c r="R527" s="272">
        <v>1.2</v>
      </c>
      <c r="S527" s="100">
        <f>SUMIFS(Таблица1[сумма],Таблица1[коэф],"1,2",Таблица1[р/р],"4/16",Таблица1[Ф. И. О.],B528)</f>
        <v>0</v>
      </c>
      <c r="T527" s="89">
        <f t="shared" si="321"/>
        <v>0</v>
      </c>
      <c r="U527" s="105">
        <f>база!$M$5</f>
        <v>247.41720000000001</v>
      </c>
      <c r="V527" s="272">
        <v>1.2</v>
      </c>
      <c r="W527" s="100">
        <f>SUMIFS(Таблица1[сумма],Таблица1[коэф],"1,2",Таблица1[р/р],"4/24",Таблица1[Ф. И. О.],B528)</f>
        <v>0</v>
      </c>
      <c r="X527" s="89">
        <f t="shared" si="325"/>
        <v>0</v>
      </c>
      <c r="Y527" s="808"/>
      <c r="Z527" s="810"/>
      <c r="AA527" s="813"/>
      <c r="AC527" s="707" t="str">
        <f>IF(SUMIFS(Таблица1[Столбец2],Таблица1[Ф. И. О.],B528)-Z523=0,"",SUMIFS(Таблица1[Столбец2],Таблица1[Ф. И. О.],B528)-Z523)</f>
        <v/>
      </c>
    </row>
    <row r="528" spans="1:29" ht="20.25" customHeight="1">
      <c r="A528" s="756"/>
      <c r="B528" s="618" t="str">
        <f>база!B49</f>
        <v>Мельникова Анна Юрьевна</v>
      </c>
      <c r="C528" s="597"/>
      <c r="D528" s="600"/>
      <c r="E528" s="84"/>
      <c r="F528" s="272"/>
      <c r="G528" s="628"/>
      <c r="H528" s="89"/>
      <c r="I528" s="67"/>
      <c r="J528" s="629"/>
      <c r="K528" s="59"/>
      <c r="L528" s="325"/>
      <c r="M528" s="67"/>
      <c r="N528" s="59"/>
      <c r="O528" s="59"/>
      <c r="P528" s="282"/>
      <c r="Q528" s="630">
        <f>база!$L$6</f>
        <v>261.04640000000001</v>
      </c>
      <c r="R528" s="272">
        <v>1.2</v>
      </c>
      <c r="S528" s="100">
        <f>SUMIFS(Таблица1[сумма],Таблица1[коэф],"1,2",Таблица1[р/р],"5/16",Таблица1[Ф. И. О.],B528)</f>
        <v>0</v>
      </c>
      <c r="T528" s="89">
        <f>ROUND(Q528*R528*S528,2)</f>
        <v>0</v>
      </c>
      <c r="U528" s="105">
        <f>база!$M$6</f>
        <v>279.0496</v>
      </c>
      <c r="V528" s="272">
        <v>1.2</v>
      </c>
      <c r="W528" s="100">
        <f>SUMIFS(Таблица1[сумма],Таблица1[коэф],"1,2",Таблица1[р/р],"5/24",Таблица1[Ф. И. О.],B528)</f>
        <v>0</v>
      </c>
      <c r="X528" s="89">
        <f>ROUND(U528*V528*W528,2)</f>
        <v>0</v>
      </c>
      <c r="Y528" s="808"/>
      <c r="Z528" s="810"/>
      <c r="AA528" s="813"/>
      <c r="AC528" s="707" t="str">
        <f>IF(SUMIFS(Таблица1[сумма],Таблица1[Ф. И. О.],B528)=Y523,"",B523&amp;"  часы не верны")</f>
        <v/>
      </c>
    </row>
    <row r="529" spans="1:29" ht="20.25" customHeight="1">
      <c r="A529" s="756"/>
      <c r="B529" s="618"/>
      <c r="C529" s="597"/>
      <c r="D529" s="600"/>
      <c r="E529" s="84"/>
      <c r="F529" s="272"/>
      <c r="G529" s="628"/>
      <c r="H529" s="89"/>
      <c r="I529" s="67"/>
      <c r="J529" s="629"/>
      <c r="K529" s="59"/>
      <c r="L529" s="325"/>
      <c r="M529" s="67"/>
      <c r="N529" s="59"/>
      <c r="O529" s="59"/>
      <c r="P529" s="282"/>
      <c r="Q529" s="630">
        <f>IF($D$6&lt;=3,база!$L$4,
IF($D$6=4,база!$L$5,
IF($D$6=5,база!$L$6)))</f>
        <v>231.45480000000001</v>
      </c>
      <c r="R529" s="272">
        <v>1.3</v>
      </c>
      <c r="S529" s="100">
        <f>SUMIFS(Таблица1[сумма],Таблица1[коэф],"1,3",Таблица1[р/р],"3/16",Таблица1[Ф. И. О.],B528)</f>
        <v>0</v>
      </c>
      <c r="T529" s="89">
        <f t="shared" ref="T529:T530" si="326">ROUND(Q529*R529*S529,2)</f>
        <v>0</v>
      </c>
      <c r="U529" s="105">
        <f>IF(D523&lt;=3,база!$M$4,
IF(D523=4,база!$M$5,
IF(D523=5,база!$M$6)))</f>
        <v>225.09719999999999</v>
      </c>
      <c r="V529" s="272">
        <v>1.3</v>
      </c>
      <c r="W529" s="100">
        <f>SUMIFS(Таблица1[сумма],Таблица1[коэф],"1,3",Таблица1[р/р],"3/24",Таблица1[Ф. И. О.],B528)</f>
        <v>0</v>
      </c>
      <c r="X529" s="89">
        <f t="shared" ref="X529:X530" si="327">ROUND(U529*V529*W529,2)</f>
        <v>0</v>
      </c>
      <c r="Y529" s="808"/>
      <c r="Z529" s="810"/>
      <c r="AA529" s="813"/>
    </row>
    <row r="530" spans="1:29" ht="20.25" customHeight="1">
      <c r="A530" s="756"/>
      <c r="B530" s="618"/>
      <c r="C530" s="597"/>
      <c r="D530" s="600"/>
      <c r="E530" s="84"/>
      <c r="F530" s="272"/>
      <c r="G530" s="628"/>
      <c r="H530" s="89"/>
      <c r="I530" s="67"/>
      <c r="J530" s="629"/>
      <c r="K530" s="59"/>
      <c r="L530" s="325"/>
      <c r="M530" s="67"/>
      <c r="N530" s="59"/>
      <c r="O530" s="59"/>
      <c r="P530" s="282"/>
      <c r="Q530" s="630">
        <f>база!$L$5</f>
        <v>231.45480000000001</v>
      </c>
      <c r="R530" s="272">
        <v>1.3</v>
      </c>
      <c r="S530" s="100">
        <f>SUMIFS(Таблица1[сумма],Таблица1[коэф],"1,3",Таблица1[р/р],"4/16",Таблица1[Ф. И. О.],B528)</f>
        <v>0</v>
      </c>
      <c r="T530" s="89">
        <f t="shared" si="326"/>
        <v>0</v>
      </c>
      <c r="U530" s="105">
        <f>база!$M$5</f>
        <v>247.41720000000001</v>
      </c>
      <c r="V530" s="272">
        <v>1.3</v>
      </c>
      <c r="W530" s="100">
        <f>SUMIFS(Таблица1[сумма],Таблица1[коэф],"1,3",Таблица1[р/р],"4/24",Таблица1[Ф. И. О.],B528)</f>
        <v>0</v>
      </c>
      <c r="X530" s="89">
        <f t="shared" si="327"/>
        <v>0</v>
      </c>
      <c r="Y530" s="808"/>
      <c r="Z530" s="810"/>
      <c r="AA530" s="813"/>
    </row>
    <row r="531" spans="1:29" ht="20.25" customHeight="1">
      <c r="A531" s="756"/>
      <c r="B531" s="618"/>
      <c r="C531" s="597"/>
      <c r="D531" s="600"/>
      <c r="E531" s="84"/>
      <c r="F531" s="272"/>
      <c r="G531" s="628"/>
      <c r="H531" s="89"/>
      <c r="I531" s="67"/>
      <c r="J531" s="629"/>
      <c r="K531" s="59"/>
      <c r="L531" s="325"/>
      <c r="M531" s="67"/>
      <c r="N531" s="59"/>
      <c r="O531" s="59"/>
      <c r="P531" s="282"/>
      <c r="Q531" s="630">
        <f>IF(D523&lt;=3,база!$L$4,
IF(D523=4,база!$L$5,
IF(D523=5,база!$L$6)))</f>
        <v>210.57480000000001</v>
      </c>
      <c r="R531" s="272">
        <v>1.4</v>
      </c>
      <c r="S531" s="100">
        <f>SUMIFS(Таблица1[сумма],Таблица1[коэф],"1,4",Таблица1[р/р],"3/16",Таблица1[Ф. И. О.],B528)</f>
        <v>0</v>
      </c>
      <c r="T531" s="89">
        <f>ROUND(Q531*R531*S531,2)</f>
        <v>0</v>
      </c>
      <c r="U531" s="105">
        <f>IF(D523&lt;=3,база!$M$4,
IF(D523=4,база!$M$5,
IF(D523=5,база!$M$6)))</f>
        <v>225.09719999999999</v>
      </c>
      <c r="V531" s="272">
        <v>1.4</v>
      </c>
      <c r="W531" s="100">
        <f>SUMIFS(Таблица1[сумма],Таблица1[коэф],"1,4",Таблица1[р/р],"3/24",Таблица1[Ф. И. О.],B528)</f>
        <v>0</v>
      </c>
      <c r="X531" s="89">
        <f>ROUND(U531*V531*W531,2)</f>
        <v>0</v>
      </c>
      <c r="Y531" s="808"/>
      <c r="Z531" s="810"/>
      <c r="AA531" s="813"/>
    </row>
    <row r="532" spans="1:29" ht="20.25" customHeight="1">
      <c r="A532" s="756"/>
      <c r="B532" s="618"/>
      <c r="C532" s="597"/>
      <c r="D532" s="600"/>
      <c r="E532" s="84"/>
      <c r="F532" s="272"/>
      <c r="G532" s="628"/>
      <c r="H532" s="89"/>
      <c r="I532" s="67"/>
      <c r="J532" s="629"/>
      <c r="K532" s="59"/>
      <c r="L532" s="325"/>
      <c r="M532" s="67"/>
      <c r="N532" s="59"/>
      <c r="O532" s="59"/>
      <c r="P532" s="282"/>
      <c r="Q532" s="630">
        <f>база!$L$5</f>
        <v>231.45480000000001</v>
      </c>
      <c r="R532" s="272">
        <v>1.4</v>
      </c>
      <c r="S532" s="100">
        <f>SUMIFS(Таблица1[сумма],Таблица1[коэф],"1,4",Таблица1[р/р],"4/16",Таблица1[Ф. И. О.],B528)</f>
        <v>0</v>
      </c>
      <c r="T532" s="89">
        <f>ROUND(Q532*R532*S532,2)</f>
        <v>0</v>
      </c>
      <c r="U532" s="105">
        <f>база!$M$5</f>
        <v>247.41720000000001</v>
      </c>
      <c r="V532" s="272">
        <v>1.4</v>
      </c>
      <c r="W532" s="100">
        <f>SUMIFS(Таблица1[сумма],Таблица1[коэф],"1,4",Таблица1[р/р],"4/24",Таблица1[Ф. И. О.],B528)</f>
        <v>0</v>
      </c>
      <c r="X532" s="89">
        <f>ROUND(U532*V532*W532,2)</f>
        <v>0</v>
      </c>
      <c r="Y532" s="808"/>
      <c r="Z532" s="810"/>
      <c r="AA532" s="813"/>
    </row>
    <row r="533" spans="1:29" ht="21" customHeight="1" thickBot="1">
      <c r="A533" s="757"/>
      <c r="B533" s="352"/>
      <c r="C533" s="598"/>
      <c r="D533" s="601"/>
      <c r="E533" s="76"/>
      <c r="F533" s="275"/>
      <c r="G533" s="620"/>
      <c r="H533" s="93"/>
      <c r="I533" s="621"/>
      <c r="J533" s="594"/>
      <c r="K533" s="622"/>
      <c r="L533" s="328"/>
      <c r="M533" s="621"/>
      <c r="N533" s="622"/>
      <c r="O533" s="622"/>
      <c r="P533" s="289"/>
      <c r="Q533" s="623">
        <f>база!$L$6</f>
        <v>261.04640000000001</v>
      </c>
      <c r="R533" s="275">
        <v>1.4</v>
      </c>
      <c r="S533" s="99">
        <f>SUMIFS(Таблица1[сумма],Таблица1[коэф],"1,4",Таблица1[р/р],"5/16",Таблица1[Ф. И. О.],B528)</f>
        <v>0</v>
      </c>
      <c r="T533" s="93">
        <f>ROUND(Q533*R533*S533,2)</f>
        <v>0</v>
      </c>
      <c r="U533" s="83">
        <f>база!$M$6</f>
        <v>279.0496</v>
      </c>
      <c r="V533" s="275">
        <v>1.4</v>
      </c>
      <c r="W533" s="99">
        <f>SUMIFS(Таблица1[сумма],Таблица1[коэф],"1,4",Таблица1[р/р],"5/24",Таблица1[Ф. И. О.],B528)</f>
        <v>0</v>
      </c>
      <c r="X533" s="93">
        <f>ROUND(U533*V533*W533,2)</f>
        <v>0</v>
      </c>
      <c r="Y533" s="809"/>
      <c r="Z533" s="811"/>
      <c r="AA533" s="814"/>
    </row>
    <row r="534" spans="1:29" ht="20.25" customHeight="1">
      <c r="A534" s="755">
        <v>49</v>
      </c>
      <c r="B534" s="237"/>
      <c r="C534" s="821">
        <f>INDEX(база!$E$2:$E$81, MATCH(B539,база!$B$2:$B$50,0))</f>
        <v>14883</v>
      </c>
      <c r="D534" s="822">
        <f>INDEX(база!$D$2:$D$89, MATCH(B539,база!$B$2:$B$50,0))</f>
        <v>4</v>
      </c>
      <c r="E534" s="632">
        <f>IF(D534&lt;=3,база!$I$4,
IF(D534=4,база!$I$5,
IF(D534=5,база!$I$6)))</f>
        <v>207.5112</v>
      </c>
      <c r="F534" s="633">
        <v>1</v>
      </c>
      <c r="G534" s="634">
        <f>SUMIFS(Таблица1[сумма],Таблица1[коэф],"1",Таблица1[р/р],"2/4",Таблица1[Ф. И. О.],B539)</f>
        <v>0</v>
      </c>
      <c r="H534" s="635">
        <f>ROUND(E534*F534*G534,2)</f>
        <v>0</v>
      </c>
      <c r="I534" s="636">
        <f>IF(D534&lt;=3,база!$J$4,
IF(D534=4,база!$J$5,
IF(D534=5,база!$J$6)))</f>
        <v>215.4924</v>
      </c>
      <c r="J534" s="637">
        <v>1</v>
      </c>
      <c r="K534" s="638">
        <f>SUMIFS(Таблица1[сумма],Таблица1[коэф],"1",Таблица1[р/р],"2/8",Таблица1[Ф. И. О.],B539)</f>
        <v>0</v>
      </c>
      <c r="L534" s="639">
        <f>ROUND(I534*J534*K534,2)</f>
        <v>0</v>
      </c>
      <c r="M534" s="636"/>
      <c r="N534" s="638">
        <v>1</v>
      </c>
      <c r="O534" s="638">
        <f>SUMIFS(Data_Tech!$AM$3:$AM$67,Data_Tech!$E$3:$E$67,"1",Data_Tech!$G$3:$G$67,"3/12",Data_Tech!$F$3:$F$67,B539)</f>
        <v>0</v>
      </c>
      <c r="P534" s="640">
        <f>ROUND(M534*N534*O534,2)</f>
        <v>0</v>
      </c>
      <c r="Q534" s="641">
        <f>IF(D534&lt;=3,база!$L$4,
IF(D534=4,база!$L$5,
IF(D534=5,база!$L$6)))</f>
        <v>231.45480000000001</v>
      </c>
      <c r="R534" s="633">
        <v>1</v>
      </c>
      <c r="S534" s="642">
        <f>SUMIFS(Таблица1[сумма],Таблица1[коэф],"1",Таблица1[р/р],"3/16",Таблица1[Ф. И. О.],B539)</f>
        <v>0</v>
      </c>
      <c r="T534" s="635">
        <f t="shared" ref="T534:T538" si="328">ROUND(Q534*R534*S534,2)</f>
        <v>0</v>
      </c>
      <c r="U534" s="643">
        <f>IF(D534&lt;=3,база!$M$4,
IF(D534=4,база!$M$5,
IF(D534=5,база!$M$6)))</f>
        <v>247.41720000000001</v>
      </c>
      <c r="V534" s="633">
        <v>1</v>
      </c>
      <c r="W534" s="642">
        <f>SUMIFS(Таблица1[сумма],Таблица1[коэф],"1",Таблица1[р/р],"3/24",Таблица1[Ф. И. О.],B539)</f>
        <v>0</v>
      </c>
      <c r="X534" s="635">
        <f>ROUND(U534*V534*W534,2)</f>
        <v>0</v>
      </c>
      <c r="Y534" s="808">
        <f t="shared" ref="Y534" si="329">SUM(G534:G544,K534:K544,O534:O544,S534:S544,W534:W544)</f>
        <v>0</v>
      </c>
      <c r="Z534" s="823">
        <f t="shared" ref="Z534" si="330">IFERROR(SUM(H534:H544,L534:L544,T534:T544,X534:X544),"")</f>
        <v>0</v>
      </c>
      <c r="AA534" s="812"/>
    </row>
    <row r="535" spans="1:29">
      <c r="A535" s="756"/>
      <c r="B535" s="618"/>
      <c r="C535" s="815"/>
      <c r="D535" s="817"/>
      <c r="E535" s="84">
        <f>IF(D534&lt;=3,база!$I$4,
IF(D534=4,база!$I$5,
IF(D534=5,база!$I$6)))</f>
        <v>207.5112</v>
      </c>
      <c r="F535" s="272">
        <v>1</v>
      </c>
      <c r="G535" s="628">
        <f>SUMIFS(Таблица1[сумма],Таблица1[коэф],"1",Таблица1[р/р],"3/4",Таблица1[Ф. И. О.],B539)</f>
        <v>0</v>
      </c>
      <c r="H535" s="89">
        <f>ROUND(E535*F535*G535,2)</f>
        <v>0</v>
      </c>
      <c r="I535" s="67">
        <f>IF(D534&lt;=3,база!$J$4,
IF(D534=4,база!$J$5,
IF(D534=5,база!$J$6)))</f>
        <v>215.4924</v>
      </c>
      <c r="J535" s="629">
        <v>1</v>
      </c>
      <c r="K535" s="59"/>
      <c r="L535" s="325">
        <f>ROUND(I535*J535*K535,2)</f>
        <v>0</v>
      </c>
      <c r="M535" s="67"/>
      <c r="N535" s="59">
        <v>1</v>
      </c>
      <c r="O535" s="59">
        <f>SUMIFS(Data_Tech!$AM$3:$AM$67,Data_Tech!$E$3:$E$67,"1",Data_Tech!$G$3:$G$67,"4/12",Data_Tech!$F$3:$F$67,B539)</f>
        <v>0</v>
      </c>
      <c r="P535" s="282">
        <f>ROUND(M535*O535,2)</f>
        <v>0</v>
      </c>
      <c r="Q535" s="630">
        <f>база!$L$5</f>
        <v>231.45480000000001</v>
      </c>
      <c r="R535" s="272">
        <v>1</v>
      </c>
      <c r="S535" s="100">
        <f>SUMIFS(Таблица1[сумма],Таблица1[коэф],"1",Таблица1[р/р],"4/16",Таблица1[Ф. И. О.],B539)</f>
        <v>0</v>
      </c>
      <c r="T535" s="89">
        <f t="shared" si="328"/>
        <v>0</v>
      </c>
      <c r="U535" s="105">
        <f>база!$M$5</f>
        <v>247.41720000000001</v>
      </c>
      <c r="V535" s="272">
        <v>1</v>
      </c>
      <c r="W535" s="100">
        <f>SUMIFS(Таблица1[сумма],Таблица1[коэф],"1",Таблица1[р/р],"4/24",Таблица1[Ф. И. О.],B539)</f>
        <v>0</v>
      </c>
      <c r="X535" s="89">
        <f t="shared" ref="X535" si="331">ROUND(U535*V535*W535,2)</f>
        <v>0</v>
      </c>
      <c r="Y535" s="808"/>
      <c r="Z535" s="810"/>
      <c r="AA535" s="813"/>
    </row>
    <row r="536" spans="1:29" ht="24" thickBot="1">
      <c r="A536" s="756"/>
      <c r="B536" s="618"/>
      <c r="C536" s="815"/>
      <c r="D536" s="817"/>
      <c r="E536" s="84"/>
      <c r="F536" s="272"/>
      <c r="G536" s="628"/>
      <c r="H536" s="89"/>
      <c r="I536" s="67"/>
      <c r="J536" s="629"/>
      <c r="K536" s="59"/>
      <c r="L536" s="325"/>
      <c r="M536" s="67"/>
      <c r="N536" s="59"/>
      <c r="O536" s="59"/>
      <c r="P536" s="282"/>
      <c r="Q536" s="630">
        <f>база!$L$6</f>
        <v>261.04640000000001</v>
      </c>
      <c r="R536" s="272">
        <v>1</v>
      </c>
      <c r="S536" s="100">
        <f>SUMIFS(Таблица1[сумма],Таблица1[коэф],"1",Таблица1[р/р],"5/16",Таблица1[Ф. И. О.],B539)</f>
        <v>0</v>
      </c>
      <c r="T536" s="89">
        <f t="shared" si="328"/>
        <v>0</v>
      </c>
      <c r="U536" s="105">
        <f>база!$M$6</f>
        <v>279.0496</v>
      </c>
      <c r="V536" s="272">
        <v>1</v>
      </c>
      <c r="W536" s="100">
        <f>SUMIFS(Таблица1[сумма],Таблица1[коэф],"1",Таблица1[р/р],"5/24",Таблица1[Ф. И. О.],B539)</f>
        <v>0</v>
      </c>
      <c r="X536" s="89">
        <f>ROUND(U536*V536*W536,2)</f>
        <v>0</v>
      </c>
      <c r="Y536" s="808"/>
      <c r="Z536" s="810"/>
      <c r="AA536" s="813"/>
    </row>
    <row r="537" spans="1:29" ht="24" thickBot="1">
      <c r="A537" s="756"/>
      <c r="B537" s="618"/>
      <c r="C537" s="815"/>
      <c r="D537" s="817"/>
      <c r="E537" s="84"/>
      <c r="F537" s="272"/>
      <c r="G537" s="628"/>
      <c r="H537" s="89"/>
      <c r="I537" s="67">
        <f>база!$J$5</f>
        <v>215.4924</v>
      </c>
      <c r="J537" s="629">
        <v>1.5</v>
      </c>
      <c r="K537" s="59">
        <f>SUMIFS(Таблица1[сумма],Таблица1[коэф],"1,5",Таблица1[р/р],"4/8",Таблица1[Ф. И. О.],B539)</f>
        <v>0</v>
      </c>
      <c r="L537" s="325">
        <f>ROUND(I537*J537*K537,2)</f>
        <v>0</v>
      </c>
      <c r="M537" s="67"/>
      <c r="N537" s="59"/>
      <c r="O537" s="59"/>
      <c r="P537" s="282"/>
      <c r="Q537" s="630">
        <f>IF(D534&lt;=3,база!$L$4,
IF(D534=4,база!$L$5,
IF(D534=5,база!$L$6)))</f>
        <v>231.45480000000001</v>
      </c>
      <c r="R537" s="272">
        <v>1.2</v>
      </c>
      <c r="S537" s="100">
        <f>SUMIFS(Таблица1[сумма],Таблица1[коэф],"1,2",Таблица1[р/р],"3/16",Таблица1[Ф. И. О.],B539)</f>
        <v>0</v>
      </c>
      <c r="T537" s="89">
        <f t="shared" si="328"/>
        <v>0</v>
      </c>
      <c r="U537" s="105">
        <f>IF(D534&lt;=3,база!$M$4,
IF(D534=4,база!$M$5,
IF(D534=5,база!$M$6)))</f>
        <v>247.41720000000001</v>
      </c>
      <c r="V537" s="272">
        <v>1.2</v>
      </c>
      <c r="W537" s="100">
        <f>SUMIFS(Таблица1[сумма],Таблица1[коэф],"1,2",Таблица1[р/р],"3/24",Таблица1[Ф. И. О.],B539)</f>
        <v>0</v>
      </c>
      <c r="X537" s="89">
        <f t="shared" ref="X537:X538" si="332">ROUND(U537*V537*W537,2)</f>
        <v>0</v>
      </c>
      <c r="Y537" s="808"/>
      <c r="Z537" s="810"/>
      <c r="AA537" s="813"/>
    </row>
    <row r="538" spans="1:29" ht="24" thickBot="1">
      <c r="A538" s="756"/>
      <c r="B538" s="618"/>
      <c r="C538" s="815"/>
      <c r="D538" s="817"/>
      <c r="E538" s="84"/>
      <c r="F538" s="272"/>
      <c r="G538" s="628"/>
      <c r="H538" s="89"/>
      <c r="I538" s="67">
        <f>база!$J$6</f>
        <v>243.04319999999998</v>
      </c>
      <c r="J538" s="629">
        <v>1.5</v>
      </c>
      <c r="K538" s="59">
        <f>SUMIFS(Таблица1[сумма],Таблица1[коэф],"1,5",Таблица1[р/р],"5/8",Таблица1[Ф. И. О.],B539)</f>
        <v>0</v>
      </c>
      <c r="L538" s="325">
        <f>ROUND(I538*J538*K538,2)</f>
        <v>0</v>
      </c>
      <c r="M538" s="67"/>
      <c r="N538" s="59"/>
      <c r="O538" s="59"/>
      <c r="P538" s="282"/>
      <c r="Q538" s="630">
        <f>база!$L$5</f>
        <v>231.45480000000001</v>
      </c>
      <c r="R538" s="272">
        <v>1.2</v>
      </c>
      <c r="S538" s="100">
        <f>SUMIFS(Таблица1[сумма],Таблица1[коэф],"1,2",Таблица1[р/р],"4/16",Таблица1[Ф. И. О.],B539)</f>
        <v>0</v>
      </c>
      <c r="T538" s="89">
        <f t="shared" si="328"/>
        <v>0</v>
      </c>
      <c r="U538" s="105">
        <f>база!$M$5</f>
        <v>247.41720000000001</v>
      </c>
      <c r="V538" s="272">
        <v>1.2</v>
      </c>
      <c r="W538" s="100">
        <f>SUMIFS(Таблица1[сумма],Таблица1[коэф],"1,2",Таблица1[р/р],"4/24",Таблица1[Ф. И. О.],B539)</f>
        <v>0</v>
      </c>
      <c r="X538" s="89">
        <f t="shared" si="332"/>
        <v>0</v>
      </c>
      <c r="Y538" s="808"/>
      <c r="Z538" s="810"/>
      <c r="AA538" s="813"/>
      <c r="AC538" s="707" t="str">
        <f>IF(SUMIFS(Таблица1[Столбец2],Таблица1[Ф. И. О.],B539)-Z534=0,"",SUMIFS(Таблица1[Столбец2],Таблица1[Ф. И. О.],B539)-Z534)</f>
        <v/>
      </c>
    </row>
    <row r="539" spans="1:29" ht="24" thickBot="1">
      <c r="A539" s="756"/>
      <c r="B539" s="618" t="str">
        <f>база!B50</f>
        <v>Минко Елена Анатольевна</v>
      </c>
      <c r="C539" s="815"/>
      <c r="D539" s="817"/>
      <c r="E539" s="84"/>
      <c r="F539" s="272"/>
      <c r="G539" s="628"/>
      <c r="H539" s="89"/>
      <c r="I539" s="67"/>
      <c r="J539" s="629"/>
      <c r="K539" s="59"/>
      <c r="L539" s="325"/>
      <c r="M539" s="67"/>
      <c r="N539" s="59"/>
      <c r="O539" s="59"/>
      <c r="P539" s="282"/>
      <c r="Q539" s="630">
        <f>база!$L$6</f>
        <v>261.04640000000001</v>
      </c>
      <c r="R539" s="272">
        <v>1.2</v>
      </c>
      <c r="S539" s="100">
        <f>SUMIFS(Таблица1[сумма],Таблица1[коэф],"1,2",Таблица1[р/р],"5/16",Таблица1[Ф. И. О.],B539)</f>
        <v>0</v>
      </c>
      <c r="T539" s="89">
        <f>ROUND(Q539*R539*S539,2)</f>
        <v>0</v>
      </c>
      <c r="U539" s="105">
        <f>база!$M$6</f>
        <v>279.0496</v>
      </c>
      <c r="V539" s="272">
        <v>1.2</v>
      </c>
      <c r="W539" s="100">
        <f>SUMIFS(Таблица1[сумма],Таблица1[коэф],"1,2",Таблица1[р/р],"5/24",Таблица1[Ф. И. О.],B539)</f>
        <v>0</v>
      </c>
      <c r="X539" s="89">
        <f>ROUND(U539*V539*W539,2)</f>
        <v>0</v>
      </c>
      <c r="Y539" s="808"/>
      <c r="Z539" s="810"/>
      <c r="AA539" s="813"/>
      <c r="AC539" s="707" t="str">
        <f>IF(SUMIFS(Таблица1[сумма],Таблица1[Ф. И. О.],B539)=Y534,"",B534&amp;"  часы не верны")</f>
        <v/>
      </c>
    </row>
    <row r="540" spans="1:29" ht="24" thickBot="1">
      <c r="A540" s="756"/>
      <c r="B540" s="618"/>
      <c r="C540" s="815"/>
      <c r="D540" s="817"/>
      <c r="E540" s="84"/>
      <c r="F540" s="272"/>
      <c r="G540" s="628"/>
      <c r="H540" s="89"/>
      <c r="I540" s="67"/>
      <c r="J540" s="629"/>
      <c r="K540" s="59"/>
      <c r="L540" s="325"/>
      <c r="M540" s="67"/>
      <c r="N540" s="59"/>
      <c r="O540" s="59"/>
      <c r="P540" s="282"/>
      <c r="Q540" s="630">
        <f>IF($D$6&lt;=3,база!$L$4,
IF($D$6=4,база!$L$5,
IF($D$6=5,база!$L$6)))</f>
        <v>231.45480000000001</v>
      </c>
      <c r="R540" s="272">
        <v>1.3</v>
      </c>
      <c r="S540" s="100">
        <f>SUMIFS(Таблица1[сумма],Таблица1[коэф],"1,3",Таблица1[р/р],"3/16",Таблица1[Ф. И. О.],B539)</f>
        <v>0</v>
      </c>
      <c r="T540" s="89">
        <f t="shared" ref="T540:T541" si="333">ROUND(Q540*R540*S540,2)</f>
        <v>0</v>
      </c>
      <c r="U540" s="105">
        <f>IF(D534&lt;=3,база!$M$4,
IF(D534=4,база!$M$5,
IF(D534=5,база!$M$6)))</f>
        <v>247.41720000000001</v>
      </c>
      <c r="V540" s="272">
        <v>1.3</v>
      </c>
      <c r="W540" s="100">
        <f>SUMIFS(Таблица1[сумма],Таблица1[коэф],"1,3",Таблица1[р/р],"3/24",Таблица1[Ф. И. О.],B539)</f>
        <v>0</v>
      </c>
      <c r="X540" s="89">
        <f t="shared" ref="X540:X541" si="334">ROUND(U540*V540*W540,2)</f>
        <v>0</v>
      </c>
      <c r="Y540" s="808"/>
      <c r="Z540" s="810"/>
      <c r="AA540" s="813"/>
    </row>
    <row r="541" spans="1:29" ht="24" thickBot="1">
      <c r="A541" s="756"/>
      <c r="B541" s="618"/>
      <c r="C541" s="815"/>
      <c r="D541" s="817"/>
      <c r="E541" s="84"/>
      <c r="F541" s="272"/>
      <c r="G541" s="628"/>
      <c r="H541" s="89"/>
      <c r="I541" s="67"/>
      <c r="J541" s="629"/>
      <c r="K541" s="59"/>
      <c r="L541" s="325"/>
      <c r="M541" s="67"/>
      <c r="N541" s="59"/>
      <c r="O541" s="59"/>
      <c r="P541" s="282"/>
      <c r="Q541" s="630">
        <f>база!$L$5</f>
        <v>231.45480000000001</v>
      </c>
      <c r="R541" s="272">
        <v>1.3</v>
      </c>
      <c r="S541" s="100">
        <f>SUMIFS(Таблица1[сумма],Таблица1[коэф],"1,3",Таблица1[р/р],"4/16",Таблица1[Ф. И. О.],B539)</f>
        <v>0</v>
      </c>
      <c r="T541" s="89">
        <f t="shared" si="333"/>
        <v>0</v>
      </c>
      <c r="U541" s="105">
        <f>база!$M$5</f>
        <v>247.41720000000001</v>
      </c>
      <c r="V541" s="272">
        <v>1.3</v>
      </c>
      <c r="W541" s="100">
        <f>SUMIFS(Таблица1[сумма],Таблица1[коэф],"1,3",Таблица1[р/р],"4/24",Таблица1[Ф. И. О.],B539)</f>
        <v>0</v>
      </c>
      <c r="X541" s="89">
        <f t="shared" si="334"/>
        <v>0</v>
      </c>
      <c r="Y541" s="808"/>
      <c r="Z541" s="810"/>
      <c r="AA541" s="813"/>
    </row>
    <row r="542" spans="1:29" ht="24" thickBot="1">
      <c r="A542" s="756"/>
      <c r="B542" s="618"/>
      <c r="C542" s="815"/>
      <c r="D542" s="817"/>
      <c r="E542" s="84"/>
      <c r="F542" s="272"/>
      <c r="G542" s="628"/>
      <c r="H542" s="89"/>
      <c r="I542" s="67"/>
      <c r="J542" s="629"/>
      <c r="K542" s="59"/>
      <c r="L542" s="325"/>
      <c r="M542" s="67"/>
      <c r="N542" s="59"/>
      <c r="O542" s="59"/>
      <c r="P542" s="282"/>
      <c r="Q542" s="630">
        <f>IF(D534&lt;=3,база!$L$4,
IF(D534=4,база!$L$5,
IF(D534=5,база!$L$6)))</f>
        <v>231.45480000000001</v>
      </c>
      <c r="R542" s="272">
        <v>1.4</v>
      </c>
      <c r="S542" s="100">
        <f>SUMIFS(Таблица1[сумма],Таблица1[коэф],"1,4",Таблица1[р/р],"3/16",Таблица1[Ф. И. О.],B539)</f>
        <v>0</v>
      </c>
      <c r="T542" s="89">
        <f>ROUND(Q542*R542*S542,2)</f>
        <v>0</v>
      </c>
      <c r="U542" s="105">
        <f>IF(D534&lt;=3,база!$M$4,
IF(D534=4,база!$M$5,
IF(D534=5,база!$M$6)))</f>
        <v>247.41720000000001</v>
      </c>
      <c r="V542" s="272">
        <v>1.4</v>
      </c>
      <c r="W542" s="100">
        <f>SUMIFS(Таблица1[сумма],Таблица1[коэф],"1,4",Таблица1[р/р],"3/24",Таблица1[Ф. И. О.],B539)</f>
        <v>0</v>
      </c>
      <c r="X542" s="89">
        <f>ROUND(U542*V542*W542,2)</f>
        <v>0</v>
      </c>
      <c r="Y542" s="808"/>
      <c r="Z542" s="810"/>
      <c r="AA542" s="813"/>
    </row>
    <row r="543" spans="1:29" ht="24" thickBot="1">
      <c r="A543" s="756"/>
      <c r="B543" s="618"/>
      <c r="C543" s="815"/>
      <c r="D543" s="817"/>
      <c r="E543" s="84"/>
      <c r="F543" s="272"/>
      <c r="G543" s="628"/>
      <c r="H543" s="89"/>
      <c r="I543" s="67"/>
      <c r="J543" s="629"/>
      <c r="K543" s="59"/>
      <c r="L543" s="325"/>
      <c r="M543" s="67"/>
      <c r="N543" s="59"/>
      <c r="O543" s="59"/>
      <c r="P543" s="282"/>
      <c r="Q543" s="630">
        <f>база!$L$5</f>
        <v>231.45480000000001</v>
      </c>
      <c r="R543" s="272">
        <v>1.4</v>
      </c>
      <c r="S543" s="100">
        <f>SUMIFS(Таблица1[сумма],Таблица1[коэф],"1,4",Таблица1[р/р],"4/16",Таблица1[Ф. И. О.],B539)</f>
        <v>0</v>
      </c>
      <c r="T543" s="89">
        <f>ROUND(Q543*R543*S543,2)</f>
        <v>0</v>
      </c>
      <c r="U543" s="105">
        <f>база!$M$5</f>
        <v>247.41720000000001</v>
      </c>
      <c r="V543" s="272">
        <v>1.4</v>
      </c>
      <c r="W543" s="100">
        <f>SUMIFS(Таблица1[сумма],Таблица1[коэф],"1,4",Таблица1[р/р],"4/24",Таблица1[Ф. И. О.],B539)</f>
        <v>0</v>
      </c>
      <c r="X543" s="89">
        <f>ROUND(U543*V543*W543,2)</f>
        <v>0</v>
      </c>
      <c r="Y543" s="808"/>
      <c r="Z543" s="810"/>
      <c r="AA543" s="813"/>
    </row>
    <row r="544" spans="1:29" ht="24" thickBot="1">
      <c r="A544" s="757"/>
      <c r="B544" s="352"/>
      <c r="C544" s="816"/>
      <c r="D544" s="818"/>
      <c r="E544" s="76"/>
      <c r="F544" s="275"/>
      <c r="G544" s="620"/>
      <c r="H544" s="93"/>
      <c r="I544" s="621"/>
      <c r="J544" s="594"/>
      <c r="K544" s="622"/>
      <c r="L544" s="328"/>
      <c r="M544" s="621"/>
      <c r="N544" s="622"/>
      <c r="O544" s="622"/>
      <c r="P544" s="289"/>
      <c r="Q544" s="623">
        <f>база!$L$6</f>
        <v>261.04640000000001</v>
      </c>
      <c r="R544" s="275">
        <v>1.4</v>
      </c>
      <c r="S544" s="99">
        <f>SUMIFS(Таблица1[сумма],Таблица1[коэф],"1,4",Таблица1[р/р],"5/16",Таблица1[Ф. И. О.],B539)</f>
        <v>0</v>
      </c>
      <c r="T544" s="93">
        <f>ROUND(Q544*R544*S544,2)</f>
        <v>0</v>
      </c>
      <c r="U544" s="83">
        <f>база!$M$6</f>
        <v>279.0496</v>
      </c>
      <c r="V544" s="275">
        <v>1.4</v>
      </c>
      <c r="W544" s="99">
        <f>SUMIFS(Таблица1[сумма],Таблица1[коэф],"1,4",Таблица1[р/р],"5/24",Таблица1[Ф. И. О.],B539)</f>
        <v>0</v>
      </c>
      <c r="X544" s="93">
        <f>ROUND(U544*V544*W544,2)</f>
        <v>0</v>
      </c>
      <c r="Y544" s="808"/>
      <c r="Z544" s="810"/>
      <c r="AA544" s="813"/>
    </row>
    <row r="545" spans="1:29" ht="20.25" customHeight="1">
      <c r="A545" s="755">
        <v>50</v>
      </c>
      <c r="B545" s="618"/>
      <c r="C545" s="821">
        <f>INDEX(база!$E$2:$E$81, MATCH(B550,база!$B$2:$B$60,0))</f>
        <v>17312</v>
      </c>
      <c r="D545" s="822">
        <f>INDEX(база!$D$2:$D$89, MATCH(B550,база!$B$2:$B$60,0))</f>
        <v>3</v>
      </c>
      <c r="E545" s="74">
        <f>IF(D545&lt;=3,база!$I$4,
IF(D545=4,база!$I$5,
IF(D545=5,база!$I$6)))</f>
        <v>188.7912</v>
      </c>
      <c r="F545" s="270">
        <v>1</v>
      </c>
      <c r="G545" s="88">
        <f>SUMIFS(Таблица1[сумма],Таблица1[коэф],"1",Таблица1[р/р],"2/4",Таблица1[Ф. И. О.],B550)</f>
        <v>0</v>
      </c>
      <c r="H545" s="102">
        <f>ROUND(E545*F545*G545,2)</f>
        <v>0</v>
      </c>
      <c r="I545" s="24">
        <f>IF(D545&lt;=3,база!$J$4,
IF(D545=4,база!$J$5,
IF(D545=5,база!$J$6)))</f>
        <v>196.05240000000001</v>
      </c>
      <c r="J545" s="277">
        <v>1</v>
      </c>
      <c r="K545" s="22">
        <f>SUMIFS(Таблица1[сумма],Таблица1[коэф],"1",Таблица1[р/р],"2/8",Таблица1[Ф. И. О.],B550)</f>
        <v>0</v>
      </c>
      <c r="L545" s="309">
        <f>ROUND(I545*J545*K545,2)</f>
        <v>0</v>
      </c>
      <c r="M545" s="24"/>
      <c r="N545" s="22">
        <v>1</v>
      </c>
      <c r="O545" s="22">
        <f>SUMIFS(Data_Tech!$AM$3:$AM$67,Data_Tech!$E$3:$E$67,"1",Data_Tech!$G$3:$G$67,"3/12",Data_Tech!$F$3:$F$67,B550)</f>
        <v>0</v>
      </c>
      <c r="P545" s="281">
        <f>ROUND(M545*N545*O545,2)</f>
        <v>0</v>
      </c>
      <c r="Q545" s="619">
        <f>IF(D545&lt;=3,база!$L$4,
IF(D545=4,база!$L$5,
IF(D545=5,база!$L$6)))</f>
        <v>210.57480000000001</v>
      </c>
      <c r="R545" s="270">
        <v>1</v>
      </c>
      <c r="S545" s="96">
        <f>SUMIFS(Таблица1[сумма],Таблица1[коэф],"1",Таблица1[р/р],"3/16",Таблица1[Ф. И. О.],B550)</f>
        <v>0</v>
      </c>
      <c r="T545" s="102">
        <f t="shared" ref="T545:T549" si="335">ROUND(Q545*R545*S545,2)</f>
        <v>0</v>
      </c>
      <c r="U545" s="81">
        <f>IF(D545&lt;=3,база!$M$4,
IF(D545=4,база!$M$5,
IF(D545=5,база!$M$6)))</f>
        <v>225.09719999999999</v>
      </c>
      <c r="V545" s="270">
        <v>1</v>
      </c>
      <c r="W545" s="96">
        <f>SUMIFS(Таблица1[сумма],Таблица1[коэф],"1",Таблица1[р/р],"3/24",Таблица1[Ф. И. О.],B550)</f>
        <v>0</v>
      </c>
      <c r="X545" s="102">
        <f>ROUND(U545*V545*W545,2)</f>
        <v>0</v>
      </c>
      <c r="Y545" s="807">
        <f t="shared" ref="Y545" si="336">SUM(G545:G555,K545:K555,O545:O555,S545:S555,W545:W555)</f>
        <v>0</v>
      </c>
      <c r="Z545" s="823">
        <f t="shared" ref="Z545" si="337">IFERROR(SUM(H545:H555,L545:L555,T545:T555,X545:X555),"")</f>
        <v>0</v>
      </c>
      <c r="AA545" s="812"/>
    </row>
    <row r="546" spans="1:29">
      <c r="A546" s="756"/>
      <c r="B546" s="618"/>
      <c r="C546" s="815"/>
      <c r="D546" s="817"/>
      <c r="E546" s="74">
        <f>IF(D545&lt;=3,база!$I$4,
IF(D545=4,база!$I$5,
IF(D545=5,база!$I$6)))</f>
        <v>188.7912</v>
      </c>
      <c r="F546" s="270">
        <v>1</v>
      </c>
      <c r="G546" s="88">
        <f>SUMIFS(Таблица1[сумма],Таблица1[коэф],"1",Таблица1[р/р],"3/4",Таблица1[Ф. И. О.],B550)</f>
        <v>0</v>
      </c>
      <c r="H546" s="102">
        <f>ROUND(E546*F546*G546,2)</f>
        <v>0</v>
      </c>
      <c r="I546" s="24">
        <f>IF(D545&lt;=3,база!$J$4,
IF(D545=4,база!$J$5,
IF(D545=5,база!$J$6)))</f>
        <v>196.05240000000001</v>
      </c>
      <c r="J546" s="277">
        <v>1</v>
      </c>
      <c r="K546" s="22"/>
      <c r="L546" s="309">
        <f>ROUND(I546*J546*K546,2)</f>
        <v>0</v>
      </c>
      <c r="M546" s="24"/>
      <c r="N546" s="22">
        <v>1</v>
      </c>
      <c r="O546" s="22">
        <f>SUMIFS(Data_Tech!$AM$3:$AM$67,Data_Tech!$E$3:$E$67,"1",Data_Tech!$G$3:$G$67,"4/12",Data_Tech!$F$3:$F$67,B550)</f>
        <v>0</v>
      </c>
      <c r="P546" s="281">
        <f>ROUND(M546*O546,2)</f>
        <v>0</v>
      </c>
      <c r="Q546" s="619">
        <f>база!$L$5</f>
        <v>231.45480000000001</v>
      </c>
      <c r="R546" s="270">
        <v>1</v>
      </c>
      <c r="S546" s="96">
        <f>SUMIFS(Таблица1[сумма],Таблица1[коэф],"1",Таблица1[р/р],"4/16",Таблица1[Ф. И. О.],B550)</f>
        <v>0</v>
      </c>
      <c r="T546" s="102">
        <f t="shared" si="335"/>
        <v>0</v>
      </c>
      <c r="U546" s="81">
        <f>база!$M$5</f>
        <v>247.41720000000001</v>
      </c>
      <c r="V546" s="270">
        <v>1</v>
      </c>
      <c r="W546" s="96">
        <f>SUMIFS(Таблица1[сумма],Таблица1[коэф],"1",Таблица1[р/р],"4/24",Таблица1[Ф. И. О.],B550)</f>
        <v>0</v>
      </c>
      <c r="X546" s="102">
        <f t="shared" ref="X546" si="338">ROUND(U546*V546*W546,2)</f>
        <v>0</v>
      </c>
      <c r="Y546" s="808"/>
      <c r="Z546" s="810"/>
      <c r="AA546" s="813"/>
    </row>
    <row r="547" spans="1:29" ht="24" thickBot="1">
      <c r="A547" s="756"/>
      <c r="B547" s="618"/>
      <c r="C547" s="815"/>
      <c r="D547" s="817"/>
      <c r="E547" s="74"/>
      <c r="F547" s="270"/>
      <c r="G547" s="88"/>
      <c r="H547" s="102"/>
      <c r="I547" s="24"/>
      <c r="J547" s="277"/>
      <c r="K547" s="22"/>
      <c r="L547" s="309"/>
      <c r="M547" s="24"/>
      <c r="N547" s="22"/>
      <c r="O547" s="22"/>
      <c r="P547" s="281"/>
      <c r="Q547" s="619">
        <f>база!$L$6</f>
        <v>261.04640000000001</v>
      </c>
      <c r="R547" s="270">
        <v>1</v>
      </c>
      <c r="S547" s="96">
        <f>SUMIFS(Таблица1[сумма],Таблица1[коэф],"1",Таблица1[р/р],"5/16",Таблица1[Ф. И. О.],B550)</f>
        <v>0</v>
      </c>
      <c r="T547" s="102">
        <f t="shared" si="335"/>
        <v>0</v>
      </c>
      <c r="U547" s="81">
        <f>база!$M$6</f>
        <v>279.0496</v>
      </c>
      <c r="V547" s="270">
        <v>1</v>
      </c>
      <c r="W547" s="96">
        <f>SUMIFS(Таблица1[сумма],Таблица1[коэф],"1",Таблица1[р/р],"5/24",Таблица1[Ф. И. О.],B550)</f>
        <v>0</v>
      </c>
      <c r="X547" s="102">
        <f>ROUND(U547*V547*W547,2)</f>
        <v>0</v>
      </c>
      <c r="Y547" s="808"/>
      <c r="Z547" s="810"/>
      <c r="AA547" s="813"/>
    </row>
    <row r="548" spans="1:29" ht="24" thickBot="1">
      <c r="A548" s="756"/>
      <c r="B548" s="618"/>
      <c r="C548" s="815"/>
      <c r="D548" s="817"/>
      <c r="E548" s="74"/>
      <c r="F548" s="270"/>
      <c r="G548" s="88"/>
      <c r="H548" s="102"/>
      <c r="I548" s="24">
        <f>база!$J$5</f>
        <v>215.4924</v>
      </c>
      <c r="J548" s="277">
        <v>1.5</v>
      </c>
      <c r="K548" s="22">
        <f>SUMIFS(Таблица1[сумма],Таблица1[коэф],"1,5",Таблица1[р/р],"4/8",Таблица1[Ф. И. О.],B550)</f>
        <v>0</v>
      </c>
      <c r="L548" s="309">
        <f>ROUND(I548*J548*K548,2)</f>
        <v>0</v>
      </c>
      <c r="M548" s="24"/>
      <c r="N548" s="22"/>
      <c r="O548" s="22"/>
      <c r="P548" s="281"/>
      <c r="Q548" s="619">
        <f>IF(D545&lt;=3,база!$L$4,
IF(D545=4,база!$L$5,
IF(D545=5,база!$L$6)))</f>
        <v>210.57480000000001</v>
      </c>
      <c r="R548" s="270">
        <v>1.2</v>
      </c>
      <c r="S548" s="96">
        <f>SUMIFS(Таблица1[сумма],Таблица1[коэф],"1,2",Таблица1[р/р],"3/16",Таблица1[Ф. И. О.],B550)</f>
        <v>0</v>
      </c>
      <c r="T548" s="102">
        <f t="shared" si="335"/>
        <v>0</v>
      </c>
      <c r="U548" s="81">
        <f>IF(D545&lt;=3,база!$M$4,
IF(D545=4,база!$M$5,
IF(D545=5,база!$M$6)))</f>
        <v>225.09719999999999</v>
      </c>
      <c r="V548" s="270">
        <v>1.2</v>
      </c>
      <c r="W548" s="96">
        <f>SUMIFS(Таблица1[сумма],Таблица1[коэф],"1,2",Таблица1[р/р],"3/24",Таблица1[Ф. И. О.],B550)</f>
        <v>0</v>
      </c>
      <c r="X548" s="102">
        <f t="shared" ref="X548:X549" si="339">ROUND(U548*V548*W548,2)</f>
        <v>0</v>
      </c>
      <c r="Y548" s="808"/>
      <c r="Z548" s="810"/>
      <c r="AA548" s="813"/>
    </row>
    <row r="549" spans="1:29" ht="24" thickBot="1">
      <c r="A549" s="756"/>
      <c r="B549" s="618"/>
      <c r="C549" s="815"/>
      <c r="D549" s="817"/>
      <c r="E549" s="74"/>
      <c r="F549" s="270"/>
      <c r="G549" s="88"/>
      <c r="H549" s="102"/>
      <c r="I549" s="24">
        <f>база!$J$6</f>
        <v>243.04319999999998</v>
      </c>
      <c r="J549" s="277">
        <v>1.5</v>
      </c>
      <c r="K549" s="22">
        <f>SUMIFS(Таблица1[сумма],Таблица1[коэф],"1,5",Таблица1[р/р],"5/8",Таблица1[Ф. И. О.],B550)</f>
        <v>0</v>
      </c>
      <c r="L549" s="309">
        <f>ROUND(I549*J549*K549,2)</f>
        <v>0</v>
      </c>
      <c r="M549" s="24"/>
      <c r="N549" s="22"/>
      <c r="O549" s="22"/>
      <c r="P549" s="281"/>
      <c r="Q549" s="619">
        <f>база!$L$5</f>
        <v>231.45480000000001</v>
      </c>
      <c r="R549" s="270">
        <v>1.2</v>
      </c>
      <c r="S549" s="96">
        <f>SUMIFS(Таблица1[сумма],Таблица1[коэф],"1,2",Таблица1[р/р],"4/16",Таблица1[Ф. И. О.],B550)</f>
        <v>0</v>
      </c>
      <c r="T549" s="102">
        <f t="shared" si="335"/>
        <v>0</v>
      </c>
      <c r="U549" s="81">
        <f>база!$M$5</f>
        <v>247.41720000000001</v>
      </c>
      <c r="V549" s="270">
        <v>1.2</v>
      </c>
      <c r="W549" s="96">
        <f>SUMIFS(Таблица1[сумма],Таблица1[коэф],"1,2",Таблица1[р/р],"4/24",Таблица1[Ф. И. О.],B550)</f>
        <v>0</v>
      </c>
      <c r="X549" s="102">
        <f t="shared" si="339"/>
        <v>0</v>
      </c>
      <c r="Y549" s="808"/>
      <c r="Z549" s="810"/>
      <c r="AA549" s="813"/>
      <c r="AC549" s="707" t="str">
        <f>IF(SUMIFS(Таблица1[Столбец2],Таблица1[Ф. И. О.],B550)-Z545=0,"",SUMIFS(Таблица1[Столбец2],Таблица1[Ф. И. О.],B550)-Z545)</f>
        <v/>
      </c>
    </row>
    <row r="550" spans="1:29" ht="24" thickBot="1">
      <c r="A550" s="756"/>
      <c r="B550" s="618" t="str">
        <f>база!B51</f>
        <v>Михалочкина Наталья Ивановна</v>
      </c>
      <c r="C550" s="815"/>
      <c r="D550" s="817"/>
      <c r="E550" s="74"/>
      <c r="F550" s="270"/>
      <c r="G550" s="88"/>
      <c r="H550" s="102"/>
      <c r="I550" s="24"/>
      <c r="J550" s="277"/>
      <c r="K550" s="22"/>
      <c r="L550" s="309"/>
      <c r="M550" s="24"/>
      <c r="N550" s="22"/>
      <c r="O550" s="22"/>
      <c r="P550" s="281"/>
      <c r="Q550" s="619">
        <f>база!$L$6</f>
        <v>261.04640000000001</v>
      </c>
      <c r="R550" s="270">
        <v>1.2</v>
      </c>
      <c r="S550" s="96">
        <f>SUMIFS(Таблица1[сумма],Таблица1[коэф],"1,2",Таблица1[р/р],"5/16",Таблица1[Ф. И. О.],B550)</f>
        <v>0</v>
      </c>
      <c r="T550" s="102">
        <f>ROUND(Q550*R550*S550,2)</f>
        <v>0</v>
      </c>
      <c r="U550" s="81">
        <f>база!$M$6</f>
        <v>279.0496</v>
      </c>
      <c r="V550" s="270">
        <v>1.2</v>
      </c>
      <c r="W550" s="96">
        <f>SUMIFS(Таблица1[сумма],Таблица1[коэф],"1,2",Таблица1[р/р],"5/24",Таблица1[Ф. И. О.],B550)</f>
        <v>0</v>
      </c>
      <c r="X550" s="102">
        <f>ROUND(U550*V550*W550,2)</f>
        <v>0</v>
      </c>
      <c r="Y550" s="808"/>
      <c r="Z550" s="810"/>
      <c r="AA550" s="813"/>
      <c r="AC550" s="707" t="str">
        <f>IF(SUMIFS(Таблица1[сумма],Таблица1[Ф. И. О.],B550)=Y545,"",B545&amp;"  часы не верны")</f>
        <v/>
      </c>
    </row>
    <row r="551" spans="1:29" ht="24" thickBot="1">
      <c r="A551" s="756"/>
      <c r="B551" s="618"/>
      <c r="C551" s="815"/>
      <c r="D551" s="817"/>
      <c r="E551" s="74"/>
      <c r="F551" s="270"/>
      <c r="G551" s="88"/>
      <c r="H551" s="102"/>
      <c r="I551" s="24"/>
      <c r="J551" s="277"/>
      <c r="K551" s="22"/>
      <c r="L551" s="309"/>
      <c r="M551" s="24"/>
      <c r="N551" s="22"/>
      <c r="O551" s="22"/>
      <c r="P551" s="281"/>
      <c r="Q551" s="619">
        <f>IF($D$6&lt;=3,база!$L$4,
IF($D$6=4,база!$L$5,
IF($D$6=5,база!$L$6)))</f>
        <v>231.45480000000001</v>
      </c>
      <c r="R551" s="270">
        <v>1.3</v>
      </c>
      <c r="S551" s="96">
        <f>SUMIFS(Таблица1[сумма],Таблица1[коэф],"1,3",Таблица1[р/р],"3/16",Таблица1[Ф. И. О.],B550)</f>
        <v>0</v>
      </c>
      <c r="T551" s="102">
        <f t="shared" ref="T551:T552" si="340">ROUND(Q551*R551*S551,2)</f>
        <v>0</v>
      </c>
      <c r="U551" s="81">
        <f>IF(D545&lt;=3,база!$M$4,
IF(D545=4,база!$M$5,
IF(D545=5,база!$M$6)))</f>
        <v>225.09719999999999</v>
      </c>
      <c r="V551" s="270">
        <v>1.3</v>
      </c>
      <c r="W551" s="96">
        <f>SUMIFS(Таблица1[сумма],Таблица1[коэф],"1,3",Таблица1[р/р],"3/24",Таблица1[Ф. И. О.],B550)</f>
        <v>0</v>
      </c>
      <c r="X551" s="102">
        <f t="shared" ref="X551:X552" si="341">ROUND(U551*V551*W551,2)</f>
        <v>0</v>
      </c>
      <c r="Y551" s="808"/>
      <c r="Z551" s="810"/>
      <c r="AA551" s="813"/>
    </row>
    <row r="552" spans="1:29" ht="24" thickBot="1">
      <c r="A552" s="756"/>
      <c r="B552" s="618"/>
      <c r="C552" s="815"/>
      <c r="D552" s="817"/>
      <c r="E552" s="74"/>
      <c r="F552" s="270"/>
      <c r="G552" s="88"/>
      <c r="H552" s="102"/>
      <c r="I552" s="24"/>
      <c r="J552" s="277"/>
      <c r="K552" s="22"/>
      <c r="L552" s="309"/>
      <c r="M552" s="24"/>
      <c r="N552" s="22"/>
      <c r="O552" s="22"/>
      <c r="P552" s="281"/>
      <c r="Q552" s="619">
        <f>база!$L$5</f>
        <v>231.45480000000001</v>
      </c>
      <c r="R552" s="270">
        <v>1.3</v>
      </c>
      <c r="S552" s="96">
        <f>SUMIFS(Таблица1[сумма],Таблица1[коэф],"1,3",Таблица1[р/р],"4/16",Таблица1[Ф. И. О.],B550)</f>
        <v>0</v>
      </c>
      <c r="T552" s="102">
        <f t="shared" si="340"/>
        <v>0</v>
      </c>
      <c r="U552" s="81">
        <f>база!$M$5</f>
        <v>247.41720000000001</v>
      </c>
      <c r="V552" s="270">
        <v>1.3</v>
      </c>
      <c r="W552" s="96">
        <f>SUMIFS(Таблица1[сумма],Таблица1[коэф],"1,3",Таблица1[р/р],"4/24",Таблица1[Ф. И. О.],B550)</f>
        <v>0</v>
      </c>
      <c r="X552" s="102">
        <f t="shared" si="341"/>
        <v>0</v>
      </c>
      <c r="Y552" s="808"/>
      <c r="Z552" s="810"/>
      <c r="AA552" s="813"/>
    </row>
    <row r="553" spans="1:29" ht="24" thickBot="1">
      <c r="A553" s="756"/>
      <c r="B553" s="618"/>
      <c r="C553" s="815"/>
      <c r="D553" s="817"/>
      <c r="E553" s="74"/>
      <c r="F553" s="270"/>
      <c r="G553" s="88"/>
      <c r="H553" s="102"/>
      <c r="I553" s="24"/>
      <c r="J553" s="277"/>
      <c r="K553" s="22"/>
      <c r="L553" s="309"/>
      <c r="M553" s="24"/>
      <c r="N553" s="22"/>
      <c r="O553" s="22"/>
      <c r="P553" s="281"/>
      <c r="Q553" s="619">
        <f>IF(D545&lt;=3,база!$L$4,
IF(D545=4,база!$L$5,
IF(D545=5,база!$L$6)))</f>
        <v>210.57480000000001</v>
      </c>
      <c r="R553" s="270">
        <v>1.4</v>
      </c>
      <c r="S553" s="96">
        <f>SUMIFS(Таблица1[сумма],Таблица1[коэф],"1,4",Таблица1[р/р],"3/16",Таблица1[Ф. И. О.],B550)</f>
        <v>0</v>
      </c>
      <c r="T553" s="102">
        <f>ROUND(Q553*R553*S553,2)</f>
        <v>0</v>
      </c>
      <c r="U553" s="81">
        <f>IF(D545&lt;=3,база!$M$4,
IF(D545=4,база!$M$5,
IF(D545=5,база!$M$6)))</f>
        <v>225.09719999999999</v>
      </c>
      <c r="V553" s="270">
        <v>1.4</v>
      </c>
      <c r="W553" s="96">
        <f>SUMIFS(Таблица1[сумма],Таблица1[коэф],"1,4",Таблица1[р/р],"3/24",Таблица1[Ф. И. О.],B550)</f>
        <v>0</v>
      </c>
      <c r="X553" s="102">
        <f>ROUND(U553*V553*W553,2)</f>
        <v>0</v>
      </c>
      <c r="Y553" s="808"/>
      <c r="Z553" s="810"/>
      <c r="AA553" s="813"/>
    </row>
    <row r="554" spans="1:29" ht="24" thickBot="1">
      <c r="A554" s="756"/>
      <c r="B554" s="618"/>
      <c r="C554" s="815"/>
      <c r="D554" s="817"/>
      <c r="E554" s="84"/>
      <c r="F554" s="272"/>
      <c r="G554" s="628"/>
      <c r="H554" s="89"/>
      <c r="I554" s="67"/>
      <c r="J554" s="629"/>
      <c r="K554" s="59"/>
      <c r="L554" s="325"/>
      <c r="M554" s="67"/>
      <c r="N554" s="59"/>
      <c r="O554" s="59"/>
      <c r="P554" s="282"/>
      <c r="Q554" s="630">
        <f>база!$L$5</f>
        <v>231.45480000000001</v>
      </c>
      <c r="R554" s="272">
        <v>1.4</v>
      </c>
      <c r="S554" s="100">
        <f>SUMIFS(Таблица1[сумма],Таблица1[коэф],"1,4",Таблица1[р/р],"4/16",Таблица1[Ф. И. О.],B550)</f>
        <v>0</v>
      </c>
      <c r="T554" s="89">
        <f>ROUND(Q554*R554*S554,2)</f>
        <v>0</v>
      </c>
      <c r="U554" s="105">
        <f>база!$M$5</f>
        <v>247.41720000000001</v>
      </c>
      <c r="V554" s="272">
        <v>1.4</v>
      </c>
      <c r="W554" s="100">
        <f>SUMIFS(Таблица1[сумма],Таблица1[коэф],"1,4",Таблица1[р/р],"4/24",Таблица1[Ф. И. О.],B550)</f>
        <v>0</v>
      </c>
      <c r="X554" s="89">
        <f>ROUND(U554*V554*W554,2)</f>
        <v>0</v>
      </c>
      <c r="Y554" s="808"/>
      <c r="Z554" s="810"/>
      <c r="AA554" s="813"/>
    </row>
    <row r="555" spans="1:29" ht="24" thickBot="1">
      <c r="A555" s="757"/>
      <c r="B555" s="352"/>
      <c r="C555" s="816"/>
      <c r="D555" s="818"/>
      <c r="E555" s="76"/>
      <c r="F555" s="275"/>
      <c r="G555" s="620"/>
      <c r="H555" s="93"/>
      <c r="I555" s="621"/>
      <c r="J555" s="594"/>
      <c r="K555" s="622"/>
      <c r="L555" s="328"/>
      <c r="M555" s="621"/>
      <c r="N555" s="622"/>
      <c r="O555" s="622"/>
      <c r="P555" s="289"/>
      <c r="Q555" s="623">
        <f>база!$L$6</f>
        <v>261.04640000000001</v>
      </c>
      <c r="R555" s="275">
        <v>1.4</v>
      </c>
      <c r="S555" s="99">
        <f>SUMIFS(Таблица1[сумма],Таблица1[коэф],"1,4",Таблица1[р/р],"5/16",Таблица1[Ф. И. О.],B550)</f>
        <v>0</v>
      </c>
      <c r="T555" s="93">
        <f>ROUND(Q555*R555*S555,2)</f>
        <v>0</v>
      </c>
      <c r="U555" s="83">
        <f>база!$M$6</f>
        <v>279.0496</v>
      </c>
      <c r="V555" s="275">
        <v>1.4</v>
      </c>
      <c r="W555" s="99">
        <f>SUMIFS(Таблица1[сумма],Таблица1[коэф],"1,4",Таблица1[р/р],"5/24",Таблица1[Ф. И. О.],B550)</f>
        <v>0</v>
      </c>
      <c r="X555" s="93">
        <f>ROUND(U555*V555*W555,2)</f>
        <v>0</v>
      </c>
      <c r="Y555" s="809"/>
      <c r="Z555" s="811"/>
      <c r="AA555" s="814"/>
    </row>
    <row r="556" spans="1:29" ht="20.25" customHeight="1">
      <c r="A556" s="755">
        <v>51</v>
      </c>
      <c r="B556" s="618"/>
      <c r="C556" s="821">
        <f>INDEX(база!$E$2:$E$81, MATCH(B561,база!$B$2:$B$60,0))</f>
        <v>15239</v>
      </c>
      <c r="D556" s="822">
        <f>INDEX(база!$D$2:$D$89, MATCH(B561,база!$B$2:$B$60,0))</f>
        <v>3</v>
      </c>
      <c r="E556" s="74">
        <f>IF(D556&lt;=3,база!$I$4,
IF(D556=4,база!$I$5,
IF(D556=5,база!$I$6)))</f>
        <v>188.7912</v>
      </c>
      <c r="F556" s="270">
        <v>1</v>
      </c>
      <c r="G556" s="88">
        <f>SUMIFS(Таблица1[сумма],Таблица1[коэф],"1",Таблица1[р/р],"2/4",Таблица1[Ф. И. О.],B561)</f>
        <v>0</v>
      </c>
      <c r="H556" s="102">
        <f>ROUND(E556*F556*G556,2)</f>
        <v>0</v>
      </c>
      <c r="I556" s="24">
        <f>IF(D556&lt;=3,база!$J$4,
IF(D556=4,база!$J$5,
IF(D556=5,база!$J$6)))</f>
        <v>196.05240000000001</v>
      </c>
      <c r="J556" s="277">
        <v>1</v>
      </c>
      <c r="K556" s="22">
        <f>SUMIFS(Таблица1[сумма],Таблица1[коэф],"1",Таблица1[р/р],"2/8",Таблица1[Ф. И. О.],B561)</f>
        <v>0</v>
      </c>
      <c r="L556" s="309">
        <f>ROUND(I556*J556*K556,2)</f>
        <v>0</v>
      </c>
      <c r="M556" s="24"/>
      <c r="N556" s="22">
        <v>1</v>
      </c>
      <c r="O556" s="22">
        <f>SUMIFS(Data_Tech!$AM$3:$AM$67,Data_Tech!$E$3:$E$67,"1",Data_Tech!$G$3:$G$67,"3/12",Data_Tech!$F$3:$F$67,B561)</f>
        <v>0</v>
      </c>
      <c r="P556" s="281">
        <f>ROUND(M556*N556*O556,2)</f>
        <v>0</v>
      </c>
      <c r="Q556" s="619">
        <f>IF(D556&lt;=3,база!$L$4,
IF(D556=4,база!$L$5,
IF(D556=5,база!$L$6)))</f>
        <v>210.57480000000001</v>
      </c>
      <c r="R556" s="270">
        <v>1</v>
      </c>
      <c r="S556" s="96">
        <f>SUMIFS(Таблица1[сумма],Таблица1[коэф],"1",Таблица1[р/р],"3/16",Таблица1[Ф. И. О.],B561)</f>
        <v>0</v>
      </c>
      <c r="T556" s="102">
        <f t="shared" ref="T556:T560" si="342">ROUND(Q556*R556*S556,2)</f>
        <v>0</v>
      </c>
      <c r="U556" s="81">
        <f>IF(D556&lt;=3,база!$M$4,
IF(D556=4,база!$M$5,
IF(D556=5,база!$M$6)))</f>
        <v>225.09719999999999</v>
      </c>
      <c r="V556" s="270">
        <v>1</v>
      </c>
      <c r="W556" s="96">
        <f>SUMIFS(Таблица1[сумма],Таблица1[коэф],"1",Таблица1[р/р],"3/24",Таблица1[Ф. И. О.],B561)</f>
        <v>0</v>
      </c>
      <c r="X556" s="102">
        <f>ROUND(U556*V556*W556,2)</f>
        <v>0</v>
      </c>
      <c r="Y556" s="807">
        <f t="shared" ref="Y556" si="343">SUM(G556:G566,K556:K566,O556:O566,S556:S566,W556:W566)</f>
        <v>0</v>
      </c>
      <c r="Z556" s="823">
        <f t="shared" ref="Z556" si="344">IFERROR(SUM(H556:H566,L556:L566,T556:T566,X556:X566),"")</f>
        <v>0</v>
      </c>
      <c r="AA556" s="812"/>
    </row>
    <row r="557" spans="1:29">
      <c r="A557" s="756"/>
      <c r="B557" s="618"/>
      <c r="C557" s="815"/>
      <c r="D557" s="817"/>
      <c r="E557" s="74">
        <f>IF(D556&lt;=3,база!$I$4,
IF(D556=4,база!$I$5,
IF(D556=5,база!$I$6)))</f>
        <v>188.7912</v>
      </c>
      <c r="F557" s="270">
        <v>1</v>
      </c>
      <c r="G557" s="88">
        <f>SUMIFS(Таблица1[сумма],Таблица1[коэф],"1",Таблица1[р/р],"3/4",Таблица1[Ф. И. О.],B561)</f>
        <v>0</v>
      </c>
      <c r="H557" s="102">
        <f>ROUND(E557*F557*G557,2)</f>
        <v>0</v>
      </c>
      <c r="I557" s="24">
        <f>IF(D556&lt;=3,база!$J$4,
IF(D556=4,база!$J$5,
IF(D556=5,база!$J$6)))</f>
        <v>196.05240000000001</v>
      </c>
      <c r="J557" s="277">
        <v>1</v>
      </c>
      <c r="K557" s="22"/>
      <c r="L557" s="309">
        <f>ROUND(I557*J557*K557,2)</f>
        <v>0</v>
      </c>
      <c r="M557" s="24"/>
      <c r="N557" s="22">
        <v>1</v>
      </c>
      <c r="O557" s="22">
        <f>SUMIFS(Data_Tech!$AM$3:$AM$67,Data_Tech!$E$3:$E$67,"1",Data_Tech!$G$3:$G$67,"4/12",Data_Tech!$F$3:$F$67,B561)</f>
        <v>0</v>
      </c>
      <c r="P557" s="281">
        <f>ROUND(M557*O557,2)</f>
        <v>0</v>
      </c>
      <c r="Q557" s="619">
        <f>база!$L$5</f>
        <v>231.45480000000001</v>
      </c>
      <c r="R557" s="270">
        <v>1</v>
      </c>
      <c r="S557" s="96">
        <f>SUMIFS(Таблица1[сумма],Таблица1[коэф],"1",Таблица1[р/р],"4/16",Таблица1[Ф. И. О.],B561)</f>
        <v>0</v>
      </c>
      <c r="T557" s="102">
        <f t="shared" si="342"/>
        <v>0</v>
      </c>
      <c r="U557" s="81">
        <f>база!$M$5</f>
        <v>247.41720000000001</v>
      </c>
      <c r="V557" s="270">
        <v>1</v>
      </c>
      <c r="W557" s="96">
        <f>SUMIFS(Таблица1[сумма],Таблица1[коэф],"1",Таблица1[р/р],"4/24",Таблица1[Ф. И. О.],B561)</f>
        <v>0</v>
      </c>
      <c r="X557" s="102">
        <f t="shared" ref="X557" si="345">ROUND(U557*V557*W557,2)</f>
        <v>0</v>
      </c>
      <c r="Y557" s="808"/>
      <c r="Z557" s="810"/>
      <c r="AA557" s="813"/>
    </row>
    <row r="558" spans="1:29" ht="24" thickBot="1">
      <c r="A558" s="756"/>
      <c r="B558" s="618"/>
      <c r="C558" s="815"/>
      <c r="D558" s="817"/>
      <c r="E558" s="74"/>
      <c r="F558" s="270"/>
      <c r="G558" s="88"/>
      <c r="H558" s="102"/>
      <c r="I558" s="24"/>
      <c r="J558" s="277"/>
      <c r="K558" s="22"/>
      <c r="L558" s="309"/>
      <c r="M558" s="24"/>
      <c r="N558" s="22"/>
      <c r="O558" s="22"/>
      <c r="P558" s="281"/>
      <c r="Q558" s="619">
        <f>база!$L$6</f>
        <v>261.04640000000001</v>
      </c>
      <c r="R558" s="270">
        <v>1</v>
      </c>
      <c r="S558" s="96">
        <f>SUMIFS(Таблица1[сумма],Таблица1[коэф],"1",Таблица1[р/р],"5/16",Таблица1[Ф. И. О.],B561)</f>
        <v>0</v>
      </c>
      <c r="T558" s="102">
        <f t="shared" si="342"/>
        <v>0</v>
      </c>
      <c r="U558" s="81">
        <f>база!$M$6</f>
        <v>279.0496</v>
      </c>
      <c r="V558" s="270">
        <v>1</v>
      </c>
      <c r="W558" s="96">
        <f>SUMIFS(Таблица1[сумма],Таблица1[коэф],"1",Таблица1[р/р],"5/24",Таблица1[Ф. И. О.],B561)</f>
        <v>0</v>
      </c>
      <c r="X558" s="102">
        <f>ROUND(U558*V558*W558,2)</f>
        <v>0</v>
      </c>
      <c r="Y558" s="808"/>
      <c r="Z558" s="810"/>
      <c r="AA558" s="813"/>
    </row>
    <row r="559" spans="1:29" ht="24" thickBot="1">
      <c r="A559" s="756"/>
      <c r="B559" s="618"/>
      <c r="C559" s="815"/>
      <c r="D559" s="817"/>
      <c r="E559" s="74"/>
      <c r="F559" s="270"/>
      <c r="G559" s="88"/>
      <c r="H559" s="102"/>
      <c r="I559" s="24">
        <f>база!$J$5</f>
        <v>215.4924</v>
      </c>
      <c r="J559" s="277">
        <v>1.5</v>
      </c>
      <c r="K559" s="22">
        <f>SUMIFS(Таблица1[сумма],Таблица1[коэф],"1,5",Таблица1[р/р],"4/8",Таблица1[Ф. И. О.],B561)</f>
        <v>0</v>
      </c>
      <c r="L559" s="309">
        <f>ROUND(I559*J559*K559,2)</f>
        <v>0</v>
      </c>
      <c r="M559" s="24"/>
      <c r="N559" s="22"/>
      <c r="O559" s="22"/>
      <c r="P559" s="281"/>
      <c r="Q559" s="619">
        <f>IF(D556&lt;=3,база!$L$4,
IF(D556=4,база!$L$5,
IF(D556=5,база!$L$6)))</f>
        <v>210.57480000000001</v>
      </c>
      <c r="R559" s="270">
        <v>1.2</v>
      </c>
      <c r="S559" s="96">
        <f>SUMIFS(Таблица1[сумма],Таблица1[коэф],"1,2",Таблица1[р/р],"3/16",Таблица1[Ф. И. О.],B561)</f>
        <v>0</v>
      </c>
      <c r="T559" s="102">
        <f t="shared" si="342"/>
        <v>0</v>
      </c>
      <c r="U559" s="81">
        <f>IF(D556&lt;=3,база!$M$4,
IF(D556=4,база!$M$5,
IF(D556=5,база!$M$6)))</f>
        <v>225.09719999999999</v>
      </c>
      <c r="V559" s="270">
        <v>1.2</v>
      </c>
      <c r="W559" s="96">
        <f>SUMIFS(Таблица1[сумма],Таблица1[коэф],"1,2",Таблица1[р/р],"3/24",Таблица1[Ф. И. О.],B561)</f>
        <v>0</v>
      </c>
      <c r="X559" s="102">
        <f t="shared" ref="X559:X560" si="346">ROUND(U559*V559*W559,2)</f>
        <v>0</v>
      </c>
      <c r="Y559" s="808"/>
      <c r="Z559" s="810"/>
      <c r="AA559" s="813"/>
    </row>
    <row r="560" spans="1:29" ht="24" thickBot="1">
      <c r="A560" s="756"/>
      <c r="B560" s="618"/>
      <c r="C560" s="815"/>
      <c r="D560" s="817"/>
      <c r="E560" s="74"/>
      <c r="F560" s="270"/>
      <c r="G560" s="88"/>
      <c r="H560" s="102"/>
      <c r="I560" s="24">
        <f>база!$J$6</f>
        <v>243.04319999999998</v>
      </c>
      <c r="J560" s="277">
        <v>1.5</v>
      </c>
      <c r="K560" s="22">
        <f>SUMIFS(Таблица1[сумма],Таблица1[коэф],"1,5",Таблица1[р/р],"5/8",Таблица1[Ф. И. О.],B561)</f>
        <v>0</v>
      </c>
      <c r="L560" s="309">
        <f>ROUND(I560*J560*K560,2)</f>
        <v>0</v>
      </c>
      <c r="M560" s="24"/>
      <c r="N560" s="22"/>
      <c r="O560" s="22"/>
      <c r="P560" s="281"/>
      <c r="Q560" s="619">
        <f>база!$L$5</f>
        <v>231.45480000000001</v>
      </c>
      <c r="R560" s="270">
        <v>1.2</v>
      </c>
      <c r="S560" s="96">
        <f>SUMIFS(Таблица1[сумма],Таблица1[коэф],"1,2",Таблица1[р/р],"4/16",Таблица1[Ф. И. О.],B561)</f>
        <v>0</v>
      </c>
      <c r="T560" s="102">
        <f t="shared" si="342"/>
        <v>0</v>
      </c>
      <c r="U560" s="81">
        <f>база!$M$5</f>
        <v>247.41720000000001</v>
      </c>
      <c r="V560" s="270">
        <v>1.2</v>
      </c>
      <c r="W560" s="96">
        <f>SUMIFS(Таблица1[сумма],Таблица1[коэф],"1,2",Таблица1[р/р],"4/24",Таблица1[Ф. И. О.],B561)</f>
        <v>0</v>
      </c>
      <c r="X560" s="102">
        <f t="shared" si="346"/>
        <v>0</v>
      </c>
      <c r="Y560" s="808"/>
      <c r="Z560" s="810"/>
      <c r="AA560" s="813"/>
      <c r="AC560" s="707" t="str">
        <f>IF(SUMIFS(Таблица1[Столбец2],Таблица1[Ф. И. О.],B561)-Z556=0,"",SUMIFS(Таблица1[Столбец2],Таблица1[Ф. И. О.],B561)-Z556)</f>
        <v/>
      </c>
    </row>
    <row r="561" spans="1:29" ht="24" thickBot="1">
      <c r="A561" s="756"/>
      <c r="B561" s="618" t="str">
        <f>база!B52</f>
        <v>Михно Татьяна Николаевна</v>
      </c>
      <c r="C561" s="815"/>
      <c r="D561" s="817"/>
      <c r="E561" s="74"/>
      <c r="F561" s="270"/>
      <c r="G561" s="88"/>
      <c r="H561" s="102"/>
      <c r="I561" s="24"/>
      <c r="J561" s="277"/>
      <c r="K561" s="22"/>
      <c r="L561" s="309"/>
      <c r="M561" s="24"/>
      <c r="N561" s="22"/>
      <c r="O561" s="22"/>
      <c r="P561" s="281"/>
      <c r="Q561" s="619">
        <f>база!$L$6</f>
        <v>261.04640000000001</v>
      </c>
      <c r="R561" s="270">
        <v>1.2</v>
      </c>
      <c r="S561" s="96">
        <f>SUMIFS(Таблица1[сумма],Таблица1[коэф],"1,2",Таблица1[р/р],"5/16",Таблица1[Ф. И. О.],B561)</f>
        <v>0</v>
      </c>
      <c r="T561" s="102">
        <f>ROUND(Q561*R561*S561,2)</f>
        <v>0</v>
      </c>
      <c r="U561" s="81">
        <f>база!$M$6</f>
        <v>279.0496</v>
      </c>
      <c r="V561" s="270">
        <v>1.2</v>
      </c>
      <c r="W561" s="96">
        <f>SUMIFS(Таблица1[сумма],Таблица1[коэф],"1,2",Таблица1[р/р],"5/24",Таблица1[Ф. И. О.],B561)</f>
        <v>0</v>
      </c>
      <c r="X561" s="102">
        <f>ROUND(U561*V561*W561,2)</f>
        <v>0</v>
      </c>
      <c r="Y561" s="808"/>
      <c r="Z561" s="810"/>
      <c r="AA561" s="813"/>
      <c r="AC561" s="707" t="str">
        <f>IF(SUMIFS(Таблица1[сумма],Таблица1[Ф. И. О.],B561)=Y556,"",B556&amp;"  часы не верны")</f>
        <v/>
      </c>
    </row>
    <row r="562" spans="1:29" ht="24" thickBot="1">
      <c r="A562" s="756"/>
      <c r="B562" s="618"/>
      <c r="C562" s="815"/>
      <c r="D562" s="817"/>
      <c r="E562" s="74"/>
      <c r="F562" s="270"/>
      <c r="G562" s="88"/>
      <c r="H562" s="102"/>
      <c r="I562" s="24"/>
      <c r="J562" s="277"/>
      <c r="K562" s="22"/>
      <c r="L562" s="309"/>
      <c r="M562" s="24"/>
      <c r="N562" s="22"/>
      <c r="O562" s="22"/>
      <c r="P562" s="281"/>
      <c r="Q562" s="619">
        <f>IF($D$6&lt;=3,база!$L$4,
IF($D$6=4,база!$L$5,
IF($D$6=5,база!$L$6)))</f>
        <v>231.45480000000001</v>
      </c>
      <c r="R562" s="270">
        <v>1.3</v>
      </c>
      <c r="S562" s="96">
        <f>SUMIFS(Таблица1[сумма],Таблица1[коэф],"1,3",Таблица1[р/р],"3/16",Таблица1[Ф. И. О.],B561)</f>
        <v>0</v>
      </c>
      <c r="T562" s="102">
        <f t="shared" ref="T562:T563" si="347">ROUND(Q562*R562*S562,2)</f>
        <v>0</v>
      </c>
      <c r="U562" s="81">
        <f>IF(D556&lt;=3,база!$M$4,
IF(D556=4,база!$M$5,
IF(D556=5,база!$M$6)))</f>
        <v>225.09719999999999</v>
      </c>
      <c r="V562" s="270">
        <v>1.3</v>
      </c>
      <c r="W562" s="96">
        <f>SUMIFS(Таблица1[сумма],Таблица1[коэф],"1,3",Таблица1[р/р],"3/24",Таблица1[Ф. И. О.],B561)</f>
        <v>0</v>
      </c>
      <c r="X562" s="102">
        <f t="shared" ref="X562:X563" si="348">ROUND(U562*V562*W562,2)</f>
        <v>0</v>
      </c>
      <c r="Y562" s="808"/>
      <c r="Z562" s="810"/>
      <c r="AA562" s="813"/>
    </row>
    <row r="563" spans="1:29" ht="24" thickBot="1">
      <c r="A563" s="756"/>
      <c r="B563" s="618"/>
      <c r="C563" s="815"/>
      <c r="D563" s="817"/>
      <c r="E563" s="74"/>
      <c r="F563" s="270"/>
      <c r="G563" s="88"/>
      <c r="H563" s="102"/>
      <c r="I563" s="24"/>
      <c r="J563" s="277"/>
      <c r="K563" s="22"/>
      <c r="L563" s="309"/>
      <c r="M563" s="24"/>
      <c r="N563" s="22"/>
      <c r="O563" s="22"/>
      <c r="P563" s="281"/>
      <c r="Q563" s="619">
        <f>база!$L$5</f>
        <v>231.45480000000001</v>
      </c>
      <c r="R563" s="270">
        <v>1.3</v>
      </c>
      <c r="S563" s="96">
        <f>SUMIFS(Таблица1[сумма],Таблица1[коэф],"1,3",Таблица1[р/р],"4/16",Таблица1[Ф. И. О.],B561)</f>
        <v>0</v>
      </c>
      <c r="T563" s="102">
        <f t="shared" si="347"/>
        <v>0</v>
      </c>
      <c r="U563" s="81">
        <f>база!$M$5</f>
        <v>247.41720000000001</v>
      </c>
      <c r="V563" s="270">
        <v>1.3</v>
      </c>
      <c r="W563" s="96">
        <f>SUMIFS(Таблица1[сумма],Таблица1[коэф],"1,3",Таблица1[р/р],"4/24",Таблица1[Ф. И. О.],B561)</f>
        <v>0</v>
      </c>
      <c r="X563" s="102">
        <f t="shared" si="348"/>
        <v>0</v>
      </c>
      <c r="Y563" s="808"/>
      <c r="Z563" s="810"/>
      <c r="AA563" s="813"/>
    </row>
    <row r="564" spans="1:29" ht="24" thickBot="1">
      <c r="A564" s="756"/>
      <c r="B564" s="618"/>
      <c r="C564" s="815"/>
      <c r="D564" s="817"/>
      <c r="E564" s="74"/>
      <c r="F564" s="270"/>
      <c r="G564" s="88"/>
      <c r="H564" s="102"/>
      <c r="I564" s="24"/>
      <c r="J564" s="277"/>
      <c r="K564" s="22"/>
      <c r="L564" s="309"/>
      <c r="M564" s="24"/>
      <c r="N564" s="22"/>
      <c r="O564" s="22"/>
      <c r="P564" s="281"/>
      <c r="Q564" s="619">
        <f>IF(D556&lt;=3,база!$L$4,
IF(D556=4,база!$L$5,
IF(D556=5,база!$L$6)))</f>
        <v>210.57480000000001</v>
      </c>
      <c r="R564" s="270">
        <v>1.4</v>
      </c>
      <c r="S564" s="96">
        <f>SUMIFS(Таблица1[сумма],Таблица1[коэф],"1,4",Таблица1[р/р],"3/16",Таблица1[Ф. И. О.],B561)</f>
        <v>0</v>
      </c>
      <c r="T564" s="102">
        <f>ROUND(Q564*R564*S564,2)</f>
        <v>0</v>
      </c>
      <c r="U564" s="81">
        <f>IF(D556&lt;=3,база!$M$4,
IF(D556=4,база!$M$5,
IF(D556=5,база!$M$6)))</f>
        <v>225.09719999999999</v>
      </c>
      <c r="V564" s="270">
        <v>1.4</v>
      </c>
      <c r="W564" s="96">
        <f>SUMIFS(Таблица1[сумма],Таблица1[коэф],"1,4",Таблица1[р/р],"3/24",Таблица1[Ф. И. О.],B561)</f>
        <v>0</v>
      </c>
      <c r="X564" s="102">
        <f>ROUND(U564*V564*W564,2)</f>
        <v>0</v>
      </c>
      <c r="Y564" s="808"/>
      <c r="Z564" s="810"/>
      <c r="AA564" s="813"/>
    </row>
    <row r="565" spans="1:29" ht="24" thickBot="1">
      <c r="A565" s="756"/>
      <c r="B565" s="618"/>
      <c r="C565" s="815"/>
      <c r="D565" s="817"/>
      <c r="E565" s="84"/>
      <c r="F565" s="272"/>
      <c r="G565" s="628"/>
      <c r="H565" s="89"/>
      <c r="I565" s="67"/>
      <c r="J565" s="629"/>
      <c r="K565" s="59"/>
      <c r="L565" s="325"/>
      <c r="M565" s="67"/>
      <c r="N565" s="59"/>
      <c r="O565" s="59"/>
      <c r="P565" s="282"/>
      <c r="Q565" s="630">
        <f>база!$L$5</f>
        <v>231.45480000000001</v>
      </c>
      <c r="R565" s="272">
        <v>1.4</v>
      </c>
      <c r="S565" s="100">
        <f>SUMIFS(Таблица1[сумма],Таблица1[коэф],"1,4",Таблица1[р/р],"4/16",Таблица1[Ф. И. О.],B561)</f>
        <v>0</v>
      </c>
      <c r="T565" s="89">
        <f>ROUND(Q565*R565*S565,2)</f>
        <v>0</v>
      </c>
      <c r="U565" s="105">
        <f>база!$M$5</f>
        <v>247.41720000000001</v>
      </c>
      <c r="V565" s="272">
        <v>1.4</v>
      </c>
      <c r="W565" s="100">
        <f>SUMIFS(Таблица1[сумма],Таблица1[коэф],"1,4",Таблица1[р/р],"4/24",Таблица1[Ф. И. О.],B561)</f>
        <v>0</v>
      </c>
      <c r="X565" s="89">
        <f>ROUND(U565*V565*W565,2)</f>
        <v>0</v>
      </c>
      <c r="Y565" s="808"/>
      <c r="Z565" s="810"/>
      <c r="AA565" s="813"/>
    </row>
    <row r="566" spans="1:29" ht="24" thickBot="1">
      <c r="A566" s="757"/>
      <c r="B566" s="352"/>
      <c r="C566" s="816"/>
      <c r="D566" s="818"/>
      <c r="E566" s="76"/>
      <c r="F566" s="275"/>
      <c r="G566" s="620"/>
      <c r="H566" s="93"/>
      <c r="I566" s="621"/>
      <c r="J566" s="594"/>
      <c r="K566" s="622"/>
      <c r="L566" s="328"/>
      <c r="M566" s="621"/>
      <c r="N566" s="622"/>
      <c r="O566" s="622"/>
      <c r="P566" s="289"/>
      <c r="Q566" s="623">
        <f>база!$L$6</f>
        <v>261.04640000000001</v>
      </c>
      <c r="R566" s="275">
        <v>1.4</v>
      </c>
      <c r="S566" s="99">
        <f>SUMIFS(Таблица1[сумма],Таблица1[коэф],"1,4",Таблица1[р/р],"5/16",Таблица1[Ф. И. О.],B561)</f>
        <v>0</v>
      </c>
      <c r="T566" s="93">
        <f>ROUND(Q566*R566*S566,2)</f>
        <v>0</v>
      </c>
      <c r="U566" s="83">
        <f>база!$M$6</f>
        <v>279.0496</v>
      </c>
      <c r="V566" s="275">
        <v>1.4</v>
      </c>
      <c r="W566" s="99">
        <f>SUMIFS(Таблица1[сумма],Таблица1[коэф],"1,4",Таблица1[р/р],"5/24",Таблица1[Ф. И. О.],B561)</f>
        <v>0</v>
      </c>
      <c r="X566" s="93">
        <f>ROUND(U566*V566*W566,2)</f>
        <v>0</v>
      </c>
      <c r="Y566" s="809"/>
      <c r="Z566" s="811"/>
      <c r="AA566" s="814"/>
    </row>
    <row r="567" spans="1:29" ht="20.25" customHeight="1">
      <c r="A567" s="755">
        <v>52</v>
      </c>
      <c r="B567" s="618"/>
      <c r="C567" s="821">
        <f>INDEX(база!$E$2:$E$181, MATCH(B572,база!$B$2:$B$160,0))</f>
        <v>15041</v>
      </c>
      <c r="D567" s="822">
        <f>INDEX(база!$D$2:$D$189, MATCH(B572,база!$B$2:$B$160,0))</f>
        <v>3</v>
      </c>
      <c r="E567" s="74">
        <f>IF(D567&lt;=3,база!$I$4,
IF(D567=4,база!$I$5,
IF(D567=5,база!$I$6)))</f>
        <v>188.7912</v>
      </c>
      <c r="F567" s="270">
        <v>1</v>
      </c>
      <c r="G567" s="88">
        <f>SUMIFS(Таблица1[сумма],Таблица1[коэф],"1",Таблица1[р/р],"2/4",Таблица1[Ф. И. О.],B572)</f>
        <v>0</v>
      </c>
      <c r="H567" s="102">
        <f>ROUND(E567*F567*G567,2)</f>
        <v>0</v>
      </c>
      <c r="I567" s="24">
        <f>IF(D567&lt;=3,база!$J$4,
IF(D567=4,база!$J$5,
IF(D567=5,база!$J$6)))</f>
        <v>196.05240000000001</v>
      </c>
      <c r="J567" s="277">
        <v>1</v>
      </c>
      <c r="K567" s="22">
        <f>SUMIFS(Таблица1[сумма],Таблица1[коэф],"1",Таблица1[р/р],"2/8",Таблица1[Ф. И. О.],B572)</f>
        <v>0</v>
      </c>
      <c r="L567" s="309">
        <f>ROUND(I567*J567*K567,2)</f>
        <v>0</v>
      </c>
      <c r="M567" s="24"/>
      <c r="N567" s="22">
        <v>1</v>
      </c>
      <c r="O567" s="22">
        <f>SUMIFS(Data_Tech!$AM$3:$AM$67,Data_Tech!$E$3:$E$67,"1",Data_Tech!$G$3:$G$67,"3/12",Data_Tech!$F$3:$F$67,B572)</f>
        <v>0</v>
      </c>
      <c r="P567" s="281">
        <f>ROUND(M567*N567*O567,2)</f>
        <v>0</v>
      </c>
      <c r="Q567" s="619">
        <f>IF(D567&lt;=3,база!$L$4,
IF(D567=4,база!$L$5,
IF(D567=5,база!$L$6)))</f>
        <v>210.57480000000001</v>
      </c>
      <c r="R567" s="270">
        <v>1</v>
      </c>
      <c r="S567" s="96">
        <f>SUMIFS(Таблица1[сумма],Таблица1[коэф],"1",Таблица1[р/р],"3/16",Таблица1[Ф. И. О.],B572)</f>
        <v>0</v>
      </c>
      <c r="T567" s="102">
        <f t="shared" ref="T567:T571" si="349">ROUND(Q567*R567*S567,2)</f>
        <v>0</v>
      </c>
      <c r="U567" s="81">
        <f>IF(D567&lt;=3,база!$M$4,
IF(D567=4,база!$M$5,
IF(D567=5,база!$M$6)))</f>
        <v>225.09719999999999</v>
      </c>
      <c r="V567" s="270">
        <v>1</v>
      </c>
      <c r="W567" s="96">
        <f>SUMIFS(Таблица1[сумма],Таблица1[коэф],"1",Таблица1[р/р],"3/24",Таблица1[Ф. И. О.],B572)</f>
        <v>0</v>
      </c>
      <c r="X567" s="102">
        <f>ROUND(U567*V567*W567,2)</f>
        <v>0</v>
      </c>
      <c r="Y567" s="807">
        <f t="shared" ref="Y567" si="350">SUM(G567:G577,K567:K577,O567:O577,S567:S577,W567:W577)</f>
        <v>0</v>
      </c>
      <c r="Z567" s="823">
        <f t="shared" ref="Z567" si="351">IFERROR(SUM(H567:H577,L567:L577,T567:T577,X567:X577),"")</f>
        <v>0</v>
      </c>
      <c r="AA567" s="812"/>
    </row>
    <row r="568" spans="1:29">
      <c r="A568" s="756"/>
      <c r="B568" s="618"/>
      <c r="C568" s="815"/>
      <c r="D568" s="817"/>
      <c r="E568" s="74">
        <f>IF(D567&lt;=3,база!$I$4,
IF(D567=4,база!$I$5,
IF(D567=5,база!$I$6)))</f>
        <v>188.7912</v>
      </c>
      <c r="F568" s="270">
        <v>1</v>
      </c>
      <c r="G568" s="88">
        <f>SUMIFS(Таблица1[сумма],Таблица1[коэф],"1",Таблица1[р/р],"3/4",Таблица1[Ф. И. О.],B572)</f>
        <v>0</v>
      </c>
      <c r="H568" s="102">
        <f>ROUND(E568*F568*G568,2)</f>
        <v>0</v>
      </c>
      <c r="I568" s="24">
        <f>IF(D567&lt;=3,база!$J$4,
IF(D567=4,база!$J$5,
IF(D567=5,база!$J$6)))</f>
        <v>196.05240000000001</v>
      </c>
      <c r="J568" s="277">
        <v>1</v>
      </c>
      <c r="K568" s="22"/>
      <c r="L568" s="309">
        <f>ROUND(I568*J568*K568,2)</f>
        <v>0</v>
      </c>
      <c r="M568" s="24"/>
      <c r="N568" s="22">
        <v>1</v>
      </c>
      <c r="O568" s="22">
        <f>SUMIFS(Data_Tech!$AM$3:$AM$67,Data_Tech!$E$3:$E$67,"1",Data_Tech!$G$3:$G$67,"4/12",Data_Tech!$F$3:$F$67,B572)</f>
        <v>0</v>
      </c>
      <c r="P568" s="281">
        <f>ROUND(M568*O568,2)</f>
        <v>0</v>
      </c>
      <c r="Q568" s="619">
        <f>база!$L$5</f>
        <v>231.45480000000001</v>
      </c>
      <c r="R568" s="270">
        <v>1</v>
      </c>
      <c r="S568" s="96">
        <f>SUMIFS(Таблица1[сумма],Таблица1[коэф],"1",Таблица1[р/р],"4/16",Таблица1[Ф. И. О.],B572)</f>
        <v>0</v>
      </c>
      <c r="T568" s="102">
        <f t="shared" si="349"/>
        <v>0</v>
      </c>
      <c r="U568" s="81">
        <f>база!$M$5</f>
        <v>247.41720000000001</v>
      </c>
      <c r="V568" s="270">
        <v>1</v>
      </c>
      <c r="W568" s="96">
        <f>SUMIFS(Таблица1[сумма],Таблица1[коэф],"1",Таблица1[р/р],"4/24",Таблица1[Ф. И. О.],B572)</f>
        <v>0</v>
      </c>
      <c r="X568" s="102">
        <f t="shared" ref="X568" si="352">ROUND(U568*V568*W568,2)</f>
        <v>0</v>
      </c>
      <c r="Y568" s="808"/>
      <c r="Z568" s="810"/>
      <c r="AA568" s="813"/>
    </row>
    <row r="569" spans="1:29" ht="24" thickBot="1">
      <c r="A569" s="756"/>
      <c r="B569" s="618"/>
      <c r="C569" s="815"/>
      <c r="D569" s="817"/>
      <c r="E569" s="74"/>
      <c r="F569" s="270"/>
      <c r="G569" s="88"/>
      <c r="H569" s="102"/>
      <c r="I569" s="24"/>
      <c r="J569" s="277"/>
      <c r="K569" s="22"/>
      <c r="L569" s="309"/>
      <c r="M569" s="24"/>
      <c r="N569" s="22"/>
      <c r="O569" s="22"/>
      <c r="P569" s="281"/>
      <c r="Q569" s="619">
        <f>база!$L$6</f>
        <v>261.04640000000001</v>
      </c>
      <c r="R569" s="270">
        <v>1</v>
      </c>
      <c r="S569" s="96">
        <f>SUMIFS(Таблица1[сумма],Таблица1[коэф],"1",Таблица1[р/р],"5/16",Таблица1[Ф. И. О.],B572)</f>
        <v>0</v>
      </c>
      <c r="T569" s="102">
        <f t="shared" si="349"/>
        <v>0</v>
      </c>
      <c r="U569" s="81">
        <f>база!$M$6</f>
        <v>279.0496</v>
      </c>
      <c r="V569" s="270">
        <v>1</v>
      </c>
      <c r="W569" s="96">
        <f>SUMIFS(Таблица1[сумма],Таблица1[коэф],"1",Таблица1[р/р],"5/24",Таблица1[Ф. И. О.],B572)</f>
        <v>0</v>
      </c>
      <c r="X569" s="102">
        <f>ROUND(U569*V569*W569,2)</f>
        <v>0</v>
      </c>
      <c r="Y569" s="808"/>
      <c r="Z569" s="810"/>
      <c r="AA569" s="813"/>
    </row>
    <row r="570" spans="1:29" ht="24" thickBot="1">
      <c r="A570" s="756"/>
      <c r="B570" s="618"/>
      <c r="C570" s="815"/>
      <c r="D570" s="817"/>
      <c r="E570" s="74"/>
      <c r="F570" s="270"/>
      <c r="G570" s="88"/>
      <c r="H570" s="102"/>
      <c r="I570" s="24">
        <f>база!$J$5</f>
        <v>215.4924</v>
      </c>
      <c r="J570" s="277">
        <v>1.5</v>
      </c>
      <c r="K570" s="22">
        <f>SUMIFS(Таблица1[сумма],Таблица1[коэф],"1,5",Таблица1[р/р],"4/8",Таблица1[Ф. И. О.],B572)</f>
        <v>0</v>
      </c>
      <c r="L570" s="309">
        <f>ROUND(I570*J570*K570,2)</f>
        <v>0</v>
      </c>
      <c r="M570" s="24"/>
      <c r="N570" s="22"/>
      <c r="O570" s="22"/>
      <c r="P570" s="281"/>
      <c r="Q570" s="619">
        <f>IF(D567&lt;=3,база!$L$4,
IF(D567=4,база!$L$5,
IF(D567=5,база!$L$6)))</f>
        <v>210.57480000000001</v>
      </c>
      <c r="R570" s="270">
        <v>1.2</v>
      </c>
      <c r="S570" s="96">
        <f>SUMIFS(Таблица1[сумма],Таблица1[коэф],"1,2",Таблица1[р/р],"3/16",Таблица1[Ф. И. О.],B572)</f>
        <v>0</v>
      </c>
      <c r="T570" s="102">
        <f t="shared" si="349"/>
        <v>0</v>
      </c>
      <c r="U570" s="81">
        <f>IF(D567&lt;=3,база!$M$4,
IF(D567=4,база!$M$5,
IF(D567=5,база!$M$6)))</f>
        <v>225.09719999999999</v>
      </c>
      <c r="V570" s="270">
        <v>1.2</v>
      </c>
      <c r="W570" s="96">
        <f>SUMIFS(Таблица1[сумма],Таблица1[коэф],"1,2",Таблица1[р/р],"3/24",Таблица1[Ф. И. О.],B572)</f>
        <v>0</v>
      </c>
      <c r="X570" s="102">
        <f t="shared" ref="X570:X571" si="353">ROUND(U570*V570*W570,2)</f>
        <v>0</v>
      </c>
      <c r="Y570" s="808"/>
      <c r="Z570" s="810"/>
      <c r="AA570" s="813"/>
    </row>
    <row r="571" spans="1:29" ht="24" thickBot="1">
      <c r="A571" s="756"/>
      <c r="B571" s="618"/>
      <c r="C571" s="815"/>
      <c r="D571" s="817"/>
      <c r="E571" s="74"/>
      <c r="F571" s="270"/>
      <c r="G571" s="88"/>
      <c r="H571" s="102"/>
      <c r="I571" s="24">
        <f>база!$J$6</f>
        <v>243.04319999999998</v>
      </c>
      <c r="J571" s="277">
        <v>1.5</v>
      </c>
      <c r="K571" s="22">
        <f>SUMIFS(Таблица1[сумма],Таблица1[коэф],"1,5",Таблица1[р/р],"5/8",Таблица1[Ф. И. О.],B572)</f>
        <v>0</v>
      </c>
      <c r="L571" s="309">
        <f>ROUND(I571*J571*K571,2)</f>
        <v>0</v>
      </c>
      <c r="M571" s="24"/>
      <c r="N571" s="22"/>
      <c r="O571" s="22"/>
      <c r="P571" s="281"/>
      <c r="Q571" s="619">
        <f>база!$L$5</f>
        <v>231.45480000000001</v>
      </c>
      <c r="R571" s="270">
        <v>1.2</v>
      </c>
      <c r="S571" s="96">
        <f>SUMIFS(Таблица1[сумма],Таблица1[коэф],"1,2",Таблица1[р/р],"4/16",Таблица1[Ф. И. О.],B572)</f>
        <v>0</v>
      </c>
      <c r="T571" s="102">
        <f t="shared" si="349"/>
        <v>0</v>
      </c>
      <c r="U571" s="81">
        <f>база!$M$5</f>
        <v>247.41720000000001</v>
      </c>
      <c r="V571" s="270">
        <v>1.2</v>
      </c>
      <c r="W571" s="96">
        <f>SUMIFS(Таблица1[сумма],Таблица1[коэф],"1,2",Таблица1[р/р],"4/24",Таблица1[Ф. И. О.],B572)</f>
        <v>0</v>
      </c>
      <c r="X571" s="102">
        <f t="shared" si="353"/>
        <v>0</v>
      </c>
      <c r="Y571" s="808"/>
      <c r="Z571" s="810"/>
      <c r="AA571" s="813"/>
      <c r="AC571" s="707" t="str">
        <f>IF(SUMIFS(Таблица1[Столбец2],Таблица1[Ф. И. О.],B572)-Z567=0,"",SUMIFS(Таблица1[Столбец2],Таблица1[Ф. И. О.],B572)-Z567)</f>
        <v/>
      </c>
    </row>
    <row r="572" spans="1:29" ht="24" thickBot="1">
      <c r="A572" s="756"/>
      <c r="B572" s="618" t="str">
        <f>база!B53</f>
        <v>Набойченко Седа Хамидовна</v>
      </c>
      <c r="C572" s="815"/>
      <c r="D572" s="817"/>
      <c r="E572" s="74"/>
      <c r="F572" s="270"/>
      <c r="G572" s="88"/>
      <c r="H572" s="102"/>
      <c r="I572" s="24"/>
      <c r="J572" s="277"/>
      <c r="K572" s="22"/>
      <c r="L572" s="309"/>
      <c r="M572" s="24"/>
      <c r="N572" s="22"/>
      <c r="O572" s="22"/>
      <c r="P572" s="281"/>
      <c r="Q572" s="619">
        <f>база!$L$6</f>
        <v>261.04640000000001</v>
      </c>
      <c r="R572" s="270">
        <v>1.2</v>
      </c>
      <c r="S572" s="96">
        <f>SUMIFS(Таблица1[сумма],Таблица1[коэф],"1,2",Таблица1[р/р],"5/16",Таблица1[Ф. И. О.],B572)</f>
        <v>0</v>
      </c>
      <c r="T572" s="102">
        <f>ROUND(Q572*R572*S572,2)</f>
        <v>0</v>
      </c>
      <c r="U572" s="81">
        <f>база!$M$6</f>
        <v>279.0496</v>
      </c>
      <c r="V572" s="270">
        <v>1.2</v>
      </c>
      <c r="W572" s="96">
        <f>SUMIFS(Таблица1[сумма],Таблица1[коэф],"1,2",Таблица1[р/р],"5/24",Таблица1[Ф. И. О.],B572)</f>
        <v>0</v>
      </c>
      <c r="X572" s="102">
        <f>ROUND(U572*V572*W572,2)</f>
        <v>0</v>
      </c>
      <c r="Y572" s="808"/>
      <c r="Z572" s="810"/>
      <c r="AA572" s="813"/>
      <c r="AC572" s="707" t="str">
        <f>IF(SUMIFS(Таблица1[сумма],Таблица1[Ф. И. О.],B572)=Y567,"",B567&amp;"  часы не верны")</f>
        <v/>
      </c>
    </row>
    <row r="573" spans="1:29" ht="24" thickBot="1">
      <c r="A573" s="756"/>
      <c r="B573" s="618"/>
      <c r="C573" s="815"/>
      <c r="D573" s="817"/>
      <c r="E573" s="74"/>
      <c r="F573" s="270"/>
      <c r="G573" s="88"/>
      <c r="H573" s="102"/>
      <c r="I573" s="24"/>
      <c r="J573" s="277"/>
      <c r="K573" s="22"/>
      <c r="L573" s="309"/>
      <c r="M573" s="24"/>
      <c r="N573" s="22"/>
      <c r="O573" s="22"/>
      <c r="P573" s="281"/>
      <c r="Q573" s="619">
        <f>IF($D$6&lt;=3,база!$L$4,
IF($D$6=4,база!$L$5,
IF($D$6=5,база!$L$6)))</f>
        <v>231.45480000000001</v>
      </c>
      <c r="R573" s="270">
        <v>1.3</v>
      </c>
      <c r="S573" s="96">
        <f>SUMIFS(Таблица1[сумма],Таблица1[коэф],"1,3",Таблица1[р/р],"3/16",Таблица1[Ф. И. О.],B572)</f>
        <v>0</v>
      </c>
      <c r="T573" s="102">
        <f t="shared" ref="T573:T574" si="354">ROUND(Q573*R573*S573,2)</f>
        <v>0</v>
      </c>
      <c r="U573" s="81">
        <f>IF(D567&lt;=3,база!$M$4,
IF(D567=4,база!$M$5,
IF(D567=5,база!$M$6)))</f>
        <v>225.09719999999999</v>
      </c>
      <c r="V573" s="270">
        <v>1.3</v>
      </c>
      <c r="W573" s="96">
        <f>SUMIFS(Таблица1[сумма],Таблица1[коэф],"1,3",Таблица1[р/р],"3/24",Таблица1[Ф. И. О.],B572)</f>
        <v>0</v>
      </c>
      <c r="X573" s="102">
        <f t="shared" ref="X573:X574" si="355">ROUND(U573*V573*W573,2)</f>
        <v>0</v>
      </c>
      <c r="Y573" s="808"/>
      <c r="Z573" s="810"/>
      <c r="AA573" s="813"/>
    </row>
    <row r="574" spans="1:29" ht="24" thickBot="1">
      <c r="A574" s="756"/>
      <c r="B574" s="618"/>
      <c r="C574" s="815"/>
      <c r="D574" s="817"/>
      <c r="E574" s="74"/>
      <c r="F574" s="270"/>
      <c r="G574" s="88"/>
      <c r="H574" s="102"/>
      <c r="I574" s="24"/>
      <c r="J574" s="277"/>
      <c r="K574" s="22"/>
      <c r="L574" s="309"/>
      <c r="M574" s="24"/>
      <c r="N574" s="22"/>
      <c r="O574" s="22"/>
      <c r="P574" s="281"/>
      <c r="Q574" s="619">
        <f>база!$L$5</f>
        <v>231.45480000000001</v>
      </c>
      <c r="R574" s="270">
        <v>1.3</v>
      </c>
      <c r="S574" s="96">
        <f>SUMIFS(Таблица1[сумма],Таблица1[коэф],"1,3",Таблица1[р/р],"4/16",Таблица1[Ф. И. О.],B572)</f>
        <v>0</v>
      </c>
      <c r="T574" s="102">
        <f t="shared" si="354"/>
        <v>0</v>
      </c>
      <c r="U574" s="81">
        <f>база!$M$5</f>
        <v>247.41720000000001</v>
      </c>
      <c r="V574" s="270">
        <v>1.3</v>
      </c>
      <c r="W574" s="96">
        <f>SUMIFS(Таблица1[сумма],Таблица1[коэф],"1,3",Таблица1[р/р],"4/24",Таблица1[Ф. И. О.],B572)</f>
        <v>0</v>
      </c>
      <c r="X574" s="102">
        <f t="shared" si="355"/>
        <v>0</v>
      </c>
      <c r="Y574" s="808"/>
      <c r="Z574" s="810"/>
      <c r="AA574" s="813"/>
    </row>
    <row r="575" spans="1:29" ht="24" thickBot="1">
      <c r="A575" s="756"/>
      <c r="B575" s="618"/>
      <c r="C575" s="815"/>
      <c r="D575" s="817"/>
      <c r="E575" s="74"/>
      <c r="F575" s="270"/>
      <c r="G575" s="88"/>
      <c r="H575" s="102"/>
      <c r="I575" s="24"/>
      <c r="J575" s="277"/>
      <c r="K575" s="22"/>
      <c r="L575" s="309"/>
      <c r="M575" s="24"/>
      <c r="N575" s="22"/>
      <c r="O575" s="22"/>
      <c r="P575" s="281"/>
      <c r="Q575" s="619">
        <f>IF(D567&lt;=3,база!$L$4,
IF(D567=4,база!$L$5,
IF(D567=5,база!$L$6)))</f>
        <v>210.57480000000001</v>
      </c>
      <c r="R575" s="270">
        <v>1.4</v>
      </c>
      <c r="S575" s="96">
        <f>SUMIFS(Таблица1[сумма],Таблица1[коэф],"1,4",Таблица1[р/р],"3/16",Таблица1[Ф. И. О.],B572)</f>
        <v>0</v>
      </c>
      <c r="T575" s="102">
        <f>ROUND(Q575*R575*S575,2)</f>
        <v>0</v>
      </c>
      <c r="U575" s="81">
        <f>IF(D567&lt;=3,база!$M$4,
IF(D567=4,база!$M$5,
IF(D567=5,база!$M$6)))</f>
        <v>225.09719999999999</v>
      </c>
      <c r="V575" s="270">
        <v>1.4</v>
      </c>
      <c r="W575" s="96">
        <f>SUMIFS(Таблица1[сумма],Таблица1[коэф],"1,4",Таблица1[р/р],"3/24",Таблица1[Ф. И. О.],B572)</f>
        <v>0</v>
      </c>
      <c r="X575" s="102">
        <f>ROUND(U575*V575*W575,2)</f>
        <v>0</v>
      </c>
      <c r="Y575" s="808"/>
      <c r="Z575" s="810"/>
      <c r="AA575" s="813"/>
    </row>
    <row r="576" spans="1:29" ht="24" thickBot="1">
      <c r="A576" s="756"/>
      <c r="B576" s="618"/>
      <c r="C576" s="815"/>
      <c r="D576" s="817"/>
      <c r="E576" s="84"/>
      <c r="F576" s="272"/>
      <c r="G576" s="628"/>
      <c r="H576" s="89"/>
      <c r="I576" s="67"/>
      <c r="J576" s="629"/>
      <c r="K576" s="59"/>
      <c r="L576" s="325"/>
      <c r="M576" s="67"/>
      <c r="N576" s="59"/>
      <c r="O576" s="59"/>
      <c r="P576" s="282"/>
      <c r="Q576" s="630">
        <f>база!$L$5</f>
        <v>231.45480000000001</v>
      </c>
      <c r="R576" s="272">
        <v>1.4</v>
      </c>
      <c r="S576" s="100">
        <f>SUMIFS(Таблица1[сумма],Таблица1[коэф],"1,4",Таблица1[р/р],"4/16",Таблица1[Ф. И. О.],B572)</f>
        <v>0</v>
      </c>
      <c r="T576" s="89">
        <f>ROUND(Q576*R576*S576,2)</f>
        <v>0</v>
      </c>
      <c r="U576" s="105">
        <f>база!$M$5</f>
        <v>247.41720000000001</v>
      </c>
      <c r="V576" s="272">
        <v>1.4</v>
      </c>
      <c r="W576" s="100">
        <f>SUMIFS(Таблица1[сумма],Таблица1[коэф],"1,4",Таблица1[р/р],"4/24",Таблица1[Ф. И. О.],B572)</f>
        <v>0</v>
      </c>
      <c r="X576" s="89">
        <f>ROUND(U576*V576*W576,2)</f>
        <v>0</v>
      </c>
      <c r="Y576" s="808"/>
      <c r="Z576" s="810"/>
      <c r="AA576" s="813"/>
    </row>
    <row r="577" spans="1:29" ht="24" thickBot="1">
      <c r="A577" s="757"/>
      <c r="B577" s="352"/>
      <c r="C577" s="816"/>
      <c r="D577" s="818"/>
      <c r="E577" s="76"/>
      <c r="F577" s="275"/>
      <c r="G577" s="620"/>
      <c r="H577" s="93"/>
      <c r="I577" s="621"/>
      <c r="J577" s="594"/>
      <c r="K577" s="622"/>
      <c r="L577" s="328"/>
      <c r="M577" s="621"/>
      <c r="N577" s="622"/>
      <c r="O577" s="622"/>
      <c r="P577" s="289"/>
      <c r="Q577" s="623">
        <f>база!$L$6</f>
        <v>261.04640000000001</v>
      </c>
      <c r="R577" s="275">
        <v>1.4</v>
      </c>
      <c r="S577" s="99">
        <f>SUMIFS(Таблица1[сумма],Таблица1[коэф],"1,4",Таблица1[р/р],"5/16",Таблица1[Ф. И. О.],B572)</f>
        <v>0</v>
      </c>
      <c r="T577" s="93">
        <f>ROUND(Q577*R577*S577,2)</f>
        <v>0</v>
      </c>
      <c r="U577" s="83">
        <f>база!$M$6</f>
        <v>279.0496</v>
      </c>
      <c r="V577" s="275">
        <v>1.4</v>
      </c>
      <c r="W577" s="99">
        <f>SUMIFS(Таблица1[сумма],Таблица1[коэф],"1,4",Таблица1[р/р],"5/24",Таблица1[Ф. И. О.],B572)</f>
        <v>0</v>
      </c>
      <c r="X577" s="93">
        <f>ROUND(U577*V577*W577,2)</f>
        <v>0</v>
      </c>
      <c r="Y577" s="809"/>
      <c r="Z577" s="811"/>
      <c r="AA577" s="814"/>
    </row>
    <row r="578" spans="1:29" ht="20.25" customHeight="1">
      <c r="A578" s="755">
        <v>53</v>
      </c>
      <c r="B578" s="618"/>
      <c r="C578" s="821">
        <f>INDEX(база!$E$2:$E$181, MATCH(B583,база!$B$2:$B$160,0))</f>
        <v>16303</v>
      </c>
      <c r="D578" s="822">
        <f>INDEX(база!$D$2:$D$189, MATCH(B583,база!$B$2:$B$160,0))</f>
        <v>3</v>
      </c>
      <c r="E578" s="74">
        <f>IF(D578&lt;=3,база!$I$4,
IF(D578=4,база!$I$5,
IF(D578=5,база!$I$6)))</f>
        <v>188.7912</v>
      </c>
      <c r="F578" s="270">
        <v>1</v>
      </c>
      <c r="G578" s="88">
        <f>SUMIFS(Таблица1[сумма],Таблица1[коэф],"1",Таблица1[р/р],"2/4",Таблица1[Ф. И. О.],B583)</f>
        <v>0</v>
      </c>
      <c r="H578" s="102">
        <f>ROUND(E578*F578*G578,2)</f>
        <v>0</v>
      </c>
      <c r="I578" s="24">
        <f>IF(D578&lt;=3,база!$J$4,
IF(D578=4,база!$J$5,
IF(D578=5,база!$J$6)))</f>
        <v>196.05240000000001</v>
      </c>
      <c r="J578" s="277">
        <v>1</v>
      </c>
      <c r="K578" s="22">
        <f>SUMIFS(Таблица1[сумма],Таблица1[коэф],"1",Таблица1[р/р],"2/8",Таблица1[Ф. И. О.],B583)</f>
        <v>0</v>
      </c>
      <c r="L578" s="309">
        <f>ROUND(I578*J578*K578,2)</f>
        <v>0</v>
      </c>
      <c r="M578" s="24"/>
      <c r="N578" s="22">
        <v>1</v>
      </c>
      <c r="O578" s="22">
        <f>SUMIFS(Data_Tech!$AM$3:$AM$67,Data_Tech!$E$3:$E$67,"1",Data_Tech!$G$3:$G$67,"3/12",Data_Tech!$F$3:$F$67,B583)</f>
        <v>0</v>
      </c>
      <c r="P578" s="281">
        <f>ROUND(M578*N578*O578,2)</f>
        <v>0</v>
      </c>
      <c r="Q578" s="619">
        <f>IF(D578&lt;=3,база!$L$4,
IF(D578=4,база!$L$5,
IF(D578=5,база!$L$6)))</f>
        <v>210.57480000000001</v>
      </c>
      <c r="R578" s="270">
        <v>1</v>
      </c>
      <c r="S578" s="96">
        <f>SUMIFS(Таблица1[сумма],Таблица1[коэф],"1",Таблица1[р/р],"3/16",Таблица1[Ф. И. О.],B583)</f>
        <v>0</v>
      </c>
      <c r="T578" s="102">
        <f t="shared" ref="T578:T582" si="356">ROUND(Q578*R578*S578,2)</f>
        <v>0</v>
      </c>
      <c r="U578" s="81">
        <f>IF(D578&lt;=3,база!$M$4,
IF(D578=4,база!$M$5,
IF(D578=5,база!$M$6)))</f>
        <v>225.09719999999999</v>
      </c>
      <c r="V578" s="270">
        <v>1</v>
      </c>
      <c r="W578" s="96">
        <f>SUMIFS(Таблица1[сумма],Таблица1[коэф],"1",Таблица1[р/р],"3/24",Таблица1[Ф. И. О.],B583)</f>
        <v>0</v>
      </c>
      <c r="X578" s="102">
        <f>ROUND(U578*V578*W578,2)</f>
        <v>0</v>
      </c>
      <c r="Y578" s="807">
        <f t="shared" ref="Y578" si="357">SUM(G578:G588,K578:K588,O578:O588,S578:S588,W578:W588)</f>
        <v>0</v>
      </c>
      <c r="Z578" s="823">
        <f t="shared" ref="Z578" si="358">IFERROR(SUM(H578:H588,L578:L588,T578:T588,X578:X588),"")</f>
        <v>0</v>
      </c>
      <c r="AA578" s="812"/>
    </row>
    <row r="579" spans="1:29">
      <c r="A579" s="756"/>
      <c r="B579" s="618"/>
      <c r="C579" s="815"/>
      <c r="D579" s="817"/>
      <c r="E579" s="74">
        <f>IF(D578&lt;=3,база!$I$4,
IF(D578=4,база!$I$5,
IF(D578=5,база!$I$6)))</f>
        <v>188.7912</v>
      </c>
      <c r="F579" s="270">
        <v>1</v>
      </c>
      <c r="G579" s="88">
        <f>SUMIFS(Таблица1[сумма],Таблица1[коэф],"1",Таблица1[р/р],"3/4",Таблица1[Ф. И. О.],B583)</f>
        <v>0</v>
      </c>
      <c r="H579" s="102">
        <f>ROUND(E579*F579*G579,2)</f>
        <v>0</v>
      </c>
      <c r="I579" s="24">
        <f>IF(D578&lt;=3,база!$J$4,
IF(D578=4,база!$J$5,
IF(D578=5,база!$J$6)))</f>
        <v>196.05240000000001</v>
      </c>
      <c r="J579" s="277">
        <v>1</v>
      </c>
      <c r="K579" s="22"/>
      <c r="L579" s="309">
        <f>ROUND(I579*J579*K579,2)</f>
        <v>0</v>
      </c>
      <c r="M579" s="24"/>
      <c r="N579" s="22">
        <v>1</v>
      </c>
      <c r="O579" s="22">
        <f>SUMIFS(Data_Tech!$AM$3:$AM$67,Data_Tech!$E$3:$E$67,"1",Data_Tech!$G$3:$G$67,"4/12",Data_Tech!$F$3:$F$67,B583)</f>
        <v>0</v>
      </c>
      <c r="P579" s="281">
        <f>ROUND(M579*O579,2)</f>
        <v>0</v>
      </c>
      <c r="Q579" s="619">
        <f>база!$L$5</f>
        <v>231.45480000000001</v>
      </c>
      <c r="R579" s="270">
        <v>1</v>
      </c>
      <c r="S579" s="96">
        <f>SUMIFS(Таблица1[сумма],Таблица1[коэф],"1",Таблица1[р/р],"4/16",Таблица1[Ф. И. О.],B583)</f>
        <v>0</v>
      </c>
      <c r="T579" s="102">
        <f t="shared" si="356"/>
        <v>0</v>
      </c>
      <c r="U579" s="81">
        <f>база!$M$5</f>
        <v>247.41720000000001</v>
      </c>
      <c r="V579" s="270">
        <v>1</v>
      </c>
      <c r="W579" s="96">
        <f>SUMIFS(Таблица1[сумма],Таблица1[коэф],"1",Таблица1[р/р],"4/24",Таблица1[Ф. И. О.],B583)</f>
        <v>0</v>
      </c>
      <c r="X579" s="102">
        <f t="shared" ref="X579" si="359">ROUND(U579*V579*W579,2)</f>
        <v>0</v>
      </c>
      <c r="Y579" s="808"/>
      <c r="Z579" s="810"/>
      <c r="AA579" s="813"/>
    </row>
    <row r="580" spans="1:29">
      <c r="A580" s="756"/>
      <c r="B580" s="618"/>
      <c r="C580" s="815"/>
      <c r="D580" s="817"/>
      <c r="E580" s="74"/>
      <c r="F580" s="270"/>
      <c r="G580" s="88"/>
      <c r="H580" s="102"/>
      <c r="I580" s="24"/>
      <c r="J580" s="277"/>
      <c r="K580" s="22"/>
      <c r="L580" s="309"/>
      <c r="M580" s="24"/>
      <c r="N580" s="22"/>
      <c r="O580" s="22"/>
      <c r="P580" s="281"/>
      <c r="Q580" s="619">
        <f>база!$L$6</f>
        <v>261.04640000000001</v>
      </c>
      <c r="R580" s="270">
        <v>1</v>
      </c>
      <c r="S580" s="96">
        <f>SUMIFS(Таблица1[сумма],Таблица1[коэф],"1",Таблица1[р/р],"5/16",Таблица1[Ф. И. О.],B583)</f>
        <v>0</v>
      </c>
      <c r="T580" s="102">
        <f t="shared" si="356"/>
        <v>0</v>
      </c>
      <c r="U580" s="81">
        <f>база!$M$6</f>
        <v>279.0496</v>
      </c>
      <c r="V580" s="270">
        <v>1</v>
      </c>
      <c r="W580" s="96">
        <f>SUMIFS(Таблица1[сумма],Таблица1[коэф],"1",Таблица1[р/р],"5/24",Таблица1[Ф. И. О.],B583)</f>
        <v>0</v>
      </c>
      <c r="X580" s="102">
        <f>ROUND(U580*V580*W580,2)</f>
        <v>0</v>
      </c>
      <c r="Y580" s="808"/>
      <c r="Z580" s="810"/>
      <c r="AA580" s="813"/>
    </row>
    <row r="581" spans="1:29">
      <c r="A581" s="756"/>
      <c r="B581" s="618"/>
      <c r="C581" s="815"/>
      <c r="D581" s="817"/>
      <c r="E581" s="74"/>
      <c r="F581" s="270"/>
      <c r="G581" s="88"/>
      <c r="H581" s="102"/>
      <c r="I581" s="24">
        <f>база!$J$5</f>
        <v>215.4924</v>
      </c>
      <c r="J581" s="277">
        <v>1.5</v>
      </c>
      <c r="K581" s="22">
        <f>SUMIFS(Таблица1[сумма],Таблица1[коэф],"1,5",Таблица1[р/р],"4/8",Таблица1[Ф. И. О.],B583)</f>
        <v>0</v>
      </c>
      <c r="L581" s="309">
        <f>ROUND(I581*J581*K581,2)</f>
        <v>0</v>
      </c>
      <c r="M581" s="24"/>
      <c r="N581" s="22"/>
      <c r="O581" s="22"/>
      <c r="P581" s="281"/>
      <c r="Q581" s="619">
        <f>IF(D578&lt;=3,база!$L$4,
IF(D578=4,база!$L$5,
IF(D578=5,база!$L$6)))</f>
        <v>210.57480000000001</v>
      </c>
      <c r="R581" s="270">
        <v>1.2</v>
      </c>
      <c r="S581" s="96">
        <f>SUMIFS(Таблица1[сумма],Таблица1[коэф],"1,2",Таблица1[р/р],"3/16",Таблица1[Ф. И. О.],B583)</f>
        <v>0</v>
      </c>
      <c r="T581" s="102">
        <f t="shared" si="356"/>
        <v>0</v>
      </c>
      <c r="U581" s="81">
        <f>IF(D578&lt;=3,база!$M$4,
IF(D578=4,база!$M$5,
IF(D578=5,база!$M$6)))</f>
        <v>225.09719999999999</v>
      </c>
      <c r="V581" s="270">
        <v>1.2</v>
      </c>
      <c r="W581" s="96">
        <f>SUMIFS(Таблица1[сумма],Таблица1[коэф],"1,2",Таблица1[р/р],"3/24",Таблица1[Ф. И. О.],B583)</f>
        <v>0</v>
      </c>
      <c r="X581" s="102">
        <f t="shared" ref="X581:X582" si="360">ROUND(U581*V581*W581,2)</f>
        <v>0</v>
      </c>
      <c r="Y581" s="808"/>
      <c r="Z581" s="810"/>
      <c r="AA581" s="813"/>
    </row>
    <row r="582" spans="1:29">
      <c r="A582" s="756"/>
      <c r="B582" s="618"/>
      <c r="C582" s="815"/>
      <c r="D582" s="817"/>
      <c r="E582" s="74"/>
      <c r="F582" s="270"/>
      <c r="G582" s="88"/>
      <c r="H582" s="102"/>
      <c r="I582" s="24">
        <f>база!$J$6</f>
        <v>243.04319999999998</v>
      </c>
      <c r="J582" s="277">
        <v>1.5</v>
      </c>
      <c r="K582" s="22">
        <f>SUMIFS(Таблица1[сумма],Таблица1[коэф],"1,5",Таблица1[р/р],"5/8",Таблица1[Ф. И. О.],B583)</f>
        <v>0</v>
      </c>
      <c r="L582" s="309">
        <f>ROUND(I582*J582*K582,2)</f>
        <v>0</v>
      </c>
      <c r="M582" s="24"/>
      <c r="N582" s="22"/>
      <c r="O582" s="22"/>
      <c r="P582" s="281"/>
      <c r="Q582" s="619">
        <f>база!$L$5</f>
        <v>231.45480000000001</v>
      </c>
      <c r="R582" s="270">
        <v>1.2</v>
      </c>
      <c r="S582" s="96">
        <f>SUMIFS(Таблица1[сумма],Таблица1[коэф],"1,2",Таблица1[р/р],"4/16",Таблица1[Ф. И. О.],B583)</f>
        <v>0</v>
      </c>
      <c r="T582" s="102">
        <f t="shared" si="356"/>
        <v>0</v>
      </c>
      <c r="U582" s="81">
        <f>база!$M$5</f>
        <v>247.41720000000001</v>
      </c>
      <c r="V582" s="270">
        <v>1.2</v>
      </c>
      <c r="W582" s="96">
        <f>SUMIFS(Таблица1[сумма],Таблица1[коэф],"1,2",Таблица1[р/р],"4/24",Таблица1[Ф. И. О.],B583)</f>
        <v>0</v>
      </c>
      <c r="X582" s="102">
        <f t="shared" si="360"/>
        <v>0</v>
      </c>
      <c r="Y582" s="808"/>
      <c r="Z582" s="810"/>
      <c r="AA582" s="813"/>
      <c r="AC582" s="707" t="str">
        <f>IF(SUMIFS(Таблица1[Столбец2],Таблица1[Ф. И. О.],B583)-Z578=0,"",SUMIFS(Таблица1[Столбец2],Таблица1[Ф. И. О.],B583)-Z578)</f>
        <v/>
      </c>
    </row>
    <row r="583" spans="1:29">
      <c r="A583" s="756"/>
      <c r="B583" s="618" t="str">
        <f>база!B54</f>
        <v>Нагловская Наталья Анатольевна</v>
      </c>
      <c r="C583" s="815"/>
      <c r="D583" s="817"/>
      <c r="E583" s="74"/>
      <c r="F583" s="270"/>
      <c r="G583" s="88"/>
      <c r="H583" s="102"/>
      <c r="I583" s="24"/>
      <c r="J583" s="277"/>
      <c r="K583" s="22"/>
      <c r="L583" s="309"/>
      <c r="M583" s="24"/>
      <c r="N583" s="22"/>
      <c r="O583" s="22"/>
      <c r="P583" s="281"/>
      <c r="Q583" s="619">
        <f>база!$L$6</f>
        <v>261.04640000000001</v>
      </c>
      <c r="R583" s="270">
        <v>1.2</v>
      </c>
      <c r="S583" s="96">
        <f>SUMIFS(Таблица1[сумма],Таблица1[коэф],"1,2",Таблица1[р/р],"5/16",Таблица1[Ф. И. О.],B583)</f>
        <v>0</v>
      </c>
      <c r="T583" s="102">
        <f>ROUND(Q583*R583*S583,2)</f>
        <v>0</v>
      </c>
      <c r="U583" s="81">
        <f>база!$M$6</f>
        <v>279.0496</v>
      </c>
      <c r="V583" s="270">
        <v>1.2</v>
      </c>
      <c r="W583" s="96">
        <f>SUMIFS(Таблица1[сумма],Таблица1[коэф],"1,2",Таблица1[р/р],"5/24",Таблица1[Ф. И. О.],B583)</f>
        <v>0</v>
      </c>
      <c r="X583" s="102">
        <f>ROUND(U583*V583*W583,2)</f>
        <v>0</v>
      </c>
      <c r="Y583" s="808"/>
      <c r="Z583" s="810"/>
      <c r="AA583" s="813"/>
      <c r="AC583" s="707" t="str">
        <f>IF(SUMIFS(Таблица1[сумма],Таблица1[Ф. И. О.],B583)=Y578,"",B578&amp;"  часы не верны")</f>
        <v/>
      </c>
    </row>
    <row r="584" spans="1:29">
      <c r="A584" s="756"/>
      <c r="B584" s="618"/>
      <c r="C584" s="815"/>
      <c r="D584" s="817"/>
      <c r="E584" s="74"/>
      <c r="F584" s="270"/>
      <c r="G584" s="88"/>
      <c r="H584" s="102"/>
      <c r="I584" s="24"/>
      <c r="J584" s="277"/>
      <c r="K584" s="22"/>
      <c r="L584" s="309"/>
      <c r="M584" s="24"/>
      <c r="N584" s="22"/>
      <c r="O584" s="22"/>
      <c r="P584" s="281"/>
      <c r="Q584" s="619">
        <f>IF($D$6&lt;=3,база!$L$4,
IF($D$6=4,база!$L$5,
IF($D$6=5,база!$L$6)))</f>
        <v>231.45480000000001</v>
      </c>
      <c r="R584" s="270">
        <v>1.3</v>
      </c>
      <c r="S584" s="96">
        <f>SUMIFS(Таблица1[сумма],Таблица1[коэф],"1,3",Таблица1[р/р],"3/16",Таблица1[Ф. И. О.],B583)</f>
        <v>0</v>
      </c>
      <c r="T584" s="102">
        <f t="shared" ref="T584:T585" si="361">ROUND(Q584*R584*S584,2)</f>
        <v>0</v>
      </c>
      <c r="U584" s="81">
        <f>IF(D578&lt;=3,база!$M$4,
IF(D578=4,база!$M$5,
IF(D578=5,база!$M$6)))</f>
        <v>225.09719999999999</v>
      </c>
      <c r="V584" s="270">
        <v>1.3</v>
      </c>
      <c r="W584" s="96">
        <f>SUMIFS(Таблица1[сумма],Таблица1[коэф],"1,3",Таблица1[р/р],"3/24",Таблица1[Ф. И. О.],B583)</f>
        <v>0</v>
      </c>
      <c r="X584" s="102">
        <f t="shared" ref="X584:X585" si="362">ROUND(U584*V584*W584,2)</f>
        <v>0</v>
      </c>
      <c r="Y584" s="808"/>
      <c r="Z584" s="810"/>
      <c r="AA584" s="813"/>
    </row>
    <row r="585" spans="1:29">
      <c r="A585" s="756"/>
      <c r="B585" s="618"/>
      <c r="C585" s="815"/>
      <c r="D585" s="817"/>
      <c r="E585" s="74"/>
      <c r="F585" s="270"/>
      <c r="G585" s="88"/>
      <c r="H585" s="102"/>
      <c r="I585" s="24"/>
      <c r="J585" s="277"/>
      <c r="K585" s="22"/>
      <c r="L585" s="309"/>
      <c r="M585" s="24"/>
      <c r="N585" s="22"/>
      <c r="O585" s="22"/>
      <c r="P585" s="281"/>
      <c r="Q585" s="619">
        <f>база!$L$5</f>
        <v>231.45480000000001</v>
      </c>
      <c r="R585" s="270">
        <v>1.3</v>
      </c>
      <c r="S585" s="96">
        <f>SUMIFS(Таблица1[сумма],Таблица1[коэф],"1,3",Таблица1[р/р],"4/16",Таблица1[Ф. И. О.],B583)</f>
        <v>0</v>
      </c>
      <c r="T585" s="102">
        <f t="shared" si="361"/>
        <v>0</v>
      </c>
      <c r="U585" s="81">
        <f>база!$M$5</f>
        <v>247.41720000000001</v>
      </c>
      <c r="V585" s="270">
        <v>1.3</v>
      </c>
      <c r="W585" s="96">
        <f>SUMIFS(Таблица1[сумма],Таблица1[коэф],"1,3",Таблица1[р/р],"4/24",Таблица1[Ф. И. О.],B583)</f>
        <v>0</v>
      </c>
      <c r="X585" s="102">
        <f t="shared" si="362"/>
        <v>0</v>
      </c>
      <c r="Y585" s="808"/>
      <c r="Z585" s="810"/>
      <c r="AA585" s="813"/>
    </row>
    <row r="586" spans="1:29">
      <c r="A586" s="756"/>
      <c r="B586" s="618"/>
      <c r="C586" s="815"/>
      <c r="D586" s="817"/>
      <c r="E586" s="74"/>
      <c r="F586" s="270"/>
      <c r="G586" s="88"/>
      <c r="H586" s="102"/>
      <c r="I586" s="24"/>
      <c r="J586" s="277"/>
      <c r="K586" s="22"/>
      <c r="L586" s="309"/>
      <c r="M586" s="24"/>
      <c r="N586" s="22"/>
      <c r="O586" s="22"/>
      <c r="P586" s="281"/>
      <c r="Q586" s="619">
        <f>IF(D578&lt;=3,база!$L$4,
IF(D578=4,база!$L$5,
IF(D578=5,база!$L$6)))</f>
        <v>210.57480000000001</v>
      </c>
      <c r="R586" s="270">
        <v>1.4</v>
      </c>
      <c r="S586" s="96">
        <f>SUMIFS(Таблица1[сумма],Таблица1[коэф],"1,4",Таблица1[р/р],"3/16",Таблица1[Ф. И. О.],B583)</f>
        <v>0</v>
      </c>
      <c r="T586" s="102">
        <f>ROUND(Q586*R586*S586,2)</f>
        <v>0</v>
      </c>
      <c r="U586" s="81">
        <f>IF(D578&lt;=3,база!$M$4,
IF(D578=4,база!$M$5,
IF(D578=5,база!$M$6)))</f>
        <v>225.09719999999999</v>
      </c>
      <c r="V586" s="270">
        <v>1.4</v>
      </c>
      <c r="W586" s="96">
        <f>SUMIFS(Таблица1[сумма],Таблица1[коэф],"1,4",Таблица1[р/р],"3/24",Таблица1[Ф. И. О.],B583)</f>
        <v>0</v>
      </c>
      <c r="X586" s="102">
        <f>ROUND(U586*V586*W586,2)</f>
        <v>0</v>
      </c>
      <c r="Y586" s="808"/>
      <c r="Z586" s="810"/>
      <c r="AA586" s="813"/>
    </row>
    <row r="587" spans="1:29">
      <c r="A587" s="756"/>
      <c r="B587" s="618"/>
      <c r="C587" s="815"/>
      <c r="D587" s="817"/>
      <c r="E587" s="84"/>
      <c r="F587" s="272"/>
      <c r="G587" s="628"/>
      <c r="H587" s="89"/>
      <c r="I587" s="67"/>
      <c r="J587" s="629"/>
      <c r="K587" s="59"/>
      <c r="L587" s="325"/>
      <c r="M587" s="67"/>
      <c r="N587" s="59"/>
      <c r="O587" s="59"/>
      <c r="P587" s="282"/>
      <c r="Q587" s="630">
        <f>база!$L$5</f>
        <v>231.45480000000001</v>
      </c>
      <c r="R587" s="272">
        <v>1.4</v>
      </c>
      <c r="S587" s="100">
        <f>SUMIFS(Таблица1[сумма],Таблица1[коэф],"1,4",Таблица1[р/р],"4/16",Таблица1[Ф. И. О.],B583)</f>
        <v>0</v>
      </c>
      <c r="T587" s="89">
        <f>ROUND(Q587*R587*S587,2)</f>
        <v>0</v>
      </c>
      <c r="U587" s="105">
        <f>база!$M$5</f>
        <v>247.41720000000001</v>
      </c>
      <c r="V587" s="272">
        <v>1.4</v>
      </c>
      <c r="W587" s="100">
        <f>SUMIFS(Таблица1[сумма],Таблица1[коэф],"1,4",Таблица1[р/р],"4/24",Таблица1[Ф. И. О.],B583)</f>
        <v>0</v>
      </c>
      <c r="X587" s="89">
        <f>ROUND(U587*V587*W587,2)</f>
        <v>0</v>
      </c>
      <c r="Y587" s="808"/>
      <c r="Z587" s="810"/>
      <c r="AA587" s="813"/>
    </row>
    <row r="588" spans="1:29" ht="24" thickBot="1">
      <c r="A588" s="757"/>
      <c r="B588" s="352"/>
      <c r="C588" s="816"/>
      <c r="D588" s="818"/>
      <c r="E588" s="76"/>
      <c r="F588" s="275"/>
      <c r="G588" s="620"/>
      <c r="H588" s="93"/>
      <c r="I588" s="621"/>
      <c r="J588" s="594"/>
      <c r="K588" s="622"/>
      <c r="L588" s="328"/>
      <c r="M588" s="621"/>
      <c r="N588" s="622"/>
      <c r="O588" s="622"/>
      <c r="P588" s="289"/>
      <c r="Q588" s="623">
        <f>база!$L$6</f>
        <v>261.04640000000001</v>
      </c>
      <c r="R588" s="275">
        <v>1.4</v>
      </c>
      <c r="S588" s="99">
        <f>SUMIFS(Таблица1[сумма],Таблица1[коэф],"1,4",Таблица1[р/р],"5/16",Таблица1[Ф. И. О.],B583)</f>
        <v>0</v>
      </c>
      <c r="T588" s="93">
        <f>ROUND(Q588*R588*S588,2)</f>
        <v>0</v>
      </c>
      <c r="U588" s="83">
        <f>база!$M$6</f>
        <v>279.0496</v>
      </c>
      <c r="V588" s="275">
        <v>1.4</v>
      </c>
      <c r="W588" s="99">
        <f>SUMIFS(Таблица1[сумма],Таблица1[коэф],"1,4",Таблица1[р/р],"5/24",Таблица1[Ф. И. О.],B583)</f>
        <v>0</v>
      </c>
      <c r="X588" s="93">
        <f>ROUND(U588*V588*W588,2)</f>
        <v>0</v>
      </c>
      <c r="Y588" s="809"/>
      <c r="Z588" s="811"/>
      <c r="AA588" s="814"/>
    </row>
    <row r="589" spans="1:29" ht="20.25" customHeight="1">
      <c r="A589" s="755">
        <v>54</v>
      </c>
      <c r="B589" s="618"/>
      <c r="C589" s="821">
        <f>INDEX(база!$E$2:$E$181, MATCH(B594,база!$B$2:$B$160,0))</f>
        <v>17164</v>
      </c>
      <c r="D589" s="822">
        <f>INDEX(база!$D$2:$D$189, MATCH(B594,база!$B$2:$B$160,0))</f>
        <v>3</v>
      </c>
      <c r="E589" s="74">
        <f>IF(D589&lt;=3,база!$I$4,
IF(D589=4,база!$I$5,
IF(D589=5,база!$I$6)))</f>
        <v>188.7912</v>
      </c>
      <c r="F589" s="270">
        <v>1</v>
      </c>
      <c r="G589" s="88">
        <f>SUMIFS(Таблица1[сумма],Таблица1[коэф],"1",Таблица1[р/р],"2/4",Таблица1[Ф. И. О.],B594)</f>
        <v>0</v>
      </c>
      <c r="H589" s="102">
        <f>ROUND(E589*F589*G589,2)</f>
        <v>0</v>
      </c>
      <c r="I589" s="24">
        <f>IF(D589&lt;=3,база!$J$4,
IF(D589=4,база!$J$5,
IF(D589=5,база!$J$6)))</f>
        <v>196.05240000000001</v>
      </c>
      <c r="J589" s="277">
        <v>1</v>
      </c>
      <c r="K589" s="22">
        <f>SUMIFS(Таблица1[сумма],Таблица1[коэф],"1",Таблица1[р/р],"2/8",Таблица1[Ф. И. О.],B594)</f>
        <v>0</v>
      </c>
      <c r="L589" s="309">
        <f>ROUND(I589*J589*K589,2)</f>
        <v>0</v>
      </c>
      <c r="M589" s="24"/>
      <c r="N589" s="22">
        <v>1</v>
      </c>
      <c r="O589" s="22">
        <f>SUMIFS(Data_Tech!$AM$3:$AM$67,Data_Tech!$E$3:$E$67,"1",Data_Tech!$G$3:$G$67,"3/12",Data_Tech!$F$3:$F$67,B594)</f>
        <v>0</v>
      </c>
      <c r="P589" s="281">
        <f>ROUND(M589*N589*O589,2)</f>
        <v>0</v>
      </c>
      <c r="Q589" s="619">
        <f>IF(D589&lt;=3,база!$L$4,
IF(D589=4,база!$L$5,
IF(D589=5,база!$L$6)))</f>
        <v>210.57480000000001</v>
      </c>
      <c r="R589" s="270">
        <v>1</v>
      </c>
      <c r="S589" s="96">
        <f>SUMIFS(Таблица1[сумма],Таблица1[коэф],"1",Таблица1[р/р],"3/16",Таблица1[Ф. И. О.],B594)</f>
        <v>0</v>
      </c>
      <c r="T589" s="102">
        <f t="shared" ref="T589:T593" si="363">ROUND(Q589*R589*S589,2)</f>
        <v>0</v>
      </c>
      <c r="U589" s="81">
        <f>IF(D589&lt;=3,база!$M$4,
IF(D589=4,база!$M$5,
IF(D589=5,база!$M$6)))</f>
        <v>225.09719999999999</v>
      </c>
      <c r="V589" s="270">
        <v>1</v>
      </c>
      <c r="W589" s="96">
        <f>SUMIFS(Таблица1[сумма],Таблица1[коэф],"1",Таблица1[р/р],"3/24",Таблица1[Ф. И. О.],B594)</f>
        <v>0</v>
      </c>
      <c r="X589" s="102">
        <f>ROUND(U589*V589*W589,2)</f>
        <v>0</v>
      </c>
      <c r="Y589" s="807">
        <f t="shared" ref="Y589" si="364">SUM(G589:G599,K589:K599,O589:O599,S589:S599,W589:W599)</f>
        <v>0</v>
      </c>
      <c r="Z589" s="823">
        <f t="shared" ref="Z589" si="365">IFERROR(SUM(H589:H599,L589:L599,T589:T599,X589:X599),"")</f>
        <v>0</v>
      </c>
      <c r="AA589" s="812"/>
    </row>
    <row r="590" spans="1:29">
      <c r="A590" s="756"/>
      <c r="B590" s="618"/>
      <c r="C590" s="815"/>
      <c r="D590" s="817"/>
      <c r="E590" s="74">
        <f>IF(D589&lt;=3,база!$I$4,
IF(D589=4,база!$I$5,
IF(D589=5,база!$I$6)))</f>
        <v>188.7912</v>
      </c>
      <c r="F590" s="270">
        <v>1</v>
      </c>
      <c r="G590" s="88">
        <f>SUMIFS(Таблица1[сумма],Таблица1[коэф],"1",Таблица1[р/р],"3/4",Таблица1[Ф. И. О.],B594)</f>
        <v>0</v>
      </c>
      <c r="H590" s="102">
        <f>ROUND(E590*F590*G590,2)</f>
        <v>0</v>
      </c>
      <c r="I590" s="24">
        <f>IF(D589&lt;=3,база!$J$4,
IF(D589=4,база!$J$5,
IF(D589=5,база!$J$6)))</f>
        <v>196.05240000000001</v>
      </c>
      <c r="J590" s="277">
        <v>1</v>
      </c>
      <c r="K590" s="22"/>
      <c r="L590" s="309">
        <f>ROUND(I590*J590*K590,2)</f>
        <v>0</v>
      </c>
      <c r="M590" s="24"/>
      <c r="N590" s="22">
        <v>1</v>
      </c>
      <c r="O590" s="22">
        <f>SUMIFS(Data_Tech!$AM$3:$AM$67,Data_Tech!$E$3:$E$67,"1",Data_Tech!$G$3:$G$67,"4/12",Data_Tech!$F$3:$F$67,B594)</f>
        <v>0</v>
      </c>
      <c r="P590" s="281">
        <f>ROUND(M590*O590,2)</f>
        <v>0</v>
      </c>
      <c r="Q590" s="619">
        <f>база!$L$5</f>
        <v>231.45480000000001</v>
      </c>
      <c r="R590" s="270">
        <v>1</v>
      </c>
      <c r="S590" s="96">
        <f>SUMIFS(Таблица1[сумма],Таблица1[коэф],"1",Таблица1[р/р],"4/16",Таблица1[Ф. И. О.],B594)</f>
        <v>0</v>
      </c>
      <c r="T590" s="102">
        <f t="shared" si="363"/>
        <v>0</v>
      </c>
      <c r="U590" s="81">
        <f>база!$M$5</f>
        <v>247.41720000000001</v>
      </c>
      <c r="V590" s="270">
        <v>1</v>
      </c>
      <c r="W590" s="96">
        <f>SUMIFS(Таблица1[сумма],Таблица1[коэф],"1",Таблица1[р/р],"4/24",Таблица1[Ф. И. О.],B594)</f>
        <v>0</v>
      </c>
      <c r="X590" s="102">
        <f t="shared" ref="X590" si="366">ROUND(U590*V590*W590,2)</f>
        <v>0</v>
      </c>
      <c r="Y590" s="808"/>
      <c r="Z590" s="810"/>
      <c r="AA590" s="813"/>
    </row>
    <row r="591" spans="1:29">
      <c r="A591" s="756"/>
      <c r="B591" s="618"/>
      <c r="C591" s="815"/>
      <c r="D591" s="817"/>
      <c r="E591" s="74"/>
      <c r="F591" s="270"/>
      <c r="G591" s="88"/>
      <c r="H591" s="102"/>
      <c r="I591" s="24"/>
      <c r="J591" s="277"/>
      <c r="K591" s="22"/>
      <c r="L591" s="309"/>
      <c r="M591" s="24"/>
      <c r="N591" s="22"/>
      <c r="O591" s="22"/>
      <c r="P591" s="281"/>
      <c r="Q591" s="619">
        <f>база!$L$6</f>
        <v>261.04640000000001</v>
      </c>
      <c r="R591" s="270">
        <v>1</v>
      </c>
      <c r="S591" s="96">
        <f>SUMIFS(Таблица1[сумма],Таблица1[коэф],"1",Таблица1[р/р],"5/16",Таблица1[Ф. И. О.],B594)</f>
        <v>0</v>
      </c>
      <c r="T591" s="102">
        <f t="shared" si="363"/>
        <v>0</v>
      </c>
      <c r="U591" s="81">
        <f>база!$M$6</f>
        <v>279.0496</v>
      </c>
      <c r="V591" s="270">
        <v>1</v>
      </c>
      <c r="W591" s="96">
        <f>SUMIFS(Таблица1[сумма],Таблица1[коэф],"1",Таблица1[р/р],"5/24",Таблица1[Ф. И. О.],B594)</f>
        <v>0</v>
      </c>
      <c r="X591" s="102">
        <f>ROUND(U591*V591*W591,2)</f>
        <v>0</v>
      </c>
      <c r="Y591" s="808"/>
      <c r="Z591" s="810"/>
      <c r="AA591" s="813"/>
    </row>
    <row r="592" spans="1:29">
      <c r="A592" s="756"/>
      <c r="B592" s="618"/>
      <c r="C592" s="815"/>
      <c r="D592" s="817"/>
      <c r="E592" s="74"/>
      <c r="F592" s="270"/>
      <c r="G592" s="88"/>
      <c r="H592" s="102"/>
      <c r="I592" s="24">
        <f>база!$J$5</f>
        <v>215.4924</v>
      </c>
      <c r="J592" s="277">
        <v>1.5</v>
      </c>
      <c r="K592" s="22">
        <f>SUMIFS(Таблица1[сумма],Таблица1[коэф],"1,5",Таблица1[р/р],"4/8",Таблица1[Ф. И. О.],B594)</f>
        <v>0</v>
      </c>
      <c r="L592" s="309">
        <f>ROUND(I592*J592*K592,2)</f>
        <v>0</v>
      </c>
      <c r="M592" s="24"/>
      <c r="N592" s="22"/>
      <c r="O592" s="22"/>
      <c r="P592" s="281"/>
      <c r="Q592" s="619">
        <f>IF(D589&lt;=3,база!$L$4,
IF(D589=4,база!$L$5,
IF(D589=5,база!$L$6)))</f>
        <v>210.57480000000001</v>
      </c>
      <c r="R592" s="270">
        <v>1.2</v>
      </c>
      <c r="S592" s="96">
        <f>SUMIFS(Таблица1[сумма],Таблица1[коэф],"1,2",Таблица1[р/р],"3/16",Таблица1[Ф. И. О.],B594)</f>
        <v>0</v>
      </c>
      <c r="T592" s="102">
        <f t="shared" si="363"/>
        <v>0</v>
      </c>
      <c r="U592" s="81">
        <f>IF(D589&lt;=3,база!$M$4,
IF(D589=4,база!$M$5,
IF(D589=5,база!$M$6)))</f>
        <v>225.09719999999999</v>
      </c>
      <c r="V592" s="270">
        <v>1.2</v>
      </c>
      <c r="W592" s="96">
        <f>SUMIFS(Таблица1[сумма],Таблица1[коэф],"1,2",Таблица1[р/р],"3/24",Таблица1[Ф. И. О.],B594)</f>
        <v>0</v>
      </c>
      <c r="X592" s="102">
        <f t="shared" ref="X592:X593" si="367">ROUND(U592*V592*W592,2)</f>
        <v>0</v>
      </c>
      <c r="Y592" s="808"/>
      <c r="Z592" s="810"/>
      <c r="AA592" s="813"/>
    </row>
    <row r="593" spans="1:29">
      <c r="A593" s="756"/>
      <c r="B593" s="618"/>
      <c r="C593" s="815"/>
      <c r="D593" s="817"/>
      <c r="E593" s="74"/>
      <c r="F593" s="270"/>
      <c r="G593" s="88"/>
      <c r="H593" s="102"/>
      <c r="I593" s="24">
        <f>база!$J$6</f>
        <v>243.04319999999998</v>
      </c>
      <c r="J593" s="277">
        <v>1.5</v>
      </c>
      <c r="K593" s="22">
        <f>SUMIFS(Таблица1[сумма],Таблица1[коэф],"1,5",Таблица1[р/р],"5/8",Таблица1[Ф. И. О.],B594)</f>
        <v>0</v>
      </c>
      <c r="L593" s="309">
        <f>ROUND(I593*J593*K593,2)</f>
        <v>0</v>
      </c>
      <c r="M593" s="24"/>
      <c r="N593" s="22"/>
      <c r="O593" s="22"/>
      <c r="P593" s="281"/>
      <c r="Q593" s="619">
        <f>база!$L$5</f>
        <v>231.45480000000001</v>
      </c>
      <c r="R593" s="270">
        <v>1.2</v>
      </c>
      <c r="S593" s="96">
        <f>SUMIFS(Таблица1[сумма],Таблица1[коэф],"1,2",Таблица1[р/р],"4/16",Таблица1[Ф. И. О.],B594)</f>
        <v>0</v>
      </c>
      <c r="T593" s="102">
        <f t="shared" si="363"/>
        <v>0</v>
      </c>
      <c r="U593" s="81">
        <f>база!$M$5</f>
        <v>247.41720000000001</v>
      </c>
      <c r="V593" s="270">
        <v>1.2</v>
      </c>
      <c r="W593" s="96">
        <f>SUMIFS(Таблица1[сумма],Таблица1[коэф],"1,2",Таблица1[р/р],"4/24",Таблица1[Ф. И. О.],B594)</f>
        <v>0</v>
      </c>
      <c r="X593" s="102">
        <f t="shared" si="367"/>
        <v>0</v>
      </c>
      <c r="Y593" s="808"/>
      <c r="Z593" s="810"/>
      <c r="AA593" s="813"/>
      <c r="AC593" s="707" t="str">
        <f>IF(SUMIFS(Таблица1[Столбец2],Таблица1[Ф. И. О.],B594)-Z589=0,"",SUMIFS(Таблица1[Столбец2],Таблица1[Ф. И. О.],B594)-Z589)</f>
        <v/>
      </c>
    </row>
    <row r="594" spans="1:29">
      <c r="A594" s="756"/>
      <c r="B594" s="618" t="str">
        <f>база!B55</f>
        <v>Никифорова Юлия Анатольевна</v>
      </c>
      <c r="C594" s="815"/>
      <c r="D594" s="817"/>
      <c r="E594" s="74"/>
      <c r="F594" s="270"/>
      <c r="G594" s="88"/>
      <c r="H594" s="102"/>
      <c r="I594" s="24"/>
      <c r="J594" s="277"/>
      <c r="K594" s="22"/>
      <c r="L594" s="309"/>
      <c r="M594" s="24"/>
      <c r="N594" s="22"/>
      <c r="O594" s="22"/>
      <c r="P594" s="281"/>
      <c r="Q594" s="619">
        <f>база!$L$6</f>
        <v>261.04640000000001</v>
      </c>
      <c r="R594" s="270">
        <v>1.2</v>
      </c>
      <c r="S594" s="96">
        <f>SUMIFS(Таблица1[сумма],Таблица1[коэф],"1,2",Таблица1[р/р],"5/16",Таблица1[Ф. И. О.],B594)</f>
        <v>0</v>
      </c>
      <c r="T594" s="102">
        <f>ROUND(Q594*R594*S594,2)</f>
        <v>0</v>
      </c>
      <c r="U594" s="81">
        <f>база!$M$6</f>
        <v>279.0496</v>
      </c>
      <c r="V594" s="270">
        <v>1.2</v>
      </c>
      <c r="W594" s="96">
        <f>SUMIFS(Таблица1[сумма],Таблица1[коэф],"1,2",Таблица1[р/р],"5/24",Таблица1[Ф. И. О.],B594)</f>
        <v>0</v>
      </c>
      <c r="X594" s="102">
        <f>ROUND(U594*V594*W594,2)</f>
        <v>0</v>
      </c>
      <c r="Y594" s="808"/>
      <c r="Z594" s="810"/>
      <c r="AA594" s="813"/>
      <c r="AC594" s="707" t="str">
        <f>IF(SUMIFS(Таблица1[сумма],Таблица1[Ф. И. О.],B594)=Y589,"",B589&amp;"  часы не верны")</f>
        <v/>
      </c>
    </row>
    <row r="595" spans="1:29">
      <c r="A595" s="756"/>
      <c r="B595" s="618"/>
      <c r="C595" s="815"/>
      <c r="D595" s="817"/>
      <c r="E595" s="74"/>
      <c r="F595" s="270"/>
      <c r="G595" s="88"/>
      <c r="H595" s="102"/>
      <c r="I595" s="24"/>
      <c r="J595" s="277"/>
      <c r="K595" s="22"/>
      <c r="L595" s="309"/>
      <c r="M595" s="24"/>
      <c r="N595" s="22"/>
      <c r="O595" s="22"/>
      <c r="P595" s="281"/>
      <c r="Q595" s="619">
        <f>IF($D$6&lt;=3,база!$L$4,
IF($D$6=4,база!$L$5,
IF($D$6=5,база!$L$6)))</f>
        <v>231.45480000000001</v>
      </c>
      <c r="R595" s="270">
        <v>1.3</v>
      </c>
      <c r="S595" s="96">
        <f>SUMIFS(Таблица1[сумма],Таблица1[коэф],"1,3",Таблица1[р/р],"3/16",Таблица1[Ф. И. О.],B594)</f>
        <v>0</v>
      </c>
      <c r="T595" s="102">
        <f t="shared" ref="T595:T596" si="368">ROUND(Q595*R595*S595,2)</f>
        <v>0</v>
      </c>
      <c r="U595" s="81">
        <f>IF(D589&lt;=3,база!$M$4,
IF(D589=4,база!$M$5,
IF(D589=5,база!$M$6)))</f>
        <v>225.09719999999999</v>
      </c>
      <c r="V595" s="270">
        <v>1.3</v>
      </c>
      <c r="W595" s="96">
        <f>SUMIFS(Таблица1[сумма],Таблица1[коэф],"1,3",Таблица1[р/р],"3/24",Таблица1[Ф. И. О.],B594)</f>
        <v>0</v>
      </c>
      <c r="X595" s="102">
        <f t="shared" ref="X595:X596" si="369">ROUND(U595*V595*W595,2)</f>
        <v>0</v>
      </c>
      <c r="Y595" s="808"/>
      <c r="Z595" s="810"/>
      <c r="AA595" s="813"/>
    </row>
    <row r="596" spans="1:29">
      <c r="A596" s="756"/>
      <c r="B596" s="618"/>
      <c r="C596" s="815"/>
      <c r="D596" s="817"/>
      <c r="E596" s="74"/>
      <c r="F596" s="270"/>
      <c r="G596" s="88"/>
      <c r="H596" s="102"/>
      <c r="I596" s="24"/>
      <c r="J596" s="277"/>
      <c r="K596" s="22"/>
      <c r="L596" s="309"/>
      <c r="M596" s="24"/>
      <c r="N596" s="22"/>
      <c r="O596" s="22"/>
      <c r="P596" s="281"/>
      <c r="Q596" s="619">
        <f>база!$L$5</f>
        <v>231.45480000000001</v>
      </c>
      <c r="R596" s="270">
        <v>1.3</v>
      </c>
      <c r="S596" s="96">
        <f>SUMIFS(Таблица1[сумма],Таблица1[коэф],"1,3",Таблица1[р/р],"4/16",Таблица1[Ф. И. О.],B594)</f>
        <v>0</v>
      </c>
      <c r="T596" s="102">
        <f t="shared" si="368"/>
        <v>0</v>
      </c>
      <c r="U596" s="81">
        <f>база!$M$5</f>
        <v>247.41720000000001</v>
      </c>
      <c r="V596" s="270">
        <v>1.3</v>
      </c>
      <c r="W596" s="96">
        <f>SUMIFS(Таблица1[сумма],Таблица1[коэф],"1,3",Таблица1[р/р],"4/24",Таблица1[Ф. И. О.],B594)</f>
        <v>0</v>
      </c>
      <c r="X596" s="102">
        <f t="shared" si="369"/>
        <v>0</v>
      </c>
      <c r="Y596" s="808"/>
      <c r="Z596" s="810"/>
      <c r="AA596" s="813"/>
    </row>
    <row r="597" spans="1:29">
      <c r="A597" s="756"/>
      <c r="B597" s="618"/>
      <c r="C597" s="815"/>
      <c r="D597" s="817"/>
      <c r="E597" s="74"/>
      <c r="F597" s="270"/>
      <c r="G597" s="88"/>
      <c r="H597" s="102"/>
      <c r="I597" s="24"/>
      <c r="J597" s="277"/>
      <c r="K597" s="22"/>
      <c r="L597" s="309"/>
      <c r="M597" s="24"/>
      <c r="N597" s="22"/>
      <c r="O597" s="22"/>
      <c r="P597" s="281"/>
      <c r="Q597" s="619">
        <f>IF(D589&lt;=3,база!$L$4,
IF(D589=4,база!$L$5,
IF(D589=5,база!$L$6)))</f>
        <v>210.57480000000001</v>
      </c>
      <c r="R597" s="270">
        <v>1.4</v>
      </c>
      <c r="S597" s="96">
        <f>SUMIFS(Таблица1[сумма],Таблица1[коэф],"1,4",Таблица1[р/р],"3/16",Таблица1[Ф. И. О.],B594)</f>
        <v>0</v>
      </c>
      <c r="T597" s="102">
        <f>ROUND(Q597*R597*S597,2)</f>
        <v>0</v>
      </c>
      <c r="U597" s="81">
        <f>IF(D589&lt;=3,база!$M$4,
IF(D589=4,база!$M$5,
IF(D589=5,база!$M$6)))</f>
        <v>225.09719999999999</v>
      </c>
      <c r="V597" s="270">
        <v>1.4</v>
      </c>
      <c r="W597" s="96">
        <f>SUMIFS(Таблица1[сумма],Таблица1[коэф],"1,4",Таблица1[р/р],"3/24",Таблица1[Ф. И. О.],B594)</f>
        <v>0</v>
      </c>
      <c r="X597" s="102">
        <f>ROUND(U597*V597*W597,2)</f>
        <v>0</v>
      </c>
      <c r="Y597" s="808"/>
      <c r="Z597" s="810"/>
      <c r="AA597" s="813"/>
    </row>
    <row r="598" spans="1:29">
      <c r="A598" s="756"/>
      <c r="B598" s="618"/>
      <c r="C598" s="815"/>
      <c r="D598" s="817"/>
      <c r="E598" s="84"/>
      <c r="F598" s="272"/>
      <c r="G598" s="628"/>
      <c r="H598" s="89"/>
      <c r="I598" s="67"/>
      <c r="J598" s="629"/>
      <c r="K598" s="59"/>
      <c r="L598" s="325"/>
      <c r="M598" s="67"/>
      <c r="N598" s="59"/>
      <c r="O598" s="59"/>
      <c r="P598" s="282"/>
      <c r="Q598" s="630">
        <f>база!$L$5</f>
        <v>231.45480000000001</v>
      </c>
      <c r="R598" s="272">
        <v>1.4</v>
      </c>
      <c r="S598" s="100">
        <f>SUMIFS(Таблица1[сумма],Таблица1[коэф],"1,4",Таблица1[р/р],"4/16",Таблица1[Ф. И. О.],B594)</f>
        <v>0</v>
      </c>
      <c r="T598" s="89">
        <f>ROUND(Q598*R598*S598,2)</f>
        <v>0</v>
      </c>
      <c r="U598" s="105">
        <f>база!$M$5</f>
        <v>247.41720000000001</v>
      </c>
      <c r="V598" s="272">
        <v>1.4</v>
      </c>
      <c r="W598" s="100">
        <f>SUMIFS(Таблица1[сумма],Таблица1[коэф],"1,4",Таблица1[р/р],"4/24",Таблица1[Ф. И. О.],B594)</f>
        <v>0</v>
      </c>
      <c r="X598" s="89">
        <f>ROUND(U598*V598*W598,2)</f>
        <v>0</v>
      </c>
      <c r="Y598" s="808"/>
      <c r="Z598" s="810"/>
      <c r="AA598" s="813"/>
    </row>
    <row r="599" spans="1:29" ht="24" thickBot="1">
      <c r="A599" s="757"/>
      <c r="B599" s="352"/>
      <c r="C599" s="816"/>
      <c r="D599" s="818"/>
      <c r="E599" s="76"/>
      <c r="F599" s="275"/>
      <c r="G599" s="620"/>
      <c r="H599" s="93"/>
      <c r="I599" s="621"/>
      <c r="J599" s="594"/>
      <c r="K599" s="622"/>
      <c r="L599" s="328"/>
      <c r="M599" s="621"/>
      <c r="N599" s="622"/>
      <c r="O599" s="622"/>
      <c r="P599" s="289"/>
      <c r="Q599" s="623">
        <f>база!$L$6</f>
        <v>261.04640000000001</v>
      </c>
      <c r="R599" s="275">
        <v>1.4</v>
      </c>
      <c r="S599" s="99">
        <f>SUMIFS(Таблица1[сумма],Таблица1[коэф],"1,4",Таблица1[р/р],"5/16",Таблица1[Ф. И. О.],B594)</f>
        <v>0</v>
      </c>
      <c r="T599" s="93">
        <f>ROUND(Q599*R599*S599,2)</f>
        <v>0</v>
      </c>
      <c r="U599" s="83">
        <f>база!$M$6</f>
        <v>279.0496</v>
      </c>
      <c r="V599" s="275">
        <v>1.4</v>
      </c>
      <c r="W599" s="99">
        <f>SUMIFS(Таблица1[сумма],Таблица1[коэф],"1,4",Таблица1[р/р],"5/24",Таблица1[Ф. И. О.],B594)</f>
        <v>0</v>
      </c>
      <c r="X599" s="93">
        <f>ROUND(U599*V599*W599,2)</f>
        <v>0</v>
      </c>
      <c r="Y599" s="809"/>
      <c r="Z599" s="811"/>
      <c r="AA599" s="814"/>
    </row>
    <row r="600" spans="1:29" ht="20.25" customHeight="1">
      <c r="A600" s="755">
        <v>55</v>
      </c>
      <c r="B600" s="618"/>
      <c r="C600" s="821">
        <f>INDEX(база!$E$2:$E$181, MATCH(B605,база!$B$2:$B$160,0))</f>
        <v>17307</v>
      </c>
      <c r="D600" s="822">
        <f>INDEX(база!$D$2:$D$189, MATCH(B605,база!$B$2:$B$160,0))</f>
        <v>3</v>
      </c>
      <c r="E600" s="74">
        <f>IF(D600&lt;=3,база!$I$4,
IF(D600=4,база!$I$5,
IF(D600=5,база!$I$6)))</f>
        <v>188.7912</v>
      </c>
      <c r="F600" s="270">
        <v>1</v>
      </c>
      <c r="G600" s="88">
        <f>SUMIFS(Таблица1[сумма],Таблица1[коэф],"1",Таблица1[р/р],"2/4",Таблица1[Ф. И. О.],B605)</f>
        <v>0</v>
      </c>
      <c r="H600" s="102">
        <f>ROUND(E600*F600*G600,2)</f>
        <v>0</v>
      </c>
      <c r="I600" s="24">
        <f>IF(D600&lt;=3,база!$J$4,
IF(D600=4,база!$J$5,
IF(D600=5,база!$J$6)))</f>
        <v>196.05240000000001</v>
      </c>
      <c r="J600" s="277">
        <v>1</v>
      </c>
      <c r="K600" s="22">
        <f>SUMIFS(Таблица1[сумма],Таблица1[коэф],"1",Таблица1[р/р],"2/8",Таблица1[Ф. И. О.],B605)</f>
        <v>0</v>
      </c>
      <c r="L600" s="309">
        <f>ROUND(I600*J600*K600,2)</f>
        <v>0</v>
      </c>
      <c r="M600" s="24"/>
      <c r="N600" s="22">
        <v>1</v>
      </c>
      <c r="O600" s="22">
        <f>SUMIFS(Data_Tech!$AM$3:$AM$67,Data_Tech!$E$3:$E$67,"1",Data_Tech!$G$3:$G$67,"3/12",Data_Tech!$F$3:$F$67,B605)</f>
        <v>0</v>
      </c>
      <c r="P600" s="281">
        <f>ROUND(M600*N600*O600,2)</f>
        <v>0</v>
      </c>
      <c r="Q600" s="619">
        <f>IF(D600&lt;=3,база!$L$4,
IF(D600=4,база!$L$5,
IF(D600=5,база!$L$6)))</f>
        <v>210.57480000000001</v>
      </c>
      <c r="R600" s="270">
        <v>1</v>
      </c>
      <c r="S600" s="96">
        <f>SUMIFS(Таблица1[сумма],Таблица1[коэф],"1",Таблица1[р/р],"3/16",Таблица1[Ф. И. О.],B605)</f>
        <v>0</v>
      </c>
      <c r="T600" s="102">
        <f t="shared" ref="T600:T604" si="370">ROUND(Q600*R600*S600,2)</f>
        <v>0</v>
      </c>
      <c r="U600" s="81">
        <f>IF(D600&lt;=3,база!$M$4,
IF(D600=4,база!$M$5,
IF(D600=5,база!$M$6)))</f>
        <v>225.09719999999999</v>
      </c>
      <c r="V600" s="270">
        <v>1</v>
      </c>
      <c r="W600" s="96">
        <f>SUMIFS(Таблица1[сумма],Таблица1[коэф],"1",Таблица1[р/р],"3/24",Таблица1[Ф. И. О.],B605)</f>
        <v>0</v>
      </c>
      <c r="X600" s="102">
        <f>ROUND(U600*V600*W600,2)</f>
        <v>0</v>
      </c>
      <c r="Y600" s="807">
        <f t="shared" ref="Y600" si="371">SUM(G600:G610,K600:K610,O600:O610,S600:S610,W600:W610)</f>
        <v>0</v>
      </c>
      <c r="Z600" s="823">
        <f t="shared" ref="Z600" si="372">IFERROR(SUM(H600:H610,L600:L610,T600:T610,X600:X610),"")</f>
        <v>0</v>
      </c>
      <c r="AA600" s="812"/>
    </row>
    <row r="601" spans="1:29">
      <c r="A601" s="756"/>
      <c r="B601" s="618"/>
      <c r="C601" s="815"/>
      <c r="D601" s="817"/>
      <c r="E601" s="74">
        <f>IF(D600&lt;=3,база!$I$4,
IF(D600=4,база!$I$5,
IF(D600=5,база!$I$6)))</f>
        <v>188.7912</v>
      </c>
      <c r="F601" s="270">
        <v>1</v>
      </c>
      <c r="G601" s="88">
        <f>SUMIFS(Таблица1[сумма],Таблица1[коэф],"1",Таблица1[р/р],"3/4",Таблица1[Ф. И. О.],B605)</f>
        <v>0</v>
      </c>
      <c r="H601" s="102">
        <f>ROUND(E601*F601*G601,2)</f>
        <v>0</v>
      </c>
      <c r="I601" s="24">
        <f>IF(D600&lt;=3,база!$J$4,
IF(D600=4,база!$J$5,
IF(D600=5,база!$J$6)))</f>
        <v>196.05240000000001</v>
      </c>
      <c r="J601" s="277">
        <v>1</v>
      </c>
      <c r="K601" s="22"/>
      <c r="L601" s="309">
        <f>ROUND(I601*J601*K601,2)</f>
        <v>0</v>
      </c>
      <c r="M601" s="24"/>
      <c r="N601" s="22">
        <v>1</v>
      </c>
      <c r="O601" s="22">
        <f>SUMIFS(Data_Tech!$AM$3:$AM$67,Data_Tech!$E$3:$E$67,"1",Data_Tech!$G$3:$G$67,"4/12",Data_Tech!$F$3:$F$67,B605)</f>
        <v>0</v>
      </c>
      <c r="P601" s="281">
        <f>ROUND(M601*O601,2)</f>
        <v>0</v>
      </c>
      <c r="Q601" s="619">
        <f>база!$L$5</f>
        <v>231.45480000000001</v>
      </c>
      <c r="R601" s="270">
        <v>1</v>
      </c>
      <c r="S601" s="96">
        <f>SUMIFS(Таблица1[сумма],Таблица1[коэф],"1",Таблица1[р/р],"4/16",Таблица1[Ф. И. О.],B605)</f>
        <v>0</v>
      </c>
      <c r="T601" s="102">
        <f t="shared" si="370"/>
        <v>0</v>
      </c>
      <c r="U601" s="81">
        <f>база!$M$5</f>
        <v>247.41720000000001</v>
      </c>
      <c r="V601" s="270">
        <v>1</v>
      </c>
      <c r="W601" s="96">
        <f>SUMIFS(Таблица1[сумма],Таблица1[коэф],"1",Таблица1[р/р],"4/24",Таблица1[Ф. И. О.],B605)</f>
        <v>0</v>
      </c>
      <c r="X601" s="102">
        <f t="shared" ref="X601" si="373">ROUND(U601*V601*W601,2)</f>
        <v>0</v>
      </c>
      <c r="Y601" s="808"/>
      <c r="Z601" s="810"/>
      <c r="AA601" s="813"/>
    </row>
    <row r="602" spans="1:29">
      <c r="A602" s="756"/>
      <c r="B602" s="618"/>
      <c r="C602" s="815"/>
      <c r="D602" s="817"/>
      <c r="E602" s="74"/>
      <c r="F602" s="270"/>
      <c r="G602" s="88"/>
      <c r="H602" s="102"/>
      <c r="I602" s="24"/>
      <c r="J602" s="277"/>
      <c r="K602" s="22"/>
      <c r="L602" s="309"/>
      <c r="M602" s="24"/>
      <c r="N602" s="22"/>
      <c r="O602" s="22"/>
      <c r="P602" s="281"/>
      <c r="Q602" s="619">
        <f>база!$L$6</f>
        <v>261.04640000000001</v>
      </c>
      <c r="R602" s="270">
        <v>1</v>
      </c>
      <c r="S602" s="96">
        <f>SUMIFS(Таблица1[сумма],Таблица1[коэф],"1",Таблица1[р/р],"5/16",Таблица1[Ф. И. О.],B605)</f>
        <v>0</v>
      </c>
      <c r="T602" s="102">
        <f t="shared" si="370"/>
        <v>0</v>
      </c>
      <c r="U602" s="81">
        <f>база!$M$6</f>
        <v>279.0496</v>
      </c>
      <c r="V602" s="270">
        <v>1</v>
      </c>
      <c r="W602" s="96">
        <f>SUMIFS(Таблица1[сумма],Таблица1[коэф],"1",Таблица1[р/р],"5/24",Таблица1[Ф. И. О.],B605)</f>
        <v>0</v>
      </c>
      <c r="X602" s="102">
        <f>ROUND(U602*V602*W602,2)</f>
        <v>0</v>
      </c>
      <c r="Y602" s="808"/>
      <c r="Z602" s="810"/>
      <c r="AA602" s="813"/>
    </row>
    <row r="603" spans="1:29">
      <c r="A603" s="756"/>
      <c r="B603" s="618"/>
      <c r="C603" s="815"/>
      <c r="D603" s="817"/>
      <c r="E603" s="74"/>
      <c r="F603" s="270"/>
      <c r="G603" s="88"/>
      <c r="H603" s="102"/>
      <c r="I603" s="24">
        <f>база!$J$5</f>
        <v>215.4924</v>
      </c>
      <c r="J603" s="277">
        <v>1.5</v>
      </c>
      <c r="K603" s="22">
        <f>SUMIFS(Таблица1[сумма],Таблица1[коэф],"1,5",Таблица1[р/р],"4/8",Таблица1[Ф. И. О.],B605)</f>
        <v>0</v>
      </c>
      <c r="L603" s="309">
        <f>ROUND(I603*J603*K603,2)</f>
        <v>0</v>
      </c>
      <c r="M603" s="24"/>
      <c r="N603" s="22"/>
      <c r="O603" s="22"/>
      <c r="P603" s="281"/>
      <c r="Q603" s="619">
        <f>IF(D600&lt;=3,база!$L$4,
IF(D600=4,база!$L$5,
IF(D600=5,база!$L$6)))</f>
        <v>210.57480000000001</v>
      </c>
      <c r="R603" s="270">
        <v>1.2</v>
      </c>
      <c r="S603" s="96">
        <f>SUMIFS(Таблица1[сумма],Таблица1[коэф],"1,2",Таблица1[р/р],"3/16",Таблица1[Ф. И. О.],B605)</f>
        <v>0</v>
      </c>
      <c r="T603" s="102">
        <f t="shared" si="370"/>
        <v>0</v>
      </c>
      <c r="U603" s="81">
        <f>IF(D600&lt;=3,база!$M$4,
IF(D600=4,база!$M$5,
IF(D600=5,база!$M$6)))</f>
        <v>225.09719999999999</v>
      </c>
      <c r="V603" s="270">
        <v>1.2</v>
      </c>
      <c r="W603" s="96">
        <f>SUMIFS(Таблица1[сумма],Таблица1[коэф],"1,2",Таблица1[р/р],"3/24",Таблица1[Ф. И. О.],B605)</f>
        <v>0</v>
      </c>
      <c r="X603" s="102">
        <f t="shared" ref="X603:X604" si="374">ROUND(U603*V603*W603,2)</f>
        <v>0</v>
      </c>
      <c r="Y603" s="808"/>
      <c r="Z603" s="810"/>
      <c r="AA603" s="813"/>
    </row>
    <row r="604" spans="1:29">
      <c r="A604" s="756"/>
      <c r="B604" s="618"/>
      <c r="C604" s="815"/>
      <c r="D604" s="817"/>
      <c r="E604" s="74"/>
      <c r="F604" s="270"/>
      <c r="G604" s="88"/>
      <c r="H604" s="102"/>
      <c r="I604" s="24">
        <f>база!$J$6</f>
        <v>243.04319999999998</v>
      </c>
      <c r="J604" s="277">
        <v>1.5</v>
      </c>
      <c r="K604" s="22">
        <f>SUMIFS(Таблица1[сумма],Таблица1[коэф],"1,5",Таблица1[р/р],"5/8",Таблица1[Ф. И. О.],B605)</f>
        <v>0</v>
      </c>
      <c r="L604" s="309">
        <f>ROUND(I604*J604*K604,2)</f>
        <v>0</v>
      </c>
      <c r="M604" s="24"/>
      <c r="N604" s="22"/>
      <c r="O604" s="22"/>
      <c r="P604" s="281"/>
      <c r="Q604" s="619">
        <f>база!$L$5</f>
        <v>231.45480000000001</v>
      </c>
      <c r="R604" s="270">
        <v>1.2</v>
      </c>
      <c r="S604" s="96">
        <f>SUMIFS(Таблица1[сумма],Таблица1[коэф],"1,2",Таблица1[р/р],"4/16",Таблица1[Ф. И. О.],B605)</f>
        <v>0</v>
      </c>
      <c r="T604" s="102">
        <f t="shared" si="370"/>
        <v>0</v>
      </c>
      <c r="U604" s="81">
        <f>база!$M$5</f>
        <v>247.41720000000001</v>
      </c>
      <c r="V604" s="270">
        <v>1.2</v>
      </c>
      <c r="W604" s="96">
        <f>SUMIFS(Таблица1[сумма],Таблица1[коэф],"1,2",Таблица1[р/р],"4/24",Таблица1[Ф. И. О.],B605)</f>
        <v>0</v>
      </c>
      <c r="X604" s="102">
        <f t="shared" si="374"/>
        <v>0</v>
      </c>
      <c r="Y604" s="808"/>
      <c r="Z604" s="810"/>
      <c r="AA604" s="813"/>
      <c r="AC604" s="707" t="str">
        <f>IF(SUMIFS(Таблица1[Столбец2],Таблица1[Ф. И. О.],B605)-Z600=0,"",SUMIFS(Таблица1[Столбец2],Таблица1[Ф. И. О.],B605)-Z600)</f>
        <v/>
      </c>
    </row>
    <row r="605" spans="1:29">
      <c r="A605" s="756"/>
      <c r="B605" s="618" t="str">
        <f>база!B56</f>
        <v>Новикова Александра Владимировна</v>
      </c>
      <c r="C605" s="815"/>
      <c r="D605" s="817"/>
      <c r="E605" s="74"/>
      <c r="F605" s="270"/>
      <c r="G605" s="88"/>
      <c r="H605" s="102"/>
      <c r="I605" s="24"/>
      <c r="J605" s="277"/>
      <c r="K605" s="22"/>
      <c r="L605" s="309"/>
      <c r="M605" s="24"/>
      <c r="N605" s="22"/>
      <c r="O605" s="22"/>
      <c r="P605" s="281"/>
      <c r="Q605" s="619">
        <f>база!$L$6</f>
        <v>261.04640000000001</v>
      </c>
      <c r="R605" s="270">
        <v>1.2</v>
      </c>
      <c r="S605" s="96">
        <f>SUMIFS(Таблица1[сумма],Таблица1[коэф],"1,2",Таблица1[р/р],"5/16",Таблица1[Ф. И. О.],B605)</f>
        <v>0</v>
      </c>
      <c r="T605" s="102">
        <f>ROUND(Q605*R605*S605,2)</f>
        <v>0</v>
      </c>
      <c r="U605" s="81">
        <f>база!$M$6</f>
        <v>279.0496</v>
      </c>
      <c r="V605" s="270">
        <v>1.2</v>
      </c>
      <c r="W605" s="96">
        <f>SUMIFS(Таблица1[сумма],Таблица1[коэф],"1,2",Таблица1[р/р],"5/24",Таблица1[Ф. И. О.],B605)</f>
        <v>0</v>
      </c>
      <c r="X605" s="102">
        <f>ROUND(U605*V605*W605,2)</f>
        <v>0</v>
      </c>
      <c r="Y605" s="808"/>
      <c r="Z605" s="810"/>
      <c r="AA605" s="813"/>
      <c r="AC605" s="707" t="str">
        <f>IF(SUMIFS(Таблица1[сумма],Таблица1[Ф. И. О.],B605)=Y600,"",B600&amp;"  часы не верны")</f>
        <v/>
      </c>
    </row>
    <row r="606" spans="1:29">
      <c r="A606" s="756"/>
      <c r="B606" s="618"/>
      <c r="C606" s="815"/>
      <c r="D606" s="817"/>
      <c r="E606" s="74"/>
      <c r="F606" s="270"/>
      <c r="G606" s="88"/>
      <c r="H606" s="102"/>
      <c r="I606" s="24"/>
      <c r="J606" s="277"/>
      <c r="K606" s="22"/>
      <c r="L606" s="309"/>
      <c r="M606" s="24"/>
      <c r="N606" s="22"/>
      <c r="O606" s="22"/>
      <c r="P606" s="281"/>
      <c r="Q606" s="619">
        <f>IF($D$6&lt;=3,база!$L$4,
IF($D$6=4,база!$L$5,
IF($D$6=5,база!$L$6)))</f>
        <v>231.45480000000001</v>
      </c>
      <c r="R606" s="270">
        <v>1.3</v>
      </c>
      <c r="S606" s="96">
        <f>SUMIFS(Таблица1[сумма],Таблица1[коэф],"1,3",Таблица1[р/р],"3/16",Таблица1[Ф. И. О.],B605)</f>
        <v>0</v>
      </c>
      <c r="T606" s="102">
        <f t="shared" ref="T606:T607" si="375">ROUND(Q606*R606*S606,2)</f>
        <v>0</v>
      </c>
      <c r="U606" s="81">
        <f>IF(D600&lt;=3,база!$M$4,
IF(D600=4,база!$M$5,
IF(D600=5,база!$M$6)))</f>
        <v>225.09719999999999</v>
      </c>
      <c r="V606" s="270">
        <v>1.3</v>
      </c>
      <c r="W606" s="96">
        <f>SUMIFS(Таблица1[сумма],Таблица1[коэф],"1,3",Таблица1[р/р],"3/24",Таблица1[Ф. И. О.],B605)</f>
        <v>0</v>
      </c>
      <c r="X606" s="102">
        <f t="shared" ref="X606:X607" si="376">ROUND(U606*V606*W606,2)</f>
        <v>0</v>
      </c>
      <c r="Y606" s="808"/>
      <c r="Z606" s="810"/>
      <c r="AA606" s="813"/>
    </row>
    <row r="607" spans="1:29">
      <c r="A607" s="756"/>
      <c r="B607" s="618"/>
      <c r="C607" s="815"/>
      <c r="D607" s="817"/>
      <c r="E607" s="74"/>
      <c r="F607" s="270"/>
      <c r="G607" s="88"/>
      <c r="H607" s="102"/>
      <c r="I607" s="24"/>
      <c r="J607" s="277"/>
      <c r="K607" s="22"/>
      <c r="L607" s="309"/>
      <c r="M607" s="24"/>
      <c r="N607" s="22"/>
      <c r="O607" s="22"/>
      <c r="P607" s="281"/>
      <c r="Q607" s="619">
        <f>база!$L$5</f>
        <v>231.45480000000001</v>
      </c>
      <c r="R607" s="270">
        <v>1.3</v>
      </c>
      <c r="S607" s="96">
        <f>SUMIFS(Таблица1[сумма],Таблица1[коэф],"1,3",Таблица1[р/р],"4/16",Таблица1[Ф. И. О.],B605)</f>
        <v>0</v>
      </c>
      <c r="T607" s="102">
        <f t="shared" si="375"/>
        <v>0</v>
      </c>
      <c r="U607" s="81">
        <f>база!$M$5</f>
        <v>247.41720000000001</v>
      </c>
      <c r="V607" s="270">
        <v>1.3</v>
      </c>
      <c r="W607" s="96">
        <f>SUMIFS(Таблица1[сумма],Таблица1[коэф],"1,3",Таблица1[р/р],"4/24",Таблица1[Ф. И. О.],B605)</f>
        <v>0</v>
      </c>
      <c r="X607" s="102">
        <f t="shared" si="376"/>
        <v>0</v>
      </c>
      <c r="Y607" s="808"/>
      <c r="Z607" s="810"/>
      <c r="AA607" s="813"/>
    </row>
    <row r="608" spans="1:29">
      <c r="A608" s="756"/>
      <c r="B608" s="618"/>
      <c r="C608" s="815"/>
      <c r="D608" s="817"/>
      <c r="E608" s="74"/>
      <c r="F608" s="270"/>
      <c r="G608" s="88"/>
      <c r="H608" s="102"/>
      <c r="I608" s="24"/>
      <c r="J608" s="277"/>
      <c r="K608" s="22"/>
      <c r="L608" s="309"/>
      <c r="M608" s="24"/>
      <c r="N608" s="22"/>
      <c r="O608" s="22"/>
      <c r="P608" s="281"/>
      <c r="Q608" s="619">
        <f>IF(D600&lt;=3,база!$L$4,
IF(D600=4,база!$L$5,
IF(D600=5,база!$L$6)))</f>
        <v>210.57480000000001</v>
      </c>
      <c r="R608" s="270">
        <v>1.4</v>
      </c>
      <c r="S608" s="96">
        <f>SUMIFS(Таблица1[сумма],Таблица1[коэф],"1,4",Таблица1[р/р],"3/16",Таблица1[Ф. И. О.],B605)</f>
        <v>0</v>
      </c>
      <c r="T608" s="102">
        <f>ROUND(Q608*R608*S608,2)</f>
        <v>0</v>
      </c>
      <c r="U608" s="81">
        <f>IF(D600&lt;=3,база!$M$4,
IF(D600=4,база!$M$5,
IF(D600=5,база!$M$6)))</f>
        <v>225.09719999999999</v>
      </c>
      <c r="V608" s="270">
        <v>1.4</v>
      </c>
      <c r="W608" s="96">
        <f>SUMIFS(Таблица1[сумма],Таблица1[коэф],"1,4",Таблица1[р/р],"3/24",Таблица1[Ф. И. О.],B605)</f>
        <v>0</v>
      </c>
      <c r="X608" s="102">
        <f>ROUND(U608*V608*W608,2)</f>
        <v>0</v>
      </c>
      <c r="Y608" s="808"/>
      <c r="Z608" s="810"/>
      <c r="AA608" s="813"/>
    </row>
    <row r="609" spans="1:29">
      <c r="A609" s="756"/>
      <c r="B609" s="618"/>
      <c r="C609" s="815"/>
      <c r="D609" s="817"/>
      <c r="E609" s="84"/>
      <c r="F609" s="272"/>
      <c r="G609" s="628"/>
      <c r="H609" s="89"/>
      <c r="I609" s="67"/>
      <c r="J609" s="629"/>
      <c r="K609" s="59"/>
      <c r="L609" s="325"/>
      <c r="M609" s="67"/>
      <c r="N609" s="59"/>
      <c r="O609" s="59"/>
      <c r="P609" s="282"/>
      <c r="Q609" s="630">
        <f>база!$L$5</f>
        <v>231.45480000000001</v>
      </c>
      <c r="R609" s="272">
        <v>1.4</v>
      </c>
      <c r="S609" s="100">
        <f>SUMIFS(Таблица1[сумма],Таблица1[коэф],"1,4",Таблица1[р/р],"4/16",Таблица1[Ф. И. О.],B605)</f>
        <v>0</v>
      </c>
      <c r="T609" s="89">
        <f>ROUND(Q609*R609*S609,2)</f>
        <v>0</v>
      </c>
      <c r="U609" s="105">
        <f>база!$M$5</f>
        <v>247.41720000000001</v>
      </c>
      <c r="V609" s="272">
        <v>1.4</v>
      </c>
      <c r="W609" s="100">
        <f>SUMIFS(Таблица1[сумма],Таблица1[коэф],"1,4",Таблица1[р/р],"4/24",Таблица1[Ф. И. О.],B605)</f>
        <v>0</v>
      </c>
      <c r="X609" s="89">
        <f>ROUND(U609*V609*W609,2)</f>
        <v>0</v>
      </c>
      <c r="Y609" s="808"/>
      <c r="Z609" s="810"/>
      <c r="AA609" s="813"/>
    </row>
    <row r="610" spans="1:29" ht="24" thickBot="1">
      <c r="A610" s="757"/>
      <c r="B610" s="352"/>
      <c r="C610" s="816"/>
      <c r="D610" s="818"/>
      <c r="E610" s="76"/>
      <c r="F610" s="275"/>
      <c r="G610" s="620"/>
      <c r="H610" s="93"/>
      <c r="I610" s="621"/>
      <c r="J610" s="594"/>
      <c r="K610" s="622"/>
      <c r="L610" s="328"/>
      <c r="M610" s="621"/>
      <c r="N610" s="622"/>
      <c r="O610" s="622"/>
      <c r="P610" s="289"/>
      <c r="Q610" s="623">
        <f>база!$L$6</f>
        <v>261.04640000000001</v>
      </c>
      <c r="R610" s="275">
        <v>1.4</v>
      </c>
      <c r="S610" s="99">
        <f>SUMIFS(Таблица1[сумма],Таблица1[коэф],"1,4",Таблица1[р/р],"5/16",Таблица1[Ф. И. О.],B605)</f>
        <v>0</v>
      </c>
      <c r="T610" s="93">
        <f>ROUND(Q610*R610*S610,2)</f>
        <v>0</v>
      </c>
      <c r="U610" s="83">
        <f>база!$M$6</f>
        <v>279.0496</v>
      </c>
      <c r="V610" s="275">
        <v>1.4</v>
      </c>
      <c r="W610" s="99">
        <f>SUMIFS(Таблица1[сумма],Таблица1[коэф],"1,4",Таблица1[р/р],"5/24",Таблица1[Ф. И. О.],B605)</f>
        <v>0</v>
      </c>
      <c r="X610" s="93">
        <f>ROUND(U610*V610*W610,2)</f>
        <v>0</v>
      </c>
      <c r="Y610" s="809"/>
      <c r="Z610" s="811"/>
      <c r="AA610" s="814"/>
    </row>
    <row r="611" spans="1:29" ht="20.25" customHeight="1">
      <c r="A611" s="755">
        <v>56</v>
      </c>
      <c r="B611" s="618"/>
      <c r="C611" s="821">
        <f>INDEX(база!$E$2:$E$181, MATCH(B616,база!$B$2:$B$160,0))</f>
        <v>16950</v>
      </c>
      <c r="D611" s="822">
        <f>INDEX(база!$D$2:$D$189, MATCH(B616,база!$B$2:$B$160,0))</f>
        <v>3</v>
      </c>
      <c r="E611" s="74">
        <f>IF(D611&lt;=3,база!$I$4,
IF(D611=4,база!$I$5,
IF(D611=5,база!$I$6)))</f>
        <v>188.7912</v>
      </c>
      <c r="F611" s="270">
        <v>1</v>
      </c>
      <c r="G611" s="88">
        <f>SUMIFS(Таблица1[сумма],Таблица1[коэф],"1",Таблица1[р/р],"2/4",Таблица1[Ф. И. О.],B616)</f>
        <v>0</v>
      </c>
      <c r="H611" s="102">
        <f>ROUND(E611*F611*G611,2)</f>
        <v>0</v>
      </c>
      <c r="I611" s="24">
        <f>IF(D611&lt;=3,база!$J$4,
IF(D611=4,база!$J$5,
IF(D611=5,база!$J$6)))</f>
        <v>196.05240000000001</v>
      </c>
      <c r="J611" s="277">
        <v>1</v>
      </c>
      <c r="K611" s="22">
        <f>SUMIFS(Таблица1[сумма],Таблица1[коэф],"1",Таблица1[р/р],"2/8",Таблица1[Ф. И. О.],B616)</f>
        <v>0</v>
      </c>
      <c r="L611" s="309">
        <f>ROUND(I611*J611*K611,2)</f>
        <v>0</v>
      </c>
      <c r="M611" s="24"/>
      <c r="N611" s="22">
        <v>1</v>
      </c>
      <c r="O611" s="22">
        <f>SUMIFS(Data_Tech!$AM$3:$AM$67,Data_Tech!$E$3:$E$67,"1",Data_Tech!$G$3:$G$67,"3/12",Data_Tech!$F$3:$F$67,B616)</f>
        <v>0</v>
      </c>
      <c r="P611" s="281">
        <f>ROUND(M611*N611*O611,2)</f>
        <v>0</v>
      </c>
      <c r="Q611" s="619">
        <f>IF(D611&lt;=3,база!$L$4,
IF(D611=4,база!$L$5,
IF(D611=5,база!$L$6)))</f>
        <v>210.57480000000001</v>
      </c>
      <c r="R611" s="270">
        <v>1</v>
      </c>
      <c r="S611" s="96">
        <f>SUMIFS(Таблица1[сумма],Таблица1[коэф],"1",Таблица1[р/р],"3/16",Таблица1[Ф. И. О.],B616)</f>
        <v>0</v>
      </c>
      <c r="T611" s="102">
        <f t="shared" ref="T611:T615" si="377">ROUND(Q611*R611*S611,2)</f>
        <v>0</v>
      </c>
      <c r="U611" s="81">
        <f>IF(D611&lt;=3,база!$M$4,
IF(D611=4,база!$M$5,
IF(D611=5,база!$M$6)))</f>
        <v>225.09719999999999</v>
      </c>
      <c r="V611" s="270">
        <v>1</v>
      </c>
      <c r="W611" s="96">
        <f>SUMIFS(Таблица1[сумма],Таблица1[коэф],"1",Таблица1[р/р],"3/24",Таблица1[Ф. И. О.],B616)</f>
        <v>0</v>
      </c>
      <c r="X611" s="102">
        <f>ROUND(U611*V611*W611,2)</f>
        <v>0</v>
      </c>
      <c r="Y611" s="807">
        <f t="shared" ref="Y611" si="378">SUM(G611:G621,K611:K621,O611:O621,S611:S621,W611:W621)</f>
        <v>0</v>
      </c>
      <c r="Z611" s="823">
        <f t="shared" ref="Z611" si="379">IFERROR(SUM(H611:H621,L611:L621,T611:T621,X611:X621),"")</f>
        <v>0</v>
      </c>
      <c r="AA611" s="812"/>
    </row>
    <row r="612" spans="1:29">
      <c r="A612" s="756"/>
      <c r="B612" s="618"/>
      <c r="C612" s="815"/>
      <c r="D612" s="817"/>
      <c r="E612" s="74">
        <f>IF(D611&lt;=3,база!$I$4,
IF(D611=4,база!$I$5,
IF(D611=5,база!$I$6)))</f>
        <v>188.7912</v>
      </c>
      <c r="F612" s="270">
        <v>1</v>
      </c>
      <c r="G612" s="88">
        <f>SUMIFS(Таблица1[сумма],Таблица1[коэф],"1",Таблица1[р/р],"3/4",Таблица1[Ф. И. О.],B616)</f>
        <v>0</v>
      </c>
      <c r="H612" s="102">
        <f>ROUND(E612*F612*G612,2)</f>
        <v>0</v>
      </c>
      <c r="I612" s="24">
        <f>IF(D611&lt;=3,база!$J$4,
IF(D611=4,база!$J$5,
IF(D611=5,база!$J$6)))</f>
        <v>196.05240000000001</v>
      </c>
      <c r="J612" s="277">
        <v>1</v>
      </c>
      <c r="K612" s="22"/>
      <c r="L612" s="309">
        <f>ROUND(I612*J612*K612,2)</f>
        <v>0</v>
      </c>
      <c r="M612" s="24"/>
      <c r="N612" s="22">
        <v>1</v>
      </c>
      <c r="O612" s="22">
        <f>SUMIFS(Data_Tech!$AM$3:$AM$67,Data_Tech!$E$3:$E$67,"1",Data_Tech!$G$3:$G$67,"4/12",Data_Tech!$F$3:$F$67,B616)</f>
        <v>0</v>
      </c>
      <c r="P612" s="281">
        <f>ROUND(M612*O612,2)</f>
        <v>0</v>
      </c>
      <c r="Q612" s="619">
        <f>база!$L$5</f>
        <v>231.45480000000001</v>
      </c>
      <c r="R612" s="270">
        <v>1</v>
      </c>
      <c r="S612" s="96">
        <f>SUMIFS(Таблица1[сумма],Таблица1[коэф],"1",Таблица1[р/р],"4/16",Таблица1[Ф. И. О.],B616)</f>
        <v>0</v>
      </c>
      <c r="T612" s="102">
        <f t="shared" si="377"/>
        <v>0</v>
      </c>
      <c r="U612" s="81">
        <f>база!$M$5</f>
        <v>247.41720000000001</v>
      </c>
      <c r="V612" s="270">
        <v>1</v>
      </c>
      <c r="W612" s="96">
        <f>SUMIFS(Таблица1[сумма],Таблица1[коэф],"1",Таблица1[р/р],"4/24",Таблица1[Ф. И. О.],B616)</f>
        <v>0</v>
      </c>
      <c r="X612" s="102">
        <f t="shared" ref="X612" si="380">ROUND(U612*V612*W612,2)</f>
        <v>0</v>
      </c>
      <c r="Y612" s="808"/>
      <c r="Z612" s="810"/>
      <c r="AA612" s="813"/>
    </row>
    <row r="613" spans="1:29">
      <c r="A613" s="756"/>
      <c r="B613" s="618"/>
      <c r="C613" s="815"/>
      <c r="D613" s="817"/>
      <c r="E613" s="74"/>
      <c r="F613" s="270"/>
      <c r="G613" s="88"/>
      <c r="H613" s="102"/>
      <c r="I613" s="24"/>
      <c r="J613" s="277"/>
      <c r="K613" s="22"/>
      <c r="L613" s="309"/>
      <c r="M613" s="24"/>
      <c r="N613" s="22"/>
      <c r="O613" s="22"/>
      <c r="P613" s="281"/>
      <c r="Q613" s="619">
        <f>база!$L$6</f>
        <v>261.04640000000001</v>
      </c>
      <c r="R613" s="270">
        <v>1</v>
      </c>
      <c r="S613" s="96">
        <f>SUMIFS(Таблица1[сумма],Таблица1[коэф],"1",Таблица1[р/р],"5/16",Таблица1[Ф. И. О.],B616)</f>
        <v>0</v>
      </c>
      <c r="T613" s="102">
        <f t="shared" si="377"/>
        <v>0</v>
      </c>
      <c r="U613" s="81">
        <f>база!$M$6</f>
        <v>279.0496</v>
      </c>
      <c r="V613" s="270">
        <v>1</v>
      </c>
      <c r="W613" s="96">
        <f>SUMIFS(Таблица1[сумма],Таблица1[коэф],"1",Таблица1[р/р],"5/24",Таблица1[Ф. И. О.],B616)</f>
        <v>0</v>
      </c>
      <c r="X613" s="102">
        <f>ROUND(U613*V613*W613,2)</f>
        <v>0</v>
      </c>
      <c r="Y613" s="808"/>
      <c r="Z613" s="810"/>
      <c r="AA613" s="813"/>
    </row>
    <row r="614" spans="1:29">
      <c r="A614" s="756"/>
      <c r="B614" s="618"/>
      <c r="C614" s="815"/>
      <c r="D614" s="817"/>
      <c r="E614" s="74"/>
      <c r="F614" s="270"/>
      <c r="G614" s="88"/>
      <c r="H614" s="102"/>
      <c r="I614" s="24">
        <f>база!$J$5</f>
        <v>215.4924</v>
      </c>
      <c r="J614" s="277">
        <v>1.5</v>
      </c>
      <c r="K614" s="22">
        <f>SUMIFS(Таблица1[сумма],Таблица1[коэф],"1,5",Таблица1[р/р],"4/8",Таблица1[Ф. И. О.],B616)</f>
        <v>0</v>
      </c>
      <c r="L614" s="309">
        <f>ROUND(I614*J614*K614,2)</f>
        <v>0</v>
      </c>
      <c r="M614" s="24"/>
      <c r="N614" s="22"/>
      <c r="O614" s="22"/>
      <c r="P614" s="281"/>
      <c r="Q614" s="619">
        <f>IF(D611&lt;=3,база!$L$4,
IF(D611=4,база!$L$5,
IF(D611=5,база!$L$6)))</f>
        <v>210.57480000000001</v>
      </c>
      <c r="R614" s="270">
        <v>1.2</v>
      </c>
      <c r="S614" s="96">
        <f>SUMIFS(Таблица1[сумма],Таблица1[коэф],"1,2",Таблица1[р/р],"3/16",Таблица1[Ф. И. О.],B616)</f>
        <v>0</v>
      </c>
      <c r="T614" s="102">
        <f t="shared" si="377"/>
        <v>0</v>
      </c>
      <c r="U614" s="81">
        <f>IF(D611&lt;=3,база!$M$4,
IF(D611=4,база!$M$5,
IF(D611=5,база!$M$6)))</f>
        <v>225.09719999999999</v>
      </c>
      <c r="V614" s="270">
        <v>1.2</v>
      </c>
      <c r="W614" s="96">
        <f>SUMIFS(Таблица1[сумма],Таблица1[коэф],"1,2",Таблица1[р/р],"3/24",Таблица1[Ф. И. О.],B616)</f>
        <v>0</v>
      </c>
      <c r="X614" s="102">
        <f t="shared" ref="X614:X615" si="381">ROUND(U614*V614*W614,2)</f>
        <v>0</v>
      </c>
      <c r="Y614" s="808"/>
      <c r="Z614" s="810"/>
      <c r="AA614" s="813"/>
    </row>
    <row r="615" spans="1:29">
      <c r="A615" s="756"/>
      <c r="B615" s="618"/>
      <c r="C615" s="815"/>
      <c r="D615" s="817"/>
      <c r="E615" s="74"/>
      <c r="F615" s="270"/>
      <c r="G615" s="88"/>
      <c r="H615" s="102"/>
      <c r="I615" s="24">
        <f>база!$J$6</f>
        <v>243.04319999999998</v>
      </c>
      <c r="J615" s="277">
        <v>1.5</v>
      </c>
      <c r="K615" s="22">
        <f>SUMIFS(Таблица1[сумма],Таблица1[коэф],"1,5",Таблица1[р/р],"5/8",Таблица1[Ф. И. О.],B616)</f>
        <v>0</v>
      </c>
      <c r="L615" s="309">
        <f>ROUND(I615*J615*K615,2)</f>
        <v>0</v>
      </c>
      <c r="M615" s="24"/>
      <c r="N615" s="22"/>
      <c r="O615" s="22"/>
      <c r="P615" s="281"/>
      <c r="Q615" s="619">
        <f>база!$L$5</f>
        <v>231.45480000000001</v>
      </c>
      <c r="R615" s="270">
        <v>1.2</v>
      </c>
      <c r="S615" s="96">
        <f>SUMIFS(Таблица1[сумма],Таблица1[коэф],"1,2",Таблица1[р/р],"4/16",Таблица1[Ф. И. О.],B616)</f>
        <v>0</v>
      </c>
      <c r="T615" s="102">
        <f t="shared" si="377"/>
        <v>0</v>
      </c>
      <c r="U615" s="81">
        <f>база!$M$5</f>
        <v>247.41720000000001</v>
      </c>
      <c r="V615" s="270">
        <v>1.2</v>
      </c>
      <c r="W615" s="96">
        <f>SUMIFS(Таблица1[сумма],Таблица1[коэф],"1,2",Таблица1[р/р],"4/24",Таблица1[Ф. И. О.],B616)</f>
        <v>0</v>
      </c>
      <c r="X615" s="102">
        <f t="shared" si="381"/>
        <v>0</v>
      </c>
      <c r="Y615" s="808"/>
      <c r="Z615" s="810"/>
      <c r="AA615" s="813"/>
      <c r="AC615" s="707" t="str">
        <f>IF(SUMIFS(Таблица1[Столбец2],Таблица1[Ф. И. О.],B616)-Z611=0,"",SUMIFS(Таблица1[Столбец2],Таблица1[Ф. И. О.],B616)-Z611)</f>
        <v/>
      </c>
    </row>
    <row r="616" spans="1:29">
      <c r="A616" s="756"/>
      <c r="B616" s="618" t="str">
        <f>база!B57</f>
        <v>Овчинников Глеб Эдуардович</v>
      </c>
      <c r="C616" s="815"/>
      <c r="D616" s="817"/>
      <c r="E616" s="74"/>
      <c r="F616" s="270"/>
      <c r="G616" s="88"/>
      <c r="H616" s="102"/>
      <c r="I616" s="24"/>
      <c r="J616" s="277"/>
      <c r="K616" s="22"/>
      <c r="L616" s="309"/>
      <c r="M616" s="24"/>
      <c r="N616" s="22"/>
      <c r="O616" s="22"/>
      <c r="P616" s="281"/>
      <c r="Q616" s="619">
        <f>база!$L$6</f>
        <v>261.04640000000001</v>
      </c>
      <c r="R616" s="270">
        <v>1.2</v>
      </c>
      <c r="S616" s="96">
        <f>SUMIFS(Таблица1[сумма],Таблица1[коэф],"1,2",Таблица1[р/р],"5/16",Таблица1[Ф. И. О.],B616)</f>
        <v>0</v>
      </c>
      <c r="T616" s="102">
        <f>ROUND(Q616*R616*S616,2)</f>
        <v>0</v>
      </c>
      <c r="U616" s="81">
        <f>база!$M$6</f>
        <v>279.0496</v>
      </c>
      <c r="V616" s="270">
        <v>1.2</v>
      </c>
      <c r="W616" s="96">
        <f>SUMIFS(Таблица1[сумма],Таблица1[коэф],"1,2",Таблица1[р/р],"5/24",Таблица1[Ф. И. О.],B616)</f>
        <v>0</v>
      </c>
      <c r="X616" s="102">
        <f>ROUND(U616*V616*W616,2)</f>
        <v>0</v>
      </c>
      <c r="Y616" s="808"/>
      <c r="Z616" s="810"/>
      <c r="AA616" s="813"/>
      <c r="AC616" s="707" t="str">
        <f>IF(SUMIFS(Таблица1[сумма],Таблица1[Ф. И. О.],B616)=Y611,"",B611&amp;"  часы не верны")</f>
        <v/>
      </c>
    </row>
    <row r="617" spans="1:29">
      <c r="A617" s="756"/>
      <c r="B617" s="618"/>
      <c r="C617" s="815"/>
      <c r="D617" s="817"/>
      <c r="E617" s="74"/>
      <c r="F617" s="270"/>
      <c r="G617" s="88"/>
      <c r="H617" s="102"/>
      <c r="I617" s="24"/>
      <c r="J617" s="277"/>
      <c r="K617" s="22"/>
      <c r="L617" s="309"/>
      <c r="M617" s="24"/>
      <c r="N617" s="22"/>
      <c r="O617" s="22"/>
      <c r="P617" s="281"/>
      <c r="Q617" s="619">
        <f>IF($D$6&lt;=3,база!$L$4,
IF($D$6=4,база!$L$5,
IF($D$6=5,база!$L$6)))</f>
        <v>231.45480000000001</v>
      </c>
      <c r="R617" s="270">
        <v>1.3</v>
      </c>
      <c r="S617" s="96">
        <f>SUMIFS(Таблица1[сумма],Таблица1[коэф],"1,3",Таблица1[р/р],"3/16",Таблица1[Ф. И. О.],B616)</f>
        <v>0</v>
      </c>
      <c r="T617" s="102">
        <f t="shared" ref="T617:T618" si="382">ROUND(Q617*R617*S617,2)</f>
        <v>0</v>
      </c>
      <c r="U617" s="81">
        <f>IF(D611&lt;=3,база!$M$4,
IF(D611=4,база!$M$5,
IF(D611=5,база!$M$6)))</f>
        <v>225.09719999999999</v>
      </c>
      <c r="V617" s="270">
        <v>1.3</v>
      </c>
      <c r="W617" s="96">
        <f>SUMIFS(Таблица1[сумма],Таблица1[коэф],"1,3",Таблица1[р/р],"3/24",Таблица1[Ф. И. О.],B616)</f>
        <v>0</v>
      </c>
      <c r="X617" s="102">
        <f t="shared" ref="X617:X618" si="383">ROUND(U617*V617*W617,2)</f>
        <v>0</v>
      </c>
      <c r="Y617" s="808"/>
      <c r="Z617" s="810"/>
      <c r="AA617" s="813"/>
    </row>
    <row r="618" spans="1:29">
      <c r="A618" s="756"/>
      <c r="B618" s="618"/>
      <c r="C618" s="815"/>
      <c r="D618" s="817"/>
      <c r="E618" s="74"/>
      <c r="F618" s="270"/>
      <c r="G618" s="88"/>
      <c r="H618" s="102"/>
      <c r="I618" s="24"/>
      <c r="J618" s="277"/>
      <c r="K618" s="22"/>
      <c r="L618" s="309"/>
      <c r="M618" s="24"/>
      <c r="N618" s="22"/>
      <c r="O618" s="22"/>
      <c r="P618" s="281"/>
      <c r="Q618" s="619">
        <f>база!$L$5</f>
        <v>231.45480000000001</v>
      </c>
      <c r="R618" s="270">
        <v>1.3</v>
      </c>
      <c r="S618" s="96">
        <f>SUMIFS(Таблица1[сумма],Таблица1[коэф],"1,3",Таблица1[р/р],"4/16",Таблица1[Ф. И. О.],B616)</f>
        <v>0</v>
      </c>
      <c r="T618" s="102">
        <f t="shared" si="382"/>
        <v>0</v>
      </c>
      <c r="U618" s="81">
        <f>база!$M$5</f>
        <v>247.41720000000001</v>
      </c>
      <c r="V618" s="270">
        <v>1.3</v>
      </c>
      <c r="W618" s="96">
        <f>SUMIFS(Таблица1[сумма],Таблица1[коэф],"1,3",Таблица1[р/р],"4/24",Таблица1[Ф. И. О.],B616)</f>
        <v>0</v>
      </c>
      <c r="X618" s="102">
        <f t="shared" si="383"/>
        <v>0</v>
      </c>
      <c r="Y618" s="808"/>
      <c r="Z618" s="810"/>
      <c r="AA618" s="813"/>
    </row>
    <row r="619" spans="1:29">
      <c r="A619" s="756"/>
      <c r="B619" s="618"/>
      <c r="C619" s="815"/>
      <c r="D619" s="817"/>
      <c r="E619" s="74"/>
      <c r="F619" s="270"/>
      <c r="G619" s="88"/>
      <c r="H619" s="102"/>
      <c r="I619" s="24"/>
      <c r="J619" s="277"/>
      <c r="K619" s="22"/>
      <c r="L619" s="309"/>
      <c r="M619" s="24"/>
      <c r="N619" s="22"/>
      <c r="O619" s="22"/>
      <c r="P619" s="281"/>
      <c r="Q619" s="619">
        <f>IF(D611&lt;=3,база!$L$4,
IF(D611=4,база!$L$5,
IF(D611=5,база!$L$6)))</f>
        <v>210.57480000000001</v>
      </c>
      <c r="R619" s="270">
        <v>1.4</v>
      </c>
      <c r="S619" s="96">
        <f>SUMIFS(Таблица1[сумма],Таблица1[коэф],"1,4",Таблица1[р/р],"3/16",Таблица1[Ф. И. О.],B616)</f>
        <v>0</v>
      </c>
      <c r="T619" s="102">
        <f>ROUND(Q619*R619*S619,2)</f>
        <v>0</v>
      </c>
      <c r="U619" s="81">
        <f>IF(D611&lt;=3,база!$M$4,
IF(D611=4,база!$M$5,
IF(D611=5,база!$M$6)))</f>
        <v>225.09719999999999</v>
      </c>
      <c r="V619" s="270">
        <v>1.4</v>
      </c>
      <c r="W619" s="96">
        <f>SUMIFS(Таблица1[сумма],Таблица1[коэф],"1,4",Таблица1[р/р],"3/24",Таблица1[Ф. И. О.],B616)</f>
        <v>0</v>
      </c>
      <c r="X619" s="102">
        <f>ROUND(U619*V619*W619,2)</f>
        <v>0</v>
      </c>
      <c r="Y619" s="808"/>
      <c r="Z619" s="810"/>
      <c r="AA619" s="813"/>
    </row>
    <row r="620" spans="1:29">
      <c r="A620" s="756"/>
      <c r="B620" s="618"/>
      <c r="C620" s="815"/>
      <c r="D620" s="817"/>
      <c r="E620" s="84"/>
      <c r="F620" s="272"/>
      <c r="G620" s="628"/>
      <c r="H620" s="89"/>
      <c r="I620" s="67"/>
      <c r="J620" s="629"/>
      <c r="K620" s="59"/>
      <c r="L620" s="325"/>
      <c r="M620" s="67"/>
      <c r="N620" s="59"/>
      <c r="O620" s="59"/>
      <c r="P620" s="282"/>
      <c r="Q620" s="630">
        <f>база!$L$5</f>
        <v>231.45480000000001</v>
      </c>
      <c r="R620" s="272">
        <v>1.4</v>
      </c>
      <c r="S620" s="100">
        <f>SUMIFS(Таблица1[сумма],Таблица1[коэф],"1,4",Таблица1[р/р],"4/16",Таблица1[Ф. И. О.],B616)</f>
        <v>0</v>
      </c>
      <c r="T620" s="89">
        <f>ROUND(Q620*R620*S620,2)</f>
        <v>0</v>
      </c>
      <c r="U620" s="105">
        <f>база!$M$5</f>
        <v>247.41720000000001</v>
      </c>
      <c r="V620" s="272">
        <v>1.4</v>
      </c>
      <c r="W620" s="100">
        <f>SUMIFS(Таблица1[сумма],Таблица1[коэф],"1,4",Таблица1[р/р],"4/24",Таблица1[Ф. И. О.],B616)</f>
        <v>0</v>
      </c>
      <c r="X620" s="89">
        <f>ROUND(U620*V620*W620,2)</f>
        <v>0</v>
      </c>
      <c r="Y620" s="808"/>
      <c r="Z620" s="810"/>
      <c r="AA620" s="813"/>
    </row>
    <row r="621" spans="1:29" ht="24" thickBot="1">
      <c r="A621" s="757"/>
      <c r="B621" s="352"/>
      <c r="C621" s="816"/>
      <c r="D621" s="818"/>
      <c r="E621" s="76"/>
      <c r="F621" s="275"/>
      <c r="G621" s="620"/>
      <c r="H621" s="93"/>
      <c r="I621" s="621"/>
      <c r="J621" s="594"/>
      <c r="K621" s="622"/>
      <c r="L621" s="328"/>
      <c r="M621" s="621"/>
      <c r="N621" s="622"/>
      <c r="O621" s="622"/>
      <c r="P621" s="289"/>
      <c r="Q621" s="623">
        <f>база!$L$6</f>
        <v>261.04640000000001</v>
      </c>
      <c r="R621" s="275">
        <v>1.4</v>
      </c>
      <c r="S621" s="99">
        <f>SUMIFS(Таблица1[сумма],Таблица1[коэф],"1,4",Таблица1[р/р],"5/16",Таблица1[Ф. И. О.],B616)</f>
        <v>0</v>
      </c>
      <c r="T621" s="93">
        <f>ROUND(Q621*R621*S621,2)</f>
        <v>0</v>
      </c>
      <c r="U621" s="83">
        <f>база!$M$6</f>
        <v>279.0496</v>
      </c>
      <c r="V621" s="275">
        <v>1.4</v>
      </c>
      <c r="W621" s="99">
        <f>SUMIFS(Таблица1[сумма],Таблица1[коэф],"1,4",Таблица1[р/р],"5/24",Таблица1[Ф. И. О.],B616)</f>
        <v>0</v>
      </c>
      <c r="X621" s="93">
        <f>ROUND(U621*V621*W621,2)</f>
        <v>0</v>
      </c>
      <c r="Y621" s="809"/>
      <c r="Z621" s="811"/>
      <c r="AA621" s="814"/>
    </row>
    <row r="622" spans="1:29" ht="20.25" customHeight="1">
      <c r="A622" s="755">
        <v>57</v>
      </c>
      <c r="B622" s="618"/>
      <c r="C622" s="821">
        <f>INDEX(база!$E$2:$E$181, MATCH(B627,база!$B$2:$B$160,0))</f>
        <v>16311</v>
      </c>
      <c r="D622" s="822">
        <f>INDEX(база!$D$2:$D$189, MATCH(B627,база!$B$2:$B$160,0))</f>
        <v>3</v>
      </c>
      <c r="E622" s="74">
        <f>IF(D622&lt;=3,база!$I$4,
IF(D622=4,база!$I$5,
IF(D622=5,база!$I$6)))</f>
        <v>188.7912</v>
      </c>
      <c r="F622" s="270">
        <v>1</v>
      </c>
      <c r="G622" s="88">
        <f>SUMIFS(Таблица1[сумма],Таблица1[коэф],"1",Таблица1[р/р],"2/4",Таблица1[Ф. И. О.],B627)</f>
        <v>0</v>
      </c>
      <c r="H622" s="102">
        <f>ROUND(E622*F622*G622,2)</f>
        <v>0</v>
      </c>
      <c r="I622" s="24">
        <f>IF(D622&lt;=3,база!$J$4,
IF(D622=4,база!$J$5,
IF(D622=5,база!$J$6)))</f>
        <v>196.05240000000001</v>
      </c>
      <c r="J622" s="277">
        <v>1</v>
      </c>
      <c r="K622" s="22">
        <f>SUMIFS(Таблица1[сумма],Таблица1[коэф],"1",Таблица1[р/р],"2/8",Таблица1[Ф. И. О.],B627)</f>
        <v>0</v>
      </c>
      <c r="L622" s="309">
        <f>ROUND(I622*J622*K622,2)</f>
        <v>0</v>
      </c>
      <c r="M622" s="24"/>
      <c r="N622" s="22">
        <v>1</v>
      </c>
      <c r="O622" s="22">
        <f>SUMIFS(Data_Tech!$AM$3:$AM$67,Data_Tech!$E$3:$E$67,"1",Data_Tech!$G$3:$G$67,"3/12",Data_Tech!$F$3:$F$67,B627)</f>
        <v>0</v>
      </c>
      <c r="P622" s="281">
        <f>ROUND(M622*N622*O622,2)</f>
        <v>0</v>
      </c>
      <c r="Q622" s="619">
        <f>IF(D622&lt;=3,база!$L$4,
IF(D622=4,база!$L$5,
IF(D622=5,база!$L$6)))</f>
        <v>210.57480000000001</v>
      </c>
      <c r="R622" s="270">
        <v>1</v>
      </c>
      <c r="S622" s="96">
        <f>SUMIFS(Таблица1[сумма],Таблица1[коэф],"1",Таблица1[р/р],"3/16",Таблица1[Ф. И. О.],B627)</f>
        <v>0</v>
      </c>
      <c r="T622" s="102">
        <f t="shared" ref="T622:T626" si="384">ROUND(Q622*R622*S622,2)</f>
        <v>0</v>
      </c>
      <c r="U622" s="81">
        <f>IF(D622&lt;=3,база!$M$4,
IF(D622=4,база!$M$5,
IF(D622=5,база!$M$6)))</f>
        <v>225.09719999999999</v>
      </c>
      <c r="V622" s="270">
        <v>1</v>
      </c>
      <c r="W622" s="96">
        <f>SUMIFS(Таблица1[сумма],Таблица1[коэф],"1",Таблица1[р/р],"3/24",Таблица1[Ф. И. О.],B627)</f>
        <v>0</v>
      </c>
      <c r="X622" s="102">
        <f>ROUND(U622*V622*W622,2)</f>
        <v>0</v>
      </c>
      <c r="Y622" s="807">
        <f t="shared" ref="Y622" si="385">SUM(G622:G632,K622:K632,O622:O632,S622:S632,W622:W632)</f>
        <v>0</v>
      </c>
      <c r="Z622" s="823">
        <f t="shared" ref="Z622" si="386">IFERROR(SUM(H622:H632,L622:L632,T622:T632,X622:X632),"")</f>
        <v>0</v>
      </c>
      <c r="AA622" s="812"/>
    </row>
    <row r="623" spans="1:29">
      <c r="A623" s="756"/>
      <c r="B623" s="618"/>
      <c r="C623" s="815"/>
      <c r="D623" s="817"/>
      <c r="E623" s="74">
        <f>IF(D622&lt;=3,база!$I$4,
IF(D622=4,база!$I$5,
IF(D622=5,база!$I$6)))</f>
        <v>188.7912</v>
      </c>
      <c r="F623" s="270">
        <v>1</v>
      </c>
      <c r="G623" s="88">
        <f>SUMIFS(Таблица1[сумма],Таблица1[коэф],"1",Таблица1[р/р],"3/4",Таблица1[Ф. И. О.],B627)</f>
        <v>0</v>
      </c>
      <c r="H623" s="102">
        <f>ROUND(E623*F623*G623,2)</f>
        <v>0</v>
      </c>
      <c r="I623" s="24">
        <f>IF(D622&lt;=3,база!$J$4,
IF(D622=4,база!$J$5,
IF(D622=5,база!$J$6)))</f>
        <v>196.05240000000001</v>
      </c>
      <c r="J623" s="277">
        <v>1</v>
      </c>
      <c r="K623" s="22"/>
      <c r="L623" s="309">
        <f>ROUND(I623*J623*K623,2)</f>
        <v>0</v>
      </c>
      <c r="M623" s="24"/>
      <c r="N623" s="22">
        <v>1</v>
      </c>
      <c r="O623" s="22">
        <f>SUMIFS(Data_Tech!$AM$3:$AM$67,Data_Tech!$E$3:$E$67,"1",Data_Tech!$G$3:$G$67,"4/12",Data_Tech!$F$3:$F$67,B627)</f>
        <v>0</v>
      </c>
      <c r="P623" s="281">
        <f>ROUND(M623*O623,2)</f>
        <v>0</v>
      </c>
      <c r="Q623" s="619">
        <f>база!$L$5</f>
        <v>231.45480000000001</v>
      </c>
      <c r="R623" s="270">
        <v>1</v>
      </c>
      <c r="S623" s="96">
        <f>SUMIFS(Таблица1[сумма],Таблица1[коэф],"1",Таблица1[р/р],"4/16",Таблица1[Ф. И. О.],B627)</f>
        <v>0</v>
      </c>
      <c r="T623" s="102">
        <f t="shared" si="384"/>
        <v>0</v>
      </c>
      <c r="U623" s="81">
        <f>база!$M$5</f>
        <v>247.41720000000001</v>
      </c>
      <c r="V623" s="270">
        <v>1</v>
      </c>
      <c r="W623" s="96">
        <f>SUMIFS(Таблица1[сумма],Таблица1[коэф],"1",Таблица1[р/р],"4/24",Таблица1[Ф. И. О.],B627)</f>
        <v>0</v>
      </c>
      <c r="X623" s="102">
        <f t="shared" ref="X623" si="387">ROUND(U623*V623*W623,2)</f>
        <v>0</v>
      </c>
      <c r="Y623" s="808"/>
      <c r="Z623" s="810"/>
      <c r="AA623" s="813"/>
    </row>
    <row r="624" spans="1:29">
      <c r="A624" s="756"/>
      <c r="B624" s="618"/>
      <c r="C624" s="815"/>
      <c r="D624" s="817"/>
      <c r="E624" s="74"/>
      <c r="F624" s="270"/>
      <c r="G624" s="88"/>
      <c r="H624" s="102"/>
      <c r="I624" s="24"/>
      <c r="J624" s="277"/>
      <c r="K624" s="22"/>
      <c r="L624" s="309"/>
      <c r="M624" s="24"/>
      <c r="N624" s="22"/>
      <c r="O624" s="22"/>
      <c r="P624" s="281"/>
      <c r="Q624" s="619">
        <f>база!$L$6</f>
        <v>261.04640000000001</v>
      </c>
      <c r="R624" s="270">
        <v>1</v>
      </c>
      <c r="S624" s="96">
        <f>SUMIFS(Таблица1[сумма],Таблица1[коэф],"1",Таблица1[р/р],"5/16",Таблица1[Ф. И. О.],B627)</f>
        <v>0</v>
      </c>
      <c r="T624" s="102">
        <f t="shared" si="384"/>
        <v>0</v>
      </c>
      <c r="U624" s="81">
        <f>база!$M$6</f>
        <v>279.0496</v>
      </c>
      <c r="V624" s="270">
        <v>1</v>
      </c>
      <c r="W624" s="96">
        <f>SUMIFS(Таблица1[сумма],Таблица1[коэф],"1",Таблица1[р/р],"5/24",Таблица1[Ф. И. О.],B627)</f>
        <v>0</v>
      </c>
      <c r="X624" s="102">
        <f>ROUND(U624*V624*W624,2)</f>
        <v>0</v>
      </c>
      <c r="Y624" s="808"/>
      <c r="Z624" s="810"/>
      <c r="AA624" s="813"/>
    </row>
    <row r="625" spans="1:29">
      <c r="A625" s="756"/>
      <c r="B625" s="618"/>
      <c r="C625" s="815"/>
      <c r="D625" s="817"/>
      <c r="E625" s="74"/>
      <c r="F625" s="270"/>
      <c r="G625" s="88"/>
      <c r="H625" s="102"/>
      <c r="I625" s="24">
        <f>база!$J$5</f>
        <v>215.4924</v>
      </c>
      <c r="J625" s="277">
        <v>1.5</v>
      </c>
      <c r="K625" s="22">
        <f>SUMIFS(Таблица1[сумма],Таблица1[коэф],"1,5",Таблица1[р/р],"4/8",Таблица1[Ф. И. О.],B627)</f>
        <v>0</v>
      </c>
      <c r="L625" s="309">
        <f>ROUND(I625*J625*K625,2)</f>
        <v>0</v>
      </c>
      <c r="M625" s="24"/>
      <c r="N625" s="22"/>
      <c r="O625" s="22"/>
      <c r="P625" s="281"/>
      <c r="Q625" s="619">
        <f>IF(D622&lt;=3,база!$L$4,
IF(D622=4,база!$L$5,
IF(D622=5,база!$L$6)))</f>
        <v>210.57480000000001</v>
      </c>
      <c r="R625" s="270">
        <v>1.2</v>
      </c>
      <c r="S625" s="96">
        <f>SUMIFS(Таблица1[сумма],Таблица1[коэф],"1,2",Таблица1[р/р],"3/16",Таблица1[Ф. И. О.],B627)</f>
        <v>0</v>
      </c>
      <c r="T625" s="102">
        <f t="shared" si="384"/>
        <v>0</v>
      </c>
      <c r="U625" s="81">
        <f>IF(D622&lt;=3,база!$M$4,
IF(D622=4,база!$M$5,
IF(D622=5,база!$M$6)))</f>
        <v>225.09719999999999</v>
      </c>
      <c r="V625" s="270">
        <v>1.2</v>
      </c>
      <c r="W625" s="96">
        <f>SUMIFS(Таблица1[сумма],Таблица1[коэф],"1,2",Таблица1[р/р],"3/24",Таблица1[Ф. И. О.],B627)</f>
        <v>0</v>
      </c>
      <c r="X625" s="102">
        <f t="shared" ref="X625:X626" si="388">ROUND(U625*V625*W625,2)</f>
        <v>0</v>
      </c>
      <c r="Y625" s="808"/>
      <c r="Z625" s="810"/>
      <c r="AA625" s="813"/>
    </row>
    <row r="626" spans="1:29">
      <c r="A626" s="756"/>
      <c r="B626" s="618"/>
      <c r="C626" s="815"/>
      <c r="D626" s="817"/>
      <c r="E626" s="74"/>
      <c r="F626" s="270"/>
      <c r="G626" s="88"/>
      <c r="H626" s="102"/>
      <c r="I626" s="24">
        <f>база!$J$6</f>
        <v>243.04319999999998</v>
      </c>
      <c r="J626" s="277">
        <v>1.5</v>
      </c>
      <c r="K626" s="22">
        <f>SUMIFS(Таблица1[сумма],Таблица1[коэф],"1,5",Таблица1[р/р],"5/8",Таблица1[Ф. И. О.],B627)</f>
        <v>0</v>
      </c>
      <c r="L626" s="309">
        <f>ROUND(I626*J626*K626,2)</f>
        <v>0</v>
      </c>
      <c r="M626" s="24"/>
      <c r="N626" s="22"/>
      <c r="O626" s="22"/>
      <c r="P626" s="281"/>
      <c r="Q626" s="619">
        <f>база!$L$5</f>
        <v>231.45480000000001</v>
      </c>
      <c r="R626" s="270">
        <v>1.2</v>
      </c>
      <c r="S626" s="96">
        <f>SUMIFS(Таблица1[сумма],Таблица1[коэф],"1,2",Таблица1[р/р],"4/16",Таблица1[Ф. И. О.],B627)</f>
        <v>0</v>
      </c>
      <c r="T626" s="102">
        <f t="shared" si="384"/>
        <v>0</v>
      </c>
      <c r="U626" s="81">
        <f>база!$M$5</f>
        <v>247.41720000000001</v>
      </c>
      <c r="V626" s="270">
        <v>1.2</v>
      </c>
      <c r="W626" s="96">
        <f>SUMIFS(Таблица1[сумма],Таблица1[коэф],"1,2",Таблица1[р/р],"4/24",Таблица1[Ф. И. О.],B627)</f>
        <v>0</v>
      </c>
      <c r="X626" s="102">
        <f t="shared" si="388"/>
        <v>0</v>
      </c>
      <c r="Y626" s="808"/>
      <c r="Z626" s="810"/>
      <c r="AA626" s="813"/>
      <c r="AC626" s="707" t="str">
        <f>IF(SUMIFS(Таблица1[Столбец2],Таблица1[Ф. И. О.],B627)-Z622=0,"",SUMIFS(Таблица1[Столбец2],Таблица1[Ф. И. О.],B627)-Z622)</f>
        <v/>
      </c>
    </row>
    <row r="627" spans="1:29">
      <c r="A627" s="756"/>
      <c r="B627" s="618" t="str">
        <f>база!B58</f>
        <v>Оленева Анна Викторовна</v>
      </c>
      <c r="C627" s="815"/>
      <c r="D627" s="817"/>
      <c r="E627" s="74"/>
      <c r="F627" s="270"/>
      <c r="G627" s="88"/>
      <c r="H627" s="102"/>
      <c r="I627" s="24"/>
      <c r="J627" s="277"/>
      <c r="K627" s="22"/>
      <c r="L627" s="309"/>
      <c r="M627" s="24"/>
      <c r="N627" s="22"/>
      <c r="O627" s="22"/>
      <c r="P627" s="281"/>
      <c r="Q627" s="619">
        <f>база!$L$6</f>
        <v>261.04640000000001</v>
      </c>
      <c r="R627" s="270">
        <v>1.2</v>
      </c>
      <c r="S627" s="96">
        <f>SUMIFS(Таблица1[сумма],Таблица1[коэф],"1,2",Таблица1[р/р],"5/16",Таблица1[Ф. И. О.],B627)</f>
        <v>0</v>
      </c>
      <c r="T627" s="102">
        <f>ROUND(Q627*R627*S627,2)</f>
        <v>0</v>
      </c>
      <c r="U627" s="81">
        <f>база!$M$6</f>
        <v>279.0496</v>
      </c>
      <c r="V627" s="270">
        <v>1.2</v>
      </c>
      <c r="W627" s="96">
        <f>SUMIFS(Таблица1[сумма],Таблица1[коэф],"1,2",Таблица1[р/р],"5/24",Таблица1[Ф. И. О.],B627)</f>
        <v>0</v>
      </c>
      <c r="X627" s="102">
        <f>ROUND(U627*V627*W627,2)</f>
        <v>0</v>
      </c>
      <c r="Y627" s="808"/>
      <c r="Z627" s="810"/>
      <c r="AA627" s="813"/>
      <c r="AC627" s="707" t="str">
        <f>IF(SUMIFS(Таблица1[сумма],Таблица1[Ф. И. О.],B627)=Y622,"",B622&amp;"  часы не верны")</f>
        <v/>
      </c>
    </row>
    <row r="628" spans="1:29">
      <c r="A628" s="756"/>
      <c r="B628" s="618"/>
      <c r="C628" s="815"/>
      <c r="D628" s="817"/>
      <c r="E628" s="74"/>
      <c r="F628" s="270"/>
      <c r="G628" s="88"/>
      <c r="H628" s="102"/>
      <c r="I628" s="24"/>
      <c r="J628" s="277"/>
      <c r="K628" s="22"/>
      <c r="L628" s="309"/>
      <c r="M628" s="24"/>
      <c r="N628" s="22"/>
      <c r="O628" s="22"/>
      <c r="P628" s="281"/>
      <c r="Q628" s="619">
        <f>IF($D$6&lt;=3,база!$L$4,
IF($D$6=4,база!$L$5,
IF($D$6=5,база!$L$6)))</f>
        <v>231.45480000000001</v>
      </c>
      <c r="R628" s="270">
        <v>1.3</v>
      </c>
      <c r="S628" s="96">
        <f>SUMIFS(Таблица1[сумма],Таблица1[коэф],"1,3",Таблица1[р/р],"3/16",Таблица1[Ф. И. О.],B627)</f>
        <v>0</v>
      </c>
      <c r="T628" s="102">
        <f t="shared" ref="T628:T629" si="389">ROUND(Q628*R628*S628,2)</f>
        <v>0</v>
      </c>
      <c r="U628" s="81">
        <f>IF(D622&lt;=3,база!$M$4,
IF(D622=4,база!$M$5,
IF(D622=5,база!$M$6)))</f>
        <v>225.09719999999999</v>
      </c>
      <c r="V628" s="270">
        <v>1.3</v>
      </c>
      <c r="W628" s="96">
        <f>SUMIFS(Таблица1[сумма],Таблица1[коэф],"1,3",Таблица1[р/р],"3/24",Таблица1[Ф. И. О.],B627)</f>
        <v>0</v>
      </c>
      <c r="X628" s="102">
        <f t="shared" ref="X628:X629" si="390">ROUND(U628*V628*W628,2)</f>
        <v>0</v>
      </c>
      <c r="Y628" s="808"/>
      <c r="Z628" s="810"/>
      <c r="AA628" s="813"/>
    </row>
    <row r="629" spans="1:29">
      <c r="A629" s="756"/>
      <c r="B629" s="618"/>
      <c r="C629" s="815"/>
      <c r="D629" s="817"/>
      <c r="E629" s="74"/>
      <c r="F629" s="270"/>
      <c r="G629" s="88"/>
      <c r="H629" s="102"/>
      <c r="I629" s="24"/>
      <c r="J629" s="277"/>
      <c r="K629" s="22"/>
      <c r="L629" s="309"/>
      <c r="M629" s="24"/>
      <c r="N629" s="22"/>
      <c r="O629" s="22"/>
      <c r="P629" s="281"/>
      <c r="Q629" s="619">
        <f>база!$L$5</f>
        <v>231.45480000000001</v>
      </c>
      <c r="R629" s="270">
        <v>1.3</v>
      </c>
      <c r="S629" s="96">
        <f>SUMIFS(Таблица1[сумма],Таблица1[коэф],"1,3",Таблица1[р/р],"4/16",Таблица1[Ф. И. О.],B627)</f>
        <v>0</v>
      </c>
      <c r="T629" s="102">
        <f t="shared" si="389"/>
        <v>0</v>
      </c>
      <c r="U629" s="81">
        <f>база!$M$5</f>
        <v>247.41720000000001</v>
      </c>
      <c r="V629" s="270">
        <v>1.3</v>
      </c>
      <c r="W629" s="96">
        <f>SUMIFS(Таблица1[сумма],Таблица1[коэф],"1,3",Таблица1[р/р],"4/24",Таблица1[Ф. И. О.],B627)</f>
        <v>0</v>
      </c>
      <c r="X629" s="102">
        <f t="shared" si="390"/>
        <v>0</v>
      </c>
      <c r="Y629" s="808"/>
      <c r="Z629" s="810"/>
      <c r="AA629" s="813"/>
    </row>
    <row r="630" spans="1:29">
      <c r="A630" s="756"/>
      <c r="B630" s="618"/>
      <c r="C630" s="815"/>
      <c r="D630" s="817"/>
      <c r="E630" s="74"/>
      <c r="F630" s="270"/>
      <c r="G630" s="88"/>
      <c r="H630" s="102"/>
      <c r="I630" s="24"/>
      <c r="J630" s="277"/>
      <c r="K630" s="22"/>
      <c r="L630" s="309"/>
      <c r="M630" s="24"/>
      <c r="N630" s="22"/>
      <c r="O630" s="22"/>
      <c r="P630" s="281"/>
      <c r="Q630" s="619">
        <f>IF(D622&lt;=3,база!$L$4,
IF(D622=4,база!$L$5,
IF(D622=5,база!$L$6)))</f>
        <v>210.57480000000001</v>
      </c>
      <c r="R630" s="270">
        <v>1.4</v>
      </c>
      <c r="S630" s="96">
        <f>SUMIFS(Таблица1[сумма],Таблица1[коэф],"1,4",Таблица1[р/р],"3/16",Таблица1[Ф. И. О.],B627)</f>
        <v>0</v>
      </c>
      <c r="T630" s="102">
        <f>ROUND(Q630*R630*S630,2)</f>
        <v>0</v>
      </c>
      <c r="U630" s="81">
        <f>IF(D622&lt;=3,база!$M$4,
IF(D622=4,база!$M$5,
IF(D622=5,база!$M$6)))</f>
        <v>225.09719999999999</v>
      </c>
      <c r="V630" s="270">
        <v>1.4</v>
      </c>
      <c r="W630" s="96">
        <f>SUMIFS(Таблица1[сумма],Таблица1[коэф],"1,4",Таблица1[р/р],"3/24",Таблица1[Ф. И. О.],B627)</f>
        <v>0</v>
      </c>
      <c r="X630" s="102">
        <f>ROUND(U630*V630*W630,2)</f>
        <v>0</v>
      </c>
      <c r="Y630" s="808"/>
      <c r="Z630" s="810"/>
      <c r="AA630" s="813"/>
    </row>
    <row r="631" spans="1:29">
      <c r="A631" s="756"/>
      <c r="B631" s="618"/>
      <c r="C631" s="815"/>
      <c r="D631" s="817"/>
      <c r="E631" s="84"/>
      <c r="F631" s="272"/>
      <c r="G631" s="628"/>
      <c r="H631" s="89"/>
      <c r="I631" s="67"/>
      <c r="J631" s="629"/>
      <c r="K631" s="59"/>
      <c r="L631" s="325"/>
      <c r="M631" s="67"/>
      <c r="N631" s="59"/>
      <c r="O631" s="59"/>
      <c r="P631" s="282"/>
      <c r="Q631" s="630">
        <f>база!$L$5</f>
        <v>231.45480000000001</v>
      </c>
      <c r="R631" s="272">
        <v>1.4</v>
      </c>
      <c r="S631" s="100">
        <f>SUMIFS(Таблица1[сумма],Таблица1[коэф],"1,4",Таблица1[р/р],"4/16",Таблица1[Ф. И. О.],B627)</f>
        <v>0</v>
      </c>
      <c r="T631" s="89">
        <f>ROUND(Q631*R631*S631,2)</f>
        <v>0</v>
      </c>
      <c r="U631" s="105">
        <f>база!$M$5</f>
        <v>247.41720000000001</v>
      </c>
      <c r="V631" s="272">
        <v>1.4</v>
      </c>
      <c r="W631" s="100">
        <f>SUMIFS(Таблица1[сумма],Таблица1[коэф],"1,4",Таблица1[р/р],"4/24",Таблица1[Ф. И. О.],B627)</f>
        <v>0</v>
      </c>
      <c r="X631" s="89">
        <f>ROUND(U631*V631*W631,2)</f>
        <v>0</v>
      </c>
      <c r="Y631" s="808"/>
      <c r="Z631" s="810"/>
      <c r="AA631" s="813"/>
    </row>
    <row r="632" spans="1:29" ht="24" thickBot="1">
      <c r="A632" s="757"/>
      <c r="B632" s="352"/>
      <c r="C632" s="816"/>
      <c r="D632" s="818"/>
      <c r="E632" s="76"/>
      <c r="F632" s="275"/>
      <c r="G632" s="620"/>
      <c r="H632" s="93"/>
      <c r="I632" s="621"/>
      <c r="J632" s="594"/>
      <c r="K632" s="622"/>
      <c r="L632" s="328"/>
      <c r="M632" s="621"/>
      <c r="N632" s="622"/>
      <c r="O632" s="622"/>
      <c r="P632" s="289"/>
      <c r="Q632" s="623">
        <f>база!$L$6</f>
        <v>261.04640000000001</v>
      </c>
      <c r="R632" s="275">
        <v>1.4</v>
      </c>
      <c r="S632" s="99">
        <f>SUMIFS(Таблица1[сумма],Таблица1[коэф],"1,4",Таблица1[р/р],"5/16",Таблица1[Ф. И. О.],B627)</f>
        <v>0</v>
      </c>
      <c r="T632" s="93">
        <f>ROUND(Q632*R632*S632,2)</f>
        <v>0</v>
      </c>
      <c r="U632" s="83">
        <f>база!$M$6</f>
        <v>279.0496</v>
      </c>
      <c r="V632" s="275">
        <v>1.4</v>
      </c>
      <c r="W632" s="99">
        <f>SUMIFS(Таблица1[сумма],Таблица1[коэф],"1,4",Таблица1[р/р],"5/24",Таблица1[Ф. И. О.],B627)</f>
        <v>0</v>
      </c>
      <c r="X632" s="93">
        <f>ROUND(U632*V632*W632,2)</f>
        <v>0</v>
      </c>
      <c r="Y632" s="809"/>
      <c r="Z632" s="811"/>
      <c r="AA632" s="814"/>
    </row>
    <row r="633" spans="1:29" ht="20.25" customHeight="1">
      <c r="A633" s="755">
        <v>58</v>
      </c>
      <c r="B633" s="618"/>
      <c r="C633" s="821">
        <f>INDEX(база!$E$2:$E$181, MATCH(B638,база!$B$2:$B$160,0))</f>
        <v>0</v>
      </c>
      <c r="D633" s="822">
        <f>INDEX(база!$D$2:$D$189, MATCH(B638,база!$B$2:$B$160,0))</f>
        <v>3</v>
      </c>
      <c r="E633" s="74">
        <f>IF(D633&lt;=3,база!$I$4,
IF(D633=4,база!$I$5,
IF(D633=5,база!$I$6)))</f>
        <v>188.7912</v>
      </c>
      <c r="F633" s="270">
        <v>1</v>
      </c>
      <c r="G633" s="88">
        <f>SUMIFS(Таблица1[сумма],Таблица1[коэф],"1",Таблица1[р/р],"2/4",Таблица1[Ф. И. О.],B638)</f>
        <v>0</v>
      </c>
      <c r="H633" s="102">
        <f>ROUND(E633*F633*G633,2)</f>
        <v>0</v>
      </c>
      <c r="I633" s="24">
        <f>IF(D633&lt;=3,база!$J$4,
IF(D633=4,база!$J$5,
IF(D633=5,база!$J$6)))</f>
        <v>196.05240000000001</v>
      </c>
      <c r="J633" s="277">
        <v>1</v>
      </c>
      <c r="K633" s="22">
        <f>SUMIFS(Таблица1[сумма],Таблица1[коэф],"1",Таблица1[р/р],"2/8",Таблица1[Ф. И. О.],B638)</f>
        <v>0</v>
      </c>
      <c r="L633" s="309">
        <f>ROUND(I633*J633*K633,2)</f>
        <v>0</v>
      </c>
      <c r="M633" s="24"/>
      <c r="N633" s="22">
        <v>1</v>
      </c>
      <c r="O633" s="22">
        <f>SUMIFS(Data_Tech!$AM$3:$AM$67,Data_Tech!$E$3:$E$67,"1",Data_Tech!$G$3:$G$67,"3/12",Data_Tech!$F$3:$F$67,B638)</f>
        <v>0</v>
      </c>
      <c r="P633" s="281">
        <f>ROUND(M633*N633*O633,2)</f>
        <v>0</v>
      </c>
      <c r="Q633" s="619">
        <f>IF(D633&lt;=3,база!$L$4,
IF(D633=4,база!$L$5,
IF(D633=5,база!$L$6)))</f>
        <v>210.57480000000001</v>
      </c>
      <c r="R633" s="270">
        <v>1</v>
      </c>
      <c r="S633" s="96">
        <f>SUMIFS(Таблица1[сумма],Таблица1[коэф],"1",Таблица1[р/р],"3/16",Таблица1[Ф. И. О.],B638)</f>
        <v>0</v>
      </c>
      <c r="T633" s="102">
        <f t="shared" ref="T633:T637" si="391">ROUND(Q633*R633*S633,2)</f>
        <v>0</v>
      </c>
      <c r="U633" s="81">
        <f>IF(D633&lt;=3,база!$M$4,
IF(D633=4,база!$M$5,
IF(D633=5,база!$M$6)))</f>
        <v>225.09719999999999</v>
      </c>
      <c r="V633" s="270">
        <v>1</v>
      </c>
      <c r="W633" s="96">
        <f>SUMIFS(Таблица1[сумма],Таблица1[коэф],"1",Таблица1[р/р],"3/24",Таблица1[Ф. И. О.],B638)</f>
        <v>0</v>
      </c>
      <c r="X633" s="102">
        <f>ROUND(U633*V633*W633,2)</f>
        <v>0</v>
      </c>
      <c r="Y633" s="807">
        <f t="shared" ref="Y633" si="392">SUM(G633:G643,K633:K643,O633:O643,S633:S643,W633:W643)</f>
        <v>0</v>
      </c>
      <c r="Z633" s="823">
        <f t="shared" ref="Z633" si="393">IFERROR(SUM(H633:H643,L633:L643,T633:T643,X633:X643),"")</f>
        <v>0</v>
      </c>
      <c r="AA633" s="812"/>
    </row>
    <row r="634" spans="1:29">
      <c r="A634" s="756"/>
      <c r="B634" s="618"/>
      <c r="C634" s="815"/>
      <c r="D634" s="817"/>
      <c r="E634" s="74">
        <f>IF(D633&lt;=3,база!$I$4,
IF(D633=4,база!$I$5,
IF(D633=5,база!$I$6)))</f>
        <v>188.7912</v>
      </c>
      <c r="F634" s="270">
        <v>1</v>
      </c>
      <c r="G634" s="88">
        <f>SUMIFS(Таблица1[сумма],Таблица1[коэф],"1",Таблица1[р/р],"3/4",Таблица1[Ф. И. О.],B638)</f>
        <v>0</v>
      </c>
      <c r="H634" s="102">
        <f>ROUND(E634*F634*G634,2)</f>
        <v>0</v>
      </c>
      <c r="I634" s="24">
        <f>IF(D633&lt;=3,база!$J$4,
IF(D633=4,база!$J$5,
IF(D633=5,база!$J$6)))</f>
        <v>196.05240000000001</v>
      </c>
      <c r="J634" s="277">
        <v>1</v>
      </c>
      <c r="K634" s="22"/>
      <c r="L634" s="309">
        <f>ROUND(I634*J634*K634,2)</f>
        <v>0</v>
      </c>
      <c r="M634" s="24"/>
      <c r="N634" s="22">
        <v>1</v>
      </c>
      <c r="O634" s="22">
        <f>SUMIFS(Data_Tech!$AM$3:$AM$67,Data_Tech!$E$3:$E$67,"1",Data_Tech!$G$3:$G$67,"4/12",Data_Tech!$F$3:$F$67,B638)</f>
        <v>0</v>
      </c>
      <c r="P634" s="281">
        <f>ROUND(M634*O634,2)</f>
        <v>0</v>
      </c>
      <c r="Q634" s="619">
        <f>база!$L$5</f>
        <v>231.45480000000001</v>
      </c>
      <c r="R634" s="270">
        <v>1</v>
      </c>
      <c r="S634" s="96">
        <f>SUMIFS(Таблица1[сумма],Таблица1[коэф],"1",Таблица1[р/р],"4/16",Таблица1[Ф. И. О.],B638)</f>
        <v>0</v>
      </c>
      <c r="T634" s="102">
        <f t="shared" si="391"/>
        <v>0</v>
      </c>
      <c r="U634" s="81">
        <f>база!$M$5</f>
        <v>247.41720000000001</v>
      </c>
      <c r="V634" s="270">
        <v>1</v>
      </c>
      <c r="W634" s="96">
        <f>SUMIFS(Таблица1[сумма],Таблица1[коэф],"1",Таблица1[р/р],"4/24",Таблица1[Ф. И. О.],B638)</f>
        <v>0</v>
      </c>
      <c r="X634" s="102">
        <f t="shared" ref="X634" si="394">ROUND(U634*V634*W634,2)</f>
        <v>0</v>
      </c>
      <c r="Y634" s="808"/>
      <c r="Z634" s="810"/>
      <c r="AA634" s="813"/>
    </row>
    <row r="635" spans="1:29">
      <c r="A635" s="756"/>
      <c r="B635" s="618"/>
      <c r="C635" s="815"/>
      <c r="D635" s="817"/>
      <c r="E635" s="74"/>
      <c r="F635" s="270"/>
      <c r="G635" s="88"/>
      <c r="H635" s="102"/>
      <c r="I635" s="24"/>
      <c r="J635" s="277"/>
      <c r="K635" s="22"/>
      <c r="L635" s="309"/>
      <c r="M635" s="24"/>
      <c r="N635" s="22"/>
      <c r="O635" s="22"/>
      <c r="P635" s="281"/>
      <c r="Q635" s="619">
        <f>база!$L$6</f>
        <v>261.04640000000001</v>
      </c>
      <c r="R635" s="270">
        <v>1</v>
      </c>
      <c r="S635" s="96">
        <f>SUMIFS(Таблица1[сумма],Таблица1[коэф],"1",Таблица1[р/р],"5/16",Таблица1[Ф. И. О.],B638)</f>
        <v>0</v>
      </c>
      <c r="T635" s="102">
        <f t="shared" si="391"/>
        <v>0</v>
      </c>
      <c r="U635" s="81">
        <f>база!$M$6</f>
        <v>279.0496</v>
      </c>
      <c r="V635" s="270">
        <v>1</v>
      </c>
      <c r="W635" s="96">
        <f>SUMIFS(Таблица1[сумма],Таблица1[коэф],"1",Таблица1[р/р],"5/24",Таблица1[Ф. И. О.],B638)</f>
        <v>0</v>
      </c>
      <c r="X635" s="102">
        <f>ROUND(U635*V635*W635,2)</f>
        <v>0</v>
      </c>
      <c r="Y635" s="808"/>
      <c r="Z635" s="810"/>
      <c r="AA635" s="813"/>
    </row>
    <row r="636" spans="1:29">
      <c r="A636" s="756"/>
      <c r="B636" s="618"/>
      <c r="C636" s="815"/>
      <c r="D636" s="817"/>
      <c r="E636" s="74"/>
      <c r="F636" s="270"/>
      <c r="G636" s="88"/>
      <c r="H636" s="102"/>
      <c r="I636" s="24">
        <f>база!$J$5</f>
        <v>215.4924</v>
      </c>
      <c r="J636" s="277">
        <v>1.5</v>
      </c>
      <c r="K636" s="22">
        <f>SUMIFS(Таблица1[сумма],Таблица1[коэф],"1,5",Таблица1[р/р],"4/8",Таблица1[Ф. И. О.],B638)</f>
        <v>0</v>
      </c>
      <c r="L636" s="309">
        <f>ROUND(I636*J636*K636,2)</f>
        <v>0</v>
      </c>
      <c r="M636" s="24"/>
      <c r="N636" s="22"/>
      <c r="O636" s="22"/>
      <c r="P636" s="281"/>
      <c r="Q636" s="619">
        <f>IF(D633&lt;=3,база!$L$4,
IF(D633=4,база!$L$5,
IF(D633=5,база!$L$6)))</f>
        <v>210.57480000000001</v>
      </c>
      <c r="R636" s="270">
        <v>1.2</v>
      </c>
      <c r="S636" s="96">
        <f>SUMIFS(Таблица1[сумма],Таблица1[коэф],"1,2",Таблица1[р/р],"3/16",Таблица1[Ф. И. О.],B638)</f>
        <v>0</v>
      </c>
      <c r="T636" s="102">
        <f t="shared" si="391"/>
        <v>0</v>
      </c>
      <c r="U636" s="81">
        <f>IF(D633&lt;=3,база!$M$4,
IF(D633=4,база!$M$5,
IF(D633=5,база!$M$6)))</f>
        <v>225.09719999999999</v>
      </c>
      <c r="V636" s="270">
        <v>1.2</v>
      </c>
      <c r="W636" s="96">
        <f>SUMIFS(Таблица1[сумма],Таблица1[коэф],"1,2",Таблица1[р/р],"3/24",Таблица1[Ф. И. О.],B638)</f>
        <v>0</v>
      </c>
      <c r="X636" s="102">
        <f t="shared" ref="X636:X637" si="395">ROUND(U636*V636*W636,2)</f>
        <v>0</v>
      </c>
      <c r="Y636" s="808"/>
      <c r="Z636" s="810"/>
      <c r="AA636" s="813"/>
    </row>
    <row r="637" spans="1:29">
      <c r="A637" s="756"/>
      <c r="B637" s="618"/>
      <c r="C637" s="815"/>
      <c r="D637" s="817"/>
      <c r="E637" s="74"/>
      <c r="F637" s="270"/>
      <c r="G637" s="88"/>
      <c r="H637" s="102"/>
      <c r="I637" s="24">
        <f>база!$J$6</f>
        <v>243.04319999999998</v>
      </c>
      <c r="J637" s="277">
        <v>1.5</v>
      </c>
      <c r="K637" s="22">
        <f>SUMIFS(Таблица1[сумма],Таблица1[коэф],"1,5",Таблица1[р/р],"5/8",Таблица1[Ф. И. О.],B638)</f>
        <v>0</v>
      </c>
      <c r="L637" s="309">
        <f>ROUND(I637*J637*K637,2)</f>
        <v>0</v>
      </c>
      <c r="M637" s="24"/>
      <c r="N637" s="22"/>
      <c r="O637" s="22"/>
      <c r="P637" s="281"/>
      <c r="Q637" s="619">
        <f>база!$L$5</f>
        <v>231.45480000000001</v>
      </c>
      <c r="R637" s="270">
        <v>1.2</v>
      </c>
      <c r="S637" s="96">
        <f>SUMIFS(Таблица1[сумма],Таблица1[коэф],"1,2",Таблица1[р/р],"4/16",Таблица1[Ф. И. О.],B638)</f>
        <v>0</v>
      </c>
      <c r="T637" s="102">
        <f t="shared" si="391"/>
        <v>0</v>
      </c>
      <c r="U637" s="81">
        <f>база!$M$5</f>
        <v>247.41720000000001</v>
      </c>
      <c r="V637" s="270">
        <v>1.2</v>
      </c>
      <c r="W637" s="96">
        <f>SUMIFS(Таблица1[сумма],Таблица1[коэф],"1,2",Таблица1[р/р],"4/24",Таблица1[Ф. И. О.],B638)</f>
        <v>0</v>
      </c>
      <c r="X637" s="102">
        <f t="shared" si="395"/>
        <v>0</v>
      </c>
      <c r="Y637" s="808"/>
      <c r="Z637" s="810"/>
      <c r="AA637" s="813"/>
      <c r="AC637" s="707" t="str">
        <f>IF(SUMIFS(Таблица1[Столбец2],Таблица1[Ф. И. О.],B638)-Z633=0,"",SUMIFS(Таблица1[Столбец2],Таблица1[Ф. И. О.],B638)-Z633)</f>
        <v/>
      </c>
    </row>
    <row r="638" spans="1:29">
      <c r="A638" s="756"/>
      <c r="B638" s="618" t="str">
        <f>база!B59</f>
        <v>Ополченова Ольга Валерьевна</v>
      </c>
      <c r="C638" s="815"/>
      <c r="D638" s="817"/>
      <c r="E638" s="74"/>
      <c r="F638" s="270"/>
      <c r="G638" s="88"/>
      <c r="H638" s="102"/>
      <c r="I638" s="24"/>
      <c r="J638" s="277"/>
      <c r="K638" s="22"/>
      <c r="L638" s="309"/>
      <c r="M638" s="24"/>
      <c r="N638" s="22"/>
      <c r="O638" s="22"/>
      <c r="P638" s="281"/>
      <c r="Q638" s="619">
        <f>база!$L$6</f>
        <v>261.04640000000001</v>
      </c>
      <c r="R638" s="270">
        <v>1.2</v>
      </c>
      <c r="S638" s="96">
        <f>SUMIFS(Таблица1[сумма],Таблица1[коэф],"1,2",Таблица1[р/р],"5/16",Таблица1[Ф. И. О.],B638)</f>
        <v>0</v>
      </c>
      <c r="T638" s="102">
        <f>ROUND(Q638*R638*S638,2)</f>
        <v>0</v>
      </c>
      <c r="U638" s="81">
        <f>база!$M$6</f>
        <v>279.0496</v>
      </c>
      <c r="V638" s="270">
        <v>1.2</v>
      </c>
      <c r="W638" s="96">
        <f>SUMIFS(Таблица1[сумма],Таблица1[коэф],"1,2",Таблица1[р/р],"5/24",Таблица1[Ф. И. О.],B638)</f>
        <v>0</v>
      </c>
      <c r="X638" s="102">
        <f>ROUND(U638*V638*W638,2)</f>
        <v>0</v>
      </c>
      <c r="Y638" s="808"/>
      <c r="Z638" s="810"/>
      <c r="AA638" s="813"/>
      <c r="AC638" s="707" t="str">
        <f>IF(SUMIFS(Таблица1[сумма],Таблица1[Ф. И. О.],B638)=Y633,"",B633&amp;"  часы не верны")</f>
        <v/>
      </c>
    </row>
    <row r="639" spans="1:29">
      <c r="A639" s="756"/>
      <c r="B639" s="618"/>
      <c r="C639" s="815"/>
      <c r="D639" s="817"/>
      <c r="E639" s="74"/>
      <c r="F639" s="270"/>
      <c r="G639" s="88"/>
      <c r="H639" s="102"/>
      <c r="I639" s="24"/>
      <c r="J639" s="277"/>
      <c r="K639" s="22"/>
      <c r="L639" s="309"/>
      <c r="M639" s="24"/>
      <c r="N639" s="22"/>
      <c r="O639" s="22"/>
      <c r="P639" s="281"/>
      <c r="Q639" s="619">
        <f>IF($D$6&lt;=3,база!$L$4,
IF($D$6=4,база!$L$5,
IF($D$6=5,база!$L$6)))</f>
        <v>231.45480000000001</v>
      </c>
      <c r="R639" s="270">
        <v>1.3</v>
      </c>
      <c r="S639" s="96">
        <f>SUMIFS(Таблица1[сумма],Таблица1[коэф],"1,3",Таблица1[р/р],"3/16",Таблица1[Ф. И. О.],B638)</f>
        <v>0</v>
      </c>
      <c r="T639" s="102">
        <f t="shared" ref="T639:T640" si="396">ROUND(Q639*R639*S639,2)</f>
        <v>0</v>
      </c>
      <c r="U639" s="81">
        <f>IF(D633&lt;=3,база!$M$4,
IF(D633=4,база!$M$5,
IF(D633=5,база!$M$6)))</f>
        <v>225.09719999999999</v>
      </c>
      <c r="V639" s="270">
        <v>1.3</v>
      </c>
      <c r="W639" s="96">
        <f>SUMIFS(Таблица1[сумма],Таблица1[коэф],"1,3",Таблица1[р/р],"3/24",Таблица1[Ф. И. О.],B638)</f>
        <v>0</v>
      </c>
      <c r="X639" s="102">
        <f t="shared" ref="X639:X640" si="397">ROUND(U639*V639*W639,2)</f>
        <v>0</v>
      </c>
      <c r="Y639" s="808"/>
      <c r="Z639" s="810"/>
      <c r="AA639" s="813"/>
    </row>
    <row r="640" spans="1:29">
      <c r="A640" s="756"/>
      <c r="B640" s="618"/>
      <c r="C640" s="815"/>
      <c r="D640" s="817"/>
      <c r="E640" s="74"/>
      <c r="F640" s="270"/>
      <c r="G640" s="88"/>
      <c r="H640" s="102"/>
      <c r="I640" s="24"/>
      <c r="J640" s="277"/>
      <c r="K640" s="22"/>
      <c r="L640" s="309"/>
      <c r="M640" s="24"/>
      <c r="N640" s="22"/>
      <c r="O640" s="22"/>
      <c r="P640" s="281"/>
      <c r="Q640" s="619">
        <f>база!$L$5</f>
        <v>231.45480000000001</v>
      </c>
      <c r="R640" s="270">
        <v>1.3</v>
      </c>
      <c r="S640" s="96">
        <f>SUMIFS(Таблица1[сумма],Таблица1[коэф],"1,3",Таблица1[р/р],"4/16",Таблица1[Ф. И. О.],B638)</f>
        <v>0</v>
      </c>
      <c r="T640" s="102">
        <f t="shared" si="396"/>
        <v>0</v>
      </c>
      <c r="U640" s="81">
        <f>база!$M$5</f>
        <v>247.41720000000001</v>
      </c>
      <c r="V640" s="270">
        <v>1.3</v>
      </c>
      <c r="W640" s="96">
        <f>SUMIFS(Таблица1[сумма],Таблица1[коэф],"1,3",Таблица1[р/р],"4/24",Таблица1[Ф. И. О.],B638)</f>
        <v>0</v>
      </c>
      <c r="X640" s="102">
        <f t="shared" si="397"/>
        <v>0</v>
      </c>
      <c r="Y640" s="808"/>
      <c r="Z640" s="810"/>
      <c r="AA640" s="813"/>
    </row>
    <row r="641" spans="1:29">
      <c r="A641" s="756"/>
      <c r="B641" s="618"/>
      <c r="C641" s="815"/>
      <c r="D641" s="817"/>
      <c r="E641" s="74"/>
      <c r="F641" s="270"/>
      <c r="G641" s="88"/>
      <c r="H641" s="102"/>
      <c r="I641" s="24"/>
      <c r="J641" s="277"/>
      <c r="K641" s="22"/>
      <c r="L641" s="309"/>
      <c r="M641" s="24"/>
      <c r="N641" s="22"/>
      <c r="O641" s="22"/>
      <c r="P641" s="281"/>
      <c r="Q641" s="619">
        <f>IF(D633&lt;=3,база!$L$4,
IF(D633=4,база!$L$5,
IF(D633=5,база!$L$6)))</f>
        <v>210.57480000000001</v>
      </c>
      <c r="R641" s="270">
        <v>1.4</v>
      </c>
      <c r="S641" s="96">
        <f>SUMIFS(Таблица1[сумма],Таблица1[коэф],"1,4",Таблица1[р/р],"3/16",Таблица1[Ф. И. О.],B638)</f>
        <v>0</v>
      </c>
      <c r="T641" s="102">
        <f>ROUND(Q641*R641*S641,2)</f>
        <v>0</v>
      </c>
      <c r="U641" s="81">
        <f>IF(D633&lt;=3,база!$M$4,
IF(D633=4,база!$M$5,
IF(D633=5,база!$M$6)))</f>
        <v>225.09719999999999</v>
      </c>
      <c r="V641" s="270">
        <v>1.4</v>
      </c>
      <c r="W641" s="96">
        <f>SUMIFS(Таблица1[сумма],Таблица1[коэф],"1,4",Таблица1[р/р],"3/24",Таблица1[Ф. И. О.],B638)</f>
        <v>0</v>
      </c>
      <c r="X641" s="102">
        <f>ROUND(U641*V641*W641,2)</f>
        <v>0</v>
      </c>
      <c r="Y641" s="808"/>
      <c r="Z641" s="810"/>
      <c r="AA641" s="813"/>
    </row>
    <row r="642" spans="1:29">
      <c r="A642" s="756"/>
      <c r="B642" s="618"/>
      <c r="C642" s="815"/>
      <c r="D642" s="817"/>
      <c r="E642" s="84"/>
      <c r="F642" s="272"/>
      <c r="G642" s="628"/>
      <c r="H642" s="89"/>
      <c r="I642" s="67"/>
      <c r="J642" s="629"/>
      <c r="K642" s="59"/>
      <c r="L642" s="325"/>
      <c r="M642" s="67"/>
      <c r="N642" s="59"/>
      <c r="O642" s="59"/>
      <c r="P642" s="282"/>
      <c r="Q642" s="630">
        <f>база!$L$5</f>
        <v>231.45480000000001</v>
      </c>
      <c r="R642" s="272">
        <v>1.4</v>
      </c>
      <c r="S642" s="100">
        <f>SUMIFS(Таблица1[сумма],Таблица1[коэф],"1,4",Таблица1[р/р],"4/16",Таблица1[Ф. И. О.],B638)</f>
        <v>0</v>
      </c>
      <c r="T642" s="89">
        <f>ROUND(Q642*R642*S642,2)</f>
        <v>0</v>
      </c>
      <c r="U642" s="105">
        <f>база!$M$5</f>
        <v>247.41720000000001</v>
      </c>
      <c r="V642" s="272">
        <v>1.4</v>
      </c>
      <c r="W642" s="100">
        <f>SUMIFS(Таблица1[сумма],Таблица1[коэф],"1,4",Таблица1[р/р],"4/24",Таблица1[Ф. И. О.],B638)</f>
        <v>0</v>
      </c>
      <c r="X642" s="89">
        <f>ROUND(U642*V642*W642,2)</f>
        <v>0</v>
      </c>
      <c r="Y642" s="808"/>
      <c r="Z642" s="810"/>
      <c r="AA642" s="813"/>
    </row>
    <row r="643" spans="1:29" ht="24" thickBot="1">
      <c r="A643" s="757"/>
      <c r="B643" s="352"/>
      <c r="C643" s="816"/>
      <c r="D643" s="818"/>
      <c r="E643" s="76"/>
      <c r="F643" s="275"/>
      <c r="G643" s="620"/>
      <c r="H643" s="93"/>
      <c r="I643" s="621"/>
      <c r="J643" s="594"/>
      <c r="K643" s="622"/>
      <c r="L643" s="328"/>
      <c r="M643" s="621"/>
      <c r="N643" s="622"/>
      <c r="O643" s="622"/>
      <c r="P643" s="289"/>
      <c r="Q643" s="623">
        <f>база!$L$6</f>
        <v>261.04640000000001</v>
      </c>
      <c r="R643" s="275">
        <v>1.4</v>
      </c>
      <c r="S643" s="99">
        <f>SUMIFS(Таблица1[сумма],Таблица1[коэф],"1,4",Таблица1[р/р],"5/16",Таблица1[Ф. И. О.],B638)</f>
        <v>0</v>
      </c>
      <c r="T643" s="93">
        <f>ROUND(Q643*R643*S643,2)</f>
        <v>0</v>
      </c>
      <c r="U643" s="83">
        <f>база!$M$6</f>
        <v>279.0496</v>
      </c>
      <c r="V643" s="275">
        <v>1.4</v>
      </c>
      <c r="W643" s="99">
        <f>SUMIFS(Таблица1[сумма],Таблица1[коэф],"1,4",Таблица1[р/р],"5/24",Таблица1[Ф. И. О.],B638)</f>
        <v>0</v>
      </c>
      <c r="X643" s="93">
        <f>ROUND(U643*V643*W643,2)</f>
        <v>0</v>
      </c>
      <c r="Y643" s="809"/>
      <c r="Z643" s="811"/>
      <c r="AA643" s="814"/>
    </row>
    <row r="644" spans="1:29" ht="20.25" customHeight="1">
      <c r="A644" s="755">
        <v>59</v>
      </c>
      <c r="B644" s="618"/>
      <c r="C644" s="821">
        <f>INDEX(база!$E$2:$E$181, MATCH(B649,база!$B$2:$B$160,0))</f>
        <v>15556</v>
      </c>
      <c r="D644" s="822">
        <f>INDEX(база!$D$2:$D$189, MATCH(B649,база!$B$2:$B$160,0))</f>
        <v>3</v>
      </c>
      <c r="E644" s="74">
        <f>IF(D644&lt;=3,база!$I$4,
IF(D644=4,база!$I$5,
IF(D644=5,база!$I$6)))</f>
        <v>188.7912</v>
      </c>
      <c r="F644" s="270">
        <v>1</v>
      </c>
      <c r="G644" s="88">
        <f>SUMIFS(Таблица1[сумма],Таблица1[коэф],"1",Таблица1[р/р],"2/4",Таблица1[Ф. И. О.],B649)</f>
        <v>0</v>
      </c>
      <c r="H644" s="102">
        <f>ROUND(E644*F644*G644,2)</f>
        <v>0</v>
      </c>
      <c r="I644" s="24">
        <f>IF(D644&lt;=3,база!$J$4,
IF(D644=4,база!$J$5,
IF(D644=5,база!$J$6)))</f>
        <v>196.05240000000001</v>
      </c>
      <c r="J644" s="277">
        <v>1</v>
      </c>
      <c r="K644" s="22">
        <f>SUMIFS(Таблица1[сумма],Таблица1[коэф],"1",Таблица1[р/р],"2/8",Таблица1[Ф. И. О.],B649)</f>
        <v>0</v>
      </c>
      <c r="L644" s="309">
        <f>ROUND(I644*J644*K644,2)</f>
        <v>0</v>
      </c>
      <c r="M644" s="24"/>
      <c r="N644" s="22">
        <v>1</v>
      </c>
      <c r="O644" s="22">
        <f>SUMIFS(Data_Tech!$AM$3:$AM$67,Data_Tech!$E$3:$E$67,"1",Data_Tech!$G$3:$G$67,"3/12",Data_Tech!$F$3:$F$67,B649)</f>
        <v>0</v>
      </c>
      <c r="P644" s="281">
        <f>ROUND(M644*N644*O644,2)</f>
        <v>0</v>
      </c>
      <c r="Q644" s="619">
        <f>IF(D644&lt;=3,база!$L$4,
IF(D644=4,база!$L$5,
IF(D644=5,база!$L$6)))</f>
        <v>210.57480000000001</v>
      </c>
      <c r="R644" s="270">
        <v>1</v>
      </c>
      <c r="S644" s="96">
        <f>SUMIFS(Таблица1[сумма],Таблица1[коэф],"1",Таблица1[р/р],"3/16",Таблица1[Ф. И. О.],B649)</f>
        <v>0</v>
      </c>
      <c r="T644" s="102">
        <f t="shared" ref="T644:T648" si="398">ROUND(Q644*R644*S644,2)</f>
        <v>0</v>
      </c>
      <c r="U644" s="81">
        <f>IF(D644&lt;=3,база!$M$4,
IF(D644=4,база!$M$5,
IF(D644=5,база!$M$6)))</f>
        <v>225.09719999999999</v>
      </c>
      <c r="V644" s="270">
        <v>1</v>
      </c>
      <c r="W644" s="96">
        <f>SUMIFS(Таблица1[сумма],Таблица1[коэф],"1",Таблица1[р/р],"3/24",Таблица1[Ф. И. О.],B649)</f>
        <v>0</v>
      </c>
      <c r="X644" s="102">
        <f>ROUND(U644*V644*W644,2)</f>
        <v>0</v>
      </c>
      <c r="Y644" s="807">
        <f t="shared" ref="Y644" si="399">SUM(G644:G654,K644:K654,O644:O654,S644:S654,W644:W654)</f>
        <v>0</v>
      </c>
      <c r="Z644" s="823">
        <f t="shared" ref="Z644" si="400">IFERROR(SUM(H644:H654,L644:L654,T644:T654,X644:X654),"")</f>
        <v>0</v>
      </c>
      <c r="AA644" s="812"/>
    </row>
    <row r="645" spans="1:29">
      <c r="A645" s="756"/>
      <c r="B645" s="618"/>
      <c r="C645" s="815"/>
      <c r="D645" s="817"/>
      <c r="E645" s="74">
        <f>IF(D644&lt;=3,база!$I$4,
IF(D644=4,база!$I$5,
IF(D644=5,база!$I$6)))</f>
        <v>188.7912</v>
      </c>
      <c r="F645" s="270">
        <v>1</v>
      </c>
      <c r="G645" s="88">
        <f>SUMIFS(Таблица1[сумма],Таблица1[коэф],"1",Таблица1[р/р],"3/4",Таблица1[Ф. И. О.],B649)</f>
        <v>0</v>
      </c>
      <c r="H645" s="102">
        <f>ROUND(E645*F645*G645,2)</f>
        <v>0</v>
      </c>
      <c r="I645" s="24">
        <f>IF(D644&lt;=3,база!$J$4,
IF(D644=4,база!$J$5,
IF(D644=5,база!$J$6)))</f>
        <v>196.05240000000001</v>
      </c>
      <c r="J645" s="277">
        <v>1</v>
      </c>
      <c r="K645" s="22"/>
      <c r="L645" s="309">
        <f>ROUND(I645*J645*K645,2)</f>
        <v>0</v>
      </c>
      <c r="M645" s="24"/>
      <c r="N645" s="22">
        <v>1</v>
      </c>
      <c r="O645" s="22">
        <f>SUMIFS(Data_Tech!$AM$3:$AM$67,Data_Tech!$E$3:$E$67,"1",Data_Tech!$G$3:$G$67,"4/12",Data_Tech!$F$3:$F$67,B649)</f>
        <v>0</v>
      </c>
      <c r="P645" s="281">
        <f>ROUND(M645*O645,2)</f>
        <v>0</v>
      </c>
      <c r="Q645" s="619">
        <f>база!$L$5</f>
        <v>231.45480000000001</v>
      </c>
      <c r="R645" s="270">
        <v>1</v>
      </c>
      <c r="S645" s="96">
        <f>SUMIFS(Таблица1[сумма],Таблица1[коэф],"1",Таблица1[р/р],"4/16",Таблица1[Ф. И. О.],B649)</f>
        <v>0</v>
      </c>
      <c r="T645" s="102">
        <f t="shared" si="398"/>
        <v>0</v>
      </c>
      <c r="U645" s="81">
        <f>база!$M$5</f>
        <v>247.41720000000001</v>
      </c>
      <c r="V645" s="270">
        <v>1</v>
      </c>
      <c r="W645" s="96">
        <f>SUMIFS(Таблица1[сумма],Таблица1[коэф],"1",Таблица1[р/р],"4/24",Таблица1[Ф. И. О.],B649)</f>
        <v>0</v>
      </c>
      <c r="X645" s="102">
        <f t="shared" ref="X645" si="401">ROUND(U645*V645*W645,2)</f>
        <v>0</v>
      </c>
      <c r="Y645" s="808"/>
      <c r="Z645" s="810"/>
      <c r="AA645" s="813"/>
    </row>
    <row r="646" spans="1:29">
      <c r="A646" s="756"/>
      <c r="B646" s="618"/>
      <c r="C646" s="815"/>
      <c r="D646" s="817"/>
      <c r="E646" s="74"/>
      <c r="F646" s="270"/>
      <c r="G646" s="88"/>
      <c r="H646" s="102"/>
      <c r="I646" s="24"/>
      <c r="J646" s="277"/>
      <c r="K646" s="22"/>
      <c r="L646" s="309"/>
      <c r="M646" s="24"/>
      <c r="N646" s="22"/>
      <c r="O646" s="22"/>
      <c r="P646" s="281"/>
      <c r="Q646" s="619">
        <f>база!$L$6</f>
        <v>261.04640000000001</v>
      </c>
      <c r="R646" s="270">
        <v>1</v>
      </c>
      <c r="S646" s="96">
        <f>SUMIFS(Таблица1[сумма],Таблица1[коэф],"1",Таблица1[р/р],"5/16",Таблица1[Ф. И. О.],B649)</f>
        <v>0</v>
      </c>
      <c r="T646" s="102">
        <f t="shared" si="398"/>
        <v>0</v>
      </c>
      <c r="U646" s="81">
        <f>база!$M$6</f>
        <v>279.0496</v>
      </c>
      <c r="V646" s="270">
        <v>1</v>
      </c>
      <c r="W646" s="96">
        <f>SUMIFS(Таблица1[сумма],Таблица1[коэф],"1",Таблица1[р/р],"5/24",Таблица1[Ф. И. О.],B649)</f>
        <v>0</v>
      </c>
      <c r="X646" s="102">
        <f>ROUND(U646*V646*W646,2)</f>
        <v>0</v>
      </c>
      <c r="Y646" s="808"/>
      <c r="Z646" s="810"/>
      <c r="AA646" s="813"/>
    </row>
    <row r="647" spans="1:29">
      <c r="A647" s="756"/>
      <c r="B647" s="618"/>
      <c r="C647" s="815"/>
      <c r="D647" s="817"/>
      <c r="E647" s="74"/>
      <c r="F647" s="270"/>
      <c r="G647" s="88"/>
      <c r="H647" s="102"/>
      <c r="I647" s="24">
        <f>база!$J$5</f>
        <v>215.4924</v>
      </c>
      <c r="J647" s="277">
        <v>1.5</v>
      </c>
      <c r="K647" s="22">
        <f>SUMIFS(Таблица1[сумма],Таблица1[коэф],"1,5",Таблица1[р/р],"4/8",Таблица1[Ф. И. О.],B649)</f>
        <v>0</v>
      </c>
      <c r="L647" s="309">
        <f>ROUND(I647*J647*K647,2)</f>
        <v>0</v>
      </c>
      <c r="M647" s="24"/>
      <c r="N647" s="22"/>
      <c r="O647" s="22"/>
      <c r="P647" s="281"/>
      <c r="Q647" s="619">
        <f>IF(D644&lt;=3,база!$L$4,
IF(D644=4,база!$L$5,
IF(D644=5,база!$L$6)))</f>
        <v>210.57480000000001</v>
      </c>
      <c r="R647" s="270">
        <v>1.2</v>
      </c>
      <c r="S647" s="96">
        <f>SUMIFS(Таблица1[сумма],Таблица1[коэф],"1,2",Таблица1[р/р],"3/16",Таблица1[Ф. И. О.],B649)</f>
        <v>0</v>
      </c>
      <c r="T647" s="102">
        <f t="shared" si="398"/>
        <v>0</v>
      </c>
      <c r="U647" s="81">
        <f>IF(D644&lt;=3,база!$M$4,
IF(D644=4,база!$M$5,
IF(D644=5,база!$M$6)))</f>
        <v>225.09719999999999</v>
      </c>
      <c r="V647" s="270">
        <v>1.2</v>
      </c>
      <c r="W647" s="96">
        <f>SUMIFS(Таблица1[сумма],Таблица1[коэф],"1,2",Таблица1[р/р],"3/24",Таблица1[Ф. И. О.],B649)</f>
        <v>0</v>
      </c>
      <c r="X647" s="102">
        <f t="shared" ref="X647:X648" si="402">ROUND(U647*V647*W647,2)</f>
        <v>0</v>
      </c>
      <c r="Y647" s="808"/>
      <c r="Z647" s="810"/>
      <c r="AA647" s="813"/>
    </row>
    <row r="648" spans="1:29">
      <c r="A648" s="756"/>
      <c r="B648" s="618"/>
      <c r="C648" s="815"/>
      <c r="D648" s="817"/>
      <c r="E648" s="74"/>
      <c r="F648" s="270"/>
      <c r="G648" s="88"/>
      <c r="H648" s="102"/>
      <c r="I648" s="24">
        <f>база!$J$6</f>
        <v>243.04319999999998</v>
      </c>
      <c r="J648" s="277">
        <v>1.5</v>
      </c>
      <c r="K648" s="22">
        <f>SUMIFS(Таблица1[сумма],Таблица1[коэф],"1,5",Таблица1[р/р],"5/8",Таблица1[Ф. И. О.],B649)</f>
        <v>0</v>
      </c>
      <c r="L648" s="309">
        <f>ROUND(I648*J648*K648,2)</f>
        <v>0</v>
      </c>
      <c r="M648" s="24"/>
      <c r="N648" s="22"/>
      <c r="O648" s="22"/>
      <c r="P648" s="281"/>
      <c r="Q648" s="619">
        <f>база!$L$5</f>
        <v>231.45480000000001</v>
      </c>
      <c r="R648" s="270">
        <v>1.2</v>
      </c>
      <c r="S648" s="96">
        <f>SUMIFS(Таблица1[сумма],Таблица1[коэф],"1,2",Таблица1[р/р],"4/16",Таблица1[Ф. И. О.],B649)</f>
        <v>0</v>
      </c>
      <c r="T648" s="102">
        <f t="shared" si="398"/>
        <v>0</v>
      </c>
      <c r="U648" s="81">
        <f>база!$M$5</f>
        <v>247.41720000000001</v>
      </c>
      <c r="V648" s="270">
        <v>1.2</v>
      </c>
      <c r="W648" s="96">
        <f>SUMIFS(Таблица1[сумма],Таблица1[коэф],"1,2",Таблица1[р/р],"4/24",Таблица1[Ф. И. О.],B649)</f>
        <v>0</v>
      </c>
      <c r="X648" s="102">
        <f t="shared" si="402"/>
        <v>0</v>
      </c>
      <c r="Y648" s="808"/>
      <c r="Z648" s="810"/>
      <c r="AA648" s="813"/>
      <c r="AC648" s="707" t="str">
        <f>IF(SUMIFS(Таблица1[Столбец2],Таблица1[Ф. И. О.],B649)-Z644=0,"",SUMIFS(Таблица1[Столбец2],Таблица1[Ф. И. О.],B649)-Z644)</f>
        <v/>
      </c>
    </row>
    <row r="649" spans="1:29">
      <c r="A649" s="756"/>
      <c r="B649" s="618" t="str">
        <f>база!B60</f>
        <v>Петрова Анна Сергеевна</v>
      </c>
      <c r="C649" s="815"/>
      <c r="D649" s="817"/>
      <c r="E649" s="74"/>
      <c r="F649" s="270"/>
      <c r="G649" s="88"/>
      <c r="H649" s="102"/>
      <c r="I649" s="24"/>
      <c r="J649" s="277"/>
      <c r="K649" s="22"/>
      <c r="L649" s="309"/>
      <c r="M649" s="24"/>
      <c r="N649" s="22"/>
      <c r="O649" s="22"/>
      <c r="P649" s="281"/>
      <c r="Q649" s="619">
        <f>база!$L$6</f>
        <v>261.04640000000001</v>
      </c>
      <c r="R649" s="270">
        <v>1.2</v>
      </c>
      <c r="S649" s="96">
        <f>SUMIFS(Таблица1[сумма],Таблица1[коэф],"1,2",Таблица1[р/р],"5/16",Таблица1[Ф. И. О.],B649)</f>
        <v>0</v>
      </c>
      <c r="T649" s="102">
        <f>ROUND(Q649*R649*S649,2)</f>
        <v>0</v>
      </c>
      <c r="U649" s="81">
        <f>база!$M$6</f>
        <v>279.0496</v>
      </c>
      <c r="V649" s="270">
        <v>1.2</v>
      </c>
      <c r="W649" s="96">
        <f>SUMIFS(Таблица1[сумма],Таблица1[коэф],"1,2",Таблица1[р/р],"5/24",Таблица1[Ф. И. О.],B649)</f>
        <v>0</v>
      </c>
      <c r="X649" s="102">
        <f>ROUND(U649*V649*W649,2)</f>
        <v>0</v>
      </c>
      <c r="Y649" s="808"/>
      <c r="Z649" s="810"/>
      <c r="AA649" s="813"/>
      <c r="AC649" s="707" t="str">
        <f>IF(SUMIFS(Таблица1[сумма],Таблица1[Ф. И. О.],B649)=Y644,"",B644&amp;"  часы не верны")</f>
        <v/>
      </c>
    </row>
    <row r="650" spans="1:29">
      <c r="A650" s="756"/>
      <c r="B650" s="618"/>
      <c r="C650" s="815"/>
      <c r="D650" s="817"/>
      <c r="E650" s="74"/>
      <c r="F650" s="270"/>
      <c r="G650" s="88"/>
      <c r="H650" s="102"/>
      <c r="I650" s="24"/>
      <c r="J650" s="277"/>
      <c r="K650" s="22"/>
      <c r="L650" s="309"/>
      <c r="M650" s="24"/>
      <c r="N650" s="22"/>
      <c r="O650" s="22"/>
      <c r="P650" s="281"/>
      <c r="Q650" s="619">
        <f>IF($D$6&lt;=3,база!$L$4,
IF($D$6=4,база!$L$5,
IF($D$6=5,база!$L$6)))</f>
        <v>231.45480000000001</v>
      </c>
      <c r="R650" s="270">
        <v>1.3</v>
      </c>
      <c r="S650" s="96">
        <f>SUMIFS(Таблица1[сумма],Таблица1[коэф],"1,3",Таблица1[р/р],"3/16",Таблица1[Ф. И. О.],B649)</f>
        <v>0</v>
      </c>
      <c r="T650" s="102">
        <f t="shared" ref="T650:T651" si="403">ROUND(Q650*R650*S650,2)</f>
        <v>0</v>
      </c>
      <c r="U650" s="81">
        <f>IF(D644&lt;=3,база!$M$4,
IF(D644=4,база!$M$5,
IF(D644=5,база!$M$6)))</f>
        <v>225.09719999999999</v>
      </c>
      <c r="V650" s="270">
        <v>1.3</v>
      </c>
      <c r="W650" s="96">
        <f>SUMIFS(Таблица1[сумма],Таблица1[коэф],"1,3",Таблица1[р/р],"3/24",Таблица1[Ф. И. О.],B649)</f>
        <v>0</v>
      </c>
      <c r="X650" s="102">
        <f t="shared" ref="X650:X651" si="404">ROUND(U650*V650*W650,2)</f>
        <v>0</v>
      </c>
      <c r="Y650" s="808"/>
      <c r="Z650" s="810"/>
      <c r="AA650" s="813"/>
    </row>
    <row r="651" spans="1:29">
      <c r="A651" s="756"/>
      <c r="B651" s="618"/>
      <c r="C651" s="815"/>
      <c r="D651" s="817"/>
      <c r="E651" s="74"/>
      <c r="F651" s="270"/>
      <c r="G651" s="88"/>
      <c r="H651" s="102"/>
      <c r="I651" s="24"/>
      <c r="J651" s="277"/>
      <c r="K651" s="22"/>
      <c r="L651" s="309"/>
      <c r="M651" s="24"/>
      <c r="N651" s="22"/>
      <c r="O651" s="22"/>
      <c r="P651" s="281"/>
      <c r="Q651" s="619">
        <f>база!$L$5</f>
        <v>231.45480000000001</v>
      </c>
      <c r="R651" s="270">
        <v>1.3</v>
      </c>
      <c r="S651" s="96">
        <f>SUMIFS(Таблица1[сумма],Таблица1[коэф],"1,3",Таблица1[р/р],"4/16",Таблица1[Ф. И. О.],B649)</f>
        <v>0</v>
      </c>
      <c r="T651" s="102">
        <f t="shared" si="403"/>
        <v>0</v>
      </c>
      <c r="U651" s="81">
        <f>база!$M$5</f>
        <v>247.41720000000001</v>
      </c>
      <c r="V651" s="270">
        <v>1.3</v>
      </c>
      <c r="W651" s="96">
        <f>SUMIFS(Таблица1[сумма],Таблица1[коэф],"1,3",Таблица1[р/р],"4/24",Таблица1[Ф. И. О.],B649)</f>
        <v>0</v>
      </c>
      <c r="X651" s="102">
        <f t="shared" si="404"/>
        <v>0</v>
      </c>
      <c r="Y651" s="808"/>
      <c r="Z651" s="810"/>
      <c r="AA651" s="813"/>
    </row>
    <row r="652" spans="1:29">
      <c r="A652" s="756"/>
      <c r="B652" s="618"/>
      <c r="C652" s="815"/>
      <c r="D652" s="817"/>
      <c r="E652" s="74"/>
      <c r="F652" s="270"/>
      <c r="G652" s="88"/>
      <c r="H652" s="102"/>
      <c r="I652" s="24"/>
      <c r="J652" s="277"/>
      <c r="K652" s="22"/>
      <c r="L652" s="309"/>
      <c r="M652" s="24"/>
      <c r="N652" s="22"/>
      <c r="O652" s="22"/>
      <c r="P652" s="281"/>
      <c r="Q652" s="619">
        <f>IF(D644&lt;=3,база!$L$4,
IF(D644=4,база!$L$5,
IF(D644=5,база!$L$6)))</f>
        <v>210.57480000000001</v>
      </c>
      <c r="R652" s="270">
        <v>1.4</v>
      </c>
      <c r="S652" s="96">
        <f>SUMIFS(Таблица1[сумма],Таблица1[коэф],"1,4",Таблица1[р/р],"3/16",Таблица1[Ф. И. О.],B649)</f>
        <v>0</v>
      </c>
      <c r="T652" s="102">
        <f>ROUND(Q652*R652*S652,2)</f>
        <v>0</v>
      </c>
      <c r="U652" s="81">
        <f>IF(D644&lt;=3,база!$M$4,
IF(D644=4,база!$M$5,
IF(D644=5,база!$M$6)))</f>
        <v>225.09719999999999</v>
      </c>
      <c r="V652" s="270">
        <v>1.4</v>
      </c>
      <c r="W652" s="96">
        <f>SUMIFS(Таблица1[сумма],Таблица1[коэф],"1,4",Таблица1[р/р],"3/24",Таблица1[Ф. И. О.],B649)</f>
        <v>0</v>
      </c>
      <c r="X652" s="102">
        <f>ROUND(U652*V652*W652,2)</f>
        <v>0</v>
      </c>
      <c r="Y652" s="808"/>
      <c r="Z652" s="810"/>
      <c r="AA652" s="813"/>
    </row>
    <row r="653" spans="1:29">
      <c r="A653" s="756"/>
      <c r="B653" s="618"/>
      <c r="C653" s="815"/>
      <c r="D653" s="817"/>
      <c r="E653" s="84"/>
      <c r="F653" s="272"/>
      <c r="G653" s="628"/>
      <c r="H653" s="89"/>
      <c r="I653" s="67"/>
      <c r="J653" s="629"/>
      <c r="K653" s="59"/>
      <c r="L653" s="325"/>
      <c r="M653" s="67"/>
      <c r="N653" s="59"/>
      <c r="O653" s="59"/>
      <c r="P653" s="282"/>
      <c r="Q653" s="630">
        <f>база!$L$5</f>
        <v>231.45480000000001</v>
      </c>
      <c r="R653" s="272">
        <v>1.4</v>
      </c>
      <c r="S653" s="100">
        <f>SUMIFS(Таблица1[сумма],Таблица1[коэф],"1,4",Таблица1[р/р],"4/16",Таблица1[Ф. И. О.],B649)</f>
        <v>0</v>
      </c>
      <c r="T653" s="89">
        <f>ROUND(Q653*R653*S653,2)</f>
        <v>0</v>
      </c>
      <c r="U653" s="105">
        <f>база!$M$5</f>
        <v>247.41720000000001</v>
      </c>
      <c r="V653" s="272">
        <v>1.4</v>
      </c>
      <c r="W653" s="100">
        <f>SUMIFS(Таблица1[сумма],Таблица1[коэф],"1,4",Таблица1[р/р],"4/24",Таблица1[Ф. И. О.],B649)</f>
        <v>0</v>
      </c>
      <c r="X653" s="89">
        <f>ROUND(U653*V653*W653,2)</f>
        <v>0</v>
      </c>
      <c r="Y653" s="808"/>
      <c r="Z653" s="810"/>
      <c r="AA653" s="813"/>
    </row>
    <row r="654" spans="1:29" ht="24" thickBot="1">
      <c r="A654" s="757"/>
      <c r="B654" s="352"/>
      <c r="C654" s="816"/>
      <c r="D654" s="818"/>
      <c r="E654" s="76"/>
      <c r="F654" s="275"/>
      <c r="G654" s="620"/>
      <c r="H654" s="93"/>
      <c r="I654" s="621"/>
      <c r="J654" s="594"/>
      <c r="K654" s="622"/>
      <c r="L654" s="328"/>
      <c r="M654" s="621"/>
      <c r="N654" s="622"/>
      <c r="O654" s="622"/>
      <c r="P654" s="289"/>
      <c r="Q654" s="623">
        <f>база!$L$6</f>
        <v>261.04640000000001</v>
      </c>
      <c r="R654" s="275">
        <v>1.4</v>
      </c>
      <c r="S654" s="99">
        <f>SUMIFS(Таблица1[сумма],Таблица1[коэф],"1,4",Таблица1[р/р],"5/16",Таблица1[Ф. И. О.],B649)</f>
        <v>0</v>
      </c>
      <c r="T654" s="93">
        <f>ROUND(Q654*R654*S654,2)</f>
        <v>0</v>
      </c>
      <c r="U654" s="83">
        <f>база!$M$6</f>
        <v>279.0496</v>
      </c>
      <c r="V654" s="275">
        <v>1.4</v>
      </c>
      <c r="W654" s="99">
        <f>SUMIFS(Таблица1[сумма],Таблица1[коэф],"1,4",Таблица1[р/р],"5/24",Таблица1[Ф. И. О.],B649)</f>
        <v>0</v>
      </c>
      <c r="X654" s="93">
        <f>ROUND(U654*V654*W654,2)</f>
        <v>0</v>
      </c>
      <c r="Y654" s="809"/>
      <c r="Z654" s="811"/>
      <c r="AA654" s="814"/>
    </row>
    <row r="655" spans="1:29" ht="20.25" customHeight="1">
      <c r="A655" s="755">
        <v>60</v>
      </c>
      <c r="B655" s="618"/>
      <c r="C655" s="821">
        <f>INDEX(база!$E$2:$E$181, MATCH(B660,база!$B$2:$B$160,0))</f>
        <v>15589</v>
      </c>
      <c r="D655" s="822">
        <f>INDEX(база!$D$2:$D$189, MATCH(B660,база!$B$2:$B$160,0))</f>
        <v>3</v>
      </c>
      <c r="E655" s="74">
        <f>IF(D655&lt;=3,база!$I$4,
IF(D655=4,база!$I$5,
IF(D655=5,база!$I$6)))</f>
        <v>188.7912</v>
      </c>
      <c r="F655" s="270">
        <v>1</v>
      </c>
      <c r="G655" s="88">
        <f>SUMIFS(Таблица1[сумма],Таблица1[коэф],"1",Таблица1[р/р],"2/4",Таблица1[Ф. И. О.],B660)</f>
        <v>0</v>
      </c>
      <c r="H655" s="102">
        <f>ROUND(E655*F655*G655,2)</f>
        <v>0</v>
      </c>
      <c r="I655" s="24">
        <f>IF(D655&lt;=3,база!$J$4,
IF(D655=4,база!$J$5,
IF(D655=5,база!$J$6)))</f>
        <v>196.05240000000001</v>
      </c>
      <c r="J655" s="277">
        <v>1</v>
      </c>
      <c r="K655" s="22">
        <f>SUMIFS(Таблица1[сумма],Таблица1[коэф],"1",Таблица1[р/р],"2/8",Таблица1[Ф. И. О.],B660)</f>
        <v>0</v>
      </c>
      <c r="L655" s="309">
        <f>ROUND(I655*J655*K655,2)</f>
        <v>0</v>
      </c>
      <c r="M655" s="24"/>
      <c r="N655" s="22">
        <v>1</v>
      </c>
      <c r="O655" s="22">
        <f>SUMIFS(Data_Tech!$AM$3:$AM$67,Data_Tech!$E$3:$E$67,"1",Data_Tech!$G$3:$G$67,"3/12",Data_Tech!$F$3:$F$67,B660)</f>
        <v>0</v>
      </c>
      <c r="P655" s="281">
        <f>ROUND(M655*N655*O655,2)</f>
        <v>0</v>
      </c>
      <c r="Q655" s="619">
        <f>IF(D655&lt;=3,база!$L$4,
IF(D655=4,база!$L$5,
IF(D655=5,база!$L$6)))</f>
        <v>210.57480000000001</v>
      </c>
      <c r="R655" s="270">
        <v>1</v>
      </c>
      <c r="S655" s="96">
        <f>SUMIFS(Таблица1[сумма],Таблица1[коэф],"1",Таблица1[р/р],"3/16",Таблица1[Ф. И. О.],B660)</f>
        <v>0</v>
      </c>
      <c r="T655" s="102">
        <f t="shared" ref="T655:T659" si="405">ROUND(Q655*R655*S655,2)</f>
        <v>0</v>
      </c>
      <c r="U655" s="81">
        <f>IF(D655&lt;=3,база!$M$4,
IF(D655=4,база!$M$5,
IF(D655=5,база!$M$6)))</f>
        <v>225.09719999999999</v>
      </c>
      <c r="V655" s="270">
        <v>1</v>
      </c>
      <c r="W655" s="96">
        <f>SUMIFS(Таблица1[сумма],Таблица1[коэф],"1",Таблица1[р/р],"3/24",Таблица1[Ф. И. О.],B660)</f>
        <v>0</v>
      </c>
      <c r="X655" s="102">
        <f>ROUND(U655*V655*W655,2)</f>
        <v>0</v>
      </c>
      <c r="Y655" s="807">
        <f t="shared" ref="Y655" si="406">SUM(G655:G665,K655:K665,O655:O665,S655:S665,W655:W665)</f>
        <v>0</v>
      </c>
      <c r="Z655" s="823">
        <f t="shared" ref="Z655" si="407">IFERROR(SUM(H655:H665,L655:L665,T655:T665,X655:X665),"")</f>
        <v>0</v>
      </c>
      <c r="AA655" s="812"/>
    </row>
    <row r="656" spans="1:29">
      <c r="A656" s="756"/>
      <c r="B656" s="618"/>
      <c r="C656" s="815"/>
      <c r="D656" s="817"/>
      <c r="E656" s="74">
        <f>IF(D655&lt;=3,база!$I$4,
IF(D655=4,база!$I$5,
IF(D655=5,база!$I$6)))</f>
        <v>188.7912</v>
      </c>
      <c r="F656" s="270">
        <v>1</v>
      </c>
      <c r="G656" s="88">
        <f>SUMIFS(Таблица1[сумма],Таблица1[коэф],"1",Таблица1[р/р],"3/4",Таблица1[Ф. И. О.],B660)</f>
        <v>0</v>
      </c>
      <c r="H656" s="102">
        <f>ROUND(E656*F656*G656,2)</f>
        <v>0</v>
      </c>
      <c r="I656" s="24">
        <f>IF(D655&lt;=3,база!$J$4,
IF(D655=4,база!$J$5,
IF(D655=5,база!$J$6)))</f>
        <v>196.05240000000001</v>
      </c>
      <c r="J656" s="277">
        <v>1</v>
      </c>
      <c r="K656" s="22"/>
      <c r="L656" s="309">
        <f>ROUND(I656*J656*K656,2)</f>
        <v>0</v>
      </c>
      <c r="M656" s="24"/>
      <c r="N656" s="22">
        <v>1</v>
      </c>
      <c r="O656" s="22">
        <f>SUMIFS(Data_Tech!$AM$3:$AM$67,Data_Tech!$E$3:$E$67,"1",Data_Tech!$G$3:$G$67,"4/12",Data_Tech!$F$3:$F$67,B660)</f>
        <v>0</v>
      </c>
      <c r="P656" s="281">
        <f>ROUND(M656*O656,2)</f>
        <v>0</v>
      </c>
      <c r="Q656" s="619">
        <f>база!$L$5</f>
        <v>231.45480000000001</v>
      </c>
      <c r="R656" s="270">
        <v>1</v>
      </c>
      <c r="S656" s="96">
        <f>SUMIFS(Таблица1[сумма],Таблица1[коэф],"1",Таблица1[р/р],"4/16",Таблица1[Ф. И. О.],B660)</f>
        <v>0</v>
      </c>
      <c r="T656" s="102">
        <f t="shared" si="405"/>
        <v>0</v>
      </c>
      <c r="U656" s="81">
        <f>база!$M$5</f>
        <v>247.41720000000001</v>
      </c>
      <c r="V656" s="270">
        <v>1</v>
      </c>
      <c r="W656" s="96">
        <f>SUMIFS(Таблица1[сумма],Таблица1[коэф],"1",Таблица1[р/р],"4/24",Таблица1[Ф. И. О.],B660)</f>
        <v>0</v>
      </c>
      <c r="X656" s="102">
        <f t="shared" ref="X656" si="408">ROUND(U656*V656*W656,2)</f>
        <v>0</v>
      </c>
      <c r="Y656" s="808"/>
      <c r="Z656" s="810"/>
      <c r="AA656" s="813"/>
    </row>
    <row r="657" spans="1:29">
      <c r="A657" s="756"/>
      <c r="B657" s="618"/>
      <c r="C657" s="815"/>
      <c r="D657" s="817"/>
      <c r="E657" s="74"/>
      <c r="F657" s="270"/>
      <c r="G657" s="88"/>
      <c r="H657" s="102"/>
      <c r="I657" s="24"/>
      <c r="J657" s="277"/>
      <c r="K657" s="22"/>
      <c r="L657" s="309"/>
      <c r="M657" s="24"/>
      <c r="N657" s="22"/>
      <c r="O657" s="22"/>
      <c r="P657" s="281"/>
      <c r="Q657" s="619">
        <f>база!$L$6</f>
        <v>261.04640000000001</v>
      </c>
      <c r="R657" s="270">
        <v>1</v>
      </c>
      <c r="S657" s="96">
        <f>SUMIFS(Таблица1[сумма],Таблица1[коэф],"1",Таблица1[р/р],"5/16",Таблица1[Ф. И. О.],B660)</f>
        <v>0</v>
      </c>
      <c r="T657" s="102">
        <f t="shared" si="405"/>
        <v>0</v>
      </c>
      <c r="U657" s="81">
        <f>база!$M$6</f>
        <v>279.0496</v>
      </c>
      <c r="V657" s="270">
        <v>1</v>
      </c>
      <c r="W657" s="96">
        <f>SUMIFS(Таблица1[сумма],Таблица1[коэф],"1",Таблица1[р/р],"5/24",Таблица1[Ф. И. О.],B660)</f>
        <v>0</v>
      </c>
      <c r="X657" s="102">
        <f>ROUND(U657*V657*W657,2)</f>
        <v>0</v>
      </c>
      <c r="Y657" s="808"/>
      <c r="Z657" s="810"/>
      <c r="AA657" s="813"/>
    </row>
    <row r="658" spans="1:29">
      <c r="A658" s="756"/>
      <c r="B658" s="618"/>
      <c r="C658" s="815"/>
      <c r="D658" s="817"/>
      <c r="E658" s="74"/>
      <c r="F658" s="270"/>
      <c r="G658" s="88"/>
      <c r="H658" s="102"/>
      <c r="I658" s="24">
        <f>база!$J$5</f>
        <v>215.4924</v>
      </c>
      <c r="J658" s="277">
        <v>1.5</v>
      </c>
      <c r="K658" s="22">
        <f>SUMIFS(Таблица1[сумма],Таблица1[коэф],"1,5",Таблица1[р/р],"4/8",Таблица1[Ф. И. О.],B660)</f>
        <v>0</v>
      </c>
      <c r="L658" s="309">
        <f>ROUND(I658*J658*K658,2)</f>
        <v>0</v>
      </c>
      <c r="M658" s="24"/>
      <c r="N658" s="22"/>
      <c r="O658" s="22"/>
      <c r="P658" s="281"/>
      <c r="Q658" s="619">
        <f>IF(D655&lt;=3,база!$L$4,
IF(D655=4,база!$L$5,
IF(D655=5,база!$L$6)))</f>
        <v>210.57480000000001</v>
      </c>
      <c r="R658" s="270">
        <v>1.2</v>
      </c>
      <c r="S658" s="96">
        <f>SUMIFS(Таблица1[сумма],Таблица1[коэф],"1,2",Таблица1[р/р],"3/16",Таблица1[Ф. И. О.],B660)</f>
        <v>0</v>
      </c>
      <c r="T658" s="102">
        <f t="shared" si="405"/>
        <v>0</v>
      </c>
      <c r="U658" s="81">
        <f>IF(D655&lt;=3,база!$M$4,
IF(D655=4,база!$M$5,
IF(D655=5,база!$M$6)))</f>
        <v>225.09719999999999</v>
      </c>
      <c r="V658" s="270">
        <v>1.2</v>
      </c>
      <c r="W658" s="96">
        <f>SUMIFS(Таблица1[сумма],Таблица1[коэф],"1,2",Таблица1[р/р],"3/24",Таблица1[Ф. И. О.],B660)</f>
        <v>0</v>
      </c>
      <c r="X658" s="102">
        <f t="shared" ref="X658:X659" si="409">ROUND(U658*V658*W658,2)</f>
        <v>0</v>
      </c>
      <c r="Y658" s="808"/>
      <c r="Z658" s="810"/>
      <c r="AA658" s="813"/>
    </row>
    <row r="659" spans="1:29">
      <c r="A659" s="756"/>
      <c r="B659" s="618"/>
      <c r="C659" s="815"/>
      <c r="D659" s="817"/>
      <c r="E659" s="74"/>
      <c r="F659" s="270"/>
      <c r="G659" s="88"/>
      <c r="H659" s="102"/>
      <c r="I659" s="24">
        <f>база!$J$6</f>
        <v>243.04319999999998</v>
      </c>
      <c r="J659" s="277">
        <v>1.5</v>
      </c>
      <c r="K659" s="22">
        <f>SUMIFS(Таблица1[сумма],Таблица1[коэф],"1,5",Таблица1[р/р],"5/8",Таблица1[Ф. И. О.],B660)</f>
        <v>0</v>
      </c>
      <c r="L659" s="309">
        <f>ROUND(I659*J659*K659,2)</f>
        <v>0</v>
      </c>
      <c r="M659" s="24"/>
      <c r="N659" s="22"/>
      <c r="O659" s="22"/>
      <c r="P659" s="281"/>
      <c r="Q659" s="619">
        <f>база!$L$5</f>
        <v>231.45480000000001</v>
      </c>
      <c r="R659" s="270">
        <v>1.2</v>
      </c>
      <c r="S659" s="96">
        <f>SUMIFS(Таблица1[сумма],Таблица1[коэф],"1,2",Таблица1[р/р],"4/16",Таблица1[Ф. И. О.],B660)</f>
        <v>0</v>
      </c>
      <c r="T659" s="102">
        <f t="shared" si="405"/>
        <v>0</v>
      </c>
      <c r="U659" s="81">
        <f>база!$M$5</f>
        <v>247.41720000000001</v>
      </c>
      <c r="V659" s="270">
        <v>1.2</v>
      </c>
      <c r="W659" s="96">
        <f>SUMIFS(Таблица1[сумма],Таблица1[коэф],"1,2",Таблица1[р/р],"4/24",Таблица1[Ф. И. О.],B660)</f>
        <v>0</v>
      </c>
      <c r="X659" s="102">
        <f t="shared" si="409"/>
        <v>0</v>
      </c>
      <c r="Y659" s="808"/>
      <c r="Z659" s="810"/>
      <c r="AA659" s="813"/>
      <c r="AC659" s="707" t="str">
        <f>IF(SUMIFS(Таблица1[Столбец2],Таблица1[Ф. И. О.],B660)-Z655=0,"",SUMIFS(Таблица1[Столбец2],Таблица1[Ф. И. О.],B660)-Z655)</f>
        <v/>
      </c>
    </row>
    <row r="660" spans="1:29">
      <c r="A660" s="756"/>
      <c r="B660" s="618" t="str">
        <f>база!B61</f>
        <v>Пириева Виктория Хозеиновна</v>
      </c>
      <c r="C660" s="815"/>
      <c r="D660" s="817"/>
      <c r="E660" s="74"/>
      <c r="F660" s="270"/>
      <c r="G660" s="88"/>
      <c r="H660" s="102"/>
      <c r="I660" s="24"/>
      <c r="J660" s="277"/>
      <c r="K660" s="22"/>
      <c r="L660" s="309"/>
      <c r="M660" s="24"/>
      <c r="N660" s="22"/>
      <c r="O660" s="22"/>
      <c r="P660" s="281"/>
      <c r="Q660" s="619">
        <f>база!$L$6</f>
        <v>261.04640000000001</v>
      </c>
      <c r="R660" s="270">
        <v>1.2</v>
      </c>
      <c r="S660" s="96">
        <f>SUMIFS(Таблица1[сумма],Таблица1[коэф],"1,2",Таблица1[р/р],"5/16",Таблица1[Ф. И. О.],B660)</f>
        <v>0</v>
      </c>
      <c r="T660" s="102">
        <f>ROUND(Q660*R660*S660,2)</f>
        <v>0</v>
      </c>
      <c r="U660" s="81">
        <f>база!$M$6</f>
        <v>279.0496</v>
      </c>
      <c r="V660" s="270">
        <v>1.2</v>
      </c>
      <c r="W660" s="96">
        <f>SUMIFS(Таблица1[сумма],Таблица1[коэф],"1,2",Таблица1[р/р],"5/24",Таблица1[Ф. И. О.],B660)</f>
        <v>0</v>
      </c>
      <c r="X660" s="102">
        <f>ROUND(U660*V660*W660,2)</f>
        <v>0</v>
      </c>
      <c r="Y660" s="808"/>
      <c r="Z660" s="810"/>
      <c r="AA660" s="813"/>
      <c r="AC660" s="707" t="str">
        <f>IF(SUMIFS(Таблица1[сумма],Таблица1[Ф. И. О.],B660)=Y655,"",B655&amp;"  часы не верны")</f>
        <v/>
      </c>
    </row>
    <row r="661" spans="1:29">
      <c r="A661" s="756"/>
      <c r="B661" s="618"/>
      <c r="C661" s="815"/>
      <c r="D661" s="817"/>
      <c r="E661" s="74"/>
      <c r="F661" s="270"/>
      <c r="G661" s="88"/>
      <c r="H661" s="102"/>
      <c r="I661" s="24"/>
      <c r="J661" s="277"/>
      <c r="K661" s="22"/>
      <c r="L661" s="309"/>
      <c r="M661" s="24"/>
      <c r="N661" s="22"/>
      <c r="O661" s="22"/>
      <c r="P661" s="281"/>
      <c r="Q661" s="619">
        <f>IF($D$6&lt;=3,база!$L$4,
IF($D$6=4,база!$L$5,
IF($D$6=5,база!$L$6)))</f>
        <v>231.45480000000001</v>
      </c>
      <c r="R661" s="270">
        <v>1.3</v>
      </c>
      <c r="S661" s="96">
        <f>SUMIFS(Таблица1[сумма],Таблица1[коэф],"1,3",Таблица1[р/р],"3/16",Таблица1[Ф. И. О.],B660)</f>
        <v>0</v>
      </c>
      <c r="T661" s="102">
        <f t="shared" ref="T661:T662" si="410">ROUND(Q661*R661*S661,2)</f>
        <v>0</v>
      </c>
      <c r="U661" s="81">
        <f>IF(D655&lt;=3,база!$M$4,
IF(D655=4,база!$M$5,
IF(D655=5,база!$M$6)))</f>
        <v>225.09719999999999</v>
      </c>
      <c r="V661" s="270">
        <v>1.3</v>
      </c>
      <c r="W661" s="96">
        <f>SUMIFS(Таблица1[сумма],Таблица1[коэф],"1,3",Таблица1[р/р],"3/24",Таблица1[Ф. И. О.],B660)</f>
        <v>0</v>
      </c>
      <c r="X661" s="102">
        <f t="shared" ref="X661:X662" si="411">ROUND(U661*V661*W661,2)</f>
        <v>0</v>
      </c>
      <c r="Y661" s="808"/>
      <c r="Z661" s="810"/>
      <c r="AA661" s="813"/>
    </row>
    <row r="662" spans="1:29">
      <c r="A662" s="756"/>
      <c r="B662" s="618"/>
      <c r="C662" s="815"/>
      <c r="D662" s="817"/>
      <c r="E662" s="74"/>
      <c r="F662" s="270"/>
      <c r="G662" s="88"/>
      <c r="H662" s="102"/>
      <c r="I662" s="24"/>
      <c r="J662" s="277"/>
      <c r="K662" s="22"/>
      <c r="L662" s="309"/>
      <c r="M662" s="24"/>
      <c r="N662" s="22"/>
      <c r="O662" s="22"/>
      <c r="P662" s="281"/>
      <c r="Q662" s="619">
        <f>база!$L$5</f>
        <v>231.45480000000001</v>
      </c>
      <c r="R662" s="270">
        <v>1.3</v>
      </c>
      <c r="S662" s="96">
        <f>SUMIFS(Таблица1[сумма],Таблица1[коэф],"1,3",Таблица1[р/р],"4/16",Таблица1[Ф. И. О.],B660)</f>
        <v>0</v>
      </c>
      <c r="T662" s="102">
        <f t="shared" si="410"/>
        <v>0</v>
      </c>
      <c r="U662" s="81">
        <f>база!$M$5</f>
        <v>247.41720000000001</v>
      </c>
      <c r="V662" s="270">
        <v>1.3</v>
      </c>
      <c r="W662" s="96">
        <f>SUMIFS(Таблица1[сумма],Таблица1[коэф],"1,3",Таблица1[р/р],"4/24",Таблица1[Ф. И. О.],B660)</f>
        <v>0</v>
      </c>
      <c r="X662" s="102">
        <f t="shared" si="411"/>
        <v>0</v>
      </c>
      <c r="Y662" s="808"/>
      <c r="Z662" s="810"/>
      <c r="AA662" s="813"/>
    </row>
    <row r="663" spans="1:29">
      <c r="A663" s="756"/>
      <c r="B663" s="618"/>
      <c r="C663" s="815"/>
      <c r="D663" s="817"/>
      <c r="E663" s="74"/>
      <c r="F663" s="270"/>
      <c r="G663" s="88"/>
      <c r="H663" s="102"/>
      <c r="I663" s="24"/>
      <c r="J663" s="277"/>
      <c r="K663" s="22"/>
      <c r="L663" s="309"/>
      <c r="M663" s="24"/>
      <c r="N663" s="22"/>
      <c r="O663" s="22"/>
      <c r="P663" s="281"/>
      <c r="Q663" s="619">
        <f>IF(D655&lt;=3,база!$L$4,
IF(D655=4,база!$L$5,
IF(D655=5,база!$L$6)))</f>
        <v>210.57480000000001</v>
      </c>
      <c r="R663" s="270">
        <v>1.4</v>
      </c>
      <c r="S663" s="96">
        <f>SUMIFS(Таблица1[сумма],Таблица1[коэф],"1,4",Таблица1[р/р],"3/16",Таблица1[Ф. И. О.],B660)</f>
        <v>0</v>
      </c>
      <c r="T663" s="102">
        <f>ROUND(Q663*R663*S663,2)</f>
        <v>0</v>
      </c>
      <c r="U663" s="81">
        <f>IF(D655&lt;=3,база!$M$4,
IF(D655=4,база!$M$5,
IF(D655=5,база!$M$6)))</f>
        <v>225.09719999999999</v>
      </c>
      <c r="V663" s="270">
        <v>1.4</v>
      </c>
      <c r="W663" s="96">
        <f>SUMIFS(Таблица1[сумма],Таблица1[коэф],"1,4",Таблица1[р/р],"3/24",Таблица1[Ф. И. О.],B660)</f>
        <v>0</v>
      </c>
      <c r="X663" s="102">
        <f>ROUND(U663*V663*W663,2)</f>
        <v>0</v>
      </c>
      <c r="Y663" s="808"/>
      <c r="Z663" s="810"/>
      <c r="AA663" s="813"/>
    </row>
    <row r="664" spans="1:29">
      <c r="A664" s="756"/>
      <c r="B664" s="618"/>
      <c r="C664" s="815"/>
      <c r="D664" s="817"/>
      <c r="E664" s="84"/>
      <c r="F664" s="272"/>
      <c r="G664" s="628"/>
      <c r="H664" s="89"/>
      <c r="I664" s="67"/>
      <c r="J664" s="629"/>
      <c r="K664" s="59"/>
      <c r="L664" s="325"/>
      <c r="M664" s="67"/>
      <c r="N664" s="59"/>
      <c r="O664" s="59"/>
      <c r="P664" s="282"/>
      <c r="Q664" s="630">
        <f>база!$L$5</f>
        <v>231.45480000000001</v>
      </c>
      <c r="R664" s="272">
        <v>1.4</v>
      </c>
      <c r="S664" s="100">
        <f>SUMIFS(Таблица1[сумма],Таблица1[коэф],"1,4",Таблица1[р/р],"4/16",Таблица1[Ф. И. О.],B660)</f>
        <v>0</v>
      </c>
      <c r="T664" s="89">
        <f>ROUND(Q664*R664*S664,2)</f>
        <v>0</v>
      </c>
      <c r="U664" s="105">
        <f>база!$M$5</f>
        <v>247.41720000000001</v>
      </c>
      <c r="V664" s="272">
        <v>1.4</v>
      </c>
      <c r="W664" s="100">
        <f>SUMIFS(Таблица1[сумма],Таблица1[коэф],"1,4",Таблица1[р/р],"4/24",Таблица1[Ф. И. О.],B660)</f>
        <v>0</v>
      </c>
      <c r="X664" s="89">
        <f>ROUND(U664*V664*W664,2)</f>
        <v>0</v>
      </c>
      <c r="Y664" s="808"/>
      <c r="Z664" s="810"/>
      <c r="AA664" s="813"/>
    </row>
    <row r="665" spans="1:29" ht="24" thickBot="1">
      <c r="A665" s="757"/>
      <c r="B665" s="352"/>
      <c r="C665" s="816"/>
      <c r="D665" s="818"/>
      <c r="E665" s="76"/>
      <c r="F665" s="275"/>
      <c r="G665" s="620"/>
      <c r="H665" s="93"/>
      <c r="I665" s="621"/>
      <c r="J665" s="594"/>
      <c r="K665" s="622"/>
      <c r="L665" s="328"/>
      <c r="M665" s="621"/>
      <c r="N665" s="622"/>
      <c r="O665" s="622"/>
      <c r="P665" s="289"/>
      <c r="Q665" s="623">
        <f>база!$L$6</f>
        <v>261.04640000000001</v>
      </c>
      <c r="R665" s="275">
        <v>1.4</v>
      </c>
      <c r="S665" s="99">
        <f>SUMIFS(Таблица1[сумма],Таблица1[коэф],"1,4",Таблица1[р/р],"5/16",Таблица1[Ф. И. О.],B660)</f>
        <v>0</v>
      </c>
      <c r="T665" s="93">
        <f>ROUND(Q665*R665*S665,2)</f>
        <v>0</v>
      </c>
      <c r="U665" s="83">
        <f>база!$M$6</f>
        <v>279.0496</v>
      </c>
      <c r="V665" s="275">
        <v>1.4</v>
      </c>
      <c r="W665" s="99">
        <f>SUMIFS(Таблица1[сумма],Таблица1[коэф],"1,4",Таблица1[р/р],"5/24",Таблица1[Ф. И. О.],B660)</f>
        <v>0</v>
      </c>
      <c r="X665" s="93">
        <f>ROUND(U665*V665*W665,2)</f>
        <v>0</v>
      </c>
      <c r="Y665" s="809"/>
      <c r="Z665" s="811"/>
      <c r="AA665" s="814"/>
    </row>
    <row r="666" spans="1:29" ht="20.25" customHeight="1">
      <c r="A666" s="755">
        <v>61</v>
      </c>
      <c r="B666" s="618"/>
      <c r="C666" s="821">
        <f>INDEX(база!$E$2:$E$181, MATCH(B671,база!$B$2:$B$160,0))</f>
        <v>16858</v>
      </c>
      <c r="D666" s="822">
        <f>INDEX(база!$D$2:$D$189, MATCH(B671,база!$B$2:$B$160,0))</f>
        <v>3</v>
      </c>
      <c r="E666" s="74">
        <f>IF(D666&lt;=3,база!$I$4,
IF(D666=4,база!$I$5,
IF(D666=5,база!$I$6)))</f>
        <v>188.7912</v>
      </c>
      <c r="F666" s="270">
        <v>1</v>
      </c>
      <c r="G666" s="88">
        <f>SUMIFS(Таблица1[сумма],Таблица1[коэф],"1",Таблица1[р/р],"2/4",Таблица1[Ф. И. О.],B671)</f>
        <v>0</v>
      </c>
      <c r="H666" s="102">
        <f>ROUND(E666*F666*G666,2)</f>
        <v>0</v>
      </c>
      <c r="I666" s="24">
        <f>IF(D666&lt;=3,база!$J$4,
IF(D666=4,база!$J$5,
IF(D666=5,база!$J$6)))</f>
        <v>196.05240000000001</v>
      </c>
      <c r="J666" s="277">
        <v>1</v>
      </c>
      <c r="K666" s="22">
        <f>SUMIFS(Таблица1[сумма],Таблица1[коэф],"1",Таблица1[р/р],"2/8",Таблица1[Ф. И. О.],B671)</f>
        <v>0</v>
      </c>
      <c r="L666" s="309">
        <f>ROUND(I666*J666*K666,2)</f>
        <v>0</v>
      </c>
      <c r="M666" s="24"/>
      <c r="N666" s="22">
        <v>1</v>
      </c>
      <c r="O666" s="22">
        <f>SUMIFS(Data_Tech!$AM$3:$AM$67,Data_Tech!$E$3:$E$67,"1",Data_Tech!$G$3:$G$67,"3/12",Data_Tech!$F$3:$F$67,B671)</f>
        <v>0</v>
      </c>
      <c r="P666" s="281">
        <f>ROUND(M666*N666*O666,2)</f>
        <v>0</v>
      </c>
      <c r="Q666" s="619">
        <f>IF(D666&lt;=3,база!$L$4,
IF(D666=4,база!$L$5,
IF(D666=5,база!$L$6)))</f>
        <v>210.57480000000001</v>
      </c>
      <c r="R666" s="270">
        <v>1</v>
      </c>
      <c r="S666" s="96">
        <f>SUMIFS(Таблица1[сумма],Таблица1[коэф],"1",Таблица1[р/р],"3/16",Таблица1[Ф. И. О.],B671)</f>
        <v>0</v>
      </c>
      <c r="T666" s="102">
        <f t="shared" ref="T666:T670" si="412">ROUND(Q666*R666*S666,2)</f>
        <v>0</v>
      </c>
      <c r="U666" s="81">
        <f>IF(D666&lt;=3,база!$M$4,
IF(D666=4,база!$M$5,
IF(D666=5,база!$M$6)))</f>
        <v>225.09719999999999</v>
      </c>
      <c r="V666" s="270">
        <v>1</v>
      </c>
      <c r="W666" s="96">
        <f>SUMIFS(Таблица1[сумма],Таблица1[коэф],"1",Таблица1[р/р],"3/24",Таблица1[Ф. И. О.],B671)</f>
        <v>0</v>
      </c>
      <c r="X666" s="102">
        <f>ROUND(U666*V666*W666,2)</f>
        <v>0</v>
      </c>
      <c r="Y666" s="807">
        <f t="shared" ref="Y666" si="413">SUM(G666:G676,K666:K676,O666:O676,S666:S676,W666:W676)</f>
        <v>0</v>
      </c>
      <c r="Z666" s="823">
        <f t="shared" ref="Z666" si="414">IFERROR(SUM(H666:H676,L666:L676,T666:T676,X666:X676),"")</f>
        <v>0</v>
      </c>
      <c r="AA666" s="812"/>
    </row>
    <row r="667" spans="1:29">
      <c r="A667" s="756"/>
      <c r="B667" s="618"/>
      <c r="C667" s="815"/>
      <c r="D667" s="817"/>
      <c r="E667" s="74">
        <f>IF(D666&lt;=3,база!$I$4,
IF(D666=4,база!$I$5,
IF(D666=5,база!$I$6)))</f>
        <v>188.7912</v>
      </c>
      <c r="F667" s="270">
        <v>1</v>
      </c>
      <c r="G667" s="88">
        <f>SUMIFS(Таблица1[сумма],Таблица1[коэф],"1",Таблица1[р/р],"3/4",Таблица1[Ф. И. О.],B671)</f>
        <v>0</v>
      </c>
      <c r="H667" s="102">
        <f>ROUND(E667*F667*G667,2)</f>
        <v>0</v>
      </c>
      <c r="I667" s="24">
        <f>IF(D666&lt;=3,база!$J$4,
IF(D666=4,база!$J$5,
IF(D666=5,база!$J$6)))</f>
        <v>196.05240000000001</v>
      </c>
      <c r="J667" s="277">
        <v>1</v>
      </c>
      <c r="K667" s="22"/>
      <c r="L667" s="309">
        <f>ROUND(I667*J667*K667,2)</f>
        <v>0</v>
      </c>
      <c r="M667" s="24"/>
      <c r="N667" s="22">
        <v>1</v>
      </c>
      <c r="O667" s="22">
        <f>SUMIFS(Data_Tech!$AM$3:$AM$67,Data_Tech!$E$3:$E$67,"1",Data_Tech!$G$3:$G$67,"4/12",Data_Tech!$F$3:$F$67,B671)</f>
        <v>0</v>
      </c>
      <c r="P667" s="281">
        <f>ROUND(M667*O667,2)</f>
        <v>0</v>
      </c>
      <c r="Q667" s="619">
        <f>база!$L$5</f>
        <v>231.45480000000001</v>
      </c>
      <c r="R667" s="270">
        <v>1</v>
      </c>
      <c r="S667" s="96">
        <f>SUMIFS(Таблица1[сумма],Таблица1[коэф],"1",Таблица1[р/р],"4/16",Таблица1[Ф. И. О.],B671)</f>
        <v>0</v>
      </c>
      <c r="T667" s="102">
        <f t="shared" si="412"/>
        <v>0</v>
      </c>
      <c r="U667" s="81">
        <f>база!$M$5</f>
        <v>247.41720000000001</v>
      </c>
      <c r="V667" s="270">
        <v>1</v>
      </c>
      <c r="W667" s="96">
        <f>SUMIFS(Таблица1[сумма],Таблица1[коэф],"1",Таблица1[р/р],"4/24",Таблица1[Ф. И. О.],B671)</f>
        <v>0</v>
      </c>
      <c r="X667" s="102">
        <f t="shared" ref="X667" si="415">ROUND(U667*V667*W667,2)</f>
        <v>0</v>
      </c>
      <c r="Y667" s="808"/>
      <c r="Z667" s="810"/>
      <c r="AA667" s="813"/>
    </row>
    <row r="668" spans="1:29">
      <c r="A668" s="756"/>
      <c r="B668" s="618"/>
      <c r="C668" s="815"/>
      <c r="D668" s="817"/>
      <c r="E668" s="74"/>
      <c r="F668" s="270"/>
      <c r="G668" s="88"/>
      <c r="H668" s="102"/>
      <c r="I668" s="24"/>
      <c r="J668" s="277"/>
      <c r="K668" s="22"/>
      <c r="L668" s="309"/>
      <c r="M668" s="24"/>
      <c r="N668" s="22"/>
      <c r="O668" s="22"/>
      <c r="P668" s="281"/>
      <c r="Q668" s="619">
        <f>база!$L$6</f>
        <v>261.04640000000001</v>
      </c>
      <c r="R668" s="270">
        <v>1</v>
      </c>
      <c r="S668" s="96">
        <f>SUMIFS(Таблица1[сумма],Таблица1[коэф],"1",Таблица1[р/р],"5/16",Таблица1[Ф. И. О.],B671)</f>
        <v>0</v>
      </c>
      <c r="T668" s="102">
        <f t="shared" si="412"/>
        <v>0</v>
      </c>
      <c r="U668" s="81">
        <f>база!$M$6</f>
        <v>279.0496</v>
      </c>
      <c r="V668" s="270">
        <v>1</v>
      </c>
      <c r="W668" s="96">
        <f>SUMIFS(Таблица1[сумма],Таблица1[коэф],"1",Таблица1[р/р],"5/24",Таблица1[Ф. И. О.],B671)</f>
        <v>0</v>
      </c>
      <c r="X668" s="102">
        <f>ROUND(U668*V668*W668,2)</f>
        <v>0</v>
      </c>
      <c r="Y668" s="808"/>
      <c r="Z668" s="810"/>
      <c r="AA668" s="813"/>
    </row>
    <row r="669" spans="1:29">
      <c r="A669" s="756"/>
      <c r="B669" s="618"/>
      <c r="C669" s="815"/>
      <c r="D669" s="817"/>
      <c r="E669" s="74"/>
      <c r="F669" s="270"/>
      <c r="G669" s="88"/>
      <c r="H669" s="102"/>
      <c r="I669" s="24">
        <f>база!$J$5</f>
        <v>215.4924</v>
      </c>
      <c r="J669" s="277">
        <v>1.5</v>
      </c>
      <c r="K669" s="22">
        <f>SUMIFS(Таблица1[сумма],Таблица1[коэф],"1,5",Таблица1[р/р],"4/8",Таблица1[Ф. И. О.],B671)</f>
        <v>0</v>
      </c>
      <c r="L669" s="309">
        <f>ROUND(I669*J669*K669,2)</f>
        <v>0</v>
      </c>
      <c r="M669" s="24"/>
      <c r="N669" s="22"/>
      <c r="O669" s="22"/>
      <c r="P669" s="281"/>
      <c r="Q669" s="619">
        <f>IF(D666&lt;=3,база!$L$4,
IF(D666=4,база!$L$5,
IF(D666=5,база!$L$6)))</f>
        <v>210.57480000000001</v>
      </c>
      <c r="R669" s="270">
        <v>1.2</v>
      </c>
      <c r="S669" s="96">
        <f>SUMIFS(Таблица1[сумма],Таблица1[коэф],"1,2",Таблица1[р/р],"3/16",Таблица1[Ф. И. О.],B671)</f>
        <v>0</v>
      </c>
      <c r="T669" s="102">
        <f t="shared" si="412"/>
        <v>0</v>
      </c>
      <c r="U669" s="81">
        <f>IF(D666&lt;=3,база!$M$4,
IF(D666=4,база!$M$5,
IF(D666=5,база!$M$6)))</f>
        <v>225.09719999999999</v>
      </c>
      <c r="V669" s="270">
        <v>1.2</v>
      </c>
      <c r="W669" s="96">
        <f>SUMIFS(Таблица1[сумма],Таблица1[коэф],"1,2",Таблица1[р/р],"3/24",Таблица1[Ф. И. О.],B671)</f>
        <v>0</v>
      </c>
      <c r="X669" s="102">
        <f t="shared" ref="X669:X670" si="416">ROUND(U669*V669*W669,2)</f>
        <v>0</v>
      </c>
      <c r="Y669" s="808"/>
      <c r="Z669" s="810"/>
      <c r="AA669" s="813"/>
    </row>
    <row r="670" spans="1:29">
      <c r="A670" s="756"/>
      <c r="B670" s="618"/>
      <c r="C670" s="815"/>
      <c r="D670" s="817"/>
      <c r="E670" s="74"/>
      <c r="F670" s="270"/>
      <c r="G670" s="88"/>
      <c r="H670" s="102"/>
      <c r="I670" s="24">
        <f>база!$J$6</f>
        <v>243.04319999999998</v>
      </c>
      <c r="J670" s="277">
        <v>1.5</v>
      </c>
      <c r="K670" s="22">
        <f>SUMIFS(Таблица1[сумма],Таблица1[коэф],"1,5",Таблица1[р/р],"5/8",Таблица1[Ф. И. О.],B671)</f>
        <v>0</v>
      </c>
      <c r="L670" s="309">
        <f>ROUND(I670*J670*K670,2)</f>
        <v>0</v>
      </c>
      <c r="M670" s="24"/>
      <c r="N670" s="22"/>
      <c r="O670" s="22"/>
      <c r="P670" s="281"/>
      <c r="Q670" s="619">
        <f>база!$L$5</f>
        <v>231.45480000000001</v>
      </c>
      <c r="R670" s="270">
        <v>1.2</v>
      </c>
      <c r="S670" s="96">
        <f>SUMIFS(Таблица1[сумма],Таблица1[коэф],"1,2",Таблица1[р/р],"4/16",Таблица1[Ф. И. О.],B671)</f>
        <v>0</v>
      </c>
      <c r="T670" s="102">
        <f t="shared" si="412"/>
        <v>0</v>
      </c>
      <c r="U670" s="81">
        <f>база!$M$5</f>
        <v>247.41720000000001</v>
      </c>
      <c r="V670" s="270">
        <v>1.2</v>
      </c>
      <c r="W670" s="96">
        <f>SUMIFS(Таблица1[сумма],Таблица1[коэф],"1,2",Таблица1[р/р],"4/24",Таблица1[Ф. И. О.],B671)</f>
        <v>0</v>
      </c>
      <c r="X670" s="102">
        <f t="shared" si="416"/>
        <v>0</v>
      </c>
      <c r="Y670" s="808"/>
      <c r="Z670" s="810"/>
      <c r="AA670" s="813"/>
      <c r="AC670" s="707" t="str">
        <f>IF(SUMIFS(Таблица1[Столбец2],Таблица1[Ф. И. О.],B671)-Z666=0,"",SUMIFS(Таблица1[Столбец2],Таблица1[Ф. И. О.],B671)-Z666)</f>
        <v/>
      </c>
    </row>
    <row r="671" spans="1:29">
      <c r="A671" s="756"/>
      <c r="B671" s="618" t="str">
        <f>база!B62</f>
        <v>Полушкина Анастасия Юрьевна</v>
      </c>
      <c r="C671" s="815"/>
      <c r="D671" s="817"/>
      <c r="E671" s="74"/>
      <c r="F671" s="270"/>
      <c r="G671" s="88"/>
      <c r="H671" s="102"/>
      <c r="I671" s="24"/>
      <c r="J671" s="277"/>
      <c r="K671" s="22"/>
      <c r="L671" s="309"/>
      <c r="M671" s="24"/>
      <c r="N671" s="22"/>
      <c r="O671" s="22"/>
      <c r="P671" s="281"/>
      <c r="Q671" s="619">
        <f>база!$L$6</f>
        <v>261.04640000000001</v>
      </c>
      <c r="R671" s="270">
        <v>1.2</v>
      </c>
      <c r="S671" s="96">
        <f>SUMIFS(Таблица1[сумма],Таблица1[коэф],"1,2",Таблица1[р/р],"5/16",Таблица1[Ф. И. О.],B671)</f>
        <v>0</v>
      </c>
      <c r="T671" s="102">
        <f>ROUND(Q671*R671*S671,2)</f>
        <v>0</v>
      </c>
      <c r="U671" s="81">
        <f>база!$M$6</f>
        <v>279.0496</v>
      </c>
      <c r="V671" s="270">
        <v>1.2</v>
      </c>
      <c r="W671" s="96">
        <f>SUMIFS(Таблица1[сумма],Таблица1[коэф],"1,2",Таблица1[р/р],"5/24",Таблица1[Ф. И. О.],B671)</f>
        <v>0</v>
      </c>
      <c r="X671" s="102">
        <f>ROUND(U671*V671*W671,2)</f>
        <v>0</v>
      </c>
      <c r="Y671" s="808"/>
      <c r="Z671" s="810"/>
      <c r="AA671" s="813"/>
      <c r="AC671" s="707" t="str">
        <f>IF(SUMIFS(Таблица1[сумма],Таблица1[Ф. И. О.],B671)=Y666,"",B666&amp;"  часы не верны")</f>
        <v/>
      </c>
    </row>
    <row r="672" spans="1:29">
      <c r="A672" s="756"/>
      <c r="B672" s="618"/>
      <c r="C672" s="815"/>
      <c r="D672" s="817"/>
      <c r="E672" s="74"/>
      <c r="F672" s="270"/>
      <c r="G672" s="88"/>
      <c r="H672" s="102"/>
      <c r="I672" s="24"/>
      <c r="J672" s="277"/>
      <c r="K672" s="22"/>
      <c r="L672" s="309"/>
      <c r="M672" s="24"/>
      <c r="N672" s="22"/>
      <c r="O672" s="22"/>
      <c r="P672" s="281"/>
      <c r="Q672" s="619">
        <f>IF($D$6&lt;=3,база!$L$4,
IF($D$6=4,база!$L$5,
IF($D$6=5,база!$L$6)))</f>
        <v>231.45480000000001</v>
      </c>
      <c r="R672" s="270">
        <v>1.3</v>
      </c>
      <c r="S672" s="96">
        <f>SUMIFS(Таблица1[сумма],Таблица1[коэф],"1,3",Таблица1[р/р],"3/16",Таблица1[Ф. И. О.],B671)</f>
        <v>0</v>
      </c>
      <c r="T672" s="102">
        <f t="shared" ref="T672:T673" si="417">ROUND(Q672*R672*S672,2)</f>
        <v>0</v>
      </c>
      <c r="U672" s="81">
        <f>IF(D666&lt;=3,база!$M$4,
IF(D666=4,база!$M$5,
IF(D666=5,база!$M$6)))</f>
        <v>225.09719999999999</v>
      </c>
      <c r="V672" s="270">
        <v>1.3</v>
      </c>
      <c r="W672" s="96">
        <f>SUMIFS(Таблица1[сумма],Таблица1[коэф],"1,3",Таблица1[р/р],"3/24",Таблица1[Ф. И. О.],B671)</f>
        <v>0</v>
      </c>
      <c r="X672" s="102">
        <f t="shared" ref="X672:X673" si="418">ROUND(U672*V672*W672,2)</f>
        <v>0</v>
      </c>
      <c r="Y672" s="808"/>
      <c r="Z672" s="810"/>
      <c r="AA672" s="813"/>
    </row>
    <row r="673" spans="1:29">
      <c r="A673" s="756"/>
      <c r="B673" s="618"/>
      <c r="C673" s="815"/>
      <c r="D673" s="817"/>
      <c r="E673" s="74"/>
      <c r="F673" s="270"/>
      <c r="G673" s="88"/>
      <c r="H673" s="102"/>
      <c r="I673" s="24"/>
      <c r="J673" s="277"/>
      <c r="K673" s="22"/>
      <c r="L673" s="309"/>
      <c r="M673" s="24"/>
      <c r="N673" s="22"/>
      <c r="O673" s="22"/>
      <c r="P673" s="281"/>
      <c r="Q673" s="619">
        <f>база!$L$5</f>
        <v>231.45480000000001</v>
      </c>
      <c r="R673" s="270">
        <v>1.3</v>
      </c>
      <c r="S673" s="96">
        <f>SUMIFS(Таблица1[сумма],Таблица1[коэф],"1,3",Таблица1[р/р],"4/16",Таблица1[Ф. И. О.],B671)</f>
        <v>0</v>
      </c>
      <c r="T673" s="102">
        <f t="shared" si="417"/>
        <v>0</v>
      </c>
      <c r="U673" s="81">
        <f>база!$M$5</f>
        <v>247.41720000000001</v>
      </c>
      <c r="V673" s="270">
        <v>1.3</v>
      </c>
      <c r="W673" s="96">
        <f>SUMIFS(Таблица1[сумма],Таблица1[коэф],"1,3",Таблица1[р/р],"4/24",Таблица1[Ф. И. О.],B671)</f>
        <v>0</v>
      </c>
      <c r="X673" s="102">
        <f t="shared" si="418"/>
        <v>0</v>
      </c>
      <c r="Y673" s="808"/>
      <c r="Z673" s="810"/>
      <c r="AA673" s="813"/>
    </row>
    <row r="674" spans="1:29">
      <c r="A674" s="756"/>
      <c r="B674" s="618"/>
      <c r="C674" s="815"/>
      <c r="D674" s="817"/>
      <c r="E674" s="74"/>
      <c r="F674" s="270"/>
      <c r="G674" s="88"/>
      <c r="H674" s="102"/>
      <c r="I674" s="24"/>
      <c r="J674" s="277"/>
      <c r="K674" s="22"/>
      <c r="L674" s="309"/>
      <c r="M674" s="24"/>
      <c r="N674" s="22"/>
      <c r="O674" s="22"/>
      <c r="P674" s="281"/>
      <c r="Q674" s="619">
        <f>IF(D666&lt;=3,база!$L$4,
IF(D666=4,база!$L$5,
IF(D666=5,база!$L$6)))</f>
        <v>210.57480000000001</v>
      </c>
      <c r="R674" s="270">
        <v>1.4</v>
      </c>
      <c r="S674" s="96">
        <f>SUMIFS(Таблица1[сумма],Таблица1[коэф],"1,4",Таблица1[р/р],"3/16",Таблица1[Ф. И. О.],B671)</f>
        <v>0</v>
      </c>
      <c r="T674" s="102">
        <f>ROUND(Q674*R674*S674,2)</f>
        <v>0</v>
      </c>
      <c r="U674" s="81">
        <f>IF(D666&lt;=3,база!$M$4,
IF(D666=4,база!$M$5,
IF(D666=5,база!$M$6)))</f>
        <v>225.09719999999999</v>
      </c>
      <c r="V674" s="270">
        <v>1.4</v>
      </c>
      <c r="W674" s="96">
        <f>SUMIFS(Таблица1[сумма],Таблица1[коэф],"1,4",Таблица1[р/р],"3/24",Таблица1[Ф. И. О.],B671)</f>
        <v>0</v>
      </c>
      <c r="X674" s="102">
        <f>ROUND(U674*V674*W674,2)</f>
        <v>0</v>
      </c>
      <c r="Y674" s="808"/>
      <c r="Z674" s="810"/>
      <c r="AA674" s="813"/>
    </row>
    <row r="675" spans="1:29">
      <c r="A675" s="756"/>
      <c r="B675" s="618"/>
      <c r="C675" s="815"/>
      <c r="D675" s="817"/>
      <c r="E675" s="84"/>
      <c r="F675" s="272"/>
      <c r="G675" s="628"/>
      <c r="H675" s="89"/>
      <c r="I675" s="67"/>
      <c r="J675" s="629"/>
      <c r="K675" s="59"/>
      <c r="L675" s="325"/>
      <c r="M675" s="67"/>
      <c r="N675" s="59"/>
      <c r="O675" s="59"/>
      <c r="P675" s="282"/>
      <c r="Q675" s="630">
        <f>база!$L$5</f>
        <v>231.45480000000001</v>
      </c>
      <c r="R675" s="272">
        <v>1.4</v>
      </c>
      <c r="S675" s="100">
        <f>SUMIFS(Таблица1[сумма],Таблица1[коэф],"1,4",Таблица1[р/р],"4/16",Таблица1[Ф. И. О.],B671)</f>
        <v>0</v>
      </c>
      <c r="T675" s="89">
        <f>ROUND(Q675*R675*S675,2)</f>
        <v>0</v>
      </c>
      <c r="U675" s="105">
        <f>база!$M$5</f>
        <v>247.41720000000001</v>
      </c>
      <c r="V675" s="272">
        <v>1.4</v>
      </c>
      <c r="W675" s="100">
        <f>SUMIFS(Таблица1[сумма],Таблица1[коэф],"1,4",Таблица1[р/р],"4/24",Таблица1[Ф. И. О.],B671)</f>
        <v>0</v>
      </c>
      <c r="X675" s="89">
        <f>ROUND(U675*V675*W675,2)</f>
        <v>0</v>
      </c>
      <c r="Y675" s="808"/>
      <c r="Z675" s="810"/>
      <c r="AA675" s="813"/>
    </row>
    <row r="676" spans="1:29" ht="24" thickBot="1">
      <c r="A676" s="757"/>
      <c r="B676" s="352"/>
      <c r="C676" s="816"/>
      <c r="D676" s="818"/>
      <c r="E676" s="76"/>
      <c r="F676" s="275"/>
      <c r="G676" s="620"/>
      <c r="H676" s="93"/>
      <c r="I676" s="621"/>
      <c r="J676" s="594"/>
      <c r="K676" s="622"/>
      <c r="L676" s="328"/>
      <c r="M676" s="621"/>
      <c r="N676" s="622"/>
      <c r="O676" s="622"/>
      <c r="P676" s="289"/>
      <c r="Q676" s="623">
        <f>база!$L$6</f>
        <v>261.04640000000001</v>
      </c>
      <c r="R676" s="275">
        <v>1.4</v>
      </c>
      <c r="S676" s="99">
        <f>SUMIFS(Таблица1[сумма],Таблица1[коэф],"1,4",Таблица1[р/р],"5/16",Таблица1[Ф. И. О.],B671)</f>
        <v>0</v>
      </c>
      <c r="T676" s="93">
        <f>ROUND(Q676*R676*S676,2)</f>
        <v>0</v>
      </c>
      <c r="U676" s="83">
        <f>база!$M$6</f>
        <v>279.0496</v>
      </c>
      <c r="V676" s="275">
        <v>1.4</v>
      </c>
      <c r="W676" s="99">
        <f>SUMIFS(Таблица1[сумма],Таблица1[коэф],"1,4",Таблица1[р/р],"5/24",Таблица1[Ф. И. О.],B671)</f>
        <v>0</v>
      </c>
      <c r="X676" s="93">
        <f>ROUND(U676*V676*W676,2)</f>
        <v>0</v>
      </c>
      <c r="Y676" s="809"/>
      <c r="Z676" s="811"/>
      <c r="AA676" s="814"/>
    </row>
    <row r="677" spans="1:29" ht="20.25" customHeight="1">
      <c r="A677" s="755">
        <v>62</v>
      </c>
      <c r="B677" s="618"/>
      <c r="C677" s="821">
        <f>INDEX(база!$E$2:$E$181, MATCH(B682,база!$B$2:$B$160,0))</f>
        <v>15098</v>
      </c>
      <c r="D677" s="822">
        <f>INDEX(база!$D$2:$D$189, MATCH(B682,база!$B$2:$B$160,0))</f>
        <v>3</v>
      </c>
      <c r="E677" s="74">
        <f>IF(D677&lt;=3,база!$I$4,
IF(D677=4,база!$I$5,
IF(D677=5,база!$I$6)))</f>
        <v>188.7912</v>
      </c>
      <c r="F677" s="270">
        <v>1</v>
      </c>
      <c r="G677" s="88">
        <f>SUMIFS(Таблица1[сумма],Таблица1[коэф],"1",Таблица1[р/р],"2/4",Таблица1[Ф. И. О.],B682)</f>
        <v>0</v>
      </c>
      <c r="H677" s="102">
        <f>ROUND(E677*F677*G677,2)</f>
        <v>0</v>
      </c>
      <c r="I677" s="24">
        <f>IF(D677&lt;=3,база!$J$4,
IF(D677=4,база!$J$5,
IF(D677=5,база!$J$6)))</f>
        <v>196.05240000000001</v>
      </c>
      <c r="J677" s="277">
        <v>1</v>
      </c>
      <c r="K677" s="22">
        <f>SUMIFS(Таблица1[сумма],Таблица1[коэф],"1",Таблица1[р/р],"2/8",Таблица1[Ф. И. О.],B682)</f>
        <v>0</v>
      </c>
      <c r="L677" s="309">
        <f>ROUND(I677*J677*K677,2)</f>
        <v>0</v>
      </c>
      <c r="M677" s="24"/>
      <c r="N677" s="22">
        <v>1</v>
      </c>
      <c r="O677" s="22">
        <f>SUMIFS(Data_Tech!$AM$3:$AM$67,Data_Tech!$E$3:$E$67,"1",Data_Tech!$G$3:$G$67,"3/12",Data_Tech!$F$3:$F$67,B682)</f>
        <v>0</v>
      </c>
      <c r="P677" s="281">
        <f>ROUND(M677*N677*O677,2)</f>
        <v>0</v>
      </c>
      <c r="Q677" s="619">
        <f>IF(D677&lt;=3,база!$L$4,
IF(D677=4,база!$L$5,
IF(D677=5,база!$L$6)))</f>
        <v>210.57480000000001</v>
      </c>
      <c r="R677" s="270">
        <v>1</v>
      </c>
      <c r="S677" s="96">
        <f>SUMIFS(Таблица1[сумма],Таблица1[коэф],"1",Таблица1[р/р],"3/16",Таблица1[Ф. И. О.],B682)</f>
        <v>0</v>
      </c>
      <c r="T677" s="102">
        <f t="shared" ref="T677:T681" si="419">ROUND(Q677*R677*S677,2)</f>
        <v>0</v>
      </c>
      <c r="U677" s="81">
        <f>IF(D677&lt;=3,база!$M$4,
IF(D677=4,база!$M$5,
IF(D677=5,база!$M$6)))</f>
        <v>225.09719999999999</v>
      </c>
      <c r="V677" s="270">
        <v>1</v>
      </c>
      <c r="W677" s="96">
        <f>SUMIFS(Таблица1[сумма],Таблица1[коэф],"1",Таблица1[р/р],"3/24",Таблица1[Ф. И. О.],B682)</f>
        <v>0</v>
      </c>
      <c r="X677" s="102">
        <f>ROUND(U677*V677*W677,2)</f>
        <v>0</v>
      </c>
      <c r="Y677" s="807">
        <f t="shared" ref="Y677" si="420">SUM(G677:G687,K677:K687,O677:O687,S677:S687,W677:W687)</f>
        <v>0</v>
      </c>
      <c r="Z677" s="823">
        <f t="shared" ref="Z677" si="421">IFERROR(SUM(H677:H687,L677:L687,T677:T687,X677:X687),"")</f>
        <v>0</v>
      </c>
      <c r="AA677" s="812"/>
    </row>
    <row r="678" spans="1:29">
      <c r="A678" s="756"/>
      <c r="B678" s="618"/>
      <c r="C678" s="815"/>
      <c r="D678" s="817"/>
      <c r="E678" s="74">
        <f>IF(D677&lt;=3,база!$I$4,
IF(D677=4,база!$I$5,
IF(D677=5,база!$I$6)))</f>
        <v>188.7912</v>
      </c>
      <c r="F678" s="270">
        <v>1</v>
      </c>
      <c r="G678" s="88">
        <f>SUMIFS(Таблица1[сумма],Таблица1[коэф],"1",Таблица1[р/р],"3/4",Таблица1[Ф. И. О.],B682)</f>
        <v>0</v>
      </c>
      <c r="H678" s="102">
        <f>ROUND(E678*F678*G678,2)</f>
        <v>0</v>
      </c>
      <c r="I678" s="24">
        <f>IF(D677&lt;=3,база!$J$4,
IF(D677=4,база!$J$5,
IF(D677=5,база!$J$6)))</f>
        <v>196.05240000000001</v>
      </c>
      <c r="J678" s="277">
        <v>1</v>
      </c>
      <c r="K678" s="22"/>
      <c r="L678" s="309">
        <f>ROUND(I678*J678*K678,2)</f>
        <v>0</v>
      </c>
      <c r="M678" s="24"/>
      <c r="N678" s="22">
        <v>1</v>
      </c>
      <c r="O678" s="22">
        <f>SUMIFS(Data_Tech!$AM$3:$AM$67,Data_Tech!$E$3:$E$67,"1",Data_Tech!$G$3:$G$67,"4/12",Data_Tech!$F$3:$F$67,B682)</f>
        <v>0</v>
      </c>
      <c r="P678" s="281">
        <f>ROUND(M678*O678,2)</f>
        <v>0</v>
      </c>
      <c r="Q678" s="619">
        <f>база!$L$5</f>
        <v>231.45480000000001</v>
      </c>
      <c r="R678" s="270">
        <v>1</v>
      </c>
      <c r="S678" s="96">
        <f>SUMIFS(Таблица1[сумма],Таблица1[коэф],"1",Таблица1[р/р],"4/16",Таблица1[Ф. И. О.],B682)</f>
        <v>0</v>
      </c>
      <c r="T678" s="102">
        <f t="shared" si="419"/>
        <v>0</v>
      </c>
      <c r="U678" s="81">
        <f>база!$M$5</f>
        <v>247.41720000000001</v>
      </c>
      <c r="V678" s="270">
        <v>1</v>
      </c>
      <c r="W678" s="96">
        <f>SUMIFS(Таблица1[сумма],Таблица1[коэф],"1",Таблица1[р/р],"4/24",Таблица1[Ф. И. О.],B682)</f>
        <v>0</v>
      </c>
      <c r="X678" s="102">
        <f t="shared" ref="X678" si="422">ROUND(U678*V678*W678,2)</f>
        <v>0</v>
      </c>
      <c r="Y678" s="808"/>
      <c r="Z678" s="810"/>
      <c r="AA678" s="813"/>
    </row>
    <row r="679" spans="1:29">
      <c r="A679" s="756"/>
      <c r="B679" s="618"/>
      <c r="C679" s="815"/>
      <c r="D679" s="817"/>
      <c r="E679" s="74"/>
      <c r="F679" s="270"/>
      <c r="G679" s="88"/>
      <c r="H679" s="102"/>
      <c r="I679" s="24"/>
      <c r="J679" s="277"/>
      <c r="K679" s="22"/>
      <c r="L679" s="309"/>
      <c r="M679" s="24"/>
      <c r="N679" s="22"/>
      <c r="O679" s="22"/>
      <c r="P679" s="281"/>
      <c r="Q679" s="619">
        <f>база!$L$6</f>
        <v>261.04640000000001</v>
      </c>
      <c r="R679" s="270">
        <v>1</v>
      </c>
      <c r="S679" s="96">
        <f>SUMIFS(Таблица1[сумма],Таблица1[коэф],"1",Таблица1[р/р],"5/16",Таблица1[Ф. И. О.],B682)</f>
        <v>0</v>
      </c>
      <c r="T679" s="102">
        <f t="shared" si="419"/>
        <v>0</v>
      </c>
      <c r="U679" s="81">
        <f>база!$M$6</f>
        <v>279.0496</v>
      </c>
      <c r="V679" s="270">
        <v>1</v>
      </c>
      <c r="W679" s="96">
        <f>SUMIFS(Таблица1[сумма],Таблица1[коэф],"1",Таблица1[р/р],"5/24",Таблица1[Ф. И. О.],B682)</f>
        <v>0</v>
      </c>
      <c r="X679" s="102">
        <f>ROUND(U679*V679*W679,2)</f>
        <v>0</v>
      </c>
      <c r="Y679" s="808"/>
      <c r="Z679" s="810"/>
      <c r="AA679" s="813"/>
    </row>
    <row r="680" spans="1:29">
      <c r="A680" s="756"/>
      <c r="B680" s="618"/>
      <c r="C680" s="815"/>
      <c r="D680" s="817"/>
      <c r="E680" s="74"/>
      <c r="F680" s="270"/>
      <c r="G680" s="88"/>
      <c r="H680" s="102"/>
      <c r="I680" s="24">
        <f>база!$J$5</f>
        <v>215.4924</v>
      </c>
      <c r="J680" s="277">
        <v>1.5</v>
      </c>
      <c r="K680" s="22">
        <f>SUMIFS(Таблица1[сумма],Таблица1[коэф],"1,5",Таблица1[р/р],"4/8",Таблица1[Ф. И. О.],B682)</f>
        <v>0</v>
      </c>
      <c r="L680" s="309">
        <f>ROUND(I680*J680*K680,2)</f>
        <v>0</v>
      </c>
      <c r="M680" s="24"/>
      <c r="N680" s="22"/>
      <c r="O680" s="22"/>
      <c r="P680" s="281"/>
      <c r="Q680" s="619">
        <f>IF(D677&lt;=3,база!$L$4,
IF(D677=4,база!$L$5,
IF(D677=5,база!$L$6)))</f>
        <v>210.57480000000001</v>
      </c>
      <c r="R680" s="270">
        <v>1.2</v>
      </c>
      <c r="S680" s="96">
        <f>SUMIFS(Таблица1[сумма],Таблица1[коэф],"1,2",Таблица1[р/р],"3/16",Таблица1[Ф. И. О.],B682)</f>
        <v>0</v>
      </c>
      <c r="T680" s="102">
        <f t="shared" si="419"/>
        <v>0</v>
      </c>
      <c r="U680" s="81">
        <f>IF(D677&lt;=3,база!$M$4,
IF(D677=4,база!$M$5,
IF(D677=5,база!$M$6)))</f>
        <v>225.09719999999999</v>
      </c>
      <c r="V680" s="270">
        <v>1.2</v>
      </c>
      <c r="W680" s="96">
        <f>SUMIFS(Таблица1[сумма],Таблица1[коэф],"1,2",Таблица1[р/р],"3/24",Таблица1[Ф. И. О.],B682)</f>
        <v>0</v>
      </c>
      <c r="X680" s="102">
        <f t="shared" ref="X680:X681" si="423">ROUND(U680*V680*W680,2)</f>
        <v>0</v>
      </c>
      <c r="Y680" s="808"/>
      <c r="Z680" s="810"/>
      <c r="AA680" s="813"/>
    </row>
    <row r="681" spans="1:29">
      <c r="A681" s="756"/>
      <c r="B681" s="618"/>
      <c r="C681" s="815"/>
      <c r="D681" s="817"/>
      <c r="E681" s="74"/>
      <c r="F681" s="270"/>
      <c r="G681" s="88"/>
      <c r="H681" s="102"/>
      <c r="I681" s="24">
        <f>база!$J$6</f>
        <v>243.04319999999998</v>
      </c>
      <c r="J681" s="277">
        <v>1.5</v>
      </c>
      <c r="K681" s="22">
        <f>SUMIFS(Таблица1[сумма],Таблица1[коэф],"1,5",Таблица1[р/р],"5/8",Таблица1[Ф. И. О.],B682)</f>
        <v>0</v>
      </c>
      <c r="L681" s="309">
        <f>ROUND(I681*J681*K681,2)</f>
        <v>0</v>
      </c>
      <c r="M681" s="24"/>
      <c r="N681" s="22"/>
      <c r="O681" s="22"/>
      <c r="P681" s="281"/>
      <c r="Q681" s="619">
        <f>база!$L$5</f>
        <v>231.45480000000001</v>
      </c>
      <c r="R681" s="270">
        <v>1.2</v>
      </c>
      <c r="S681" s="96">
        <f>SUMIFS(Таблица1[сумма],Таблица1[коэф],"1,2",Таблица1[р/р],"4/16",Таблица1[Ф. И. О.],B682)</f>
        <v>0</v>
      </c>
      <c r="T681" s="102">
        <f t="shared" si="419"/>
        <v>0</v>
      </c>
      <c r="U681" s="81">
        <f>база!$M$5</f>
        <v>247.41720000000001</v>
      </c>
      <c r="V681" s="270">
        <v>1.2</v>
      </c>
      <c r="W681" s="96">
        <f>SUMIFS(Таблица1[сумма],Таблица1[коэф],"1,2",Таблица1[р/р],"4/24",Таблица1[Ф. И. О.],B682)</f>
        <v>0</v>
      </c>
      <c r="X681" s="102">
        <f t="shared" si="423"/>
        <v>0</v>
      </c>
      <c r="Y681" s="808"/>
      <c r="Z681" s="810"/>
      <c r="AA681" s="813"/>
      <c r="AC681" s="707" t="str">
        <f>IF(SUMIFS(Таблица1[Столбец2],Таблица1[Ф. И. О.],B682)-Z677=0,"",SUMIFS(Таблица1[Столбец2],Таблица1[Ф. И. О.],B682)-Z677)</f>
        <v/>
      </c>
    </row>
    <row r="682" spans="1:29">
      <c r="A682" s="756"/>
      <c r="B682" s="618" t="str">
        <f>база!B63</f>
        <v>Потемкина Елена Анатольевна</v>
      </c>
      <c r="C682" s="815"/>
      <c r="D682" s="817"/>
      <c r="E682" s="74"/>
      <c r="F682" s="270"/>
      <c r="G682" s="88"/>
      <c r="H682" s="102"/>
      <c r="I682" s="24"/>
      <c r="J682" s="277"/>
      <c r="K682" s="22"/>
      <c r="L682" s="309"/>
      <c r="M682" s="24"/>
      <c r="N682" s="22"/>
      <c r="O682" s="22"/>
      <c r="P682" s="281"/>
      <c r="Q682" s="619">
        <f>база!$L$6</f>
        <v>261.04640000000001</v>
      </c>
      <c r="R682" s="270">
        <v>1.2</v>
      </c>
      <c r="S682" s="96">
        <f>SUMIFS(Таблица1[сумма],Таблица1[коэф],"1,2",Таблица1[р/р],"5/16",Таблица1[Ф. И. О.],B682)</f>
        <v>0</v>
      </c>
      <c r="T682" s="102">
        <f>ROUND(Q682*R682*S682,2)</f>
        <v>0</v>
      </c>
      <c r="U682" s="81">
        <f>база!$M$6</f>
        <v>279.0496</v>
      </c>
      <c r="V682" s="270">
        <v>1.2</v>
      </c>
      <c r="W682" s="96">
        <f>SUMIFS(Таблица1[сумма],Таблица1[коэф],"1,2",Таблица1[р/р],"5/24",Таблица1[Ф. И. О.],B682)</f>
        <v>0</v>
      </c>
      <c r="X682" s="102">
        <f>ROUND(U682*V682*W682,2)</f>
        <v>0</v>
      </c>
      <c r="Y682" s="808"/>
      <c r="Z682" s="810"/>
      <c r="AA682" s="813"/>
      <c r="AC682" s="707" t="str">
        <f>IF(SUMIFS(Таблица1[сумма],Таблица1[Ф. И. О.],B682)=Y677,"",B677&amp;"  часы не верны")</f>
        <v/>
      </c>
    </row>
    <row r="683" spans="1:29">
      <c r="A683" s="756"/>
      <c r="B683" s="618"/>
      <c r="C683" s="815"/>
      <c r="D683" s="817"/>
      <c r="E683" s="74"/>
      <c r="F683" s="270"/>
      <c r="G683" s="88"/>
      <c r="H683" s="102"/>
      <c r="I683" s="24"/>
      <c r="J683" s="277"/>
      <c r="K683" s="22"/>
      <c r="L683" s="309"/>
      <c r="M683" s="24"/>
      <c r="N683" s="22"/>
      <c r="O683" s="22"/>
      <c r="P683" s="281"/>
      <c r="Q683" s="619">
        <f>IF($D$6&lt;=3,база!$L$4,
IF($D$6=4,база!$L$5,
IF($D$6=5,база!$L$6)))</f>
        <v>231.45480000000001</v>
      </c>
      <c r="R683" s="270">
        <v>1.3</v>
      </c>
      <c r="S683" s="96">
        <f>SUMIFS(Таблица1[сумма],Таблица1[коэф],"1,3",Таблица1[р/р],"3/16",Таблица1[Ф. И. О.],B682)</f>
        <v>0</v>
      </c>
      <c r="T683" s="102">
        <f t="shared" ref="T683:T684" si="424">ROUND(Q683*R683*S683,2)</f>
        <v>0</v>
      </c>
      <c r="U683" s="81">
        <f>IF(D677&lt;=3,база!$M$4,
IF(D677=4,база!$M$5,
IF(D677=5,база!$M$6)))</f>
        <v>225.09719999999999</v>
      </c>
      <c r="V683" s="270">
        <v>1.3</v>
      </c>
      <c r="W683" s="96">
        <f>SUMIFS(Таблица1[сумма],Таблица1[коэф],"1,3",Таблица1[р/р],"3/24",Таблица1[Ф. И. О.],B682)</f>
        <v>0</v>
      </c>
      <c r="X683" s="102">
        <f t="shared" ref="X683:X684" si="425">ROUND(U683*V683*W683,2)</f>
        <v>0</v>
      </c>
      <c r="Y683" s="808"/>
      <c r="Z683" s="810"/>
      <c r="AA683" s="813"/>
    </row>
    <row r="684" spans="1:29">
      <c r="A684" s="756"/>
      <c r="B684" s="618"/>
      <c r="C684" s="815"/>
      <c r="D684" s="817"/>
      <c r="E684" s="74"/>
      <c r="F684" s="270"/>
      <c r="G684" s="88"/>
      <c r="H684" s="102"/>
      <c r="I684" s="24"/>
      <c r="J684" s="277"/>
      <c r="K684" s="22"/>
      <c r="L684" s="309"/>
      <c r="M684" s="24"/>
      <c r="N684" s="22"/>
      <c r="O684" s="22"/>
      <c r="P684" s="281"/>
      <c r="Q684" s="619">
        <f>база!$L$5</f>
        <v>231.45480000000001</v>
      </c>
      <c r="R684" s="270">
        <v>1.3</v>
      </c>
      <c r="S684" s="96">
        <f>SUMIFS(Таблица1[сумма],Таблица1[коэф],"1,3",Таблица1[р/р],"4/16",Таблица1[Ф. И. О.],B682)</f>
        <v>0</v>
      </c>
      <c r="T684" s="102">
        <f t="shared" si="424"/>
        <v>0</v>
      </c>
      <c r="U684" s="81">
        <f>база!$M$5</f>
        <v>247.41720000000001</v>
      </c>
      <c r="V684" s="270">
        <v>1.3</v>
      </c>
      <c r="W684" s="96">
        <f>SUMIFS(Таблица1[сумма],Таблица1[коэф],"1,3",Таблица1[р/р],"4/24",Таблица1[Ф. И. О.],B682)</f>
        <v>0</v>
      </c>
      <c r="X684" s="102">
        <f t="shared" si="425"/>
        <v>0</v>
      </c>
      <c r="Y684" s="808"/>
      <c r="Z684" s="810"/>
      <c r="AA684" s="813"/>
    </row>
    <row r="685" spans="1:29">
      <c r="A685" s="756"/>
      <c r="B685" s="618"/>
      <c r="C685" s="815"/>
      <c r="D685" s="817"/>
      <c r="E685" s="74"/>
      <c r="F685" s="270"/>
      <c r="G685" s="88"/>
      <c r="H685" s="102"/>
      <c r="I685" s="24"/>
      <c r="J685" s="277"/>
      <c r="K685" s="22"/>
      <c r="L685" s="309"/>
      <c r="M685" s="24"/>
      <c r="N685" s="22"/>
      <c r="O685" s="22"/>
      <c r="P685" s="281"/>
      <c r="Q685" s="619">
        <f>IF(D677&lt;=3,база!$L$4,
IF(D677=4,база!$L$5,
IF(D677=5,база!$L$6)))</f>
        <v>210.57480000000001</v>
      </c>
      <c r="R685" s="270">
        <v>1.4</v>
      </c>
      <c r="S685" s="96">
        <f>SUMIFS(Таблица1[сумма],Таблица1[коэф],"1,4",Таблица1[р/р],"3/16",Таблица1[Ф. И. О.],B682)</f>
        <v>0</v>
      </c>
      <c r="T685" s="102">
        <f>ROUND(Q685*R685*S685,2)</f>
        <v>0</v>
      </c>
      <c r="U685" s="81">
        <f>IF(D677&lt;=3,база!$M$4,
IF(D677=4,база!$M$5,
IF(D677=5,база!$M$6)))</f>
        <v>225.09719999999999</v>
      </c>
      <c r="V685" s="270">
        <v>1.4</v>
      </c>
      <c r="W685" s="96">
        <f>SUMIFS(Таблица1[сумма],Таблица1[коэф],"1,4",Таблица1[р/р],"3/24",Таблица1[Ф. И. О.],B682)</f>
        <v>0</v>
      </c>
      <c r="X685" s="102">
        <f>ROUND(U685*V685*W685,2)</f>
        <v>0</v>
      </c>
      <c r="Y685" s="808"/>
      <c r="Z685" s="810"/>
      <c r="AA685" s="813"/>
    </row>
    <row r="686" spans="1:29">
      <c r="A686" s="756"/>
      <c r="B686" s="618"/>
      <c r="C686" s="815"/>
      <c r="D686" s="817"/>
      <c r="E686" s="84"/>
      <c r="F686" s="272"/>
      <c r="G686" s="628"/>
      <c r="H686" s="89"/>
      <c r="I686" s="67"/>
      <c r="J686" s="629"/>
      <c r="K686" s="59"/>
      <c r="L686" s="325"/>
      <c r="M686" s="67"/>
      <c r="N686" s="59"/>
      <c r="O686" s="59"/>
      <c r="P686" s="282"/>
      <c r="Q686" s="630">
        <f>база!$L$5</f>
        <v>231.45480000000001</v>
      </c>
      <c r="R686" s="272">
        <v>1.4</v>
      </c>
      <c r="S686" s="100">
        <f>SUMIFS(Таблица1[сумма],Таблица1[коэф],"1,4",Таблица1[р/р],"4/16",Таблица1[Ф. И. О.],B682)</f>
        <v>0</v>
      </c>
      <c r="T686" s="89">
        <f>ROUND(Q686*R686*S686,2)</f>
        <v>0</v>
      </c>
      <c r="U686" s="105">
        <f>база!$M$5</f>
        <v>247.41720000000001</v>
      </c>
      <c r="V686" s="272">
        <v>1.4</v>
      </c>
      <c r="W686" s="100">
        <f>SUMIFS(Таблица1[сумма],Таблица1[коэф],"1,4",Таблица1[р/р],"4/24",Таблица1[Ф. И. О.],B682)</f>
        <v>0</v>
      </c>
      <c r="X686" s="89">
        <f>ROUND(U686*V686*W686,2)</f>
        <v>0</v>
      </c>
      <c r="Y686" s="808"/>
      <c r="Z686" s="810"/>
      <c r="AA686" s="813"/>
    </row>
    <row r="687" spans="1:29" ht="24" thickBot="1">
      <c r="A687" s="757"/>
      <c r="B687" s="352"/>
      <c r="C687" s="816"/>
      <c r="D687" s="818"/>
      <c r="E687" s="76"/>
      <c r="F687" s="275"/>
      <c r="G687" s="620"/>
      <c r="H687" s="93"/>
      <c r="I687" s="621"/>
      <c r="J687" s="594"/>
      <c r="K687" s="622"/>
      <c r="L687" s="328"/>
      <c r="M687" s="621"/>
      <c r="N687" s="622"/>
      <c r="O687" s="622"/>
      <c r="P687" s="289"/>
      <c r="Q687" s="623">
        <f>база!$L$6</f>
        <v>261.04640000000001</v>
      </c>
      <c r="R687" s="275">
        <v>1.4</v>
      </c>
      <c r="S687" s="99">
        <f>SUMIFS(Таблица1[сумма],Таблица1[коэф],"1,4",Таблица1[р/р],"5/16",Таблица1[Ф. И. О.],B682)</f>
        <v>0</v>
      </c>
      <c r="T687" s="93">
        <f>ROUND(Q687*R687*S687,2)</f>
        <v>0</v>
      </c>
      <c r="U687" s="83">
        <f>база!$M$6</f>
        <v>279.0496</v>
      </c>
      <c r="V687" s="275">
        <v>1.4</v>
      </c>
      <c r="W687" s="99">
        <f>SUMIFS(Таблица1[сумма],Таблица1[коэф],"1,4",Таблица1[р/р],"5/24",Таблица1[Ф. И. О.],B682)</f>
        <v>0</v>
      </c>
      <c r="X687" s="93">
        <f>ROUND(U687*V687*W687,2)</f>
        <v>0</v>
      </c>
      <c r="Y687" s="809"/>
      <c r="Z687" s="811"/>
      <c r="AA687" s="814"/>
    </row>
    <row r="688" spans="1:29" ht="20.25" customHeight="1">
      <c r="A688" s="755">
        <v>63</v>
      </c>
      <c r="B688" s="618"/>
      <c r="C688" s="821">
        <f>INDEX(база!$E$2:$E$181, MATCH(B693,база!$B$2:$B$160,0))</f>
        <v>15237</v>
      </c>
      <c r="D688" s="822">
        <f>INDEX(база!$D$2:$D$189, MATCH(B693,база!$B$2:$B$160,0))</f>
        <v>3</v>
      </c>
      <c r="E688" s="74">
        <f>IF(D688&lt;=3,база!$I$4,
IF(D688=4,база!$I$5,
IF(D688=5,база!$I$6)))</f>
        <v>188.7912</v>
      </c>
      <c r="F688" s="270">
        <v>1</v>
      </c>
      <c r="G688" s="88">
        <f>SUMIFS(Таблица1[сумма],Таблица1[коэф],"1",Таблица1[р/р],"2/4",Таблица1[Ф. И. О.],B693)</f>
        <v>0</v>
      </c>
      <c r="H688" s="102">
        <f>ROUND(E688*F688*G688,2)</f>
        <v>0</v>
      </c>
      <c r="I688" s="24">
        <f>IF(D688&lt;=3,база!$J$4,
IF(D688=4,база!$J$5,
IF(D688=5,база!$J$6)))</f>
        <v>196.05240000000001</v>
      </c>
      <c r="J688" s="277">
        <v>1</v>
      </c>
      <c r="K688" s="22">
        <f>SUMIFS(Таблица1[сумма],Таблица1[коэф],"1",Таблица1[р/р],"2/8",Таблица1[Ф. И. О.],B693)</f>
        <v>0</v>
      </c>
      <c r="L688" s="309">
        <f>ROUND(I688*J688*K688,2)</f>
        <v>0</v>
      </c>
      <c r="M688" s="24"/>
      <c r="N688" s="22">
        <v>1</v>
      </c>
      <c r="O688" s="22">
        <f>SUMIFS(Data_Tech!$AM$3:$AM$67,Data_Tech!$E$3:$E$67,"1",Data_Tech!$G$3:$G$67,"3/12",Data_Tech!$F$3:$F$67,B693)</f>
        <v>0</v>
      </c>
      <c r="P688" s="281">
        <f>ROUND(M688*N688*O688,2)</f>
        <v>0</v>
      </c>
      <c r="Q688" s="619">
        <f>IF(D688&lt;=3,база!$L$4,
IF(D688=4,база!$L$5,
IF(D688=5,база!$L$6)))</f>
        <v>210.57480000000001</v>
      </c>
      <c r="R688" s="270">
        <v>1</v>
      </c>
      <c r="S688" s="96">
        <f>SUMIFS(Таблица1[сумма],Таблица1[коэф],"1",Таблица1[р/р],"3/16",Таблица1[Ф. И. О.],B693)</f>
        <v>0</v>
      </c>
      <c r="T688" s="102">
        <f t="shared" ref="T688:T692" si="426">ROUND(Q688*R688*S688,2)</f>
        <v>0</v>
      </c>
      <c r="U688" s="81">
        <f>IF(D688&lt;=3,база!$M$4,
IF(D688=4,база!$M$5,
IF(D688=5,база!$M$6)))</f>
        <v>225.09719999999999</v>
      </c>
      <c r="V688" s="270">
        <v>1</v>
      </c>
      <c r="W688" s="96">
        <f>SUMIFS(Таблица1[сумма],Таблица1[коэф],"1",Таблица1[р/р],"3/24",Таблица1[Ф. И. О.],B693)</f>
        <v>0</v>
      </c>
      <c r="X688" s="102">
        <f>ROUND(U688*V688*W688,2)</f>
        <v>0</v>
      </c>
      <c r="Y688" s="807">
        <f t="shared" ref="Y688" si="427">SUM(G688:G698,K688:K698,O688:O698,S688:S698,W688:W698)</f>
        <v>0</v>
      </c>
      <c r="Z688" s="823">
        <f t="shared" ref="Z688" si="428">IFERROR(SUM(H688:H698,L688:L698,T688:T698,X688:X698),"")</f>
        <v>0</v>
      </c>
      <c r="AA688" s="812"/>
    </row>
    <row r="689" spans="1:29">
      <c r="A689" s="756"/>
      <c r="B689" s="618"/>
      <c r="C689" s="815"/>
      <c r="D689" s="817"/>
      <c r="E689" s="74">
        <f>IF(D688&lt;=3,база!$I$4,
IF(D688=4,база!$I$5,
IF(D688=5,база!$I$6)))</f>
        <v>188.7912</v>
      </c>
      <c r="F689" s="270">
        <v>1</v>
      </c>
      <c r="G689" s="88">
        <f>SUMIFS(Таблица1[сумма],Таблица1[коэф],"1",Таблица1[р/р],"3/4",Таблица1[Ф. И. О.],B693)</f>
        <v>0</v>
      </c>
      <c r="H689" s="102">
        <f>ROUND(E689*F689*G689,2)</f>
        <v>0</v>
      </c>
      <c r="I689" s="24">
        <f>IF(D688&lt;=3,база!$J$4,
IF(D688=4,база!$J$5,
IF(D688=5,база!$J$6)))</f>
        <v>196.05240000000001</v>
      </c>
      <c r="J689" s="277">
        <v>1</v>
      </c>
      <c r="K689" s="22"/>
      <c r="L689" s="309">
        <f>ROUND(I689*J689*K689,2)</f>
        <v>0</v>
      </c>
      <c r="M689" s="24"/>
      <c r="N689" s="22">
        <v>1</v>
      </c>
      <c r="O689" s="22">
        <f>SUMIFS(Data_Tech!$AM$3:$AM$67,Data_Tech!$E$3:$E$67,"1",Data_Tech!$G$3:$G$67,"4/12",Data_Tech!$F$3:$F$67,B693)</f>
        <v>0</v>
      </c>
      <c r="P689" s="281">
        <f>ROUND(M689*O689,2)</f>
        <v>0</v>
      </c>
      <c r="Q689" s="619">
        <f>база!$L$5</f>
        <v>231.45480000000001</v>
      </c>
      <c r="R689" s="270">
        <v>1</v>
      </c>
      <c r="S689" s="96">
        <f>SUMIFS(Таблица1[сумма],Таблица1[коэф],"1",Таблица1[р/р],"4/16",Таблица1[Ф. И. О.],B693)</f>
        <v>0</v>
      </c>
      <c r="T689" s="102">
        <f t="shared" si="426"/>
        <v>0</v>
      </c>
      <c r="U689" s="81">
        <f>база!$M$5</f>
        <v>247.41720000000001</v>
      </c>
      <c r="V689" s="270">
        <v>1</v>
      </c>
      <c r="W689" s="96">
        <f>SUMIFS(Таблица1[сумма],Таблица1[коэф],"1",Таблица1[р/р],"4/24",Таблица1[Ф. И. О.],B693)</f>
        <v>0</v>
      </c>
      <c r="X689" s="102">
        <f t="shared" ref="X689" si="429">ROUND(U689*V689*W689,2)</f>
        <v>0</v>
      </c>
      <c r="Y689" s="808"/>
      <c r="Z689" s="810"/>
      <c r="AA689" s="813"/>
    </row>
    <row r="690" spans="1:29">
      <c r="A690" s="756"/>
      <c r="B690" s="618"/>
      <c r="C690" s="815"/>
      <c r="D690" s="817"/>
      <c r="E690" s="74"/>
      <c r="F690" s="270"/>
      <c r="G690" s="88"/>
      <c r="H690" s="102"/>
      <c r="I690" s="24"/>
      <c r="J690" s="277"/>
      <c r="K690" s="22"/>
      <c r="L690" s="309"/>
      <c r="M690" s="24"/>
      <c r="N690" s="22"/>
      <c r="O690" s="22"/>
      <c r="P690" s="281"/>
      <c r="Q690" s="619">
        <f>база!$L$6</f>
        <v>261.04640000000001</v>
      </c>
      <c r="R690" s="270">
        <v>1</v>
      </c>
      <c r="S690" s="96">
        <f>SUMIFS(Таблица1[сумма],Таблица1[коэф],"1",Таблица1[р/р],"5/16",Таблица1[Ф. И. О.],B693)</f>
        <v>0</v>
      </c>
      <c r="T690" s="102">
        <f t="shared" si="426"/>
        <v>0</v>
      </c>
      <c r="U690" s="81">
        <f>база!$M$6</f>
        <v>279.0496</v>
      </c>
      <c r="V690" s="270">
        <v>1</v>
      </c>
      <c r="W690" s="96">
        <f>SUMIFS(Таблица1[сумма],Таблица1[коэф],"1",Таблица1[р/р],"5/24",Таблица1[Ф. И. О.],B693)</f>
        <v>0</v>
      </c>
      <c r="X690" s="102">
        <f>ROUND(U690*V690*W690,2)</f>
        <v>0</v>
      </c>
      <c r="Y690" s="808"/>
      <c r="Z690" s="810"/>
      <c r="AA690" s="813"/>
    </row>
    <row r="691" spans="1:29">
      <c r="A691" s="756"/>
      <c r="B691" s="618"/>
      <c r="C691" s="815"/>
      <c r="D691" s="817"/>
      <c r="E691" s="74"/>
      <c r="F691" s="270"/>
      <c r="G691" s="88"/>
      <c r="H691" s="102"/>
      <c r="I691" s="24">
        <f>база!$J$5</f>
        <v>215.4924</v>
      </c>
      <c r="J691" s="277">
        <v>1.5</v>
      </c>
      <c r="K691" s="22">
        <f>SUMIFS(Таблица1[сумма],Таблица1[коэф],"1,5",Таблица1[р/р],"4/8",Таблица1[Ф. И. О.],B693)</f>
        <v>0</v>
      </c>
      <c r="L691" s="309">
        <f>ROUND(I691*J691*K691,2)</f>
        <v>0</v>
      </c>
      <c r="M691" s="24"/>
      <c r="N691" s="22"/>
      <c r="O691" s="22"/>
      <c r="P691" s="281"/>
      <c r="Q691" s="619">
        <f>IF(D688&lt;=3,база!$L$4,
IF(D688=4,база!$L$5,
IF(D688=5,база!$L$6)))</f>
        <v>210.57480000000001</v>
      </c>
      <c r="R691" s="270">
        <v>1.2</v>
      </c>
      <c r="S691" s="96">
        <f>SUMIFS(Таблица1[сумма],Таблица1[коэф],"1,2",Таблица1[р/р],"3/16",Таблица1[Ф. И. О.],B693)</f>
        <v>0</v>
      </c>
      <c r="T691" s="102">
        <f t="shared" si="426"/>
        <v>0</v>
      </c>
      <c r="U691" s="81">
        <f>IF(D688&lt;=3,база!$M$4,
IF(D688=4,база!$M$5,
IF(D688=5,база!$M$6)))</f>
        <v>225.09719999999999</v>
      </c>
      <c r="V691" s="270">
        <v>1.2</v>
      </c>
      <c r="W691" s="96">
        <f>SUMIFS(Таблица1[сумма],Таблица1[коэф],"1,2",Таблица1[р/р],"3/24",Таблица1[Ф. И. О.],B693)</f>
        <v>0</v>
      </c>
      <c r="X691" s="102">
        <f t="shared" ref="X691:X692" si="430">ROUND(U691*V691*W691,2)</f>
        <v>0</v>
      </c>
      <c r="Y691" s="808"/>
      <c r="Z691" s="810"/>
      <c r="AA691" s="813"/>
    </row>
    <row r="692" spans="1:29">
      <c r="A692" s="756"/>
      <c r="B692" s="618"/>
      <c r="C692" s="815"/>
      <c r="D692" s="817"/>
      <c r="E692" s="74"/>
      <c r="F692" s="270"/>
      <c r="G692" s="88"/>
      <c r="H692" s="102"/>
      <c r="I692" s="24">
        <f>база!$J$6</f>
        <v>243.04319999999998</v>
      </c>
      <c r="J692" s="277">
        <v>1.5</v>
      </c>
      <c r="K692" s="22">
        <f>SUMIFS(Таблица1[сумма],Таблица1[коэф],"1,5",Таблица1[р/р],"5/8",Таблица1[Ф. И. О.],B693)</f>
        <v>0</v>
      </c>
      <c r="L692" s="309">
        <f>ROUND(I692*J692*K692,2)</f>
        <v>0</v>
      </c>
      <c r="M692" s="24"/>
      <c r="N692" s="22"/>
      <c r="O692" s="22"/>
      <c r="P692" s="281"/>
      <c r="Q692" s="619">
        <f>база!$L$5</f>
        <v>231.45480000000001</v>
      </c>
      <c r="R692" s="270">
        <v>1.2</v>
      </c>
      <c r="S692" s="96">
        <f>SUMIFS(Таблица1[сумма],Таблица1[коэф],"1,2",Таблица1[р/р],"4/16",Таблица1[Ф. И. О.],B693)</f>
        <v>0</v>
      </c>
      <c r="T692" s="102">
        <f t="shared" si="426"/>
        <v>0</v>
      </c>
      <c r="U692" s="81">
        <f>база!$M$5</f>
        <v>247.41720000000001</v>
      </c>
      <c r="V692" s="270">
        <v>1.2</v>
      </c>
      <c r="W692" s="96">
        <f>SUMIFS(Таблица1[сумма],Таблица1[коэф],"1,2",Таблица1[р/р],"4/24",Таблица1[Ф. И. О.],B693)</f>
        <v>0</v>
      </c>
      <c r="X692" s="102">
        <f t="shared" si="430"/>
        <v>0</v>
      </c>
      <c r="Y692" s="808"/>
      <c r="Z692" s="810"/>
      <c r="AA692" s="813"/>
      <c r="AC692" s="707" t="str">
        <f>IF(SUMIFS(Таблица1[Столбец2],Таблица1[Ф. И. О.],B693)-Z688=0,"",SUMIFS(Таблица1[Столбец2],Таблица1[Ф. И. О.],B693)-Z688)</f>
        <v/>
      </c>
    </row>
    <row r="693" spans="1:29">
      <c r="A693" s="756"/>
      <c r="B693" s="618" t="str">
        <f>база!B64</f>
        <v>Пригоженкова Ольга Сергеевна</v>
      </c>
      <c r="C693" s="815"/>
      <c r="D693" s="817"/>
      <c r="E693" s="74"/>
      <c r="F693" s="270"/>
      <c r="G693" s="88"/>
      <c r="H693" s="102"/>
      <c r="I693" s="24"/>
      <c r="J693" s="277"/>
      <c r="K693" s="22"/>
      <c r="L693" s="309"/>
      <c r="M693" s="24"/>
      <c r="N693" s="22"/>
      <c r="O693" s="22"/>
      <c r="P693" s="281"/>
      <c r="Q693" s="619">
        <f>база!$L$6</f>
        <v>261.04640000000001</v>
      </c>
      <c r="R693" s="270">
        <v>1.2</v>
      </c>
      <c r="S693" s="96">
        <f>SUMIFS(Таблица1[сумма],Таблица1[коэф],"1,2",Таблица1[р/р],"5/16",Таблица1[Ф. И. О.],B693)</f>
        <v>0</v>
      </c>
      <c r="T693" s="102">
        <f>ROUND(Q693*R693*S693,2)</f>
        <v>0</v>
      </c>
      <c r="U693" s="81">
        <f>база!$M$6</f>
        <v>279.0496</v>
      </c>
      <c r="V693" s="270">
        <v>1.2</v>
      </c>
      <c r="W693" s="96">
        <f>SUMIFS(Таблица1[сумма],Таблица1[коэф],"1,2",Таблица1[р/р],"5/24",Таблица1[Ф. И. О.],B693)</f>
        <v>0</v>
      </c>
      <c r="X693" s="102">
        <f>ROUND(U693*V693*W693,2)</f>
        <v>0</v>
      </c>
      <c r="Y693" s="808"/>
      <c r="Z693" s="810"/>
      <c r="AA693" s="813"/>
      <c r="AC693" s="707" t="str">
        <f>IF(SUMIFS(Таблица1[сумма],Таблица1[Ф. И. О.],B693)=Y688,"",B688&amp;"  часы не верны")</f>
        <v/>
      </c>
    </row>
    <row r="694" spans="1:29">
      <c r="A694" s="756"/>
      <c r="B694" s="618"/>
      <c r="C694" s="815"/>
      <c r="D694" s="817"/>
      <c r="E694" s="74"/>
      <c r="F694" s="270"/>
      <c r="G694" s="88"/>
      <c r="H694" s="102"/>
      <c r="I694" s="24"/>
      <c r="J694" s="277"/>
      <c r="K694" s="22"/>
      <c r="L694" s="309"/>
      <c r="M694" s="24"/>
      <c r="N694" s="22"/>
      <c r="O694" s="22"/>
      <c r="P694" s="281"/>
      <c r="Q694" s="619">
        <f>IF($D$6&lt;=3,база!$L$4,
IF($D$6=4,база!$L$5,
IF($D$6=5,база!$L$6)))</f>
        <v>231.45480000000001</v>
      </c>
      <c r="R694" s="270">
        <v>1.3</v>
      </c>
      <c r="S694" s="96">
        <f>SUMIFS(Таблица1[сумма],Таблица1[коэф],"1,3",Таблица1[р/р],"3/16",Таблица1[Ф. И. О.],B693)</f>
        <v>0</v>
      </c>
      <c r="T694" s="102">
        <f t="shared" ref="T694:T695" si="431">ROUND(Q694*R694*S694,2)</f>
        <v>0</v>
      </c>
      <c r="U694" s="81">
        <f>IF(D688&lt;=3,база!$M$4,
IF(D688=4,база!$M$5,
IF(D688=5,база!$M$6)))</f>
        <v>225.09719999999999</v>
      </c>
      <c r="V694" s="270">
        <v>1.3</v>
      </c>
      <c r="W694" s="96">
        <f>SUMIFS(Таблица1[сумма],Таблица1[коэф],"1,3",Таблица1[р/р],"3/24",Таблица1[Ф. И. О.],B693)</f>
        <v>0</v>
      </c>
      <c r="X694" s="102">
        <f t="shared" ref="X694:X695" si="432">ROUND(U694*V694*W694,2)</f>
        <v>0</v>
      </c>
      <c r="Y694" s="808"/>
      <c r="Z694" s="810"/>
      <c r="AA694" s="813"/>
    </row>
    <row r="695" spans="1:29">
      <c r="A695" s="756"/>
      <c r="B695" s="618"/>
      <c r="C695" s="815"/>
      <c r="D695" s="817"/>
      <c r="E695" s="74"/>
      <c r="F695" s="270"/>
      <c r="G695" s="88"/>
      <c r="H695" s="102"/>
      <c r="I695" s="24"/>
      <c r="J695" s="277"/>
      <c r="K695" s="22"/>
      <c r="L695" s="309"/>
      <c r="M695" s="24"/>
      <c r="N695" s="22"/>
      <c r="O695" s="22"/>
      <c r="P695" s="281"/>
      <c r="Q695" s="619">
        <f>база!$L$5</f>
        <v>231.45480000000001</v>
      </c>
      <c r="R695" s="270">
        <v>1.3</v>
      </c>
      <c r="S695" s="96">
        <f>SUMIFS(Таблица1[сумма],Таблица1[коэф],"1,3",Таблица1[р/р],"4/16",Таблица1[Ф. И. О.],B693)</f>
        <v>0</v>
      </c>
      <c r="T695" s="102">
        <f t="shared" si="431"/>
        <v>0</v>
      </c>
      <c r="U695" s="81">
        <f>база!$M$5</f>
        <v>247.41720000000001</v>
      </c>
      <c r="V695" s="270">
        <v>1.3</v>
      </c>
      <c r="W695" s="96">
        <f>SUMIFS(Таблица1[сумма],Таблица1[коэф],"1,3",Таблица1[р/р],"4/24",Таблица1[Ф. И. О.],B693)</f>
        <v>0</v>
      </c>
      <c r="X695" s="102">
        <f t="shared" si="432"/>
        <v>0</v>
      </c>
      <c r="Y695" s="808"/>
      <c r="Z695" s="810"/>
      <c r="AA695" s="813"/>
    </row>
    <row r="696" spans="1:29">
      <c r="A696" s="756"/>
      <c r="B696" s="618"/>
      <c r="C696" s="815"/>
      <c r="D696" s="817"/>
      <c r="E696" s="74"/>
      <c r="F696" s="270"/>
      <c r="G696" s="88"/>
      <c r="H696" s="102"/>
      <c r="I696" s="24"/>
      <c r="J696" s="277"/>
      <c r="K696" s="22"/>
      <c r="L696" s="309"/>
      <c r="M696" s="24"/>
      <c r="N696" s="22"/>
      <c r="O696" s="22"/>
      <c r="P696" s="281"/>
      <c r="Q696" s="619">
        <f>IF(D688&lt;=3,база!$L$4,
IF(D688=4,база!$L$5,
IF(D688=5,база!$L$6)))</f>
        <v>210.57480000000001</v>
      </c>
      <c r="R696" s="270">
        <v>1.4</v>
      </c>
      <c r="S696" s="96">
        <f>SUMIFS(Таблица1[сумма],Таблица1[коэф],"1,4",Таблица1[р/р],"3/16",Таблица1[Ф. И. О.],B693)</f>
        <v>0</v>
      </c>
      <c r="T696" s="102">
        <f>ROUND(Q696*R696*S696,2)</f>
        <v>0</v>
      </c>
      <c r="U696" s="81">
        <f>IF(D688&lt;=3,база!$M$4,
IF(D688=4,база!$M$5,
IF(D688=5,база!$M$6)))</f>
        <v>225.09719999999999</v>
      </c>
      <c r="V696" s="270">
        <v>1.4</v>
      </c>
      <c r="W696" s="96">
        <f>SUMIFS(Таблица1[сумма],Таблица1[коэф],"1,4",Таблица1[р/р],"3/24",Таблица1[Ф. И. О.],B693)</f>
        <v>0</v>
      </c>
      <c r="X696" s="102">
        <f>ROUND(U696*V696*W696,2)</f>
        <v>0</v>
      </c>
      <c r="Y696" s="808"/>
      <c r="Z696" s="810"/>
      <c r="AA696" s="813"/>
    </row>
    <row r="697" spans="1:29">
      <c r="A697" s="756"/>
      <c r="B697" s="618"/>
      <c r="C697" s="815"/>
      <c r="D697" s="817"/>
      <c r="E697" s="84"/>
      <c r="F697" s="272"/>
      <c r="G697" s="628"/>
      <c r="H697" s="89"/>
      <c r="I697" s="67"/>
      <c r="J697" s="629"/>
      <c r="K697" s="59"/>
      <c r="L697" s="325"/>
      <c r="M697" s="67"/>
      <c r="N697" s="59"/>
      <c r="O697" s="59"/>
      <c r="P697" s="282"/>
      <c r="Q697" s="630">
        <f>база!$L$5</f>
        <v>231.45480000000001</v>
      </c>
      <c r="R697" s="272">
        <v>1.4</v>
      </c>
      <c r="S697" s="100">
        <f>SUMIFS(Таблица1[сумма],Таблица1[коэф],"1,4",Таблица1[р/р],"4/16",Таблица1[Ф. И. О.],B693)</f>
        <v>0</v>
      </c>
      <c r="T697" s="89">
        <f>ROUND(Q697*R697*S697,2)</f>
        <v>0</v>
      </c>
      <c r="U697" s="105">
        <f>база!$M$5</f>
        <v>247.41720000000001</v>
      </c>
      <c r="V697" s="272">
        <v>1.4</v>
      </c>
      <c r="W697" s="100">
        <f>SUMIFS(Таблица1[сумма],Таблица1[коэф],"1,4",Таблица1[р/р],"4/24",Таблица1[Ф. И. О.],B693)</f>
        <v>0</v>
      </c>
      <c r="X697" s="89">
        <f>ROUND(U697*V697*W697,2)</f>
        <v>0</v>
      </c>
      <c r="Y697" s="808"/>
      <c r="Z697" s="810"/>
      <c r="AA697" s="813"/>
    </row>
    <row r="698" spans="1:29" ht="24" thickBot="1">
      <c r="A698" s="757"/>
      <c r="B698" s="352"/>
      <c r="C698" s="816"/>
      <c r="D698" s="818"/>
      <c r="E698" s="76"/>
      <c r="F698" s="275"/>
      <c r="G698" s="620"/>
      <c r="H698" s="93"/>
      <c r="I698" s="621"/>
      <c r="J698" s="594"/>
      <c r="K698" s="622"/>
      <c r="L698" s="328"/>
      <c r="M698" s="621"/>
      <c r="N698" s="622"/>
      <c r="O698" s="622"/>
      <c r="P698" s="289"/>
      <c r="Q698" s="623">
        <f>база!$L$6</f>
        <v>261.04640000000001</v>
      </c>
      <c r="R698" s="275">
        <v>1.4</v>
      </c>
      <c r="S698" s="99">
        <f>SUMIFS(Таблица1[сумма],Таблица1[коэф],"1,4",Таблица1[р/р],"5/16",Таблица1[Ф. И. О.],B693)</f>
        <v>0</v>
      </c>
      <c r="T698" s="93">
        <f>ROUND(Q698*R698*S698,2)</f>
        <v>0</v>
      </c>
      <c r="U698" s="83">
        <f>база!$M$6</f>
        <v>279.0496</v>
      </c>
      <c r="V698" s="275">
        <v>1.4</v>
      </c>
      <c r="W698" s="99">
        <f>SUMIFS(Таблица1[сумма],Таблица1[коэф],"1,4",Таблица1[р/р],"5/24",Таблица1[Ф. И. О.],B693)</f>
        <v>0</v>
      </c>
      <c r="X698" s="93">
        <f>ROUND(U698*V698*W698,2)</f>
        <v>0</v>
      </c>
      <c r="Y698" s="809"/>
      <c r="Z698" s="811"/>
      <c r="AA698" s="814"/>
    </row>
    <row r="699" spans="1:29" ht="20.25" customHeight="1">
      <c r="A699" s="755">
        <v>64</v>
      </c>
      <c r="B699" s="618"/>
      <c r="C699" s="821">
        <f>INDEX(база!$E$2:$E$181, MATCH(B704,база!$B$2:$B$160,0))</f>
        <v>17208</v>
      </c>
      <c r="D699" s="822">
        <f>INDEX(база!$D$2:$D$189, MATCH(B704,база!$B$2:$B$160,0))</f>
        <v>3</v>
      </c>
      <c r="E699" s="74">
        <f>IF(D699&lt;=3,база!$I$4,
IF(D699=4,база!$I$5,
IF(D699=5,база!$I$6)))</f>
        <v>188.7912</v>
      </c>
      <c r="F699" s="270">
        <v>1</v>
      </c>
      <c r="G699" s="88">
        <f>SUMIFS(Таблица1[сумма],Таблица1[коэф],"1",Таблица1[р/р],"2/4",Таблица1[Ф. И. О.],B704)</f>
        <v>0</v>
      </c>
      <c r="H699" s="102">
        <f>ROUND(E699*F699*G699,2)</f>
        <v>0</v>
      </c>
      <c r="I699" s="24">
        <f>IF(D699&lt;=3,база!$J$4,
IF(D699=4,база!$J$5,
IF(D699=5,база!$J$6)))</f>
        <v>196.05240000000001</v>
      </c>
      <c r="J699" s="277">
        <v>1</v>
      </c>
      <c r="K699" s="22">
        <f>SUMIFS(Таблица1[сумма],Таблица1[коэф],"1",Таблица1[р/р],"2/8",Таблица1[Ф. И. О.],B704)</f>
        <v>0</v>
      </c>
      <c r="L699" s="309">
        <f>ROUND(I699*J699*K699,2)</f>
        <v>0</v>
      </c>
      <c r="M699" s="24"/>
      <c r="N699" s="22">
        <v>1</v>
      </c>
      <c r="O699" s="22">
        <f>SUMIFS(Data_Tech!$AM$3:$AM$67,Data_Tech!$E$3:$E$67,"1",Data_Tech!$G$3:$G$67,"3/12",Data_Tech!$F$3:$F$67,B704)</f>
        <v>0</v>
      </c>
      <c r="P699" s="281">
        <f>ROUND(M699*N699*O699,2)</f>
        <v>0</v>
      </c>
      <c r="Q699" s="619">
        <f>IF(D699&lt;=3,база!$L$4,
IF(D699=4,база!$L$5,
IF(D699=5,база!$L$6)))</f>
        <v>210.57480000000001</v>
      </c>
      <c r="R699" s="270">
        <v>1</v>
      </c>
      <c r="S699" s="96">
        <f>SUMIFS(Таблица1[сумма],Таблица1[коэф],"1",Таблица1[р/р],"3/16",Таблица1[Ф. И. О.],B704)</f>
        <v>0</v>
      </c>
      <c r="T699" s="102">
        <f t="shared" ref="T699:T703" si="433">ROUND(Q699*R699*S699,2)</f>
        <v>0</v>
      </c>
      <c r="U699" s="81">
        <f>IF(D699&lt;=3,база!$M$4,
IF(D699=4,база!$M$5,
IF(D699=5,база!$M$6)))</f>
        <v>225.09719999999999</v>
      </c>
      <c r="V699" s="270">
        <v>1</v>
      </c>
      <c r="W699" s="96">
        <f>SUMIFS(Таблица1[сумма],Таблица1[коэф],"1",Таблица1[р/р],"3/24",Таблица1[Ф. И. О.],B704)</f>
        <v>0</v>
      </c>
      <c r="X699" s="102">
        <f>ROUND(U699*V699*W699,2)</f>
        <v>0</v>
      </c>
      <c r="Y699" s="807">
        <f t="shared" ref="Y699" si="434">SUM(G699:G709,K699:K709,O699:O709,S699:S709,W699:W709)</f>
        <v>0</v>
      </c>
      <c r="Z699" s="823">
        <f t="shared" ref="Z699" si="435">IFERROR(SUM(H699:H709,L699:L709,T699:T709,X699:X709),"")</f>
        <v>0</v>
      </c>
      <c r="AA699" s="812"/>
    </row>
    <row r="700" spans="1:29">
      <c r="A700" s="756"/>
      <c r="B700" s="618"/>
      <c r="C700" s="815"/>
      <c r="D700" s="817"/>
      <c r="E700" s="74">
        <f>IF(D699&lt;=3,база!$I$4,
IF(D699=4,база!$I$5,
IF(D699=5,база!$I$6)))</f>
        <v>188.7912</v>
      </c>
      <c r="F700" s="270">
        <v>1</v>
      </c>
      <c r="G700" s="88">
        <f>SUMIFS(Таблица1[сумма],Таблица1[коэф],"1",Таблица1[р/р],"3/4",Таблица1[Ф. И. О.],B704)</f>
        <v>0</v>
      </c>
      <c r="H700" s="102">
        <f>ROUND(E700*F700*G700,2)</f>
        <v>0</v>
      </c>
      <c r="I700" s="24">
        <f>IF(D699&lt;=3,база!$J$4,
IF(D699=4,база!$J$5,
IF(D699=5,база!$J$6)))</f>
        <v>196.05240000000001</v>
      </c>
      <c r="J700" s="277">
        <v>1</v>
      </c>
      <c r="K700" s="22"/>
      <c r="L700" s="309">
        <f>ROUND(I700*J700*K700,2)</f>
        <v>0</v>
      </c>
      <c r="M700" s="24"/>
      <c r="N700" s="22">
        <v>1</v>
      </c>
      <c r="O700" s="22">
        <f>SUMIFS(Data_Tech!$AM$3:$AM$67,Data_Tech!$E$3:$E$67,"1",Data_Tech!$G$3:$G$67,"4/12",Data_Tech!$F$3:$F$67,B704)</f>
        <v>0</v>
      </c>
      <c r="P700" s="281">
        <f>ROUND(M700*O700,2)</f>
        <v>0</v>
      </c>
      <c r="Q700" s="619">
        <f>база!$L$5</f>
        <v>231.45480000000001</v>
      </c>
      <c r="R700" s="270">
        <v>1</v>
      </c>
      <c r="S700" s="96">
        <f>SUMIFS(Таблица1[сумма],Таблица1[коэф],"1",Таблица1[р/р],"4/16",Таблица1[Ф. И. О.],B704)</f>
        <v>0</v>
      </c>
      <c r="T700" s="102">
        <f t="shared" si="433"/>
        <v>0</v>
      </c>
      <c r="U700" s="81">
        <f>база!$M$5</f>
        <v>247.41720000000001</v>
      </c>
      <c r="V700" s="270">
        <v>1</v>
      </c>
      <c r="W700" s="96">
        <f>SUMIFS(Таблица1[сумма],Таблица1[коэф],"1",Таблица1[р/р],"4/24",Таблица1[Ф. И. О.],B704)</f>
        <v>0</v>
      </c>
      <c r="X700" s="102">
        <f t="shared" ref="X700" si="436">ROUND(U700*V700*W700,2)</f>
        <v>0</v>
      </c>
      <c r="Y700" s="808"/>
      <c r="Z700" s="810"/>
      <c r="AA700" s="813"/>
    </row>
    <row r="701" spans="1:29">
      <c r="A701" s="756"/>
      <c r="B701" s="618"/>
      <c r="C701" s="815"/>
      <c r="D701" s="817"/>
      <c r="E701" s="74"/>
      <c r="F701" s="270"/>
      <c r="G701" s="88"/>
      <c r="H701" s="102"/>
      <c r="I701" s="24"/>
      <c r="J701" s="277"/>
      <c r="K701" s="22"/>
      <c r="L701" s="309"/>
      <c r="M701" s="24"/>
      <c r="N701" s="22"/>
      <c r="O701" s="22"/>
      <c r="P701" s="281"/>
      <c r="Q701" s="619">
        <f>база!$L$6</f>
        <v>261.04640000000001</v>
      </c>
      <c r="R701" s="270">
        <v>1</v>
      </c>
      <c r="S701" s="96">
        <f>SUMIFS(Таблица1[сумма],Таблица1[коэф],"1",Таблица1[р/р],"5/16",Таблица1[Ф. И. О.],B704)</f>
        <v>0</v>
      </c>
      <c r="T701" s="102">
        <f t="shared" si="433"/>
        <v>0</v>
      </c>
      <c r="U701" s="81">
        <f>база!$M$6</f>
        <v>279.0496</v>
      </c>
      <c r="V701" s="270">
        <v>1</v>
      </c>
      <c r="W701" s="96">
        <f>SUMIFS(Таблица1[сумма],Таблица1[коэф],"1",Таблица1[р/р],"5/24",Таблица1[Ф. И. О.],B704)</f>
        <v>0</v>
      </c>
      <c r="X701" s="102">
        <f>ROUND(U701*V701*W701,2)</f>
        <v>0</v>
      </c>
      <c r="Y701" s="808"/>
      <c r="Z701" s="810"/>
      <c r="AA701" s="813"/>
    </row>
    <row r="702" spans="1:29">
      <c r="A702" s="756"/>
      <c r="B702" s="618"/>
      <c r="C702" s="815"/>
      <c r="D702" s="817"/>
      <c r="E702" s="74"/>
      <c r="F702" s="270"/>
      <c r="G702" s="88"/>
      <c r="H702" s="102"/>
      <c r="I702" s="24">
        <f>база!$J$5</f>
        <v>215.4924</v>
      </c>
      <c r="J702" s="277">
        <v>1.5</v>
      </c>
      <c r="K702" s="22">
        <f>SUMIFS(Таблица1[сумма],Таблица1[коэф],"1,5",Таблица1[р/р],"4/8",Таблица1[Ф. И. О.],B704)</f>
        <v>0</v>
      </c>
      <c r="L702" s="309">
        <f>ROUND(I702*J702*K702,2)</f>
        <v>0</v>
      </c>
      <c r="M702" s="24"/>
      <c r="N702" s="22"/>
      <c r="O702" s="22"/>
      <c r="P702" s="281"/>
      <c r="Q702" s="619">
        <f>IF(D699&lt;=3,база!$L$4,
IF(D699=4,база!$L$5,
IF(D699=5,база!$L$6)))</f>
        <v>210.57480000000001</v>
      </c>
      <c r="R702" s="270">
        <v>1.2</v>
      </c>
      <c r="S702" s="96">
        <f>SUMIFS(Таблица1[сумма],Таблица1[коэф],"1,2",Таблица1[р/р],"3/16",Таблица1[Ф. И. О.],B704)</f>
        <v>0</v>
      </c>
      <c r="T702" s="102">
        <f t="shared" si="433"/>
        <v>0</v>
      </c>
      <c r="U702" s="81">
        <f>IF(D699&lt;=3,база!$M$4,
IF(D699=4,база!$M$5,
IF(D699=5,база!$M$6)))</f>
        <v>225.09719999999999</v>
      </c>
      <c r="V702" s="270">
        <v>1.2</v>
      </c>
      <c r="W702" s="96">
        <f>SUMIFS(Таблица1[сумма],Таблица1[коэф],"1,2",Таблица1[р/р],"3/24",Таблица1[Ф. И. О.],B704)</f>
        <v>0</v>
      </c>
      <c r="X702" s="102">
        <f t="shared" ref="X702:X703" si="437">ROUND(U702*V702*W702,2)</f>
        <v>0</v>
      </c>
      <c r="Y702" s="808"/>
      <c r="Z702" s="810"/>
      <c r="AA702" s="813"/>
    </row>
    <row r="703" spans="1:29">
      <c r="A703" s="756"/>
      <c r="B703" s="618"/>
      <c r="C703" s="815"/>
      <c r="D703" s="817"/>
      <c r="E703" s="74"/>
      <c r="F703" s="270"/>
      <c r="G703" s="88"/>
      <c r="H703" s="102"/>
      <c r="I703" s="24">
        <f>база!$J$6</f>
        <v>243.04319999999998</v>
      </c>
      <c r="J703" s="277">
        <v>1.5</v>
      </c>
      <c r="K703" s="22">
        <f>SUMIFS(Таблица1[сумма],Таблица1[коэф],"1,5",Таблица1[р/р],"5/8",Таблица1[Ф. И. О.],B704)</f>
        <v>0</v>
      </c>
      <c r="L703" s="309">
        <f>ROUND(I703*J703*K703,2)</f>
        <v>0</v>
      </c>
      <c r="M703" s="24"/>
      <c r="N703" s="22"/>
      <c r="O703" s="22"/>
      <c r="P703" s="281"/>
      <c r="Q703" s="619">
        <f>база!$L$5</f>
        <v>231.45480000000001</v>
      </c>
      <c r="R703" s="270">
        <v>1.2</v>
      </c>
      <c r="S703" s="96">
        <f>SUMIFS(Таблица1[сумма],Таблица1[коэф],"1,2",Таблица1[р/р],"4/16",Таблица1[Ф. И. О.],B704)</f>
        <v>0</v>
      </c>
      <c r="T703" s="102">
        <f t="shared" si="433"/>
        <v>0</v>
      </c>
      <c r="U703" s="81">
        <f>база!$M$5</f>
        <v>247.41720000000001</v>
      </c>
      <c r="V703" s="270">
        <v>1.2</v>
      </c>
      <c r="W703" s="96">
        <f>SUMIFS(Таблица1[сумма],Таблица1[коэф],"1,2",Таблица1[р/р],"4/24",Таблица1[Ф. И. О.],B704)</f>
        <v>0</v>
      </c>
      <c r="X703" s="102">
        <f t="shared" si="437"/>
        <v>0</v>
      </c>
      <c r="Y703" s="808"/>
      <c r="Z703" s="810"/>
      <c r="AA703" s="813"/>
      <c r="AC703" s="707" t="str">
        <f>IF(SUMIFS(Таблица1[Столбец2],Таблица1[Ф. И. О.],B704)-Z699=0,"",SUMIFS(Таблица1[Столбец2],Таблица1[Ф. И. О.],B704)-Z699)</f>
        <v/>
      </c>
    </row>
    <row r="704" spans="1:29">
      <c r="A704" s="756"/>
      <c r="B704" s="618" t="str">
        <f>база!B65</f>
        <v>Рысев Иван Александрович</v>
      </c>
      <c r="C704" s="815"/>
      <c r="D704" s="817"/>
      <c r="E704" s="74"/>
      <c r="F704" s="270"/>
      <c r="G704" s="88"/>
      <c r="H704" s="102"/>
      <c r="I704" s="24"/>
      <c r="J704" s="277"/>
      <c r="K704" s="22"/>
      <c r="L704" s="309"/>
      <c r="M704" s="24"/>
      <c r="N704" s="22"/>
      <c r="O704" s="22"/>
      <c r="P704" s="281"/>
      <c r="Q704" s="619">
        <f>база!$L$6</f>
        <v>261.04640000000001</v>
      </c>
      <c r="R704" s="270">
        <v>1.2</v>
      </c>
      <c r="S704" s="96">
        <f>SUMIFS(Таблица1[сумма],Таблица1[коэф],"1,2",Таблица1[р/р],"5/16",Таблица1[Ф. И. О.],B704)</f>
        <v>0</v>
      </c>
      <c r="T704" s="102">
        <f>ROUND(Q704*R704*S704,2)</f>
        <v>0</v>
      </c>
      <c r="U704" s="81">
        <f>база!$M$6</f>
        <v>279.0496</v>
      </c>
      <c r="V704" s="270">
        <v>1.2</v>
      </c>
      <c r="W704" s="96">
        <f>SUMIFS(Таблица1[сумма],Таблица1[коэф],"1,2",Таблица1[р/р],"5/24",Таблица1[Ф. И. О.],B704)</f>
        <v>0</v>
      </c>
      <c r="X704" s="102">
        <f>ROUND(U704*V704*W704,2)</f>
        <v>0</v>
      </c>
      <c r="Y704" s="808"/>
      <c r="Z704" s="810"/>
      <c r="AA704" s="813"/>
      <c r="AC704" s="707" t="str">
        <f>IF(SUMIFS(Таблица1[сумма],Таблица1[Ф. И. О.],B704)=Y699,"",B699&amp;"  часы не верны")</f>
        <v/>
      </c>
    </row>
    <row r="705" spans="1:29">
      <c r="A705" s="756"/>
      <c r="B705" s="618"/>
      <c r="C705" s="815"/>
      <c r="D705" s="817"/>
      <c r="E705" s="74"/>
      <c r="F705" s="270"/>
      <c r="G705" s="88"/>
      <c r="H705" s="102"/>
      <c r="I705" s="24"/>
      <c r="J705" s="277"/>
      <c r="K705" s="22"/>
      <c r="L705" s="309"/>
      <c r="M705" s="24"/>
      <c r="N705" s="22"/>
      <c r="O705" s="22"/>
      <c r="P705" s="281"/>
      <c r="Q705" s="619">
        <f>IF($D$6&lt;=3,база!$L$4,
IF($D$6=4,база!$L$5,
IF($D$6=5,база!$L$6)))</f>
        <v>231.45480000000001</v>
      </c>
      <c r="R705" s="270">
        <v>1.3</v>
      </c>
      <c r="S705" s="96">
        <f>SUMIFS(Таблица1[сумма],Таблица1[коэф],"1,3",Таблица1[р/р],"3/16",Таблица1[Ф. И. О.],B704)</f>
        <v>0</v>
      </c>
      <c r="T705" s="102">
        <f t="shared" ref="T705:T706" si="438">ROUND(Q705*R705*S705,2)</f>
        <v>0</v>
      </c>
      <c r="U705" s="81">
        <f>IF(D699&lt;=3,база!$M$4,
IF(D699=4,база!$M$5,
IF(D699=5,база!$M$6)))</f>
        <v>225.09719999999999</v>
      </c>
      <c r="V705" s="270">
        <v>1.3</v>
      </c>
      <c r="W705" s="96">
        <f>SUMIFS(Таблица1[сумма],Таблица1[коэф],"1,3",Таблица1[р/р],"3/24",Таблица1[Ф. И. О.],B704)</f>
        <v>0</v>
      </c>
      <c r="X705" s="102">
        <f t="shared" ref="X705:X706" si="439">ROUND(U705*V705*W705,2)</f>
        <v>0</v>
      </c>
      <c r="Y705" s="808"/>
      <c r="Z705" s="810"/>
      <c r="AA705" s="813"/>
    </row>
    <row r="706" spans="1:29">
      <c r="A706" s="756"/>
      <c r="B706" s="618"/>
      <c r="C706" s="815"/>
      <c r="D706" s="817"/>
      <c r="E706" s="74"/>
      <c r="F706" s="270"/>
      <c r="G706" s="88"/>
      <c r="H706" s="102"/>
      <c r="I706" s="24"/>
      <c r="J706" s="277"/>
      <c r="K706" s="22"/>
      <c r="L706" s="309"/>
      <c r="M706" s="24"/>
      <c r="N706" s="22"/>
      <c r="O706" s="22"/>
      <c r="P706" s="281"/>
      <c r="Q706" s="619">
        <f>база!$L$5</f>
        <v>231.45480000000001</v>
      </c>
      <c r="R706" s="270">
        <v>1.3</v>
      </c>
      <c r="S706" s="96">
        <f>SUMIFS(Таблица1[сумма],Таблица1[коэф],"1,3",Таблица1[р/р],"4/16",Таблица1[Ф. И. О.],B704)</f>
        <v>0</v>
      </c>
      <c r="T706" s="102">
        <f t="shared" si="438"/>
        <v>0</v>
      </c>
      <c r="U706" s="81">
        <f>база!$M$5</f>
        <v>247.41720000000001</v>
      </c>
      <c r="V706" s="270">
        <v>1.3</v>
      </c>
      <c r="W706" s="96">
        <f>SUMIFS(Таблица1[сумма],Таблица1[коэф],"1,3",Таблица1[р/р],"4/24",Таблица1[Ф. И. О.],B704)</f>
        <v>0</v>
      </c>
      <c r="X706" s="102">
        <f t="shared" si="439"/>
        <v>0</v>
      </c>
      <c r="Y706" s="808"/>
      <c r="Z706" s="810"/>
      <c r="AA706" s="813"/>
    </row>
    <row r="707" spans="1:29">
      <c r="A707" s="756"/>
      <c r="B707" s="618"/>
      <c r="C707" s="815"/>
      <c r="D707" s="817"/>
      <c r="E707" s="74"/>
      <c r="F707" s="270"/>
      <c r="G707" s="88"/>
      <c r="H707" s="102"/>
      <c r="I707" s="24"/>
      <c r="J707" s="277"/>
      <c r="K707" s="22"/>
      <c r="L707" s="309"/>
      <c r="M707" s="24"/>
      <c r="N707" s="22"/>
      <c r="O707" s="22"/>
      <c r="P707" s="281"/>
      <c r="Q707" s="619">
        <f>IF(D699&lt;=3,база!$L$4,
IF(D699=4,база!$L$5,
IF(D699=5,база!$L$6)))</f>
        <v>210.57480000000001</v>
      </c>
      <c r="R707" s="270">
        <v>1.4</v>
      </c>
      <c r="S707" s="96">
        <f>SUMIFS(Таблица1[сумма],Таблица1[коэф],"1,4",Таблица1[р/р],"3/16",Таблица1[Ф. И. О.],B704)</f>
        <v>0</v>
      </c>
      <c r="T707" s="102">
        <f>ROUND(Q707*R707*S707,2)</f>
        <v>0</v>
      </c>
      <c r="U707" s="81">
        <f>IF(D699&lt;=3,база!$M$4,
IF(D699=4,база!$M$5,
IF(D699=5,база!$M$6)))</f>
        <v>225.09719999999999</v>
      </c>
      <c r="V707" s="270">
        <v>1.4</v>
      </c>
      <c r="W707" s="96">
        <f>SUMIFS(Таблица1[сумма],Таблица1[коэф],"1,4",Таблица1[р/р],"3/24",Таблица1[Ф. И. О.],B704)</f>
        <v>0</v>
      </c>
      <c r="X707" s="102">
        <f>ROUND(U707*V707*W707,2)</f>
        <v>0</v>
      </c>
      <c r="Y707" s="808"/>
      <c r="Z707" s="810"/>
      <c r="AA707" s="813"/>
    </row>
    <row r="708" spans="1:29">
      <c r="A708" s="756"/>
      <c r="B708" s="618"/>
      <c r="C708" s="815"/>
      <c r="D708" s="817"/>
      <c r="E708" s="84"/>
      <c r="F708" s="272"/>
      <c r="G708" s="628"/>
      <c r="H708" s="89"/>
      <c r="I708" s="67"/>
      <c r="J708" s="629"/>
      <c r="K708" s="59"/>
      <c r="L708" s="325"/>
      <c r="M708" s="67"/>
      <c r="N708" s="59"/>
      <c r="O708" s="59"/>
      <c r="P708" s="282"/>
      <c r="Q708" s="630">
        <f>база!$L$5</f>
        <v>231.45480000000001</v>
      </c>
      <c r="R708" s="272">
        <v>1.4</v>
      </c>
      <c r="S708" s="100">
        <f>SUMIFS(Таблица1[сумма],Таблица1[коэф],"1,4",Таблица1[р/р],"4/16",Таблица1[Ф. И. О.],B704)</f>
        <v>0</v>
      </c>
      <c r="T708" s="89">
        <f>ROUND(Q708*R708*S708,2)</f>
        <v>0</v>
      </c>
      <c r="U708" s="105">
        <f>база!$M$5</f>
        <v>247.41720000000001</v>
      </c>
      <c r="V708" s="272">
        <v>1.4</v>
      </c>
      <c r="W708" s="100">
        <f>SUMIFS(Таблица1[сумма],Таблица1[коэф],"1,4",Таблица1[р/р],"4/24",Таблица1[Ф. И. О.],B704)</f>
        <v>0</v>
      </c>
      <c r="X708" s="89">
        <f>ROUND(U708*V708*W708,2)</f>
        <v>0</v>
      </c>
      <c r="Y708" s="808"/>
      <c r="Z708" s="810"/>
      <c r="AA708" s="813"/>
    </row>
    <row r="709" spans="1:29" ht="24" thickBot="1">
      <c r="A709" s="757"/>
      <c r="B709" s="352"/>
      <c r="C709" s="816"/>
      <c r="D709" s="818"/>
      <c r="E709" s="76"/>
      <c r="F709" s="275"/>
      <c r="G709" s="620"/>
      <c r="H709" s="93"/>
      <c r="I709" s="621"/>
      <c r="J709" s="594"/>
      <c r="K709" s="622"/>
      <c r="L709" s="328"/>
      <c r="M709" s="621"/>
      <c r="N709" s="622"/>
      <c r="O709" s="622"/>
      <c r="P709" s="289"/>
      <c r="Q709" s="623">
        <f>база!$L$6</f>
        <v>261.04640000000001</v>
      </c>
      <c r="R709" s="275">
        <v>1.4</v>
      </c>
      <c r="S709" s="99">
        <f>SUMIFS(Таблица1[сумма],Таблица1[коэф],"1,4",Таблица1[р/р],"5/16",Таблица1[Ф. И. О.],B704)</f>
        <v>0</v>
      </c>
      <c r="T709" s="93">
        <f>ROUND(Q709*R709*S709,2)</f>
        <v>0</v>
      </c>
      <c r="U709" s="83">
        <f>база!$M$6</f>
        <v>279.0496</v>
      </c>
      <c r="V709" s="275">
        <v>1.4</v>
      </c>
      <c r="W709" s="99">
        <f>SUMIFS(Таблица1[сумма],Таблица1[коэф],"1,4",Таблица1[р/р],"5/24",Таблица1[Ф. И. О.],B704)</f>
        <v>0</v>
      </c>
      <c r="X709" s="93">
        <f>ROUND(U709*V709*W709,2)</f>
        <v>0</v>
      </c>
      <c r="Y709" s="809"/>
      <c r="Z709" s="811"/>
      <c r="AA709" s="814"/>
    </row>
    <row r="710" spans="1:29" ht="20.25" customHeight="1">
      <c r="A710" s="755">
        <v>65</v>
      </c>
      <c r="B710" s="618"/>
      <c r="C710" s="821">
        <f>INDEX(база!$E$2:$E$181, MATCH(B715,база!$B$2:$B$160,0))</f>
        <v>17324</v>
      </c>
      <c r="D710" s="822">
        <f>INDEX(база!$D$2:$D$189, MATCH(B715,база!$B$2:$B$160,0))</f>
        <v>3</v>
      </c>
      <c r="E710" s="74">
        <f>IF(D710&lt;=3,база!$I$4,
IF(D710=4,база!$I$5,
IF(D710=5,база!$I$6)))</f>
        <v>188.7912</v>
      </c>
      <c r="F710" s="270">
        <v>1</v>
      </c>
      <c r="G710" s="88">
        <f>SUMIFS(Таблица1[сумма],Таблица1[коэф],"1",Таблица1[р/р],"2/4",Таблица1[Ф. И. О.],B715)</f>
        <v>0</v>
      </c>
      <c r="H710" s="102">
        <f>ROUND(E710*F710*G710,2)</f>
        <v>0</v>
      </c>
      <c r="I710" s="24">
        <f>IF(D710&lt;=3,база!$J$4,
IF(D710=4,база!$J$5,
IF(D710=5,база!$J$6)))</f>
        <v>196.05240000000001</v>
      </c>
      <c r="J710" s="277">
        <v>1</v>
      </c>
      <c r="K710" s="22">
        <f>SUMIFS(Таблица1[сумма],Таблица1[коэф],"1",Таблица1[р/р],"2/8",Таблица1[Ф. И. О.],B715)</f>
        <v>0</v>
      </c>
      <c r="L710" s="309">
        <f>ROUND(I710*J710*K710,2)</f>
        <v>0</v>
      </c>
      <c r="M710" s="24"/>
      <c r="N710" s="22">
        <v>1</v>
      </c>
      <c r="O710" s="22">
        <f>SUMIFS(Data_Tech!$AM$3:$AM$67,Data_Tech!$E$3:$E$67,"1",Data_Tech!$G$3:$G$67,"3/12",Data_Tech!$F$3:$F$67,B715)</f>
        <v>0</v>
      </c>
      <c r="P710" s="281">
        <f>ROUND(M710*N710*O710,2)</f>
        <v>0</v>
      </c>
      <c r="Q710" s="619">
        <f>IF(D710&lt;=3,база!$L$4,
IF(D710=4,база!$L$5,
IF(D710=5,база!$L$6)))</f>
        <v>210.57480000000001</v>
      </c>
      <c r="R710" s="270">
        <v>1</v>
      </c>
      <c r="S710" s="96">
        <f>SUMIFS(Таблица1[сумма],Таблица1[коэф],"1",Таблица1[р/р],"3/16",Таблица1[Ф. И. О.],B715)</f>
        <v>0</v>
      </c>
      <c r="T710" s="102">
        <f t="shared" ref="T710:T714" si="440">ROUND(Q710*R710*S710,2)</f>
        <v>0</v>
      </c>
      <c r="U710" s="81">
        <f>IF(D710&lt;=3,база!$M$4,
IF(D710=4,база!$M$5,
IF(D710=5,база!$M$6)))</f>
        <v>225.09719999999999</v>
      </c>
      <c r="V710" s="270">
        <v>1</v>
      </c>
      <c r="W710" s="96">
        <f>SUMIFS(Таблица1[сумма],Таблица1[коэф],"1",Таблица1[р/р],"3/24",Таблица1[Ф. И. О.],B715)</f>
        <v>0</v>
      </c>
      <c r="X710" s="102">
        <f>ROUND(U710*V710*W710,2)</f>
        <v>0</v>
      </c>
      <c r="Y710" s="807">
        <f t="shared" ref="Y710" si="441">SUM(G710:G720,K710:K720,O710:O720,S710:S720,W710:W720)</f>
        <v>0</v>
      </c>
      <c r="Z710" s="823">
        <f t="shared" ref="Z710" si="442">IFERROR(SUM(H710:H720,L710:L720,T710:T720,X710:X720),"")</f>
        <v>0</v>
      </c>
      <c r="AA710" s="812"/>
    </row>
    <row r="711" spans="1:29">
      <c r="A711" s="756"/>
      <c r="B711" s="618"/>
      <c r="C711" s="815"/>
      <c r="D711" s="817"/>
      <c r="E711" s="74">
        <f>IF(D710&lt;=3,база!$I$4,
IF(D710=4,база!$I$5,
IF(D710=5,база!$I$6)))</f>
        <v>188.7912</v>
      </c>
      <c r="F711" s="270">
        <v>1</v>
      </c>
      <c r="G711" s="88">
        <f>SUMIFS(Таблица1[сумма],Таблица1[коэф],"1",Таблица1[р/р],"3/4",Таблица1[Ф. И. О.],B715)</f>
        <v>0</v>
      </c>
      <c r="H711" s="102">
        <f>ROUND(E711*F711*G711,2)</f>
        <v>0</v>
      </c>
      <c r="I711" s="24">
        <f>IF(D710&lt;=3,база!$J$4,
IF(D710=4,база!$J$5,
IF(D710=5,база!$J$6)))</f>
        <v>196.05240000000001</v>
      </c>
      <c r="J711" s="277">
        <v>1</v>
      </c>
      <c r="K711" s="22"/>
      <c r="L711" s="309">
        <f>ROUND(I711*J711*K711,2)</f>
        <v>0</v>
      </c>
      <c r="M711" s="24"/>
      <c r="N711" s="22">
        <v>1</v>
      </c>
      <c r="O711" s="22">
        <f>SUMIFS(Data_Tech!$AM$3:$AM$67,Data_Tech!$E$3:$E$67,"1",Data_Tech!$G$3:$G$67,"4/12",Data_Tech!$F$3:$F$67,B715)</f>
        <v>0</v>
      </c>
      <c r="P711" s="281">
        <f>ROUND(M711*O711,2)</f>
        <v>0</v>
      </c>
      <c r="Q711" s="619">
        <f>база!$L$5</f>
        <v>231.45480000000001</v>
      </c>
      <c r="R711" s="270">
        <v>1</v>
      </c>
      <c r="S711" s="96">
        <f>SUMIFS(Таблица1[сумма],Таблица1[коэф],"1",Таблица1[р/р],"4/16",Таблица1[Ф. И. О.],B715)</f>
        <v>0</v>
      </c>
      <c r="T711" s="102">
        <f t="shared" si="440"/>
        <v>0</v>
      </c>
      <c r="U711" s="81">
        <f>база!$M$5</f>
        <v>247.41720000000001</v>
      </c>
      <c r="V711" s="270">
        <v>1</v>
      </c>
      <c r="W711" s="96">
        <f>SUMIFS(Таблица1[сумма],Таблица1[коэф],"1",Таблица1[р/р],"4/24",Таблица1[Ф. И. О.],B715)</f>
        <v>0</v>
      </c>
      <c r="X711" s="102">
        <f t="shared" ref="X711" si="443">ROUND(U711*V711*W711,2)</f>
        <v>0</v>
      </c>
      <c r="Y711" s="808"/>
      <c r="Z711" s="810"/>
      <c r="AA711" s="813"/>
    </row>
    <row r="712" spans="1:29">
      <c r="A712" s="756"/>
      <c r="B712" s="618"/>
      <c r="C712" s="815"/>
      <c r="D712" s="817"/>
      <c r="E712" s="74"/>
      <c r="F712" s="270"/>
      <c r="G712" s="88"/>
      <c r="H712" s="102"/>
      <c r="I712" s="24"/>
      <c r="J712" s="277"/>
      <c r="K712" s="22"/>
      <c r="L712" s="309"/>
      <c r="M712" s="24"/>
      <c r="N712" s="22"/>
      <c r="O712" s="22"/>
      <c r="P712" s="281"/>
      <c r="Q712" s="619">
        <f>база!$L$6</f>
        <v>261.04640000000001</v>
      </c>
      <c r="R712" s="270">
        <v>1</v>
      </c>
      <c r="S712" s="96">
        <f>SUMIFS(Таблица1[сумма],Таблица1[коэф],"1",Таблица1[р/р],"5/16",Таблица1[Ф. И. О.],B715)</f>
        <v>0</v>
      </c>
      <c r="T712" s="102">
        <f t="shared" si="440"/>
        <v>0</v>
      </c>
      <c r="U712" s="81">
        <f>база!$M$6</f>
        <v>279.0496</v>
      </c>
      <c r="V712" s="270">
        <v>1</v>
      </c>
      <c r="W712" s="96">
        <f>SUMIFS(Таблица1[сумма],Таблица1[коэф],"1",Таблица1[р/р],"5/24",Таблица1[Ф. И. О.],B715)</f>
        <v>0</v>
      </c>
      <c r="X712" s="102">
        <f>ROUND(U712*V712*W712,2)</f>
        <v>0</v>
      </c>
      <c r="Y712" s="808"/>
      <c r="Z712" s="810"/>
      <c r="AA712" s="813"/>
    </row>
    <row r="713" spans="1:29">
      <c r="A713" s="756"/>
      <c r="B713" s="618"/>
      <c r="C713" s="815"/>
      <c r="D713" s="817"/>
      <c r="E713" s="74"/>
      <c r="F713" s="270"/>
      <c r="G713" s="88"/>
      <c r="H713" s="102"/>
      <c r="I713" s="24">
        <f>база!$J$5</f>
        <v>215.4924</v>
      </c>
      <c r="J713" s="277">
        <v>1.5</v>
      </c>
      <c r="K713" s="22">
        <f>SUMIFS(Таблица1[сумма],Таблица1[коэф],"1,5",Таблица1[р/р],"4/8",Таблица1[Ф. И. О.],B715)</f>
        <v>0</v>
      </c>
      <c r="L713" s="309">
        <f>ROUND(I713*J713*K713,2)</f>
        <v>0</v>
      </c>
      <c r="M713" s="24"/>
      <c r="N713" s="22"/>
      <c r="O713" s="22"/>
      <c r="P713" s="281"/>
      <c r="Q713" s="619">
        <f>IF(D710&lt;=3,база!$L$4,
IF(D710=4,база!$L$5,
IF(D710=5,база!$L$6)))</f>
        <v>210.57480000000001</v>
      </c>
      <c r="R713" s="270">
        <v>1.2</v>
      </c>
      <c r="S713" s="96">
        <f>SUMIFS(Таблица1[сумма],Таблица1[коэф],"1,2",Таблица1[р/р],"3/16",Таблица1[Ф. И. О.],B715)</f>
        <v>0</v>
      </c>
      <c r="T713" s="102">
        <f t="shared" si="440"/>
        <v>0</v>
      </c>
      <c r="U713" s="81">
        <f>IF(D710&lt;=3,база!$M$4,
IF(D710=4,база!$M$5,
IF(D710=5,база!$M$6)))</f>
        <v>225.09719999999999</v>
      </c>
      <c r="V713" s="270">
        <v>1.2</v>
      </c>
      <c r="W713" s="96">
        <f>SUMIFS(Таблица1[сумма],Таблица1[коэф],"1,2",Таблица1[р/р],"3/24",Таблица1[Ф. И. О.],B715)</f>
        <v>0</v>
      </c>
      <c r="X713" s="102">
        <f t="shared" ref="X713:X714" si="444">ROUND(U713*V713*W713,2)</f>
        <v>0</v>
      </c>
      <c r="Y713" s="808"/>
      <c r="Z713" s="810"/>
      <c r="AA713" s="813"/>
    </row>
    <row r="714" spans="1:29">
      <c r="A714" s="756"/>
      <c r="B714" s="618"/>
      <c r="C714" s="815"/>
      <c r="D714" s="817"/>
      <c r="E714" s="74"/>
      <c r="F714" s="270"/>
      <c r="G714" s="88"/>
      <c r="H714" s="102"/>
      <c r="I714" s="24">
        <f>база!$J$6</f>
        <v>243.04319999999998</v>
      </c>
      <c r="J714" s="277">
        <v>1.5</v>
      </c>
      <c r="K714" s="22">
        <f>SUMIFS(Таблица1[сумма],Таблица1[коэф],"1,5",Таблица1[р/р],"5/8",Таблица1[Ф. И. О.],B715)</f>
        <v>0</v>
      </c>
      <c r="L714" s="309">
        <f>ROUND(I714*J714*K714,2)</f>
        <v>0</v>
      </c>
      <c r="M714" s="24"/>
      <c r="N714" s="22"/>
      <c r="O714" s="22"/>
      <c r="P714" s="281"/>
      <c r="Q714" s="619">
        <f>база!$L$5</f>
        <v>231.45480000000001</v>
      </c>
      <c r="R714" s="270">
        <v>1.2</v>
      </c>
      <c r="S714" s="96">
        <f>SUMIFS(Таблица1[сумма],Таблица1[коэф],"1,2",Таблица1[р/р],"4/16",Таблица1[Ф. И. О.],B715)</f>
        <v>0</v>
      </c>
      <c r="T714" s="102">
        <f t="shared" si="440"/>
        <v>0</v>
      </c>
      <c r="U714" s="81">
        <f>база!$M$5</f>
        <v>247.41720000000001</v>
      </c>
      <c r="V714" s="270">
        <v>1.2</v>
      </c>
      <c r="W714" s="96">
        <f>SUMIFS(Таблица1[сумма],Таблица1[коэф],"1,2",Таблица1[р/р],"4/24",Таблица1[Ф. И. О.],B715)</f>
        <v>0</v>
      </c>
      <c r="X714" s="102">
        <f t="shared" si="444"/>
        <v>0</v>
      </c>
      <c r="Y714" s="808"/>
      <c r="Z714" s="810"/>
      <c r="AA714" s="813"/>
      <c r="AC714" s="707" t="str">
        <f>IF(SUMIFS(Таблица1[Столбец2],Таблица1[Ф. И. О.],B715)-Z710=0,"",SUMIFS(Таблица1[Столбец2],Таблица1[Ф. И. О.],B715)-Z710)</f>
        <v/>
      </c>
    </row>
    <row r="715" spans="1:29">
      <c r="A715" s="756"/>
      <c r="B715" s="618" t="str">
        <f>база!B66</f>
        <v>Саидова Ольга Владимировна</v>
      </c>
      <c r="C715" s="815"/>
      <c r="D715" s="817"/>
      <c r="E715" s="74"/>
      <c r="F715" s="270"/>
      <c r="G715" s="88"/>
      <c r="H715" s="102"/>
      <c r="I715" s="24"/>
      <c r="J715" s="277"/>
      <c r="K715" s="22"/>
      <c r="L715" s="309"/>
      <c r="M715" s="24"/>
      <c r="N715" s="22"/>
      <c r="O715" s="22"/>
      <c r="P715" s="281"/>
      <c r="Q715" s="619">
        <f>база!$L$6</f>
        <v>261.04640000000001</v>
      </c>
      <c r="R715" s="270">
        <v>1.2</v>
      </c>
      <c r="S715" s="96">
        <f>SUMIFS(Таблица1[сумма],Таблица1[коэф],"1,2",Таблица1[р/р],"5/16",Таблица1[Ф. И. О.],B715)</f>
        <v>0</v>
      </c>
      <c r="T715" s="102">
        <f>ROUND(Q715*R715*S715,2)</f>
        <v>0</v>
      </c>
      <c r="U715" s="81">
        <f>база!$M$6</f>
        <v>279.0496</v>
      </c>
      <c r="V715" s="270">
        <v>1.2</v>
      </c>
      <c r="W715" s="96">
        <f>SUMIFS(Таблица1[сумма],Таблица1[коэф],"1,2",Таблица1[р/р],"5/24",Таблица1[Ф. И. О.],B715)</f>
        <v>0</v>
      </c>
      <c r="X715" s="102">
        <f>ROUND(U715*V715*W715,2)</f>
        <v>0</v>
      </c>
      <c r="Y715" s="808"/>
      <c r="Z715" s="810"/>
      <c r="AA715" s="813"/>
      <c r="AC715" s="707" t="str">
        <f>IF(SUMIFS(Таблица1[сумма],Таблица1[Ф. И. О.],B715)=Y710,"",B710&amp;"  часы не верны")</f>
        <v/>
      </c>
    </row>
    <row r="716" spans="1:29">
      <c r="A716" s="756"/>
      <c r="B716" s="618"/>
      <c r="C716" s="815"/>
      <c r="D716" s="817"/>
      <c r="E716" s="74"/>
      <c r="F716" s="270"/>
      <c r="G716" s="88"/>
      <c r="H716" s="102"/>
      <c r="I716" s="24"/>
      <c r="J716" s="277"/>
      <c r="K716" s="22"/>
      <c r="L716" s="309"/>
      <c r="M716" s="24"/>
      <c r="N716" s="22"/>
      <c r="O716" s="22"/>
      <c r="P716" s="281"/>
      <c r="Q716" s="619">
        <f>IF($D$6&lt;=3,база!$L$4,
IF($D$6=4,база!$L$5,
IF($D$6=5,база!$L$6)))</f>
        <v>231.45480000000001</v>
      </c>
      <c r="R716" s="270">
        <v>1.3</v>
      </c>
      <c r="S716" s="96">
        <f>SUMIFS(Таблица1[сумма],Таблица1[коэф],"1,3",Таблица1[р/р],"3/16",Таблица1[Ф. И. О.],B715)</f>
        <v>0</v>
      </c>
      <c r="T716" s="102">
        <f t="shared" ref="T716:T717" si="445">ROUND(Q716*R716*S716,2)</f>
        <v>0</v>
      </c>
      <c r="U716" s="81">
        <f>IF(D710&lt;=3,база!$M$4,
IF(D710=4,база!$M$5,
IF(D710=5,база!$M$6)))</f>
        <v>225.09719999999999</v>
      </c>
      <c r="V716" s="270">
        <v>1.3</v>
      </c>
      <c r="W716" s="96">
        <f>SUMIFS(Таблица1[сумма],Таблица1[коэф],"1,3",Таблица1[р/р],"3/24",Таблица1[Ф. И. О.],B715)</f>
        <v>0</v>
      </c>
      <c r="X716" s="102">
        <f t="shared" ref="X716:X717" si="446">ROUND(U716*V716*W716,2)</f>
        <v>0</v>
      </c>
      <c r="Y716" s="808"/>
      <c r="Z716" s="810"/>
      <c r="AA716" s="813"/>
    </row>
    <row r="717" spans="1:29">
      <c r="A717" s="756"/>
      <c r="B717" s="618"/>
      <c r="C717" s="815"/>
      <c r="D717" s="817"/>
      <c r="E717" s="74"/>
      <c r="F717" s="270"/>
      <c r="G717" s="88"/>
      <c r="H717" s="102"/>
      <c r="I717" s="24"/>
      <c r="J717" s="277"/>
      <c r="K717" s="22"/>
      <c r="L717" s="309"/>
      <c r="M717" s="24"/>
      <c r="N717" s="22"/>
      <c r="O717" s="22"/>
      <c r="P717" s="281"/>
      <c r="Q717" s="619">
        <f>база!$L$5</f>
        <v>231.45480000000001</v>
      </c>
      <c r="R717" s="270">
        <v>1.3</v>
      </c>
      <c r="S717" s="96">
        <f>SUMIFS(Таблица1[сумма],Таблица1[коэф],"1,3",Таблица1[р/р],"4/16",Таблица1[Ф. И. О.],B715)</f>
        <v>0</v>
      </c>
      <c r="T717" s="102">
        <f t="shared" si="445"/>
        <v>0</v>
      </c>
      <c r="U717" s="81">
        <f>база!$M$5</f>
        <v>247.41720000000001</v>
      </c>
      <c r="V717" s="270">
        <v>1.3</v>
      </c>
      <c r="W717" s="96">
        <f>SUMIFS(Таблица1[сумма],Таблица1[коэф],"1,3",Таблица1[р/р],"4/24",Таблица1[Ф. И. О.],B715)</f>
        <v>0</v>
      </c>
      <c r="X717" s="102">
        <f t="shared" si="446"/>
        <v>0</v>
      </c>
      <c r="Y717" s="808"/>
      <c r="Z717" s="810"/>
      <c r="AA717" s="813"/>
    </row>
    <row r="718" spans="1:29">
      <c r="A718" s="756"/>
      <c r="B718" s="618"/>
      <c r="C718" s="815"/>
      <c r="D718" s="817"/>
      <c r="E718" s="74"/>
      <c r="F718" s="270"/>
      <c r="G718" s="88"/>
      <c r="H718" s="102"/>
      <c r="I718" s="24"/>
      <c r="J718" s="277"/>
      <c r="K718" s="22"/>
      <c r="L718" s="309"/>
      <c r="M718" s="24"/>
      <c r="N718" s="22"/>
      <c r="O718" s="22"/>
      <c r="P718" s="281"/>
      <c r="Q718" s="619">
        <f>IF(D710&lt;=3,база!$L$4,
IF(D710=4,база!$L$5,
IF(D710=5,база!$L$6)))</f>
        <v>210.57480000000001</v>
      </c>
      <c r="R718" s="270">
        <v>1.4</v>
      </c>
      <c r="S718" s="96">
        <f>SUMIFS(Таблица1[сумма],Таблица1[коэф],"1,4",Таблица1[р/р],"3/16",Таблица1[Ф. И. О.],B715)</f>
        <v>0</v>
      </c>
      <c r="T718" s="102">
        <f>ROUND(Q718*R718*S718,2)</f>
        <v>0</v>
      </c>
      <c r="U718" s="81">
        <f>IF(D710&lt;=3,база!$M$4,
IF(D710=4,база!$M$5,
IF(D710=5,база!$M$6)))</f>
        <v>225.09719999999999</v>
      </c>
      <c r="V718" s="270">
        <v>1.4</v>
      </c>
      <c r="W718" s="96">
        <f>SUMIFS(Таблица1[сумма],Таблица1[коэф],"1,4",Таблица1[р/р],"3/24",Таблица1[Ф. И. О.],B715)</f>
        <v>0</v>
      </c>
      <c r="X718" s="102">
        <f>ROUND(U718*V718*W718,2)</f>
        <v>0</v>
      </c>
      <c r="Y718" s="808"/>
      <c r="Z718" s="810"/>
      <c r="AA718" s="813"/>
    </row>
    <row r="719" spans="1:29">
      <c r="A719" s="756"/>
      <c r="B719" s="618"/>
      <c r="C719" s="815"/>
      <c r="D719" s="817"/>
      <c r="E719" s="84"/>
      <c r="F719" s="272"/>
      <c r="G719" s="628"/>
      <c r="H719" s="89"/>
      <c r="I719" s="67"/>
      <c r="J719" s="629"/>
      <c r="K719" s="59"/>
      <c r="L719" s="325"/>
      <c r="M719" s="67"/>
      <c r="N719" s="59"/>
      <c r="O719" s="59"/>
      <c r="P719" s="282"/>
      <c r="Q719" s="630">
        <f>база!$L$5</f>
        <v>231.45480000000001</v>
      </c>
      <c r="R719" s="272">
        <v>1.4</v>
      </c>
      <c r="S719" s="100">
        <f>SUMIFS(Таблица1[сумма],Таблица1[коэф],"1,4",Таблица1[р/р],"4/16",Таблица1[Ф. И. О.],B715)</f>
        <v>0</v>
      </c>
      <c r="T719" s="89">
        <f>ROUND(Q719*R719*S719,2)</f>
        <v>0</v>
      </c>
      <c r="U719" s="105">
        <f>база!$M$5</f>
        <v>247.41720000000001</v>
      </c>
      <c r="V719" s="272">
        <v>1.4</v>
      </c>
      <c r="W719" s="100">
        <f>SUMIFS(Таблица1[сумма],Таблица1[коэф],"1,4",Таблица1[р/р],"4/24",Таблица1[Ф. И. О.],B715)</f>
        <v>0</v>
      </c>
      <c r="X719" s="89">
        <f>ROUND(U719*V719*W719,2)</f>
        <v>0</v>
      </c>
      <c r="Y719" s="808"/>
      <c r="Z719" s="810"/>
      <c r="AA719" s="813"/>
    </row>
    <row r="720" spans="1:29" ht="24" thickBot="1">
      <c r="A720" s="757"/>
      <c r="B720" s="352"/>
      <c r="C720" s="816"/>
      <c r="D720" s="818"/>
      <c r="E720" s="76"/>
      <c r="F720" s="275"/>
      <c r="G720" s="620"/>
      <c r="H720" s="93"/>
      <c r="I720" s="621"/>
      <c r="J720" s="594"/>
      <c r="K720" s="622"/>
      <c r="L720" s="328"/>
      <c r="M720" s="621"/>
      <c r="N720" s="622"/>
      <c r="O720" s="622"/>
      <c r="P720" s="289"/>
      <c r="Q720" s="623">
        <f>база!$L$6</f>
        <v>261.04640000000001</v>
      </c>
      <c r="R720" s="275">
        <v>1.4</v>
      </c>
      <c r="S720" s="99">
        <f>SUMIFS(Таблица1[сумма],Таблица1[коэф],"1,4",Таблица1[р/р],"5/16",Таблица1[Ф. И. О.],B715)</f>
        <v>0</v>
      </c>
      <c r="T720" s="93">
        <f>ROUND(Q720*R720*S720,2)</f>
        <v>0</v>
      </c>
      <c r="U720" s="83">
        <f>база!$M$6</f>
        <v>279.0496</v>
      </c>
      <c r="V720" s="275">
        <v>1.4</v>
      </c>
      <c r="W720" s="99">
        <f>SUMIFS(Таблица1[сумма],Таблица1[коэф],"1,4",Таблица1[р/р],"5/24",Таблица1[Ф. И. О.],B715)</f>
        <v>0</v>
      </c>
      <c r="X720" s="93">
        <f>ROUND(U720*V720*W720,2)</f>
        <v>0</v>
      </c>
      <c r="Y720" s="809"/>
      <c r="Z720" s="811"/>
      <c r="AA720" s="814"/>
    </row>
    <row r="721" spans="1:29" ht="20.25" customHeight="1">
      <c r="A721" s="755">
        <v>66</v>
      </c>
      <c r="B721" s="618"/>
      <c r="C721" s="821">
        <f>INDEX(база!$E$2:$E$181, MATCH(B726,база!$B$2:$B$160,0))</f>
        <v>17102</v>
      </c>
      <c r="D721" s="822">
        <f>INDEX(база!$D$2:$D$189, MATCH(B726,база!$B$2:$B$160,0))</f>
        <v>3</v>
      </c>
      <c r="E721" s="74">
        <f>IF(D721&lt;=3,база!$I$4,
IF(D721=4,база!$I$5,
IF(D721=5,база!$I$6)))</f>
        <v>188.7912</v>
      </c>
      <c r="F721" s="270">
        <v>1</v>
      </c>
      <c r="G721" s="88">
        <f>SUMIFS(Таблица1[сумма],Таблица1[коэф],"1",Таблица1[р/р],"2/4",Таблица1[Ф. И. О.],B726)</f>
        <v>0</v>
      </c>
      <c r="H721" s="102">
        <f>ROUND(E721*F721*G721,2)</f>
        <v>0</v>
      </c>
      <c r="I721" s="24">
        <f>IF(D721&lt;=3,база!$J$4,
IF(D721=4,база!$J$5,
IF(D721=5,база!$J$6)))</f>
        <v>196.05240000000001</v>
      </c>
      <c r="J721" s="277">
        <v>1</v>
      </c>
      <c r="K721" s="22">
        <f>SUMIFS(Таблица1[сумма],Таблица1[коэф],"1",Таблица1[р/р],"2/8",Таблица1[Ф. И. О.],B726)</f>
        <v>0</v>
      </c>
      <c r="L721" s="309">
        <f>ROUND(I721*J721*K721,2)</f>
        <v>0</v>
      </c>
      <c r="M721" s="24"/>
      <c r="N721" s="22">
        <v>1</v>
      </c>
      <c r="O721" s="22">
        <f>SUMIFS(Data_Tech!$AM$3:$AM$67,Data_Tech!$E$3:$E$67,"1",Data_Tech!$G$3:$G$67,"3/12",Data_Tech!$F$3:$F$67,B726)</f>
        <v>0</v>
      </c>
      <c r="P721" s="281">
        <f>ROUND(M721*N721*O721,2)</f>
        <v>0</v>
      </c>
      <c r="Q721" s="619">
        <f>IF(D721&lt;=3,база!$L$4,
IF(D721=4,база!$L$5,
IF(D721=5,база!$L$6)))</f>
        <v>210.57480000000001</v>
      </c>
      <c r="R721" s="270">
        <v>1</v>
      </c>
      <c r="S721" s="96">
        <f>SUMIFS(Таблица1[сумма],Таблица1[коэф],"1",Таблица1[р/р],"3/16",Таблица1[Ф. И. О.],B726)</f>
        <v>0</v>
      </c>
      <c r="T721" s="102">
        <f t="shared" ref="T721:T725" si="447">ROUND(Q721*R721*S721,2)</f>
        <v>0</v>
      </c>
      <c r="U721" s="81">
        <f>IF(D721&lt;=3,база!$M$4,
IF(D721=4,база!$M$5,
IF(D721=5,база!$M$6)))</f>
        <v>225.09719999999999</v>
      </c>
      <c r="V721" s="270">
        <v>1</v>
      </c>
      <c r="W721" s="96">
        <f>SUMIFS(Таблица1[сумма],Таблица1[коэф],"1",Таблица1[р/р],"3/24",Таблица1[Ф. И. О.],B726)</f>
        <v>0</v>
      </c>
      <c r="X721" s="102">
        <f>ROUND(U721*V721*W721,2)</f>
        <v>0</v>
      </c>
      <c r="Y721" s="807">
        <f t="shared" ref="Y721" si="448">SUM(G721:G731,K721:K731,O721:O731,S721:S731,W721:W731)</f>
        <v>0</v>
      </c>
      <c r="Z721" s="823">
        <f t="shared" ref="Z721" si="449">IFERROR(SUM(H721:H731,L721:L731,T721:T731,X721:X731),"")</f>
        <v>0</v>
      </c>
      <c r="AA721" s="812"/>
    </row>
    <row r="722" spans="1:29">
      <c r="A722" s="756"/>
      <c r="B722" s="618"/>
      <c r="C722" s="815"/>
      <c r="D722" s="817"/>
      <c r="E722" s="74">
        <f>IF(D721&lt;=3,база!$I$4,
IF(D721=4,база!$I$5,
IF(D721=5,база!$I$6)))</f>
        <v>188.7912</v>
      </c>
      <c r="F722" s="270">
        <v>1</v>
      </c>
      <c r="G722" s="88">
        <f>SUMIFS(Таблица1[сумма],Таблица1[коэф],"1",Таблица1[р/р],"3/4",Таблица1[Ф. И. О.],B726)</f>
        <v>0</v>
      </c>
      <c r="H722" s="102">
        <f>ROUND(E722*F722*G722,2)</f>
        <v>0</v>
      </c>
      <c r="I722" s="24">
        <f>IF(D721&lt;=3,база!$J$4,
IF(D721=4,база!$J$5,
IF(D721=5,база!$J$6)))</f>
        <v>196.05240000000001</v>
      </c>
      <c r="J722" s="277">
        <v>1</v>
      </c>
      <c r="K722" s="22"/>
      <c r="L722" s="309">
        <f>ROUND(I722*J722*K722,2)</f>
        <v>0</v>
      </c>
      <c r="M722" s="24"/>
      <c r="N722" s="22">
        <v>1</v>
      </c>
      <c r="O722" s="22">
        <f>SUMIFS(Data_Tech!$AM$3:$AM$67,Data_Tech!$E$3:$E$67,"1",Data_Tech!$G$3:$G$67,"4/12",Data_Tech!$F$3:$F$67,B726)</f>
        <v>0</v>
      </c>
      <c r="P722" s="281">
        <f>ROUND(M722*O722,2)</f>
        <v>0</v>
      </c>
      <c r="Q722" s="619">
        <f>база!$L$5</f>
        <v>231.45480000000001</v>
      </c>
      <c r="R722" s="270">
        <v>1</v>
      </c>
      <c r="S722" s="96">
        <f>SUMIFS(Таблица1[сумма],Таблица1[коэф],"1",Таблица1[р/р],"4/16",Таблица1[Ф. И. О.],B726)</f>
        <v>0</v>
      </c>
      <c r="T722" s="102">
        <f t="shared" si="447"/>
        <v>0</v>
      </c>
      <c r="U722" s="81">
        <f>база!$M$5</f>
        <v>247.41720000000001</v>
      </c>
      <c r="V722" s="270">
        <v>1</v>
      </c>
      <c r="W722" s="96">
        <f>SUMIFS(Таблица1[сумма],Таблица1[коэф],"1",Таблица1[р/р],"4/24",Таблица1[Ф. И. О.],B726)</f>
        <v>0</v>
      </c>
      <c r="X722" s="102">
        <f t="shared" ref="X722" si="450">ROUND(U722*V722*W722,2)</f>
        <v>0</v>
      </c>
      <c r="Y722" s="808"/>
      <c r="Z722" s="810"/>
      <c r="AA722" s="813"/>
    </row>
    <row r="723" spans="1:29">
      <c r="A723" s="756"/>
      <c r="B723" s="618"/>
      <c r="C723" s="815"/>
      <c r="D723" s="817"/>
      <c r="E723" s="74"/>
      <c r="F723" s="270"/>
      <c r="G723" s="88"/>
      <c r="H723" s="102"/>
      <c r="I723" s="24"/>
      <c r="J723" s="277"/>
      <c r="K723" s="22"/>
      <c r="L723" s="309"/>
      <c r="M723" s="24"/>
      <c r="N723" s="22"/>
      <c r="O723" s="22"/>
      <c r="P723" s="281"/>
      <c r="Q723" s="619">
        <f>база!$L$6</f>
        <v>261.04640000000001</v>
      </c>
      <c r="R723" s="270">
        <v>1</v>
      </c>
      <c r="S723" s="96">
        <f>SUMIFS(Таблица1[сумма],Таблица1[коэф],"1",Таблица1[р/р],"5/16",Таблица1[Ф. И. О.],B726)</f>
        <v>0</v>
      </c>
      <c r="T723" s="102">
        <f t="shared" si="447"/>
        <v>0</v>
      </c>
      <c r="U723" s="81">
        <f>база!$M$6</f>
        <v>279.0496</v>
      </c>
      <c r="V723" s="270">
        <v>1</v>
      </c>
      <c r="W723" s="96">
        <f>SUMIFS(Таблица1[сумма],Таблица1[коэф],"1",Таблица1[р/р],"5/24",Таблица1[Ф. И. О.],B726)</f>
        <v>0</v>
      </c>
      <c r="X723" s="102">
        <f>ROUND(U723*V723*W723,2)</f>
        <v>0</v>
      </c>
      <c r="Y723" s="808"/>
      <c r="Z723" s="810"/>
      <c r="AA723" s="813"/>
    </row>
    <row r="724" spans="1:29">
      <c r="A724" s="756"/>
      <c r="B724" s="618"/>
      <c r="C724" s="815"/>
      <c r="D724" s="817"/>
      <c r="E724" s="74"/>
      <c r="F724" s="270"/>
      <c r="G724" s="88"/>
      <c r="H724" s="102"/>
      <c r="I724" s="24">
        <f>база!$J$5</f>
        <v>215.4924</v>
      </c>
      <c r="J724" s="277">
        <v>1.5</v>
      </c>
      <c r="K724" s="22">
        <f>SUMIFS(Таблица1[сумма],Таблица1[коэф],"1,5",Таблица1[р/р],"4/8",Таблица1[Ф. И. О.],B726)</f>
        <v>0</v>
      </c>
      <c r="L724" s="309">
        <f>ROUND(I724*J724*K724,2)</f>
        <v>0</v>
      </c>
      <c r="M724" s="24"/>
      <c r="N724" s="22"/>
      <c r="O724" s="22"/>
      <c r="P724" s="281"/>
      <c r="Q724" s="619">
        <f>IF(D721&lt;=3,база!$L$4,
IF(D721=4,база!$L$5,
IF(D721=5,база!$L$6)))</f>
        <v>210.57480000000001</v>
      </c>
      <c r="R724" s="270">
        <v>1.2</v>
      </c>
      <c r="S724" s="96">
        <f>SUMIFS(Таблица1[сумма],Таблица1[коэф],"1,2",Таблица1[р/р],"3/16",Таблица1[Ф. И. О.],B726)</f>
        <v>0</v>
      </c>
      <c r="T724" s="102">
        <f t="shared" si="447"/>
        <v>0</v>
      </c>
      <c r="U724" s="81">
        <f>IF(D721&lt;=3,база!$M$4,
IF(D721=4,база!$M$5,
IF(D721=5,база!$M$6)))</f>
        <v>225.09719999999999</v>
      </c>
      <c r="V724" s="270">
        <v>1.2</v>
      </c>
      <c r="W724" s="96">
        <f>SUMIFS(Таблица1[сумма],Таблица1[коэф],"1,2",Таблица1[р/р],"3/24",Таблица1[Ф. И. О.],B726)</f>
        <v>0</v>
      </c>
      <c r="X724" s="102">
        <f t="shared" ref="X724:X725" si="451">ROUND(U724*V724*W724,2)</f>
        <v>0</v>
      </c>
      <c r="Y724" s="808"/>
      <c r="Z724" s="810"/>
      <c r="AA724" s="813"/>
    </row>
    <row r="725" spans="1:29">
      <c r="A725" s="756"/>
      <c r="B725" s="618"/>
      <c r="C725" s="815"/>
      <c r="D725" s="817"/>
      <c r="E725" s="74"/>
      <c r="F725" s="270"/>
      <c r="G725" s="88"/>
      <c r="H725" s="102"/>
      <c r="I725" s="24">
        <f>база!$J$6</f>
        <v>243.04319999999998</v>
      </c>
      <c r="J725" s="277">
        <v>1.5</v>
      </c>
      <c r="K725" s="22">
        <f>SUMIFS(Таблица1[сумма],Таблица1[коэф],"1,5",Таблица1[р/р],"5/8",Таблица1[Ф. И. О.],B726)</f>
        <v>0</v>
      </c>
      <c r="L725" s="309">
        <f>ROUND(I725*J725*K725,2)</f>
        <v>0</v>
      </c>
      <c r="M725" s="24"/>
      <c r="N725" s="22"/>
      <c r="O725" s="22"/>
      <c r="P725" s="281"/>
      <c r="Q725" s="619">
        <f>база!$L$5</f>
        <v>231.45480000000001</v>
      </c>
      <c r="R725" s="270">
        <v>1.2</v>
      </c>
      <c r="S725" s="96">
        <f>SUMIFS(Таблица1[сумма],Таблица1[коэф],"1,2",Таблица1[р/р],"4/16",Таблица1[Ф. И. О.],B726)</f>
        <v>0</v>
      </c>
      <c r="T725" s="102">
        <f t="shared" si="447"/>
        <v>0</v>
      </c>
      <c r="U725" s="81">
        <f>база!$M$5</f>
        <v>247.41720000000001</v>
      </c>
      <c r="V725" s="270">
        <v>1.2</v>
      </c>
      <c r="W725" s="96">
        <f>SUMIFS(Таблица1[сумма],Таблица1[коэф],"1,2",Таблица1[р/р],"4/24",Таблица1[Ф. И. О.],B726)</f>
        <v>0</v>
      </c>
      <c r="X725" s="102">
        <f t="shared" si="451"/>
        <v>0</v>
      </c>
      <c r="Y725" s="808"/>
      <c r="Z725" s="810"/>
      <c r="AA725" s="813"/>
      <c r="AC725" s="707" t="str">
        <f>IF(SUMIFS(Таблица1[Столбец2],Таблица1[Ф. И. О.],B726)-Z721=0,"",SUMIFS(Таблица1[Столбец2],Таблица1[Ф. И. О.],B726)-Z721)</f>
        <v/>
      </c>
    </row>
    <row r="726" spans="1:29">
      <c r="A726" s="756"/>
      <c r="B726" s="618" t="str">
        <f>база!B67</f>
        <v>Сайпулаева Феодосия Андреевна</v>
      </c>
      <c r="C726" s="815"/>
      <c r="D726" s="817"/>
      <c r="E726" s="74"/>
      <c r="F726" s="270"/>
      <c r="G726" s="88"/>
      <c r="H726" s="102"/>
      <c r="I726" s="24"/>
      <c r="J726" s="277"/>
      <c r="K726" s="22"/>
      <c r="L726" s="309"/>
      <c r="M726" s="24"/>
      <c r="N726" s="22"/>
      <c r="O726" s="22"/>
      <c r="P726" s="281"/>
      <c r="Q726" s="619">
        <f>база!$L$6</f>
        <v>261.04640000000001</v>
      </c>
      <c r="R726" s="270">
        <v>1.2</v>
      </c>
      <c r="S726" s="96">
        <f>SUMIFS(Таблица1[сумма],Таблица1[коэф],"1,2",Таблица1[р/р],"5/16",Таблица1[Ф. И. О.],B726)</f>
        <v>0</v>
      </c>
      <c r="T726" s="102">
        <f>ROUND(Q726*R726*S726,2)</f>
        <v>0</v>
      </c>
      <c r="U726" s="81">
        <f>база!$M$6</f>
        <v>279.0496</v>
      </c>
      <c r="V726" s="270">
        <v>1.2</v>
      </c>
      <c r="W726" s="96">
        <f>SUMIFS(Таблица1[сумма],Таблица1[коэф],"1,2",Таблица1[р/р],"5/24",Таблица1[Ф. И. О.],B726)</f>
        <v>0</v>
      </c>
      <c r="X726" s="102">
        <f>ROUND(U726*V726*W726,2)</f>
        <v>0</v>
      </c>
      <c r="Y726" s="808"/>
      <c r="Z726" s="810"/>
      <c r="AA726" s="813"/>
      <c r="AC726" s="707" t="str">
        <f>IF(SUMIFS(Таблица1[сумма],Таблица1[Ф. И. О.],B726)=Y721,"",B721&amp;"  часы не верны")</f>
        <v/>
      </c>
    </row>
    <row r="727" spans="1:29">
      <c r="A727" s="756"/>
      <c r="B727" s="618"/>
      <c r="C727" s="815"/>
      <c r="D727" s="817"/>
      <c r="E727" s="74"/>
      <c r="F727" s="270"/>
      <c r="G727" s="88"/>
      <c r="H727" s="102"/>
      <c r="I727" s="24"/>
      <c r="J727" s="277"/>
      <c r="K727" s="22"/>
      <c r="L727" s="309"/>
      <c r="M727" s="24"/>
      <c r="N727" s="22"/>
      <c r="O727" s="22"/>
      <c r="P727" s="281"/>
      <c r="Q727" s="619">
        <f>IF($D$6&lt;=3,база!$L$4,
IF($D$6=4,база!$L$5,
IF($D$6=5,база!$L$6)))</f>
        <v>231.45480000000001</v>
      </c>
      <c r="R727" s="270">
        <v>1.3</v>
      </c>
      <c r="S727" s="96">
        <f>SUMIFS(Таблица1[сумма],Таблица1[коэф],"1,3",Таблица1[р/р],"3/16",Таблица1[Ф. И. О.],B726)</f>
        <v>0</v>
      </c>
      <c r="T727" s="102">
        <f t="shared" ref="T727:T728" si="452">ROUND(Q727*R727*S727,2)</f>
        <v>0</v>
      </c>
      <c r="U727" s="81">
        <f>IF(D721&lt;=3,база!$M$4,
IF(D721=4,база!$M$5,
IF(D721=5,база!$M$6)))</f>
        <v>225.09719999999999</v>
      </c>
      <c r="V727" s="270">
        <v>1.3</v>
      </c>
      <c r="W727" s="96">
        <f>SUMIFS(Таблица1[сумма],Таблица1[коэф],"1,3",Таблица1[р/р],"3/24",Таблица1[Ф. И. О.],B726)</f>
        <v>0</v>
      </c>
      <c r="X727" s="102">
        <f t="shared" ref="X727:X728" si="453">ROUND(U727*V727*W727,2)</f>
        <v>0</v>
      </c>
      <c r="Y727" s="808"/>
      <c r="Z727" s="810"/>
      <c r="AA727" s="813"/>
    </row>
    <row r="728" spans="1:29">
      <c r="A728" s="756"/>
      <c r="B728" s="618"/>
      <c r="C728" s="815"/>
      <c r="D728" s="817"/>
      <c r="E728" s="74"/>
      <c r="F728" s="270"/>
      <c r="G728" s="88"/>
      <c r="H728" s="102"/>
      <c r="I728" s="24"/>
      <c r="J728" s="277"/>
      <c r="K728" s="22"/>
      <c r="L728" s="309"/>
      <c r="M728" s="24"/>
      <c r="N728" s="22"/>
      <c r="O728" s="22"/>
      <c r="P728" s="281"/>
      <c r="Q728" s="619">
        <f>база!$L$5</f>
        <v>231.45480000000001</v>
      </c>
      <c r="R728" s="270">
        <v>1.3</v>
      </c>
      <c r="S728" s="96">
        <f>SUMIFS(Таблица1[сумма],Таблица1[коэф],"1,3",Таблица1[р/р],"4/16",Таблица1[Ф. И. О.],B726)</f>
        <v>0</v>
      </c>
      <c r="T728" s="102">
        <f t="shared" si="452"/>
        <v>0</v>
      </c>
      <c r="U728" s="81">
        <f>база!$M$5</f>
        <v>247.41720000000001</v>
      </c>
      <c r="V728" s="270">
        <v>1.3</v>
      </c>
      <c r="W728" s="96">
        <f>SUMIFS(Таблица1[сумма],Таблица1[коэф],"1,3",Таблица1[р/р],"4/24",Таблица1[Ф. И. О.],B726)</f>
        <v>0</v>
      </c>
      <c r="X728" s="102">
        <f t="shared" si="453"/>
        <v>0</v>
      </c>
      <c r="Y728" s="808"/>
      <c r="Z728" s="810"/>
      <c r="AA728" s="813"/>
    </row>
    <row r="729" spans="1:29">
      <c r="A729" s="756"/>
      <c r="B729" s="618"/>
      <c r="C729" s="815"/>
      <c r="D729" s="817"/>
      <c r="E729" s="74"/>
      <c r="F729" s="270"/>
      <c r="G729" s="88"/>
      <c r="H729" s="102"/>
      <c r="I729" s="24"/>
      <c r="J729" s="277"/>
      <c r="K729" s="22"/>
      <c r="L729" s="309"/>
      <c r="M729" s="24"/>
      <c r="N729" s="22"/>
      <c r="O729" s="22"/>
      <c r="P729" s="281"/>
      <c r="Q729" s="619">
        <f>IF(D721&lt;=3,база!$L$4,
IF(D721=4,база!$L$5,
IF(D721=5,база!$L$6)))</f>
        <v>210.57480000000001</v>
      </c>
      <c r="R729" s="270">
        <v>1.4</v>
      </c>
      <c r="S729" s="96">
        <f>SUMIFS(Таблица1[сумма],Таблица1[коэф],"1,4",Таблица1[р/р],"3/16",Таблица1[Ф. И. О.],B726)</f>
        <v>0</v>
      </c>
      <c r="T729" s="102">
        <f>ROUND(Q729*R729*S729,2)</f>
        <v>0</v>
      </c>
      <c r="U729" s="81">
        <f>IF(D721&lt;=3,база!$M$4,
IF(D721=4,база!$M$5,
IF(D721=5,база!$M$6)))</f>
        <v>225.09719999999999</v>
      </c>
      <c r="V729" s="270">
        <v>1.4</v>
      </c>
      <c r="W729" s="96">
        <f>SUMIFS(Таблица1[сумма],Таблица1[коэф],"1,4",Таблица1[р/р],"3/24",Таблица1[Ф. И. О.],B726)</f>
        <v>0</v>
      </c>
      <c r="X729" s="102">
        <f>ROUND(U729*V729*W729,2)</f>
        <v>0</v>
      </c>
      <c r="Y729" s="808"/>
      <c r="Z729" s="810"/>
      <c r="AA729" s="813"/>
    </row>
    <row r="730" spans="1:29">
      <c r="A730" s="756"/>
      <c r="B730" s="618"/>
      <c r="C730" s="815"/>
      <c r="D730" s="817"/>
      <c r="E730" s="84"/>
      <c r="F730" s="272"/>
      <c r="G730" s="628"/>
      <c r="H730" s="89"/>
      <c r="I730" s="67"/>
      <c r="J730" s="629"/>
      <c r="K730" s="59"/>
      <c r="L730" s="325"/>
      <c r="M730" s="67"/>
      <c r="N730" s="59"/>
      <c r="O730" s="59"/>
      <c r="P730" s="282"/>
      <c r="Q730" s="630">
        <f>база!$L$5</f>
        <v>231.45480000000001</v>
      </c>
      <c r="R730" s="272">
        <v>1.4</v>
      </c>
      <c r="S730" s="100">
        <f>SUMIFS(Таблица1[сумма],Таблица1[коэф],"1,4",Таблица1[р/р],"4/16",Таблица1[Ф. И. О.],B726)</f>
        <v>0</v>
      </c>
      <c r="T730" s="89">
        <f>ROUND(Q730*R730*S730,2)</f>
        <v>0</v>
      </c>
      <c r="U730" s="105">
        <f>база!$M$5</f>
        <v>247.41720000000001</v>
      </c>
      <c r="V730" s="272">
        <v>1.4</v>
      </c>
      <c r="W730" s="100">
        <f>SUMIFS(Таблица1[сумма],Таблица1[коэф],"1,4",Таблица1[р/р],"4/24",Таблица1[Ф. И. О.],B726)</f>
        <v>0</v>
      </c>
      <c r="X730" s="89">
        <f>ROUND(U730*V730*W730,2)</f>
        <v>0</v>
      </c>
      <c r="Y730" s="808"/>
      <c r="Z730" s="810"/>
      <c r="AA730" s="813"/>
    </row>
    <row r="731" spans="1:29" ht="24" thickBot="1">
      <c r="A731" s="757"/>
      <c r="B731" s="352"/>
      <c r="C731" s="816"/>
      <c r="D731" s="818"/>
      <c r="E731" s="76"/>
      <c r="F731" s="275"/>
      <c r="G731" s="620"/>
      <c r="H731" s="93"/>
      <c r="I731" s="621"/>
      <c r="J731" s="594"/>
      <c r="K731" s="622"/>
      <c r="L731" s="328"/>
      <c r="M731" s="621"/>
      <c r="N731" s="622"/>
      <c r="O731" s="622"/>
      <c r="P731" s="289"/>
      <c r="Q731" s="623">
        <f>база!$L$6</f>
        <v>261.04640000000001</v>
      </c>
      <c r="R731" s="275">
        <v>1.4</v>
      </c>
      <c r="S731" s="99">
        <f>SUMIFS(Таблица1[сумма],Таблица1[коэф],"1,4",Таблица1[р/р],"5/16",Таблица1[Ф. И. О.],B726)</f>
        <v>0</v>
      </c>
      <c r="T731" s="93">
        <f>ROUND(Q731*R731*S731,2)</f>
        <v>0</v>
      </c>
      <c r="U731" s="83">
        <f>база!$M$6</f>
        <v>279.0496</v>
      </c>
      <c r="V731" s="275">
        <v>1.4</v>
      </c>
      <c r="W731" s="99">
        <f>SUMIFS(Таблица1[сумма],Таблица1[коэф],"1,4",Таблица1[р/р],"5/24",Таблица1[Ф. И. О.],B726)</f>
        <v>0</v>
      </c>
      <c r="X731" s="93">
        <f>ROUND(U731*V731*W731,2)</f>
        <v>0</v>
      </c>
      <c r="Y731" s="809"/>
      <c r="Z731" s="811"/>
      <c r="AA731" s="814"/>
    </row>
    <row r="732" spans="1:29" ht="20.25" customHeight="1">
      <c r="A732" s="755">
        <v>67</v>
      </c>
      <c r="B732" s="618"/>
      <c r="C732" s="821">
        <f>INDEX(база!$E$2:$E$181, MATCH(B737,база!$B$2:$B$160,0))</f>
        <v>17329</v>
      </c>
      <c r="D732" s="822">
        <f>INDEX(база!$D$2:$D$189, MATCH(B737,база!$B$2:$B$160,0))</f>
        <v>3</v>
      </c>
      <c r="E732" s="74">
        <f>IF(D732&lt;=3,база!$I$4,
IF(D732=4,база!$I$5,
IF(D732=5,база!$I$6)))</f>
        <v>188.7912</v>
      </c>
      <c r="F732" s="270">
        <v>1</v>
      </c>
      <c r="G732" s="88">
        <f>SUMIFS(Таблица1[сумма],Таблица1[коэф],"1",Таблица1[р/р],"2/4",Таблица1[Ф. И. О.],B737)</f>
        <v>0</v>
      </c>
      <c r="H732" s="102">
        <f>ROUND(E732*F732*G732,2)</f>
        <v>0</v>
      </c>
      <c r="I732" s="24">
        <f>IF(D732&lt;=3,база!$J$4,
IF(D732=4,база!$J$5,
IF(D732=5,база!$J$6)))</f>
        <v>196.05240000000001</v>
      </c>
      <c r="J732" s="277">
        <v>1</v>
      </c>
      <c r="K732" s="22">
        <f>SUMIFS(Таблица1[сумма],Таблица1[коэф],"1",Таблица1[р/р],"2/8",Таблица1[Ф. И. О.],B737)</f>
        <v>0</v>
      </c>
      <c r="L732" s="309">
        <f>ROUND(I732*J732*K732,2)</f>
        <v>0</v>
      </c>
      <c r="M732" s="24"/>
      <c r="N732" s="22">
        <v>1</v>
      </c>
      <c r="O732" s="22">
        <f>SUMIFS(Data_Tech!$AM$3:$AM$67,Data_Tech!$E$3:$E$67,"1",Data_Tech!$G$3:$G$67,"3/12",Data_Tech!$F$3:$F$67,B737)</f>
        <v>0</v>
      </c>
      <c r="P732" s="281">
        <f>ROUND(M732*N732*O732,2)</f>
        <v>0</v>
      </c>
      <c r="Q732" s="619">
        <f>IF(D732&lt;=3,база!$L$4,
IF(D732=4,база!$L$5,
IF(D732=5,база!$L$6)))</f>
        <v>210.57480000000001</v>
      </c>
      <c r="R732" s="270">
        <v>1</v>
      </c>
      <c r="S732" s="96">
        <f>SUMIFS(Таблица1[сумма],Таблица1[коэф],"1",Таблица1[р/р],"3/16",Таблица1[Ф. И. О.],B737)</f>
        <v>0</v>
      </c>
      <c r="T732" s="102">
        <f t="shared" ref="T732:T736" si="454">ROUND(Q732*R732*S732,2)</f>
        <v>0</v>
      </c>
      <c r="U732" s="81">
        <f>IF(D732&lt;=3,база!$M$4,
IF(D732=4,база!$M$5,
IF(D732=5,база!$M$6)))</f>
        <v>225.09719999999999</v>
      </c>
      <c r="V732" s="270">
        <v>1</v>
      </c>
      <c r="W732" s="96">
        <f>SUMIFS(Таблица1[сумма],Таблица1[коэф],"1",Таблица1[р/р],"3/24",Таблица1[Ф. И. О.],B737)</f>
        <v>0</v>
      </c>
      <c r="X732" s="102">
        <f>ROUND(U732*V732*W732,2)</f>
        <v>0</v>
      </c>
      <c r="Y732" s="807">
        <f t="shared" ref="Y732" si="455">SUM(G732:G742,K732:K742,O732:O742,S732:S742,W732:W742)</f>
        <v>0</v>
      </c>
      <c r="Z732" s="823">
        <f t="shared" ref="Z732" si="456">IFERROR(SUM(H732:H742,L732:L742,T732:T742,X732:X742),"")</f>
        <v>0</v>
      </c>
      <c r="AA732" s="812"/>
    </row>
    <row r="733" spans="1:29">
      <c r="A733" s="756"/>
      <c r="B733" s="618"/>
      <c r="C733" s="815"/>
      <c r="D733" s="817"/>
      <c r="E733" s="74">
        <f>IF(D732&lt;=3,база!$I$4,
IF(D732=4,база!$I$5,
IF(D732=5,база!$I$6)))</f>
        <v>188.7912</v>
      </c>
      <c r="F733" s="270">
        <v>1</v>
      </c>
      <c r="G733" s="88">
        <f>SUMIFS(Таблица1[сумма],Таблица1[коэф],"1",Таблица1[р/р],"3/4",Таблица1[Ф. И. О.],B737)</f>
        <v>0</v>
      </c>
      <c r="H733" s="102">
        <f>ROUND(E733*F733*G733,2)</f>
        <v>0</v>
      </c>
      <c r="I733" s="24">
        <f>IF(D732&lt;=3,база!$J$4,
IF(D732=4,база!$J$5,
IF(D732=5,база!$J$6)))</f>
        <v>196.05240000000001</v>
      </c>
      <c r="J733" s="277">
        <v>1</v>
      </c>
      <c r="K733" s="22"/>
      <c r="L733" s="309">
        <f>ROUND(I733*J733*K733,2)</f>
        <v>0</v>
      </c>
      <c r="M733" s="24"/>
      <c r="N733" s="22">
        <v>1</v>
      </c>
      <c r="O733" s="22">
        <f>SUMIFS(Data_Tech!$AM$3:$AM$67,Data_Tech!$E$3:$E$67,"1",Data_Tech!$G$3:$G$67,"4/12",Data_Tech!$F$3:$F$67,B737)</f>
        <v>0</v>
      </c>
      <c r="P733" s="281">
        <f>ROUND(M733*O733,2)</f>
        <v>0</v>
      </c>
      <c r="Q733" s="619">
        <f>база!$L$5</f>
        <v>231.45480000000001</v>
      </c>
      <c r="R733" s="270">
        <v>1</v>
      </c>
      <c r="S733" s="96">
        <f>SUMIFS(Таблица1[сумма],Таблица1[коэф],"1",Таблица1[р/р],"4/16",Таблица1[Ф. И. О.],B737)</f>
        <v>0</v>
      </c>
      <c r="T733" s="102">
        <f t="shared" si="454"/>
        <v>0</v>
      </c>
      <c r="U733" s="81">
        <f>база!$M$5</f>
        <v>247.41720000000001</v>
      </c>
      <c r="V733" s="270">
        <v>1</v>
      </c>
      <c r="W733" s="96">
        <f>SUMIFS(Таблица1[сумма],Таблица1[коэф],"1",Таблица1[р/р],"4/24",Таблица1[Ф. И. О.],B737)</f>
        <v>0</v>
      </c>
      <c r="X733" s="102">
        <f t="shared" ref="X733" si="457">ROUND(U733*V733*W733,2)</f>
        <v>0</v>
      </c>
      <c r="Y733" s="808"/>
      <c r="Z733" s="810"/>
      <c r="AA733" s="813"/>
    </row>
    <row r="734" spans="1:29">
      <c r="A734" s="756"/>
      <c r="B734" s="618"/>
      <c r="C734" s="815"/>
      <c r="D734" s="817"/>
      <c r="E734" s="74"/>
      <c r="F734" s="270"/>
      <c r="G734" s="88"/>
      <c r="H734" s="102"/>
      <c r="I734" s="24"/>
      <c r="J734" s="277"/>
      <c r="K734" s="22"/>
      <c r="L734" s="309"/>
      <c r="M734" s="24"/>
      <c r="N734" s="22"/>
      <c r="O734" s="22"/>
      <c r="P734" s="281"/>
      <c r="Q734" s="619">
        <f>база!$L$6</f>
        <v>261.04640000000001</v>
      </c>
      <c r="R734" s="270">
        <v>1</v>
      </c>
      <c r="S734" s="96">
        <f>SUMIFS(Таблица1[сумма],Таблица1[коэф],"1",Таблица1[р/р],"5/16",Таблица1[Ф. И. О.],B737)</f>
        <v>0</v>
      </c>
      <c r="T734" s="102">
        <f t="shared" si="454"/>
        <v>0</v>
      </c>
      <c r="U734" s="81">
        <f>база!$M$6</f>
        <v>279.0496</v>
      </c>
      <c r="V734" s="270">
        <v>1</v>
      </c>
      <c r="W734" s="96">
        <f>SUMIFS(Таблица1[сумма],Таблица1[коэф],"1",Таблица1[р/р],"5/24",Таблица1[Ф. И. О.],B737)</f>
        <v>0</v>
      </c>
      <c r="X734" s="102">
        <f>ROUND(U734*V734*W734,2)</f>
        <v>0</v>
      </c>
      <c r="Y734" s="808"/>
      <c r="Z734" s="810"/>
      <c r="AA734" s="813"/>
    </row>
    <row r="735" spans="1:29">
      <c r="A735" s="756"/>
      <c r="B735" s="618"/>
      <c r="C735" s="815"/>
      <c r="D735" s="817"/>
      <c r="E735" s="74"/>
      <c r="F735" s="270"/>
      <c r="G735" s="88"/>
      <c r="H735" s="102"/>
      <c r="I735" s="24">
        <f>база!$J$5</f>
        <v>215.4924</v>
      </c>
      <c r="J735" s="277">
        <v>1.5</v>
      </c>
      <c r="K735" s="22">
        <f>SUMIFS(Таблица1[сумма],Таблица1[коэф],"1,5",Таблица1[р/р],"4/8",Таблица1[Ф. И. О.],B737)</f>
        <v>0</v>
      </c>
      <c r="L735" s="309">
        <f>ROUND(I735*J735*K735,2)</f>
        <v>0</v>
      </c>
      <c r="M735" s="24"/>
      <c r="N735" s="22"/>
      <c r="O735" s="22"/>
      <c r="P735" s="281"/>
      <c r="Q735" s="619">
        <f>IF(D732&lt;=3,база!$L$4,
IF(D732=4,база!$L$5,
IF(D732=5,база!$L$6)))</f>
        <v>210.57480000000001</v>
      </c>
      <c r="R735" s="270">
        <v>1.2</v>
      </c>
      <c r="S735" s="96">
        <f>SUMIFS(Таблица1[сумма],Таблица1[коэф],"1,2",Таблица1[р/р],"3/16",Таблица1[Ф. И. О.],B737)</f>
        <v>0</v>
      </c>
      <c r="T735" s="102">
        <f t="shared" si="454"/>
        <v>0</v>
      </c>
      <c r="U735" s="81">
        <f>IF(D732&lt;=3,база!$M$4,
IF(D732=4,база!$M$5,
IF(D732=5,база!$M$6)))</f>
        <v>225.09719999999999</v>
      </c>
      <c r="V735" s="270">
        <v>1.2</v>
      </c>
      <c r="W735" s="96">
        <f>SUMIFS(Таблица1[сумма],Таблица1[коэф],"1,2",Таблица1[р/р],"3/24",Таблица1[Ф. И. О.],B737)</f>
        <v>0</v>
      </c>
      <c r="X735" s="102">
        <f t="shared" ref="X735:X736" si="458">ROUND(U735*V735*W735,2)</f>
        <v>0</v>
      </c>
      <c r="Y735" s="808"/>
      <c r="Z735" s="810"/>
      <c r="AA735" s="813"/>
    </row>
    <row r="736" spans="1:29">
      <c r="A736" s="756"/>
      <c r="B736" s="618"/>
      <c r="C736" s="815"/>
      <c r="D736" s="817"/>
      <c r="E736" s="74"/>
      <c r="F736" s="270"/>
      <c r="G736" s="88"/>
      <c r="H736" s="102"/>
      <c r="I736" s="24">
        <f>база!$J$6</f>
        <v>243.04319999999998</v>
      </c>
      <c r="J736" s="277">
        <v>1.5</v>
      </c>
      <c r="K736" s="22">
        <f>SUMIFS(Таблица1[сумма],Таблица1[коэф],"1,5",Таблица1[р/р],"5/8",Таблица1[Ф. И. О.],B737)</f>
        <v>0</v>
      </c>
      <c r="L736" s="309">
        <f>ROUND(I736*J736*K736,2)</f>
        <v>0</v>
      </c>
      <c r="M736" s="24"/>
      <c r="N736" s="22"/>
      <c r="O736" s="22"/>
      <c r="P736" s="281"/>
      <c r="Q736" s="619">
        <f>база!$L$5</f>
        <v>231.45480000000001</v>
      </c>
      <c r="R736" s="270">
        <v>1.2</v>
      </c>
      <c r="S736" s="96">
        <f>SUMIFS(Таблица1[сумма],Таблица1[коэф],"1,2",Таблица1[р/р],"4/16",Таблица1[Ф. И. О.],B737)</f>
        <v>0</v>
      </c>
      <c r="T736" s="102">
        <f t="shared" si="454"/>
        <v>0</v>
      </c>
      <c r="U736" s="81">
        <f>база!$M$5</f>
        <v>247.41720000000001</v>
      </c>
      <c r="V736" s="270">
        <v>1.2</v>
      </c>
      <c r="W736" s="96">
        <f>SUMIFS(Таблица1[сумма],Таблица1[коэф],"1,2",Таблица1[р/р],"4/24",Таблица1[Ф. И. О.],B737)</f>
        <v>0</v>
      </c>
      <c r="X736" s="102">
        <f t="shared" si="458"/>
        <v>0</v>
      </c>
      <c r="Y736" s="808"/>
      <c r="Z736" s="810"/>
      <c r="AA736" s="813"/>
      <c r="AC736" s="707" t="str">
        <f>IF(SUMIFS(Таблица1[Столбец2],Таблица1[Ф. И. О.],B737)-Z732=0,"",SUMIFS(Таблица1[Столбец2],Таблица1[Ф. И. О.],B737)-Z732)</f>
        <v/>
      </c>
    </row>
    <row r="737" spans="1:29">
      <c r="A737" s="756"/>
      <c r="B737" s="618" t="str">
        <f>база!B68</f>
        <v>Силаева Ольга Владимировна</v>
      </c>
      <c r="C737" s="815"/>
      <c r="D737" s="817"/>
      <c r="E737" s="74"/>
      <c r="F737" s="270"/>
      <c r="G737" s="88"/>
      <c r="H737" s="102"/>
      <c r="I737" s="24"/>
      <c r="J737" s="277"/>
      <c r="K737" s="22"/>
      <c r="L737" s="309"/>
      <c r="M737" s="24"/>
      <c r="N737" s="22"/>
      <c r="O737" s="22"/>
      <c r="P737" s="281"/>
      <c r="Q737" s="619">
        <f>база!$L$6</f>
        <v>261.04640000000001</v>
      </c>
      <c r="R737" s="270">
        <v>1.2</v>
      </c>
      <c r="S737" s="96">
        <f>SUMIFS(Таблица1[сумма],Таблица1[коэф],"1,2",Таблица1[р/р],"5/16",Таблица1[Ф. И. О.],B737)</f>
        <v>0</v>
      </c>
      <c r="T737" s="102">
        <f>ROUND(Q737*R737*S737,2)</f>
        <v>0</v>
      </c>
      <c r="U737" s="81">
        <f>база!$M$6</f>
        <v>279.0496</v>
      </c>
      <c r="V737" s="270">
        <v>1.2</v>
      </c>
      <c r="W737" s="96">
        <f>SUMIFS(Таблица1[сумма],Таблица1[коэф],"1,2",Таблица1[р/р],"5/24",Таблица1[Ф. И. О.],B737)</f>
        <v>0</v>
      </c>
      <c r="X737" s="102">
        <f>ROUND(U737*V737*W737,2)</f>
        <v>0</v>
      </c>
      <c r="Y737" s="808"/>
      <c r="Z737" s="810"/>
      <c r="AA737" s="813"/>
      <c r="AC737" s="707" t="str">
        <f>IF(SUMIFS(Таблица1[сумма],Таблица1[Ф. И. О.],B737)=Y732,"",B732&amp;"  часы не верны")</f>
        <v/>
      </c>
    </row>
    <row r="738" spans="1:29">
      <c r="A738" s="756"/>
      <c r="B738" s="618"/>
      <c r="C738" s="815"/>
      <c r="D738" s="817"/>
      <c r="E738" s="74"/>
      <c r="F738" s="270"/>
      <c r="G738" s="88"/>
      <c r="H738" s="102"/>
      <c r="I738" s="24"/>
      <c r="J738" s="277"/>
      <c r="K738" s="22"/>
      <c r="L738" s="309"/>
      <c r="M738" s="24"/>
      <c r="N738" s="22"/>
      <c r="O738" s="22"/>
      <c r="P738" s="281"/>
      <c r="Q738" s="619">
        <f>IF($D$6&lt;=3,база!$L$4,
IF($D$6=4,база!$L$5,
IF($D$6=5,база!$L$6)))</f>
        <v>231.45480000000001</v>
      </c>
      <c r="R738" s="270">
        <v>1.3</v>
      </c>
      <c r="S738" s="96">
        <f>SUMIFS(Таблица1[сумма],Таблица1[коэф],"1,3",Таблица1[р/р],"3/16",Таблица1[Ф. И. О.],B737)</f>
        <v>0</v>
      </c>
      <c r="T738" s="102">
        <f t="shared" ref="T738:T739" si="459">ROUND(Q738*R738*S738,2)</f>
        <v>0</v>
      </c>
      <c r="U738" s="81">
        <f>IF(D732&lt;=3,база!$M$4,
IF(D732=4,база!$M$5,
IF(D732=5,база!$M$6)))</f>
        <v>225.09719999999999</v>
      </c>
      <c r="V738" s="270">
        <v>1.3</v>
      </c>
      <c r="W738" s="96">
        <f>SUMIFS(Таблица1[сумма],Таблица1[коэф],"1,3",Таблица1[р/р],"3/24",Таблица1[Ф. И. О.],B737)</f>
        <v>0</v>
      </c>
      <c r="X738" s="102">
        <f t="shared" ref="X738:X739" si="460">ROUND(U738*V738*W738,2)</f>
        <v>0</v>
      </c>
      <c r="Y738" s="808"/>
      <c r="Z738" s="810"/>
      <c r="AA738" s="813"/>
    </row>
    <row r="739" spans="1:29">
      <c r="A739" s="756"/>
      <c r="B739" s="618"/>
      <c r="C739" s="815"/>
      <c r="D739" s="817"/>
      <c r="E739" s="74"/>
      <c r="F739" s="270"/>
      <c r="G739" s="88"/>
      <c r="H739" s="102"/>
      <c r="I739" s="24"/>
      <c r="J739" s="277"/>
      <c r="K739" s="22"/>
      <c r="L739" s="309"/>
      <c r="M739" s="24"/>
      <c r="N739" s="22"/>
      <c r="O739" s="22"/>
      <c r="P739" s="281"/>
      <c r="Q739" s="619">
        <f>база!$L$5</f>
        <v>231.45480000000001</v>
      </c>
      <c r="R739" s="270">
        <v>1.3</v>
      </c>
      <c r="S739" s="96">
        <f>SUMIFS(Таблица1[сумма],Таблица1[коэф],"1,3",Таблица1[р/р],"4/16",Таблица1[Ф. И. О.],B737)</f>
        <v>0</v>
      </c>
      <c r="T739" s="102">
        <f t="shared" si="459"/>
        <v>0</v>
      </c>
      <c r="U739" s="81">
        <f>база!$M$5</f>
        <v>247.41720000000001</v>
      </c>
      <c r="V739" s="270">
        <v>1.3</v>
      </c>
      <c r="W739" s="96">
        <f>SUMIFS(Таблица1[сумма],Таблица1[коэф],"1,3",Таблица1[р/р],"4/24",Таблица1[Ф. И. О.],B737)</f>
        <v>0</v>
      </c>
      <c r="X739" s="102">
        <f t="shared" si="460"/>
        <v>0</v>
      </c>
      <c r="Y739" s="808"/>
      <c r="Z739" s="810"/>
      <c r="AA739" s="813"/>
    </row>
    <row r="740" spans="1:29">
      <c r="A740" s="756"/>
      <c r="B740" s="618"/>
      <c r="C740" s="815"/>
      <c r="D740" s="817"/>
      <c r="E740" s="74"/>
      <c r="F740" s="270"/>
      <c r="G740" s="88"/>
      <c r="H740" s="102"/>
      <c r="I740" s="24"/>
      <c r="J740" s="277"/>
      <c r="K740" s="22"/>
      <c r="L740" s="309"/>
      <c r="M740" s="24"/>
      <c r="N740" s="22"/>
      <c r="O740" s="22"/>
      <c r="P740" s="281"/>
      <c r="Q740" s="619">
        <f>IF(D732&lt;=3,база!$L$4,
IF(D732=4,база!$L$5,
IF(D732=5,база!$L$6)))</f>
        <v>210.57480000000001</v>
      </c>
      <c r="R740" s="270">
        <v>1.4</v>
      </c>
      <c r="S740" s="96">
        <f>SUMIFS(Таблица1[сумма],Таблица1[коэф],"1,4",Таблица1[р/р],"3/16",Таблица1[Ф. И. О.],B737)</f>
        <v>0</v>
      </c>
      <c r="T740" s="102">
        <f>ROUND(Q740*R740*S740,2)</f>
        <v>0</v>
      </c>
      <c r="U740" s="81">
        <f>IF(D732&lt;=3,база!$M$4,
IF(D732=4,база!$M$5,
IF(D732=5,база!$M$6)))</f>
        <v>225.09719999999999</v>
      </c>
      <c r="V740" s="270">
        <v>1.4</v>
      </c>
      <c r="W740" s="96">
        <f>SUMIFS(Таблица1[сумма],Таблица1[коэф],"1,4",Таблица1[р/р],"3/24",Таблица1[Ф. И. О.],B737)</f>
        <v>0</v>
      </c>
      <c r="X740" s="102">
        <f>ROUND(U740*V740*W740,2)</f>
        <v>0</v>
      </c>
      <c r="Y740" s="808"/>
      <c r="Z740" s="810"/>
      <c r="AA740" s="813"/>
    </row>
    <row r="741" spans="1:29">
      <c r="A741" s="756"/>
      <c r="B741" s="618"/>
      <c r="C741" s="815"/>
      <c r="D741" s="817"/>
      <c r="E741" s="84"/>
      <c r="F741" s="272"/>
      <c r="G741" s="628"/>
      <c r="H741" s="89"/>
      <c r="I741" s="67"/>
      <c r="J741" s="629"/>
      <c r="K741" s="59"/>
      <c r="L741" s="325"/>
      <c r="M741" s="67"/>
      <c r="N741" s="59"/>
      <c r="O741" s="59"/>
      <c r="P741" s="282"/>
      <c r="Q741" s="630">
        <f>база!$L$5</f>
        <v>231.45480000000001</v>
      </c>
      <c r="R741" s="272">
        <v>1.4</v>
      </c>
      <c r="S741" s="100">
        <f>SUMIFS(Таблица1[сумма],Таблица1[коэф],"1,4",Таблица1[р/р],"4/16",Таблица1[Ф. И. О.],B737)</f>
        <v>0</v>
      </c>
      <c r="T741" s="89">
        <f>ROUND(Q741*R741*S741,2)</f>
        <v>0</v>
      </c>
      <c r="U741" s="105">
        <f>база!$M$5</f>
        <v>247.41720000000001</v>
      </c>
      <c r="V741" s="272">
        <v>1.4</v>
      </c>
      <c r="W741" s="100">
        <f>SUMIFS(Таблица1[сумма],Таблица1[коэф],"1,4",Таблица1[р/р],"4/24",Таблица1[Ф. И. О.],B737)</f>
        <v>0</v>
      </c>
      <c r="X741" s="89">
        <f>ROUND(U741*V741*W741,2)</f>
        <v>0</v>
      </c>
      <c r="Y741" s="808"/>
      <c r="Z741" s="810"/>
      <c r="AA741" s="813"/>
    </row>
    <row r="742" spans="1:29" ht="24" thickBot="1">
      <c r="A742" s="757"/>
      <c r="B742" s="352"/>
      <c r="C742" s="816"/>
      <c r="D742" s="818"/>
      <c r="E742" s="76"/>
      <c r="F742" s="275"/>
      <c r="G742" s="620"/>
      <c r="H742" s="93"/>
      <c r="I742" s="621"/>
      <c r="J742" s="594"/>
      <c r="K742" s="622"/>
      <c r="L742" s="328"/>
      <c r="M742" s="621"/>
      <c r="N742" s="622"/>
      <c r="O742" s="622"/>
      <c r="P742" s="289"/>
      <c r="Q742" s="623">
        <f>база!$L$6</f>
        <v>261.04640000000001</v>
      </c>
      <c r="R742" s="275">
        <v>1.4</v>
      </c>
      <c r="S742" s="99">
        <f>SUMIFS(Таблица1[сумма],Таблица1[коэф],"1,4",Таблица1[р/р],"5/16",Таблица1[Ф. И. О.],B737)</f>
        <v>0</v>
      </c>
      <c r="T742" s="93">
        <f>ROUND(Q742*R742*S742,2)</f>
        <v>0</v>
      </c>
      <c r="U742" s="83">
        <f>база!$M$6</f>
        <v>279.0496</v>
      </c>
      <c r="V742" s="275">
        <v>1.4</v>
      </c>
      <c r="W742" s="99">
        <f>SUMIFS(Таблица1[сумма],Таблица1[коэф],"1,4",Таблица1[р/р],"5/24",Таблица1[Ф. И. О.],B737)</f>
        <v>0</v>
      </c>
      <c r="X742" s="93">
        <f>ROUND(U742*V742*W742,2)</f>
        <v>0</v>
      </c>
      <c r="Y742" s="809"/>
      <c r="Z742" s="811"/>
      <c r="AA742" s="814"/>
    </row>
    <row r="743" spans="1:29" ht="20.25" customHeight="1">
      <c r="A743" s="755">
        <v>68</v>
      </c>
      <c r="B743" s="618"/>
      <c r="C743" s="821">
        <f>INDEX(база!$E$2:$E$181, MATCH(B748,база!$B$2:$B$160,0))</f>
        <v>17289</v>
      </c>
      <c r="D743" s="822">
        <f>INDEX(база!$D$2:$D$189, MATCH(B748,база!$B$2:$B$160,0))</f>
        <v>3</v>
      </c>
      <c r="E743" s="74">
        <f>IF(D743&lt;=3,база!$I$4,
IF(D743=4,база!$I$5,
IF(D743=5,база!$I$6)))</f>
        <v>188.7912</v>
      </c>
      <c r="F743" s="270">
        <v>1</v>
      </c>
      <c r="G743" s="88">
        <f>SUMIFS(Таблица1[сумма],Таблица1[коэф],"1",Таблица1[р/р],"2/4",Таблица1[Ф. И. О.],B748)</f>
        <v>0</v>
      </c>
      <c r="H743" s="102">
        <f>ROUND(E743*F743*G743,2)</f>
        <v>0</v>
      </c>
      <c r="I743" s="24">
        <f>IF(D743&lt;=3,база!$J$4,
IF(D743=4,база!$J$5,
IF(D743=5,база!$J$6)))</f>
        <v>196.05240000000001</v>
      </c>
      <c r="J743" s="277">
        <v>1</v>
      </c>
      <c r="K743" s="22">
        <f>SUMIFS(Таблица1[сумма],Таблица1[коэф],"1",Таблица1[р/р],"2/8",Таблица1[Ф. И. О.],B748)</f>
        <v>0</v>
      </c>
      <c r="L743" s="309">
        <f>ROUND(I743*J743*K743,2)</f>
        <v>0</v>
      </c>
      <c r="M743" s="24"/>
      <c r="N743" s="22">
        <v>1</v>
      </c>
      <c r="O743" s="22">
        <f>SUMIFS(Data_Tech!$AM$3:$AM$67,Data_Tech!$E$3:$E$67,"1",Data_Tech!$G$3:$G$67,"3/12",Data_Tech!$F$3:$F$67,B748)</f>
        <v>0</v>
      </c>
      <c r="P743" s="281">
        <f>ROUND(M743*N743*O743,2)</f>
        <v>0</v>
      </c>
      <c r="Q743" s="619">
        <f>IF(D743&lt;=3,база!$L$4,
IF(D743=4,база!$L$5,
IF(D743=5,база!$L$6)))</f>
        <v>210.57480000000001</v>
      </c>
      <c r="R743" s="270">
        <v>1</v>
      </c>
      <c r="S743" s="96">
        <f>SUMIFS(Таблица1[сумма],Таблица1[коэф],"1",Таблица1[р/р],"3/16",Таблица1[Ф. И. О.],B748)</f>
        <v>0</v>
      </c>
      <c r="T743" s="102">
        <f t="shared" ref="T743:T747" si="461">ROUND(Q743*R743*S743,2)</f>
        <v>0</v>
      </c>
      <c r="U743" s="81">
        <f>IF(D743&lt;=3,база!$M$4,
IF(D743=4,база!$M$5,
IF(D743=5,база!$M$6)))</f>
        <v>225.09719999999999</v>
      </c>
      <c r="V743" s="270">
        <v>1</v>
      </c>
      <c r="W743" s="96">
        <f>SUMIFS(Таблица1[сумма],Таблица1[коэф],"1",Таблица1[р/р],"3/24",Таблица1[Ф. И. О.],B748)</f>
        <v>0</v>
      </c>
      <c r="X743" s="102">
        <f>ROUND(U743*V743*W743,2)</f>
        <v>0</v>
      </c>
      <c r="Y743" s="807">
        <f t="shared" ref="Y743" si="462">SUM(G743:G753,K743:K753,O743:O753,S743:S753,W743:W753)</f>
        <v>0</v>
      </c>
      <c r="Z743" s="823">
        <f t="shared" ref="Z743" si="463">IFERROR(SUM(H743:H753,L743:L753,T743:T753,X743:X753),"")</f>
        <v>0</v>
      </c>
      <c r="AA743" s="812"/>
    </row>
    <row r="744" spans="1:29">
      <c r="A744" s="756"/>
      <c r="B744" s="618"/>
      <c r="C744" s="815"/>
      <c r="D744" s="817"/>
      <c r="E744" s="74">
        <f>IF(D743&lt;=3,база!$I$4,
IF(D743=4,база!$I$5,
IF(D743=5,база!$I$6)))</f>
        <v>188.7912</v>
      </c>
      <c r="F744" s="270">
        <v>1</v>
      </c>
      <c r="G744" s="88">
        <f>SUMIFS(Таблица1[сумма],Таблица1[коэф],"1",Таблица1[р/р],"3/4",Таблица1[Ф. И. О.],B748)</f>
        <v>0</v>
      </c>
      <c r="H744" s="102">
        <f>ROUND(E744*F744*G744,2)</f>
        <v>0</v>
      </c>
      <c r="I744" s="24">
        <f>IF(D743&lt;=3,база!$J$4,
IF(D743=4,база!$J$5,
IF(D743=5,база!$J$6)))</f>
        <v>196.05240000000001</v>
      </c>
      <c r="J744" s="277">
        <v>1</v>
      </c>
      <c r="K744" s="22"/>
      <c r="L744" s="309">
        <f>ROUND(I744*J744*K744,2)</f>
        <v>0</v>
      </c>
      <c r="M744" s="24"/>
      <c r="N744" s="22">
        <v>1</v>
      </c>
      <c r="O744" s="22">
        <f>SUMIFS(Data_Tech!$AM$3:$AM$67,Data_Tech!$E$3:$E$67,"1",Data_Tech!$G$3:$G$67,"4/12",Data_Tech!$F$3:$F$67,B748)</f>
        <v>0</v>
      </c>
      <c r="P744" s="281">
        <f>ROUND(M744*O744,2)</f>
        <v>0</v>
      </c>
      <c r="Q744" s="619">
        <f>база!$L$5</f>
        <v>231.45480000000001</v>
      </c>
      <c r="R744" s="270">
        <v>1</v>
      </c>
      <c r="S744" s="96">
        <f>SUMIFS(Таблица1[сумма],Таблица1[коэф],"1",Таблица1[р/р],"4/16",Таблица1[Ф. И. О.],B748)</f>
        <v>0</v>
      </c>
      <c r="T744" s="102">
        <f t="shared" si="461"/>
        <v>0</v>
      </c>
      <c r="U744" s="81">
        <f>база!$M$5</f>
        <v>247.41720000000001</v>
      </c>
      <c r="V744" s="270">
        <v>1</v>
      </c>
      <c r="W744" s="96">
        <f>SUMIFS(Таблица1[сумма],Таблица1[коэф],"1",Таблица1[р/р],"4/24",Таблица1[Ф. И. О.],B748)</f>
        <v>0</v>
      </c>
      <c r="X744" s="102">
        <f t="shared" ref="X744" si="464">ROUND(U744*V744*W744,2)</f>
        <v>0</v>
      </c>
      <c r="Y744" s="808"/>
      <c r="Z744" s="810"/>
      <c r="AA744" s="813"/>
    </row>
    <row r="745" spans="1:29">
      <c r="A745" s="756"/>
      <c r="B745" s="618"/>
      <c r="C745" s="815"/>
      <c r="D745" s="817"/>
      <c r="E745" s="74"/>
      <c r="F745" s="270"/>
      <c r="G745" s="88"/>
      <c r="H745" s="102"/>
      <c r="I745" s="24"/>
      <c r="J745" s="277"/>
      <c r="K745" s="22"/>
      <c r="L745" s="309"/>
      <c r="M745" s="24"/>
      <c r="N745" s="22"/>
      <c r="O745" s="22"/>
      <c r="P745" s="281"/>
      <c r="Q745" s="619">
        <f>база!$L$6</f>
        <v>261.04640000000001</v>
      </c>
      <c r="R745" s="270">
        <v>1</v>
      </c>
      <c r="S745" s="96">
        <f>SUMIFS(Таблица1[сумма],Таблица1[коэф],"1",Таблица1[р/р],"5/16",Таблица1[Ф. И. О.],B748)</f>
        <v>0</v>
      </c>
      <c r="T745" s="102">
        <f t="shared" si="461"/>
        <v>0</v>
      </c>
      <c r="U745" s="81">
        <f>база!$M$6</f>
        <v>279.0496</v>
      </c>
      <c r="V745" s="270">
        <v>1</v>
      </c>
      <c r="W745" s="96">
        <f>SUMIFS(Таблица1[сумма],Таблица1[коэф],"1",Таблица1[р/р],"5/24",Таблица1[Ф. И. О.],B748)</f>
        <v>0</v>
      </c>
      <c r="X745" s="102">
        <f>ROUND(U745*V745*W745,2)</f>
        <v>0</v>
      </c>
      <c r="Y745" s="808"/>
      <c r="Z745" s="810"/>
      <c r="AA745" s="813"/>
    </row>
    <row r="746" spans="1:29">
      <c r="A746" s="756"/>
      <c r="B746" s="618"/>
      <c r="C746" s="815"/>
      <c r="D746" s="817"/>
      <c r="E746" s="74"/>
      <c r="F746" s="270"/>
      <c r="G746" s="88"/>
      <c r="H746" s="102"/>
      <c r="I746" s="24">
        <f>база!$J$5</f>
        <v>215.4924</v>
      </c>
      <c r="J746" s="277">
        <v>1.5</v>
      </c>
      <c r="K746" s="22">
        <f>SUMIFS(Таблица1[сумма],Таблица1[коэф],"1,5",Таблица1[р/р],"4/8",Таблица1[Ф. И. О.],B748)</f>
        <v>0</v>
      </c>
      <c r="L746" s="309">
        <f>ROUND(I746*J746*K746,2)</f>
        <v>0</v>
      </c>
      <c r="M746" s="24"/>
      <c r="N746" s="22"/>
      <c r="O746" s="22"/>
      <c r="P746" s="281"/>
      <c r="Q746" s="619">
        <f>IF(D743&lt;=3,база!$L$4,
IF(D743=4,база!$L$5,
IF(D743=5,база!$L$6)))</f>
        <v>210.57480000000001</v>
      </c>
      <c r="R746" s="270">
        <v>1.2</v>
      </c>
      <c r="S746" s="96">
        <f>SUMIFS(Таблица1[сумма],Таблица1[коэф],"1,2",Таблица1[р/р],"3/16",Таблица1[Ф. И. О.],B748)</f>
        <v>0</v>
      </c>
      <c r="T746" s="102">
        <f t="shared" si="461"/>
        <v>0</v>
      </c>
      <c r="U746" s="81">
        <f>IF(D743&lt;=3,база!$M$4,
IF(D743=4,база!$M$5,
IF(D743=5,база!$M$6)))</f>
        <v>225.09719999999999</v>
      </c>
      <c r="V746" s="270">
        <v>1.2</v>
      </c>
      <c r="W746" s="96">
        <f>SUMIFS(Таблица1[сумма],Таблица1[коэф],"1,2",Таблица1[р/р],"3/24",Таблица1[Ф. И. О.],B748)</f>
        <v>0</v>
      </c>
      <c r="X746" s="102">
        <f t="shared" ref="X746:X747" si="465">ROUND(U746*V746*W746,2)</f>
        <v>0</v>
      </c>
      <c r="Y746" s="808"/>
      <c r="Z746" s="810"/>
      <c r="AA746" s="813"/>
    </row>
    <row r="747" spans="1:29">
      <c r="A747" s="756"/>
      <c r="B747" s="618"/>
      <c r="C747" s="815"/>
      <c r="D747" s="817"/>
      <c r="E747" s="74"/>
      <c r="F747" s="270"/>
      <c r="G747" s="88"/>
      <c r="H747" s="102"/>
      <c r="I747" s="24">
        <f>база!$J$6</f>
        <v>243.04319999999998</v>
      </c>
      <c r="J747" s="277">
        <v>1.5</v>
      </c>
      <c r="K747" s="22">
        <f>SUMIFS(Таблица1[сумма],Таблица1[коэф],"1,5",Таблица1[р/р],"5/8",Таблица1[Ф. И. О.],B748)</f>
        <v>0</v>
      </c>
      <c r="L747" s="309">
        <f>ROUND(I747*J747*K747,2)</f>
        <v>0</v>
      </c>
      <c r="M747" s="24"/>
      <c r="N747" s="22"/>
      <c r="O747" s="22"/>
      <c r="P747" s="281"/>
      <c r="Q747" s="619">
        <f>база!$L$5</f>
        <v>231.45480000000001</v>
      </c>
      <c r="R747" s="270">
        <v>1.2</v>
      </c>
      <c r="S747" s="96">
        <f>SUMIFS(Таблица1[сумма],Таблица1[коэф],"1,2",Таблица1[р/р],"4/16",Таблица1[Ф. И. О.],B748)</f>
        <v>0</v>
      </c>
      <c r="T747" s="102">
        <f t="shared" si="461"/>
        <v>0</v>
      </c>
      <c r="U747" s="81">
        <f>база!$M$5</f>
        <v>247.41720000000001</v>
      </c>
      <c r="V747" s="270">
        <v>1.2</v>
      </c>
      <c r="W747" s="96">
        <f>SUMIFS(Таблица1[сумма],Таблица1[коэф],"1,2",Таблица1[р/р],"4/24",Таблица1[Ф. И. О.],B748)</f>
        <v>0</v>
      </c>
      <c r="X747" s="102">
        <f t="shared" si="465"/>
        <v>0</v>
      </c>
      <c r="Y747" s="808"/>
      <c r="Z747" s="810"/>
      <c r="AA747" s="813"/>
      <c r="AC747" s="707" t="str">
        <f>IF(SUMIFS(Таблица1[Столбец2],Таблица1[Ф. И. О.],B748)-Z743=0,"",SUMIFS(Таблица1[Столбец2],Таблица1[Ф. И. О.],B748)-Z743)</f>
        <v/>
      </c>
    </row>
    <row r="748" spans="1:29">
      <c r="A748" s="756"/>
      <c r="B748" s="618" t="str">
        <f>база!B69</f>
        <v>Скрынникова Виктория Геннадьевна</v>
      </c>
      <c r="C748" s="815"/>
      <c r="D748" s="817"/>
      <c r="E748" s="74"/>
      <c r="F748" s="270"/>
      <c r="G748" s="88"/>
      <c r="H748" s="102"/>
      <c r="I748" s="24"/>
      <c r="J748" s="277"/>
      <c r="K748" s="22"/>
      <c r="L748" s="309"/>
      <c r="M748" s="24"/>
      <c r="N748" s="22"/>
      <c r="O748" s="22"/>
      <c r="P748" s="281"/>
      <c r="Q748" s="619">
        <f>база!$L$6</f>
        <v>261.04640000000001</v>
      </c>
      <c r="R748" s="270">
        <v>1.2</v>
      </c>
      <c r="S748" s="96">
        <f>SUMIFS(Таблица1[сумма],Таблица1[коэф],"1,2",Таблица1[р/р],"5/16",Таблица1[Ф. И. О.],B748)</f>
        <v>0</v>
      </c>
      <c r="T748" s="102">
        <f>ROUND(Q748*R748*S748,2)</f>
        <v>0</v>
      </c>
      <c r="U748" s="81">
        <f>база!$M$6</f>
        <v>279.0496</v>
      </c>
      <c r="V748" s="270">
        <v>1.2</v>
      </c>
      <c r="W748" s="96">
        <f>SUMIFS(Таблица1[сумма],Таблица1[коэф],"1,2",Таблица1[р/р],"5/24",Таблица1[Ф. И. О.],B748)</f>
        <v>0</v>
      </c>
      <c r="X748" s="102">
        <f>ROUND(U748*V748*W748,2)</f>
        <v>0</v>
      </c>
      <c r="Y748" s="808"/>
      <c r="Z748" s="810"/>
      <c r="AA748" s="813"/>
      <c r="AC748" s="707" t="str">
        <f>IF(SUMIFS(Таблица1[сумма],Таблица1[Ф. И. О.],B748)=Y743,"",B743&amp;"  часы не верны")</f>
        <v/>
      </c>
    </row>
    <row r="749" spans="1:29">
      <c r="A749" s="756"/>
      <c r="B749" s="618"/>
      <c r="C749" s="815"/>
      <c r="D749" s="817"/>
      <c r="E749" s="74"/>
      <c r="F749" s="270"/>
      <c r="G749" s="88"/>
      <c r="H749" s="102"/>
      <c r="I749" s="24"/>
      <c r="J749" s="277"/>
      <c r="K749" s="22"/>
      <c r="L749" s="309"/>
      <c r="M749" s="24"/>
      <c r="N749" s="22"/>
      <c r="O749" s="22"/>
      <c r="P749" s="281"/>
      <c r="Q749" s="619">
        <f>IF($D$6&lt;=3,база!$L$4,
IF($D$6=4,база!$L$5,
IF($D$6=5,база!$L$6)))</f>
        <v>231.45480000000001</v>
      </c>
      <c r="R749" s="270">
        <v>1.3</v>
      </c>
      <c r="S749" s="96">
        <f>SUMIFS(Таблица1[сумма],Таблица1[коэф],"1,3",Таблица1[р/р],"3/16",Таблица1[Ф. И. О.],B748)</f>
        <v>0</v>
      </c>
      <c r="T749" s="102">
        <f t="shared" ref="T749:T750" si="466">ROUND(Q749*R749*S749,2)</f>
        <v>0</v>
      </c>
      <c r="U749" s="81">
        <f>IF(D743&lt;=3,база!$M$4,
IF(D743=4,база!$M$5,
IF(D743=5,база!$M$6)))</f>
        <v>225.09719999999999</v>
      </c>
      <c r="V749" s="270">
        <v>1.3</v>
      </c>
      <c r="W749" s="96">
        <f>SUMIFS(Таблица1[сумма],Таблица1[коэф],"1,3",Таблица1[р/р],"3/24",Таблица1[Ф. И. О.],B748)</f>
        <v>0</v>
      </c>
      <c r="X749" s="102">
        <f t="shared" ref="X749:X750" si="467">ROUND(U749*V749*W749,2)</f>
        <v>0</v>
      </c>
      <c r="Y749" s="808"/>
      <c r="Z749" s="810"/>
      <c r="AA749" s="813"/>
    </row>
    <row r="750" spans="1:29">
      <c r="A750" s="756"/>
      <c r="B750" s="618"/>
      <c r="C750" s="815"/>
      <c r="D750" s="817"/>
      <c r="E750" s="74"/>
      <c r="F750" s="270"/>
      <c r="G750" s="88"/>
      <c r="H750" s="102"/>
      <c r="I750" s="24"/>
      <c r="J750" s="277"/>
      <c r="K750" s="22"/>
      <c r="L750" s="309"/>
      <c r="M750" s="24"/>
      <c r="N750" s="22"/>
      <c r="O750" s="22"/>
      <c r="P750" s="281"/>
      <c r="Q750" s="619">
        <f>база!$L$5</f>
        <v>231.45480000000001</v>
      </c>
      <c r="R750" s="270">
        <v>1.3</v>
      </c>
      <c r="S750" s="96">
        <f>SUMIFS(Таблица1[сумма],Таблица1[коэф],"1,3",Таблица1[р/р],"4/16",Таблица1[Ф. И. О.],B748)</f>
        <v>0</v>
      </c>
      <c r="T750" s="102">
        <f t="shared" si="466"/>
        <v>0</v>
      </c>
      <c r="U750" s="81">
        <f>база!$M$5</f>
        <v>247.41720000000001</v>
      </c>
      <c r="V750" s="270">
        <v>1.3</v>
      </c>
      <c r="W750" s="96">
        <f>SUMIFS(Таблица1[сумма],Таблица1[коэф],"1,3",Таблица1[р/р],"4/24",Таблица1[Ф. И. О.],B748)</f>
        <v>0</v>
      </c>
      <c r="X750" s="102">
        <f t="shared" si="467"/>
        <v>0</v>
      </c>
      <c r="Y750" s="808"/>
      <c r="Z750" s="810"/>
      <c r="AA750" s="813"/>
    </row>
    <row r="751" spans="1:29">
      <c r="A751" s="756"/>
      <c r="B751" s="618"/>
      <c r="C751" s="815"/>
      <c r="D751" s="817"/>
      <c r="E751" s="74"/>
      <c r="F751" s="270"/>
      <c r="G751" s="88"/>
      <c r="H751" s="102"/>
      <c r="I751" s="24"/>
      <c r="J751" s="277"/>
      <c r="K751" s="22"/>
      <c r="L751" s="309"/>
      <c r="M751" s="24"/>
      <c r="N751" s="22"/>
      <c r="O751" s="22"/>
      <c r="P751" s="281"/>
      <c r="Q751" s="619">
        <f>IF(D743&lt;=3,база!$L$4,
IF(D743=4,база!$L$5,
IF(D743=5,база!$L$6)))</f>
        <v>210.57480000000001</v>
      </c>
      <c r="R751" s="270">
        <v>1.4</v>
      </c>
      <c r="S751" s="96">
        <f>SUMIFS(Таблица1[сумма],Таблица1[коэф],"1,4",Таблица1[р/р],"3/16",Таблица1[Ф. И. О.],B748)</f>
        <v>0</v>
      </c>
      <c r="T751" s="102">
        <f>ROUND(Q751*R751*S751,2)</f>
        <v>0</v>
      </c>
      <c r="U751" s="81">
        <f>IF(D743&lt;=3,база!$M$4,
IF(D743=4,база!$M$5,
IF(D743=5,база!$M$6)))</f>
        <v>225.09719999999999</v>
      </c>
      <c r="V751" s="270">
        <v>1.4</v>
      </c>
      <c r="W751" s="96">
        <f>SUMIFS(Таблица1[сумма],Таблица1[коэф],"1,4",Таблица1[р/р],"3/24",Таблица1[Ф. И. О.],B748)</f>
        <v>0</v>
      </c>
      <c r="X751" s="102">
        <f>ROUND(U751*V751*W751,2)</f>
        <v>0</v>
      </c>
      <c r="Y751" s="808"/>
      <c r="Z751" s="810"/>
      <c r="AA751" s="813"/>
    </row>
    <row r="752" spans="1:29">
      <c r="A752" s="756"/>
      <c r="B752" s="618"/>
      <c r="C752" s="815"/>
      <c r="D752" s="817"/>
      <c r="E752" s="84"/>
      <c r="F752" s="272"/>
      <c r="G752" s="628"/>
      <c r="H752" s="89"/>
      <c r="I752" s="67"/>
      <c r="J752" s="629"/>
      <c r="K752" s="59"/>
      <c r="L752" s="325"/>
      <c r="M752" s="67"/>
      <c r="N752" s="59"/>
      <c r="O752" s="59"/>
      <c r="P752" s="282"/>
      <c r="Q752" s="630">
        <f>база!$L$5</f>
        <v>231.45480000000001</v>
      </c>
      <c r="R752" s="272">
        <v>1.4</v>
      </c>
      <c r="S752" s="100">
        <f>SUMIFS(Таблица1[сумма],Таблица1[коэф],"1,4",Таблица1[р/р],"4/16",Таблица1[Ф. И. О.],B748)</f>
        <v>0</v>
      </c>
      <c r="T752" s="89">
        <f>ROUND(Q752*R752*S752,2)</f>
        <v>0</v>
      </c>
      <c r="U752" s="105">
        <f>база!$M$5</f>
        <v>247.41720000000001</v>
      </c>
      <c r="V752" s="272">
        <v>1.4</v>
      </c>
      <c r="W752" s="100">
        <f>SUMIFS(Таблица1[сумма],Таблица1[коэф],"1,4",Таблица1[р/р],"4/24",Таблица1[Ф. И. О.],B748)</f>
        <v>0</v>
      </c>
      <c r="X752" s="89">
        <f>ROUND(U752*V752*W752,2)</f>
        <v>0</v>
      </c>
      <c r="Y752" s="808"/>
      <c r="Z752" s="810"/>
      <c r="AA752" s="813"/>
    </row>
    <row r="753" spans="1:29" ht="24" thickBot="1">
      <c r="A753" s="757"/>
      <c r="B753" s="352"/>
      <c r="C753" s="816"/>
      <c r="D753" s="818"/>
      <c r="E753" s="76"/>
      <c r="F753" s="275"/>
      <c r="G753" s="620"/>
      <c r="H753" s="93"/>
      <c r="I753" s="621"/>
      <c r="J753" s="594"/>
      <c r="K753" s="622"/>
      <c r="L753" s="328"/>
      <c r="M753" s="621"/>
      <c r="N753" s="622"/>
      <c r="O753" s="622"/>
      <c r="P753" s="289"/>
      <c r="Q753" s="623">
        <f>база!$L$6</f>
        <v>261.04640000000001</v>
      </c>
      <c r="R753" s="275">
        <v>1.4</v>
      </c>
      <c r="S753" s="99">
        <f>SUMIFS(Таблица1[сумма],Таблица1[коэф],"1,4",Таблица1[р/р],"5/16",Таблица1[Ф. И. О.],B748)</f>
        <v>0</v>
      </c>
      <c r="T753" s="93">
        <f>ROUND(Q753*R753*S753,2)</f>
        <v>0</v>
      </c>
      <c r="U753" s="83">
        <f>база!$M$6</f>
        <v>279.0496</v>
      </c>
      <c r="V753" s="275">
        <v>1.4</v>
      </c>
      <c r="W753" s="99">
        <f>SUMIFS(Таблица1[сумма],Таблица1[коэф],"1,4",Таблица1[р/р],"5/24",Таблица1[Ф. И. О.],B748)</f>
        <v>0</v>
      </c>
      <c r="X753" s="93">
        <f>ROUND(U753*V753*W753,2)</f>
        <v>0</v>
      </c>
      <c r="Y753" s="809"/>
      <c r="Z753" s="811"/>
      <c r="AA753" s="814"/>
    </row>
    <row r="754" spans="1:29" ht="20.25" customHeight="1">
      <c r="A754" s="755">
        <v>69</v>
      </c>
      <c r="B754" s="618"/>
      <c r="C754" s="821">
        <f>INDEX(база!$E$2:$E$181, MATCH(B759,база!$B$2:$B$160,0))</f>
        <v>14639</v>
      </c>
      <c r="D754" s="822">
        <f>INDEX(база!$D$2:$D$189, MATCH(B759,база!$B$2:$B$160,0))</f>
        <v>4</v>
      </c>
      <c r="E754" s="74">
        <f>IF(D754&lt;=3,база!$I$4,
IF(D754=4,база!$I$5,
IF(D754=5,база!$I$6)))</f>
        <v>207.5112</v>
      </c>
      <c r="F754" s="270">
        <v>1</v>
      </c>
      <c r="G754" s="88">
        <f>SUMIFS(Таблица1[сумма],Таблица1[коэф],"1",Таблица1[р/р],"2/4",Таблица1[Ф. И. О.],B759)</f>
        <v>0</v>
      </c>
      <c r="H754" s="102">
        <f>ROUND(E754*F754*G754,2)</f>
        <v>0</v>
      </c>
      <c r="I754" s="24">
        <f>IF(D754&lt;=3,база!$J$4,
IF(D754=4,база!$J$5,
IF(D754=5,база!$J$6)))</f>
        <v>215.4924</v>
      </c>
      <c r="J754" s="277">
        <v>1</v>
      </c>
      <c r="K754" s="22">
        <f>SUMIFS(Таблица1[сумма],Таблица1[коэф],"1",Таблица1[р/р],"2/8",Таблица1[Ф. И. О.],B759)</f>
        <v>0</v>
      </c>
      <c r="L754" s="309">
        <f>ROUND(I754*J754*K754,2)</f>
        <v>0</v>
      </c>
      <c r="M754" s="24"/>
      <c r="N754" s="22">
        <v>1</v>
      </c>
      <c r="O754" s="22">
        <f>SUMIFS(Data_Tech!$AM$3:$AM$67,Data_Tech!$E$3:$E$67,"1",Data_Tech!$G$3:$G$67,"3/12",Data_Tech!$F$3:$F$67,B759)</f>
        <v>0</v>
      </c>
      <c r="P754" s="281">
        <f>ROUND(M754*N754*O754,2)</f>
        <v>0</v>
      </c>
      <c r="Q754" s="619">
        <f>IF(D754&lt;=3,база!$L$4,
IF(D754=4,база!$L$5,
IF(D754=5,база!$L$6)))</f>
        <v>231.45480000000001</v>
      </c>
      <c r="R754" s="270">
        <v>1</v>
      </c>
      <c r="S754" s="96">
        <f>SUMIFS(Таблица1[сумма],Таблица1[коэф],"1",Таблица1[р/р],"3/16",Таблица1[Ф. И. О.],B759)</f>
        <v>0</v>
      </c>
      <c r="T754" s="102">
        <f t="shared" ref="T754:T758" si="468">ROUND(Q754*R754*S754,2)</f>
        <v>0</v>
      </c>
      <c r="U754" s="81">
        <f>IF(D754&lt;=3,база!$M$4,
IF(D754=4,база!$M$5,
IF(D754=5,база!$M$6)))</f>
        <v>247.41720000000001</v>
      </c>
      <c r="V754" s="270">
        <v>1</v>
      </c>
      <c r="W754" s="96">
        <f>SUMIFS(Таблица1[сумма],Таблица1[коэф],"1",Таблица1[р/р],"3/24",Таблица1[Ф. И. О.],B759)</f>
        <v>0</v>
      </c>
      <c r="X754" s="102">
        <f>ROUND(U754*V754*W754,2)</f>
        <v>0</v>
      </c>
      <c r="Y754" s="807">
        <f t="shared" ref="Y754" si="469">SUM(G754:G764,K754:K764,O754:O764,S754:S764,W754:W764)</f>
        <v>0</v>
      </c>
      <c r="Z754" s="823">
        <f t="shared" ref="Z754" si="470">IFERROR(SUM(H754:H764,L754:L764,T754:T764,X754:X764),"")</f>
        <v>0</v>
      </c>
      <c r="AA754" s="812"/>
    </row>
    <row r="755" spans="1:29">
      <c r="A755" s="756"/>
      <c r="B755" s="618"/>
      <c r="C755" s="815"/>
      <c r="D755" s="817"/>
      <c r="E755" s="74">
        <f>IF(D754&lt;=3,база!$I$4,
IF(D754=4,база!$I$5,
IF(D754=5,база!$I$6)))</f>
        <v>207.5112</v>
      </c>
      <c r="F755" s="270">
        <v>1</v>
      </c>
      <c r="G755" s="88">
        <f>SUMIFS(Таблица1[сумма],Таблица1[коэф],"1",Таблица1[р/р],"3/4",Таблица1[Ф. И. О.],B759)</f>
        <v>0</v>
      </c>
      <c r="H755" s="102">
        <f>ROUND(E755*F755*G755,2)</f>
        <v>0</v>
      </c>
      <c r="I755" s="24">
        <f>IF(D754&lt;=3,база!$J$4,
IF(D754=4,база!$J$5,
IF(D754=5,база!$J$6)))</f>
        <v>215.4924</v>
      </c>
      <c r="J755" s="277">
        <v>1</v>
      </c>
      <c r="K755" s="22"/>
      <c r="L755" s="309">
        <f>ROUND(I755*J755*K755,2)</f>
        <v>0</v>
      </c>
      <c r="M755" s="24"/>
      <c r="N755" s="22">
        <v>1</v>
      </c>
      <c r="O755" s="22">
        <f>SUMIFS(Data_Tech!$AM$3:$AM$67,Data_Tech!$E$3:$E$67,"1",Data_Tech!$G$3:$G$67,"4/12",Data_Tech!$F$3:$F$67,B759)</f>
        <v>0</v>
      </c>
      <c r="P755" s="281">
        <f>ROUND(M755*O755,2)</f>
        <v>0</v>
      </c>
      <c r="Q755" s="619">
        <f>база!$L$5</f>
        <v>231.45480000000001</v>
      </c>
      <c r="R755" s="270">
        <v>1</v>
      </c>
      <c r="S755" s="96">
        <f>SUMIFS(Таблица1[сумма],Таблица1[коэф],"1",Таблица1[р/р],"4/16",Таблица1[Ф. И. О.],B759)</f>
        <v>0</v>
      </c>
      <c r="T755" s="102">
        <f t="shared" si="468"/>
        <v>0</v>
      </c>
      <c r="U755" s="81">
        <f>база!$M$5</f>
        <v>247.41720000000001</v>
      </c>
      <c r="V755" s="270">
        <v>1</v>
      </c>
      <c r="W755" s="96">
        <f>SUMIFS(Таблица1[сумма],Таблица1[коэф],"1",Таблица1[р/р],"4/24",Таблица1[Ф. И. О.],B759)</f>
        <v>0</v>
      </c>
      <c r="X755" s="102">
        <f t="shared" ref="X755" si="471">ROUND(U755*V755*W755,2)</f>
        <v>0</v>
      </c>
      <c r="Y755" s="808"/>
      <c r="Z755" s="810"/>
      <c r="AA755" s="813"/>
    </row>
    <row r="756" spans="1:29">
      <c r="A756" s="756"/>
      <c r="B756" s="618"/>
      <c r="C756" s="815"/>
      <c r="D756" s="817"/>
      <c r="E756" s="74"/>
      <c r="F756" s="270"/>
      <c r="G756" s="88"/>
      <c r="H756" s="102"/>
      <c r="I756" s="24"/>
      <c r="J756" s="277"/>
      <c r="K756" s="22"/>
      <c r="L756" s="309"/>
      <c r="M756" s="24"/>
      <c r="N756" s="22"/>
      <c r="O756" s="22"/>
      <c r="P756" s="281"/>
      <c r="Q756" s="619">
        <f>база!$L$6</f>
        <v>261.04640000000001</v>
      </c>
      <c r="R756" s="270">
        <v>1</v>
      </c>
      <c r="S756" s="96">
        <f>SUMIFS(Таблица1[сумма],Таблица1[коэф],"1",Таблица1[р/р],"5/16",Таблица1[Ф. И. О.],B759)</f>
        <v>0</v>
      </c>
      <c r="T756" s="102">
        <f t="shared" si="468"/>
        <v>0</v>
      </c>
      <c r="U756" s="81">
        <f>база!$M$6</f>
        <v>279.0496</v>
      </c>
      <c r="V756" s="270">
        <v>1</v>
      </c>
      <c r="W756" s="96">
        <f>SUMIFS(Таблица1[сумма],Таблица1[коэф],"1",Таблица1[р/р],"5/24",Таблица1[Ф. И. О.],B759)</f>
        <v>0</v>
      </c>
      <c r="X756" s="102">
        <f>ROUND(U756*V756*W756,2)</f>
        <v>0</v>
      </c>
      <c r="Y756" s="808"/>
      <c r="Z756" s="810"/>
      <c r="AA756" s="813"/>
    </row>
    <row r="757" spans="1:29">
      <c r="A757" s="756"/>
      <c r="B757" s="618"/>
      <c r="C757" s="815"/>
      <c r="D757" s="817"/>
      <c r="E757" s="74"/>
      <c r="F757" s="270"/>
      <c r="G757" s="88"/>
      <c r="H757" s="102"/>
      <c r="I757" s="24">
        <f>база!$J$5</f>
        <v>215.4924</v>
      </c>
      <c r="J757" s="277">
        <v>1.5</v>
      </c>
      <c r="K757" s="22">
        <f>SUMIFS(Таблица1[сумма],Таблица1[коэф],"1,5",Таблица1[р/р],"4/8",Таблица1[Ф. И. О.],B759)</f>
        <v>0</v>
      </c>
      <c r="L757" s="309">
        <f>ROUND(I757*J757*K757,2)</f>
        <v>0</v>
      </c>
      <c r="M757" s="24"/>
      <c r="N757" s="22"/>
      <c r="O757" s="22"/>
      <c r="P757" s="281"/>
      <c r="Q757" s="619">
        <f>IF(D754&lt;=3,база!$L$4,
IF(D754=4,база!$L$5,
IF(D754=5,база!$L$6)))</f>
        <v>231.45480000000001</v>
      </c>
      <c r="R757" s="270">
        <v>1.2</v>
      </c>
      <c r="S757" s="96">
        <f>SUMIFS(Таблица1[сумма],Таблица1[коэф],"1,2",Таблица1[р/р],"3/16",Таблица1[Ф. И. О.],B759)</f>
        <v>0</v>
      </c>
      <c r="T757" s="102">
        <f t="shared" si="468"/>
        <v>0</v>
      </c>
      <c r="U757" s="81">
        <f>IF(D754&lt;=3,база!$M$4,
IF(D754=4,база!$M$5,
IF(D754=5,база!$M$6)))</f>
        <v>247.41720000000001</v>
      </c>
      <c r="V757" s="270">
        <v>1.2</v>
      </c>
      <c r="W757" s="96">
        <f>SUMIFS(Таблица1[сумма],Таблица1[коэф],"1,2",Таблица1[р/р],"3/24",Таблица1[Ф. И. О.],B759)</f>
        <v>0</v>
      </c>
      <c r="X757" s="102">
        <f t="shared" ref="X757:X758" si="472">ROUND(U757*V757*W757,2)</f>
        <v>0</v>
      </c>
      <c r="Y757" s="808"/>
      <c r="Z757" s="810"/>
      <c r="AA757" s="813"/>
    </row>
    <row r="758" spans="1:29">
      <c r="A758" s="756"/>
      <c r="B758" s="618"/>
      <c r="C758" s="815"/>
      <c r="D758" s="817"/>
      <c r="E758" s="74"/>
      <c r="F758" s="270"/>
      <c r="G758" s="88"/>
      <c r="H758" s="102"/>
      <c r="I758" s="24">
        <f>база!$J$6</f>
        <v>243.04319999999998</v>
      </c>
      <c r="J758" s="277">
        <v>1.5</v>
      </c>
      <c r="K758" s="22">
        <f>SUMIFS(Таблица1[сумма],Таблица1[коэф],"1,5",Таблица1[р/р],"5/8",Таблица1[Ф. И. О.],B759)</f>
        <v>0</v>
      </c>
      <c r="L758" s="309">
        <f>ROUND(I758*J758*K758,2)</f>
        <v>0</v>
      </c>
      <c r="M758" s="24"/>
      <c r="N758" s="22"/>
      <c r="O758" s="22"/>
      <c r="P758" s="281"/>
      <c r="Q758" s="619">
        <f>база!$L$5</f>
        <v>231.45480000000001</v>
      </c>
      <c r="R758" s="270">
        <v>1.2</v>
      </c>
      <c r="S758" s="96">
        <f>SUMIFS(Таблица1[сумма],Таблица1[коэф],"1,2",Таблица1[р/р],"4/16",Таблица1[Ф. И. О.],B759)</f>
        <v>0</v>
      </c>
      <c r="T758" s="102">
        <f t="shared" si="468"/>
        <v>0</v>
      </c>
      <c r="U758" s="81">
        <f>база!$M$5</f>
        <v>247.41720000000001</v>
      </c>
      <c r="V758" s="270">
        <v>1.2</v>
      </c>
      <c r="W758" s="96">
        <f>SUMIFS(Таблица1[сумма],Таблица1[коэф],"1,2",Таблица1[р/р],"4/24",Таблица1[Ф. И. О.],B759)</f>
        <v>0</v>
      </c>
      <c r="X758" s="102">
        <f t="shared" si="472"/>
        <v>0</v>
      </c>
      <c r="Y758" s="808"/>
      <c r="Z758" s="810"/>
      <c r="AA758" s="813"/>
      <c r="AC758" s="707" t="str">
        <f>IF(SUMIFS(Таблица1[Столбец2],Таблица1[Ф. И. О.],B759)-Z754=0,"",SUMIFS(Таблица1[Столбец2],Таблица1[Ф. И. О.],B759)-Z754)</f>
        <v/>
      </c>
    </row>
    <row r="759" spans="1:29">
      <c r="A759" s="756"/>
      <c r="B759" s="618" t="str">
        <f>база!B70</f>
        <v>Смирнова Елена Евгеньевна</v>
      </c>
      <c r="C759" s="815"/>
      <c r="D759" s="817"/>
      <c r="E759" s="74"/>
      <c r="F759" s="270"/>
      <c r="G759" s="88"/>
      <c r="H759" s="102"/>
      <c r="I759" s="24"/>
      <c r="J759" s="277"/>
      <c r="K759" s="22"/>
      <c r="L759" s="309"/>
      <c r="M759" s="24"/>
      <c r="N759" s="22"/>
      <c r="O759" s="22"/>
      <c r="P759" s="281"/>
      <c r="Q759" s="619">
        <f>база!$L$6</f>
        <v>261.04640000000001</v>
      </c>
      <c r="R759" s="270">
        <v>1.2</v>
      </c>
      <c r="S759" s="96">
        <f>SUMIFS(Таблица1[сумма],Таблица1[коэф],"1,2",Таблица1[р/р],"5/16",Таблица1[Ф. И. О.],B759)</f>
        <v>0</v>
      </c>
      <c r="T759" s="102">
        <f>ROUND(Q759*R759*S759,2)</f>
        <v>0</v>
      </c>
      <c r="U759" s="81">
        <f>база!$M$6</f>
        <v>279.0496</v>
      </c>
      <c r="V759" s="270">
        <v>1.2</v>
      </c>
      <c r="W759" s="96">
        <f>SUMIFS(Таблица1[сумма],Таблица1[коэф],"1,2",Таблица1[р/р],"5/24",Таблица1[Ф. И. О.],B759)</f>
        <v>0</v>
      </c>
      <c r="X759" s="102">
        <f>ROUND(U759*V759*W759,2)</f>
        <v>0</v>
      </c>
      <c r="Y759" s="808"/>
      <c r="Z759" s="810"/>
      <c r="AA759" s="813"/>
      <c r="AC759" s="707" t="str">
        <f>IF(SUMIFS(Таблица1[сумма],Таблица1[Ф. И. О.],B759)=Y754,"",B754&amp;"  часы не верны")</f>
        <v/>
      </c>
    </row>
    <row r="760" spans="1:29">
      <c r="A760" s="756"/>
      <c r="B760" s="618"/>
      <c r="C760" s="815"/>
      <c r="D760" s="817"/>
      <c r="E760" s="74"/>
      <c r="F760" s="270"/>
      <c r="G760" s="88"/>
      <c r="H760" s="102"/>
      <c r="I760" s="24"/>
      <c r="J760" s="277"/>
      <c r="K760" s="22"/>
      <c r="L760" s="309"/>
      <c r="M760" s="24"/>
      <c r="N760" s="22"/>
      <c r="O760" s="22"/>
      <c r="P760" s="281"/>
      <c r="Q760" s="619">
        <f>IF($D$6&lt;=3,база!$L$4,
IF($D$6=4,база!$L$5,
IF($D$6=5,база!$L$6)))</f>
        <v>231.45480000000001</v>
      </c>
      <c r="R760" s="270">
        <v>1.3</v>
      </c>
      <c r="S760" s="96">
        <f>SUMIFS(Таблица1[сумма],Таблица1[коэф],"1,3",Таблица1[р/р],"3/16",Таблица1[Ф. И. О.],B759)</f>
        <v>0</v>
      </c>
      <c r="T760" s="102">
        <f t="shared" ref="T760:T761" si="473">ROUND(Q760*R760*S760,2)</f>
        <v>0</v>
      </c>
      <c r="U760" s="81">
        <f>IF(D754&lt;=3,база!$M$4,
IF(D754=4,база!$M$5,
IF(D754=5,база!$M$6)))</f>
        <v>247.41720000000001</v>
      </c>
      <c r="V760" s="270">
        <v>1.3</v>
      </c>
      <c r="W760" s="96">
        <f>SUMIFS(Таблица1[сумма],Таблица1[коэф],"1,3",Таблица1[р/р],"3/24",Таблица1[Ф. И. О.],B759)</f>
        <v>0</v>
      </c>
      <c r="X760" s="102">
        <f t="shared" ref="X760:X761" si="474">ROUND(U760*V760*W760,2)</f>
        <v>0</v>
      </c>
      <c r="Y760" s="808"/>
      <c r="Z760" s="810"/>
      <c r="AA760" s="813"/>
    </row>
    <row r="761" spans="1:29">
      <c r="A761" s="756"/>
      <c r="B761" s="618"/>
      <c r="C761" s="815"/>
      <c r="D761" s="817"/>
      <c r="E761" s="74"/>
      <c r="F761" s="270"/>
      <c r="G761" s="88"/>
      <c r="H761" s="102"/>
      <c r="I761" s="24"/>
      <c r="J761" s="277"/>
      <c r="K761" s="22"/>
      <c r="L761" s="309"/>
      <c r="M761" s="24"/>
      <c r="N761" s="22"/>
      <c r="O761" s="22"/>
      <c r="P761" s="281"/>
      <c r="Q761" s="619">
        <f>база!$L$5</f>
        <v>231.45480000000001</v>
      </c>
      <c r="R761" s="270">
        <v>1.3</v>
      </c>
      <c r="S761" s="96">
        <f>SUMIFS(Таблица1[сумма],Таблица1[коэф],"1,3",Таблица1[р/р],"4/16",Таблица1[Ф. И. О.],B759)</f>
        <v>0</v>
      </c>
      <c r="T761" s="102">
        <f t="shared" si="473"/>
        <v>0</v>
      </c>
      <c r="U761" s="81">
        <f>база!$M$5</f>
        <v>247.41720000000001</v>
      </c>
      <c r="V761" s="270">
        <v>1.3</v>
      </c>
      <c r="W761" s="96">
        <f>SUMIFS(Таблица1[сумма],Таблица1[коэф],"1,3",Таблица1[р/р],"4/24",Таблица1[Ф. И. О.],B759)</f>
        <v>0</v>
      </c>
      <c r="X761" s="102">
        <f t="shared" si="474"/>
        <v>0</v>
      </c>
      <c r="Y761" s="808"/>
      <c r="Z761" s="810"/>
      <c r="AA761" s="813"/>
    </row>
    <row r="762" spans="1:29">
      <c r="A762" s="756"/>
      <c r="B762" s="618"/>
      <c r="C762" s="815"/>
      <c r="D762" s="817"/>
      <c r="E762" s="74"/>
      <c r="F762" s="270"/>
      <c r="G762" s="88"/>
      <c r="H762" s="102"/>
      <c r="I762" s="24"/>
      <c r="J762" s="277"/>
      <c r="K762" s="22"/>
      <c r="L762" s="309"/>
      <c r="M762" s="24"/>
      <c r="N762" s="22"/>
      <c r="O762" s="22"/>
      <c r="P762" s="281"/>
      <c r="Q762" s="619">
        <f>IF(D754&lt;=3,база!$L$4,
IF(D754=4,база!$L$5,
IF(D754=5,база!$L$6)))</f>
        <v>231.45480000000001</v>
      </c>
      <c r="R762" s="270">
        <v>1.4</v>
      </c>
      <c r="S762" s="96">
        <f>SUMIFS(Таблица1[сумма],Таблица1[коэф],"1,4",Таблица1[р/р],"3/16",Таблица1[Ф. И. О.],B759)</f>
        <v>0</v>
      </c>
      <c r="T762" s="102">
        <f>ROUND(Q762*R762*S762,2)</f>
        <v>0</v>
      </c>
      <c r="U762" s="81">
        <f>IF(D754&lt;=3,база!$M$4,
IF(D754=4,база!$M$5,
IF(D754=5,база!$M$6)))</f>
        <v>247.41720000000001</v>
      </c>
      <c r="V762" s="270">
        <v>1.4</v>
      </c>
      <c r="W762" s="96">
        <f>SUMIFS(Таблица1[сумма],Таблица1[коэф],"1,4",Таблица1[р/р],"3/24",Таблица1[Ф. И. О.],B759)</f>
        <v>0</v>
      </c>
      <c r="X762" s="102">
        <f>ROUND(U762*V762*W762,2)</f>
        <v>0</v>
      </c>
      <c r="Y762" s="808"/>
      <c r="Z762" s="810"/>
      <c r="AA762" s="813"/>
    </row>
    <row r="763" spans="1:29">
      <c r="A763" s="756"/>
      <c r="B763" s="618"/>
      <c r="C763" s="815"/>
      <c r="D763" s="817"/>
      <c r="E763" s="84"/>
      <c r="F763" s="272"/>
      <c r="G763" s="628"/>
      <c r="H763" s="89"/>
      <c r="I763" s="67"/>
      <c r="J763" s="629"/>
      <c r="K763" s="59"/>
      <c r="L763" s="325"/>
      <c r="M763" s="67"/>
      <c r="N763" s="59"/>
      <c r="O763" s="59"/>
      <c r="P763" s="282"/>
      <c r="Q763" s="630">
        <f>база!$L$5</f>
        <v>231.45480000000001</v>
      </c>
      <c r="R763" s="272">
        <v>1.4</v>
      </c>
      <c r="S763" s="100">
        <f>SUMIFS(Таблица1[сумма],Таблица1[коэф],"1,4",Таблица1[р/р],"4/16",Таблица1[Ф. И. О.],B759)</f>
        <v>0</v>
      </c>
      <c r="T763" s="89">
        <f>ROUND(Q763*R763*S763,2)</f>
        <v>0</v>
      </c>
      <c r="U763" s="105">
        <f>база!$M$5</f>
        <v>247.41720000000001</v>
      </c>
      <c r="V763" s="272">
        <v>1.4</v>
      </c>
      <c r="W763" s="100">
        <f>SUMIFS(Таблица1[сумма],Таблица1[коэф],"1,4",Таблица1[р/р],"4/24",Таблица1[Ф. И. О.],B759)</f>
        <v>0</v>
      </c>
      <c r="X763" s="89">
        <f>ROUND(U763*V763*W763,2)</f>
        <v>0</v>
      </c>
      <c r="Y763" s="808"/>
      <c r="Z763" s="810"/>
      <c r="AA763" s="813"/>
    </row>
    <row r="764" spans="1:29" ht="24" thickBot="1">
      <c r="A764" s="757"/>
      <c r="B764" s="352"/>
      <c r="C764" s="816"/>
      <c r="D764" s="818"/>
      <c r="E764" s="76"/>
      <c r="F764" s="275"/>
      <c r="G764" s="620"/>
      <c r="H764" s="93"/>
      <c r="I764" s="621"/>
      <c r="J764" s="594"/>
      <c r="K764" s="622"/>
      <c r="L764" s="328"/>
      <c r="M764" s="621"/>
      <c r="N764" s="622"/>
      <c r="O764" s="622"/>
      <c r="P764" s="289"/>
      <c r="Q764" s="623">
        <f>база!$L$6</f>
        <v>261.04640000000001</v>
      </c>
      <c r="R764" s="275">
        <v>1.4</v>
      </c>
      <c r="S764" s="99">
        <f>SUMIFS(Таблица1[сумма],Таблица1[коэф],"1,4",Таблица1[р/р],"5/16",Таблица1[Ф. И. О.],B759)</f>
        <v>0</v>
      </c>
      <c r="T764" s="93">
        <f>ROUND(Q764*R764*S764,2)</f>
        <v>0</v>
      </c>
      <c r="U764" s="83">
        <f>база!$M$6</f>
        <v>279.0496</v>
      </c>
      <c r="V764" s="275">
        <v>1.4</v>
      </c>
      <c r="W764" s="99">
        <f>SUMIFS(Таблица1[сумма],Таблица1[коэф],"1,4",Таблица1[р/р],"5/24",Таблица1[Ф. И. О.],B759)</f>
        <v>0</v>
      </c>
      <c r="X764" s="93">
        <f>ROUND(U764*V764*W764,2)</f>
        <v>0</v>
      </c>
      <c r="Y764" s="809"/>
      <c r="Z764" s="811"/>
      <c r="AA764" s="814"/>
    </row>
    <row r="765" spans="1:29">
      <c r="A765" s="756">
        <v>70</v>
      </c>
      <c r="B765" s="215"/>
      <c r="C765" s="815">
        <f>INDEX(база!$E$2:$E$181, MATCH(B770,база!$B$2:$B$160,0))</f>
        <v>17076</v>
      </c>
      <c r="D765" s="817">
        <f>INDEX(база!$D$2:$D$189, MATCH(B770,база!$B$2:$B$160,0))</f>
        <v>3</v>
      </c>
      <c r="E765" s="74">
        <f>IF(D765&lt;=3,база!$I$4,
IF(D765=4,база!$I$5,
IF(D765=5,база!$I$6)))</f>
        <v>188.7912</v>
      </c>
      <c r="F765" s="270">
        <v>1</v>
      </c>
      <c r="G765" s="96">
        <f>SUMIFS(Таблица1[сумма],Таблица1[коэф],"1",Таблица1[р/р],"2/4",Таблица1[Ф. И. О.],B770)</f>
        <v>0</v>
      </c>
      <c r="H765" s="102">
        <f>ROUND(E765*F765*G765,2)</f>
        <v>0</v>
      </c>
      <c r="I765" s="344">
        <f>IF(D765&lt;=3,база!$J$4,
IF(D765=4,база!$J$5,
IF(D765=5,база!$J$6)))</f>
        <v>196.05240000000001</v>
      </c>
      <c r="J765" s="277">
        <v>1</v>
      </c>
      <c r="K765" s="309">
        <f>SUMIFS(Таблица1[сумма],Таблица1[коэф],"1",Таблица1[р/р],"2/8",Таблица1[Ф. И. О.],B770)</f>
        <v>0</v>
      </c>
      <c r="L765" s="309">
        <f>ROUND(I765*J765*K765,2)</f>
        <v>0</v>
      </c>
      <c r="M765" s="309"/>
      <c r="N765" s="309">
        <v>1</v>
      </c>
      <c r="O765" s="309">
        <f>SUMIFS(Data_Tech!$AM$3:$AM$67,Data_Tech!$E$3:$E$67,"1",Data_Tech!$G$3:$G$67,"3/12",Data_Tech!$F$3:$F$67,B770)</f>
        <v>0</v>
      </c>
      <c r="P765" s="281">
        <f>ROUND(M765*N765*O765,2)</f>
        <v>0</v>
      </c>
      <c r="Q765" s="74">
        <f>IF(D765&lt;=3,база!$L$4,
IF(D765=4,база!$L$5,
IF(D765=5,база!$L$6)))</f>
        <v>210.57480000000001</v>
      </c>
      <c r="R765" s="270">
        <v>1</v>
      </c>
      <c r="S765" s="96">
        <f>SUMIFS(Таблица1[сумма],Таблица1[коэф],"1",Таблица1[р/р],"3/16",Таблица1[Ф. И. О.],B770)</f>
        <v>0</v>
      </c>
      <c r="T765" s="102">
        <f t="shared" ref="T765:T769" si="475">ROUND(Q765*R765*S765,2)</f>
        <v>0</v>
      </c>
      <c r="U765" s="349">
        <f>IF(D765&lt;=3,база!$M$4,
IF(D765=4,база!$M$5,
IF(D765=5,база!$M$6)))</f>
        <v>225.09719999999999</v>
      </c>
      <c r="V765" s="270">
        <v>1</v>
      </c>
      <c r="W765" s="337">
        <f>SUMIFS(Таблица1[сумма],Таблица1[коэф],"1",Таблица1[р/р],"3/24",Таблица1[Ф. И. О.],B770)</f>
        <v>0</v>
      </c>
      <c r="X765" s="351">
        <f>ROUND(U765*V765*W765,2)</f>
        <v>0</v>
      </c>
      <c r="Y765" s="819">
        <f t="shared" ref="Y765" si="476">SUM(G765:G775,K765:K775,O765:O775,S765:S775,W765:W775)</f>
        <v>0</v>
      </c>
      <c r="Z765" s="810">
        <f t="shared" ref="Z765" si="477">IFERROR(SUM(H765:H775,L765:L775,T765:T775,X765:X775),"")</f>
        <v>0</v>
      </c>
      <c r="AA765" s="813"/>
    </row>
    <row r="766" spans="1:29">
      <c r="A766" s="756"/>
      <c r="B766" s="215"/>
      <c r="C766" s="815"/>
      <c r="D766" s="817"/>
      <c r="E766" s="78">
        <f>IF(D765&lt;=3,база!$I$4,
IF(D765=4,база!$I$5,
IF(D765=5,база!$I$6)))</f>
        <v>188.7912</v>
      </c>
      <c r="F766" s="271">
        <v>1</v>
      </c>
      <c r="G766" s="98">
        <f>SUMIFS(Таблица1[сумма],Таблица1[коэф],"1",Таблица1[р/р],"3/4",Таблица1[Ф. И. О.],B770)</f>
        <v>0</v>
      </c>
      <c r="H766" s="94">
        <f>ROUND(E766*F766*G766,2)</f>
        <v>0</v>
      </c>
      <c r="I766" s="334">
        <f>IF(D765&lt;=3,база!$J$4,
IF(D765=4,база!$J$5,
IF(D765=5,база!$J$6)))</f>
        <v>196.05240000000001</v>
      </c>
      <c r="J766" s="278">
        <v>1</v>
      </c>
      <c r="K766" s="216"/>
      <c r="L766" s="216">
        <f>ROUND(I766*J766*K766,2)</f>
        <v>0</v>
      </c>
      <c r="M766" s="216"/>
      <c r="N766" s="216">
        <v>1</v>
      </c>
      <c r="O766" s="216">
        <f>SUMIFS(Data_Tech!$AM$3:$AM$67,Data_Tech!$E$3:$E$67,"1",Data_Tech!$G$3:$G$67,"4/12",Data_Tech!$F$3:$F$67,B770)</f>
        <v>0</v>
      </c>
      <c r="P766" s="30">
        <f>ROUND(M766*O766,2)</f>
        <v>0</v>
      </c>
      <c r="Q766" s="78">
        <f>база!$L$5</f>
        <v>231.45480000000001</v>
      </c>
      <c r="R766" s="271">
        <v>1</v>
      </c>
      <c r="S766" s="98">
        <f>SUMIFS(Таблица1[сумма],Таблица1[коэф],"1",Таблица1[р/р],"4/16",Таблица1[Ф. И. О.],B770)</f>
        <v>0</v>
      </c>
      <c r="T766" s="94">
        <f t="shared" si="475"/>
        <v>0</v>
      </c>
      <c r="U766" s="314">
        <f>база!$M$5</f>
        <v>247.41720000000001</v>
      </c>
      <c r="V766" s="271">
        <v>1</v>
      </c>
      <c r="W766" s="307">
        <f>SUMIFS(Таблица1[сумма],Таблица1[коэф],"1",Таблица1[р/р],"4/24",Таблица1[Ф. И. О.],B770)</f>
        <v>0</v>
      </c>
      <c r="X766" s="313">
        <f t="shared" ref="X766" si="478">ROUND(U766*V766*W766,2)</f>
        <v>0</v>
      </c>
      <c r="Y766" s="819"/>
      <c r="Z766" s="810"/>
      <c r="AA766" s="813"/>
    </row>
    <row r="767" spans="1:29">
      <c r="A767" s="756"/>
      <c r="B767" s="215"/>
      <c r="C767" s="815"/>
      <c r="D767" s="817"/>
      <c r="E767" s="78"/>
      <c r="F767" s="271"/>
      <c r="G767" s="98"/>
      <c r="H767" s="94"/>
      <c r="I767" s="334"/>
      <c r="J767" s="278"/>
      <c r="K767" s="216"/>
      <c r="L767" s="216"/>
      <c r="M767" s="216"/>
      <c r="N767" s="216"/>
      <c r="O767" s="216"/>
      <c r="P767" s="30"/>
      <c r="Q767" s="78">
        <f>база!$L$6</f>
        <v>261.04640000000001</v>
      </c>
      <c r="R767" s="271">
        <v>1</v>
      </c>
      <c r="S767" s="98">
        <f>SUMIFS(Таблица1[сумма],Таблица1[коэф],"1",Таблица1[р/р],"5/16",Таблица1[Ф. И. О.],B770)</f>
        <v>0</v>
      </c>
      <c r="T767" s="94">
        <f t="shared" si="475"/>
        <v>0</v>
      </c>
      <c r="U767" s="314">
        <f>база!$M$6</f>
        <v>279.0496</v>
      </c>
      <c r="V767" s="271">
        <v>1</v>
      </c>
      <c r="W767" s="307">
        <f>SUMIFS(Таблица1[сумма],Таблица1[коэф],"1",Таблица1[р/р],"5/24",Таблица1[Ф. И. О.],B770)</f>
        <v>0</v>
      </c>
      <c r="X767" s="313">
        <f>ROUND(U767*V767*W767,2)</f>
        <v>0</v>
      </c>
      <c r="Y767" s="819"/>
      <c r="Z767" s="810"/>
      <c r="AA767" s="813"/>
    </row>
    <row r="768" spans="1:29">
      <c r="A768" s="756"/>
      <c r="B768" s="215"/>
      <c r="C768" s="815"/>
      <c r="D768" s="817"/>
      <c r="E768" s="78"/>
      <c r="F768" s="271"/>
      <c r="G768" s="98"/>
      <c r="H768" s="94"/>
      <c r="I768" s="334">
        <f>база!$J$5</f>
        <v>215.4924</v>
      </c>
      <c r="J768" s="278">
        <v>1.5</v>
      </c>
      <c r="K768" s="216">
        <f>SUMIFS(Таблица1[сумма],Таблица1[коэф],"1,5",Таблица1[р/р],"4/8",Таблица1[Ф. И. О.],B770)</f>
        <v>0</v>
      </c>
      <c r="L768" s="216">
        <f>ROUND(I768*J768*K768,2)</f>
        <v>0</v>
      </c>
      <c r="M768" s="216"/>
      <c r="N768" s="216"/>
      <c r="O768" s="216"/>
      <c r="P768" s="30"/>
      <c r="Q768" s="78">
        <f>IF(D765&lt;=3,база!$L$4,
IF(D765=4,база!$L$5,
IF(D765=5,база!$L$6)))</f>
        <v>210.57480000000001</v>
      </c>
      <c r="R768" s="271">
        <v>1.2</v>
      </c>
      <c r="S768" s="98">
        <f>SUMIFS(Таблица1[сумма],Таблица1[коэф],"1,2",Таблица1[р/р],"3/16",Таблица1[Ф. И. О.],B770)</f>
        <v>0</v>
      </c>
      <c r="T768" s="94">
        <f t="shared" si="475"/>
        <v>0</v>
      </c>
      <c r="U768" s="314">
        <f>IF(D765&lt;=3,база!$M$4,
IF(D765=4,база!$M$5,
IF(D765=5,база!$M$6)))</f>
        <v>225.09719999999999</v>
      </c>
      <c r="V768" s="271">
        <v>1.2</v>
      </c>
      <c r="W768" s="307">
        <f>SUMIFS(Таблица1[сумма],Таблица1[коэф],"1,2",Таблица1[р/р],"3/24",Таблица1[Ф. И. О.],B770)</f>
        <v>0</v>
      </c>
      <c r="X768" s="313">
        <f t="shared" ref="X768:X769" si="479">ROUND(U768*V768*W768,2)</f>
        <v>0</v>
      </c>
      <c r="Y768" s="819"/>
      <c r="Z768" s="810"/>
      <c r="AA768" s="813"/>
    </row>
    <row r="769" spans="1:29">
      <c r="A769" s="756"/>
      <c r="B769" s="215"/>
      <c r="C769" s="815"/>
      <c r="D769" s="817"/>
      <c r="E769" s="78"/>
      <c r="F769" s="271"/>
      <c r="G769" s="98"/>
      <c r="H769" s="94"/>
      <c r="I769" s="334">
        <f>база!$J$6</f>
        <v>243.04319999999998</v>
      </c>
      <c r="J769" s="278">
        <v>1.5</v>
      </c>
      <c r="K769" s="216">
        <f>SUMIFS(Таблица1[сумма],Таблица1[коэф],"1,5",Таблица1[р/р],"5/8",Таблица1[Ф. И. О.],B770)</f>
        <v>0</v>
      </c>
      <c r="L769" s="216">
        <f>ROUND(I769*J769*K769,2)</f>
        <v>0</v>
      </c>
      <c r="M769" s="216"/>
      <c r="N769" s="216"/>
      <c r="O769" s="216"/>
      <c r="P769" s="30"/>
      <c r="Q769" s="78">
        <f>база!$L$5</f>
        <v>231.45480000000001</v>
      </c>
      <c r="R769" s="271">
        <v>1.2</v>
      </c>
      <c r="S769" s="98">
        <f>SUMIFS(Таблица1[сумма],Таблица1[коэф],"1,2",Таблица1[р/р],"4/16",Таблица1[Ф. И. О.],B770)</f>
        <v>0</v>
      </c>
      <c r="T769" s="94">
        <f t="shared" si="475"/>
        <v>0</v>
      </c>
      <c r="U769" s="314">
        <f>база!$M$5</f>
        <v>247.41720000000001</v>
      </c>
      <c r="V769" s="271">
        <v>1.2</v>
      </c>
      <c r="W769" s="307">
        <f>SUMIFS(Таблица1[сумма],Таблица1[коэф],"1,2",Таблица1[р/р],"4/24",Таблица1[Ф. И. О.],B770)</f>
        <v>0</v>
      </c>
      <c r="X769" s="313">
        <f t="shared" si="479"/>
        <v>0</v>
      </c>
      <c r="Y769" s="819"/>
      <c r="Z769" s="810"/>
      <c r="AA769" s="813"/>
      <c r="AC769" s="707" t="str">
        <f>IF(SUMIFS(Таблица1[Столбец2],Таблица1[Ф. И. О.],B770)-Z765=0,"",SUMIFS(Таблица1[Столбец2],Таблица1[Ф. И. О.],B770)-Z765)</f>
        <v/>
      </c>
    </row>
    <row r="770" spans="1:29">
      <c r="A770" s="756"/>
      <c r="B770" s="215" t="str">
        <f>база!B71</f>
        <v>Соболева Наталья Александровна</v>
      </c>
      <c r="C770" s="815"/>
      <c r="D770" s="817"/>
      <c r="E770" s="78"/>
      <c r="F770" s="271"/>
      <c r="G770" s="98"/>
      <c r="H770" s="94"/>
      <c r="I770" s="334"/>
      <c r="J770" s="278"/>
      <c r="K770" s="216"/>
      <c r="L770" s="216"/>
      <c r="M770" s="216"/>
      <c r="N770" s="216"/>
      <c r="O770" s="216"/>
      <c r="P770" s="30"/>
      <c r="Q770" s="78">
        <f>база!$L$6</f>
        <v>261.04640000000001</v>
      </c>
      <c r="R770" s="271">
        <v>1.2</v>
      </c>
      <c r="S770" s="98">
        <f>SUMIFS(Таблица1[сумма],Таблица1[коэф],"1,2",Таблица1[р/р],"5/16",Таблица1[Ф. И. О.],B770)</f>
        <v>0</v>
      </c>
      <c r="T770" s="94">
        <f>ROUND(Q770*R770*S770,2)</f>
        <v>0</v>
      </c>
      <c r="U770" s="314">
        <f>база!$M$6</f>
        <v>279.0496</v>
      </c>
      <c r="V770" s="271">
        <v>1.2</v>
      </c>
      <c r="W770" s="307">
        <f>SUMIFS(Таблица1[сумма],Таблица1[коэф],"1,2",Таблица1[р/р],"5/24",Таблица1[Ф. И. О.],B770)</f>
        <v>0</v>
      </c>
      <c r="X770" s="313">
        <f>ROUND(U770*V770*W770,2)</f>
        <v>0</v>
      </c>
      <c r="Y770" s="819"/>
      <c r="Z770" s="810"/>
      <c r="AA770" s="813"/>
      <c r="AC770" s="707" t="str">
        <f>IF(SUMIFS(Таблица1[сумма],Таблица1[Ф. И. О.],B770)=Y765,"",B765&amp;"  часы не верны")</f>
        <v/>
      </c>
    </row>
    <row r="771" spans="1:29">
      <c r="A771" s="756"/>
      <c r="B771" s="215"/>
      <c r="C771" s="815"/>
      <c r="D771" s="817"/>
      <c r="E771" s="78"/>
      <c r="F771" s="271"/>
      <c r="G771" s="98"/>
      <c r="H771" s="94"/>
      <c r="I771" s="334"/>
      <c r="J771" s="278"/>
      <c r="K771" s="216"/>
      <c r="L771" s="216"/>
      <c r="M771" s="216"/>
      <c r="N771" s="216"/>
      <c r="O771" s="216"/>
      <c r="P771" s="30"/>
      <c r="Q771" s="78">
        <f>IF($D$6&lt;=3,база!$L$4,
IF($D$6=4,база!$L$5,
IF($D$6=5,база!$L$6)))</f>
        <v>231.45480000000001</v>
      </c>
      <c r="R771" s="271">
        <v>1.3</v>
      </c>
      <c r="S771" s="98">
        <f>SUMIFS(Таблица1[сумма],Таблица1[коэф],"1,3",Таблица1[р/р],"3/16",Таблица1[Ф. И. О.],B770)</f>
        <v>0</v>
      </c>
      <c r="T771" s="94">
        <f t="shared" ref="T771:T772" si="480">ROUND(Q771*R771*S771,2)</f>
        <v>0</v>
      </c>
      <c r="U771" s="314">
        <f>IF(D765&lt;=3,база!$M$4,
IF(D765=4,база!$M$5,
IF(D765=5,база!$M$6)))</f>
        <v>225.09719999999999</v>
      </c>
      <c r="V771" s="271">
        <v>1.3</v>
      </c>
      <c r="W771" s="307">
        <f>SUMIFS(Таблица1[сумма],Таблица1[коэф],"1,3",Таблица1[р/р],"3/24",Таблица1[Ф. И. О.],B770)</f>
        <v>0</v>
      </c>
      <c r="X771" s="313">
        <f t="shared" ref="X771:X772" si="481">ROUND(U771*V771*W771,2)</f>
        <v>0</v>
      </c>
      <c r="Y771" s="819"/>
      <c r="Z771" s="810"/>
      <c r="AA771" s="813"/>
    </row>
    <row r="772" spans="1:29">
      <c r="A772" s="756"/>
      <c r="B772" s="215"/>
      <c r="C772" s="815"/>
      <c r="D772" s="817"/>
      <c r="E772" s="78"/>
      <c r="F772" s="271"/>
      <c r="G772" s="98"/>
      <c r="H772" s="94"/>
      <c r="I772" s="334"/>
      <c r="J772" s="278"/>
      <c r="K772" s="216"/>
      <c r="L772" s="216"/>
      <c r="M772" s="216"/>
      <c r="N772" s="216"/>
      <c r="O772" s="216"/>
      <c r="P772" s="30"/>
      <c r="Q772" s="78">
        <f>база!$L$5</f>
        <v>231.45480000000001</v>
      </c>
      <c r="R772" s="271">
        <v>1.3</v>
      </c>
      <c r="S772" s="98">
        <f>SUMIFS(Таблица1[сумма],Таблица1[коэф],"1,3",Таблица1[р/р],"4/16",Таблица1[Ф. И. О.],B770)</f>
        <v>0</v>
      </c>
      <c r="T772" s="94">
        <f t="shared" si="480"/>
        <v>0</v>
      </c>
      <c r="U772" s="314">
        <f>база!$M$5</f>
        <v>247.41720000000001</v>
      </c>
      <c r="V772" s="271">
        <v>1.3</v>
      </c>
      <c r="W772" s="307">
        <f>SUMIFS(Таблица1[сумма],Таблица1[коэф],"1,3",Таблица1[р/р],"4/24",Таблица1[Ф. И. О.],B770)</f>
        <v>0</v>
      </c>
      <c r="X772" s="313">
        <f t="shared" si="481"/>
        <v>0</v>
      </c>
      <c r="Y772" s="819"/>
      <c r="Z772" s="810"/>
      <c r="AA772" s="813"/>
    </row>
    <row r="773" spans="1:29">
      <c r="A773" s="756"/>
      <c r="B773" s="215"/>
      <c r="C773" s="815"/>
      <c r="D773" s="817"/>
      <c r="E773" s="78"/>
      <c r="F773" s="271"/>
      <c r="G773" s="98"/>
      <c r="H773" s="94"/>
      <c r="I773" s="334"/>
      <c r="J773" s="278"/>
      <c r="K773" s="216"/>
      <c r="L773" s="216"/>
      <c r="M773" s="216"/>
      <c r="N773" s="216"/>
      <c r="O773" s="216"/>
      <c r="P773" s="30"/>
      <c r="Q773" s="78">
        <f>IF(D765&lt;=3,база!$L$4,
IF(D765=4,база!$L$5,
IF(D765=5,база!$L$6)))</f>
        <v>210.57480000000001</v>
      </c>
      <c r="R773" s="271">
        <v>1.4</v>
      </c>
      <c r="S773" s="98">
        <f>SUMIFS(Таблица1[сумма],Таблица1[коэф],"1,4",Таблица1[р/р],"3/16",Таблица1[Ф. И. О.],B770)</f>
        <v>0</v>
      </c>
      <c r="T773" s="94">
        <f>ROUND(Q773*R773*S773,2)</f>
        <v>0</v>
      </c>
      <c r="U773" s="314">
        <f>IF(D765&lt;=3,база!$M$4,
IF(D765=4,база!$M$5,
IF(D765=5,база!$M$6)))</f>
        <v>225.09719999999999</v>
      </c>
      <c r="V773" s="271">
        <v>1.4</v>
      </c>
      <c r="W773" s="307">
        <f>SUMIFS(Таблица1[сумма],Таблица1[коэф],"1,4",Таблица1[р/р],"3/24",Таблица1[Ф. И. О.],B770)</f>
        <v>0</v>
      </c>
      <c r="X773" s="313">
        <f>ROUND(U773*V773*W773,2)</f>
        <v>0</v>
      </c>
      <c r="Y773" s="819"/>
      <c r="Z773" s="810"/>
      <c r="AA773" s="813"/>
    </row>
    <row r="774" spans="1:29">
      <c r="A774" s="756"/>
      <c r="B774" s="215"/>
      <c r="C774" s="815"/>
      <c r="D774" s="817"/>
      <c r="E774" s="78"/>
      <c r="F774" s="271"/>
      <c r="G774" s="98"/>
      <c r="H774" s="94"/>
      <c r="I774" s="334"/>
      <c r="J774" s="278"/>
      <c r="K774" s="216"/>
      <c r="L774" s="216"/>
      <c r="M774" s="216"/>
      <c r="N774" s="216"/>
      <c r="O774" s="216"/>
      <c r="P774" s="30"/>
      <c r="Q774" s="78">
        <f>база!$L$5</f>
        <v>231.45480000000001</v>
      </c>
      <c r="R774" s="271">
        <v>1.4</v>
      </c>
      <c r="S774" s="98">
        <f>SUMIFS(Таблица1[сумма],Таблица1[коэф],"1,4",Таблица1[р/р],"4/16",Таблица1[Ф. И. О.],B770)</f>
        <v>0</v>
      </c>
      <c r="T774" s="94">
        <f>ROUND(Q774*R774*S774,2)</f>
        <v>0</v>
      </c>
      <c r="U774" s="314">
        <f>база!$M$5</f>
        <v>247.41720000000001</v>
      </c>
      <c r="V774" s="271">
        <v>1.4</v>
      </c>
      <c r="W774" s="307">
        <f>SUMIFS(Таблица1[сумма],Таблица1[коэф],"1,4",Таблица1[р/р],"4/24",Таблица1[Ф. И. О.],B770)</f>
        <v>0</v>
      </c>
      <c r="X774" s="313">
        <f>ROUND(U774*V774*W774,2)</f>
        <v>0</v>
      </c>
      <c r="Y774" s="819"/>
      <c r="Z774" s="810"/>
      <c r="AA774" s="813"/>
    </row>
    <row r="775" spans="1:29" ht="24" thickBot="1">
      <c r="A775" s="757"/>
      <c r="B775" s="352"/>
      <c r="C775" s="816"/>
      <c r="D775" s="818"/>
      <c r="E775" s="101"/>
      <c r="F775" s="273"/>
      <c r="G775" s="624"/>
      <c r="H775" s="90"/>
      <c r="I775" s="625"/>
      <c r="J775" s="279"/>
      <c r="K775" s="626"/>
      <c r="L775" s="288"/>
      <c r="M775" s="625"/>
      <c r="N775" s="626"/>
      <c r="O775" s="626"/>
      <c r="P775" s="315"/>
      <c r="Q775" s="627">
        <f>база!$L$6</f>
        <v>261.04640000000001</v>
      </c>
      <c r="R775" s="273">
        <v>1.4</v>
      </c>
      <c r="S775" s="97">
        <f>SUMIFS(Таблица1[сумма],Таблица1[коэф],"1,4",Таблица1[р/р],"5/16",Таблица1[Ф. И. О.],B770)</f>
        <v>0</v>
      </c>
      <c r="T775" s="90">
        <f>ROUND(Q775*R775*S775,2)</f>
        <v>0</v>
      </c>
      <c r="U775" s="220">
        <f>база!$M$6</f>
        <v>279.0496</v>
      </c>
      <c r="V775" s="273">
        <v>1.4</v>
      </c>
      <c r="W775" s="97">
        <f>SUMIFS(Таблица1[сумма],Таблица1[коэф],"1,4",Таблица1[р/р],"5/24",Таблица1[Ф. И. О.],B770)</f>
        <v>0</v>
      </c>
      <c r="X775" s="90">
        <f>ROUND(U775*V775*W775,2)</f>
        <v>0</v>
      </c>
      <c r="Y775" s="820"/>
      <c r="Z775" s="811"/>
      <c r="AA775" s="814"/>
    </row>
    <row r="776" spans="1:29">
      <c r="A776" s="756">
        <v>71</v>
      </c>
      <c r="B776" s="215"/>
      <c r="C776" s="815">
        <f>INDEX(база!$E$2:$E$181, MATCH(B781,база!$B$2:$B$160,0))</f>
        <v>17196</v>
      </c>
      <c r="D776" s="817">
        <f>INDEX(база!$D$2:$D$189, MATCH(B781,база!$B$2:$B$160,0))</f>
        <v>3</v>
      </c>
      <c r="E776" s="74">
        <f>IF(D776&lt;=3,база!$I$4,
IF(D776=4,база!$I$5,
IF(D776=5,база!$I$6)))</f>
        <v>188.7912</v>
      </c>
      <c r="F776" s="270">
        <v>1</v>
      </c>
      <c r="G776" s="96">
        <f>SUMIFS(Таблица1[сумма],Таблица1[коэф],"1",Таблица1[р/р],"2/4",Таблица1[Ф. И. О.],B781)</f>
        <v>0</v>
      </c>
      <c r="H776" s="102">
        <f>ROUND(E776*F776*G776,2)</f>
        <v>0</v>
      </c>
      <c r="I776" s="344">
        <f>IF(D776&lt;=3,база!$J$4,
IF(D776=4,база!$J$5,
IF(D776=5,база!$J$6)))</f>
        <v>196.05240000000001</v>
      </c>
      <c r="J776" s="277">
        <v>1</v>
      </c>
      <c r="K776" s="309">
        <f>SUMIFS(Таблица1[сумма],Таблица1[коэф],"1",Таблица1[р/р],"2/8",Таблица1[Ф. И. О.],B781)</f>
        <v>0</v>
      </c>
      <c r="L776" s="309">
        <f>ROUND(I776*J776*K776,2)</f>
        <v>0</v>
      </c>
      <c r="M776" s="309"/>
      <c r="N776" s="309">
        <v>1</v>
      </c>
      <c r="O776" s="309">
        <f>SUMIFS(Data_Tech!$AM$3:$AM$67,Data_Tech!$E$3:$E$67,"1",Data_Tech!$G$3:$G$67,"3/12",Data_Tech!$F$3:$F$67,B781)</f>
        <v>0</v>
      </c>
      <c r="P776" s="281">
        <f>ROUND(M776*N776*O776,2)</f>
        <v>0</v>
      </c>
      <c r="Q776" s="74">
        <f>IF(D776&lt;=3,база!$L$4,
IF(D776=4,база!$L$5,
IF(D776=5,база!$L$6)))</f>
        <v>210.57480000000001</v>
      </c>
      <c r="R776" s="270">
        <v>1</v>
      </c>
      <c r="S776" s="96">
        <f>SUMIFS(Таблица1[сумма],Таблица1[коэф],"1",Таблица1[р/р],"3/16",Таблица1[Ф. И. О.],B781)</f>
        <v>0</v>
      </c>
      <c r="T776" s="102">
        <f t="shared" ref="T776:T780" si="482">ROUND(Q776*R776*S776,2)</f>
        <v>0</v>
      </c>
      <c r="U776" s="349">
        <f>IF(D776&lt;=3,база!$M$4,
IF(D776=4,база!$M$5,
IF(D776=5,база!$M$6)))</f>
        <v>225.09719999999999</v>
      </c>
      <c r="V776" s="270">
        <v>1</v>
      </c>
      <c r="W776" s="337">
        <f>SUMIFS(Таблица1[сумма],Таблица1[коэф],"1",Таблица1[р/р],"3/24",Таблица1[Ф. И. О.],B781)</f>
        <v>0</v>
      </c>
      <c r="X776" s="351">
        <f>ROUND(U776*V776*W776,2)</f>
        <v>0</v>
      </c>
      <c r="Y776" s="819">
        <f>SUM(G776:G786,K776:K786,O776:O786,S776:S786,W776:W786)</f>
        <v>0</v>
      </c>
      <c r="Z776" s="810">
        <f t="shared" ref="Z776" si="483">IFERROR(SUM(H776:H786,L776:L786,T776:T786,X776:X786),"")</f>
        <v>0</v>
      </c>
      <c r="AA776" s="813"/>
    </row>
    <row r="777" spans="1:29">
      <c r="A777" s="756"/>
      <c r="B777" s="215"/>
      <c r="C777" s="815"/>
      <c r="D777" s="817"/>
      <c r="E777" s="78">
        <f>IF(D776&lt;=3,база!$I$4,
IF(D776=4,база!$I$5,
IF(D776=5,база!$I$6)))</f>
        <v>188.7912</v>
      </c>
      <c r="F777" s="271">
        <v>1</v>
      </c>
      <c r="G777" s="98">
        <f>SUMIFS(Таблица1[сумма],Таблица1[коэф],"1",Таблица1[р/р],"3/4",Таблица1[Ф. И. О.],B781)</f>
        <v>0</v>
      </c>
      <c r="H777" s="94">
        <f>ROUND(E777*F777*G777,2)</f>
        <v>0</v>
      </c>
      <c r="I777" s="334">
        <f>IF(D776&lt;=3,база!$J$4,
IF(D776=4,база!$J$5,
IF(D776=5,база!$J$6)))</f>
        <v>196.05240000000001</v>
      </c>
      <c r="J777" s="278">
        <v>1</v>
      </c>
      <c r="K777" s="216"/>
      <c r="L777" s="216">
        <f>ROUND(I777*J777*K777,2)</f>
        <v>0</v>
      </c>
      <c r="M777" s="216"/>
      <c r="N777" s="216">
        <v>1</v>
      </c>
      <c r="O777" s="216">
        <f>SUMIFS(Data_Tech!$AM$3:$AM$67,Data_Tech!$E$3:$E$67,"1",Data_Tech!$G$3:$G$67,"4/12",Data_Tech!$F$3:$F$67,B781)</f>
        <v>0</v>
      </c>
      <c r="P777" s="30">
        <f>ROUND(M777*O777,2)</f>
        <v>0</v>
      </c>
      <c r="Q777" s="78">
        <f>база!$L$5</f>
        <v>231.45480000000001</v>
      </c>
      <c r="R777" s="271">
        <v>1</v>
      </c>
      <c r="S777" s="98">
        <f>SUMIFS(Таблица1[сумма],Таблица1[коэф],"1",Таблица1[р/р],"4/16",Таблица1[Ф. И. О.],B781)</f>
        <v>0</v>
      </c>
      <c r="T777" s="94">
        <f t="shared" si="482"/>
        <v>0</v>
      </c>
      <c r="U777" s="314">
        <f>база!$M$5</f>
        <v>247.41720000000001</v>
      </c>
      <c r="V777" s="271">
        <v>1</v>
      </c>
      <c r="W777" s="307">
        <f>SUMIFS(Таблица1[сумма],Таблица1[коэф],"1",Таблица1[р/р],"4/24",Таблица1[Ф. И. О.],B781)</f>
        <v>0</v>
      </c>
      <c r="X777" s="313">
        <f t="shared" ref="X777" si="484">ROUND(U777*V777*W777,2)</f>
        <v>0</v>
      </c>
      <c r="Y777" s="819"/>
      <c r="Z777" s="810"/>
      <c r="AA777" s="813"/>
    </row>
    <row r="778" spans="1:29">
      <c r="A778" s="756"/>
      <c r="B778" s="215"/>
      <c r="C778" s="815"/>
      <c r="D778" s="817"/>
      <c r="E778" s="78"/>
      <c r="F778" s="271"/>
      <c r="G778" s="98"/>
      <c r="H778" s="94"/>
      <c r="I778" s="334"/>
      <c r="J778" s="278"/>
      <c r="K778" s="216"/>
      <c r="L778" s="216"/>
      <c r="M778" s="216"/>
      <c r="N778" s="216"/>
      <c r="O778" s="216"/>
      <c r="P778" s="30"/>
      <c r="Q778" s="78">
        <f>база!$L$6</f>
        <v>261.04640000000001</v>
      </c>
      <c r="R778" s="271">
        <v>1</v>
      </c>
      <c r="S778" s="98">
        <f>SUMIFS(Таблица1[сумма],Таблица1[коэф],"1",Таблица1[р/р],"5/16",Таблица1[Ф. И. О.],B781)</f>
        <v>0</v>
      </c>
      <c r="T778" s="94">
        <f t="shared" si="482"/>
        <v>0</v>
      </c>
      <c r="U778" s="314">
        <f>база!$M$6</f>
        <v>279.0496</v>
      </c>
      <c r="V778" s="271">
        <v>1</v>
      </c>
      <c r="W778" s="307">
        <f>SUMIFS(Таблица1[сумма],Таблица1[коэф],"1",Таблица1[р/р],"5/24",Таблица1[Ф. И. О.],B781)</f>
        <v>0</v>
      </c>
      <c r="X778" s="313">
        <f>ROUND(U778*V778*W778,2)</f>
        <v>0</v>
      </c>
      <c r="Y778" s="819"/>
      <c r="Z778" s="810"/>
      <c r="AA778" s="813"/>
    </row>
    <row r="779" spans="1:29">
      <c r="A779" s="756"/>
      <c r="B779" s="215"/>
      <c r="C779" s="815"/>
      <c r="D779" s="817"/>
      <c r="E779" s="78"/>
      <c r="F779" s="271"/>
      <c r="G779" s="98"/>
      <c r="H779" s="94"/>
      <c r="I779" s="334">
        <f>база!$J$5</f>
        <v>215.4924</v>
      </c>
      <c r="J779" s="278">
        <v>1.5</v>
      </c>
      <c r="K779" s="216">
        <f>SUMIFS(Таблица1[сумма],Таблица1[коэф],"1,5",Таблица1[р/р],"4/8",Таблица1[Ф. И. О.],B781)</f>
        <v>0</v>
      </c>
      <c r="L779" s="216">
        <f>ROUND(I779*J779*K779,2)</f>
        <v>0</v>
      </c>
      <c r="M779" s="216"/>
      <c r="N779" s="216"/>
      <c r="O779" s="216"/>
      <c r="P779" s="30"/>
      <c r="Q779" s="78">
        <f>IF(D776&lt;=3,база!$L$4,
IF(D776=4,база!$L$5,
IF(D776=5,база!$L$6)))</f>
        <v>210.57480000000001</v>
      </c>
      <c r="R779" s="271">
        <v>1.2</v>
      </c>
      <c r="S779" s="98">
        <f>SUMIFS(Таблица1[сумма],Таблица1[коэф],"1,2",Таблица1[р/р],"3/16",Таблица1[Ф. И. О.],B781)</f>
        <v>0</v>
      </c>
      <c r="T779" s="94">
        <f t="shared" si="482"/>
        <v>0</v>
      </c>
      <c r="U779" s="314">
        <f>IF(D776&lt;=3,база!$M$4,
IF(D776=4,база!$M$5,
IF(D776=5,база!$M$6)))</f>
        <v>225.09719999999999</v>
      </c>
      <c r="V779" s="271">
        <v>1.2</v>
      </c>
      <c r="W779" s="307">
        <f>SUMIFS(Таблица1[сумма],Таблица1[коэф],"1,2",Таблица1[р/р],"3/24",Таблица1[Ф. И. О.],B781)</f>
        <v>0</v>
      </c>
      <c r="X779" s="313">
        <f t="shared" ref="X779:X780" si="485">ROUND(U779*V779*W779,2)</f>
        <v>0</v>
      </c>
      <c r="Y779" s="819"/>
      <c r="Z779" s="810"/>
      <c r="AA779" s="813"/>
    </row>
    <row r="780" spans="1:29">
      <c r="A780" s="756"/>
      <c r="B780" s="215"/>
      <c r="C780" s="815"/>
      <c r="D780" s="817"/>
      <c r="E780" s="78"/>
      <c r="F780" s="271"/>
      <c r="G780" s="98"/>
      <c r="H780" s="94"/>
      <c r="I780" s="334">
        <f>база!$J$6</f>
        <v>243.04319999999998</v>
      </c>
      <c r="J780" s="278">
        <v>1.5</v>
      </c>
      <c r="K780" s="216">
        <f>SUMIFS(Таблица1[сумма],Таблица1[коэф],"1,5",Таблица1[р/р],"5/8",Таблица1[Ф. И. О.],B781)</f>
        <v>0</v>
      </c>
      <c r="L780" s="216">
        <f>ROUND(I780*J780*K780,2)</f>
        <v>0</v>
      </c>
      <c r="M780" s="216"/>
      <c r="N780" s="216"/>
      <c r="O780" s="216"/>
      <c r="P780" s="30"/>
      <c r="Q780" s="78">
        <f>база!$L$5</f>
        <v>231.45480000000001</v>
      </c>
      <c r="R780" s="271">
        <v>1.2</v>
      </c>
      <c r="S780" s="98">
        <f>SUMIFS(Таблица1[сумма],Таблица1[коэф],"1,2",Таблица1[р/р],"4/16",Таблица1[Ф. И. О.],B781)</f>
        <v>0</v>
      </c>
      <c r="T780" s="94">
        <f t="shared" si="482"/>
        <v>0</v>
      </c>
      <c r="U780" s="314">
        <f>база!$M$5</f>
        <v>247.41720000000001</v>
      </c>
      <c r="V780" s="271">
        <v>1.2</v>
      </c>
      <c r="W780" s="307">
        <f>SUMIFS(Таблица1[сумма],Таблица1[коэф],"1,2",Таблица1[р/р],"4/24",Таблица1[Ф. И. О.],B781)</f>
        <v>0</v>
      </c>
      <c r="X780" s="313">
        <f t="shared" si="485"/>
        <v>0</v>
      </c>
      <c r="Y780" s="819"/>
      <c r="Z780" s="810"/>
      <c r="AA780" s="813"/>
      <c r="AC780" s="707" t="str">
        <f>IF(SUMIFS(Таблица1[Столбец2],Таблица1[Ф. И. О.],B781)-Z776=0,"",SUMIFS(Таблица1[Столбец2],Таблица1[Ф. И. О.],B781)-Z776)</f>
        <v/>
      </c>
    </row>
    <row r="781" spans="1:29">
      <c r="A781" s="756"/>
      <c r="B781" s="215" t="str">
        <f>база!B72</f>
        <v>Старичкова Полина Анатольевна</v>
      </c>
      <c r="C781" s="815"/>
      <c r="D781" s="817"/>
      <c r="E781" s="78"/>
      <c r="F781" s="271"/>
      <c r="G781" s="98"/>
      <c r="H781" s="94"/>
      <c r="I781" s="334"/>
      <c r="J781" s="278"/>
      <c r="K781" s="216"/>
      <c r="L781" s="216"/>
      <c r="M781" s="216"/>
      <c r="N781" s="216"/>
      <c r="O781" s="216"/>
      <c r="P781" s="30"/>
      <c r="Q781" s="78">
        <f>база!$L$6</f>
        <v>261.04640000000001</v>
      </c>
      <c r="R781" s="271">
        <v>1.2</v>
      </c>
      <c r="S781" s="98">
        <f>SUMIFS(Таблица1[сумма],Таблица1[коэф],"1,2",Таблица1[р/р],"5/16",Таблица1[Ф. И. О.],B781)</f>
        <v>0</v>
      </c>
      <c r="T781" s="94">
        <f>ROUND(Q781*R781*S781,2)</f>
        <v>0</v>
      </c>
      <c r="U781" s="314">
        <f>база!$M$6</f>
        <v>279.0496</v>
      </c>
      <c r="V781" s="271">
        <v>1.2</v>
      </c>
      <c r="W781" s="307">
        <f>SUMIFS(Таблица1[сумма],Таблица1[коэф],"1,2",Таблица1[р/р],"5/24",Таблица1[Ф. И. О.],B781)</f>
        <v>0</v>
      </c>
      <c r="X781" s="313">
        <f>ROUND(U781*V781*W781,2)</f>
        <v>0</v>
      </c>
      <c r="Y781" s="819"/>
      <c r="Z781" s="810"/>
      <c r="AA781" s="813"/>
      <c r="AC781" s="707" t="str">
        <f>IF(SUMIFS(Таблица1[сумма],Таблица1[Ф. И. О.],B781)=Y776,"",B776&amp;"  часы не верны")</f>
        <v/>
      </c>
    </row>
    <row r="782" spans="1:29">
      <c r="A782" s="756"/>
      <c r="B782" s="215"/>
      <c r="C782" s="815"/>
      <c r="D782" s="817"/>
      <c r="E782" s="78"/>
      <c r="F782" s="271"/>
      <c r="G782" s="98"/>
      <c r="H782" s="94"/>
      <c r="I782" s="334"/>
      <c r="J782" s="278"/>
      <c r="K782" s="216"/>
      <c r="L782" s="216"/>
      <c r="M782" s="216"/>
      <c r="N782" s="216"/>
      <c r="O782" s="216"/>
      <c r="P782" s="30"/>
      <c r="Q782" s="78">
        <f>IF($D$6&lt;=3,база!$L$4,
IF($D$6=4,база!$L$5,
IF($D$6=5,база!$L$6)))</f>
        <v>231.45480000000001</v>
      </c>
      <c r="R782" s="271">
        <v>1.3</v>
      </c>
      <c r="S782" s="98">
        <f>SUMIFS(Таблица1[сумма],Таблица1[коэф],"1,3",Таблица1[р/р],"3/16",Таблица1[Ф. И. О.],B781)</f>
        <v>0</v>
      </c>
      <c r="T782" s="94">
        <f t="shared" ref="T782:T783" si="486">ROUND(Q782*R782*S782,2)</f>
        <v>0</v>
      </c>
      <c r="U782" s="314">
        <f>IF(D776&lt;=3,база!$M$4,
IF(D776=4,база!$M$5,
IF(D776=5,база!$M$6)))</f>
        <v>225.09719999999999</v>
      </c>
      <c r="V782" s="271">
        <v>1.3</v>
      </c>
      <c r="W782" s="307">
        <f>SUMIFS(Таблица1[сумма],Таблица1[коэф],"1,3",Таблица1[р/р],"3/24",Таблица1[Ф. И. О.],B781)</f>
        <v>0</v>
      </c>
      <c r="X782" s="313">
        <f t="shared" ref="X782:X783" si="487">ROUND(U782*V782*W782,2)</f>
        <v>0</v>
      </c>
      <c r="Y782" s="819"/>
      <c r="Z782" s="810"/>
      <c r="AA782" s="813"/>
    </row>
    <row r="783" spans="1:29">
      <c r="A783" s="756"/>
      <c r="B783" s="215"/>
      <c r="C783" s="815"/>
      <c r="D783" s="817"/>
      <c r="E783" s="78"/>
      <c r="F783" s="271"/>
      <c r="G783" s="98"/>
      <c r="H783" s="94"/>
      <c r="I783" s="334"/>
      <c r="J783" s="278"/>
      <c r="K783" s="216"/>
      <c r="L783" s="216"/>
      <c r="M783" s="216"/>
      <c r="N783" s="216"/>
      <c r="O783" s="216"/>
      <c r="P783" s="30"/>
      <c r="Q783" s="78">
        <f>база!$L$5</f>
        <v>231.45480000000001</v>
      </c>
      <c r="R783" s="271">
        <v>1.3</v>
      </c>
      <c r="S783" s="98">
        <f>SUMIFS(Таблица1[сумма],Таблица1[коэф],"1,3",Таблица1[р/р],"4/16",Таблица1[Ф. И. О.],B781)</f>
        <v>0</v>
      </c>
      <c r="T783" s="94">
        <f t="shared" si="486"/>
        <v>0</v>
      </c>
      <c r="U783" s="314">
        <f>база!$M$5</f>
        <v>247.41720000000001</v>
      </c>
      <c r="V783" s="271">
        <v>1.3</v>
      </c>
      <c r="W783" s="307">
        <f>SUMIFS(Таблица1[сумма],Таблица1[коэф],"1,3",Таблица1[р/р],"4/24",Таблица1[Ф. И. О.],B781)</f>
        <v>0</v>
      </c>
      <c r="X783" s="313">
        <f t="shared" si="487"/>
        <v>0</v>
      </c>
      <c r="Y783" s="819"/>
      <c r="Z783" s="810"/>
      <c r="AA783" s="813"/>
    </row>
    <row r="784" spans="1:29">
      <c r="A784" s="756"/>
      <c r="B784" s="215"/>
      <c r="C784" s="815"/>
      <c r="D784" s="817"/>
      <c r="E784" s="78"/>
      <c r="F784" s="271"/>
      <c r="G784" s="98"/>
      <c r="H784" s="94"/>
      <c r="I784" s="334"/>
      <c r="J784" s="278"/>
      <c r="K784" s="216"/>
      <c r="L784" s="216"/>
      <c r="M784" s="216"/>
      <c r="N784" s="216"/>
      <c r="O784" s="216"/>
      <c r="P784" s="30"/>
      <c r="Q784" s="78">
        <f>IF(D776&lt;=3,база!$L$4,
IF(D776=4,база!$L$5,
IF(D776=5,база!$L$6)))</f>
        <v>210.57480000000001</v>
      </c>
      <c r="R784" s="271">
        <v>1.4</v>
      </c>
      <c r="S784" s="98">
        <f>SUMIFS(Таблица1[сумма],Таблица1[коэф],"1,4",Таблица1[р/р],"3/16",Таблица1[Ф. И. О.],B781)</f>
        <v>0</v>
      </c>
      <c r="T784" s="94">
        <f>ROUND(Q784*R784*S784,2)</f>
        <v>0</v>
      </c>
      <c r="U784" s="314">
        <f>IF(D776&lt;=3,база!$M$4,
IF(D776=4,база!$M$5,
IF(D776=5,база!$M$6)))</f>
        <v>225.09719999999999</v>
      </c>
      <c r="V784" s="271">
        <v>1.4</v>
      </c>
      <c r="W784" s="307">
        <f>SUMIFS(Таблица1[сумма],Таблица1[коэф],"1,4",Таблица1[р/р],"3/24",Таблица1[Ф. И. О.],B781)</f>
        <v>0</v>
      </c>
      <c r="X784" s="313">
        <f>ROUND(U784*V784*W784,2)</f>
        <v>0</v>
      </c>
      <c r="Y784" s="819"/>
      <c r="Z784" s="810"/>
      <c r="AA784" s="813"/>
    </row>
    <row r="785" spans="1:29">
      <c r="A785" s="756"/>
      <c r="B785" s="215"/>
      <c r="C785" s="815"/>
      <c r="D785" s="817"/>
      <c r="E785" s="78"/>
      <c r="F785" s="271"/>
      <c r="G785" s="98"/>
      <c r="H785" s="94"/>
      <c r="I785" s="334"/>
      <c r="J785" s="278"/>
      <c r="K785" s="216"/>
      <c r="L785" s="216"/>
      <c r="M785" s="216"/>
      <c r="N785" s="216"/>
      <c r="O785" s="216"/>
      <c r="P785" s="30"/>
      <c r="Q785" s="78">
        <f>база!$L$5</f>
        <v>231.45480000000001</v>
      </c>
      <c r="R785" s="271">
        <v>1.4</v>
      </c>
      <c r="S785" s="98">
        <f>SUMIFS(Таблица1[сумма],Таблица1[коэф],"1,4",Таблица1[р/р],"4/16",Таблица1[Ф. И. О.],B781)</f>
        <v>0</v>
      </c>
      <c r="T785" s="94">
        <f>ROUND(Q785*R785*S785,2)</f>
        <v>0</v>
      </c>
      <c r="U785" s="314">
        <f>база!$M$5</f>
        <v>247.41720000000001</v>
      </c>
      <c r="V785" s="271">
        <v>1.4</v>
      </c>
      <c r="W785" s="307">
        <f>SUMIFS(Таблица1[сумма],Таблица1[коэф],"1,4",Таблица1[р/р],"4/24",Таблица1[Ф. И. О.],B781)</f>
        <v>0</v>
      </c>
      <c r="X785" s="313">
        <f>ROUND(U785*V785*W785,2)</f>
        <v>0</v>
      </c>
      <c r="Y785" s="819"/>
      <c r="Z785" s="810"/>
      <c r="AA785" s="813"/>
    </row>
    <row r="786" spans="1:29" ht="24" thickBot="1">
      <c r="A786" s="757"/>
      <c r="B786" s="352"/>
      <c r="C786" s="816"/>
      <c r="D786" s="818"/>
      <c r="E786" s="101"/>
      <c r="F786" s="273"/>
      <c r="G786" s="624"/>
      <c r="H786" s="90"/>
      <c r="I786" s="625"/>
      <c r="J786" s="279"/>
      <c r="K786" s="626"/>
      <c r="L786" s="288"/>
      <c r="M786" s="625"/>
      <c r="N786" s="626"/>
      <c r="O786" s="626"/>
      <c r="P786" s="315"/>
      <c r="Q786" s="627">
        <f>база!$L$6</f>
        <v>261.04640000000001</v>
      </c>
      <c r="R786" s="273">
        <v>1.4</v>
      </c>
      <c r="S786" s="97">
        <f>SUMIFS(Таблица1[сумма],Таблица1[коэф],"1,4",Таблица1[р/р],"5/16",Таблица1[Ф. И. О.],B781)</f>
        <v>0</v>
      </c>
      <c r="T786" s="90">
        <f>ROUND(Q786*R786*S786,2)</f>
        <v>0</v>
      </c>
      <c r="U786" s="220">
        <f>база!$M$6</f>
        <v>279.0496</v>
      </c>
      <c r="V786" s="273">
        <v>1.4</v>
      </c>
      <c r="W786" s="97">
        <f>SUMIFS(Таблица1[сумма],Таблица1[коэф],"1,4",Таблица1[р/р],"5/24",Таблица1[Ф. И. О.],B781)</f>
        <v>0</v>
      </c>
      <c r="X786" s="90">
        <f>ROUND(U786*V786*W786,2)</f>
        <v>0</v>
      </c>
      <c r="Y786" s="820"/>
      <c r="Z786" s="811"/>
      <c r="AA786" s="814"/>
    </row>
    <row r="787" spans="1:29">
      <c r="A787" s="756">
        <v>72</v>
      </c>
      <c r="B787" s="215"/>
      <c r="C787" s="815">
        <f>INDEX(база!$E$2:$E$181, MATCH(B792,база!$B$2:$B$160,0))</f>
        <v>17266</v>
      </c>
      <c r="D787" s="817">
        <f>INDEX(база!$D$2:$D$189, MATCH(B792,база!$B$2:$B$160,0))</f>
        <v>3</v>
      </c>
      <c r="E787" s="74">
        <f>IF(D787&lt;=3,база!$I$4,
IF(D787=4,база!$I$5,
IF(D787=5,база!$I$6)))</f>
        <v>188.7912</v>
      </c>
      <c r="F787" s="270">
        <v>1</v>
      </c>
      <c r="G787" s="96">
        <f>SUMIFS(Таблица1[сумма],Таблица1[коэф],"1",Таблица1[р/р],"2/4",Таблица1[Ф. И. О.],B792)</f>
        <v>0</v>
      </c>
      <c r="H787" s="102">
        <f>ROUND(E787*F787*G787,2)</f>
        <v>0</v>
      </c>
      <c r="I787" s="344">
        <f>IF(D787&lt;=3,база!$J$4,
IF(D787=4,база!$J$5,
IF(D787=5,база!$J$6)))</f>
        <v>196.05240000000001</v>
      </c>
      <c r="J787" s="277">
        <v>1</v>
      </c>
      <c r="K787" s="309">
        <f>SUMIFS(Таблица1[сумма],Таблица1[коэф],"1",Таблица1[р/р],"2/8",Таблица1[Ф. И. О.],B792)</f>
        <v>0</v>
      </c>
      <c r="L787" s="309">
        <f>ROUND(I787*J787*K787,2)</f>
        <v>0</v>
      </c>
      <c r="M787" s="309"/>
      <c r="N787" s="309">
        <v>1</v>
      </c>
      <c r="O787" s="309">
        <f>SUMIFS(Data_Tech!$AM$3:$AM$67,Data_Tech!$E$3:$E$67,"1",Data_Tech!$G$3:$G$67,"3/12",Data_Tech!$F$3:$F$67,B792)</f>
        <v>0</v>
      </c>
      <c r="P787" s="281">
        <f>ROUND(M787*N787*O787,2)</f>
        <v>0</v>
      </c>
      <c r="Q787" s="74">
        <f>IF(D787&lt;=3,база!$L$4,
IF(D787=4,база!$L$5,
IF(D787=5,база!$L$6)))</f>
        <v>210.57480000000001</v>
      </c>
      <c r="R787" s="270">
        <v>1</v>
      </c>
      <c r="S787" s="96">
        <f>SUMIFS(Таблица1[сумма],Таблица1[коэф],"1",Таблица1[р/р],"3/16",Таблица1[Ф. И. О.],B792)</f>
        <v>0</v>
      </c>
      <c r="T787" s="102">
        <f t="shared" ref="T787:T791" si="488">ROUND(Q787*R787*S787,2)</f>
        <v>0</v>
      </c>
      <c r="U787" s="349">
        <f>IF(D787&lt;=3,база!$M$4,
IF(D787=4,база!$M$5,
IF(D787=5,база!$M$6)))</f>
        <v>225.09719999999999</v>
      </c>
      <c r="V787" s="270">
        <v>1</v>
      </c>
      <c r="W787" s="337">
        <f>SUMIFS(Таблица1[сумма],Таблица1[коэф],"1",Таблица1[р/р],"3/24",Таблица1[Ф. И. О.],B792)</f>
        <v>0</v>
      </c>
      <c r="X787" s="351">
        <f>ROUND(U787*V787*W787,2)</f>
        <v>0</v>
      </c>
      <c r="Y787" s="808">
        <f t="shared" ref="Y787" si="489">SUM(G787:G797,K787:K797,O787:O797,S787:S797,W787:W797)</f>
        <v>0</v>
      </c>
      <c r="Z787" s="810">
        <f t="shared" ref="Z787" si="490">IFERROR(SUM(H787:H797,L787:L797,T787:T797,X787:X797),"")</f>
        <v>0</v>
      </c>
      <c r="AA787" s="813"/>
    </row>
    <row r="788" spans="1:29">
      <c r="A788" s="756"/>
      <c r="B788" s="215"/>
      <c r="C788" s="815"/>
      <c r="D788" s="817"/>
      <c r="E788" s="78">
        <f>IF(D787&lt;=3,база!$I$4,
IF(D787=4,база!$I$5,
IF(D787=5,база!$I$6)))</f>
        <v>188.7912</v>
      </c>
      <c r="F788" s="271">
        <v>1</v>
      </c>
      <c r="G788" s="98">
        <f>SUMIFS(Таблица1[сумма],Таблица1[коэф],"1",Таблица1[р/р],"3/4",Таблица1[Ф. И. О.],B792)</f>
        <v>0</v>
      </c>
      <c r="H788" s="94">
        <f>ROUND(E788*F788*G788,2)</f>
        <v>0</v>
      </c>
      <c r="I788" s="334">
        <f>IF(D787&lt;=3,база!$J$4,
IF(D787=4,база!$J$5,
IF(D787=5,база!$J$6)))</f>
        <v>196.05240000000001</v>
      </c>
      <c r="J788" s="278">
        <v>1</v>
      </c>
      <c r="K788" s="216"/>
      <c r="L788" s="216">
        <f>ROUND(I788*J788*K788,2)</f>
        <v>0</v>
      </c>
      <c r="M788" s="216"/>
      <c r="N788" s="216">
        <v>1</v>
      </c>
      <c r="O788" s="216">
        <f>SUMIFS(Data_Tech!$AM$3:$AM$67,Data_Tech!$E$3:$E$67,"1",Data_Tech!$G$3:$G$67,"4/12",Data_Tech!$F$3:$F$67,B792)</f>
        <v>0</v>
      </c>
      <c r="P788" s="30">
        <f>ROUND(M788*O788,2)</f>
        <v>0</v>
      </c>
      <c r="Q788" s="78">
        <f>база!$L$5</f>
        <v>231.45480000000001</v>
      </c>
      <c r="R788" s="271">
        <v>1</v>
      </c>
      <c r="S788" s="98">
        <f>SUMIFS(Таблица1[сумма],Таблица1[коэф],"1",Таблица1[р/р],"4/16",Таблица1[Ф. И. О.],B792)</f>
        <v>0</v>
      </c>
      <c r="T788" s="94">
        <f t="shared" si="488"/>
        <v>0</v>
      </c>
      <c r="U788" s="314">
        <f>база!$M$5</f>
        <v>247.41720000000001</v>
      </c>
      <c r="V788" s="271">
        <v>1</v>
      </c>
      <c r="W788" s="307">
        <f>SUMIFS(Таблица1[сумма],Таблица1[коэф],"1",Таблица1[р/р],"4/24",Таблица1[Ф. И. О.],B792)</f>
        <v>0</v>
      </c>
      <c r="X788" s="313">
        <f t="shared" ref="X788" si="491">ROUND(U788*V788*W788,2)</f>
        <v>0</v>
      </c>
      <c r="Y788" s="808"/>
      <c r="Z788" s="810"/>
      <c r="AA788" s="813"/>
    </row>
    <row r="789" spans="1:29">
      <c r="A789" s="756"/>
      <c r="B789" s="215"/>
      <c r="C789" s="815"/>
      <c r="D789" s="817"/>
      <c r="E789" s="78"/>
      <c r="F789" s="271"/>
      <c r="G789" s="98"/>
      <c r="H789" s="94"/>
      <c r="I789" s="334"/>
      <c r="J789" s="278"/>
      <c r="K789" s="216"/>
      <c r="L789" s="216"/>
      <c r="M789" s="216"/>
      <c r="N789" s="216"/>
      <c r="O789" s="216"/>
      <c r="P789" s="30"/>
      <c r="Q789" s="78">
        <f>база!$L$6</f>
        <v>261.04640000000001</v>
      </c>
      <c r="R789" s="271">
        <v>1</v>
      </c>
      <c r="S789" s="98">
        <f>SUMIFS(Таблица1[сумма],Таблица1[коэф],"1",Таблица1[р/р],"5/16",Таблица1[Ф. И. О.],B792)</f>
        <v>0</v>
      </c>
      <c r="T789" s="94">
        <f t="shared" si="488"/>
        <v>0</v>
      </c>
      <c r="U789" s="314">
        <f>база!$M$6</f>
        <v>279.0496</v>
      </c>
      <c r="V789" s="271">
        <v>1</v>
      </c>
      <c r="W789" s="307">
        <f>SUMIFS(Таблица1[сумма],Таблица1[коэф],"1",Таблица1[р/р],"5/24",Таблица1[Ф. И. О.],B792)</f>
        <v>0</v>
      </c>
      <c r="X789" s="313">
        <f>ROUND(U789*V789*W789,2)</f>
        <v>0</v>
      </c>
      <c r="Y789" s="808"/>
      <c r="Z789" s="810"/>
      <c r="AA789" s="813"/>
    </row>
    <row r="790" spans="1:29">
      <c r="A790" s="756"/>
      <c r="B790" s="215"/>
      <c r="C790" s="815"/>
      <c r="D790" s="817"/>
      <c r="E790" s="78"/>
      <c r="F790" s="271"/>
      <c r="G790" s="98"/>
      <c r="H790" s="94"/>
      <c r="I790" s="334">
        <f>база!$J$5</f>
        <v>215.4924</v>
      </c>
      <c r="J790" s="278">
        <v>1.5</v>
      </c>
      <c r="K790" s="216">
        <f>SUMIFS(Таблица1[сумма],Таблица1[коэф],"1,5",Таблица1[р/р],"4/8",Таблица1[Ф. И. О.],B792)</f>
        <v>0</v>
      </c>
      <c r="L790" s="216">
        <f>ROUND(I790*J790*K790,2)</f>
        <v>0</v>
      </c>
      <c r="M790" s="216"/>
      <c r="N790" s="216"/>
      <c r="O790" s="216"/>
      <c r="P790" s="30"/>
      <c r="Q790" s="78">
        <f>IF(D787&lt;=3,база!$L$4,
IF(D787=4,база!$L$5,
IF(D787=5,база!$L$6)))</f>
        <v>210.57480000000001</v>
      </c>
      <c r="R790" s="271">
        <v>1.2</v>
      </c>
      <c r="S790" s="98">
        <f>SUMIFS(Таблица1[сумма],Таблица1[коэф],"1,2",Таблица1[р/р],"3/16",Таблица1[Ф. И. О.],B792)</f>
        <v>0</v>
      </c>
      <c r="T790" s="94">
        <f t="shared" si="488"/>
        <v>0</v>
      </c>
      <c r="U790" s="314">
        <f>IF(D787&lt;=3,база!$M$4,
IF(D787=4,база!$M$5,
IF(D787=5,база!$M$6)))</f>
        <v>225.09719999999999</v>
      </c>
      <c r="V790" s="271">
        <v>1.2</v>
      </c>
      <c r="W790" s="307">
        <f>SUMIFS(Таблица1[сумма],Таблица1[коэф],"1,2",Таблица1[р/р],"3/24",Таблица1[Ф. И. О.],B792)</f>
        <v>0</v>
      </c>
      <c r="X790" s="313">
        <f t="shared" ref="X790:X791" si="492">ROUND(U790*V790*W790,2)</f>
        <v>0</v>
      </c>
      <c r="Y790" s="808"/>
      <c r="Z790" s="810"/>
      <c r="AA790" s="813"/>
    </row>
    <row r="791" spans="1:29">
      <c r="A791" s="756"/>
      <c r="B791" s="215"/>
      <c r="C791" s="815"/>
      <c r="D791" s="817"/>
      <c r="E791" s="78"/>
      <c r="F791" s="271"/>
      <c r="G791" s="98"/>
      <c r="H791" s="94"/>
      <c r="I791" s="334">
        <f>база!$J$6</f>
        <v>243.04319999999998</v>
      </c>
      <c r="J791" s="278">
        <v>1.5</v>
      </c>
      <c r="K791" s="216">
        <f>SUMIFS(Таблица1[сумма],Таблица1[коэф],"1,5",Таблица1[р/р],"5/8",Таблица1[Ф. И. О.],B792)</f>
        <v>0</v>
      </c>
      <c r="L791" s="216">
        <f>ROUND(I791*J791*K791,2)</f>
        <v>0</v>
      </c>
      <c r="M791" s="216"/>
      <c r="N791" s="216"/>
      <c r="O791" s="216"/>
      <c r="P791" s="30"/>
      <c r="Q791" s="78">
        <f>база!$L$5</f>
        <v>231.45480000000001</v>
      </c>
      <c r="R791" s="271">
        <v>1.2</v>
      </c>
      <c r="S791" s="98">
        <f>SUMIFS(Таблица1[сумма],Таблица1[коэф],"1,2",Таблица1[р/р],"4/16",Таблица1[Ф. И. О.],B792)</f>
        <v>0</v>
      </c>
      <c r="T791" s="94">
        <f t="shared" si="488"/>
        <v>0</v>
      </c>
      <c r="U791" s="314">
        <f>база!$M$5</f>
        <v>247.41720000000001</v>
      </c>
      <c r="V791" s="271">
        <v>1.2</v>
      </c>
      <c r="W791" s="307">
        <f>SUMIFS(Таблица1[сумма],Таблица1[коэф],"1,2",Таблица1[р/р],"4/24",Таблица1[Ф. И. О.],B792)</f>
        <v>0</v>
      </c>
      <c r="X791" s="313">
        <f t="shared" si="492"/>
        <v>0</v>
      </c>
      <c r="Y791" s="808"/>
      <c r="Z791" s="810"/>
      <c r="AA791" s="813"/>
      <c r="AC791" s="707" t="str">
        <f>IF(SUMIFS(Таблица1[Столбец2],Таблица1[Ф. И. О.],B792)-Z787=0,"",SUMIFS(Таблица1[Столбец2],Таблица1[Ф. И. О.],B792)-Z787)</f>
        <v/>
      </c>
    </row>
    <row r="792" spans="1:29">
      <c r="A792" s="756"/>
      <c r="B792" s="215" t="str">
        <f>база!B73</f>
        <v>Степанова Ольга Юрьевна</v>
      </c>
      <c r="C792" s="815"/>
      <c r="D792" s="817"/>
      <c r="E792" s="78"/>
      <c r="F792" s="271"/>
      <c r="G792" s="98"/>
      <c r="H792" s="94"/>
      <c r="I792" s="334"/>
      <c r="J792" s="278"/>
      <c r="K792" s="216"/>
      <c r="L792" s="216"/>
      <c r="M792" s="216"/>
      <c r="N792" s="216"/>
      <c r="O792" s="216"/>
      <c r="P792" s="30"/>
      <c r="Q792" s="78">
        <f>база!$L$6</f>
        <v>261.04640000000001</v>
      </c>
      <c r="R792" s="271">
        <v>1.2</v>
      </c>
      <c r="S792" s="98">
        <f>SUMIFS(Таблица1[сумма],Таблица1[коэф],"1,2",Таблица1[р/р],"5/16",Таблица1[Ф. И. О.],B792)</f>
        <v>0</v>
      </c>
      <c r="T792" s="94">
        <f>ROUND(Q792*R792*S792,2)</f>
        <v>0</v>
      </c>
      <c r="U792" s="314">
        <f>база!$M$6</f>
        <v>279.0496</v>
      </c>
      <c r="V792" s="271">
        <v>1.2</v>
      </c>
      <c r="W792" s="307">
        <f>SUMIFS(Таблица1[сумма],Таблица1[коэф],"1,2",Таблица1[р/р],"5/24",Таблица1[Ф. И. О.],B792)</f>
        <v>0</v>
      </c>
      <c r="X792" s="313">
        <f>ROUND(U792*V792*W792,2)</f>
        <v>0</v>
      </c>
      <c r="Y792" s="808"/>
      <c r="Z792" s="810"/>
      <c r="AA792" s="813"/>
      <c r="AC792" s="707" t="str">
        <f>IF(SUMIFS(Таблица1[сумма],Таблица1[Ф. И. О.],B792)=Y787,"",B787&amp;"  часы не верны")</f>
        <v/>
      </c>
    </row>
    <row r="793" spans="1:29">
      <c r="A793" s="756"/>
      <c r="B793" s="215"/>
      <c r="C793" s="815"/>
      <c r="D793" s="817"/>
      <c r="E793" s="78"/>
      <c r="F793" s="271"/>
      <c r="G793" s="98"/>
      <c r="H793" s="94"/>
      <c r="I793" s="334"/>
      <c r="J793" s="278"/>
      <c r="K793" s="216"/>
      <c r="L793" s="216"/>
      <c r="M793" s="216"/>
      <c r="N793" s="216"/>
      <c r="O793" s="216"/>
      <c r="P793" s="30"/>
      <c r="Q793" s="78">
        <f>IF($D$6&lt;=3,база!$L$4,
IF($D$6=4,база!$L$5,
IF($D$6=5,база!$L$6)))</f>
        <v>231.45480000000001</v>
      </c>
      <c r="R793" s="271">
        <v>1.3</v>
      </c>
      <c r="S793" s="98">
        <f>SUMIFS(Таблица1[сумма],Таблица1[коэф],"1,3",Таблица1[р/р],"3/16",Таблица1[Ф. И. О.],B792)</f>
        <v>0</v>
      </c>
      <c r="T793" s="94">
        <f t="shared" ref="T793:T794" si="493">ROUND(Q793*R793*S793,2)</f>
        <v>0</v>
      </c>
      <c r="U793" s="314">
        <f>IF(D787&lt;=3,база!$M$4,
IF(D787=4,база!$M$5,
IF(D787=5,база!$M$6)))</f>
        <v>225.09719999999999</v>
      </c>
      <c r="V793" s="271">
        <v>1.3</v>
      </c>
      <c r="W793" s="307">
        <f>SUMIFS(Таблица1[сумма],Таблица1[коэф],"1,3",Таблица1[р/р],"3/24",Таблица1[Ф. И. О.],B792)</f>
        <v>0</v>
      </c>
      <c r="X793" s="313">
        <f t="shared" ref="X793:X794" si="494">ROUND(U793*V793*W793,2)</f>
        <v>0</v>
      </c>
      <c r="Y793" s="808"/>
      <c r="Z793" s="810"/>
      <c r="AA793" s="813"/>
    </row>
    <row r="794" spans="1:29">
      <c r="A794" s="756"/>
      <c r="B794" s="215"/>
      <c r="C794" s="815"/>
      <c r="D794" s="817"/>
      <c r="E794" s="78"/>
      <c r="F794" s="271"/>
      <c r="G794" s="98"/>
      <c r="H794" s="94"/>
      <c r="I794" s="334"/>
      <c r="J794" s="278"/>
      <c r="K794" s="216"/>
      <c r="L794" s="216"/>
      <c r="M794" s="216"/>
      <c r="N794" s="216"/>
      <c r="O794" s="216"/>
      <c r="P794" s="30"/>
      <c r="Q794" s="78">
        <f>база!$L$5</f>
        <v>231.45480000000001</v>
      </c>
      <c r="R794" s="271">
        <v>1.3</v>
      </c>
      <c r="S794" s="98">
        <f>SUMIFS(Таблица1[сумма],Таблица1[коэф],"1,3",Таблица1[р/р],"4/16",Таблица1[Ф. И. О.],B792)</f>
        <v>0</v>
      </c>
      <c r="T794" s="94">
        <f t="shared" si="493"/>
        <v>0</v>
      </c>
      <c r="U794" s="314">
        <f>база!$M$5</f>
        <v>247.41720000000001</v>
      </c>
      <c r="V794" s="271">
        <v>1.3</v>
      </c>
      <c r="W794" s="307">
        <f>SUMIFS(Таблица1[сумма],Таблица1[коэф],"1,3",Таблица1[р/р],"4/24",Таблица1[Ф. И. О.],B792)</f>
        <v>0</v>
      </c>
      <c r="X794" s="313">
        <f t="shared" si="494"/>
        <v>0</v>
      </c>
      <c r="Y794" s="808"/>
      <c r="Z794" s="810"/>
      <c r="AA794" s="813"/>
    </row>
    <row r="795" spans="1:29">
      <c r="A795" s="756"/>
      <c r="B795" s="215"/>
      <c r="C795" s="815"/>
      <c r="D795" s="817"/>
      <c r="E795" s="78"/>
      <c r="F795" s="271"/>
      <c r="G795" s="98"/>
      <c r="H795" s="94"/>
      <c r="I795" s="334"/>
      <c r="J795" s="278"/>
      <c r="K795" s="216"/>
      <c r="L795" s="216"/>
      <c r="M795" s="216"/>
      <c r="N795" s="216"/>
      <c r="O795" s="216"/>
      <c r="P795" s="30"/>
      <c r="Q795" s="78">
        <f>IF(D787&lt;=3,база!$L$4,
IF(D787=4,база!$L$5,
IF(D787=5,база!$L$6)))</f>
        <v>210.57480000000001</v>
      </c>
      <c r="R795" s="271">
        <v>1.4</v>
      </c>
      <c r="S795" s="98">
        <f>SUMIFS(Таблица1[сумма],Таблица1[коэф],"1,4",Таблица1[р/р],"3/16",Таблица1[Ф. И. О.],B792)</f>
        <v>0</v>
      </c>
      <c r="T795" s="94">
        <f>ROUND(Q795*R795*S795,2)</f>
        <v>0</v>
      </c>
      <c r="U795" s="314">
        <f>IF(D787&lt;=3,база!$M$4,
IF(D787=4,база!$M$5,
IF(D787=5,база!$M$6)))</f>
        <v>225.09719999999999</v>
      </c>
      <c r="V795" s="271">
        <v>1.4</v>
      </c>
      <c r="W795" s="307">
        <f>SUMIFS(Таблица1[сумма],Таблица1[коэф],"1,4",Таблица1[р/р],"3/24",Таблица1[Ф. И. О.],B792)</f>
        <v>0</v>
      </c>
      <c r="X795" s="313">
        <f>ROUND(U795*V795*W795,2)</f>
        <v>0</v>
      </c>
      <c r="Y795" s="808"/>
      <c r="Z795" s="810"/>
      <c r="AA795" s="813"/>
    </row>
    <row r="796" spans="1:29">
      <c r="A796" s="756"/>
      <c r="B796" s="215"/>
      <c r="C796" s="815"/>
      <c r="D796" s="817"/>
      <c r="E796" s="78"/>
      <c r="F796" s="271"/>
      <c r="G796" s="98"/>
      <c r="H796" s="94"/>
      <c r="I796" s="334"/>
      <c r="J796" s="278"/>
      <c r="K796" s="216"/>
      <c r="L796" s="216"/>
      <c r="M796" s="216"/>
      <c r="N796" s="216"/>
      <c r="O796" s="216"/>
      <c r="P796" s="30"/>
      <c r="Q796" s="78">
        <f>база!$L$5</f>
        <v>231.45480000000001</v>
      </c>
      <c r="R796" s="271">
        <v>1.4</v>
      </c>
      <c r="S796" s="98">
        <f>SUMIFS(Таблица1[сумма],Таблица1[коэф],"1,4",Таблица1[р/р],"4/16",Таблица1[Ф. И. О.],B792)</f>
        <v>0</v>
      </c>
      <c r="T796" s="94">
        <f>ROUND(Q796*R796*S796,2)</f>
        <v>0</v>
      </c>
      <c r="U796" s="314">
        <f>база!$M$5</f>
        <v>247.41720000000001</v>
      </c>
      <c r="V796" s="271">
        <v>1.4</v>
      </c>
      <c r="W796" s="307">
        <f>SUMIFS(Таблица1[сумма],Таблица1[коэф],"1,4",Таблица1[р/р],"4/24",Таблица1[Ф. И. О.],B792)</f>
        <v>0</v>
      </c>
      <c r="X796" s="313">
        <f>ROUND(U796*V796*W796,2)</f>
        <v>0</v>
      </c>
      <c r="Y796" s="808"/>
      <c r="Z796" s="810"/>
      <c r="AA796" s="813"/>
    </row>
    <row r="797" spans="1:29" ht="24" thickBot="1">
      <c r="A797" s="757"/>
      <c r="B797" s="352"/>
      <c r="C797" s="816"/>
      <c r="D797" s="818"/>
      <c r="E797" s="76"/>
      <c r="F797" s="275"/>
      <c r="G797" s="620"/>
      <c r="H797" s="93"/>
      <c r="I797" s="621"/>
      <c r="J797" s="594"/>
      <c r="K797" s="622"/>
      <c r="L797" s="328"/>
      <c r="M797" s="621"/>
      <c r="N797" s="622"/>
      <c r="O797" s="622"/>
      <c r="P797" s="289"/>
      <c r="Q797" s="675">
        <f>база!$L$6</f>
        <v>261.04640000000001</v>
      </c>
      <c r="R797" s="275">
        <v>1.4</v>
      </c>
      <c r="S797" s="99">
        <f>SUMIFS(Таблица1[сумма],Таблица1[коэф],"1,4",Таблица1[р/р],"5/16",Таблица1[Ф. И. О.],B792)</f>
        <v>0</v>
      </c>
      <c r="T797" s="93">
        <f>ROUND(Q797*R797*S797,2)</f>
        <v>0</v>
      </c>
      <c r="U797" s="83">
        <f>база!$M$6</f>
        <v>279.0496</v>
      </c>
      <c r="V797" s="273">
        <v>1.4</v>
      </c>
      <c r="W797" s="99">
        <f>SUMIFS(Таблица1[сумма],Таблица1[коэф],"1,4",Таблица1[р/р],"5/24",Таблица1[Ф. И. О.],B792)</f>
        <v>0</v>
      </c>
      <c r="X797" s="93">
        <f>ROUND(U797*V797*W797,2)</f>
        <v>0</v>
      </c>
      <c r="Y797" s="809"/>
      <c r="Z797" s="811"/>
      <c r="AA797" s="814"/>
    </row>
    <row r="798" spans="1:29">
      <c r="A798" s="756">
        <v>73</v>
      </c>
      <c r="B798" s="215"/>
      <c r="C798" s="815">
        <f>INDEX(база!$E$2:$E$181, MATCH(B803,база!$B$2:$B$160,0))</f>
        <v>14988</v>
      </c>
      <c r="D798" s="817">
        <f>INDEX(база!$D$2:$D$189, MATCH(B803,база!$B$2:$B$160,0))</f>
        <v>4</v>
      </c>
      <c r="E798" s="74">
        <f>IF(D798&lt;=3,база!$I$4,
IF(D798=4,база!$I$5,
IF(D798=5,база!$I$6)))</f>
        <v>207.5112</v>
      </c>
      <c r="F798" s="270">
        <v>1</v>
      </c>
      <c r="G798" s="96">
        <f>SUMIFS(Таблица1[сумма],Таблица1[коэф],"1",Таблица1[р/р],"2/4",Таблица1[Ф. И. О.],B803)</f>
        <v>0</v>
      </c>
      <c r="H798" s="102">
        <f>ROUND(E798*F798*G798,2)</f>
        <v>0</v>
      </c>
      <c r="I798" s="344">
        <f>IF(D798&lt;=3,база!$J$4,
IF(D798=4,база!$J$5,
IF(D798=5,база!$J$6)))</f>
        <v>215.4924</v>
      </c>
      <c r="J798" s="277">
        <v>1</v>
      </c>
      <c r="K798" s="309">
        <f>SUMIFS(Таблица1[сумма],Таблица1[коэф],"1",Таблица1[р/р],"2/8",Таблица1[Ф. И. О.],B803)</f>
        <v>0</v>
      </c>
      <c r="L798" s="309">
        <f>ROUND(I798*J798*K798,2)</f>
        <v>0</v>
      </c>
      <c r="M798" s="309"/>
      <c r="N798" s="309">
        <v>1</v>
      </c>
      <c r="O798" s="309">
        <f>SUMIFS(Data_Tech!$AM$3:$AM$67,Data_Tech!$E$3:$E$67,"1",Data_Tech!$G$3:$G$67,"3/12",Data_Tech!$F$3:$F$67,B803)</f>
        <v>0</v>
      </c>
      <c r="P798" s="281">
        <f>ROUND(M798*N798*O798,2)</f>
        <v>0</v>
      </c>
      <c r="Q798" s="74">
        <f>IF(D798&lt;=3,база!$L$4,
IF(D798=4,база!$L$5,
IF(D798=5,база!$L$6)))</f>
        <v>231.45480000000001</v>
      </c>
      <c r="R798" s="270">
        <v>1</v>
      </c>
      <c r="S798" s="96">
        <f>SUMIFS(Таблица1[сумма],Таблица1[коэф],"1",Таблица1[р/р],"3/16",Таблица1[Ф. И. О.],B803)</f>
        <v>0</v>
      </c>
      <c r="T798" s="102">
        <f t="shared" ref="T798:T802" si="495">ROUND(Q798*R798*S798,2)</f>
        <v>0</v>
      </c>
      <c r="U798" s="349">
        <f>IF(D798&lt;=3,база!$M$4,
IF(D798=4,база!$M$5,
IF(D798=5,база!$M$6)))</f>
        <v>247.41720000000001</v>
      </c>
      <c r="V798" s="270">
        <v>1</v>
      </c>
      <c r="W798" s="337">
        <f>SUMIFS(Таблица1[сумма],Таблица1[коэф],"1",Таблица1[р/р],"3/24",Таблица1[Ф. И. О.],B803)</f>
        <v>0</v>
      </c>
      <c r="X798" s="351">
        <f>ROUND(U798*V798*W798,2)</f>
        <v>0</v>
      </c>
      <c r="Y798" s="808">
        <f t="shared" ref="Y798" si="496">SUM(G798:G808,K798:K808,O798:O808,S798:S808,W798:W808)</f>
        <v>0</v>
      </c>
      <c r="Z798" s="810">
        <f t="shared" ref="Z798" si="497">IFERROR(SUM(H798:H808,L798:L808,T798:T808,X798:X808),"")</f>
        <v>0</v>
      </c>
      <c r="AA798" s="813"/>
    </row>
    <row r="799" spans="1:29">
      <c r="A799" s="756"/>
      <c r="B799" s="215"/>
      <c r="C799" s="815"/>
      <c r="D799" s="817"/>
      <c r="E799" s="78">
        <f>IF(D798&lt;=3,база!$I$4,
IF(D798=4,база!$I$5,
IF(D798=5,база!$I$6)))</f>
        <v>207.5112</v>
      </c>
      <c r="F799" s="271">
        <v>1</v>
      </c>
      <c r="G799" s="98">
        <f>SUMIFS(Таблица1[сумма],Таблица1[коэф],"1",Таблица1[р/р],"3/4",Таблица1[Ф. И. О.],B803)</f>
        <v>0</v>
      </c>
      <c r="H799" s="94">
        <f>ROUND(E799*F799*G799,2)</f>
        <v>0</v>
      </c>
      <c r="I799" s="334">
        <f>IF(D798&lt;=3,база!$J$4,
IF(D798=4,база!$J$5,
IF(D798=5,база!$J$6)))</f>
        <v>215.4924</v>
      </c>
      <c r="J799" s="278">
        <v>1</v>
      </c>
      <c r="K799" s="216"/>
      <c r="L799" s="216">
        <f>ROUND(I799*J799*K799,2)</f>
        <v>0</v>
      </c>
      <c r="M799" s="216"/>
      <c r="N799" s="216">
        <v>1</v>
      </c>
      <c r="O799" s="216">
        <f>SUMIFS(Data_Tech!$AM$3:$AM$67,Data_Tech!$E$3:$E$67,"1",Data_Tech!$G$3:$G$67,"4/12",Data_Tech!$F$3:$F$67,B803)</f>
        <v>0</v>
      </c>
      <c r="P799" s="30">
        <f>ROUND(M799*O799,2)</f>
        <v>0</v>
      </c>
      <c r="Q799" s="78">
        <f>база!$L$5</f>
        <v>231.45480000000001</v>
      </c>
      <c r="R799" s="271">
        <v>1</v>
      </c>
      <c r="S799" s="98">
        <f>SUMIFS(Таблица1[сумма],Таблица1[коэф],"1",Таблица1[р/р],"4/16",Таблица1[Ф. И. О.],B803)</f>
        <v>0</v>
      </c>
      <c r="T799" s="94">
        <f t="shared" si="495"/>
        <v>0</v>
      </c>
      <c r="U799" s="314">
        <f>база!$M$5</f>
        <v>247.41720000000001</v>
      </c>
      <c r="V799" s="271">
        <v>1</v>
      </c>
      <c r="W799" s="307">
        <f>SUMIFS(Таблица1[сумма],Таблица1[коэф],"1",Таблица1[р/р],"4/24",Таблица1[Ф. И. О.],B803)</f>
        <v>0</v>
      </c>
      <c r="X799" s="313">
        <f t="shared" ref="X799" si="498">ROUND(U799*V799*W799,2)</f>
        <v>0</v>
      </c>
      <c r="Y799" s="808"/>
      <c r="Z799" s="810"/>
      <c r="AA799" s="813"/>
    </row>
    <row r="800" spans="1:29">
      <c r="A800" s="756"/>
      <c r="B800" s="215"/>
      <c r="C800" s="815"/>
      <c r="D800" s="817"/>
      <c r="E800" s="78"/>
      <c r="F800" s="271"/>
      <c r="G800" s="98"/>
      <c r="H800" s="94"/>
      <c r="I800" s="334"/>
      <c r="J800" s="278"/>
      <c r="K800" s="216"/>
      <c r="L800" s="216"/>
      <c r="M800" s="216"/>
      <c r="N800" s="216"/>
      <c r="O800" s="216"/>
      <c r="P800" s="30"/>
      <c r="Q800" s="78">
        <f>база!$L$6</f>
        <v>261.04640000000001</v>
      </c>
      <c r="R800" s="271">
        <v>1</v>
      </c>
      <c r="S800" s="98">
        <f>SUMIFS(Таблица1[сумма],Таблица1[коэф],"1",Таблица1[р/р],"5/16",Таблица1[Ф. И. О.],B803)</f>
        <v>0</v>
      </c>
      <c r="T800" s="94">
        <f t="shared" si="495"/>
        <v>0</v>
      </c>
      <c r="U800" s="314">
        <f>база!$M$6</f>
        <v>279.0496</v>
      </c>
      <c r="V800" s="271">
        <v>1</v>
      </c>
      <c r="W800" s="307">
        <f>SUMIFS(Таблица1[сумма],Таблица1[коэф],"1",Таблица1[р/р],"5/24",Таблица1[Ф. И. О.],B803)</f>
        <v>0</v>
      </c>
      <c r="X800" s="313">
        <f>ROUND(U800*V800*W800,2)</f>
        <v>0</v>
      </c>
      <c r="Y800" s="808"/>
      <c r="Z800" s="810"/>
      <c r="AA800" s="813"/>
    </row>
    <row r="801" spans="1:29">
      <c r="A801" s="756"/>
      <c r="B801" s="215"/>
      <c r="C801" s="815"/>
      <c r="D801" s="817"/>
      <c r="E801" s="78"/>
      <c r="F801" s="271"/>
      <c r="G801" s="98"/>
      <c r="H801" s="94"/>
      <c r="I801" s="334">
        <f>база!$J$5</f>
        <v>215.4924</v>
      </c>
      <c r="J801" s="278">
        <v>1.5</v>
      </c>
      <c r="K801" s="216">
        <f>SUMIFS(Таблица1[сумма],Таблица1[коэф],"1,5",Таблица1[р/р],"4/8",Таблица1[Ф. И. О.],B803)</f>
        <v>0</v>
      </c>
      <c r="L801" s="216">
        <f>ROUND(I801*J801*K801,2)</f>
        <v>0</v>
      </c>
      <c r="M801" s="216"/>
      <c r="N801" s="216"/>
      <c r="O801" s="216"/>
      <c r="P801" s="30"/>
      <c r="Q801" s="78">
        <f>IF(D798&lt;=3,база!$L$4,
IF(D798=4,база!$L$5,
IF(D798=5,база!$L$6)))</f>
        <v>231.45480000000001</v>
      </c>
      <c r="R801" s="271">
        <v>1.2</v>
      </c>
      <c r="S801" s="98">
        <f>SUMIFS(Таблица1[сумма],Таблица1[коэф],"1,2",Таблица1[р/р],"3/16",Таблица1[Ф. И. О.],B803)</f>
        <v>0</v>
      </c>
      <c r="T801" s="94">
        <f t="shared" si="495"/>
        <v>0</v>
      </c>
      <c r="U801" s="314">
        <f>IF(D798&lt;=3,база!$M$4,
IF(D798=4,база!$M$5,
IF(D798=5,база!$M$6)))</f>
        <v>247.41720000000001</v>
      </c>
      <c r="V801" s="271">
        <v>1.2</v>
      </c>
      <c r="W801" s="307">
        <f>SUMIFS(Таблица1[сумма],Таблица1[коэф],"1,2",Таблица1[р/р],"3/24",Таблица1[Ф. И. О.],B803)</f>
        <v>0</v>
      </c>
      <c r="X801" s="313">
        <f t="shared" ref="X801:X802" si="499">ROUND(U801*V801*W801,2)</f>
        <v>0</v>
      </c>
      <c r="Y801" s="808"/>
      <c r="Z801" s="810"/>
      <c r="AA801" s="813"/>
    </row>
    <row r="802" spans="1:29">
      <c r="A802" s="756"/>
      <c r="B802" s="215"/>
      <c r="C802" s="815"/>
      <c r="D802" s="817"/>
      <c r="E802" s="78"/>
      <c r="F802" s="271"/>
      <c r="G802" s="98"/>
      <c r="H802" s="94"/>
      <c r="I802" s="334">
        <f>база!$J$6</f>
        <v>243.04319999999998</v>
      </c>
      <c r="J802" s="278">
        <v>1.5</v>
      </c>
      <c r="K802" s="216">
        <f>SUMIFS(Таблица1[сумма],Таблица1[коэф],"1,5",Таблица1[р/р],"5/8",Таблица1[Ф. И. О.],B803)</f>
        <v>0</v>
      </c>
      <c r="L802" s="216">
        <f>ROUND(I802*J802*K802,2)</f>
        <v>0</v>
      </c>
      <c r="M802" s="216"/>
      <c r="N802" s="216"/>
      <c r="O802" s="216"/>
      <c r="P802" s="30"/>
      <c r="Q802" s="78">
        <f>база!$L$5</f>
        <v>231.45480000000001</v>
      </c>
      <c r="R802" s="271">
        <v>1.2</v>
      </c>
      <c r="S802" s="98">
        <f>SUMIFS(Таблица1[сумма],Таблица1[коэф],"1,2",Таблица1[р/р],"4/16",Таблица1[Ф. И. О.],B803)</f>
        <v>0</v>
      </c>
      <c r="T802" s="94">
        <f t="shared" si="495"/>
        <v>0</v>
      </c>
      <c r="U802" s="314">
        <f>база!$M$5</f>
        <v>247.41720000000001</v>
      </c>
      <c r="V802" s="271">
        <v>1.2</v>
      </c>
      <c r="W802" s="307">
        <f>SUMIFS(Таблица1[сумма],Таблица1[коэф],"1,2",Таблица1[р/р],"4/24",Таблица1[Ф. И. О.],B803)</f>
        <v>0</v>
      </c>
      <c r="X802" s="313">
        <f t="shared" si="499"/>
        <v>0</v>
      </c>
      <c r="Y802" s="808"/>
      <c r="Z802" s="810"/>
      <c r="AA802" s="813"/>
      <c r="AC802" s="707" t="str">
        <f>IF(SUMIFS(Таблица1[Столбец2],Таблица1[Ф. И. О.],B803)-Z798=0,"",SUMIFS(Таблица1[Столбец2],Таблица1[Ф. И. О.],B803)-Z798)</f>
        <v/>
      </c>
    </row>
    <row r="803" spans="1:29">
      <c r="A803" s="756"/>
      <c r="B803" s="215" t="str">
        <f>база!B74</f>
        <v>Томилова Антонина Викторовна</v>
      </c>
      <c r="C803" s="815"/>
      <c r="D803" s="817"/>
      <c r="E803" s="78"/>
      <c r="F803" s="271"/>
      <c r="G803" s="98"/>
      <c r="H803" s="94"/>
      <c r="I803" s="334"/>
      <c r="J803" s="278"/>
      <c r="K803" s="216"/>
      <c r="L803" s="216"/>
      <c r="M803" s="216"/>
      <c r="N803" s="216"/>
      <c r="O803" s="216"/>
      <c r="P803" s="30"/>
      <c r="Q803" s="78">
        <f>база!$L$6</f>
        <v>261.04640000000001</v>
      </c>
      <c r="R803" s="271">
        <v>1.2</v>
      </c>
      <c r="S803" s="98">
        <f>SUMIFS(Таблица1[сумма],Таблица1[коэф],"1,2",Таблица1[р/р],"5/16",Таблица1[Ф. И. О.],B803)</f>
        <v>0</v>
      </c>
      <c r="T803" s="94">
        <f>ROUND(Q803*R803*S803,2)</f>
        <v>0</v>
      </c>
      <c r="U803" s="314">
        <f>база!$M$6</f>
        <v>279.0496</v>
      </c>
      <c r="V803" s="271">
        <v>1.2</v>
      </c>
      <c r="W803" s="307">
        <f>SUMIFS(Таблица1[сумма],Таблица1[коэф],"1,2",Таблица1[р/р],"5/24",Таблица1[Ф. И. О.],B803)</f>
        <v>0</v>
      </c>
      <c r="X803" s="313">
        <f>ROUND(U803*V803*W803,2)</f>
        <v>0</v>
      </c>
      <c r="Y803" s="808"/>
      <c r="Z803" s="810"/>
      <c r="AA803" s="813"/>
      <c r="AC803" s="707" t="str">
        <f>IF(SUMIFS(Таблица1[сумма],Таблица1[Ф. И. О.],B803)=Y798,"",B798&amp;"  часы не верны")</f>
        <v/>
      </c>
    </row>
    <row r="804" spans="1:29">
      <c r="A804" s="756"/>
      <c r="B804" s="215"/>
      <c r="C804" s="815"/>
      <c r="D804" s="817"/>
      <c r="E804" s="78"/>
      <c r="F804" s="271"/>
      <c r="G804" s="98"/>
      <c r="H804" s="94"/>
      <c r="I804" s="334"/>
      <c r="J804" s="278"/>
      <c r="K804" s="216"/>
      <c r="L804" s="216"/>
      <c r="M804" s="216"/>
      <c r="N804" s="216"/>
      <c r="O804" s="216"/>
      <c r="P804" s="30"/>
      <c r="Q804" s="78">
        <f>IF($D$6&lt;=3,база!$L$4,
IF($D$6=4,база!$L$5,
IF($D$6=5,база!$L$6)))</f>
        <v>231.45480000000001</v>
      </c>
      <c r="R804" s="271">
        <v>1.3</v>
      </c>
      <c r="S804" s="98">
        <f>SUMIFS(Таблица1[сумма],Таблица1[коэф],"1,3",Таблица1[р/р],"3/16",Таблица1[Ф. И. О.],B803)</f>
        <v>0</v>
      </c>
      <c r="T804" s="94">
        <f t="shared" ref="T804:T805" si="500">ROUND(Q804*R804*S804,2)</f>
        <v>0</v>
      </c>
      <c r="U804" s="314">
        <f>IF(D798&lt;=3,база!$M$4,
IF(D798=4,база!$M$5,
IF(D798=5,база!$M$6)))</f>
        <v>247.41720000000001</v>
      </c>
      <c r="V804" s="271">
        <v>1.3</v>
      </c>
      <c r="W804" s="307">
        <f>SUMIFS(Таблица1[сумма],Таблица1[коэф],"1,3",Таблица1[р/р],"3/24",Таблица1[Ф. И. О.],B803)</f>
        <v>0</v>
      </c>
      <c r="X804" s="313">
        <f t="shared" ref="X804:X805" si="501">ROUND(U804*V804*W804,2)</f>
        <v>0</v>
      </c>
      <c r="Y804" s="808"/>
      <c r="Z804" s="810"/>
      <c r="AA804" s="813"/>
    </row>
    <row r="805" spans="1:29">
      <c r="A805" s="756"/>
      <c r="B805" s="215"/>
      <c r="C805" s="815"/>
      <c r="D805" s="817"/>
      <c r="E805" s="78"/>
      <c r="F805" s="271"/>
      <c r="G805" s="98"/>
      <c r="H805" s="94"/>
      <c r="I805" s="334"/>
      <c r="J805" s="278"/>
      <c r="K805" s="216"/>
      <c r="L805" s="216"/>
      <c r="M805" s="216"/>
      <c r="N805" s="216"/>
      <c r="O805" s="216"/>
      <c r="P805" s="30"/>
      <c r="Q805" s="78">
        <f>база!$L$5</f>
        <v>231.45480000000001</v>
      </c>
      <c r="R805" s="271">
        <v>1.3</v>
      </c>
      <c r="S805" s="98">
        <f>SUMIFS(Таблица1[сумма],Таблица1[коэф],"1,3",Таблица1[р/р],"4/16",Таблица1[Ф. И. О.],B803)</f>
        <v>0</v>
      </c>
      <c r="T805" s="94">
        <f t="shared" si="500"/>
        <v>0</v>
      </c>
      <c r="U805" s="314">
        <f>база!$M$5</f>
        <v>247.41720000000001</v>
      </c>
      <c r="V805" s="271">
        <v>1.3</v>
      </c>
      <c r="W805" s="307">
        <f>SUMIFS(Таблица1[сумма],Таблица1[коэф],"1,3",Таблица1[р/р],"4/24",Таблица1[Ф. И. О.],B803)</f>
        <v>0</v>
      </c>
      <c r="X805" s="313">
        <f t="shared" si="501"/>
        <v>0</v>
      </c>
      <c r="Y805" s="808"/>
      <c r="Z805" s="810"/>
      <c r="AA805" s="813"/>
    </row>
    <row r="806" spans="1:29">
      <c r="A806" s="756"/>
      <c r="B806" s="215"/>
      <c r="C806" s="815"/>
      <c r="D806" s="817"/>
      <c r="E806" s="78"/>
      <c r="F806" s="271"/>
      <c r="G806" s="98"/>
      <c r="H806" s="94"/>
      <c r="I806" s="334"/>
      <c r="J806" s="278"/>
      <c r="K806" s="216"/>
      <c r="L806" s="216"/>
      <c r="M806" s="216"/>
      <c r="N806" s="216"/>
      <c r="O806" s="216"/>
      <c r="P806" s="30"/>
      <c r="Q806" s="78">
        <f>IF(D798&lt;=3,база!$L$4,
IF(D798=4,база!$L$5,
IF(D798=5,база!$L$6)))</f>
        <v>231.45480000000001</v>
      </c>
      <c r="R806" s="271">
        <v>1.4</v>
      </c>
      <c r="S806" s="98">
        <f>SUMIFS(Таблица1[сумма],Таблица1[коэф],"1,4",Таблица1[р/р],"3/16",Таблица1[Ф. И. О.],B803)</f>
        <v>0</v>
      </c>
      <c r="T806" s="94">
        <f>ROUND(Q806*R806*S806,2)</f>
        <v>0</v>
      </c>
      <c r="U806" s="314">
        <f>IF(D798&lt;=3,база!$M$4,
IF(D798=4,база!$M$5,
IF(D798=5,база!$M$6)))</f>
        <v>247.41720000000001</v>
      </c>
      <c r="V806" s="271">
        <v>1.4</v>
      </c>
      <c r="W806" s="307">
        <f>SUMIFS(Таблица1[сумма],Таблица1[коэф],"1,4",Таблица1[р/р],"3/24",Таблица1[Ф. И. О.],B803)</f>
        <v>0</v>
      </c>
      <c r="X806" s="313">
        <f>ROUND(U806*V806*W806,2)</f>
        <v>0</v>
      </c>
      <c r="Y806" s="808"/>
      <c r="Z806" s="810"/>
      <c r="AA806" s="813"/>
    </row>
    <row r="807" spans="1:29">
      <c r="A807" s="756"/>
      <c r="B807" s="215"/>
      <c r="C807" s="815"/>
      <c r="D807" s="817"/>
      <c r="E807" s="78"/>
      <c r="F807" s="271"/>
      <c r="G807" s="98"/>
      <c r="H807" s="94"/>
      <c r="I807" s="334"/>
      <c r="J807" s="278"/>
      <c r="K807" s="216"/>
      <c r="L807" s="216"/>
      <c r="M807" s="216"/>
      <c r="N807" s="216"/>
      <c r="O807" s="216"/>
      <c r="P807" s="30"/>
      <c r="Q807" s="78">
        <f>база!$L$5</f>
        <v>231.45480000000001</v>
      </c>
      <c r="R807" s="271">
        <v>1.4</v>
      </c>
      <c r="S807" s="98">
        <f>SUMIFS(Таблица1[сумма],Таблица1[коэф],"1,4",Таблица1[р/р],"4/16",Таблица1[Ф. И. О.],B803)</f>
        <v>0</v>
      </c>
      <c r="T807" s="94">
        <f>ROUND(Q807*R807*S807,2)</f>
        <v>0</v>
      </c>
      <c r="U807" s="314">
        <f>база!$M$5</f>
        <v>247.41720000000001</v>
      </c>
      <c r="V807" s="271">
        <v>1.4</v>
      </c>
      <c r="W807" s="307">
        <f>SUMIFS(Таблица1[сумма],Таблица1[коэф],"1,4",Таблица1[р/р],"4/24",Таблица1[Ф. И. О.],B803)</f>
        <v>0</v>
      </c>
      <c r="X807" s="313">
        <f>ROUND(U807*V807*W807,2)</f>
        <v>0</v>
      </c>
      <c r="Y807" s="808"/>
      <c r="Z807" s="810"/>
      <c r="AA807" s="813"/>
    </row>
    <row r="808" spans="1:29" ht="24" thickBot="1">
      <c r="A808" s="757"/>
      <c r="B808" s="352"/>
      <c r="C808" s="816"/>
      <c r="D808" s="818"/>
      <c r="E808" s="76"/>
      <c r="F808" s="275"/>
      <c r="G808" s="620"/>
      <c r="H808" s="93"/>
      <c r="I808" s="621"/>
      <c r="J808" s="594"/>
      <c r="K808" s="622"/>
      <c r="L808" s="328"/>
      <c r="M808" s="621"/>
      <c r="N808" s="622"/>
      <c r="O808" s="622"/>
      <c r="P808" s="289"/>
      <c r="Q808" s="675">
        <f>база!$L$6</f>
        <v>261.04640000000001</v>
      </c>
      <c r="R808" s="275">
        <v>1.4</v>
      </c>
      <c r="S808" s="99">
        <f>SUMIFS(Таблица1[сумма],Таблица1[коэф],"1,4",Таблица1[р/р],"5/16",Таблица1[Ф. И. О.],B803)</f>
        <v>0</v>
      </c>
      <c r="T808" s="93">
        <f>ROUND(Q808*R808*S808,2)</f>
        <v>0</v>
      </c>
      <c r="U808" s="83">
        <f>база!$M$6</f>
        <v>279.0496</v>
      </c>
      <c r="V808" s="273">
        <v>1.4</v>
      </c>
      <c r="W808" s="99">
        <f>SUMIFS(Таблица1[сумма],Таблица1[коэф],"1,4",Таблица1[р/р],"5/24",Таблица1[Ф. И. О.],B803)</f>
        <v>0</v>
      </c>
      <c r="X808" s="93">
        <f>ROUND(U808*V808*W808,2)</f>
        <v>0</v>
      </c>
      <c r="Y808" s="809"/>
      <c r="Z808" s="811"/>
      <c r="AA808" s="814"/>
    </row>
    <row r="809" spans="1:29">
      <c r="A809" s="756">
        <v>74</v>
      </c>
      <c r="B809" s="215"/>
      <c r="C809" s="815">
        <f>INDEX(база!$E$2:$E$181, MATCH(B814,база!$B$2:$B$160,0))</f>
        <v>15889</v>
      </c>
      <c r="D809" s="817">
        <f>INDEX(база!$D$2:$D$189, MATCH(B814,база!$B$2:$B$160,0))</f>
        <v>3</v>
      </c>
      <c r="E809" s="74">
        <f>IF(D809&lt;=3,база!$I$4,
IF(D809=4,база!$I$5,
IF(D809=5,база!$I$6)))</f>
        <v>188.7912</v>
      </c>
      <c r="F809" s="270">
        <v>1</v>
      </c>
      <c r="G809" s="96">
        <f>SUMIFS(Таблица1[сумма],Таблица1[коэф],"1",Таблица1[р/р],"2/4",Таблица1[Ф. И. О.],B814)</f>
        <v>0</v>
      </c>
      <c r="H809" s="102">
        <f>ROUND(E809*F809*G809,2)</f>
        <v>0</v>
      </c>
      <c r="I809" s="344">
        <f>IF(D809&lt;=3,база!$J$4,
IF(D809=4,база!$J$5,
IF(D809=5,база!$J$6)))</f>
        <v>196.05240000000001</v>
      </c>
      <c r="J809" s="277">
        <v>1</v>
      </c>
      <c r="K809" s="309">
        <f>SUMIFS(Таблица1[сумма],Таблица1[коэф],"1",Таблица1[р/р],"2/8",Таблица1[Ф. И. О.],B814)</f>
        <v>0</v>
      </c>
      <c r="L809" s="309">
        <f>ROUND(I809*J809*K809,2)</f>
        <v>0</v>
      </c>
      <c r="M809" s="309"/>
      <c r="N809" s="309">
        <v>1</v>
      </c>
      <c r="O809" s="309">
        <f>SUMIFS(Data_Tech!$AM$3:$AM$67,Data_Tech!$E$3:$E$67,"1",Data_Tech!$G$3:$G$67,"3/12",Data_Tech!$F$3:$F$67,B814)</f>
        <v>0</v>
      </c>
      <c r="P809" s="281">
        <f>ROUND(M809*N809*O809,2)</f>
        <v>0</v>
      </c>
      <c r="Q809" s="74">
        <f>IF(D809&lt;=3,база!$L$4,
IF(D809=4,база!$L$5,
IF(D809=5,база!$L$6)))</f>
        <v>210.57480000000001</v>
      </c>
      <c r="R809" s="270">
        <v>1</v>
      </c>
      <c r="S809" s="96">
        <f>SUMIFS(Таблица1[сумма],Таблица1[коэф],"1",Таблица1[р/р],"3/16",Таблица1[Ф. И. О.],B814)</f>
        <v>0</v>
      </c>
      <c r="T809" s="102">
        <f t="shared" ref="T809:T813" si="502">ROUND(Q809*R809*S809,2)</f>
        <v>0</v>
      </c>
      <c r="U809" s="349">
        <f>IF(D809&lt;=3,база!$M$4,
IF(D809=4,база!$M$5,
IF(D809=5,база!$M$6)))</f>
        <v>225.09719999999999</v>
      </c>
      <c r="V809" s="270">
        <v>1</v>
      </c>
      <c r="W809" s="337">
        <f>SUMIFS(Таблица1[сумма],Таблица1[коэф],"1",Таблица1[р/р],"3/24",Таблица1[Ф. И. О.],B814)</f>
        <v>0</v>
      </c>
      <c r="X809" s="351">
        <f>ROUND(U809*V809*W809,2)</f>
        <v>0</v>
      </c>
      <c r="Y809" s="808">
        <f t="shared" ref="Y809" si="503">SUM(G809:G819,K809:K819,O809:O819,S809:S819,W809:W819)</f>
        <v>0</v>
      </c>
      <c r="Z809" s="810">
        <f t="shared" ref="Z809" si="504">IFERROR(SUM(H809:H819,L809:L819,T809:T819,X809:X819),"")</f>
        <v>0</v>
      </c>
      <c r="AA809" s="813"/>
    </row>
    <row r="810" spans="1:29">
      <c r="A810" s="756"/>
      <c r="B810" s="215"/>
      <c r="C810" s="815"/>
      <c r="D810" s="817"/>
      <c r="E810" s="78">
        <f>IF(D809&lt;=3,база!$I$4,
IF(D809=4,база!$I$5,
IF(D809=5,база!$I$6)))</f>
        <v>188.7912</v>
      </c>
      <c r="F810" s="271">
        <v>1</v>
      </c>
      <c r="G810" s="98">
        <f>SUMIFS(Таблица1[сумма],Таблица1[коэф],"1",Таблица1[р/р],"3/4",Таблица1[Ф. И. О.],B814)</f>
        <v>0</v>
      </c>
      <c r="H810" s="94">
        <f>ROUND(E810*F810*G810,2)</f>
        <v>0</v>
      </c>
      <c r="I810" s="334">
        <f>IF(D809&lt;=3,база!$J$4,
IF(D809=4,база!$J$5,
IF(D809=5,база!$J$6)))</f>
        <v>196.05240000000001</v>
      </c>
      <c r="J810" s="278">
        <v>1</v>
      </c>
      <c r="K810" s="216"/>
      <c r="L810" s="216">
        <f>ROUND(I810*J810*K810,2)</f>
        <v>0</v>
      </c>
      <c r="M810" s="216"/>
      <c r="N810" s="216">
        <v>1</v>
      </c>
      <c r="O810" s="216">
        <f>SUMIFS(Data_Tech!$AM$3:$AM$67,Data_Tech!$E$3:$E$67,"1",Data_Tech!$G$3:$G$67,"4/12",Data_Tech!$F$3:$F$67,B814)</f>
        <v>0</v>
      </c>
      <c r="P810" s="30">
        <f>ROUND(M810*O810,2)</f>
        <v>0</v>
      </c>
      <c r="Q810" s="78">
        <f>база!$L$5</f>
        <v>231.45480000000001</v>
      </c>
      <c r="R810" s="271">
        <v>1</v>
      </c>
      <c r="S810" s="98">
        <f>SUMIFS(Таблица1[сумма],Таблица1[коэф],"1",Таблица1[р/р],"4/16",Таблица1[Ф. И. О.],B814)</f>
        <v>0</v>
      </c>
      <c r="T810" s="94">
        <f t="shared" si="502"/>
        <v>0</v>
      </c>
      <c r="U810" s="314">
        <f>база!$M$5</f>
        <v>247.41720000000001</v>
      </c>
      <c r="V810" s="271">
        <v>1</v>
      </c>
      <c r="W810" s="307">
        <f>SUMIFS(Таблица1[сумма],Таблица1[коэф],"1",Таблица1[р/р],"4/24",Таблица1[Ф. И. О.],B814)</f>
        <v>0</v>
      </c>
      <c r="X810" s="313">
        <f t="shared" ref="X810" si="505">ROUND(U810*V810*W810,2)</f>
        <v>0</v>
      </c>
      <c r="Y810" s="808"/>
      <c r="Z810" s="810"/>
      <c r="AA810" s="813"/>
    </row>
    <row r="811" spans="1:29">
      <c r="A811" s="756"/>
      <c r="B811" s="215"/>
      <c r="C811" s="815"/>
      <c r="D811" s="817"/>
      <c r="E811" s="78"/>
      <c r="F811" s="271"/>
      <c r="G811" s="98"/>
      <c r="H811" s="94"/>
      <c r="I811" s="334"/>
      <c r="J811" s="278"/>
      <c r="K811" s="216"/>
      <c r="L811" s="216"/>
      <c r="M811" s="216"/>
      <c r="N811" s="216"/>
      <c r="O811" s="216"/>
      <c r="P811" s="30"/>
      <c r="Q811" s="78">
        <f>база!$L$6</f>
        <v>261.04640000000001</v>
      </c>
      <c r="R811" s="271">
        <v>1</v>
      </c>
      <c r="S811" s="98">
        <f>SUMIFS(Таблица1[сумма],Таблица1[коэф],"1",Таблица1[р/р],"5/16",Таблица1[Ф. И. О.],B814)</f>
        <v>0</v>
      </c>
      <c r="T811" s="94">
        <f t="shared" si="502"/>
        <v>0</v>
      </c>
      <c r="U811" s="314">
        <f>база!$M$6</f>
        <v>279.0496</v>
      </c>
      <c r="V811" s="271">
        <v>1</v>
      </c>
      <c r="W811" s="307">
        <f>SUMIFS(Таблица1[сумма],Таблица1[коэф],"1",Таблица1[р/р],"5/24",Таблица1[Ф. И. О.],B814)</f>
        <v>0</v>
      </c>
      <c r="X811" s="313">
        <f>ROUND(U811*V811*W811,2)</f>
        <v>0</v>
      </c>
      <c r="Y811" s="808"/>
      <c r="Z811" s="810"/>
      <c r="AA811" s="813"/>
    </row>
    <row r="812" spans="1:29">
      <c r="A812" s="756"/>
      <c r="B812" s="215"/>
      <c r="C812" s="815"/>
      <c r="D812" s="817"/>
      <c r="E812" s="78"/>
      <c r="F812" s="271"/>
      <c r="G812" s="98"/>
      <c r="H812" s="94"/>
      <c r="I812" s="334">
        <f>база!$J$5</f>
        <v>215.4924</v>
      </c>
      <c r="J812" s="278">
        <v>1.5</v>
      </c>
      <c r="K812" s="216">
        <f>SUMIFS(Таблица1[сумма],Таблица1[коэф],"1,5",Таблица1[р/р],"4/8",Таблица1[Ф. И. О.],B814)</f>
        <v>0</v>
      </c>
      <c r="L812" s="216">
        <f>ROUND(I812*J812*K812,2)</f>
        <v>0</v>
      </c>
      <c r="M812" s="216"/>
      <c r="N812" s="216"/>
      <c r="O812" s="216"/>
      <c r="P812" s="30"/>
      <c r="Q812" s="78">
        <f>IF(D809&lt;=3,база!$L$4,
IF(D809=4,база!$L$5,
IF(D809=5,база!$L$6)))</f>
        <v>210.57480000000001</v>
      </c>
      <c r="R812" s="271">
        <v>1.2</v>
      </c>
      <c r="S812" s="98">
        <f>SUMIFS(Таблица1[сумма],Таблица1[коэф],"1,2",Таблица1[р/р],"3/16",Таблица1[Ф. И. О.],B814)</f>
        <v>0</v>
      </c>
      <c r="T812" s="94">
        <f t="shared" si="502"/>
        <v>0</v>
      </c>
      <c r="U812" s="314">
        <f>IF(D809&lt;=3,база!$M$4,
IF(D809=4,база!$M$5,
IF(D809=5,база!$M$6)))</f>
        <v>225.09719999999999</v>
      </c>
      <c r="V812" s="271">
        <v>1.2</v>
      </c>
      <c r="W812" s="307">
        <f>SUMIFS(Таблица1[сумма],Таблица1[коэф],"1,2",Таблица1[р/р],"3/24",Таблица1[Ф. И. О.],B814)</f>
        <v>0</v>
      </c>
      <c r="X812" s="313">
        <f t="shared" ref="X812:X813" si="506">ROUND(U812*V812*W812,2)</f>
        <v>0</v>
      </c>
      <c r="Y812" s="808"/>
      <c r="Z812" s="810"/>
      <c r="AA812" s="813"/>
    </row>
    <row r="813" spans="1:29">
      <c r="A813" s="756"/>
      <c r="B813" s="215"/>
      <c r="C813" s="815"/>
      <c r="D813" s="817"/>
      <c r="E813" s="78"/>
      <c r="F813" s="271"/>
      <c r="G813" s="98"/>
      <c r="H813" s="94"/>
      <c r="I813" s="334">
        <f>база!$J$6</f>
        <v>243.04319999999998</v>
      </c>
      <c r="J813" s="278">
        <v>1.5</v>
      </c>
      <c r="K813" s="216">
        <f>SUMIFS(Таблица1[сумма],Таблица1[коэф],"1,5",Таблица1[р/р],"5/8",Таблица1[Ф. И. О.],B814)</f>
        <v>0</v>
      </c>
      <c r="L813" s="216">
        <f>ROUND(I813*J813*K813,2)</f>
        <v>0</v>
      </c>
      <c r="M813" s="216"/>
      <c r="N813" s="216"/>
      <c r="O813" s="216"/>
      <c r="P813" s="30"/>
      <c r="Q813" s="78">
        <f>база!$L$5</f>
        <v>231.45480000000001</v>
      </c>
      <c r="R813" s="271">
        <v>1.2</v>
      </c>
      <c r="S813" s="98">
        <f>SUMIFS(Таблица1[сумма],Таблица1[коэф],"1,2",Таблица1[р/р],"4/16",Таблица1[Ф. И. О.],B814)</f>
        <v>0</v>
      </c>
      <c r="T813" s="94">
        <f t="shared" si="502"/>
        <v>0</v>
      </c>
      <c r="U813" s="314">
        <f>база!$M$5</f>
        <v>247.41720000000001</v>
      </c>
      <c r="V813" s="271">
        <v>1.2</v>
      </c>
      <c r="W813" s="307">
        <f>SUMIFS(Таблица1[сумма],Таблица1[коэф],"1,2",Таблица1[р/р],"4/24",Таблица1[Ф. И. О.],B814)</f>
        <v>0</v>
      </c>
      <c r="X813" s="313">
        <f t="shared" si="506"/>
        <v>0</v>
      </c>
      <c r="Y813" s="808"/>
      <c r="Z813" s="810"/>
      <c r="AA813" s="813"/>
      <c r="AC813" s="707" t="str">
        <f>IF(SUMIFS(Таблица1[Столбец2],Таблица1[Ф. И. О.],B814)-Z809=0,"",SUMIFS(Таблица1[Столбец2],Таблица1[Ф. И. О.],B814)-Z809)</f>
        <v/>
      </c>
    </row>
    <row r="814" spans="1:29">
      <c r="A814" s="756"/>
      <c r="B814" s="215" t="str">
        <f>база!B75</f>
        <v>Худякова Ольга Николаевна</v>
      </c>
      <c r="C814" s="815"/>
      <c r="D814" s="817"/>
      <c r="E814" s="78"/>
      <c r="F814" s="271"/>
      <c r="G814" s="98"/>
      <c r="H814" s="94"/>
      <c r="I814" s="334"/>
      <c r="J814" s="278"/>
      <c r="K814" s="216"/>
      <c r="L814" s="216"/>
      <c r="M814" s="216"/>
      <c r="N814" s="216"/>
      <c r="O814" s="216"/>
      <c r="P814" s="30"/>
      <c r="Q814" s="78">
        <f>база!$L$6</f>
        <v>261.04640000000001</v>
      </c>
      <c r="R814" s="271">
        <v>1.2</v>
      </c>
      <c r="S814" s="98">
        <f>SUMIFS(Таблица1[сумма],Таблица1[коэф],"1,2",Таблица1[р/р],"5/16",Таблица1[Ф. И. О.],B814)</f>
        <v>0</v>
      </c>
      <c r="T814" s="94">
        <f>ROUND(Q814*R814*S814,2)</f>
        <v>0</v>
      </c>
      <c r="U814" s="314">
        <f>база!$M$6</f>
        <v>279.0496</v>
      </c>
      <c r="V814" s="271">
        <v>1.2</v>
      </c>
      <c r="W814" s="307">
        <f>SUMIFS(Таблица1[сумма],Таблица1[коэф],"1,2",Таблица1[р/р],"5/24",Таблица1[Ф. И. О.],B814)</f>
        <v>0</v>
      </c>
      <c r="X814" s="313">
        <f>ROUND(U814*V814*W814,2)</f>
        <v>0</v>
      </c>
      <c r="Y814" s="808"/>
      <c r="Z814" s="810"/>
      <c r="AA814" s="813"/>
      <c r="AC814" s="707" t="str">
        <f>IF(SUMIFS(Таблица1[сумма],Таблица1[Ф. И. О.],B814)=Y809,"",B809&amp;"  часы не верны")</f>
        <v/>
      </c>
    </row>
    <row r="815" spans="1:29">
      <c r="A815" s="756"/>
      <c r="B815" s="215"/>
      <c r="C815" s="815"/>
      <c r="D815" s="817"/>
      <c r="E815" s="78"/>
      <c r="F815" s="271"/>
      <c r="G815" s="98"/>
      <c r="H815" s="94"/>
      <c r="I815" s="334"/>
      <c r="J815" s="278"/>
      <c r="K815" s="216"/>
      <c r="L815" s="216"/>
      <c r="M815" s="216"/>
      <c r="N815" s="216"/>
      <c r="O815" s="216"/>
      <c r="P815" s="30"/>
      <c r="Q815" s="78">
        <f>IF($D$6&lt;=3,база!$L$4,
IF($D$6=4,база!$L$5,
IF($D$6=5,база!$L$6)))</f>
        <v>231.45480000000001</v>
      </c>
      <c r="R815" s="271">
        <v>1.3</v>
      </c>
      <c r="S815" s="98">
        <f>SUMIFS(Таблица1[сумма],Таблица1[коэф],"1,3",Таблица1[р/р],"3/16",Таблица1[Ф. И. О.],B814)</f>
        <v>0</v>
      </c>
      <c r="T815" s="94">
        <f t="shared" ref="T815:T816" si="507">ROUND(Q815*R815*S815,2)</f>
        <v>0</v>
      </c>
      <c r="U815" s="314">
        <f>IF(D809&lt;=3,база!$M$4,
IF(D809=4,база!$M$5,
IF(D809=5,база!$M$6)))</f>
        <v>225.09719999999999</v>
      </c>
      <c r="V815" s="271">
        <v>1.3</v>
      </c>
      <c r="W815" s="307">
        <f>SUMIFS(Таблица1[сумма],Таблица1[коэф],"1,3",Таблица1[р/р],"3/24",Таблица1[Ф. И. О.],B814)</f>
        <v>0</v>
      </c>
      <c r="X815" s="313">
        <f t="shared" ref="X815:X816" si="508">ROUND(U815*V815*W815,2)</f>
        <v>0</v>
      </c>
      <c r="Y815" s="808"/>
      <c r="Z815" s="810"/>
      <c r="AA815" s="813"/>
    </row>
    <row r="816" spans="1:29">
      <c r="A816" s="756"/>
      <c r="B816" s="215"/>
      <c r="C816" s="815"/>
      <c r="D816" s="817"/>
      <c r="E816" s="78"/>
      <c r="F816" s="271"/>
      <c r="G816" s="98"/>
      <c r="H816" s="94"/>
      <c r="I816" s="334"/>
      <c r="J816" s="278"/>
      <c r="K816" s="216"/>
      <c r="L816" s="216"/>
      <c r="M816" s="216"/>
      <c r="N816" s="216"/>
      <c r="O816" s="216"/>
      <c r="P816" s="30"/>
      <c r="Q816" s="78">
        <f>база!$L$5</f>
        <v>231.45480000000001</v>
      </c>
      <c r="R816" s="271">
        <v>1.3</v>
      </c>
      <c r="S816" s="98">
        <f>SUMIFS(Таблица1[сумма],Таблица1[коэф],"1,3",Таблица1[р/р],"4/16",Таблица1[Ф. И. О.],B814)</f>
        <v>0</v>
      </c>
      <c r="T816" s="94">
        <f t="shared" si="507"/>
        <v>0</v>
      </c>
      <c r="U816" s="314">
        <f>база!$M$5</f>
        <v>247.41720000000001</v>
      </c>
      <c r="V816" s="271">
        <v>1.3</v>
      </c>
      <c r="W816" s="307">
        <f>SUMIFS(Таблица1[сумма],Таблица1[коэф],"1,3",Таблица1[р/р],"4/24",Таблица1[Ф. И. О.],B814)</f>
        <v>0</v>
      </c>
      <c r="X816" s="313">
        <f t="shared" si="508"/>
        <v>0</v>
      </c>
      <c r="Y816" s="808"/>
      <c r="Z816" s="810"/>
      <c r="AA816" s="813"/>
    </row>
    <row r="817" spans="1:29">
      <c r="A817" s="756"/>
      <c r="B817" s="215"/>
      <c r="C817" s="815"/>
      <c r="D817" s="817"/>
      <c r="E817" s="78"/>
      <c r="F817" s="271"/>
      <c r="G817" s="98"/>
      <c r="H817" s="94"/>
      <c r="I817" s="334"/>
      <c r="J817" s="278"/>
      <c r="K817" s="216"/>
      <c r="L817" s="216"/>
      <c r="M817" s="216"/>
      <c r="N817" s="216"/>
      <c r="O817" s="216"/>
      <c r="P817" s="30"/>
      <c r="Q817" s="78">
        <f>IF(D809&lt;=3,база!$L$4,
IF(D809=4,база!$L$5,
IF(D809=5,база!$L$6)))</f>
        <v>210.57480000000001</v>
      </c>
      <c r="R817" s="271">
        <v>1.4</v>
      </c>
      <c r="S817" s="98">
        <f>SUMIFS(Таблица1[сумма],Таблица1[коэф],"1,4",Таблица1[р/р],"3/16",Таблица1[Ф. И. О.],B814)</f>
        <v>0</v>
      </c>
      <c r="T817" s="94">
        <f>ROUND(Q817*R817*S817,2)</f>
        <v>0</v>
      </c>
      <c r="U817" s="314">
        <f>IF(D809&lt;=3,база!$M$4,
IF(D809=4,база!$M$5,
IF(D809=5,база!$M$6)))</f>
        <v>225.09719999999999</v>
      </c>
      <c r="V817" s="271">
        <v>1.4</v>
      </c>
      <c r="W817" s="307">
        <f>SUMIFS(Таблица1[сумма],Таблица1[коэф],"1,4",Таблица1[р/р],"3/24",Таблица1[Ф. И. О.],B814)</f>
        <v>0</v>
      </c>
      <c r="X817" s="313">
        <f>ROUND(U817*V817*W817,2)</f>
        <v>0</v>
      </c>
      <c r="Y817" s="808"/>
      <c r="Z817" s="810"/>
      <c r="AA817" s="813"/>
    </row>
    <row r="818" spans="1:29">
      <c r="A818" s="756"/>
      <c r="B818" s="215"/>
      <c r="C818" s="815"/>
      <c r="D818" s="817"/>
      <c r="E818" s="78"/>
      <c r="F818" s="271"/>
      <c r="G818" s="98"/>
      <c r="H818" s="94"/>
      <c r="I818" s="334"/>
      <c r="J818" s="278"/>
      <c r="K818" s="216"/>
      <c r="L818" s="216"/>
      <c r="M818" s="216"/>
      <c r="N818" s="216"/>
      <c r="O818" s="216"/>
      <c r="P818" s="30"/>
      <c r="Q818" s="78">
        <f>база!$L$5</f>
        <v>231.45480000000001</v>
      </c>
      <c r="R818" s="271">
        <v>1.4</v>
      </c>
      <c r="S818" s="98">
        <f>SUMIFS(Таблица1[сумма],Таблица1[коэф],"1,4",Таблица1[р/р],"4/16",Таблица1[Ф. И. О.],B814)</f>
        <v>0</v>
      </c>
      <c r="T818" s="94">
        <f>ROUND(Q818*R818*S818,2)</f>
        <v>0</v>
      </c>
      <c r="U818" s="314">
        <f>база!$M$5</f>
        <v>247.41720000000001</v>
      </c>
      <c r="V818" s="271">
        <v>1.4</v>
      </c>
      <c r="W818" s="307">
        <f>SUMIFS(Таблица1[сумма],Таблица1[коэф],"1,4",Таблица1[р/р],"4/24",Таблица1[Ф. И. О.],B814)</f>
        <v>0</v>
      </c>
      <c r="X818" s="313">
        <f>ROUND(U818*V818*W818,2)</f>
        <v>0</v>
      </c>
      <c r="Y818" s="808"/>
      <c r="Z818" s="810"/>
      <c r="AA818" s="813"/>
    </row>
    <row r="819" spans="1:29" ht="24" thickBot="1">
      <c r="A819" s="757"/>
      <c r="B819" s="352"/>
      <c r="C819" s="816"/>
      <c r="D819" s="818"/>
      <c r="E819" s="76"/>
      <c r="F819" s="275"/>
      <c r="G819" s="620"/>
      <c r="H819" s="93"/>
      <c r="I819" s="621"/>
      <c r="J819" s="594"/>
      <c r="K819" s="622"/>
      <c r="L819" s="328"/>
      <c r="M819" s="621"/>
      <c r="N819" s="622"/>
      <c r="O819" s="622"/>
      <c r="P819" s="289"/>
      <c r="Q819" s="675">
        <f>база!$L$6</f>
        <v>261.04640000000001</v>
      </c>
      <c r="R819" s="275">
        <v>1.4</v>
      </c>
      <c r="S819" s="99">
        <f>SUMIFS(Таблица1[сумма],Таблица1[коэф],"1,4",Таблица1[р/р],"5/16",Таблица1[Ф. И. О.],B814)</f>
        <v>0</v>
      </c>
      <c r="T819" s="93">
        <f>ROUND(Q819*R819*S819,2)</f>
        <v>0</v>
      </c>
      <c r="U819" s="83">
        <f>база!$M$6</f>
        <v>279.0496</v>
      </c>
      <c r="V819" s="273">
        <v>1.4</v>
      </c>
      <c r="W819" s="99">
        <f>SUMIFS(Таблица1[сумма],Таблица1[коэф],"1,4",Таблица1[р/р],"5/24",Таблица1[Ф. И. О.],B814)</f>
        <v>0</v>
      </c>
      <c r="X819" s="93">
        <f>ROUND(U819*V819*W819,2)</f>
        <v>0</v>
      </c>
      <c r="Y819" s="809"/>
      <c r="Z819" s="811"/>
      <c r="AA819" s="814"/>
    </row>
    <row r="820" spans="1:29" ht="18.75" customHeight="1">
      <c r="A820" s="755">
        <v>75</v>
      </c>
      <c r="B820" s="215"/>
      <c r="C820" s="722">
        <f>INDEX(база!$E$2:$E$181, MATCH(B825,база!$B$2:$B$160,0))</f>
        <v>17302</v>
      </c>
      <c r="D820" s="724">
        <f>INDEX(база!$D$2:$D$189, MATCH(B825,база!$B$2:$B$160,0))</f>
        <v>3</v>
      </c>
      <c r="E820" s="74">
        <f>IF(D820&lt;=3,база!$I$4,
IF(D820=4,база!$I$5,
IF(D820=5,база!$I$6)))</f>
        <v>188.7912</v>
      </c>
      <c r="F820" s="270">
        <v>1</v>
      </c>
      <c r="G820" s="96">
        <f>SUMIFS(Таблица1[сумма],Таблица1[коэф],"1",Таблица1[р/р],"2/4",Таблица1[Ф. И. О.],B825)</f>
        <v>0</v>
      </c>
      <c r="H820" s="102">
        <f>ROUND(E820*F820*G820,2)</f>
        <v>0</v>
      </c>
      <c r="I820" s="344">
        <f>IF(D820&lt;=3,база!$J$4,
IF(D820=4,база!$J$5,
IF(D820=5,база!$J$6)))</f>
        <v>196.05240000000001</v>
      </c>
      <c r="J820" s="277">
        <v>1</v>
      </c>
      <c r="K820" s="309">
        <f>SUMIFS(Таблица1[сумма],Таблица1[коэф],"1",Таблица1[р/р],"2/8",Таблица1[Ф. И. О.],B825)</f>
        <v>0</v>
      </c>
      <c r="L820" s="309">
        <f>ROUND(I820*J820*K820,2)</f>
        <v>0</v>
      </c>
      <c r="M820" s="309"/>
      <c r="N820" s="309">
        <v>1</v>
      </c>
      <c r="O820" s="309">
        <f>SUMIFS(Data_Tech!$AM$3:$AM$67,Data_Tech!$E$3:$E$67,"1",Data_Tech!$G$3:$G$67,"3/12",Data_Tech!$F$3:$F$67,B825)</f>
        <v>0</v>
      </c>
      <c r="P820" s="281">
        <f>ROUND(M820*N820*O820,2)</f>
        <v>0</v>
      </c>
      <c r="Q820" s="74">
        <f>IF(D820&lt;=3,база!$L$4,
IF(D820=4,база!$L$5,
IF(D820=5,база!$L$6)))</f>
        <v>210.57480000000001</v>
      </c>
      <c r="R820" s="270">
        <v>1</v>
      </c>
      <c r="S820" s="96">
        <f>SUMIFS(Таблица1[сумма],Таблица1[коэф],"1",Таблица1[р/р],"3/16",Таблица1[Ф. И. О.],B825)</f>
        <v>0</v>
      </c>
      <c r="T820" s="102">
        <f t="shared" ref="T820:T824" si="509">ROUND(Q820*R820*S820,2)</f>
        <v>0</v>
      </c>
      <c r="U820" s="349">
        <f>IF(D820&lt;=3,база!$M$4,
IF(D820=4,база!$M$5,
IF(D820=5,база!$M$6)))</f>
        <v>225.09719999999999</v>
      </c>
      <c r="V820" s="270">
        <v>1</v>
      </c>
      <c r="W820" s="337">
        <f>SUMIFS(Таблица1[сумма],Таблица1[коэф],"1",Таблица1[р/р],"3/24",Таблица1[Ф. И. О.],B825)</f>
        <v>0</v>
      </c>
      <c r="X820" s="351">
        <f>ROUND(U820*V820*W820,2)</f>
        <v>0</v>
      </c>
      <c r="Y820" s="807">
        <f t="shared" ref="Y820" si="510">SUM(G820:G830,K820:K830,O820:O830,S820:S830,W820:W830)</f>
        <v>0</v>
      </c>
      <c r="Z820" s="810">
        <f t="shared" ref="Z820" si="511">IFERROR(SUM(H820:H830,L820:L830,T820:T830,X820:X830),"")</f>
        <v>0</v>
      </c>
      <c r="AA820" s="812"/>
    </row>
    <row r="821" spans="1:29" ht="18.75" customHeight="1">
      <c r="A821" s="756"/>
      <c r="B821" s="215"/>
      <c r="C821" s="722"/>
      <c r="D821" s="724"/>
      <c r="E821" s="78">
        <f>IF(D820&lt;=3,база!$I$4,
IF(D820=4,база!$I$5,
IF(D820=5,база!$I$6)))</f>
        <v>188.7912</v>
      </c>
      <c r="F821" s="271">
        <v>1</v>
      </c>
      <c r="G821" s="98">
        <f>SUMIFS(Таблица1[сумма],Таблица1[коэф],"1",Таблица1[р/р],"3/4",Таблица1[Ф. И. О.],B825)</f>
        <v>0</v>
      </c>
      <c r="H821" s="94">
        <f>ROUND(E821*F821*G821,2)</f>
        <v>0</v>
      </c>
      <c r="I821" s="334">
        <f>IF(D820&lt;=3,база!$J$4,
IF(D820=4,база!$J$5,
IF(D820=5,база!$J$6)))</f>
        <v>196.05240000000001</v>
      </c>
      <c r="J821" s="278">
        <v>1</v>
      </c>
      <c r="K821" s="216"/>
      <c r="L821" s="216">
        <f>ROUND(I821*J821*K821,2)</f>
        <v>0</v>
      </c>
      <c r="M821" s="216"/>
      <c r="N821" s="216">
        <v>1</v>
      </c>
      <c r="O821" s="216">
        <f>SUMIFS(Data_Tech!$AM$3:$AM$67,Data_Tech!$E$3:$E$67,"1",Data_Tech!$G$3:$G$67,"4/12",Data_Tech!$F$3:$F$67,B825)</f>
        <v>0</v>
      </c>
      <c r="P821" s="30">
        <f>ROUND(M821*O821,2)</f>
        <v>0</v>
      </c>
      <c r="Q821" s="78">
        <f>база!$L$5</f>
        <v>231.45480000000001</v>
      </c>
      <c r="R821" s="271">
        <v>1</v>
      </c>
      <c r="S821" s="98">
        <f>SUMIFS(Таблица1[сумма],Таблица1[коэф],"1",Таблица1[р/р],"4/16",Таблица1[Ф. И. О.],B825)</f>
        <v>0</v>
      </c>
      <c r="T821" s="94">
        <f t="shared" si="509"/>
        <v>0</v>
      </c>
      <c r="U821" s="314">
        <f>база!$M$5</f>
        <v>247.41720000000001</v>
      </c>
      <c r="V821" s="271">
        <v>1</v>
      </c>
      <c r="W821" s="307">
        <f>SUMIFS(Таблица1[сумма],Таблица1[коэф],"1",Таблица1[р/р],"4/24",Таблица1[Ф. И. О.],B825)</f>
        <v>0</v>
      </c>
      <c r="X821" s="313">
        <f t="shared" ref="X821" si="512">ROUND(U821*V821*W821,2)</f>
        <v>0</v>
      </c>
      <c r="Y821" s="808"/>
      <c r="Z821" s="810"/>
      <c r="AA821" s="813"/>
    </row>
    <row r="822" spans="1:29" ht="18.75" customHeight="1">
      <c r="A822" s="756"/>
      <c r="B822" s="215"/>
      <c r="C822" s="722"/>
      <c r="D822" s="724"/>
      <c r="E822" s="78"/>
      <c r="F822" s="271"/>
      <c r="G822" s="98"/>
      <c r="H822" s="94"/>
      <c r="I822" s="334"/>
      <c r="J822" s="278"/>
      <c r="K822" s="216"/>
      <c r="L822" s="216"/>
      <c r="M822" s="216"/>
      <c r="N822" s="216"/>
      <c r="O822" s="216"/>
      <c r="P822" s="30"/>
      <c r="Q822" s="78">
        <f>база!$L$6</f>
        <v>261.04640000000001</v>
      </c>
      <c r="R822" s="271">
        <v>1</v>
      </c>
      <c r="S822" s="98">
        <f>SUMIFS(Таблица1[сумма],Таблица1[коэф],"1",Таблица1[р/р],"5/16",Таблица1[Ф. И. О.],B825)</f>
        <v>0</v>
      </c>
      <c r="T822" s="94">
        <f t="shared" si="509"/>
        <v>0</v>
      </c>
      <c r="U822" s="314">
        <f>база!$M$6</f>
        <v>279.0496</v>
      </c>
      <c r="V822" s="271">
        <v>1</v>
      </c>
      <c r="W822" s="307">
        <f>SUMIFS(Таблица1[сумма],Таблица1[коэф],"1",Таблица1[р/р],"5/24",Таблица1[Ф. И. О.],B825)</f>
        <v>0</v>
      </c>
      <c r="X822" s="313">
        <f>ROUND(U822*V822*W822,2)</f>
        <v>0</v>
      </c>
      <c r="Y822" s="808"/>
      <c r="Z822" s="810"/>
      <c r="AA822" s="813"/>
    </row>
    <row r="823" spans="1:29" ht="18.75" customHeight="1">
      <c r="A823" s="756"/>
      <c r="B823" s="215"/>
      <c r="C823" s="722"/>
      <c r="D823" s="724"/>
      <c r="E823" s="78"/>
      <c r="F823" s="271"/>
      <c r="G823" s="98"/>
      <c r="H823" s="94"/>
      <c r="I823" s="334">
        <f>база!$J$5</f>
        <v>215.4924</v>
      </c>
      <c r="J823" s="278">
        <v>1.5</v>
      </c>
      <c r="K823" s="216">
        <f>SUMIFS(Таблица1[сумма],Таблица1[коэф],"1,5",Таблица1[р/р],"4/8",Таблица1[Ф. И. О.],B825)</f>
        <v>0</v>
      </c>
      <c r="L823" s="216">
        <f>ROUND(I823*J823*K823,2)</f>
        <v>0</v>
      </c>
      <c r="M823" s="216"/>
      <c r="N823" s="216"/>
      <c r="O823" s="216"/>
      <c r="P823" s="30"/>
      <c r="Q823" s="78">
        <f>IF(D820&lt;=3,база!$L$4,
IF(D820=4,база!$L$5,
IF(D820=5,база!$L$6)))</f>
        <v>210.57480000000001</v>
      </c>
      <c r="R823" s="271">
        <v>1.2</v>
      </c>
      <c r="S823" s="98">
        <f>SUMIFS(Таблица1[сумма],Таблица1[коэф],"1,2",Таблица1[р/р],"3/16",Таблица1[Ф. И. О.],B825)</f>
        <v>0</v>
      </c>
      <c r="T823" s="94">
        <f t="shared" si="509"/>
        <v>0</v>
      </c>
      <c r="U823" s="314">
        <f>IF(D820&lt;=3,база!$M$4,
IF(D820=4,база!$M$5,
IF(D820=5,база!$M$6)))</f>
        <v>225.09719999999999</v>
      </c>
      <c r="V823" s="271">
        <v>1.2</v>
      </c>
      <c r="W823" s="307">
        <f>SUMIFS(Таблица1[сумма],Таблица1[коэф],"1,2",Таблица1[р/р],"3/24",Таблица1[Ф. И. О.],B825)</f>
        <v>0</v>
      </c>
      <c r="X823" s="313">
        <f t="shared" ref="X823:X824" si="513">ROUND(U823*V823*W823,2)</f>
        <v>0</v>
      </c>
      <c r="Y823" s="808"/>
      <c r="Z823" s="810"/>
      <c r="AA823" s="813"/>
    </row>
    <row r="824" spans="1:29" ht="18.75" customHeight="1">
      <c r="A824" s="756"/>
      <c r="B824" s="215"/>
      <c r="C824" s="722"/>
      <c r="D824" s="724"/>
      <c r="E824" s="78"/>
      <c r="F824" s="271"/>
      <c r="G824" s="98"/>
      <c r="H824" s="94"/>
      <c r="I824" s="334">
        <f>база!$J$6</f>
        <v>243.04319999999998</v>
      </c>
      <c r="J824" s="278">
        <v>1.5</v>
      </c>
      <c r="K824" s="216">
        <f>SUMIFS(Таблица1[сумма],Таблица1[коэф],"1,5",Таблица1[р/р],"5/8",Таблица1[Ф. И. О.],B825)</f>
        <v>0</v>
      </c>
      <c r="L824" s="216">
        <f>ROUND(I824*J824*K824,2)</f>
        <v>0</v>
      </c>
      <c r="M824" s="216"/>
      <c r="N824" s="216"/>
      <c r="O824" s="216"/>
      <c r="P824" s="30"/>
      <c r="Q824" s="78">
        <f>база!$L$5</f>
        <v>231.45480000000001</v>
      </c>
      <c r="R824" s="271">
        <v>1.2</v>
      </c>
      <c r="S824" s="98">
        <f>SUMIFS(Таблица1[сумма],Таблица1[коэф],"1,2",Таблица1[р/р],"4/16",Таблица1[Ф. И. О.],B825)</f>
        <v>0</v>
      </c>
      <c r="T824" s="94">
        <f t="shared" si="509"/>
        <v>0</v>
      </c>
      <c r="U824" s="314">
        <f>база!$M$5</f>
        <v>247.41720000000001</v>
      </c>
      <c r="V824" s="271">
        <v>1.2</v>
      </c>
      <c r="W824" s="307">
        <f>SUMIFS(Таблица1[сумма],Таблица1[коэф],"1,2",Таблица1[р/р],"4/24",Таблица1[Ф. И. О.],B825)</f>
        <v>0</v>
      </c>
      <c r="X824" s="313">
        <f t="shared" si="513"/>
        <v>0</v>
      </c>
      <c r="Y824" s="808"/>
      <c r="Z824" s="810"/>
      <c r="AA824" s="813"/>
      <c r="AC824" s="707" t="str">
        <f>IF(SUMIFS(Таблица1[Столбец2],Таблица1[Ф. И. О.],B825)-Z820=0,"",SUMIFS(Таблица1[Столбец2],Таблица1[Ф. И. О.],B825)-Z820)</f>
        <v/>
      </c>
    </row>
    <row r="825" spans="1:29" ht="18.75" customHeight="1">
      <c r="A825" s="756"/>
      <c r="B825" s="215" t="str">
        <f>база!B76</f>
        <v>Черкасова Дарья Викторовна</v>
      </c>
      <c r="C825" s="722"/>
      <c r="D825" s="724"/>
      <c r="E825" s="78"/>
      <c r="F825" s="271"/>
      <c r="G825" s="98"/>
      <c r="H825" s="94"/>
      <c r="I825" s="334"/>
      <c r="J825" s="278"/>
      <c r="K825" s="216"/>
      <c r="L825" s="216"/>
      <c r="M825" s="216"/>
      <c r="N825" s="216"/>
      <c r="O825" s="216"/>
      <c r="P825" s="30"/>
      <c r="Q825" s="78">
        <f>база!$L$6</f>
        <v>261.04640000000001</v>
      </c>
      <c r="R825" s="271">
        <v>1.2</v>
      </c>
      <c r="S825" s="98">
        <f>SUMIFS(Таблица1[сумма],Таблица1[коэф],"1,2",Таблица1[р/р],"5/16",Таблица1[Ф. И. О.],B825)</f>
        <v>0</v>
      </c>
      <c r="T825" s="94">
        <f>ROUND(Q825*R825*S825,2)</f>
        <v>0</v>
      </c>
      <c r="U825" s="314">
        <f>база!$M$6</f>
        <v>279.0496</v>
      </c>
      <c r="V825" s="271">
        <v>1.2</v>
      </c>
      <c r="W825" s="307">
        <f>SUMIFS(Таблица1[сумма],Таблица1[коэф],"1,2",Таблица1[р/р],"5/24",Таблица1[Ф. И. О.],B825)</f>
        <v>0</v>
      </c>
      <c r="X825" s="313">
        <f>ROUND(U825*V825*W825,2)</f>
        <v>0</v>
      </c>
      <c r="Y825" s="808"/>
      <c r="Z825" s="810"/>
      <c r="AA825" s="813"/>
      <c r="AC825" s="707" t="str">
        <f>IF(SUMIFS(Таблица1[сумма],Таблица1[Ф. И. О.],B825)=Y820,"",B820&amp;"  часы не верны")</f>
        <v/>
      </c>
    </row>
    <row r="826" spans="1:29" ht="18.75" customHeight="1">
      <c r="A826" s="756"/>
      <c r="B826" s="215"/>
      <c r="C826" s="722"/>
      <c r="D826" s="724"/>
      <c r="E826" s="78"/>
      <c r="F826" s="271"/>
      <c r="G826" s="98"/>
      <c r="H826" s="94"/>
      <c r="I826" s="334"/>
      <c r="J826" s="278"/>
      <c r="K826" s="216"/>
      <c r="L826" s="216"/>
      <c r="M826" s="216"/>
      <c r="N826" s="216"/>
      <c r="O826" s="216"/>
      <c r="P826" s="30"/>
      <c r="Q826" s="78">
        <f>IF($D$6&lt;=3,база!$L$4,
IF($D$6=4,база!$L$5,
IF($D$6=5,база!$L$6)))</f>
        <v>231.45480000000001</v>
      </c>
      <c r="R826" s="271">
        <v>1.3</v>
      </c>
      <c r="S826" s="98">
        <f>SUMIFS(Таблица1[сумма],Таблица1[коэф],"1,3",Таблица1[р/р],"3/16",Таблица1[Ф. И. О.],B825)</f>
        <v>0</v>
      </c>
      <c r="T826" s="94">
        <f t="shared" ref="T826:T827" si="514">ROUND(Q826*R826*S826,2)</f>
        <v>0</v>
      </c>
      <c r="U826" s="314">
        <f>IF(D820&lt;=3,база!$M$4,
IF(D820=4,база!$M$5,
IF(D820=5,база!$M$6)))</f>
        <v>225.09719999999999</v>
      </c>
      <c r="V826" s="271">
        <v>1.3</v>
      </c>
      <c r="W826" s="307">
        <f>SUMIFS(Таблица1[сумма],Таблица1[коэф],"1,3",Таблица1[р/р],"3/24",Таблица1[Ф. И. О.],B825)</f>
        <v>0</v>
      </c>
      <c r="X826" s="313">
        <f t="shared" ref="X826:X827" si="515">ROUND(U826*V826*W826,2)</f>
        <v>0</v>
      </c>
      <c r="Y826" s="808"/>
      <c r="Z826" s="810"/>
      <c r="AA826" s="813"/>
    </row>
    <row r="827" spans="1:29" ht="18.75" customHeight="1">
      <c r="A827" s="756"/>
      <c r="B827" s="215"/>
      <c r="C827" s="722"/>
      <c r="D827" s="724"/>
      <c r="E827" s="78"/>
      <c r="F827" s="271"/>
      <c r="G827" s="98"/>
      <c r="H827" s="94"/>
      <c r="I827" s="334"/>
      <c r="J827" s="278"/>
      <c r="K827" s="216"/>
      <c r="L827" s="216"/>
      <c r="M827" s="216"/>
      <c r="N827" s="216"/>
      <c r="O827" s="216"/>
      <c r="P827" s="30"/>
      <c r="Q827" s="78">
        <f>база!$L$5</f>
        <v>231.45480000000001</v>
      </c>
      <c r="R827" s="271">
        <v>1.3</v>
      </c>
      <c r="S827" s="98">
        <f>SUMIFS(Таблица1[сумма],Таблица1[коэф],"1,3",Таблица1[р/р],"4/16",Таблица1[Ф. И. О.],B825)</f>
        <v>0</v>
      </c>
      <c r="T827" s="94">
        <f t="shared" si="514"/>
        <v>0</v>
      </c>
      <c r="U827" s="314">
        <f>база!$M$5</f>
        <v>247.41720000000001</v>
      </c>
      <c r="V827" s="271">
        <v>1.3</v>
      </c>
      <c r="W827" s="307">
        <f>SUMIFS(Таблица1[сумма],Таблица1[коэф],"1,3",Таблица1[р/р],"4/24",Таблица1[Ф. И. О.],B825)</f>
        <v>0</v>
      </c>
      <c r="X827" s="313">
        <f t="shared" si="515"/>
        <v>0</v>
      </c>
      <c r="Y827" s="808"/>
      <c r="Z827" s="810"/>
      <c r="AA827" s="813"/>
    </row>
    <row r="828" spans="1:29" ht="18.75" customHeight="1">
      <c r="A828" s="756"/>
      <c r="B828" s="215"/>
      <c r="C828" s="722"/>
      <c r="D828" s="724"/>
      <c r="E828" s="78"/>
      <c r="F828" s="271"/>
      <c r="G828" s="98"/>
      <c r="H828" s="94"/>
      <c r="I828" s="334"/>
      <c r="J828" s="278"/>
      <c r="K828" s="216"/>
      <c r="L828" s="216"/>
      <c r="M828" s="216"/>
      <c r="N828" s="216"/>
      <c r="O828" s="216"/>
      <c r="P828" s="30"/>
      <c r="Q828" s="78">
        <f>IF(D820&lt;=3,база!$L$4,
IF(D820=4,база!$L$5,
IF(D820=5,база!$L$6)))</f>
        <v>210.57480000000001</v>
      </c>
      <c r="R828" s="271">
        <v>1.4</v>
      </c>
      <c r="S828" s="98">
        <f>SUMIFS(Таблица1[сумма],Таблица1[коэф],"1,4",Таблица1[р/р],"3/16",Таблица1[Ф. И. О.],B825)</f>
        <v>0</v>
      </c>
      <c r="T828" s="94">
        <f>ROUND(Q828*R828*S828,2)</f>
        <v>0</v>
      </c>
      <c r="U828" s="314">
        <f>IF(D820&lt;=3,база!$M$4,
IF(D820=4,база!$M$5,
IF(D820=5,база!$M$6)))</f>
        <v>225.09719999999999</v>
      </c>
      <c r="V828" s="271">
        <v>1.4</v>
      </c>
      <c r="W828" s="307">
        <f>SUMIFS(Таблица1[сумма],Таблица1[коэф],"1,4",Таблица1[р/р],"3/24",Таблица1[Ф. И. О.],B825)</f>
        <v>0</v>
      </c>
      <c r="X828" s="313">
        <f>ROUND(U828*V828*W828,2)</f>
        <v>0</v>
      </c>
      <c r="Y828" s="808"/>
      <c r="Z828" s="810"/>
      <c r="AA828" s="813"/>
    </row>
    <row r="829" spans="1:29" ht="18.75" customHeight="1">
      <c r="A829" s="756"/>
      <c r="B829" s="215"/>
      <c r="C829" s="722"/>
      <c r="D829" s="724"/>
      <c r="E829" s="78"/>
      <c r="F829" s="271"/>
      <c r="G829" s="98"/>
      <c r="H829" s="94"/>
      <c r="I829" s="334"/>
      <c r="J829" s="278"/>
      <c r="K829" s="216"/>
      <c r="L829" s="216"/>
      <c r="M829" s="216"/>
      <c r="N829" s="216"/>
      <c r="O829" s="216"/>
      <c r="P829" s="30"/>
      <c r="Q829" s="78">
        <f>база!$L$5</f>
        <v>231.45480000000001</v>
      </c>
      <c r="R829" s="271">
        <v>1.4</v>
      </c>
      <c r="S829" s="98">
        <f>SUMIFS(Таблица1[сумма],Таблица1[коэф],"1,4",Таблица1[р/р],"4/16",Таблица1[Ф. И. О.],B825)</f>
        <v>0</v>
      </c>
      <c r="T829" s="94">
        <f>ROUND(Q829*R829*S829,2)</f>
        <v>0</v>
      </c>
      <c r="U829" s="314">
        <f>база!$M$5</f>
        <v>247.41720000000001</v>
      </c>
      <c r="V829" s="271">
        <v>1.4</v>
      </c>
      <c r="W829" s="307">
        <f>SUMIFS(Таблица1[сумма],Таблица1[коэф],"1,4",Таблица1[р/р],"4/24",Таблица1[Ф. И. О.],B825)</f>
        <v>0</v>
      </c>
      <c r="X829" s="313">
        <f>ROUND(U829*V829*W829,2)</f>
        <v>0</v>
      </c>
      <c r="Y829" s="808"/>
      <c r="Z829" s="810"/>
      <c r="AA829" s="813"/>
    </row>
    <row r="830" spans="1:29" ht="19.5" customHeight="1" thickBot="1">
      <c r="A830" s="757"/>
      <c r="B830" s="352"/>
      <c r="C830" s="723"/>
      <c r="D830" s="725"/>
      <c r="E830" s="101"/>
      <c r="F830" s="273"/>
      <c r="G830" s="624"/>
      <c r="H830" s="90"/>
      <c r="I830" s="625"/>
      <c r="J830" s="279"/>
      <c r="K830" s="626"/>
      <c r="L830" s="288"/>
      <c r="M830" s="625"/>
      <c r="N830" s="626"/>
      <c r="O830" s="626"/>
      <c r="P830" s="315"/>
      <c r="Q830" s="627">
        <f>база!$L$6</f>
        <v>261.04640000000001</v>
      </c>
      <c r="R830" s="273">
        <v>1.4</v>
      </c>
      <c r="S830" s="97">
        <f>SUMIFS(Таблица1[сумма],Таблица1[коэф],"1,4",Таблица1[р/р],"5/16",Таблица1[Ф. И. О.],B825)</f>
        <v>0</v>
      </c>
      <c r="T830" s="90">
        <f>ROUND(Q830*R830*S830,2)</f>
        <v>0</v>
      </c>
      <c r="U830" s="220">
        <f>база!$M$6</f>
        <v>279.0496</v>
      </c>
      <c r="V830" s="273">
        <v>1.4</v>
      </c>
      <c r="W830" s="97">
        <f>SUMIFS(Таблица1[сумма],Таблица1[коэф],"1,4",Таблица1[р/р],"5/24",Таблица1[Ф. И. О.],B825)</f>
        <v>0</v>
      </c>
      <c r="X830" s="90">
        <f>ROUND(U830*V830*W830,2)</f>
        <v>0</v>
      </c>
      <c r="Y830" s="809"/>
      <c r="Z830" s="811"/>
      <c r="AA830" s="814"/>
    </row>
    <row r="831" spans="1:29" ht="18.75" customHeight="1">
      <c r="A831" s="755">
        <v>76</v>
      </c>
      <c r="B831" s="215"/>
      <c r="C831" s="722">
        <f>INDEX(база!$E$2:$E$181, MATCH(B836,база!$B$2:$B$160,0))</f>
        <v>15260</v>
      </c>
      <c r="D831" s="724">
        <f>INDEX(база!$D$2:$D$189, MATCH(B836,база!$B$2:$B$160,0))</f>
        <v>4</v>
      </c>
      <c r="E831" s="74">
        <f>IF(D831&lt;=3,база!$I$4,
IF(D831=4,база!$I$5,
IF(D831=5,база!$I$6)))</f>
        <v>207.5112</v>
      </c>
      <c r="F831" s="270">
        <v>1</v>
      </c>
      <c r="G831" s="96">
        <f>SUMIFS(Таблица1[сумма],Таблица1[коэф],"1",Таблица1[р/р],"2/4",Таблица1[Ф. И. О.],B836)</f>
        <v>0</v>
      </c>
      <c r="H831" s="102">
        <f>ROUND(E831*F831*G831,2)</f>
        <v>0</v>
      </c>
      <c r="I831" s="344">
        <f>IF(D831&lt;=3,база!$J$4,
IF(D831=4,база!$J$5,
IF(D831=5,база!$J$6)))</f>
        <v>215.4924</v>
      </c>
      <c r="J831" s="277">
        <v>1</v>
      </c>
      <c r="K831" s="309">
        <f>SUMIFS(Таблица1[сумма],Таблица1[коэф],"1",Таблица1[р/р],"2/8",Таблица1[Ф. И. О.],B836)</f>
        <v>0</v>
      </c>
      <c r="L831" s="309">
        <f>ROUND(I831*J831*K831,2)</f>
        <v>0</v>
      </c>
      <c r="M831" s="309"/>
      <c r="N831" s="309">
        <v>1</v>
      </c>
      <c r="O831" s="309">
        <f>SUMIFS(Data_Tech!$AM$3:$AM$67,Data_Tech!$E$3:$E$67,"1",Data_Tech!$G$3:$G$67,"3/12",Data_Tech!$F$3:$F$67,B836)</f>
        <v>0</v>
      </c>
      <c r="P831" s="281">
        <f>ROUND(M831*N831*O831,2)</f>
        <v>0</v>
      </c>
      <c r="Q831" s="74">
        <f>IF(D831&lt;=3,база!$L$4,
IF(D831=4,база!$L$5,
IF(D831=5,база!$L$6)))</f>
        <v>231.45480000000001</v>
      </c>
      <c r="R831" s="270">
        <v>1</v>
      </c>
      <c r="S831" s="96">
        <f>SUMIFS(Таблица1[сумма],Таблица1[коэф],"1",Таблица1[р/р],"3/16",Таблица1[Ф. И. О.],B836)</f>
        <v>0</v>
      </c>
      <c r="T831" s="102">
        <f t="shared" ref="T831:T835" si="516">ROUND(Q831*R831*S831,2)</f>
        <v>0</v>
      </c>
      <c r="U831" s="349">
        <f>IF(D831&lt;=3,база!$M$4,
IF(D831=4,база!$M$5,
IF(D831=5,база!$M$6)))</f>
        <v>247.41720000000001</v>
      </c>
      <c r="V831" s="270">
        <v>1</v>
      </c>
      <c r="W831" s="337">
        <f>SUMIFS(Таблица1[сумма],Таблица1[коэф],"1",Таблица1[р/р],"3/24",Таблица1[Ф. И. О.],B836)</f>
        <v>0</v>
      </c>
      <c r="X831" s="351">
        <f>ROUND(U831*V831*W831,2)</f>
        <v>0</v>
      </c>
      <c r="Y831" s="807">
        <f t="shared" ref="Y831" si="517">SUM(G831:G841,K831:K841,O831:O841,S831:S841,W831:W841)</f>
        <v>0</v>
      </c>
      <c r="Z831" s="810">
        <f t="shared" ref="Z831" si="518">IFERROR(SUM(H831:H841,L831:L841,T831:T841,X831:X841),"")</f>
        <v>0</v>
      </c>
      <c r="AA831" s="812"/>
    </row>
    <row r="832" spans="1:29" ht="18.75" customHeight="1">
      <c r="A832" s="756"/>
      <c r="B832" s="215"/>
      <c r="C832" s="722"/>
      <c r="D832" s="724"/>
      <c r="E832" s="78">
        <f>IF(D831&lt;=3,база!$I$4,
IF(D831=4,база!$I$5,
IF(D831=5,база!$I$6)))</f>
        <v>207.5112</v>
      </c>
      <c r="F832" s="271">
        <v>1</v>
      </c>
      <c r="G832" s="98">
        <f>SUMIFS(Таблица1[сумма],Таблица1[коэф],"1",Таблица1[р/р],"3/4",Таблица1[Ф. И. О.],B836)</f>
        <v>0</v>
      </c>
      <c r="H832" s="94">
        <f>ROUND(E832*F832*G832,2)</f>
        <v>0</v>
      </c>
      <c r="I832" s="334">
        <f>IF(D831&lt;=3,база!$J$4,
IF(D831=4,база!$J$5,
IF(D831=5,база!$J$6)))</f>
        <v>215.4924</v>
      </c>
      <c r="J832" s="278">
        <v>1</v>
      </c>
      <c r="K832" s="216"/>
      <c r="L832" s="216">
        <f>ROUND(I832*J832*K832,2)</f>
        <v>0</v>
      </c>
      <c r="M832" s="216"/>
      <c r="N832" s="216">
        <v>1</v>
      </c>
      <c r="O832" s="216">
        <f>SUMIFS(Data_Tech!$AM$3:$AM$67,Data_Tech!$E$3:$E$67,"1",Data_Tech!$G$3:$G$67,"4/12",Data_Tech!$F$3:$F$67,B836)</f>
        <v>0</v>
      </c>
      <c r="P832" s="30">
        <f>ROUND(M832*O832,2)</f>
        <v>0</v>
      </c>
      <c r="Q832" s="78">
        <f>база!$L$5</f>
        <v>231.45480000000001</v>
      </c>
      <c r="R832" s="271">
        <v>1</v>
      </c>
      <c r="S832" s="98">
        <f>SUMIFS(Таблица1[сумма],Таблица1[коэф],"1",Таблица1[р/р],"4/16",Таблица1[Ф. И. О.],B836)</f>
        <v>0</v>
      </c>
      <c r="T832" s="94">
        <f t="shared" si="516"/>
        <v>0</v>
      </c>
      <c r="U832" s="314">
        <f>база!$M$5</f>
        <v>247.41720000000001</v>
      </c>
      <c r="V832" s="271">
        <v>1</v>
      </c>
      <c r="W832" s="307">
        <f>SUMIFS(Таблица1[сумма],Таблица1[коэф],"1",Таблица1[р/р],"4/24",Таблица1[Ф. И. О.],B836)</f>
        <v>0</v>
      </c>
      <c r="X832" s="313">
        <f t="shared" ref="X832" si="519">ROUND(U832*V832*W832,2)</f>
        <v>0</v>
      </c>
      <c r="Y832" s="808"/>
      <c r="Z832" s="810"/>
      <c r="AA832" s="813"/>
    </row>
    <row r="833" spans="1:29" ht="18.75" customHeight="1">
      <c r="A833" s="756"/>
      <c r="B833" s="215"/>
      <c r="C833" s="722"/>
      <c r="D833" s="724"/>
      <c r="E833" s="78"/>
      <c r="F833" s="271"/>
      <c r="G833" s="98"/>
      <c r="H833" s="94"/>
      <c r="I833" s="334"/>
      <c r="J833" s="278"/>
      <c r="K833" s="216"/>
      <c r="L833" s="216"/>
      <c r="M833" s="216"/>
      <c r="N833" s="216"/>
      <c r="O833" s="216"/>
      <c r="P833" s="30"/>
      <c r="Q833" s="78">
        <f>база!$L$6</f>
        <v>261.04640000000001</v>
      </c>
      <c r="R833" s="271">
        <v>1</v>
      </c>
      <c r="S833" s="98">
        <f>SUMIFS(Таблица1[сумма],Таблица1[коэф],"1",Таблица1[р/р],"5/16",Таблица1[Ф. И. О.],B836)</f>
        <v>0</v>
      </c>
      <c r="T833" s="94">
        <f t="shared" si="516"/>
        <v>0</v>
      </c>
      <c r="U833" s="314">
        <f>база!$M$6</f>
        <v>279.0496</v>
      </c>
      <c r="V833" s="271">
        <v>1</v>
      </c>
      <c r="W833" s="307">
        <f>SUMIFS(Таблица1[сумма],Таблица1[коэф],"1",Таблица1[р/р],"5/24",Таблица1[Ф. И. О.],B836)</f>
        <v>0</v>
      </c>
      <c r="X833" s="313">
        <f>ROUND(U833*V833*W833,2)</f>
        <v>0</v>
      </c>
      <c r="Y833" s="808"/>
      <c r="Z833" s="810"/>
      <c r="AA833" s="813"/>
    </row>
    <row r="834" spans="1:29" ht="18.75" customHeight="1">
      <c r="A834" s="756"/>
      <c r="B834" s="215"/>
      <c r="C834" s="722"/>
      <c r="D834" s="724"/>
      <c r="E834" s="78"/>
      <c r="F834" s="271"/>
      <c r="G834" s="98"/>
      <c r="H834" s="94"/>
      <c r="I834" s="334">
        <f>база!$J$5</f>
        <v>215.4924</v>
      </c>
      <c r="J834" s="278">
        <v>1.5</v>
      </c>
      <c r="K834" s="216">
        <f>SUMIFS(Таблица1[сумма],Таблица1[коэф],"1,5",Таблица1[р/р],"4/8",Таблица1[Ф. И. О.],B836)</f>
        <v>0</v>
      </c>
      <c r="L834" s="216">
        <f>ROUND(I834*J834*K834,2)</f>
        <v>0</v>
      </c>
      <c r="M834" s="216"/>
      <c r="N834" s="216"/>
      <c r="O834" s="216"/>
      <c r="P834" s="30"/>
      <c r="Q834" s="78">
        <f>IF(D831&lt;=3,база!$L$4,
IF(D831=4,база!$L$5,
IF(D831=5,база!$L$6)))</f>
        <v>231.45480000000001</v>
      </c>
      <c r="R834" s="271">
        <v>1.2</v>
      </c>
      <c r="S834" s="98">
        <f>SUMIFS(Таблица1[сумма],Таблица1[коэф],"1,2",Таблица1[р/р],"3/16",Таблица1[Ф. И. О.],B836)</f>
        <v>0</v>
      </c>
      <c r="T834" s="94">
        <f t="shared" si="516"/>
        <v>0</v>
      </c>
      <c r="U834" s="314">
        <f>IF(D831&lt;=3,база!$M$4,
IF(D831=4,база!$M$5,
IF(D831=5,база!$M$6)))</f>
        <v>247.41720000000001</v>
      </c>
      <c r="V834" s="271">
        <v>1.2</v>
      </c>
      <c r="W834" s="307">
        <f>SUMIFS(Таблица1[сумма],Таблица1[коэф],"1,2",Таблица1[р/р],"3/24",Таблица1[Ф. И. О.],B836)</f>
        <v>0</v>
      </c>
      <c r="X834" s="313">
        <f t="shared" ref="X834:X835" si="520">ROUND(U834*V834*W834,2)</f>
        <v>0</v>
      </c>
      <c r="Y834" s="808"/>
      <c r="Z834" s="810"/>
      <c r="AA834" s="813"/>
    </row>
    <row r="835" spans="1:29" ht="18.75" customHeight="1">
      <c r="A835" s="756"/>
      <c r="B835" s="215"/>
      <c r="C835" s="722"/>
      <c r="D835" s="724"/>
      <c r="E835" s="78"/>
      <c r="F835" s="271"/>
      <c r="G835" s="98"/>
      <c r="H835" s="94"/>
      <c r="I835" s="334">
        <f>база!$J$6</f>
        <v>243.04319999999998</v>
      </c>
      <c r="J835" s="278">
        <v>1.5</v>
      </c>
      <c r="K835" s="216">
        <f>SUMIFS(Таблица1[сумма],Таблица1[коэф],"1,5",Таблица1[р/р],"5/8",Таблица1[Ф. И. О.],B836)</f>
        <v>0</v>
      </c>
      <c r="L835" s="216">
        <f>ROUND(I835*J835*K835,2)</f>
        <v>0</v>
      </c>
      <c r="M835" s="216"/>
      <c r="N835" s="216"/>
      <c r="O835" s="216"/>
      <c r="P835" s="30"/>
      <c r="Q835" s="78">
        <f>база!$L$5</f>
        <v>231.45480000000001</v>
      </c>
      <c r="R835" s="271">
        <v>1.2</v>
      </c>
      <c r="S835" s="98">
        <f>SUMIFS(Таблица1[сумма],Таблица1[коэф],"1,2",Таблица1[р/р],"4/16",Таблица1[Ф. И. О.],B836)</f>
        <v>0</v>
      </c>
      <c r="T835" s="94">
        <f t="shared" si="516"/>
        <v>0</v>
      </c>
      <c r="U835" s="314">
        <f>база!$M$5</f>
        <v>247.41720000000001</v>
      </c>
      <c r="V835" s="271">
        <v>1.2</v>
      </c>
      <c r="W835" s="307">
        <f>SUMIFS(Таблица1[сумма],Таблица1[коэф],"1,2",Таблица1[р/р],"4/24",Таблица1[Ф. И. О.],B836)</f>
        <v>0</v>
      </c>
      <c r="X835" s="313">
        <f t="shared" si="520"/>
        <v>0</v>
      </c>
      <c r="Y835" s="808"/>
      <c r="Z835" s="810"/>
      <c r="AA835" s="813"/>
      <c r="AC835" s="707" t="str">
        <f>IF(SUMIFS(Таблица1[Столбец2],Таблица1[Ф. И. О.],B836)-Z831=0,"",SUMIFS(Таблица1[Столбец2],Таблица1[Ф. И. О.],B836)-Z831)</f>
        <v/>
      </c>
    </row>
    <row r="836" spans="1:29" ht="18.75" customHeight="1">
      <c r="A836" s="756"/>
      <c r="B836" s="215" t="str">
        <f>база!B77</f>
        <v>Шамарина Светлана Владимировна</v>
      </c>
      <c r="C836" s="722"/>
      <c r="D836" s="724"/>
      <c r="E836" s="78"/>
      <c r="F836" s="271"/>
      <c r="G836" s="98"/>
      <c r="H836" s="94"/>
      <c r="I836" s="334"/>
      <c r="J836" s="278"/>
      <c r="K836" s="216"/>
      <c r="L836" s="216"/>
      <c r="M836" s="216"/>
      <c r="N836" s="216"/>
      <c r="O836" s="216"/>
      <c r="P836" s="30"/>
      <c r="Q836" s="78">
        <f>база!$L$6</f>
        <v>261.04640000000001</v>
      </c>
      <c r="R836" s="271">
        <v>1.2</v>
      </c>
      <c r="S836" s="98">
        <f>SUMIFS(Таблица1[сумма],Таблица1[коэф],"1,2",Таблица1[р/р],"5/16",Таблица1[Ф. И. О.],B836)</f>
        <v>0</v>
      </c>
      <c r="T836" s="94">
        <f>ROUND(Q836*R836*S836,2)</f>
        <v>0</v>
      </c>
      <c r="U836" s="314">
        <f>база!$M$6</f>
        <v>279.0496</v>
      </c>
      <c r="V836" s="271">
        <v>1.2</v>
      </c>
      <c r="W836" s="307">
        <f>SUMIFS(Таблица1[сумма],Таблица1[коэф],"1,2",Таблица1[р/р],"5/24",Таблица1[Ф. И. О.],B836)</f>
        <v>0</v>
      </c>
      <c r="X836" s="313">
        <f>ROUND(U836*V836*W836,2)</f>
        <v>0</v>
      </c>
      <c r="Y836" s="808"/>
      <c r="Z836" s="810"/>
      <c r="AA836" s="813"/>
      <c r="AC836" s="707" t="str">
        <f>IF(SUMIFS(Таблица1[сумма],Таблица1[Ф. И. О.],B836)=Y831,"",B831&amp;"  часы не верны")</f>
        <v/>
      </c>
    </row>
    <row r="837" spans="1:29" ht="18.75" customHeight="1">
      <c r="A837" s="756"/>
      <c r="B837" s="215"/>
      <c r="C837" s="722"/>
      <c r="D837" s="724"/>
      <c r="E837" s="78"/>
      <c r="F837" s="271"/>
      <c r="G837" s="98"/>
      <c r="H837" s="94"/>
      <c r="I837" s="334"/>
      <c r="J837" s="278"/>
      <c r="K837" s="216"/>
      <c r="L837" s="216"/>
      <c r="M837" s="216"/>
      <c r="N837" s="216"/>
      <c r="O837" s="216"/>
      <c r="P837" s="30"/>
      <c r="Q837" s="78">
        <f>IF($D$6&lt;=3,база!$L$4,
IF($D$6=4,база!$L$5,
IF($D$6=5,база!$L$6)))</f>
        <v>231.45480000000001</v>
      </c>
      <c r="R837" s="271">
        <v>1.3</v>
      </c>
      <c r="S837" s="98">
        <f>SUMIFS(Таблица1[сумма],Таблица1[коэф],"1,3",Таблица1[р/р],"3/16",Таблица1[Ф. И. О.],B836)</f>
        <v>0</v>
      </c>
      <c r="T837" s="94">
        <f t="shared" ref="T837:T838" si="521">ROUND(Q837*R837*S837,2)</f>
        <v>0</v>
      </c>
      <c r="U837" s="314">
        <f>IF(D831&lt;=3,база!$M$4,
IF(D831=4,база!$M$5,
IF(D831=5,база!$M$6)))</f>
        <v>247.41720000000001</v>
      </c>
      <c r="V837" s="271">
        <v>1.3</v>
      </c>
      <c r="W837" s="307">
        <f>SUMIFS(Таблица1[сумма],Таблица1[коэф],"1,3",Таблица1[р/р],"3/24",Таблица1[Ф. И. О.],B836)</f>
        <v>0</v>
      </c>
      <c r="X837" s="313">
        <f t="shared" ref="X837:X838" si="522">ROUND(U837*V837*W837,2)</f>
        <v>0</v>
      </c>
      <c r="Y837" s="808"/>
      <c r="Z837" s="810"/>
      <c r="AA837" s="813"/>
    </row>
    <row r="838" spans="1:29" ht="18.75" customHeight="1">
      <c r="A838" s="756"/>
      <c r="B838" s="215"/>
      <c r="C838" s="722"/>
      <c r="D838" s="724"/>
      <c r="E838" s="78"/>
      <c r="F838" s="271"/>
      <c r="G838" s="98"/>
      <c r="H838" s="94"/>
      <c r="I838" s="334"/>
      <c r="J838" s="278"/>
      <c r="K838" s="216"/>
      <c r="L838" s="216"/>
      <c r="M838" s="216"/>
      <c r="N838" s="216"/>
      <c r="O838" s="216"/>
      <c r="P838" s="30"/>
      <c r="Q838" s="78">
        <f>база!$L$5</f>
        <v>231.45480000000001</v>
      </c>
      <c r="R838" s="271">
        <v>1.3</v>
      </c>
      <c r="S838" s="98">
        <f>SUMIFS(Таблица1[сумма],Таблица1[коэф],"1,3",Таблица1[р/р],"4/16",Таблица1[Ф. И. О.],B836)</f>
        <v>0</v>
      </c>
      <c r="T838" s="94">
        <f t="shared" si="521"/>
        <v>0</v>
      </c>
      <c r="U838" s="314">
        <f>база!$M$5</f>
        <v>247.41720000000001</v>
      </c>
      <c r="V838" s="271">
        <v>1.3</v>
      </c>
      <c r="W838" s="307">
        <f>SUMIFS(Таблица1[сумма],Таблица1[коэф],"1,3",Таблица1[р/р],"4/24",Таблица1[Ф. И. О.],B836)</f>
        <v>0</v>
      </c>
      <c r="X838" s="313">
        <f t="shared" si="522"/>
        <v>0</v>
      </c>
      <c r="Y838" s="808"/>
      <c r="Z838" s="810"/>
      <c r="AA838" s="813"/>
    </row>
    <row r="839" spans="1:29" ht="18.75" customHeight="1">
      <c r="A839" s="756"/>
      <c r="B839" s="215"/>
      <c r="C839" s="722"/>
      <c r="D839" s="724"/>
      <c r="E839" s="78"/>
      <c r="F839" s="271"/>
      <c r="G839" s="98"/>
      <c r="H839" s="94"/>
      <c r="I839" s="334"/>
      <c r="J839" s="278"/>
      <c r="K839" s="216"/>
      <c r="L839" s="216"/>
      <c r="M839" s="216"/>
      <c r="N839" s="216"/>
      <c r="O839" s="216"/>
      <c r="P839" s="30"/>
      <c r="Q839" s="78">
        <f>IF(D831&lt;=3,база!$L$4,
IF(D831=4,база!$L$5,
IF(D831=5,база!$L$6)))</f>
        <v>231.45480000000001</v>
      </c>
      <c r="R839" s="271">
        <v>1.4</v>
      </c>
      <c r="S839" s="98">
        <f>SUMIFS(Таблица1[сумма],Таблица1[коэф],"1,4",Таблица1[р/р],"3/16",Таблица1[Ф. И. О.],B836)</f>
        <v>0</v>
      </c>
      <c r="T839" s="94">
        <f>ROUND(Q839*R839*S839,2)</f>
        <v>0</v>
      </c>
      <c r="U839" s="314">
        <f>IF(D831&lt;=3,база!$M$4,
IF(D831=4,база!$M$5,
IF(D831=5,база!$M$6)))</f>
        <v>247.41720000000001</v>
      </c>
      <c r="V839" s="271">
        <v>1.4</v>
      </c>
      <c r="W839" s="307">
        <f>SUMIFS(Таблица1[сумма],Таблица1[коэф],"1,4",Таблица1[р/р],"3/24",Таблица1[Ф. И. О.],B836)</f>
        <v>0</v>
      </c>
      <c r="X839" s="313">
        <f>ROUND(U839*V839*W839,2)</f>
        <v>0</v>
      </c>
      <c r="Y839" s="808"/>
      <c r="Z839" s="810"/>
      <c r="AA839" s="813"/>
    </row>
    <row r="840" spans="1:29" ht="18.75" customHeight="1">
      <c r="A840" s="756"/>
      <c r="B840" s="215"/>
      <c r="C840" s="722"/>
      <c r="D840" s="724"/>
      <c r="E840" s="78"/>
      <c r="F840" s="271"/>
      <c r="G840" s="98"/>
      <c r="H840" s="94"/>
      <c r="I840" s="334"/>
      <c r="J840" s="278"/>
      <c r="K840" s="216"/>
      <c r="L840" s="216"/>
      <c r="M840" s="216"/>
      <c r="N840" s="216"/>
      <c r="O840" s="216"/>
      <c r="P840" s="30"/>
      <c r="Q840" s="78">
        <f>база!$L$5</f>
        <v>231.45480000000001</v>
      </c>
      <c r="R840" s="271">
        <v>1.4</v>
      </c>
      <c r="S840" s="98">
        <f>SUMIFS(Таблица1[сумма],Таблица1[коэф],"1,4",Таблица1[р/р],"4/16",Таблица1[Ф. И. О.],B836)</f>
        <v>0</v>
      </c>
      <c r="T840" s="94">
        <f>ROUND(Q840*R840*S840,2)</f>
        <v>0</v>
      </c>
      <c r="U840" s="314">
        <f>база!$M$5</f>
        <v>247.41720000000001</v>
      </c>
      <c r="V840" s="271">
        <v>1.4</v>
      </c>
      <c r="W840" s="307">
        <f>SUMIFS(Таблица1[сумма],Таблица1[коэф],"1,4",Таблица1[р/р],"4/24",Таблица1[Ф. И. О.],B836)</f>
        <v>0</v>
      </c>
      <c r="X840" s="313">
        <f>ROUND(U840*V840*W840,2)</f>
        <v>0</v>
      </c>
      <c r="Y840" s="808"/>
      <c r="Z840" s="810"/>
      <c r="AA840" s="813"/>
    </row>
    <row r="841" spans="1:29" ht="19.5" customHeight="1" thickBot="1">
      <c r="A841" s="757"/>
      <c r="B841" s="352"/>
      <c r="C841" s="723"/>
      <c r="D841" s="725"/>
      <c r="E841" s="101"/>
      <c r="F841" s="273"/>
      <c r="G841" s="624"/>
      <c r="H841" s="90"/>
      <c r="I841" s="625"/>
      <c r="J841" s="279"/>
      <c r="K841" s="626"/>
      <c r="L841" s="288"/>
      <c r="M841" s="625"/>
      <c r="N841" s="626"/>
      <c r="O841" s="626"/>
      <c r="P841" s="315"/>
      <c r="Q841" s="627">
        <f>база!$L$6</f>
        <v>261.04640000000001</v>
      </c>
      <c r="R841" s="273">
        <v>1.4</v>
      </c>
      <c r="S841" s="97">
        <f>SUMIFS(Таблица1[сумма],Таблица1[коэф],"1,4",Таблица1[р/р],"5/16",Таблица1[Ф. И. О.],B836)</f>
        <v>0</v>
      </c>
      <c r="T841" s="90">
        <f>ROUND(Q841*R841*S841,2)</f>
        <v>0</v>
      </c>
      <c r="U841" s="220">
        <f>база!$M$6</f>
        <v>279.0496</v>
      </c>
      <c r="V841" s="273">
        <v>1.4</v>
      </c>
      <c r="W841" s="97">
        <f>SUMIFS(Таблица1[сумма],Таблица1[коэф],"1,4",Таблица1[р/р],"5/24",Таблица1[Ф. И. О.],B836)</f>
        <v>0</v>
      </c>
      <c r="X841" s="90">
        <f>ROUND(U841*V841*W841,2)</f>
        <v>0</v>
      </c>
      <c r="Y841" s="809"/>
      <c r="Z841" s="811"/>
      <c r="AA841" s="814"/>
    </row>
    <row r="842" spans="1:29" ht="18.75" customHeight="1">
      <c r="A842" s="755">
        <v>77</v>
      </c>
      <c r="B842" s="215"/>
      <c r="C842" s="722">
        <f>INDEX(база!$E$2:$E$181, MATCH(B847,база!$B$2:$B$160,0))</f>
        <v>17079</v>
      </c>
      <c r="D842" s="724">
        <f>INDEX(база!$D$2:$D$189, MATCH(B847,база!$B$2:$B$160,0))</f>
        <v>3</v>
      </c>
      <c r="E842" s="74">
        <f>IF(D842&lt;=3,база!$I$4,
IF(D842=4,база!$I$5,
IF(D842=5,база!$I$6)))</f>
        <v>188.7912</v>
      </c>
      <c r="F842" s="270">
        <v>1</v>
      </c>
      <c r="G842" s="96">
        <f>SUMIFS(Таблица1[сумма],Таблица1[коэф],"1",Таблица1[р/р],"2/4",Таблица1[Ф. И. О.],B847)</f>
        <v>0</v>
      </c>
      <c r="H842" s="102">
        <f>ROUND(E842*F842*G842,2)</f>
        <v>0</v>
      </c>
      <c r="I842" s="344">
        <f>IF(D842&lt;=3,база!$J$4,
IF(D842=4,база!$J$5,
IF(D842=5,база!$J$6)))</f>
        <v>196.05240000000001</v>
      </c>
      <c r="J842" s="277">
        <v>1</v>
      </c>
      <c r="K842" s="309">
        <f>SUMIFS(Таблица1[сумма],Таблица1[коэф],"1",Таблица1[р/р],"2/8",Таблица1[Ф. И. О.],B847)</f>
        <v>0</v>
      </c>
      <c r="L842" s="309">
        <f>ROUND(I842*J842*K842,2)</f>
        <v>0</v>
      </c>
      <c r="M842" s="309"/>
      <c r="N842" s="309">
        <v>1</v>
      </c>
      <c r="O842" s="309">
        <f>SUMIFS(Data_Tech!$AM$3:$AM$67,Data_Tech!$E$3:$E$67,"1",Data_Tech!$G$3:$G$67,"3/12",Data_Tech!$F$3:$F$67,B847)</f>
        <v>0</v>
      </c>
      <c r="P842" s="281">
        <f>ROUND(M842*N842*O842,2)</f>
        <v>0</v>
      </c>
      <c r="Q842" s="74">
        <f>IF(D842&lt;=3,база!$L$4,
IF(D842=4,база!$L$5,
IF(D842=5,база!$L$6)))</f>
        <v>210.57480000000001</v>
      </c>
      <c r="R842" s="270">
        <v>1</v>
      </c>
      <c r="S842" s="96">
        <f>SUMIFS(Таблица1[сумма],Таблица1[коэф],"1",Таблица1[р/р],"3/16",Таблица1[Ф. И. О.],B847)</f>
        <v>0</v>
      </c>
      <c r="T842" s="102">
        <f t="shared" ref="T842:T846" si="523">ROUND(Q842*R842*S842,2)</f>
        <v>0</v>
      </c>
      <c r="U842" s="349">
        <f>IF(D842&lt;=3,база!$M$4,
IF(D842=4,база!$M$5,
IF(D842=5,база!$M$6)))</f>
        <v>225.09719999999999</v>
      </c>
      <c r="V842" s="270">
        <v>1</v>
      </c>
      <c r="W842" s="337">
        <f>SUMIFS(Таблица1[сумма],Таблица1[коэф],"1",Таблица1[р/р],"3/24",Таблица1[Ф. И. О.],B847)</f>
        <v>0</v>
      </c>
      <c r="X842" s="351">
        <f>ROUND(U842*V842*W842,2)</f>
        <v>0</v>
      </c>
      <c r="Y842" s="807">
        <f t="shared" ref="Y842" si="524">SUM(G842:G852,K842:K852,O842:O852,S842:S852,W842:W852)</f>
        <v>0</v>
      </c>
      <c r="Z842" s="810">
        <f t="shared" ref="Z842" si="525">IFERROR(SUM(H842:H852,L842:L852,T842:T852,X842:X852),"")</f>
        <v>0</v>
      </c>
      <c r="AA842" s="812"/>
    </row>
    <row r="843" spans="1:29" ht="18.75" customHeight="1">
      <c r="A843" s="756"/>
      <c r="B843" s="215"/>
      <c r="C843" s="722"/>
      <c r="D843" s="724"/>
      <c r="E843" s="78">
        <f>IF(D842&lt;=3,база!$I$4,
IF(D842=4,база!$I$5,
IF(D842=5,база!$I$6)))</f>
        <v>188.7912</v>
      </c>
      <c r="F843" s="271">
        <v>1</v>
      </c>
      <c r="G843" s="98">
        <f>SUMIFS(Таблица1[сумма],Таблица1[коэф],"1",Таблица1[р/р],"3/4",Таблица1[Ф. И. О.],B847)</f>
        <v>0</v>
      </c>
      <c r="H843" s="94">
        <f>ROUND(E843*F843*G843,2)</f>
        <v>0</v>
      </c>
      <c r="I843" s="334">
        <f>IF(D842&lt;=3,база!$J$4,
IF(D842=4,база!$J$5,
IF(D842=5,база!$J$6)))</f>
        <v>196.05240000000001</v>
      </c>
      <c r="J843" s="278">
        <v>1</v>
      </c>
      <c r="K843" s="216"/>
      <c r="L843" s="216">
        <f>ROUND(I843*J843*K843,2)</f>
        <v>0</v>
      </c>
      <c r="M843" s="216"/>
      <c r="N843" s="216">
        <v>1</v>
      </c>
      <c r="O843" s="216">
        <f>SUMIFS(Data_Tech!$AM$3:$AM$67,Data_Tech!$E$3:$E$67,"1",Data_Tech!$G$3:$G$67,"4/12",Data_Tech!$F$3:$F$67,B847)</f>
        <v>0</v>
      </c>
      <c r="P843" s="30">
        <f>ROUND(M843*O843,2)</f>
        <v>0</v>
      </c>
      <c r="Q843" s="78">
        <f>база!$L$5</f>
        <v>231.45480000000001</v>
      </c>
      <c r="R843" s="271">
        <v>1</v>
      </c>
      <c r="S843" s="98">
        <f>SUMIFS(Таблица1[сумма],Таблица1[коэф],"1",Таблица1[р/р],"4/16",Таблица1[Ф. И. О.],B847)</f>
        <v>0</v>
      </c>
      <c r="T843" s="94">
        <f t="shared" si="523"/>
        <v>0</v>
      </c>
      <c r="U843" s="314">
        <f>база!$M$5</f>
        <v>247.41720000000001</v>
      </c>
      <c r="V843" s="271">
        <v>1</v>
      </c>
      <c r="W843" s="307">
        <f>SUMIFS(Таблица1[сумма],Таблица1[коэф],"1",Таблица1[р/р],"4/24",Таблица1[Ф. И. О.],B847)</f>
        <v>0</v>
      </c>
      <c r="X843" s="313">
        <f t="shared" ref="X843" si="526">ROUND(U843*V843*W843,2)</f>
        <v>0</v>
      </c>
      <c r="Y843" s="808"/>
      <c r="Z843" s="810"/>
      <c r="AA843" s="813"/>
    </row>
    <row r="844" spans="1:29" ht="18.75" customHeight="1">
      <c r="A844" s="756"/>
      <c r="B844" s="215"/>
      <c r="C844" s="722"/>
      <c r="D844" s="724"/>
      <c r="E844" s="78"/>
      <c r="F844" s="271"/>
      <c r="G844" s="98"/>
      <c r="H844" s="94"/>
      <c r="I844" s="334"/>
      <c r="J844" s="278"/>
      <c r="K844" s="216"/>
      <c r="L844" s="216"/>
      <c r="M844" s="216"/>
      <c r="N844" s="216"/>
      <c r="O844" s="216"/>
      <c r="P844" s="30"/>
      <c r="Q844" s="78">
        <f>база!$L$6</f>
        <v>261.04640000000001</v>
      </c>
      <c r="R844" s="271">
        <v>1</v>
      </c>
      <c r="S844" s="98">
        <f>SUMIFS(Таблица1[сумма],Таблица1[коэф],"1",Таблица1[р/р],"5/16",Таблица1[Ф. И. О.],B847)</f>
        <v>0</v>
      </c>
      <c r="T844" s="94">
        <f t="shared" si="523"/>
        <v>0</v>
      </c>
      <c r="U844" s="314">
        <f>база!$M$6</f>
        <v>279.0496</v>
      </c>
      <c r="V844" s="271">
        <v>1</v>
      </c>
      <c r="W844" s="307">
        <f>SUMIFS(Таблица1[сумма],Таблица1[коэф],"1",Таблица1[р/р],"5/24",Таблица1[Ф. И. О.],B847)</f>
        <v>0</v>
      </c>
      <c r="X844" s="313">
        <f>ROUND(U844*V844*W844,2)</f>
        <v>0</v>
      </c>
      <c r="Y844" s="808"/>
      <c r="Z844" s="810"/>
      <c r="AA844" s="813"/>
    </row>
    <row r="845" spans="1:29" ht="18.75" customHeight="1">
      <c r="A845" s="756"/>
      <c r="B845" s="215"/>
      <c r="C845" s="722"/>
      <c r="D845" s="724"/>
      <c r="E845" s="78"/>
      <c r="F845" s="271"/>
      <c r="G845" s="98"/>
      <c r="H845" s="94"/>
      <c r="I845" s="334">
        <f>база!$J$5</f>
        <v>215.4924</v>
      </c>
      <c r="J845" s="278">
        <v>1.5</v>
      </c>
      <c r="K845" s="216">
        <f>SUMIFS(Таблица1[сумма],Таблица1[коэф],"1,5",Таблица1[р/р],"4/8",Таблица1[Ф. И. О.],B847)</f>
        <v>0</v>
      </c>
      <c r="L845" s="216">
        <f>ROUND(I845*J845*K845,2)</f>
        <v>0</v>
      </c>
      <c r="M845" s="216"/>
      <c r="N845" s="216"/>
      <c r="O845" s="216"/>
      <c r="P845" s="30"/>
      <c r="Q845" s="78">
        <f>IF(D842&lt;=3,база!$L$4,
IF(D842=4,база!$L$5,
IF(D842=5,база!$L$6)))</f>
        <v>210.57480000000001</v>
      </c>
      <c r="R845" s="271">
        <v>1.2</v>
      </c>
      <c r="S845" s="98">
        <f>SUMIFS(Таблица1[сумма],Таблица1[коэф],"1,2",Таблица1[р/р],"3/16",Таблица1[Ф. И. О.],B847)</f>
        <v>0</v>
      </c>
      <c r="T845" s="94">
        <f t="shared" si="523"/>
        <v>0</v>
      </c>
      <c r="U845" s="314">
        <f>IF(D842&lt;=3,база!$M$4,
IF(D842=4,база!$M$5,
IF(D842=5,база!$M$6)))</f>
        <v>225.09719999999999</v>
      </c>
      <c r="V845" s="271">
        <v>1.2</v>
      </c>
      <c r="W845" s="307">
        <f>SUMIFS(Таблица1[сумма],Таблица1[коэф],"1,2",Таблица1[р/р],"3/24",Таблица1[Ф. И. О.],B847)</f>
        <v>0</v>
      </c>
      <c r="X845" s="313">
        <f t="shared" ref="X845:X846" si="527">ROUND(U845*V845*W845,2)</f>
        <v>0</v>
      </c>
      <c r="Y845" s="808"/>
      <c r="Z845" s="810"/>
      <c r="AA845" s="813"/>
    </row>
    <row r="846" spans="1:29" ht="18.75" customHeight="1">
      <c r="A846" s="756"/>
      <c r="B846" s="215"/>
      <c r="C846" s="722"/>
      <c r="D846" s="724"/>
      <c r="E846" s="78"/>
      <c r="F846" s="271"/>
      <c r="G846" s="98"/>
      <c r="H846" s="94"/>
      <c r="I846" s="334">
        <f>база!$J$6</f>
        <v>243.04319999999998</v>
      </c>
      <c r="J846" s="278">
        <v>1.5</v>
      </c>
      <c r="K846" s="216">
        <f>SUMIFS(Таблица1[сумма],Таблица1[коэф],"1,5",Таблица1[р/р],"5/8",Таблица1[Ф. И. О.],B847)</f>
        <v>0</v>
      </c>
      <c r="L846" s="216">
        <f>ROUND(I846*J846*K846,2)</f>
        <v>0</v>
      </c>
      <c r="M846" s="216"/>
      <c r="N846" s="216"/>
      <c r="O846" s="216"/>
      <c r="P846" s="30"/>
      <c r="Q846" s="78">
        <f>база!$L$5</f>
        <v>231.45480000000001</v>
      </c>
      <c r="R846" s="271">
        <v>1.2</v>
      </c>
      <c r="S846" s="98">
        <f>SUMIFS(Таблица1[сумма],Таблица1[коэф],"1,2",Таблица1[р/р],"4/16",Таблица1[Ф. И. О.],B847)</f>
        <v>0</v>
      </c>
      <c r="T846" s="94">
        <f t="shared" si="523"/>
        <v>0</v>
      </c>
      <c r="U846" s="314">
        <f>база!$M$5</f>
        <v>247.41720000000001</v>
      </c>
      <c r="V846" s="271">
        <v>1.2</v>
      </c>
      <c r="W846" s="307">
        <f>SUMIFS(Таблица1[сумма],Таблица1[коэф],"1,2",Таблица1[р/р],"4/24",Таблица1[Ф. И. О.],B847)</f>
        <v>0</v>
      </c>
      <c r="X846" s="313">
        <f t="shared" si="527"/>
        <v>0</v>
      </c>
      <c r="Y846" s="808"/>
      <c r="Z846" s="810"/>
      <c r="AA846" s="813"/>
      <c r="AC846" s="707" t="str">
        <f>IF(SUMIFS(Таблица1[Столбец2],Таблица1[Ф. И. О.],B847)-Z842=0,"",SUMIFS(Таблица1[Столбец2],Таблица1[Ф. И. О.],B847)-Z842)</f>
        <v/>
      </c>
    </row>
    <row r="847" spans="1:29" ht="18.75" customHeight="1">
      <c r="A847" s="756"/>
      <c r="B847" s="215" t="str">
        <f>база!B78</f>
        <v>Шишина Наталья Александровна</v>
      </c>
      <c r="C847" s="722"/>
      <c r="D847" s="724"/>
      <c r="E847" s="78"/>
      <c r="F847" s="271"/>
      <c r="G847" s="98"/>
      <c r="H847" s="94"/>
      <c r="I847" s="334"/>
      <c r="J847" s="278"/>
      <c r="K847" s="216"/>
      <c r="L847" s="216"/>
      <c r="M847" s="216"/>
      <c r="N847" s="216"/>
      <c r="O847" s="216"/>
      <c r="P847" s="30"/>
      <c r="Q847" s="78">
        <f>база!$L$6</f>
        <v>261.04640000000001</v>
      </c>
      <c r="R847" s="271">
        <v>1.2</v>
      </c>
      <c r="S847" s="98">
        <f>SUMIFS(Таблица1[сумма],Таблица1[коэф],"1,2",Таблица1[р/р],"5/16",Таблица1[Ф. И. О.],B847)</f>
        <v>0</v>
      </c>
      <c r="T847" s="94">
        <f>ROUND(Q847*R847*S847,2)</f>
        <v>0</v>
      </c>
      <c r="U847" s="314">
        <f>база!$M$6</f>
        <v>279.0496</v>
      </c>
      <c r="V847" s="271">
        <v>1.2</v>
      </c>
      <c r="W847" s="307">
        <f>SUMIFS(Таблица1[сумма],Таблица1[коэф],"1,2",Таблица1[р/р],"5/24",Таблица1[Ф. И. О.],B847)</f>
        <v>0</v>
      </c>
      <c r="X847" s="313">
        <f>ROUND(U847*V847*W847,2)</f>
        <v>0</v>
      </c>
      <c r="Y847" s="808"/>
      <c r="Z847" s="810"/>
      <c r="AA847" s="813"/>
      <c r="AC847" s="707" t="str">
        <f>IF(SUMIFS(Таблица1[сумма],Таблица1[Ф. И. О.],B847)=Y842,"",B842&amp;"  часы не верны")</f>
        <v/>
      </c>
    </row>
    <row r="848" spans="1:29" ht="18.75" customHeight="1">
      <c r="A848" s="756"/>
      <c r="B848" s="215"/>
      <c r="C848" s="722"/>
      <c r="D848" s="724"/>
      <c r="E848" s="78"/>
      <c r="F848" s="271"/>
      <c r="G848" s="98"/>
      <c r="H848" s="94"/>
      <c r="I848" s="334"/>
      <c r="J848" s="278"/>
      <c r="K848" s="216"/>
      <c r="L848" s="216"/>
      <c r="M848" s="216"/>
      <c r="N848" s="216"/>
      <c r="O848" s="216"/>
      <c r="P848" s="30"/>
      <c r="Q848" s="78">
        <f>IF($D$6&lt;=3,база!$L$4,
IF($D$6=4,база!$L$5,
IF($D$6=5,база!$L$6)))</f>
        <v>231.45480000000001</v>
      </c>
      <c r="R848" s="271">
        <v>1.3</v>
      </c>
      <c r="S848" s="98">
        <f>SUMIFS(Таблица1[сумма],Таблица1[коэф],"1,3",Таблица1[р/р],"3/16",Таблица1[Ф. И. О.],B847)</f>
        <v>0</v>
      </c>
      <c r="T848" s="94">
        <f t="shared" ref="T848:T849" si="528">ROUND(Q848*R848*S848,2)</f>
        <v>0</v>
      </c>
      <c r="U848" s="314">
        <f>IF(D842&lt;=3,база!$M$4,
IF(D842=4,база!$M$5,
IF(D842=5,база!$M$6)))</f>
        <v>225.09719999999999</v>
      </c>
      <c r="V848" s="271">
        <v>1.3</v>
      </c>
      <c r="W848" s="307">
        <f>SUMIFS(Таблица1[сумма],Таблица1[коэф],"1,3",Таблица1[р/р],"3/24",Таблица1[Ф. И. О.],B847)</f>
        <v>0</v>
      </c>
      <c r="X848" s="313">
        <f t="shared" ref="X848:X849" si="529">ROUND(U848*V848*W848,2)</f>
        <v>0</v>
      </c>
      <c r="Y848" s="808"/>
      <c r="Z848" s="810"/>
      <c r="AA848" s="813"/>
    </row>
    <row r="849" spans="1:29" ht="18.75" customHeight="1">
      <c r="A849" s="756"/>
      <c r="B849" s="215"/>
      <c r="C849" s="722"/>
      <c r="D849" s="724"/>
      <c r="E849" s="78"/>
      <c r="F849" s="271"/>
      <c r="G849" s="98"/>
      <c r="H849" s="94"/>
      <c r="I849" s="334"/>
      <c r="J849" s="278"/>
      <c r="K849" s="216"/>
      <c r="L849" s="216"/>
      <c r="M849" s="216"/>
      <c r="N849" s="216"/>
      <c r="O849" s="216"/>
      <c r="P849" s="30"/>
      <c r="Q849" s="78">
        <f>база!$L$5</f>
        <v>231.45480000000001</v>
      </c>
      <c r="R849" s="271">
        <v>1.3</v>
      </c>
      <c r="S849" s="98">
        <f>SUMIFS(Таблица1[сумма],Таблица1[коэф],"1,3",Таблица1[р/р],"4/16",Таблица1[Ф. И. О.],B847)</f>
        <v>0</v>
      </c>
      <c r="T849" s="94">
        <f t="shared" si="528"/>
        <v>0</v>
      </c>
      <c r="U849" s="314">
        <f>база!$M$5</f>
        <v>247.41720000000001</v>
      </c>
      <c r="V849" s="271">
        <v>1.3</v>
      </c>
      <c r="W849" s="307">
        <f>SUMIFS(Таблица1[сумма],Таблица1[коэф],"1,3",Таблица1[р/р],"4/24",Таблица1[Ф. И. О.],B847)</f>
        <v>0</v>
      </c>
      <c r="X849" s="313">
        <f t="shared" si="529"/>
        <v>0</v>
      </c>
      <c r="Y849" s="808"/>
      <c r="Z849" s="810"/>
      <c r="AA849" s="813"/>
    </row>
    <row r="850" spans="1:29" ht="18.75" customHeight="1">
      <c r="A850" s="756"/>
      <c r="B850" s="215"/>
      <c r="C850" s="722"/>
      <c r="D850" s="724"/>
      <c r="E850" s="78"/>
      <c r="F850" s="271"/>
      <c r="G850" s="98"/>
      <c r="H850" s="94"/>
      <c r="I850" s="334"/>
      <c r="J850" s="278"/>
      <c r="K850" s="216"/>
      <c r="L850" s="216"/>
      <c r="M850" s="216"/>
      <c r="N850" s="216"/>
      <c r="O850" s="216"/>
      <c r="P850" s="30"/>
      <c r="Q850" s="78">
        <f>IF(D842&lt;=3,база!$L$4,
IF(D842=4,база!$L$5,
IF(D842=5,база!$L$6)))</f>
        <v>210.57480000000001</v>
      </c>
      <c r="R850" s="271">
        <v>1.4</v>
      </c>
      <c r="S850" s="98">
        <f>SUMIFS(Таблица1[сумма],Таблица1[коэф],"1,4",Таблица1[р/р],"3/16",Таблица1[Ф. И. О.],B847)</f>
        <v>0</v>
      </c>
      <c r="T850" s="94">
        <f>ROUND(Q850*R850*S850,2)</f>
        <v>0</v>
      </c>
      <c r="U850" s="314">
        <f>IF(D842&lt;=3,база!$M$4,
IF(D842=4,база!$M$5,
IF(D842=5,база!$M$6)))</f>
        <v>225.09719999999999</v>
      </c>
      <c r="V850" s="271">
        <v>1.4</v>
      </c>
      <c r="W850" s="307">
        <f>SUMIFS(Таблица1[сумма],Таблица1[коэф],"1,4",Таблица1[р/р],"3/24",Таблица1[Ф. И. О.],B847)</f>
        <v>0</v>
      </c>
      <c r="X850" s="313">
        <f>ROUND(U850*V850*W850,2)</f>
        <v>0</v>
      </c>
      <c r="Y850" s="808"/>
      <c r="Z850" s="810"/>
      <c r="AA850" s="813"/>
    </row>
    <row r="851" spans="1:29" ht="18.75" customHeight="1">
      <c r="A851" s="756"/>
      <c r="B851" s="215"/>
      <c r="C851" s="722"/>
      <c r="D851" s="724"/>
      <c r="E851" s="78"/>
      <c r="F851" s="271"/>
      <c r="G851" s="98"/>
      <c r="H851" s="94"/>
      <c r="I851" s="334"/>
      <c r="J851" s="278"/>
      <c r="K851" s="216"/>
      <c r="L851" s="216"/>
      <c r="M851" s="216"/>
      <c r="N851" s="216"/>
      <c r="O851" s="216"/>
      <c r="P851" s="30"/>
      <c r="Q851" s="78">
        <f>база!$L$5</f>
        <v>231.45480000000001</v>
      </c>
      <c r="R851" s="271">
        <v>1.4</v>
      </c>
      <c r="S851" s="98">
        <f>SUMIFS(Таблица1[сумма],Таблица1[коэф],"1,4",Таблица1[р/р],"4/16",Таблица1[Ф. И. О.],B847)</f>
        <v>0</v>
      </c>
      <c r="T851" s="94">
        <f>ROUND(Q851*R851*S851,2)</f>
        <v>0</v>
      </c>
      <c r="U851" s="314">
        <f>база!$M$5</f>
        <v>247.41720000000001</v>
      </c>
      <c r="V851" s="271">
        <v>1.4</v>
      </c>
      <c r="W851" s="307">
        <f>SUMIFS(Таблица1[сумма],Таблица1[коэф],"1,4",Таблица1[р/р],"4/24",Таблица1[Ф. И. О.],B847)</f>
        <v>0</v>
      </c>
      <c r="X851" s="313">
        <f>ROUND(U851*V851*W851,2)</f>
        <v>0</v>
      </c>
      <c r="Y851" s="808"/>
      <c r="Z851" s="810"/>
      <c r="AA851" s="813"/>
    </row>
    <row r="852" spans="1:29" ht="19.5" customHeight="1" thickBot="1">
      <c r="A852" s="757"/>
      <c r="B852" s="352"/>
      <c r="C852" s="723"/>
      <c r="D852" s="725"/>
      <c r="E852" s="101"/>
      <c r="F852" s="273"/>
      <c r="G852" s="624"/>
      <c r="H852" s="90"/>
      <c r="I852" s="625"/>
      <c r="J852" s="279"/>
      <c r="K852" s="626"/>
      <c r="L852" s="288"/>
      <c r="M852" s="625"/>
      <c r="N852" s="626"/>
      <c r="O852" s="626"/>
      <c r="P852" s="315"/>
      <c r="Q852" s="627">
        <f>база!$L$6</f>
        <v>261.04640000000001</v>
      </c>
      <c r="R852" s="273">
        <v>1.4</v>
      </c>
      <c r="S852" s="97">
        <f>SUMIFS(Таблица1[сумма],Таблица1[коэф],"1,4",Таблица1[р/р],"5/16",Таблица1[Ф. И. О.],B847)</f>
        <v>0</v>
      </c>
      <c r="T852" s="90">
        <f>ROUND(Q852*R852*S852,2)</f>
        <v>0</v>
      </c>
      <c r="U852" s="220">
        <f>база!$M$6</f>
        <v>279.0496</v>
      </c>
      <c r="V852" s="273">
        <v>1.4</v>
      </c>
      <c r="W852" s="97">
        <f>SUMIFS(Таблица1[сумма],Таблица1[коэф],"1,4",Таблица1[р/р],"5/24",Таблица1[Ф. И. О.],B847)</f>
        <v>0</v>
      </c>
      <c r="X852" s="90">
        <f>ROUND(U852*V852*W852,2)</f>
        <v>0</v>
      </c>
      <c r="Y852" s="809"/>
      <c r="Z852" s="811"/>
      <c r="AA852" s="814"/>
    </row>
    <row r="853" spans="1:29" ht="18.75" customHeight="1">
      <c r="A853" s="755">
        <v>78</v>
      </c>
      <c r="B853" s="215"/>
      <c r="C853" s="722">
        <f>INDEX(база!$E$2:$E$181, MATCH(B858,база!$B$2:$B$160,0))</f>
        <v>0</v>
      </c>
      <c r="D853" s="724">
        <f>INDEX(база!$D$2:$D$189, MATCH(B858,база!$B$2:$B$160,0))</f>
        <v>3</v>
      </c>
      <c r="E853" s="74">
        <f>IF(D853&lt;=3,база!$I$4,
IF(D853=4,база!$I$5,
IF(D853=5,база!$I$6)))</f>
        <v>188.7912</v>
      </c>
      <c r="F853" s="270">
        <v>1</v>
      </c>
      <c r="G853" s="96">
        <f>SUMIFS(Таблица1[сумма],Таблица1[коэф],"1",Таблица1[р/р],"2/4",Таблица1[Ф. И. О.],B858)</f>
        <v>0</v>
      </c>
      <c r="H853" s="102">
        <f>ROUND(E853*F853*G853,2)</f>
        <v>0</v>
      </c>
      <c r="I853" s="344">
        <f>IF(D853&lt;=3,база!$J$4,
IF(D853=4,база!$J$5,
IF(D853=5,база!$J$6)))</f>
        <v>196.05240000000001</v>
      </c>
      <c r="J853" s="277">
        <v>1</v>
      </c>
      <c r="K853" s="309">
        <f>SUMIFS(Таблица1[сумма],Таблица1[коэф],"1",Таблица1[р/р],"2/8",Таблица1[Ф. И. О.],B858)</f>
        <v>0</v>
      </c>
      <c r="L853" s="309">
        <f>ROUND(I853*J853*K853,2)</f>
        <v>0</v>
      </c>
      <c r="M853" s="309"/>
      <c r="N853" s="309">
        <v>1</v>
      </c>
      <c r="O853" s="309">
        <f>SUMIFS(Data_Tech!$AM$3:$AM$67,Data_Tech!$E$3:$E$67,"1",Data_Tech!$G$3:$G$67,"3/12",Data_Tech!$F$3:$F$67,B858)</f>
        <v>0</v>
      </c>
      <c r="P853" s="281">
        <f>ROUND(M853*N853*O853,2)</f>
        <v>0</v>
      </c>
      <c r="Q853" s="74">
        <f>IF(D853&lt;=3,база!$L$4,
IF(D853=4,база!$L$5,
IF(D853=5,база!$L$6)))</f>
        <v>210.57480000000001</v>
      </c>
      <c r="R853" s="270">
        <v>1</v>
      </c>
      <c r="S853" s="96">
        <f>SUMIFS(Таблица1[сумма],Таблица1[коэф],"1",Таблица1[р/р],"3/16",Таблица1[Ф. И. О.],B858)</f>
        <v>0</v>
      </c>
      <c r="T853" s="102">
        <f t="shared" ref="T853:T857" si="530">ROUND(Q853*R853*S853,2)</f>
        <v>0</v>
      </c>
      <c r="U853" s="349">
        <f>IF(D853&lt;=3,база!$M$4,
IF(D853=4,база!$M$5,
IF(D853=5,база!$M$6)))</f>
        <v>225.09719999999999</v>
      </c>
      <c r="V853" s="270">
        <v>1</v>
      </c>
      <c r="W853" s="337">
        <f>SUMIFS(Таблица1[сумма],Таблица1[коэф],"1",Таблица1[р/р],"3/24",Таблица1[Ф. И. О.],B858)</f>
        <v>0</v>
      </c>
      <c r="X853" s="351">
        <f>ROUND(U853*V853*W853,2)</f>
        <v>0</v>
      </c>
      <c r="Y853" s="807">
        <f t="shared" ref="Y853" si="531">SUM(G853:G863,K853:K863,O853:O863,S853:S863,W853:W863)</f>
        <v>0</v>
      </c>
      <c r="Z853" s="810">
        <f t="shared" ref="Z853" si="532">IFERROR(SUM(H853:H863,L853:L863,T853:T863,X853:X863),"")</f>
        <v>0</v>
      </c>
      <c r="AA853" s="812"/>
    </row>
    <row r="854" spans="1:29" ht="18.75" customHeight="1">
      <c r="A854" s="756"/>
      <c r="B854" s="215"/>
      <c r="C854" s="722"/>
      <c r="D854" s="724"/>
      <c r="E854" s="78">
        <f>IF(D853&lt;=3,база!$I$4,
IF(D853=4,база!$I$5,
IF(D853=5,база!$I$6)))</f>
        <v>188.7912</v>
      </c>
      <c r="F854" s="271">
        <v>1</v>
      </c>
      <c r="G854" s="98">
        <f>SUMIFS(Таблица1[сумма],Таблица1[коэф],"1",Таблица1[р/р],"3/4",Таблица1[Ф. И. О.],B858)</f>
        <v>0</v>
      </c>
      <c r="H854" s="94">
        <f>ROUND(E854*F854*G854,2)</f>
        <v>0</v>
      </c>
      <c r="I854" s="334">
        <f>IF(D853&lt;=3,база!$J$4,
IF(D853=4,база!$J$5,
IF(D853=5,база!$J$6)))</f>
        <v>196.05240000000001</v>
      </c>
      <c r="J854" s="278">
        <v>1</v>
      </c>
      <c r="K854" s="216"/>
      <c r="L854" s="216">
        <f>ROUND(I854*J854*K854,2)</f>
        <v>0</v>
      </c>
      <c r="M854" s="216"/>
      <c r="N854" s="216">
        <v>1</v>
      </c>
      <c r="O854" s="216">
        <f>SUMIFS(Data_Tech!$AM$3:$AM$67,Data_Tech!$E$3:$E$67,"1",Data_Tech!$G$3:$G$67,"4/12",Data_Tech!$F$3:$F$67,B858)</f>
        <v>0</v>
      </c>
      <c r="P854" s="30">
        <f>ROUND(M854*O854,2)</f>
        <v>0</v>
      </c>
      <c r="Q854" s="78">
        <f>база!$L$5</f>
        <v>231.45480000000001</v>
      </c>
      <c r="R854" s="271">
        <v>1</v>
      </c>
      <c r="S854" s="98">
        <f>SUMIFS(Таблица1[сумма],Таблица1[коэф],"1",Таблица1[р/р],"4/16",Таблица1[Ф. И. О.],B858)</f>
        <v>0</v>
      </c>
      <c r="T854" s="94">
        <f t="shared" si="530"/>
        <v>0</v>
      </c>
      <c r="U854" s="314">
        <f>база!$M$5</f>
        <v>247.41720000000001</v>
      </c>
      <c r="V854" s="271">
        <v>1</v>
      </c>
      <c r="W854" s="307">
        <f>SUMIFS(Таблица1[сумма],Таблица1[коэф],"1",Таблица1[р/р],"4/24",Таблица1[Ф. И. О.],B858)</f>
        <v>0</v>
      </c>
      <c r="X854" s="313">
        <f t="shared" ref="X854" si="533">ROUND(U854*V854*W854,2)</f>
        <v>0</v>
      </c>
      <c r="Y854" s="808"/>
      <c r="Z854" s="810"/>
      <c r="AA854" s="813"/>
    </row>
    <row r="855" spans="1:29" ht="18.75" customHeight="1">
      <c r="A855" s="756"/>
      <c r="B855" s="215"/>
      <c r="C855" s="722"/>
      <c r="D855" s="724"/>
      <c r="E855" s="78"/>
      <c r="F855" s="271"/>
      <c r="G855" s="98"/>
      <c r="H855" s="94"/>
      <c r="I855" s="334"/>
      <c r="J855" s="278"/>
      <c r="K855" s="216"/>
      <c r="L855" s="216"/>
      <c r="M855" s="216"/>
      <c r="N855" s="216"/>
      <c r="O855" s="216"/>
      <c r="P855" s="30"/>
      <c r="Q855" s="78">
        <f>база!$L$6</f>
        <v>261.04640000000001</v>
      </c>
      <c r="R855" s="271">
        <v>1</v>
      </c>
      <c r="S855" s="98">
        <f>SUMIFS(Таблица1[сумма],Таблица1[коэф],"1",Таблица1[р/р],"5/16",Таблица1[Ф. И. О.],B858)</f>
        <v>0</v>
      </c>
      <c r="T855" s="94">
        <f t="shared" si="530"/>
        <v>0</v>
      </c>
      <c r="U855" s="314">
        <f>база!$M$6</f>
        <v>279.0496</v>
      </c>
      <c r="V855" s="271">
        <v>1</v>
      </c>
      <c r="W855" s="307">
        <f>SUMIFS(Таблица1[сумма],Таблица1[коэф],"1",Таблица1[р/р],"5/24",Таблица1[Ф. И. О.],B858)</f>
        <v>0</v>
      </c>
      <c r="X855" s="313">
        <f>ROUND(U855*V855*W855,2)</f>
        <v>0</v>
      </c>
      <c r="Y855" s="808"/>
      <c r="Z855" s="810"/>
      <c r="AA855" s="813"/>
    </row>
    <row r="856" spans="1:29" ht="18.75" customHeight="1">
      <c r="A856" s="756"/>
      <c r="B856" s="215"/>
      <c r="C856" s="722"/>
      <c r="D856" s="724"/>
      <c r="E856" s="78"/>
      <c r="F856" s="271"/>
      <c r="G856" s="98"/>
      <c r="H856" s="94"/>
      <c r="I856" s="334">
        <f>база!$J$5</f>
        <v>215.4924</v>
      </c>
      <c r="J856" s="278">
        <v>1.5</v>
      </c>
      <c r="K856" s="216">
        <f>SUMIFS(Таблица1[сумма],Таблица1[коэф],"1,5",Таблица1[р/р],"4/8",Таблица1[Ф. И. О.],B858)</f>
        <v>0</v>
      </c>
      <c r="L856" s="216">
        <f>ROUND(I856*J856*K856,2)</f>
        <v>0</v>
      </c>
      <c r="M856" s="216"/>
      <c r="N856" s="216"/>
      <c r="O856" s="216"/>
      <c r="P856" s="30"/>
      <c r="Q856" s="78">
        <f>IF(D853&lt;=3,база!$L$4,
IF(D853=4,база!$L$5,
IF(D853=5,база!$L$6)))</f>
        <v>210.57480000000001</v>
      </c>
      <c r="R856" s="271">
        <v>1.2</v>
      </c>
      <c r="S856" s="98">
        <f>SUMIFS(Таблица1[сумма],Таблица1[коэф],"1,2",Таблица1[р/р],"3/16",Таблица1[Ф. И. О.],B858)</f>
        <v>0</v>
      </c>
      <c r="T856" s="94">
        <f t="shared" si="530"/>
        <v>0</v>
      </c>
      <c r="U856" s="314">
        <f>IF(D853&lt;=3,база!$M$4,
IF(D853=4,база!$M$5,
IF(D853=5,база!$M$6)))</f>
        <v>225.09719999999999</v>
      </c>
      <c r="V856" s="271">
        <v>1.2</v>
      </c>
      <c r="W856" s="307">
        <f>SUMIFS(Таблица1[сумма],Таблица1[коэф],"1,2",Таблица1[р/р],"3/24",Таблица1[Ф. И. О.],B858)</f>
        <v>0</v>
      </c>
      <c r="X856" s="313">
        <f t="shared" ref="X856:X857" si="534">ROUND(U856*V856*W856,2)</f>
        <v>0</v>
      </c>
      <c r="Y856" s="808"/>
      <c r="Z856" s="810"/>
      <c r="AA856" s="813"/>
    </row>
    <row r="857" spans="1:29" ht="18.75" customHeight="1">
      <c r="A857" s="756"/>
      <c r="B857" s="215"/>
      <c r="C857" s="722"/>
      <c r="D857" s="724"/>
      <c r="E857" s="78"/>
      <c r="F857" s="271"/>
      <c r="G857" s="98"/>
      <c r="H857" s="94"/>
      <c r="I857" s="334">
        <f>база!$J$6</f>
        <v>243.04319999999998</v>
      </c>
      <c r="J857" s="278">
        <v>1.5</v>
      </c>
      <c r="K857" s="216">
        <f>SUMIFS(Таблица1[сумма],Таблица1[коэф],"1,5",Таблица1[р/р],"5/8",Таблица1[Ф. И. О.],B858)</f>
        <v>0</v>
      </c>
      <c r="L857" s="216">
        <f>ROUND(I857*J857*K857,2)</f>
        <v>0</v>
      </c>
      <c r="M857" s="216"/>
      <c r="N857" s="216"/>
      <c r="O857" s="216"/>
      <c r="P857" s="30"/>
      <c r="Q857" s="78">
        <f>база!$L$5</f>
        <v>231.45480000000001</v>
      </c>
      <c r="R857" s="271">
        <v>1.2</v>
      </c>
      <c r="S857" s="98">
        <f>SUMIFS(Таблица1[сумма],Таблица1[коэф],"1,2",Таблица1[р/р],"4/16",Таблица1[Ф. И. О.],B858)</f>
        <v>0</v>
      </c>
      <c r="T857" s="94">
        <f t="shared" si="530"/>
        <v>0</v>
      </c>
      <c r="U857" s="314">
        <f>база!$M$5</f>
        <v>247.41720000000001</v>
      </c>
      <c r="V857" s="271">
        <v>1.2</v>
      </c>
      <c r="W857" s="307">
        <f>SUMIFS(Таблица1[сумма],Таблица1[коэф],"1,2",Таблица1[р/р],"4/24",Таблица1[Ф. И. О.],B858)</f>
        <v>0</v>
      </c>
      <c r="X857" s="313">
        <f t="shared" si="534"/>
        <v>0</v>
      </c>
      <c r="Y857" s="808"/>
      <c r="Z857" s="810"/>
      <c r="AA857" s="813"/>
      <c r="AC857" s="707" t="str">
        <f>IF(SUMIFS(Таблица1[Столбец2],Таблица1[Ф. И. О.],B858)-Z853=0,"",SUMIFS(Таблица1[Столбец2],Таблица1[Ф. И. О.],B858)-Z853)</f>
        <v/>
      </c>
    </row>
    <row r="858" spans="1:29" ht="18.75" customHeight="1">
      <c r="A858" s="756"/>
      <c r="B858" s="215" t="str">
        <f>база!B79</f>
        <v>Яблокова Дарья Александровна</v>
      </c>
      <c r="C858" s="722"/>
      <c r="D858" s="724"/>
      <c r="E858" s="78"/>
      <c r="F858" s="271"/>
      <c r="G858" s="98"/>
      <c r="H858" s="94"/>
      <c r="I858" s="334"/>
      <c r="J858" s="278"/>
      <c r="K858" s="216"/>
      <c r="L858" s="216"/>
      <c r="M858" s="216"/>
      <c r="N858" s="216"/>
      <c r="O858" s="216"/>
      <c r="P858" s="30"/>
      <c r="Q858" s="78">
        <f>база!$L$6</f>
        <v>261.04640000000001</v>
      </c>
      <c r="R858" s="271">
        <v>1.2</v>
      </c>
      <c r="S858" s="98">
        <f>SUMIFS(Таблица1[сумма],Таблица1[коэф],"1,2",Таблица1[р/р],"5/16",Таблица1[Ф. И. О.],B858)</f>
        <v>0</v>
      </c>
      <c r="T858" s="94">
        <f>ROUND(Q858*R858*S858,2)</f>
        <v>0</v>
      </c>
      <c r="U858" s="314">
        <f>база!$M$6</f>
        <v>279.0496</v>
      </c>
      <c r="V858" s="271">
        <v>1.2</v>
      </c>
      <c r="W858" s="307">
        <f>SUMIFS(Таблица1[сумма],Таблица1[коэф],"1,2",Таблица1[р/р],"5/24",Таблица1[Ф. И. О.],B858)</f>
        <v>0</v>
      </c>
      <c r="X858" s="313">
        <f>ROUND(U858*V858*W858,2)</f>
        <v>0</v>
      </c>
      <c r="Y858" s="808"/>
      <c r="Z858" s="810"/>
      <c r="AA858" s="813"/>
      <c r="AC858" s="707" t="str">
        <f>IF(SUMIFS(Таблица1[сумма],Таблица1[Ф. И. О.],B858)=Y853,"",B853&amp;"  часы не верны")</f>
        <v/>
      </c>
    </row>
    <row r="859" spans="1:29" ht="18.75" customHeight="1">
      <c r="A859" s="756"/>
      <c r="B859" s="215"/>
      <c r="C859" s="722"/>
      <c r="D859" s="724"/>
      <c r="E859" s="78"/>
      <c r="F859" s="271"/>
      <c r="G859" s="98"/>
      <c r="H859" s="94"/>
      <c r="I859" s="334"/>
      <c r="J859" s="278"/>
      <c r="K859" s="216"/>
      <c r="L859" s="216"/>
      <c r="M859" s="216"/>
      <c r="N859" s="216"/>
      <c r="O859" s="216"/>
      <c r="P859" s="30"/>
      <c r="Q859" s="78">
        <f>IF($D$6&lt;=3,база!$L$4,
IF($D$6=4,база!$L$5,
IF($D$6=5,база!$L$6)))</f>
        <v>231.45480000000001</v>
      </c>
      <c r="R859" s="271">
        <v>1.3</v>
      </c>
      <c r="S859" s="98">
        <f>SUMIFS(Таблица1[сумма],Таблица1[коэф],"1,3",Таблица1[р/р],"3/16",Таблица1[Ф. И. О.],B858)</f>
        <v>0</v>
      </c>
      <c r="T859" s="94">
        <f t="shared" ref="T859:T860" si="535">ROUND(Q859*R859*S859,2)</f>
        <v>0</v>
      </c>
      <c r="U859" s="314">
        <f>IF(D853&lt;=3,база!$M$4,
IF(D853=4,база!$M$5,
IF(D853=5,база!$M$6)))</f>
        <v>225.09719999999999</v>
      </c>
      <c r="V859" s="271">
        <v>1.3</v>
      </c>
      <c r="W859" s="307">
        <f>SUMIFS(Таблица1[сумма],Таблица1[коэф],"1,3",Таблица1[р/р],"3/24",Таблица1[Ф. И. О.],B858)</f>
        <v>0</v>
      </c>
      <c r="X859" s="313">
        <f t="shared" ref="X859:X860" si="536">ROUND(U859*V859*W859,2)</f>
        <v>0</v>
      </c>
      <c r="Y859" s="808"/>
      <c r="Z859" s="810"/>
      <c r="AA859" s="813"/>
    </row>
    <row r="860" spans="1:29" ht="18.75" customHeight="1">
      <c r="A860" s="756"/>
      <c r="B860" s="215"/>
      <c r="C860" s="722"/>
      <c r="D860" s="724"/>
      <c r="E860" s="78"/>
      <c r="F860" s="271"/>
      <c r="G860" s="98"/>
      <c r="H860" s="94"/>
      <c r="I860" s="334"/>
      <c r="J860" s="278"/>
      <c r="K860" s="216"/>
      <c r="L860" s="216"/>
      <c r="M860" s="216"/>
      <c r="N860" s="216"/>
      <c r="O860" s="216"/>
      <c r="P860" s="30"/>
      <c r="Q860" s="78">
        <f>база!$L$5</f>
        <v>231.45480000000001</v>
      </c>
      <c r="R860" s="271">
        <v>1.3</v>
      </c>
      <c r="S860" s="98">
        <f>SUMIFS(Таблица1[сумма],Таблица1[коэф],"1,3",Таблица1[р/р],"4/16",Таблица1[Ф. И. О.],B858)</f>
        <v>0</v>
      </c>
      <c r="T860" s="94">
        <f t="shared" si="535"/>
        <v>0</v>
      </c>
      <c r="U860" s="314">
        <f>база!$M$5</f>
        <v>247.41720000000001</v>
      </c>
      <c r="V860" s="271">
        <v>1.3</v>
      </c>
      <c r="W860" s="307">
        <f>SUMIFS(Таблица1[сумма],Таблица1[коэф],"1,3",Таблица1[р/р],"4/24",Таблица1[Ф. И. О.],B858)</f>
        <v>0</v>
      </c>
      <c r="X860" s="313">
        <f t="shared" si="536"/>
        <v>0</v>
      </c>
      <c r="Y860" s="808"/>
      <c r="Z860" s="810"/>
      <c r="AA860" s="813"/>
    </row>
    <row r="861" spans="1:29" ht="18.75" customHeight="1">
      <c r="A861" s="756"/>
      <c r="B861" s="215"/>
      <c r="C861" s="722"/>
      <c r="D861" s="724"/>
      <c r="E861" s="78"/>
      <c r="F861" s="271"/>
      <c r="G861" s="98"/>
      <c r="H861" s="94"/>
      <c r="I861" s="334"/>
      <c r="J861" s="278"/>
      <c r="K861" s="216"/>
      <c r="L861" s="216"/>
      <c r="M861" s="216"/>
      <c r="N861" s="216"/>
      <c r="O861" s="216"/>
      <c r="P861" s="30"/>
      <c r="Q861" s="78">
        <f>IF(D853&lt;=3,база!$L$4,
IF(D853=4,база!$L$5,
IF(D853=5,база!$L$6)))</f>
        <v>210.57480000000001</v>
      </c>
      <c r="R861" s="271">
        <v>1.4</v>
      </c>
      <c r="S861" s="98">
        <f>SUMIFS(Таблица1[сумма],Таблица1[коэф],"1,4",Таблица1[р/р],"3/16",Таблица1[Ф. И. О.],B858)</f>
        <v>0</v>
      </c>
      <c r="T861" s="94">
        <f>ROUND(Q861*R861*S861,2)</f>
        <v>0</v>
      </c>
      <c r="U861" s="314">
        <f>IF(D853&lt;=3,база!$M$4,
IF(D853=4,база!$M$5,
IF(D853=5,база!$M$6)))</f>
        <v>225.09719999999999</v>
      </c>
      <c r="V861" s="271">
        <v>1.4</v>
      </c>
      <c r="W861" s="307">
        <f>SUMIFS(Таблица1[сумма],Таблица1[коэф],"1,4",Таблица1[р/р],"3/24",Таблица1[Ф. И. О.],B858)</f>
        <v>0</v>
      </c>
      <c r="X861" s="313">
        <f>ROUND(U861*V861*W861,2)</f>
        <v>0</v>
      </c>
      <c r="Y861" s="808"/>
      <c r="Z861" s="810"/>
      <c r="AA861" s="813"/>
    </row>
    <row r="862" spans="1:29" ht="18.75" customHeight="1">
      <c r="A862" s="756"/>
      <c r="B862" s="215"/>
      <c r="C862" s="722"/>
      <c r="D862" s="724"/>
      <c r="E862" s="78"/>
      <c r="F862" s="271"/>
      <c r="G862" s="98"/>
      <c r="H862" s="94"/>
      <c r="I862" s="334"/>
      <c r="J862" s="278"/>
      <c r="K862" s="216"/>
      <c r="L862" s="216"/>
      <c r="M862" s="216"/>
      <c r="N862" s="216"/>
      <c r="O862" s="216"/>
      <c r="P862" s="30"/>
      <c r="Q862" s="78">
        <f>база!$L$5</f>
        <v>231.45480000000001</v>
      </c>
      <c r="R862" s="271">
        <v>1.4</v>
      </c>
      <c r="S862" s="98">
        <f>SUMIFS(Таблица1[сумма],Таблица1[коэф],"1,4",Таблица1[р/р],"4/16",Таблица1[Ф. И. О.],B858)</f>
        <v>0</v>
      </c>
      <c r="T862" s="94">
        <f>ROUND(Q862*R862*S862,2)</f>
        <v>0</v>
      </c>
      <c r="U862" s="314">
        <f>база!$M$5</f>
        <v>247.41720000000001</v>
      </c>
      <c r="V862" s="271">
        <v>1.4</v>
      </c>
      <c r="W862" s="307">
        <f>SUMIFS(Таблица1[сумма],Таблица1[коэф],"1,4",Таблица1[р/р],"4/24",Таблица1[Ф. И. О.],B858)</f>
        <v>0</v>
      </c>
      <c r="X862" s="313">
        <f>ROUND(U862*V862*W862,2)</f>
        <v>0</v>
      </c>
      <c r="Y862" s="808"/>
      <c r="Z862" s="810"/>
      <c r="AA862" s="813"/>
    </row>
    <row r="863" spans="1:29" ht="19.5" customHeight="1" thickBot="1">
      <c r="A863" s="757"/>
      <c r="B863" s="352"/>
      <c r="C863" s="723"/>
      <c r="D863" s="725"/>
      <c r="E863" s="101"/>
      <c r="F863" s="273"/>
      <c r="G863" s="624"/>
      <c r="H863" s="90"/>
      <c r="I863" s="625"/>
      <c r="J863" s="279"/>
      <c r="K863" s="626"/>
      <c r="L863" s="288"/>
      <c r="M863" s="625"/>
      <c r="N863" s="626"/>
      <c r="O863" s="626"/>
      <c r="P863" s="315"/>
      <c r="Q863" s="627">
        <f>база!$L$6</f>
        <v>261.04640000000001</v>
      </c>
      <c r="R863" s="273">
        <v>1.4</v>
      </c>
      <c r="S863" s="97">
        <f>SUMIFS(Таблица1[сумма],Таблица1[коэф],"1,4",Таблица1[р/р],"5/16",Таблица1[Ф. И. О.],B858)</f>
        <v>0</v>
      </c>
      <c r="T863" s="90">
        <f>ROUND(Q863*R863*S863,2)</f>
        <v>0</v>
      </c>
      <c r="U863" s="220">
        <f>база!$M$6</f>
        <v>279.0496</v>
      </c>
      <c r="V863" s="273">
        <v>1.4</v>
      </c>
      <c r="W863" s="97">
        <f>SUMIFS(Таблица1[сумма],Таблица1[коэф],"1,4",Таблица1[р/р],"5/24",Таблица1[Ф. И. О.],B858)</f>
        <v>0</v>
      </c>
      <c r="X863" s="90">
        <f>ROUND(U863*V863*W863,2)</f>
        <v>0</v>
      </c>
      <c r="Y863" s="809"/>
      <c r="Z863" s="811"/>
      <c r="AA863" s="814"/>
    </row>
    <row r="864" spans="1:29" ht="18.75" customHeight="1">
      <c r="A864" s="755">
        <v>79</v>
      </c>
      <c r="B864" s="215"/>
      <c r="C864" s="722">
        <f>INDEX(база!$E$2:$E$181, MATCH(B869,база!$B$2:$B$160,0))</f>
        <v>0</v>
      </c>
      <c r="D864" s="724">
        <f>INDEX(база!$D$2:$D$189, MATCH(B869,база!$B$2:$B$160,0))</f>
        <v>0</v>
      </c>
      <c r="E864" s="74">
        <f>IF(D864&lt;=3,база!$I$4,
IF(D864=4,база!$I$5,
IF(D864=5,база!$I$6)))</f>
        <v>188.7912</v>
      </c>
      <c r="F864" s="270">
        <v>1</v>
      </c>
      <c r="G864" s="96">
        <f>SUMIFS(Таблица1[сумма],Таблица1[коэф],"1",Таблица1[р/р],"2/4",Таблица1[Ф. И. О.],B869)</f>
        <v>0</v>
      </c>
      <c r="H864" s="102">
        <f>ROUND(E864*F864*G864,2)</f>
        <v>0</v>
      </c>
      <c r="I864" s="344">
        <f>IF(D864&lt;=3,база!$J$4,
IF(D864=4,база!$J$5,
IF(D864=5,база!$J$6)))</f>
        <v>196.05240000000001</v>
      </c>
      <c r="J864" s="277">
        <v>1</v>
      </c>
      <c r="K864" s="309">
        <f>SUMIFS(Таблица1[сумма],Таблица1[коэф],"1",Таблица1[р/р],"2/8",Таблица1[Ф. И. О.],B869)</f>
        <v>0</v>
      </c>
      <c r="L864" s="309">
        <f>ROUND(I864*J864*K864,2)</f>
        <v>0</v>
      </c>
      <c r="M864" s="309"/>
      <c r="N864" s="309">
        <v>1</v>
      </c>
      <c r="O864" s="309">
        <f>SUMIFS(Data_Tech!$AM$3:$AM$67,Data_Tech!$E$3:$E$67,"1",Data_Tech!$G$3:$G$67,"3/12",Data_Tech!$F$3:$F$67,B869)</f>
        <v>0</v>
      </c>
      <c r="P864" s="281">
        <f>ROUND(M864*N864*O864,2)</f>
        <v>0</v>
      </c>
      <c r="Q864" s="74">
        <f>IF(D864&lt;=3,база!$L$4,
IF(D864=4,база!$L$5,
IF(D864=5,база!$L$6)))</f>
        <v>210.57480000000001</v>
      </c>
      <c r="R864" s="270">
        <v>1</v>
      </c>
      <c r="S864" s="96">
        <f>SUMIFS(Таблица1[сумма],Таблица1[коэф],"1",Таблица1[р/р],"3/16",Таблица1[Ф. И. О.],B869)</f>
        <v>0</v>
      </c>
      <c r="T864" s="102">
        <f t="shared" ref="T864:T868" si="537">ROUND(Q864*R864*S864,2)</f>
        <v>0</v>
      </c>
      <c r="U864" s="349">
        <f>IF(D864&lt;=3,база!$M$4,
IF(D864=4,база!$M$5,
IF(D864=5,база!$M$6)))</f>
        <v>225.09719999999999</v>
      </c>
      <c r="V864" s="270">
        <v>1</v>
      </c>
      <c r="W864" s="337">
        <f>SUMIFS(Таблица1[сумма],Таблица1[коэф],"1",Таблица1[р/р],"3/24",Таблица1[Ф. И. О.],B869)</f>
        <v>0</v>
      </c>
      <c r="X864" s="351">
        <f>ROUND(U864*V864*W864,2)</f>
        <v>0</v>
      </c>
      <c r="Y864" s="807">
        <f t="shared" ref="Y864" si="538">SUM(G864:G874,K864:K874,O864:O874,S864:S874,W864:W874)</f>
        <v>0</v>
      </c>
      <c r="Z864" s="810">
        <f t="shared" ref="Z864" si="539">IFERROR(SUM(H864:H874,L864:L874,T864:T874,X864:X874),"")</f>
        <v>0</v>
      </c>
      <c r="AA864" s="812"/>
    </row>
    <row r="865" spans="1:29" ht="18.75" customHeight="1">
      <c r="A865" s="756"/>
      <c r="B865" s="215"/>
      <c r="C865" s="722"/>
      <c r="D865" s="724"/>
      <c r="E865" s="78">
        <f>IF(D864&lt;=3,база!$I$4,
IF(D864=4,база!$I$5,
IF(D864=5,база!$I$6)))</f>
        <v>188.7912</v>
      </c>
      <c r="F865" s="271">
        <v>1</v>
      </c>
      <c r="G865" s="98">
        <f>SUMIFS(Таблица1[сумма],Таблица1[коэф],"1",Таблица1[р/р],"3/4",Таблица1[Ф. И. О.],B869)</f>
        <v>0</v>
      </c>
      <c r="H865" s="94">
        <f>ROUND(E865*F865*G865,2)</f>
        <v>0</v>
      </c>
      <c r="I865" s="334">
        <f>IF(D864&lt;=3,база!$J$4,
IF(D864=4,база!$J$5,
IF(D864=5,база!$J$6)))</f>
        <v>196.05240000000001</v>
      </c>
      <c r="J865" s="278">
        <v>1</v>
      </c>
      <c r="K865" s="216"/>
      <c r="L865" s="216">
        <f>ROUND(I865*J865*K865,2)</f>
        <v>0</v>
      </c>
      <c r="M865" s="216"/>
      <c r="N865" s="216">
        <v>1</v>
      </c>
      <c r="O865" s="216">
        <f>SUMIFS(Data_Tech!$AM$3:$AM$67,Data_Tech!$E$3:$E$67,"1",Data_Tech!$G$3:$G$67,"4/12",Data_Tech!$F$3:$F$67,B869)</f>
        <v>0</v>
      </c>
      <c r="P865" s="30">
        <f>ROUND(M865*O865,2)</f>
        <v>0</v>
      </c>
      <c r="Q865" s="78">
        <f>база!$L$5</f>
        <v>231.45480000000001</v>
      </c>
      <c r="R865" s="271">
        <v>1</v>
      </c>
      <c r="S865" s="98">
        <f>SUMIFS(Таблица1[сумма],Таблица1[коэф],"1",Таблица1[р/р],"4/16",Таблица1[Ф. И. О.],B869)</f>
        <v>0</v>
      </c>
      <c r="T865" s="94">
        <f t="shared" si="537"/>
        <v>0</v>
      </c>
      <c r="U865" s="314">
        <f>база!$M$5</f>
        <v>247.41720000000001</v>
      </c>
      <c r="V865" s="271">
        <v>1</v>
      </c>
      <c r="W865" s="307">
        <f>SUMIFS(Таблица1[сумма],Таблица1[коэф],"1",Таблица1[р/р],"4/24",Таблица1[Ф. И. О.],B869)</f>
        <v>0</v>
      </c>
      <c r="X865" s="313">
        <f t="shared" ref="X865" si="540">ROUND(U865*V865*W865,2)</f>
        <v>0</v>
      </c>
      <c r="Y865" s="808"/>
      <c r="Z865" s="810"/>
      <c r="AA865" s="813"/>
    </row>
    <row r="866" spans="1:29" ht="18.75" customHeight="1">
      <c r="A866" s="756"/>
      <c r="B866" s="215"/>
      <c r="C866" s="722"/>
      <c r="D866" s="724"/>
      <c r="E866" s="78"/>
      <c r="F866" s="271"/>
      <c r="G866" s="98"/>
      <c r="H866" s="94"/>
      <c r="I866" s="334"/>
      <c r="J866" s="278"/>
      <c r="K866" s="216"/>
      <c r="L866" s="216"/>
      <c r="M866" s="216"/>
      <c r="N866" s="216"/>
      <c r="O866" s="216"/>
      <c r="P866" s="30"/>
      <c r="Q866" s="78">
        <f>база!$L$6</f>
        <v>261.04640000000001</v>
      </c>
      <c r="R866" s="271">
        <v>1</v>
      </c>
      <c r="S866" s="98">
        <f>SUMIFS(Таблица1[сумма],Таблица1[коэф],"1",Таблица1[р/р],"5/16",Таблица1[Ф. И. О.],B869)</f>
        <v>0</v>
      </c>
      <c r="T866" s="94">
        <f t="shared" si="537"/>
        <v>0</v>
      </c>
      <c r="U866" s="314">
        <f>база!$M$6</f>
        <v>279.0496</v>
      </c>
      <c r="V866" s="271">
        <v>1</v>
      </c>
      <c r="W866" s="307">
        <f>SUMIFS(Таблица1[сумма],Таблица1[коэф],"1",Таблица1[р/р],"5/24",Таблица1[Ф. И. О.],B869)</f>
        <v>0</v>
      </c>
      <c r="X866" s="313">
        <f>ROUND(U866*V866*W866,2)</f>
        <v>0</v>
      </c>
      <c r="Y866" s="808"/>
      <c r="Z866" s="810"/>
      <c r="AA866" s="813"/>
    </row>
    <row r="867" spans="1:29" ht="18.75" customHeight="1">
      <c r="A867" s="756"/>
      <c r="B867" s="215"/>
      <c r="C867" s="722"/>
      <c r="D867" s="724"/>
      <c r="E867" s="78"/>
      <c r="F867" s="271"/>
      <c r="G867" s="98"/>
      <c r="H867" s="94"/>
      <c r="I867" s="334">
        <f>база!$J$5</f>
        <v>215.4924</v>
      </c>
      <c r="J867" s="278">
        <v>1.5</v>
      </c>
      <c r="K867" s="216">
        <f>SUMIFS(Таблица1[сумма],Таблица1[коэф],"1,5",Таблица1[р/р],"4/8",Таблица1[Ф. И. О.],B869)</f>
        <v>0</v>
      </c>
      <c r="L867" s="216">
        <f>ROUND(I867*J867*K867,2)</f>
        <v>0</v>
      </c>
      <c r="M867" s="216"/>
      <c r="N867" s="216"/>
      <c r="O867" s="216"/>
      <c r="P867" s="30"/>
      <c r="Q867" s="78">
        <f>IF(D864&lt;=3,база!$L$4,
IF(D864=4,база!$L$5,
IF(D864=5,база!$L$6)))</f>
        <v>210.57480000000001</v>
      </c>
      <c r="R867" s="271">
        <v>1.2</v>
      </c>
      <c r="S867" s="98">
        <f>SUMIFS(Таблица1[сумма],Таблица1[коэф],"1,2",Таблица1[р/р],"3/16",Таблица1[Ф. И. О.],B869)</f>
        <v>0</v>
      </c>
      <c r="T867" s="94">
        <f t="shared" si="537"/>
        <v>0</v>
      </c>
      <c r="U867" s="314">
        <f>IF(D864&lt;=3,база!$M$4,
IF(D864=4,база!$M$5,
IF(D864=5,база!$M$6)))</f>
        <v>225.09719999999999</v>
      </c>
      <c r="V867" s="271">
        <v>1.2</v>
      </c>
      <c r="W867" s="307">
        <f>SUMIFS(Таблица1[сумма],Таблица1[коэф],"1,2",Таблица1[р/р],"3/24",Таблица1[Ф. И. О.],B869)</f>
        <v>0</v>
      </c>
      <c r="X867" s="313">
        <f t="shared" ref="X867:X868" si="541">ROUND(U867*V867*W867,2)</f>
        <v>0</v>
      </c>
      <c r="Y867" s="808"/>
      <c r="Z867" s="810"/>
      <c r="AA867" s="813"/>
    </row>
    <row r="868" spans="1:29" ht="18.75" customHeight="1">
      <c r="A868" s="756"/>
      <c r="B868" s="215"/>
      <c r="C868" s="722"/>
      <c r="D868" s="724"/>
      <c r="E868" s="78"/>
      <c r="F868" s="271"/>
      <c r="G868" s="98"/>
      <c r="H868" s="94"/>
      <c r="I868" s="334">
        <f>база!$J$6</f>
        <v>243.04319999999998</v>
      </c>
      <c r="J868" s="278">
        <v>1.5</v>
      </c>
      <c r="K868" s="216">
        <f>SUMIFS(Таблица1[сумма],Таблица1[коэф],"1,5",Таблица1[р/р],"5/8",Таблица1[Ф. И. О.],B869)</f>
        <v>0</v>
      </c>
      <c r="L868" s="216">
        <f>ROUND(I868*J868*K868,2)</f>
        <v>0</v>
      </c>
      <c r="M868" s="216"/>
      <c r="N868" s="216"/>
      <c r="O868" s="216"/>
      <c r="P868" s="30"/>
      <c r="Q868" s="78">
        <f>база!$L$5</f>
        <v>231.45480000000001</v>
      </c>
      <c r="R868" s="271">
        <v>1.2</v>
      </c>
      <c r="S868" s="98">
        <f>SUMIFS(Таблица1[сумма],Таблица1[коэф],"1,2",Таблица1[р/р],"4/16",Таблица1[Ф. И. О.],B869)</f>
        <v>0</v>
      </c>
      <c r="T868" s="94">
        <f t="shared" si="537"/>
        <v>0</v>
      </c>
      <c r="U868" s="314">
        <f>база!$M$5</f>
        <v>247.41720000000001</v>
      </c>
      <c r="V868" s="271">
        <v>1.2</v>
      </c>
      <c r="W868" s="307">
        <f>SUMIFS(Таблица1[сумма],Таблица1[коэф],"1,2",Таблица1[р/р],"4/24",Таблица1[Ф. И. О.],B869)</f>
        <v>0</v>
      </c>
      <c r="X868" s="313">
        <f t="shared" si="541"/>
        <v>0</v>
      </c>
      <c r="Y868" s="808"/>
      <c r="Z868" s="810"/>
      <c r="AA868" s="813"/>
      <c r="AC868" s="707" t="str">
        <f>IF(SUMIFS(Таблица1[Столбец2],Таблица1[Ф. И. О.],B869)-Z864=0,"",SUMIFS(Таблица1[Столбец2],Таблица1[Ф. И. О.],B869)-Z864)</f>
        <v/>
      </c>
    </row>
    <row r="869" spans="1:29" ht="18.75" customHeight="1">
      <c r="A869" s="756"/>
      <c r="B869" s="215">
        <f>база!B80</f>
        <v>0</v>
      </c>
      <c r="C869" s="722"/>
      <c r="D869" s="724"/>
      <c r="E869" s="78"/>
      <c r="F869" s="271"/>
      <c r="G869" s="98"/>
      <c r="H869" s="94"/>
      <c r="I869" s="334"/>
      <c r="J869" s="278"/>
      <c r="K869" s="216"/>
      <c r="L869" s="216"/>
      <c r="M869" s="216"/>
      <c r="N869" s="216"/>
      <c r="O869" s="216"/>
      <c r="P869" s="30"/>
      <c r="Q869" s="78">
        <f>база!$L$6</f>
        <v>261.04640000000001</v>
      </c>
      <c r="R869" s="271">
        <v>1.2</v>
      </c>
      <c r="S869" s="98">
        <f>SUMIFS(Таблица1[сумма],Таблица1[коэф],"1,2",Таблица1[р/р],"5/16",Таблица1[Ф. И. О.],B869)</f>
        <v>0</v>
      </c>
      <c r="T869" s="94">
        <f>ROUND(Q869*R869*S869,2)</f>
        <v>0</v>
      </c>
      <c r="U869" s="314">
        <f>база!$M$6</f>
        <v>279.0496</v>
      </c>
      <c r="V869" s="271">
        <v>1.2</v>
      </c>
      <c r="W869" s="307">
        <f>SUMIFS(Таблица1[сумма],Таблица1[коэф],"1,2",Таблица1[р/р],"5/24",Таблица1[Ф. И. О.],B869)</f>
        <v>0</v>
      </c>
      <c r="X869" s="313">
        <f>ROUND(U869*V869*W869,2)</f>
        <v>0</v>
      </c>
      <c r="Y869" s="808"/>
      <c r="Z869" s="810"/>
      <c r="AA869" s="813"/>
      <c r="AC869" s="707" t="str">
        <f>IF(SUMIFS(Таблица1[сумма],Таблица1[Ф. И. О.],B869)=Y864,"",B864&amp;"  часы не верны")</f>
        <v/>
      </c>
    </row>
    <row r="870" spans="1:29" ht="18.75" customHeight="1">
      <c r="A870" s="756"/>
      <c r="B870" s="215"/>
      <c r="C870" s="722"/>
      <c r="D870" s="724"/>
      <c r="E870" s="78"/>
      <c r="F870" s="271"/>
      <c r="G870" s="98"/>
      <c r="H870" s="94"/>
      <c r="I870" s="334"/>
      <c r="J870" s="278"/>
      <c r="K870" s="216"/>
      <c r="L870" s="216"/>
      <c r="M870" s="216"/>
      <c r="N870" s="216"/>
      <c r="O870" s="216"/>
      <c r="P870" s="30"/>
      <c r="Q870" s="78">
        <f>IF($D$6&lt;=3,база!$L$4,
IF($D$6=4,база!$L$5,
IF($D$6=5,база!$L$6)))</f>
        <v>231.45480000000001</v>
      </c>
      <c r="R870" s="271">
        <v>1.3</v>
      </c>
      <c r="S870" s="98">
        <f>SUMIFS(Таблица1[сумма],Таблица1[коэф],"1,3",Таблица1[р/р],"3/16",Таблица1[Ф. И. О.],B869)</f>
        <v>0</v>
      </c>
      <c r="T870" s="94">
        <f t="shared" ref="T870:T871" si="542">ROUND(Q870*R870*S870,2)</f>
        <v>0</v>
      </c>
      <c r="U870" s="314">
        <f>IF(D864&lt;=3,база!$M$4,
IF(D864=4,база!$M$5,
IF(D864=5,база!$M$6)))</f>
        <v>225.09719999999999</v>
      </c>
      <c r="V870" s="271">
        <v>1.3</v>
      </c>
      <c r="W870" s="307">
        <f>SUMIFS(Таблица1[сумма],Таблица1[коэф],"1,3",Таблица1[р/р],"3/24",Таблица1[Ф. И. О.],B869)</f>
        <v>0</v>
      </c>
      <c r="X870" s="313">
        <f t="shared" ref="X870:X871" si="543">ROUND(U870*V870*W870,2)</f>
        <v>0</v>
      </c>
      <c r="Y870" s="808"/>
      <c r="Z870" s="810"/>
      <c r="AA870" s="813"/>
    </row>
    <row r="871" spans="1:29" ht="18.75" customHeight="1">
      <c r="A871" s="756"/>
      <c r="B871" s="215"/>
      <c r="C871" s="722"/>
      <c r="D871" s="724"/>
      <c r="E871" s="78"/>
      <c r="F871" s="271"/>
      <c r="G871" s="98"/>
      <c r="H871" s="94"/>
      <c r="I871" s="334"/>
      <c r="J871" s="278"/>
      <c r="K871" s="216"/>
      <c r="L871" s="216"/>
      <c r="M871" s="216"/>
      <c r="N871" s="216"/>
      <c r="O871" s="216"/>
      <c r="P871" s="30"/>
      <c r="Q871" s="78">
        <f>база!$L$5</f>
        <v>231.45480000000001</v>
      </c>
      <c r="R871" s="271">
        <v>1.3</v>
      </c>
      <c r="S871" s="98">
        <f>SUMIFS(Таблица1[сумма],Таблица1[коэф],"1,3",Таблица1[р/р],"4/16",Таблица1[Ф. И. О.],B869)</f>
        <v>0</v>
      </c>
      <c r="T871" s="94">
        <f t="shared" si="542"/>
        <v>0</v>
      </c>
      <c r="U871" s="314">
        <f>база!$M$5</f>
        <v>247.41720000000001</v>
      </c>
      <c r="V871" s="271">
        <v>1.3</v>
      </c>
      <c r="W871" s="307">
        <f>SUMIFS(Таблица1[сумма],Таблица1[коэф],"1,3",Таблица1[р/р],"4/24",Таблица1[Ф. И. О.],B869)</f>
        <v>0</v>
      </c>
      <c r="X871" s="313">
        <f t="shared" si="543"/>
        <v>0</v>
      </c>
      <c r="Y871" s="808"/>
      <c r="Z871" s="810"/>
      <c r="AA871" s="813"/>
    </row>
    <row r="872" spans="1:29" ht="18.75" customHeight="1">
      <c r="A872" s="756"/>
      <c r="B872" s="215"/>
      <c r="C872" s="722"/>
      <c r="D872" s="724"/>
      <c r="E872" s="78"/>
      <c r="F872" s="271"/>
      <c r="G872" s="98"/>
      <c r="H872" s="94"/>
      <c r="I872" s="334"/>
      <c r="J872" s="278"/>
      <c r="K872" s="216"/>
      <c r="L872" s="216"/>
      <c r="M872" s="216"/>
      <c r="N872" s="216"/>
      <c r="O872" s="216"/>
      <c r="P872" s="30"/>
      <c r="Q872" s="78">
        <f>IF(D864&lt;=3,база!$L$4,
IF(D864=4,база!$L$5,
IF(D864=5,база!$L$6)))</f>
        <v>210.57480000000001</v>
      </c>
      <c r="R872" s="271">
        <v>1.4</v>
      </c>
      <c r="S872" s="98">
        <f>SUMIFS(Таблица1[сумма],Таблица1[коэф],"1,4",Таблица1[р/р],"3/16",Таблица1[Ф. И. О.],B869)</f>
        <v>0</v>
      </c>
      <c r="T872" s="94">
        <f>ROUND(Q872*R872*S872,2)</f>
        <v>0</v>
      </c>
      <c r="U872" s="314">
        <f>IF(D864&lt;=3,база!$M$4,
IF(D864=4,база!$M$5,
IF(D864=5,база!$M$6)))</f>
        <v>225.09719999999999</v>
      </c>
      <c r="V872" s="271">
        <v>1.4</v>
      </c>
      <c r="W872" s="307">
        <f>SUMIFS(Таблица1[сумма],Таблица1[коэф],"1,4",Таблица1[р/р],"3/24",Таблица1[Ф. И. О.],B869)</f>
        <v>0</v>
      </c>
      <c r="X872" s="313">
        <f>ROUND(U872*V872*W872,2)</f>
        <v>0</v>
      </c>
      <c r="Y872" s="808"/>
      <c r="Z872" s="810"/>
      <c r="AA872" s="813"/>
    </row>
    <row r="873" spans="1:29" ht="18.75" customHeight="1">
      <c r="A873" s="756"/>
      <c r="B873" s="215"/>
      <c r="C873" s="722"/>
      <c r="D873" s="724"/>
      <c r="E873" s="78"/>
      <c r="F873" s="271"/>
      <c r="G873" s="98"/>
      <c r="H873" s="94"/>
      <c r="I873" s="334"/>
      <c r="J873" s="278"/>
      <c r="K873" s="216"/>
      <c r="L873" s="216"/>
      <c r="M873" s="216"/>
      <c r="N873" s="216"/>
      <c r="O873" s="216"/>
      <c r="P873" s="30"/>
      <c r="Q873" s="78">
        <f>база!$L$5</f>
        <v>231.45480000000001</v>
      </c>
      <c r="R873" s="271">
        <v>1.4</v>
      </c>
      <c r="S873" s="98">
        <f>SUMIFS(Таблица1[сумма],Таблица1[коэф],"1,4",Таблица1[р/р],"4/16",Таблица1[Ф. И. О.],B869)</f>
        <v>0</v>
      </c>
      <c r="T873" s="94">
        <f>ROUND(Q873*R873*S873,2)</f>
        <v>0</v>
      </c>
      <c r="U873" s="314">
        <f>база!$M$5</f>
        <v>247.41720000000001</v>
      </c>
      <c r="V873" s="271">
        <v>1.4</v>
      </c>
      <c r="W873" s="307">
        <f>SUMIFS(Таблица1[сумма],Таблица1[коэф],"1,4",Таблица1[р/р],"4/24",Таблица1[Ф. И. О.],B869)</f>
        <v>0</v>
      </c>
      <c r="X873" s="313">
        <f>ROUND(U873*V873*W873,2)</f>
        <v>0</v>
      </c>
      <c r="Y873" s="808"/>
      <c r="Z873" s="810"/>
      <c r="AA873" s="813"/>
    </row>
    <row r="874" spans="1:29" ht="19.5" customHeight="1" thickBot="1">
      <c r="A874" s="757"/>
      <c r="B874" s="352"/>
      <c r="C874" s="723"/>
      <c r="D874" s="725"/>
      <c r="E874" s="101"/>
      <c r="F874" s="273"/>
      <c r="G874" s="624"/>
      <c r="H874" s="90"/>
      <c r="I874" s="625"/>
      <c r="J874" s="279"/>
      <c r="K874" s="626"/>
      <c r="L874" s="288"/>
      <c r="M874" s="625"/>
      <c r="N874" s="626"/>
      <c r="O874" s="626"/>
      <c r="P874" s="315"/>
      <c r="Q874" s="627">
        <f>база!$L$6</f>
        <v>261.04640000000001</v>
      </c>
      <c r="R874" s="273">
        <v>1.4</v>
      </c>
      <c r="S874" s="97">
        <f>SUMIFS(Таблица1[сумма],Таблица1[коэф],"1,4",Таблица1[р/р],"5/16",Таблица1[Ф. И. О.],B869)</f>
        <v>0</v>
      </c>
      <c r="T874" s="90">
        <f>ROUND(Q874*R874*S874,2)</f>
        <v>0</v>
      </c>
      <c r="U874" s="220">
        <f>база!$M$6</f>
        <v>279.0496</v>
      </c>
      <c r="V874" s="273">
        <v>1.4</v>
      </c>
      <c r="W874" s="97">
        <f>SUMIFS(Таблица1[сумма],Таблица1[коэф],"1,4",Таблица1[р/р],"5/24",Таблица1[Ф. И. О.],B869)</f>
        <v>0</v>
      </c>
      <c r="X874" s="90">
        <f>ROUND(U874*V874*W874,2)</f>
        <v>0</v>
      </c>
      <c r="Y874" s="809"/>
      <c r="Z874" s="811"/>
      <c r="AA874" s="814"/>
    </row>
    <row r="875" spans="1:29" ht="18.75" customHeight="1">
      <c r="A875" s="755">
        <v>80</v>
      </c>
      <c r="B875" s="215"/>
      <c r="C875" s="722">
        <f>INDEX(база!$E$2:$E$181, MATCH(B880,база!$B$2:$B$160,0))</f>
        <v>0</v>
      </c>
      <c r="D875" s="724">
        <f>INDEX(база!$D$2:$D$189, MATCH(B880,база!$B$2:$B$160,0))</f>
        <v>0</v>
      </c>
      <c r="E875" s="74">
        <f>IF(D875&lt;=3,база!$I$4,
IF(D875=4,база!$I$5,
IF(D875=5,база!$I$6)))</f>
        <v>188.7912</v>
      </c>
      <c r="F875" s="270">
        <v>1</v>
      </c>
      <c r="G875" s="96">
        <f>SUMIFS(Таблица1[сумма],Таблица1[коэф],"1",Таблица1[р/р],"2/4",Таблица1[Ф. И. О.],B880)</f>
        <v>0</v>
      </c>
      <c r="H875" s="102">
        <f>ROUND(E875*F875*G875,2)</f>
        <v>0</v>
      </c>
      <c r="I875" s="344">
        <f>IF(D875&lt;=3,база!$J$4,
IF(D875=4,база!$J$5,
IF(D875=5,база!$J$6)))</f>
        <v>196.05240000000001</v>
      </c>
      <c r="J875" s="277">
        <v>1</v>
      </c>
      <c r="K875" s="309">
        <f>SUMIFS(Таблица1[сумма],Таблица1[коэф],"1",Таблица1[р/р],"2/8",Таблица1[Ф. И. О.],B880)</f>
        <v>0</v>
      </c>
      <c r="L875" s="309">
        <f>ROUND(I875*J875*K875,2)</f>
        <v>0</v>
      </c>
      <c r="M875" s="309"/>
      <c r="N875" s="309">
        <v>1</v>
      </c>
      <c r="O875" s="309">
        <f>SUMIFS(Data_Tech!$AM$3:$AM$67,Data_Tech!$E$3:$E$67,"1",Data_Tech!$G$3:$G$67,"3/12",Data_Tech!$F$3:$F$67,B880)</f>
        <v>0</v>
      </c>
      <c r="P875" s="281">
        <f>ROUND(M875*N875*O875,2)</f>
        <v>0</v>
      </c>
      <c r="Q875" s="74">
        <f>IF(D875&lt;=3,база!$L$4,
IF(D875=4,база!$L$5,
IF(D875=5,база!$L$6)))</f>
        <v>210.57480000000001</v>
      </c>
      <c r="R875" s="270">
        <v>1</v>
      </c>
      <c r="S875" s="96">
        <f>SUMIFS(Таблица1[сумма],Таблица1[коэф],"1",Таблица1[р/р],"3/16",Таблица1[Ф. И. О.],B880)</f>
        <v>0</v>
      </c>
      <c r="T875" s="102">
        <f t="shared" ref="T875:T879" si="544">ROUND(Q875*R875*S875,2)</f>
        <v>0</v>
      </c>
      <c r="U875" s="349">
        <f>IF(D875&lt;=3,база!$M$4,
IF(D875=4,база!$M$5,
IF(D875=5,база!$M$6)))</f>
        <v>225.09719999999999</v>
      </c>
      <c r="V875" s="270">
        <v>1</v>
      </c>
      <c r="W875" s="337">
        <f>SUMIFS(Таблица1[сумма],Таблица1[коэф],"1",Таблица1[р/р],"3/24",Таблица1[Ф. И. О.],B880)</f>
        <v>0</v>
      </c>
      <c r="X875" s="351">
        <f>ROUND(U875*V875*W875,2)</f>
        <v>0</v>
      </c>
      <c r="Y875" s="807">
        <f t="shared" ref="Y875" si="545">SUM(G875:G885,K875:K885,O875:O885,S875:S885,W875:W885)</f>
        <v>0</v>
      </c>
      <c r="Z875" s="810">
        <f t="shared" ref="Z875" si="546">IFERROR(SUM(H875:H885,L875:L885,T875:T885,X875:X885),"")</f>
        <v>0</v>
      </c>
      <c r="AA875" s="812"/>
    </row>
    <row r="876" spans="1:29" ht="18.75" customHeight="1">
      <c r="A876" s="756"/>
      <c r="B876" s="215"/>
      <c r="C876" s="722"/>
      <c r="D876" s="724"/>
      <c r="E876" s="78">
        <f>IF(D875&lt;=3,база!$I$4,
IF(D875=4,база!$I$5,
IF(D875=5,база!$I$6)))</f>
        <v>188.7912</v>
      </c>
      <c r="F876" s="271">
        <v>1</v>
      </c>
      <c r="G876" s="98">
        <f>SUMIFS(Таблица1[сумма],Таблица1[коэф],"1",Таблица1[р/р],"3/4",Таблица1[Ф. И. О.],B880)</f>
        <v>0</v>
      </c>
      <c r="H876" s="94">
        <f>ROUND(E876*F876*G876,2)</f>
        <v>0</v>
      </c>
      <c r="I876" s="334">
        <f>IF(D875&lt;=3,база!$J$4,
IF(D875=4,база!$J$5,
IF(D875=5,база!$J$6)))</f>
        <v>196.05240000000001</v>
      </c>
      <c r="J876" s="278">
        <v>1</v>
      </c>
      <c r="K876" s="216"/>
      <c r="L876" s="216">
        <f>ROUND(I876*J876*K876,2)</f>
        <v>0</v>
      </c>
      <c r="M876" s="216"/>
      <c r="N876" s="216">
        <v>1</v>
      </c>
      <c r="O876" s="216">
        <f>SUMIFS(Data_Tech!$AM$3:$AM$67,Data_Tech!$E$3:$E$67,"1",Data_Tech!$G$3:$G$67,"4/12",Data_Tech!$F$3:$F$67,B880)</f>
        <v>0</v>
      </c>
      <c r="P876" s="30">
        <f>ROUND(M876*O876,2)</f>
        <v>0</v>
      </c>
      <c r="Q876" s="78">
        <f>база!$L$5</f>
        <v>231.45480000000001</v>
      </c>
      <c r="R876" s="271">
        <v>1</v>
      </c>
      <c r="S876" s="98">
        <f>SUMIFS(Таблица1[сумма],Таблица1[коэф],"1",Таблица1[р/р],"4/16",Таблица1[Ф. И. О.],B880)</f>
        <v>0</v>
      </c>
      <c r="T876" s="94">
        <f t="shared" si="544"/>
        <v>0</v>
      </c>
      <c r="U876" s="314">
        <f>база!$M$5</f>
        <v>247.41720000000001</v>
      </c>
      <c r="V876" s="271">
        <v>1</v>
      </c>
      <c r="W876" s="307">
        <f>SUMIFS(Таблица1[сумма],Таблица1[коэф],"1",Таблица1[р/р],"4/24",Таблица1[Ф. И. О.],B880)</f>
        <v>0</v>
      </c>
      <c r="X876" s="313">
        <f t="shared" ref="X876" si="547">ROUND(U876*V876*W876,2)</f>
        <v>0</v>
      </c>
      <c r="Y876" s="808"/>
      <c r="Z876" s="810"/>
      <c r="AA876" s="813"/>
    </row>
    <row r="877" spans="1:29" ht="18.75" customHeight="1">
      <c r="A877" s="756"/>
      <c r="B877" s="215"/>
      <c r="C877" s="722"/>
      <c r="D877" s="724"/>
      <c r="E877" s="78"/>
      <c r="F877" s="271"/>
      <c r="G877" s="98"/>
      <c r="H877" s="94"/>
      <c r="I877" s="334"/>
      <c r="J877" s="278"/>
      <c r="K877" s="216"/>
      <c r="L877" s="216"/>
      <c r="M877" s="216"/>
      <c r="N877" s="216"/>
      <c r="O877" s="216"/>
      <c r="P877" s="30"/>
      <c r="Q877" s="78">
        <f>база!$L$6</f>
        <v>261.04640000000001</v>
      </c>
      <c r="R877" s="271">
        <v>1</v>
      </c>
      <c r="S877" s="98">
        <f>SUMIFS(Таблица1[сумма],Таблица1[коэф],"1",Таблица1[р/р],"5/16",Таблица1[Ф. И. О.],B880)</f>
        <v>0</v>
      </c>
      <c r="T877" s="94">
        <f t="shared" si="544"/>
        <v>0</v>
      </c>
      <c r="U877" s="314">
        <f>база!$M$6</f>
        <v>279.0496</v>
      </c>
      <c r="V877" s="271">
        <v>1</v>
      </c>
      <c r="W877" s="307">
        <f>SUMIFS(Таблица1[сумма],Таблица1[коэф],"1",Таблица1[р/р],"5/24",Таблица1[Ф. И. О.],B880)</f>
        <v>0</v>
      </c>
      <c r="X877" s="313">
        <f>ROUND(U877*V877*W877,2)</f>
        <v>0</v>
      </c>
      <c r="Y877" s="808"/>
      <c r="Z877" s="810"/>
      <c r="AA877" s="813"/>
    </row>
    <row r="878" spans="1:29" ht="18.75" customHeight="1">
      <c r="A878" s="756"/>
      <c r="B878" s="215"/>
      <c r="C878" s="722"/>
      <c r="D878" s="724"/>
      <c r="E878" s="78"/>
      <c r="F878" s="271"/>
      <c r="G878" s="98"/>
      <c r="H878" s="94"/>
      <c r="I878" s="334">
        <f>база!$J$5</f>
        <v>215.4924</v>
      </c>
      <c r="J878" s="278">
        <v>1.5</v>
      </c>
      <c r="K878" s="216">
        <f>SUMIFS(Таблица1[сумма],Таблица1[коэф],"1,5",Таблица1[р/р],"4/8",Таблица1[Ф. И. О.],B880)</f>
        <v>0</v>
      </c>
      <c r="L878" s="216">
        <f>ROUND(I878*J878*K878,2)</f>
        <v>0</v>
      </c>
      <c r="M878" s="216"/>
      <c r="N878" s="216"/>
      <c r="O878" s="216"/>
      <c r="P878" s="30"/>
      <c r="Q878" s="78">
        <f>IF(D875&lt;=3,база!$L$4,
IF(D875=4,база!$L$5,
IF(D875=5,база!$L$6)))</f>
        <v>210.57480000000001</v>
      </c>
      <c r="R878" s="271">
        <v>1.2</v>
      </c>
      <c r="S878" s="98">
        <f>SUMIFS(Таблица1[сумма],Таблица1[коэф],"1,2",Таблица1[р/р],"3/16",Таблица1[Ф. И. О.],B880)</f>
        <v>0</v>
      </c>
      <c r="T878" s="94">
        <f t="shared" si="544"/>
        <v>0</v>
      </c>
      <c r="U878" s="314">
        <f>IF(D875&lt;=3,база!$M$4,
IF(D875=4,база!$M$5,
IF(D875=5,база!$M$6)))</f>
        <v>225.09719999999999</v>
      </c>
      <c r="V878" s="271">
        <v>1.2</v>
      </c>
      <c r="W878" s="307">
        <f>SUMIFS(Таблица1[сумма],Таблица1[коэф],"1,2",Таблица1[р/р],"3/24",Таблица1[Ф. И. О.],B880)</f>
        <v>0</v>
      </c>
      <c r="X878" s="313">
        <f t="shared" ref="X878:X879" si="548">ROUND(U878*V878*W878,2)</f>
        <v>0</v>
      </c>
      <c r="Y878" s="808"/>
      <c r="Z878" s="810"/>
      <c r="AA878" s="813"/>
    </row>
    <row r="879" spans="1:29" ht="18.75" customHeight="1">
      <c r="A879" s="756"/>
      <c r="B879" s="215"/>
      <c r="C879" s="722"/>
      <c r="D879" s="724"/>
      <c r="E879" s="78"/>
      <c r="F879" s="271"/>
      <c r="G879" s="98"/>
      <c r="H879" s="94"/>
      <c r="I879" s="334">
        <f>база!$J$6</f>
        <v>243.04319999999998</v>
      </c>
      <c r="J879" s="278">
        <v>1.5</v>
      </c>
      <c r="K879" s="216">
        <f>SUMIFS(Таблица1[сумма],Таблица1[коэф],"1,5",Таблица1[р/р],"5/8",Таблица1[Ф. И. О.],B880)</f>
        <v>0</v>
      </c>
      <c r="L879" s="216">
        <f>ROUND(I879*J879*K879,2)</f>
        <v>0</v>
      </c>
      <c r="M879" s="216"/>
      <c r="N879" s="216"/>
      <c r="O879" s="216"/>
      <c r="P879" s="30"/>
      <c r="Q879" s="78">
        <f>база!$L$5</f>
        <v>231.45480000000001</v>
      </c>
      <c r="R879" s="271">
        <v>1.2</v>
      </c>
      <c r="S879" s="98">
        <f>SUMIFS(Таблица1[сумма],Таблица1[коэф],"1,2",Таблица1[р/р],"4/16",Таблица1[Ф. И. О.],B880)</f>
        <v>0</v>
      </c>
      <c r="T879" s="94">
        <f t="shared" si="544"/>
        <v>0</v>
      </c>
      <c r="U879" s="314">
        <f>база!$M$5</f>
        <v>247.41720000000001</v>
      </c>
      <c r="V879" s="271">
        <v>1.2</v>
      </c>
      <c r="W879" s="307">
        <f>SUMIFS(Таблица1[сумма],Таблица1[коэф],"1,2",Таблица1[р/р],"4/24",Таблица1[Ф. И. О.],B880)</f>
        <v>0</v>
      </c>
      <c r="X879" s="313">
        <f t="shared" si="548"/>
        <v>0</v>
      </c>
      <c r="Y879" s="808"/>
      <c r="Z879" s="810"/>
      <c r="AA879" s="813"/>
      <c r="AC879" s="707" t="str">
        <f>IF(SUMIFS(Таблица1[Столбец2],Таблица1[Ф. И. О.],B880)-Z875=0,"",SUMIFS(Таблица1[Столбец2],Таблица1[Ф. И. О.],B880)-Z875)</f>
        <v/>
      </c>
    </row>
    <row r="880" spans="1:29" ht="18.75" customHeight="1">
      <c r="A880" s="756"/>
      <c r="B880" s="215">
        <f>база!B81</f>
        <v>0</v>
      </c>
      <c r="C880" s="722"/>
      <c r="D880" s="724"/>
      <c r="E880" s="78"/>
      <c r="F880" s="271"/>
      <c r="G880" s="98"/>
      <c r="H880" s="94"/>
      <c r="I880" s="334"/>
      <c r="J880" s="278"/>
      <c r="K880" s="216"/>
      <c r="L880" s="216"/>
      <c r="M880" s="216"/>
      <c r="N880" s="216"/>
      <c r="O880" s="216"/>
      <c r="P880" s="30"/>
      <c r="Q880" s="78">
        <f>база!$L$6</f>
        <v>261.04640000000001</v>
      </c>
      <c r="R880" s="271">
        <v>1.2</v>
      </c>
      <c r="S880" s="98">
        <f>SUMIFS(Таблица1[сумма],Таблица1[коэф],"1,2",Таблица1[р/р],"5/16",Таблица1[Ф. И. О.],B880)</f>
        <v>0</v>
      </c>
      <c r="T880" s="94">
        <f>ROUND(Q880*R880*S880,2)</f>
        <v>0</v>
      </c>
      <c r="U880" s="314">
        <f>база!$M$6</f>
        <v>279.0496</v>
      </c>
      <c r="V880" s="271">
        <v>1.2</v>
      </c>
      <c r="W880" s="307">
        <f>SUMIFS(Таблица1[сумма],Таблица1[коэф],"1,2",Таблица1[р/р],"5/24",Таблица1[Ф. И. О.],B880)</f>
        <v>0</v>
      </c>
      <c r="X880" s="313">
        <f>ROUND(U880*V880*W880,2)</f>
        <v>0</v>
      </c>
      <c r="Y880" s="808"/>
      <c r="Z880" s="810"/>
      <c r="AA880" s="813"/>
      <c r="AC880" s="707" t="str">
        <f>IF(SUMIFS(Таблица1[сумма],Таблица1[Ф. И. О.],B880)=Y875,"",B875&amp;"  часы не верны")</f>
        <v/>
      </c>
    </row>
    <row r="881" spans="1:29" ht="18.75" customHeight="1">
      <c r="A881" s="756"/>
      <c r="B881" s="215"/>
      <c r="C881" s="722"/>
      <c r="D881" s="724"/>
      <c r="E881" s="78"/>
      <c r="F881" s="271"/>
      <c r="G881" s="98"/>
      <c r="H881" s="94"/>
      <c r="I881" s="334"/>
      <c r="J881" s="278"/>
      <c r="K881" s="216"/>
      <c r="L881" s="216"/>
      <c r="M881" s="216"/>
      <c r="N881" s="216"/>
      <c r="O881" s="216"/>
      <c r="P881" s="30"/>
      <c r="Q881" s="78">
        <f>IF($D$6&lt;=3,база!$L$4,
IF($D$6=4,база!$L$5,
IF($D$6=5,база!$L$6)))</f>
        <v>231.45480000000001</v>
      </c>
      <c r="R881" s="271">
        <v>1.3</v>
      </c>
      <c r="S881" s="98">
        <f>SUMIFS(Таблица1[сумма],Таблица1[коэф],"1,3",Таблица1[р/р],"3/16",Таблица1[Ф. И. О.],B880)</f>
        <v>0</v>
      </c>
      <c r="T881" s="94">
        <f t="shared" ref="T881:T882" si="549">ROUND(Q881*R881*S881,2)</f>
        <v>0</v>
      </c>
      <c r="U881" s="314">
        <f>IF(D875&lt;=3,база!$M$4,
IF(D875=4,база!$M$5,
IF(D875=5,база!$M$6)))</f>
        <v>225.09719999999999</v>
      </c>
      <c r="V881" s="271">
        <v>1.3</v>
      </c>
      <c r="W881" s="307">
        <f>SUMIFS(Таблица1[сумма],Таблица1[коэф],"1,3",Таблица1[р/р],"3/24",Таблица1[Ф. И. О.],B880)</f>
        <v>0</v>
      </c>
      <c r="X881" s="313">
        <f t="shared" ref="X881:X882" si="550">ROUND(U881*V881*W881,2)</f>
        <v>0</v>
      </c>
      <c r="Y881" s="808"/>
      <c r="Z881" s="810"/>
      <c r="AA881" s="813"/>
    </row>
    <row r="882" spans="1:29" ht="18.75" customHeight="1">
      <c r="A882" s="756"/>
      <c r="B882" s="215"/>
      <c r="C882" s="722"/>
      <c r="D882" s="724"/>
      <c r="E882" s="78"/>
      <c r="F882" s="271"/>
      <c r="G882" s="98"/>
      <c r="H882" s="94"/>
      <c r="I882" s="334"/>
      <c r="J882" s="278"/>
      <c r="K882" s="216"/>
      <c r="L882" s="216"/>
      <c r="M882" s="216"/>
      <c r="N882" s="216"/>
      <c r="O882" s="216"/>
      <c r="P882" s="30"/>
      <c r="Q882" s="78">
        <f>база!$L$5</f>
        <v>231.45480000000001</v>
      </c>
      <c r="R882" s="271">
        <v>1.3</v>
      </c>
      <c r="S882" s="98">
        <f>SUMIFS(Таблица1[сумма],Таблица1[коэф],"1,3",Таблица1[р/р],"4/16",Таблица1[Ф. И. О.],B880)</f>
        <v>0</v>
      </c>
      <c r="T882" s="94">
        <f t="shared" si="549"/>
        <v>0</v>
      </c>
      <c r="U882" s="314">
        <f>база!$M$5</f>
        <v>247.41720000000001</v>
      </c>
      <c r="V882" s="271">
        <v>1.3</v>
      </c>
      <c r="W882" s="307">
        <f>SUMIFS(Таблица1[сумма],Таблица1[коэф],"1,3",Таблица1[р/р],"4/24",Таблица1[Ф. И. О.],B880)</f>
        <v>0</v>
      </c>
      <c r="X882" s="313">
        <f t="shared" si="550"/>
        <v>0</v>
      </c>
      <c r="Y882" s="808"/>
      <c r="Z882" s="810"/>
      <c r="AA882" s="813"/>
    </row>
    <row r="883" spans="1:29" ht="18.75" customHeight="1">
      <c r="A883" s="756"/>
      <c r="B883" s="215"/>
      <c r="C883" s="722"/>
      <c r="D883" s="724"/>
      <c r="E883" s="78"/>
      <c r="F883" s="271"/>
      <c r="G883" s="98"/>
      <c r="H883" s="94"/>
      <c r="I883" s="334"/>
      <c r="J883" s="278"/>
      <c r="K883" s="216"/>
      <c r="L883" s="216"/>
      <c r="M883" s="216"/>
      <c r="N883" s="216"/>
      <c r="O883" s="216"/>
      <c r="P883" s="30"/>
      <c r="Q883" s="78">
        <f>IF(D875&lt;=3,база!$L$4,
IF(D875=4,база!$L$5,
IF(D875=5,база!$L$6)))</f>
        <v>210.57480000000001</v>
      </c>
      <c r="R883" s="271">
        <v>1.4</v>
      </c>
      <c r="S883" s="98">
        <f>SUMIFS(Таблица1[сумма],Таблица1[коэф],"1,4",Таблица1[р/р],"3/16",Таблица1[Ф. И. О.],B880)</f>
        <v>0</v>
      </c>
      <c r="T883" s="94">
        <f>ROUND(Q883*R883*S883,2)</f>
        <v>0</v>
      </c>
      <c r="U883" s="314">
        <f>IF(D875&lt;=3,база!$M$4,
IF(D875=4,база!$M$5,
IF(D875=5,база!$M$6)))</f>
        <v>225.09719999999999</v>
      </c>
      <c r="V883" s="271">
        <v>1.4</v>
      </c>
      <c r="W883" s="307">
        <f>SUMIFS(Таблица1[сумма],Таблица1[коэф],"1,4",Таблица1[р/р],"3/24",Таблица1[Ф. И. О.],B880)</f>
        <v>0</v>
      </c>
      <c r="X883" s="313">
        <f>ROUND(U883*V883*W883,2)</f>
        <v>0</v>
      </c>
      <c r="Y883" s="808"/>
      <c r="Z883" s="810"/>
      <c r="AA883" s="813"/>
    </row>
    <row r="884" spans="1:29" ht="18.75" customHeight="1">
      <c r="A884" s="756"/>
      <c r="B884" s="215"/>
      <c r="C884" s="722"/>
      <c r="D884" s="724"/>
      <c r="E884" s="78"/>
      <c r="F884" s="271"/>
      <c r="G884" s="98"/>
      <c r="H884" s="94"/>
      <c r="I884" s="334"/>
      <c r="J884" s="278"/>
      <c r="K884" s="216"/>
      <c r="L884" s="216"/>
      <c r="M884" s="216"/>
      <c r="N884" s="216"/>
      <c r="O884" s="216"/>
      <c r="P884" s="30"/>
      <c r="Q884" s="78">
        <f>база!$L$5</f>
        <v>231.45480000000001</v>
      </c>
      <c r="R884" s="271">
        <v>1.4</v>
      </c>
      <c r="S884" s="98">
        <f>SUMIFS(Таблица1[сумма],Таблица1[коэф],"1,4",Таблица1[р/р],"4/16",Таблица1[Ф. И. О.],B880)</f>
        <v>0</v>
      </c>
      <c r="T884" s="94">
        <f>ROUND(Q884*R884*S884,2)</f>
        <v>0</v>
      </c>
      <c r="U884" s="314">
        <f>база!$M$5</f>
        <v>247.41720000000001</v>
      </c>
      <c r="V884" s="271">
        <v>1.4</v>
      </c>
      <c r="W884" s="307">
        <f>SUMIFS(Таблица1[сумма],Таблица1[коэф],"1,4",Таблица1[р/р],"4/24",Таблица1[Ф. И. О.],B880)</f>
        <v>0</v>
      </c>
      <c r="X884" s="313">
        <f>ROUND(U884*V884*W884,2)</f>
        <v>0</v>
      </c>
      <c r="Y884" s="808"/>
      <c r="Z884" s="810"/>
      <c r="AA884" s="813"/>
    </row>
    <row r="885" spans="1:29" ht="19.5" customHeight="1" thickBot="1">
      <c r="A885" s="757"/>
      <c r="B885" s="352"/>
      <c r="C885" s="723"/>
      <c r="D885" s="725"/>
      <c r="E885" s="101"/>
      <c r="F885" s="273"/>
      <c r="G885" s="624"/>
      <c r="H885" s="90"/>
      <c r="I885" s="625"/>
      <c r="J885" s="279"/>
      <c r="K885" s="626"/>
      <c r="L885" s="288"/>
      <c r="M885" s="625"/>
      <c r="N885" s="626"/>
      <c r="O885" s="626"/>
      <c r="P885" s="315"/>
      <c r="Q885" s="627">
        <f>база!$L$6</f>
        <v>261.04640000000001</v>
      </c>
      <c r="R885" s="273">
        <v>1.4</v>
      </c>
      <c r="S885" s="97">
        <f>SUMIFS(Таблица1[сумма],Таблица1[коэф],"1,4",Таблица1[р/р],"5/16",Таблица1[Ф. И. О.],B880)</f>
        <v>0</v>
      </c>
      <c r="T885" s="90">
        <f>ROUND(Q885*R885*S885,2)</f>
        <v>0</v>
      </c>
      <c r="U885" s="220">
        <f>база!$M$6</f>
        <v>279.0496</v>
      </c>
      <c r="V885" s="273">
        <v>1.4</v>
      </c>
      <c r="W885" s="97">
        <f>SUMIFS(Таблица1[сумма],Таблица1[коэф],"1,4",Таблица1[р/р],"5/24",Таблица1[Ф. И. О.],B880)</f>
        <v>0</v>
      </c>
      <c r="X885" s="90">
        <f>ROUND(U885*V885*W885,2)</f>
        <v>0</v>
      </c>
      <c r="Y885" s="809"/>
      <c r="Z885" s="811"/>
      <c r="AA885" s="814"/>
    </row>
    <row r="886" spans="1:29" ht="18.75" customHeight="1">
      <c r="A886" s="755">
        <v>81</v>
      </c>
      <c r="B886" s="215"/>
      <c r="C886" s="671">
        <f>INDEX(база!$E$2:$E$181, MATCH(B891,база!$B$2:$B$160,0))</f>
        <v>0</v>
      </c>
      <c r="D886" s="673">
        <f>INDEX(база!$D$2:$D$189, MATCH(B891,база!$B$2:$B$160,0))</f>
        <v>0</v>
      </c>
      <c r="E886" s="74">
        <f>IF(D886&lt;=3,база!$I$4,
IF(D886=4,база!$I$5,
IF(D886=5,база!$I$6)))</f>
        <v>188.7912</v>
      </c>
      <c r="F886" s="270">
        <v>1</v>
      </c>
      <c r="G886" s="96">
        <f>SUMIFS(Таблица1[сумма],Таблица1[коэф],"1",Таблица1[р/р],"2/4",Таблица1[Ф. И. О.],B891)</f>
        <v>0</v>
      </c>
      <c r="H886" s="102">
        <f>ROUND(E886*F886*G886,2)</f>
        <v>0</v>
      </c>
      <c r="I886" s="344">
        <f>IF(D886&lt;=3,база!$J$4,
IF(D886=4,база!$J$5,
IF(D886=5,база!$J$6)))</f>
        <v>196.05240000000001</v>
      </c>
      <c r="J886" s="277">
        <v>1</v>
      </c>
      <c r="K886" s="309">
        <f>SUMIFS(Таблица1[сумма],Таблица1[коэф],"1",Таблица1[р/р],"2/8",Таблица1[Ф. И. О.],B891)</f>
        <v>0</v>
      </c>
      <c r="L886" s="309">
        <f>ROUND(I886*J886*K886,2)</f>
        <v>0</v>
      </c>
      <c r="M886" s="309"/>
      <c r="N886" s="309">
        <v>1</v>
      </c>
      <c r="O886" s="309">
        <f>SUMIFS(Data_Tech!$AM$3:$AM$67,Data_Tech!$E$3:$E$67,"1",Data_Tech!$G$3:$G$67,"3/12",Data_Tech!$F$3:$F$67,B891)</f>
        <v>0</v>
      </c>
      <c r="P886" s="281">
        <f>ROUND(M886*N886*O886,2)</f>
        <v>0</v>
      </c>
      <c r="Q886" s="74">
        <f>IF(D886&lt;=3,база!$L$4,
IF(D886=4,база!$L$5,
IF(D886=5,база!$L$6)))</f>
        <v>210.57480000000001</v>
      </c>
      <c r="R886" s="270">
        <v>1</v>
      </c>
      <c r="S886" s="96">
        <f>SUMIFS(Таблица1[сумма],Таблица1[коэф],"1",Таблица1[р/р],"3/16",Таблица1[Ф. И. О.],B891)</f>
        <v>0</v>
      </c>
      <c r="T886" s="102">
        <f t="shared" si="175"/>
        <v>0</v>
      </c>
      <c r="U886" s="349">
        <f>IF(D886&lt;=3,база!$M$4,
IF(D886=4,база!$M$5,
IF(D886=5,база!$M$6)))</f>
        <v>225.09719999999999</v>
      </c>
      <c r="V886" s="270">
        <v>1</v>
      </c>
      <c r="W886" s="337">
        <f>SUMIFS(Таблица1[сумма],Таблица1[коэф],"1",Таблица1[р/р],"3/24",Таблица1[Ф. И. О.],B891)</f>
        <v>0</v>
      </c>
      <c r="X886" s="351">
        <f>ROUND(U886*V886*W886,2)</f>
        <v>0</v>
      </c>
      <c r="Y886" s="807">
        <f t="shared" ref="Y886" si="551">SUM(G886:G896,K886:K896,O886:O896,S886:S896,W886:W896)</f>
        <v>0</v>
      </c>
      <c r="Z886" s="810">
        <f t="shared" ref="Z886" si="552">IFERROR(SUM(H886:H896,L886:L896,T886:T896,X886:X896),"")</f>
        <v>0</v>
      </c>
      <c r="AA886" s="812"/>
    </row>
    <row r="887" spans="1:29" ht="18.75" customHeight="1">
      <c r="A887" s="756"/>
      <c r="B887" s="215"/>
      <c r="C887" s="671"/>
      <c r="D887" s="673"/>
      <c r="E887" s="78">
        <f>IF(D886&lt;=3,база!$I$4,
IF(D886=4,база!$I$5,
IF(D886=5,база!$I$6)))</f>
        <v>188.7912</v>
      </c>
      <c r="F887" s="271">
        <v>1</v>
      </c>
      <c r="G887" s="98">
        <f>SUMIFS(Таблица1[сумма],Таблица1[коэф],"1",Таблица1[р/р],"3/4",Таблица1[Ф. И. О.],B891)</f>
        <v>0</v>
      </c>
      <c r="H887" s="94">
        <f>ROUND(E887*F887*G887,2)</f>
        <v>0</v>
      </c>
      <c r="I887" s="334">
        <f>IF(D886&lt;=3,база!$J$4,
IF(D886=4,база!$J$5,
IF(D886=5,база!$J$6)))</f>
        <v>196.05240000000001</v>
      </c>
      <c r="J887" s="278">
        <v>1</v>
      </c>
      <c r="K887" s="216"/>
      <c r="L887" s="216">
        <f>ROUND(I887*J887*K887,2)</f>
        <v>0</v>
      </c>
      <c r="M887" s="216"/>
      <c r="N887" s="216">
        <v>1</v>
      </c>
      <c r="O887" s="216">
        <f>SUMIFS(Data_Tech!$AM$3:$AM$67,Data_Tech!$E$3:$E$67,"1",Data_Tech!$G$3:$G$67,"4/12",Data_Tech!$F$3:$F$67,B891)</f>
        <v>0</v>
      </c>
      <c r="P887" s="30">
        <f>ROUND(M887*O887,2)</f>
        <v>0</v>
      </c>
      <c r="Q887" s="78">
        <f>база!$L$5</f>
        <v>231.45480000000001</v>
      </c>
      <c r="R887" s="271">
        <v>1</v>
      </c>
      <c r="S887" s="98">
        <f>SUMIFS(Таблица1[сумма],Таблица1[коэф],"1",Таблица1[р/р],"4/16",Таблица1[Ф. И. О.],B891)</f>
        <v>0</v>
      </c>
      <c r="T887" s="94">
        <f t="shared" si="175"/>
        <v>0</v>
      </c>
      <c r="U887" s="314">
        <f>база!$M$5</f>
        <v>247.41720000000001</v>
      </c>
      <c r="V887" s="271">
        <v>1</v>
      </c>
      <c r="W887" s="307">
        <f>SUMIFS(Таблица1[сумма],Таблица1[коэф],"1",Таблица1[р/р],"4/24",Таблица1[Ф. И. О.],B891)</f>
        <v>0</v>
      </c>
      <c r="X887" s="313">
        <f t="shared" ref="X887" si="553">ROUND(U887*V887*W887,2)</f>
        <v>0</v>
      </c>
      <c r="Y887" s="808"/>
      <c r="Z887" s="810"/>
      <c r="AA887" s="813"/>
    </row>
    <row r="888" spans="1:29" ht="18.75" customHeight="1">
      <c r="A888" s="756"/>
      <c r="B888" s="215"/>
      <c r="C888" s="671"/>
      <c r="D888" s="673"/>
      <c r="E888" s="78"/>
      <c r="F888" s="271"/>
      <c r="G888" s="98"/>
      <c r="H888" s="94"/>
      <c r="I888" s="334"/>
      <c r="J888" s="278"/>
      <c r="K888" s="216"/>
      <c r="L888" s="216"/>
      <c r="M888" s="216"/>
      <c r="N888" s="216"/>
      <c r="O888" s="216"/>
      <c r="P888" s="30"/>
      <c r="Q888" s="78">
        <f>база!$L$6</f>
        <v>261.04640000000001</v>
      </c>
      <c r="R888" s="271">
        <v>1</v>
      </c>
      <c r="S888" s="98">
        <f>SUMIFS(Таблица1[сумма],Таблица1[коэф],"1",Таблица1[р/р],"5/16",Таблица1[Ф. И. О.],B891)</f>
        <v>0</v>
      </c>
      <c r="T888" s="94">
        <f t="shared" si="175"/>
        <v>0</v>
      </c>
      <c r="U888" s="314">
        <f>база!$M$6</f>
        <v>279.0496</v>
      </c>
      <c r="V888" s="271">
        <v>1</v>
      </c>
      <c r="W888" s="307">
        <f>SUMIFS(Таблица1[сумма],Таблица1[коэф],"1",Таблица1[р/р],"5/24",Таблица1[Ф. И. О.],B891)</f>
        <v>0</v>
      </c>
      <c r="X888" s="313">
        <f>ROUND(U888*V888*W888,2)</f>
        <v>0</v>
      </c>
      <c r="Y888" s="808"/>
      <c r="Z888" s="810"/>
      <c r="AA888" s="813"/>
    </row>
    <row r="889" spans="1:29" ht="18.75" customHeight="1">
      <c r="A889" s="756"/>
      <c r="B889" s="215"/>
      <c r="C889" s="671"/>
      <c r="D889" s="673"/>
      <c r="E889" s="78"/>
      <c r="F889" s="271"/>
      <c r="G889" s="98"/>
      <c r="H889" s="94"/>
      <c r="I889" s="334">
        <f>база!$J$5</f>
        <v>215.4924</v>
      </c>
      <c r="J889" s="278">
        <v>1.5</v>
      </c>
      <c r="K889" s="216">
        <f>SUMIFS(Таблица1[сумма],Таблица1[коэф],"1,5",Таблица1[р/р],"4/8",Таблица1[Ф. И. О.],B891)</f>
        <v>0</v>
      </c>
      <c r="L889" s="216">
        <f>ROUND(I889*J889*K889,2)</f>
        <v>0</v>
      </c>
      <c r="M889" s="216"/>
      <c r="N889" s="216"/>
      <c r="O889" s="216"/>
      <c r="P889" s="30"/>
      <c r="Q889" s="78">
        <f>IF(D886&lt;=3,база!$L$4,
IF(D886=4,база!$L$5,
IF(D886=5,база!$L$6)))</f>
        <v>210.57480000000001</v>
      </c>
      <c r="R889" s="271">
        <v>1.2</v>
      </c>
      <c r="S889" s="98">
        <f>SUMIFS(Таблица1[сумма],Таблица1[коэф],"1,2",Таблица1[р/р],"3/16",Таблица1[Ф. И. О.],B891)</f>
        <v>0</v>
      </c>
      <c r="T889" s="94">
        <f t="shared" ref="T889:T890" si="554">ROUND(Q889*R889*S889,2)</f>
        <v>0</v>
      </c>
      <c r="U889" s="314">
        <f>IF(D886&lt;=3,база!$M$4,
IF(D886=4,база!$M$5,
IF(D886=5,база!$M$6)))</f>
        <v>225.09719999999999</v>
      </c>
      <c r="V889" s="271">
        <v>1.2</v>
      </c>
      <c r="W889" s="307">
        <f>SUMIFS(Таблица1[сумма],Таблица1[коэф],"1,2",Таблица1[р/р],"3/24",Таблица1[Ф. И. О.],B891)</f>
        <v>0</v>
      </c>
      <c r="X889" s="313">
        <f t="shared" ref="X889:X890" si="555">ROUND(U889*V889*W889,2)</f>
        <v>0</v>
      </c>
      <c r="Y889" s="808"/>
      <c r="Z889" s="810"/>
      <c r="AA889" s="813"/>
    </row>
    <row r="890" spans="1:29" ht="18.75" customHeight="1">
      <c r="A890" s="756"/>
      <c r="B890" s="215"/>
      <c r="C890" s="671"/>
      <c r="D890" s="673"/>
      <c r="E890" s="78"/>
      <c r="F890" s="271"/>
      <c r="G890" s="98"/>
      <c r="H890" s="94"/>
      <c r="I890" s="334">
        <f>база!$J$6</f>
        <v>243.04319999999998</v>
      </c>
      <c r="J890" s="278">
        <v>1.5</v>
      </c>
      <c r="K890" s="216">
        <f>SUMIFS(Таблица1[сумма],Таблица1[коэф],"1,5",Таблица1[р/р],"5/8",Таблица1[Ф. И. О.],B891)</f>
        <v>0</v>
      </c>
      <c r="L890" s="216">
        <f>ROUND(I890*J890*K890,2)</f>
        <v>0</v>
      </c>
      <c r="M890" s="216"/>
      <c r="N890" s="216"/>
      <c r="O890" s="216"/>
      <c r="P890" s="30"/>
      <c r="Q890" s="78">
        <f>база!$L$5</f>
        <v>231.45480000000001</v>
      </c>
      <c r="R890" s="271">
        <v>1.2</v>
      </c>
      <c r="S890" s="98">
        <f>SUMIFS(Таблица1[сумма],Таблица1[коэф],"1,2",Таблица1[р/р],"4/16",Таблица1[Ф. И. О.],B891)</f>
        <v>0</v>
      </c>
      <c r="T890" s="94">
        <f t="shared" si="554"/>
        <v>0</v>
      </c>
      <c r="U890" s="314">
        <f>база!$M$5</f>
        <v>247.41720000000001</v>
      </c>
      <c r="V890" s="271">
        <v>1.2</v>
      </c>
      <c r="W890" s="307">
        <f>SUMIFS(Таблица1[сумма],Таблица1[коэф],"1,2",Таблица1[р/р],"4/24",Таблица1[Ф. И. О.],B891)</f>
        <v>0</v>
      </c>
      <c r="X890" s="313">
        <f t="shared" si="555"/>
        <v>0</v>
      </c>
      <c r="Y890" s="808"/>
      <c r="Z890" s="810"/>
      <c r="AA890" s="813"/>
      <c r="AC890" s="707" t="str">
        <f>IF(SUMIFS(Таблица1[Столбец2],Таблица1[Ф. И. О.],B891)-Z886=0,"",SUMIFS(Таблица1[Столбец2],Таблица1[Ф. И. О.],B891)-Z886)</f>
        <v/>
      </c>
    </row>
    <row r="891" spans="1:29" ht="18.75" customHeight="1">
      <c r="A891" s="756"/>
      <c r="B891" s="215">
        <f>база!B82</f>
        <v>0</v>
      </c>
      <c r="C891" s="671"/>
      <c r="D891" s="673"/>
      <c r="E891" s="78"/>
      <c r="F891" s="271"/>
      <c r="G891" s="98"/>
      <c r="H891" s="94"/>
      <c r="I891" s="334"/>
      <c r="J891" s="278"/>
      <c r="K891" s="216"/>
      <c r="L891" s="216"/>
      <c r="M891" s="216"/>
      <c r="N891" s="216"/>
      <c r="O891" s="216"/>
      <c r="P891" s="30"/>
      <c r="Q891" s="78">
        <f>база!$L$6</f>
        <v>261.04640000000001</v>
      </c>
      <c r="R891" s="271">
        <v>1.2</v>
      </c>
      <c r="S891" s="98">
        <f>SUMIFS(Таблица1[сумма],Таблица1[коэф],"1,2",Таблица1[р/р],"5/16",Таблица1[Ф. И. О.],B891)</f>
        <v>0</v>
      </c>
      <c r="T891" s="94">
        <f>ROUND(Q891*R891*S891,2)</f>
        <v>0</v>
      </c>
      <c r="U891" s="314">
        <f>база!$M$6</f>
        <v>279.0496</v>
      </c>
      <c r="V891" s="271">
        <v>1.2</v>
      </c>
      <c r="W891" s="307">
        <f>SUMIFS(Таблица1[сумма],Таблица1[коэф],"1,2",Таблица1[р/р],"5/24",Таблица1[Ф. И. О.],B891)</f>
        <v>0</v>
      </c>
      <c r="X891" s="313">
        <f>ROUND(U891*V891*W891,2)</f>
        <v>0</v>
      </c>
      <c r="Y891" s="808"/>
      <c r="Z891" s="810"/>
      <c r="AA891" s="813"/>
      <c r="AC891" s="707" t="str">
        <f>IF(SUMIFS(Таблица1[сумма],Таблица1[Ф. И. О.],B891)=Y886,"",B886&amp;"  часы не верны")</f>
        <v/>
      </c>
    </row>
    <row r="892" spans="1:29" ht="18.75" customHeight="1">
      <c r="A892" s="756"/>
      <c r="B892" s="215"/>
      <c r="C892" s="671"/>
      <c r="D892" s="673"/>
      <c r="E892" s="78"/>
      <c r="F892" s="271"/>
      <c r="G892" s="98"/>
      <c r="H892" s="94"/>
      <c r="I892" s="334"/>
      <c r="J892" s="278"/>
      <c r="K892" s="216"/>
      <c r="L892" s="216"/>
      <c r="M892" s="216"/>
      <c r="N892" s="216"/>
      <c r="O892" s="216"/>
      <c r="P892" s="30"/>
      <c r="Q892" s="78">
        <f>IF($D$6&lt;=3,база!$L$4,
IF($D$6=4,база!$L$5,
IF($D$6=5,база!$L$6)))</f>
        <v>231.45480000000001</v>
      </c>
      <c r="R892" s="271">
        <v>1.3</v>
      </c>
      <c r="S892" s="98">
        <f>SUMIFS(Таблица1[сумма],Таблица1[коэф],"1,3",Таблица1[р/р],"3/16",Таблица1[Ф. И. О.],B891)</f>
        <v>0</v>
      </c>
      <c r="T892" s="94">
        <f t="shared" ref="T892:T893" si="556">ROUND(Q892*R892*S892,2)</f>
        <v>0</v>
      </c>
      <c r="U892" s="314">
        <f>IF(D886&lt;=3,база!$M$4,
IF(D886=4,база!$M$5,
IF(D886=5,база!$M$6)))</f>
        <v>225.09719999999999</v>
      </c>
      <c r="V892" s="271">
        <v>1.3</v>
      </c>
      <c r="W892" s="307">
        <f>SUMIFS(Таблица1[сумма],Таблица1[коэф],"1,3",Таблица1[р/р],"3/24",Таблица1[Ф. И. О.],B891)</f>
        <v>0</v>
      </c>
      <c r="X892" s="313">
        <f t="shared" ref="X892:X893" si="557">ROUND(U892*V892*W892,2)</f>
        <v>0</v>
      </c>
      <c r="Y892" s="808"/>
      <c r="Z892" s="810"/>
      <c r="AA892" s="813"/>
    </row>
    <row r="893" spans="1:29" ht="18.75" customHeight="1">
      <c r="A893" s="756"/>
      <c r="B893" s="215"/>
      <c r="C893" s="671"/>
      <c r="D893" s="673"/>
      <c r="E893" s="78"/>
      <c r="F893" s="271"/>
      <c r="G893" s="98"/>
      <c r="H893" s="94"/>
      <c r="I893" s="334"/>
      <c r="J893" s="278"/>
      <c r="K893" s="216"/>
      <c r="L893" s="216"/>
      <c r="M893" s="216"/>
      <c r="N893" s="216"/>
      <c r="O893" s="216"/>
      <c r="P893" s="30"/>
      <c r="Q893" s="78">
        <f>база!$L$5</f>
        <v>231.45480000000001</v>
      </c>
      <c r="R893" s="271">
        <v>1.3</v>
      </c>
      <c r="S893" s="98">
        <f>SUMIFS(Таблица1[сумма],Таблица1[коэф],"1,3",Таблица1[р/р],"4/16",Таблица1[Ф. И. О.],B891)</f>
        <v>0</v>
      </c>
      <c r="T893" s="94">
        <f t="shared" si="556"/>
        <v>0</v>
      </c>
      <c r="U893" s="314">
        <f>база!$M$5</f>
        <v>247.41720000000001</v>
      </c>
      <c r="V893" s="271">
        <v>1.3</v>
      </c>
      <c r="W893" s="307">
        <f>SUMIFS(Таблица1[сумма],Таблица1[коэф],"1,3",Таблица1[р/р],"4/24",Таблица1[Ф. И. О.],B891)</f>
        <v>0</v>
      </c>
      <c r="X893" s="313">
        <f t="shared" si="557"/>
        <v>0</v>
      </c>
      <c r="Y893" s="808"/>
      <c r="Z893" s="810"/>
      <c r="AA893" s="813"/>
    </row>
    <row r="894" spans="1:29" ht="18.75" customHeight="1">
      <c r="A894" s="756"/>
      <c r="B894" s="215"/>
      <c r="C894" s="671"/>
      <c r="D894" s="673"/>
      <c r="E894" s="78"/>
      <c r="F894" s="271"/>
      <c r="G894" s="98"/>
      <c r="H894" s="94"/>
      <c r="I894" s="334"/>
      <c r="J894" s="278"/>
      <c r="K894" s="216"/>
      <c r="L894" s="216"/>
      <c r="M894" s="216"/>
      <c r="N894" s="216"/>
      <c r="O894" s="216"/>
      <c r="P894" s="30"/>
      <c r="Q894" s="78">
        <f>IF(D886&lt;=3,база!$L$4,
IF(D886=4,база!$L$5,
IF(D886=5,база!$L$6)))</f>
        <v>210.57480000000001</v>
      </c>
      <c r="R894" s="271">
        <v>1.4</v>
      </c>
      <c r="S894" s="98">
        <f>SUMIFS(Таблица1[сумма],Таблица1[коэф],"1,4",Таблица1[р/р],"3/16",Таблица1[Ф. И. О.],B891)</f>
        <v>0</v>
      </c>
      <c r="T894" s="94">
        <f>ROUND(Q894*R894*S894,2)</f>
        <v>0</v>
      </c>
      <c r="U894" s="314">
        <f>IF(D886&lt;=3,база!$M$4,
IF(D886=4,база!$M$5,
IF(D886=5,база!$M$6)))</f>
        <v>225.09719999999999</v>
      </c>
      <c r="V894" s="271">
        <v>1.4</v>
      </c>
      <c r="W894" s="307">
        <f>SUMIFS(Таблица1[сумма],Таблица1[коэф],"1,4",Таблица1[р/р],"3/24",Таблица1[Ф. И. О.],B891)</f>
        <v>0</v>
      </c>
      <c r="X894" s="313">
        <f>ROUND(U894*V894*W894,2)</f>
        <v>0</v>
      </c>
      <c r="Y894" s="808"/>
      <c r="Z894" s="810"/>
      <c r="AA894" s="813"/>
    </row>
    <row r="895" spans="1:29" ht="18.75" customHeight="1">
      <c r="A895" s="756"/>
      <c r="B895" s="215"/>
      <c r="C895" s="671"/>
      <c r="D895" s="673"/>
      <c r="E895" s="78"/>
      <c r="F895" s="271"/>
      <c r="G895" s="98"/>
      <c r="H895" s="94"/>
      <c r="I895" s="334"/>
      <c r="J895" s="278"/>
      <c r="K895" s="216"/>
      <c r="L895" s="216"/>
      <c r="M895" s="216"/>
      <c r="N895" s="216"/>
      <c r="O895" s="216"/>
      <c r="P895" s="30"/>
      <c r="Q895" s="78">
        <f>база!$L$5</f>
        <v>231.45480000000001</v>
      </c>
      <c r="R895" s="271">
        <v>1.4</v>
      </c>
      <c r="S895" s="98">
        <f>SUMIFS(Таблица1[сумма],Таблица1[коэф],"1,4",Таблица1[р/р],"4/16",Таблица1[Ф. И. О.],B891)</f>
        <v>0</v>
      </c>
      <c r="T895" s="94">
        <f>ROUND(Q895*R895*S895,2)</f>
        <v>0</v>
      </c>
      <c r="U895" s="314">
        <f>база!$M$5</f>
        <v>247.41720000000001</v>
      </c>
      <c r="V895" s="271">
        <v>1.4</v>
      </c>
      <c r="W895" s="307">
        <f>SUMIFS(Таблица1[сумма],Таблица1[коэф],"1,4",Таблица1[р/р],"4/24",Таблица1[Ф. И. О.],B891)</f>
        <v>0</v>
      </c>
      <c r="X895" s="313">
        <f>ROUND(U895*V895*W895,2)</f>
        <v>0</v>
      </c>
      <c r="Y895" s="808"/>
      <c r="Z895" s="810"/>
      <c r="AA895" s="813"/>
    </row>
    <row r="896" spans="1:29" ht="19.5" customHeight="1" thickBot="1">
      <c r="A896" s="757"/>
      <c r="B896" s="352"/>
      <c r="C896" s="672"/>
      <c r="D896" s="674"/>
      <c r="E896" s="74"/>
      <c r="F896" s="270"/>
      <c r="G896" s="88"/>
      <c r="H896" s="102"/>
      <c r="I896" s="24"/>
      <c r="J896" s="277"/>
      <c r="K896" s="22"/>
      <c r="L896" s="309"/>
      <c r="M896" s="24"/>
      <c r="N896" s="22"/>
      <c r="O896" s="22"/>
      <c r="P896" s="281"/>
      <c r="Q896" s="71">
        <f>база!$L$6</f>
        <v>261.04640000000001</v>
      </c>
      <c r="R896" s="270">
        <v>1.4</v>
      </c>
      <c r="S896" s="96">
        <f>SUMIFS(Таблица1[сумма],Таблица1[коэф],"1,4",Таблица1[р/р],"5/16",Таблица1[Ф. И. О.],B891)</f>
        <v>0</v>
      </c>
      <c r="T896" s="102">
        <f>ROUND(Q896*R896*S896,2)</f>
        <v>0</v>
      </c>
      <c r="U896" s="81">
        <f>база!$M$6</f>
        <v>279.0496</v>
      </c>
      <c r="V896" s="271">
        <v>1.4</v>
      </c>
      <c r="W896" s="96">
        <f>SUMIFS(Таблица1[сумма],Таблица1[коэф],"1,4",Таблица1[р/р],"5/24",Таблица1[Ф. И. О.],B891)</f>
        <v>0</v>
      </c>
      <c r="X896" s="102">
        <f>ROUND(U896*V896*W896,2)</f>
        <v>0</v>
      </c>
      <c r="Y896" s="809"/>
      <c r="Z896" s="811"/>
      <c r="AA896" s="814"/>
    </row>
    <row r="897" spans="1:29" s="58" customFormat="1">
      <c r="A897" s="827" t="s">
        <v>69</v>
      </c>
      <c r="B897" s="828"/>
      <c r="C897" s="828"/>
      <c r="D897" s="828"/>
      <c r="E897" s="828"/>
      <c r="F897" s="828"/>
      <c r="G897" s="828"/>
      <c r="H897" s="828"/>
      <c r="I897" s="828"/>
      <c r="J897" s="828"/>
      <c r="K897" s="828"/>
      <c r="L897" s="828"/>
      <c r="M897" s="828"/>
      <c r="N897" s="828"/>
      <c r="O897" s="828"/>
      <c r="P897" s="828"/>
      <c r="Q897" s="828"/>
      <c r="R897" s="828"/>
      <c r="S897" s="828"/>
      <c r="T897" s="828"/>
      <c r="U897" s="828"/>
      <c r="V897" s="828"/>
      <c r="W897" s="828"/>
      <c r="X897" s="829"/>
      <c r="Y897" s="836">
        <f>SUM(Y6:Y896)</f>
        <v>0</v>
      </c>
      <c r="Z897" s="837">
        <f>SUM(Z6:Z896)</f>
        <v>0</v>
      </c>
      <c r="AA897" s="812"/>
      <c r="AC897" s="707"/>
    </row>
    <row r="898" spans="1:29" s="58" customFormat="1">
      <c r="A898" s="830"/>
      <c r="B898" s="831"/>
      <c r="C898" s="831"/>
      <c r="D898" s="831"/>
      <c r="E898" s="831"/>
      <c r="F898" s="831"/>
      <c r="G898" s="831"/>
      <c r="H898" s="831"/>
      <c r="I898" s="831"/>
      <c r="J898" s="831"/>
      <c r="K898" s="831"/>
      <c r="L898" s="831"/>
      <c r="M898" s="831"/>
      <c r="N898" s="831"/>
      <c r="O898" s="831"/>
      <c r="P898" s="831"/>
      <c r="Q898" s="831"/>
      <c r="R898" s="831"/>
      <c r="S898" s="831"/>
      <c r="T898" s="831"/>
      <c r="U898" s="831"/>
      <c r="V898" s="831"/>
      <c r="W898" s="831"/>
      <c r="X898" s="832"/>
      <c r="Y898" s="813"/>
      <c r="Z898" s="838"/>
      <c r="AA898" s="813"/>
      <c r="AC898" s="707"/>
    </row>
    <row r="899" spans="1:29" s="58" customFormat="1" ht="24" thickBot="1">
      <c r="A899" s="833"/>
      <c r="B899" s="834"/>
      <c r="C899" s="834"/>
      <c r="D899" s="834"/>
      <c r="E899" s="834"/>
      <c r="F899" s="834"/>
      <c r="G899" s="834"/>
      <c r="H899" s="834"/>
      <c r="I899" s="834"/>
      <c r="J899" s="834"/>
      <c r="K899" s="834"/>
      <c r="L899" s="834"/>
      <c r="M899" s="834"/>
      <c r="N899" s="834"/>
      <c r="O899" s="834"/>
      <c r="P899" s="834"/>
      <c r="Q899" s="834"/>
      <c r="R899" s="834"/>
      <c r="S899" s="834"/>
      <c r="T899" s="834"/>
      <c r="U899" s="834"/>
      <c r="V899" s="834"/>
      <c r="W899" s="834"/>
      <c r="X899" s="835"/>
      <c r="Y899" s="814"/>
      <c r="Z899" s="839"/>
      <c r="AA899" s="814"/>
      <c r="AC899" s="707"/>
    </row>
    <row r="900" spans="1:29">
      <c r="A900" s="179"/>
      <c r="B900" s="179"/>
      <c r="C900" s="180"/>
      <c r="D900" s="181"/>
      <c r="E900" s="182"/>
      <c r="F900" s="183"/>
      <c r="G900" s="183"/>
      <c r="H900" s="182"/>
      <c r="I900" s="182"/>
      <c r="J900" s="179"/>
      <c r="K900" s="183"/>
      <c r="L900" s="182"/>
      <c r="M900" s="182"/>
      <c r="N900" s="183"/>
      <c r="O900" s="183"/>
      <c r="P900" s="182"/>
      <c r="Q900" s="182"/>
      <c r="R900" s="183"/>
      <c r="S900" s="183"/>
      <c r="T900" s="182"/>
      <c r="U900" s="182"/>
      <c r="V900" s="183"/>
      <c r="W900" s="183"/>
      <c r="X900" s="184"/>
      <c r="Y900" s="179"/>
      <c r="Z900" s="182"/>
      <c r="AA900" s="185"/>
    </row>
    <row r="901" spans="1:29">
      <c r="A901" s="179"/>
      <c r="B901" s="179"/>
      <c r="C901" s="180"/>
      <c r="D901" s="181"/>
      <c r="E901" s="186" t="s">
        <v>250</v>
      </c>
      <c r="F901" s="186"/>
      <c r="G901" s="187"/>
      <c r="H901" s="188"/>
      <c r="I901" s="189"/>
      <c r="J901" s="189"/>
      <c r="K901" s="188"/>
      <c r="L901" s="188"/>
      <c r="M901" s="189"/>
      <c r="N901" s="189"/>
      <c r="O901" s="188"/>
      <c r="P901" s="188"/>
      <c r="Q901" s="189"/>
      <c r="R901" s="189"/>
      <c r="S901" s="183"/>
      <c r="T901" s="182"/>
      <c r="U901" s="182"/>
      <c r="V901" s="183"/>
      <c r="W901" s="183"/>
      <c r="X901" s="184"/>
      <c r="Y901" s="179"/>
      <c r="Z901" s="182"/>
      <c r="AA901" s="185"/>
    </row>
    <row r="902" spans="1:29">
      <c r="A902" s="179"/>
      <c r="B902" s="179"/>
      <c r="C902" s="180"/>
      <c r="D902" s="181"/>
      <c r="E902" s="190"/>
      <c r="F902" s="191"/>
      <c r="G902" s="188"/>
      <c r="H902" s="189"/>
      <c r="I902" s="187"/>
      <c r="J902" s="187"/>
      <c r="K902" s="186"/>
      <c r="L902" s="192"/>
      <c r="M902" s="193"/>
      <c r="N902" s="194"/>
      <c r="O902" s="194"/>
      <c r="P902" s="195"/>
      <c r="Q902" s="195"/>
      <c r="R902" s="189"/>
      <c r="S902" s="183"/>
      <c r="T902" s="182"/>
      <c r="U902" s="182"/>
      <c r="V902" s="183"/>
      <c r="W902" s="183"/>
      <c r="X902" s="184"/>
      <c r="Y902" s="179"/>
      <c r="Z902" s="182"/>
      <c r="AA902" s="185"/>
    </row>
    <row r="903" spans="1:29">
      <c r="A903" s="179"/>
      <c r="B903" s="179"/>
      <c r="C903" s="180"/>
      <c r="D903" s="181"/>
      <c r="E903" s="186" t="s">
        <v>72</v>
      </c>
      <c r="F903" s="186"/>
      <c r="G903" s="188"/>
      <c r="H903" s="189"/>
      <c r="I903" s="187"/>
      <c r="J903" s="187"/>
      <c r="K903" s="196"/>
      <c r="L903" s="197"/>
      <c r="M903" s="197"/>
      <c r="N903" s="198"/>
      <c r="O903" s="198"/>
      <c r="P903" s="197"/>
      <c r="Q903" s="197"/>
      <c r="R903" s="189"/>
      <c r="S903" s="183"/>
      <c r="T903" s="182"/>
      <c r="U903" s="182"/>
      <c r="V903" s="183"/>
      <c r="W903" s="183"/>
      <c r="X903" s="184"/>
      <c r="Y903" s="179"/>
      <c r="Z903" s="182"/>
      <c r="AA903" s="185"/>
    </row>
    <row r="904" spans="1:29">
      <c r="A904" s="179"/>
      <c r="B904" s="179"/>
      <c r="C904" s="180"/>
      <c r="D904" s="181"/>
      <c r="E904" s="186"/>
      <c r="F904" s="186"/>
      <c r="G904" s="188"/>
      <c r="H904" s="189"/>
      <c r="I904" s="187"/>
      <c r="J904" s="187"/>
      <c r="K904" s="186"/>
      <c r="L904" s="192"/>
      <c r="M904" s="199"/>
      <c r="N904" s="200"/>
      <c r="O904" s="200"/>
      <c r="P904" s="201"/>
      <c r="Q904" s="201"/>
      <c r="R904" s="189"/>
      <c r="S904" s="183"/>
      <c r="T904" s="182"/>
      <c r="U904" s="182"/>
      <c r="V904" s="183"/>
      <c r="W904" s="183"/>
      <c r="X904" s="184"/>
      <c r="Y904" s="179"/>
      <c r="Z904" s="182"/>
      <c r="AA904" s="185"/>
    </row>
    <row r="905" spans="1:29">
      <c r="A905" s="179"/>
      <c r="B905" s="179"/>
      <c r="C905" s="180"/>
      <c r="D905" s="181"/>
      <c r="E905" s="186" t="s">
        <v>73</v>
      </c>
      <c r="F905" s="186"/>
      <c r="G905" s="188"/>
      <c r="H905" s="189"/>
      <c r="I905" s="187"/>
      <c r="J905" s="187"/>
      <c r="K905" s="186"/>
      <c r="L905" s="192"/>
      <c r="M905" s="193"/>
      <c r="N905" s="194"/>
      <c r="O905" s="194"/>
      <c r="P905" s="195"/>
      <c r="Q905" s="195"/>
      <c r="R905" s="189"/>
      <c r="S905" s="183"/>
      <c r="T905" s="182"/>
      <c r="U905" s="182"/>
      <c r="V905" s="183"/>
      <c r="W905" s="183"/>
      <c r="X905" s="184"/>
      <c r="Y905" s="179"/>
      <c r="Z905" s="182"/>
      <c r="AA905" s="185"/>
    </row>
    <row r="912" spans="1:29">
      <c r="AC912" s="707" t="e">
        <f>IF(SUMIFS([1]!Таблица1[Столбец2],[1]!Таблица1[Ф. И. О.],B913)-Z908=0,"",SUMIFS([1]!Таблица1[Столбец2],[1]!Таблица1[Ф. И. О.],B913)-Z908)</f>
        <v>#REF!</v>
      </c>
    </row>
    <row r="913" spans="29:29">
      <c r="AC913" s="707" t="e">
        <f>IF(SUMIFS([1]!Таблица1[[                                                     ]],[1]!Таблица1[Ф. И. О.],B913)=Y908,"",B913&amp;"  часы не верны")</f>
        <v>#REF!</v>
      </c>
    </row>
    <row r="919" spans="29:29">
      <c r="AC919" s="708"/>
    </row>
    <row r="920" spans="29:29">
      <c r="AC920" s="708"/>
    </row>
    <row r="921" spans="29:29">
      <c r="AC921" s="708"/>
    </row>
  </sheetData>
  <sheetProtection selectLockedCells="1" selectUnlockedCells="1"/>
  <mergeCells count="489">
    <mergeCell ref="B6:B16"/>
    <mergeCell ref="B17:B27"/>
    <mergeCell ref="A622:A632"/>
    <mergeCell ref="C622:C632"/>
    <mergeCell ref="D622:D632"/>
    <mergeCell ref="Y622:Y632"/>
    <mergeCell ref="Z622:Z632"/>
    <mergeCell ref="AA622:AA632"/>
    <mergeCell ref="A633:A643"/>
    <mergeCell ref="C633:C643"/>
    <mergeCell ref="D633:D643"/>
    <mergeCell ref="Y633:Y643"/>
    <mergeCell ref="Z633:Z643"/>
    <mergeCell ref="AA633:AA643"/>
    <mergeCell ref="A600:A610"/>
    <mergeCell ref="C600:C610"/>
    <mergeCell ref="D600:D610"/>
    <mergeCell ref="Y600:Y610"/>
    <mergeCell ref="Z600:Z610"/>
    <mergeCell ref="AA600:AA610"/>
    <mergeCell ref="A611:A621"/>
    <mergeCell ref="C611:C621"/>
    <mergeCell ref="D611:D621"/>
    <mergeCell ref="Y611:Y621"/>
    <mergeCell ref="Z611:Z621"/>
    <mergeCell ref="AA611:AA621"/>
    <mergeCell ref="A578:A588"/>
    <mergeCell ref="C578:C588"/>
    <mergeCell ref="D578:D588"/>
    <mergeCell ref="Y578:Y588"/>
    <mergeCell ref="Z578:Z588"/>
    <mergeCell ref="AA578:AA588"/>
    <mergeCell ref="A589:A599"/>
    <mergeCell ref="C589:C599"/>
    <mergeCell ref="D589:D599"/>
    <mergeCell ref="Y589:Y599"/>
    <mergeCell ref="Z589:Z599"/>
    <mergeCell ref="AA589:AA599"/>
    <mergeCell ref="A556:A566"/>
    <mergeCell ref="C556:C566"/>
    <mergeCell ref="D556:D566"/>
    <mergeCell ref="Y556:Y566"/>
    <mergeCell ref="Z556:Z566"/>
    <mergeCell ref="AA556:AA566"/>
    <mergeCell ref="A567:A577"/>
    <mergeCell ref="C567:C577"/>
    <mergeCell ref="D567:D577"/>
    <mergeCell ref="Y567:Y577"/>
    <mergeCell ref="Z567:Z577"/>
    <mergeCell ref="AA567:AA577"/>
    <mergeCell ref="A523:A533"/>
    <mergeCell ref="Y523:Y533"/>
    <mergeCell ref="Z523:Z533"/>
    <mergeCell ref="AA523:AA533"/>
    <mergeCell ref="A545:A555"/>
    <mergeCell ref="C545:C555"/>
    <mergeCell ref="D545:D555"/>
    <mergeCell ref="D534:D544"/>
    <mergeCell ref="Y534:Y544"/>
    <mergeCell ref="C534:C544"/>
    <mergeCell ref="A534:A544"/>
    <mergeCell ref="Z534:Z544"/>
    <mergeCell ref="AA534:AA544"/>
    <mergeCell ref="Y545:Y555"/>
    <mergeCell ref="Z545:Z555"/>
    <mergeCell ref="AA545:AA555"/>
    <mergeCell ref="A501:A511"/>
    <mergeCell ref="C501:C511"/>
    <mergeCell ref="D501:D511"/>
    <mergeCell ref="Y501:Y511"/>
    <mergeCell ref="Z501:Z511"/>
    <mergeCell ref="AA501:AA511"/>
    <mergeCell ref="A512:A522"/>
    <mergeCell ref="C512:C522"/>
    <mergeCell ref="D512:D522"/>
    <mergeCell ref="Y512:Y522"/>
    <mergeCell ref="Z512:Z522"/>
    <mergeCell ref="AA512:AA522"/>
    <mergeCell ref="A479:A489"/>
    <mergeCell ref="C479:C489"/>
    <mergeCell ref="D479:D489"/>
    <mergeCell ref="Y479:Y489"/>
    <mergeCell ref="Z479:Z489"/>
    <mergeCell ref="AA479:AA489"/>
    <mergeCell ref="A490:A500"/>
    <mergeCell ref="C490:C500"/>
    <mergeCell ref="D490:D500"/>
    <mergeCell ref="Y490:Y500"/>
    <mergeCell ref="Z490:Z500"/>
    <mergeCell ref="AA490:AA500"/>
    <mergeCell ref="A457:A467"/>
    <mergeCell ref="C457:C467"/>
    <mergeCell ref="D457:D467"/>
    <mergeCell ref="Y457:Y467"/>
    <mergeCell ref="Z457:Z467"/>
    <mergeCell ref="AA457:AA467"/>
    <mergeCell ref="A468:A478"/>
    <mergeCell ref="C468:C478"/>
    <mergeCell ref="D468:D478"/>
    <mergeCell ref="Y468:Y478"/>
    <mergeCell ref="Z468:Z478"/>
    <mergeCell ref="AA468:AA478"/>
    <mergeCell ref="A435:A445"/>
    <mergeCell ref="C435:C445"/>
    <mergeCell ref="D435:D445"/>
    <mergeCell ref="Y435:Y445"/>
    <mergeCell ref="Z435:Z445"/>
    <mergeCell ref="AA435:AA445"/>
    <mergeCell ref="A446:A456"/>
    <mergeCell ref="C446:C456"/>
    <mergeCell ref="D446:D456"/>
    <mergeCell ref="Y446:Y456"/>
    <mergeCell ref="Z446:Z456"/>
    <mergeCell ref="AA446:AA456"/>
    <mergeCell ref="AA424:AA434"/>
    <mergeCell ref="A248:A258"/>
    <mergeCell ref="C248:C258"/>
    <mergeCell ref="D248:D258"/>
    <mergeCell ref="Y248:Y258"/>
    <mergeCell ref="Z248:Z258"/>
    <mergeCell ref="AA248:AA258"/>
    <mergeCell ref="Y259:Y269"/>
    <mergeCell ref="Z259:Z269"/>
    <mergeCell ref="C259:C269"/>
    <mergeCell ref="D259:D269"/>
    <mergeCell ref="Y270:Y280"/>
    <mergeCell ref="Z270:Z280"/>
    <mergeCell ref="AA270:AA280"/>
    <mergeCell ref="Y281:Y291"/>
    <mergeCell ref="Z281:Z291"/>
    <mergeCell ref="AA281:AA291"/>
    <mergeCell ref="Y292:Y302"/>
    <mergeCell ref="Z292:Z302"/>
    <mergeCell ref="A281:A291"/>
    <mergeCell ref="C281:C291"/>
    <mergeCell ref="D281:D291"/>
    <mergeCell ref="A292:A302"/>
    <mergeCell ref="C292:C302"/>
    <mergeCell ref="Y28:Y38"/>
    <mergeCell ref="Z28:Z38"/>
    <mergeCell ref="AA28:AA38"/>
    <mergeCell ref="C28:C38"/>
    <mergeCell ref="D28:D38"/>
    <mergeCell ref="A61:A71"/>
    <mergeCell ref="Y61:Y71"/>
    <mergeCell ref="Z61:Z71"/>
    <mergeCell ref="AA61:AA71"/>
    <mergeCell ref="Z50:Z60"/>
    <mergeCell ref="A50:A60"/>
    <mergeCell ref="C50:C60"/>
    <mergeCell ref="D50:D60"/>
    <mergeCell ref="Y50:Y60"/>
    <mergeCell ref="AA50:AA60"/>
    <mergeCell ref="C61:C71"/>
    <mergeCell ref="D61:D71"/>
    <mergeCell ref="AA39:AA49"/>
    <mergeCell ref="A39:A49"/>
    <mergeCell ref="D6:D16"/>
    <mergeCell ref="Y6:Y16"/>
    <mergeCell ref="Z6:Z16"/>
    <mergeCell ref="Y4:Y5"/>
    <mergeCell ref="Z4:Z5"/>
    <mergeCell ref="AA4:AA5"/>
    <mergeCell ref="H1:U1"/>
    <mergeCell ref="I4:L4"/>
    <mergeCell ref="M4:P4"/>
    <mergeCell ref="Q4:T4"/>
    <mergeCell ref="U4:X4"/>
    <mergeCell ref="AA6:AA16"/>
    <mergeCell ref="A4:A5"/>
    <mergeCell ref="B4:B5"/>
    <mergeCell ref="C4:C5"/>
    <mergeCell ref="D4:D5"/>
    <mergeCell ref="E4:H4"/>
    <mergeCell ref="AA105:AA115"/>
    <mergeCell ref="AA116:AA126"/>
    <mergeCell ref="AA127:AA137"/>
    <mergeCell ref="AA138:AA148"/>
    <mergeCell ref="Y138:Y148"/>
    <mergeCell ref="Z138:Z148"/>
    <mergeCell ref="Y83:Y93"/>
    <mergeCell ref="Z83:Z93"/>
    <mergeCell ref="Y94:Y104"/>
    <mergeCell ref="Z94:Z104"/>
    <mergeCell ref="Y105:Y115"/>
    <mergeCell ref="Z105:Z115"/>
    <mergeCell ref="Y17:Y27"/>
    <mergeCell ref="Z17:Z27"/>
    <mergeCell ref="AA17:AA27"/>
    <mergeCell ref="Y39:Y49"/>
    <mergeCell ref="Z39:Z49"/>
    <mergeCell ref="A6:A16"/>
    <mergeCell ref="C6:C16"/>
    <mergeCell ref="A897:X899"/>
    <mergeCell ref="Y897:Y899"/>
    <mergeCell ref="Z897:Z899"/>
    <mergeCell ref="AA897:AA899"/>
    <mergeCell ref="AA83:AA93"/>
    <mergeCell ref="AA94:AA104"/>
    <mergeCell ref="AA215:AA225"/>
    <mergeCell ref="AA226:AA236"/>
    <mergeCell ref="AA237:AA247"/>
    <mergeCell ref="AA259:AA269"/>
    <mergeCell ref="AA160:AA170"/>
    <mergeCell ref="AA171:AA181"/>
    <mergeCell ref="AA182:AA192"/>
    <mergeCell ref="AA193:AA203"/>
    <mergeCell ref="AA204:AA214"/>
    <mergeCell ref="Y116:Y126"/>
    <mergeCell ref="Z116:Z126"/>
    <mergeCell ref="Y127:Y137"/>
    <mergeCell ref="Z127:Z137"/>
    <mergeCell ref="A424:A434"/>
    <mergeCell ref="C424:C434"/>
    <mergeCell ref="D424:D434"/>
    <mergeCell ref="Y424:Y434"/>
    <mergeCell ref="Z424:Z434"/>
    <mergeCell ref="Y149:Y159"/>
    <mergeCell ref="Z149:Z159"/>
    <mergeCell ref="Y160:Y170"/>
    <mergeCell ref="Z160:Z170"/>
    <mergeCell ref="Y171:Y181"/>
    <mergeCell ref="Z171:Z181"/>
    <mergeCell ref="AA149:AA159"/>
    <mergeCell ref="Y72:Y82"/>
    <mergeCell ref="Z72:Z82"/>
    <mergeCell ref="AA72:AA82"/>
    <mergeCell ref="A171:A181"/>
    <mergeCell ref="A182:A192"/>
    <mergeCell ref="Y215:Y225"/>
    <mergeCell ref="Z215:Z225"/>
    <mergeCell ref="Y226:Y236"/>
    <mergeCell ref="Z226:Z236"/>
    <mergeCell ref="Y237:Y247"/>
    <mergeCell ref="Z237:Z247"/>
    <mergeCell ref="Y182:Y192"/>
    <mergeCell ref="Z182:Z192"/>
    <mergeCell ref="Y193:Y203"/>
    <mergeCell ref="Z193:Z203"/>
    <mergeCell ref="Y204:Y214"/>
    <mergeCell ref="Z204:Z214"/>
    <mergeCell ref="C204:C214"/>
    <mergeCell ref="D204:D214"/>
    <mergeCell ref="C215:C225"/>
    <mergeCell ref="D215:D225"/>
    <mergeCell ref="C226:C236"/>
    <mergeCell ref="D226:D236"/>
    <mergeCell ref="A17:A27"/>
    <mergeCell ref="A72:A82"/>
    <mergeCell ref="A83:A93"/>
    <mergeCell ref="A94:A104"/>
    <mergeCell ref="A105:A115"/>
    <mergeCell ref="A116:A126"/>
    <mergeCell ref="A127:A137"/>
    <mergeCell ref="A138:A148"/>
    <mergeCell ref="A149:A159"/>
    <mergeCell ref="A28:A38"/>
    <mergeCell ref="C17:C27"/>
    <mergeCell ref="D17:D27"/>
    <mergeCell ref="C72:C82"/>
    <mergeCell ref="D72:D82"/>
    <mergeCell ref="C83:C93"/>
    <mergeCell ref="D83:D93"/>
    <mergeCell ref="C94:C104"/>
    <mergeCell ref="D94:D104"/>
    <mergeCell ref="C105:C115"/>
    <mergeCell ref="D105:D115"/>
    <mergeCell ref="C39:C49"/>
    <mergeCell ref="D39:D49"/>
    <mergeCell ref="C116:C126"/>
    <mergeCell ref="D116:D126"/>
    <mergeCell ref="C127:C137"/>
    <mergeCell ref="D127:D137"/>
    <mergeCell ref="A193:A203"/>
    <mergeCell ref="A204:A214"/>
    <mergeCell ref="A215:A225"/>
    <mergeCell ref="A226:A236"/>
    <mergeCell ref="A237:A247"/>
    <mergeCell ref="C171:C181"/>
    <mergeCell ref="D171:D181"/>
    <mergeCell ref="C182:C192"/>
    <mergeCell ref="D182:D192"/>
    <mergeCell ref="C193:C203"/>
    <mergeCell ref="D193:D203"/>
    <mergeCell ref="C138:C148"/>
    <mergeCell ref="D138:D148"/>
    <mergeCell ref="C149:C159"/>
    <mergeCell ref="D149:D159"/>
    <mergeCell ref="C160:C170"/>
    <mergeCell ref="D160:D170"/>
    <mergeCell ref="C237:C247"/>
    <mergeCell ref="D237:D247"/>
    <mergeCell ref="A160:A170"/>
    <mergeCell ref="A270:A280"/>
    <mergeCell ref="C270:C280"/>
    <mergeCell ref="D270:D280"/>
    <mergeCell ref="A259:A269"/>
    <mergeCell ref="AA292:AA302"/>
    <mergeCell ref="A303:A313"/>
    <mergeCell ref="C303:C313"/>
    <mergeCell ref="D303:D313"/>
    <mergeCell ref="Y303:Y313"/>
    <mergeCell ref="Z303:Z313"/>
    <mergeCell ref="AA303:AA313"/>
    <mergeCell ref="A314:A324"/>
    <mergeCell ref="C314:C324"/>
    <mergeCell ref="D314:D324"/>
    <mergeCell ref="Y314:Y324"/>
    <mergeCell ref="Z314:Z324"/>
    <mergeCell ref="AA314:AA324"/>
    <mergeCell ref="D292:D302"/>
    <mergeCell ref="Y325:Y335"/>
    <mergeCell ref="Z325:Z335"/>
    <mergeCell ref="AA325:AA335"/>
    <mergeCell ref="A336:A346"/>
    <mergeCell ref="C336:C346"/>
    <mergeCell ref="D336:D346"/>
    <mergeCell ref="Y336:Y346"/>
    <mergeCell ref="Z336:Z346"/>
    <mergeCell ref="AA336:AA346"/>
    <mergeCell ref="A325:A335"/>
    <mergeCell ref="C325:C335"/>
    <mergeCell ref="D325:D335"/>
    <mergeCell ref="Y347:Y357"/>
    <mergeCell ref="Z347:Z357"/>
    <mergeCell ref="AA347:AA357"/>
    <mergeCell ref="A358:A368"/>
    <mergeCell ref="C358:C368"/>
    <mergeCell ref="D358:D368"/>
    <mergeCell ref="Y358:Y368"/>
    <mergeCell ref="Z358:Z368"/>
    <mergeCell ref="AA358:AA368"/>
    <mergeCell ref="A347:A357"/>
    <mergeCell ref="C347:C357"/>
    <mergeCell ref="D347:D357"/>
    <mergeCell ref="C369:C379"/>
    <mergeCell ref="D369:D379"/>
    <mergeCell ref="Y369:Y379"/>
    <mergeCell ref="Z369:Z379"/>
    <mergeCell ref="AA369:AA379"/>
    <mergeCell ref="A380:A390"/>
    <mergeCell ref="C380:C390"/>
    <mergeCell ref="D380:D390"/>
    <mergeCell ref="Y380:Y390"/>
    <mergeCell ref="Z380:Z390"/>
    <mergeCell ref="AA380:AA390"/>
    <mergeCell ref="A369:A379"/>
    <mergeCell ref="A413:A423"/>
    <mergeCell ref="C413:C423"/>
    <mergeCell ref="D413:D423"/>
    <mergeCell ref="Y413:Y423"/>
    <mergeCell ref="Z413:Z423"/>
    <mergeCell ref="AA413:AA423"/>
    <mergeCell ref="A391:A401"/>
    <mergeCell ref="C391:C401"/>
    <mergeCell ref="D391:D401"/>
    <mergeCell ref="Y391:Y401"/>
    <mergeCell ref="Z391:Z401"/>
    <mergeCell ref="AA391:AA401"/>
    <mergeCell ref="A402:A412"/>
    <mergeCell ref="C402:C412"/>
    <mergeCell ref="D402:D412"/>
    <mergeCell ref="Y402:Y412"/>
    <mergeCell ref="Z402:Z412"/>
    <mergeCell ref="AA402:AA412"/>
    <mergeCell ref="A655:A665"/>
    <mergeCell ref="C655:C665"/>
    <mergeCell ref="D655:D665"/>
    <mergeCell ref="Y655:Y665"/>
    <mergeCell ref="Z655:Z665"/>
    <mergeCell ref="AA655:AA665"/>
    <mergeCell ref="A677:A687"/>
    <mergeCell ref="C677:C687"/>
    <mergeCell ref="D677:D687"/>
    <mergeCell ref="Y677:Y687"/>
    <mergeCell ref="Z677:Z687"/>
    <mergeCell ref="AA677:AA687"/>
    <mergeCell ref="A666:A676"/>
    <mergeCell ref="C666:C676"/>
    <mergeCell ref="D666:D676"/>
    <mergeCell ref="Y666:Y676"/>
    <mergeCell ref="Z666:Z676"/>
    <mergeCell ref="AA666:AA676"/>
    <mergeCell ref="A644:A654"/>
    <mergeCell ref="C644:C654"/>
    <mergeCell ref="D644:D654"/>
    <mergeCell ref="Y644:Y654"/>
    <mergeCell ref="Z644:Z654"/>
    <mergeCell ref="AA644:AA654"/>
    <mergeCell ref="A721:A731"/>
    <mergeCell ref="C721:C731"/>
    <mergeCell ref="D721:D731"/>
    <mergeCell ref="Y721:Y731"/>
    <mergeCell ref="Z721:Z731"/>
    <mergeCell ref="AA721:AA731"/>
    <mergeCell ref="A710:A720"/>
    <mergeCell ref="C710:C720"/>
    <mergeCell ref="D710:D720"/>
    <mergeCell ref="Y710:Y720"/>
    <mergeCell ref="Z710:Z720"/>
    <mergeCell ref="AA710:AA720"/>
    <mergeCell ref="A699:A709"/>
    <mergeCell ref="C699:C709"/>
    <mergeCell ref="D699:D709"/>
    <mergeCell ref="Y699:Y709"/>
    <mergeCell ref="Z699:Z709"/>
    <mergeCell ref="AA699:AA709"/>
    <mergeCell ref="A688:A698"/>
    <mergeCell ref="C688:C698"/>
    <mergeCell ref="D688:D698"/>
    <mergeCell ref="Y688:Y698"/>
    <mergeCell ref="Z688:Z698"/>
    <mergeCell ref="AA688:AA698"/>
    <mergeCell ref="A732:A742"/>
    <mergeCell ref="C732:C742"/>
    <mergeCell ref="D732:D742"/>
    <mergeCell ref="Y732:Y742"/>
    <mergeCell ref="Z732:Z742"/>
    <mergeCell ref="AA732:AA742"/>
    <mergeCell ref="A743:A753"/>
    <mergeCell ref="C743:C753"/>
    <mergeCell ref="D743:D753"/>
    <mergeCell ref="Y743:Y753"/>
    <mergeCell ref="Z743:Z753"/>
    <mergeCell ref="AA743:AA753"/>
    <mergeCell ref="A754:A764"/>
    <mergeCell ref="C754:C764"/>
    <mergeCell ref="D754:D764"/>
    <mergeCell ref="Y754:Y764"/>
    <mergeCell ref="Z754:Z764"/>
    <mergeCell ref="AA754:AA764"/>
    <mergeCell ref="A776:A786"/>
    <mergeCell ref="C776:C786"/>
    <mergeCell ref="D776:D786"/>
    <mergeCell ref="Y776:Y786"/>
    <mergeCell ref="Z776:Z786"/>
    <mergeCell ref="AA776:AA786"/>
    <mergeCell ref="A765:A775"/>
    <mergeCell ref="C765:C775"/>
    <mergeCell ref="D765:D775"/>
    <mergeCell ref="Y765:Y775"/>
    <mergeCell ref="Z765:Z775"/>
    <mergeCell ref="AA765:AA775"/>
    <mergeCell ref="A886:A896"/>
    <mergeCell ref="A809:A819"/>
    <mergeCell ref="C809:C819"/>
    <mergeCell ref="D809:D819"/>
    <mergeCell ref="Y809:Y819"/>
    <mergeCell ref="Z809:Z819"/>
    <mergeCell ref="AA809:AA819"/>
    <mergeCell ref="A787:A797"/>
    <mergeCell ref="C787:C797"/>
    <mergeCell ref="D787:D797"/>
    <mergeCell ref="Y787:Y797"/>
    <mergeCell ref="Z787:Z797"/>
    <mergeCell ref="AA787:AA797"/>
    <mergeCell ref="A798:A808"/>
    <mergeCell ref="C798:C808"/>
    <mergeCell ref="D798:D808"/>
    <mergeCell ref="Y798:Y808"/>
    <mergeCell ref="Z798:Z808"/>
    <mergeCell ref="AA798:AA808"/>
    <mergeCell ref="Y886:Y896"/>
    <mergeCell ref="Z886:Z896"/>
    <mergeCell ref="AA886:AA896"/>
    <mergeCell ref="A842:A852"/>
    <mergeCell ref="Y842:Y852"/>
    <mergeCell ref="Z842:Z852"/>
    <mergeCell ref="AA842:AA852"/>
    <mergeCell ref="A820:A830"/>
    <mergeCell ref="Y820:Y830"/>
    <mergeCell ref="Z820:Z830"/>
    <mergeCell ref="AA820:AA830"/>
    <mergeCell ref="A831:A841"/>
    <mergeCell ref="Y831:Y841"/>
    <mergeCell ref="Z831:Z841"/>
    <mergeCell ref="AA831:AA841"/>
    <mergeCell ref="A875:A885"/>
    <mergeCell ref="Y875:Y885"/>
    <mergeCell ref="Z875:Z885"/>
    <mergeCell ref="AA875:AA885"/>
    <mergeCell ref="A853:A863"/>
    <mergeCell ref="Y853:Y863"/>
    <mergeCell ref="Z853:Z863"/>
    <mergeCell ref="AA853:AA863"/>
    <mergeCell ref="A864:A874"/>
    <mergeCell ref="Y864:Y874"/>
    <mergeCell ref="Z864:Z874"/>
    <mergeCell ref="AA864:AA874"/>
  </mergeCells>
  <conditionalFormatting sqref="W14:X15 U14:U15 E6:X11 V14:V236 E12:P18 Q12:T16 E886:T895 V512:V555 E522:U555 W522:X555 V886:V896 E19:T236">
    <cfRule type="cellIs" dxfId="179" priority="145" operator="equal">
      <formula>0</formula>
    </cfRule>
  </conditionalFormatting>
  <conditionalFormatting sqref="E896:U896 W896:X896">
    <cfRule type="cellIs" dxfId="178" priority="96" operator="equal">
      <formula>0</formula>
    </cfRule>
  </conditionalFormatting>
  <conditionalFormatting sqref="V237:V247 E237:T247">
    <cfRule type="cellIs" dxfId="177" priority="89" operator="equal">
      <formula>0</formula>
    </cfRule>
  </conditionalFormatting>
  <conditionalFormatting sqref="V259:V269 E259:T269 E270:H280">
    <cfRule type="cellIs" dxfId="176" priority="88" operator="equal">
      <formula>0</formula>
    </cfRule>
  </conditionalFormatting>
  <conditionalFormatting sqref="V248:V258 E248:T258">
    <cfRule type="cellIs" dxfId="175" priority="87" operator="equal">
      <formula>0</formula>
    </cfRule>
  </conditionalFormatting>
  <conditionalFormatting sqref="V270:V280 I270:T280">
    <cfRule type="cellIs" dxfId="174" priority="86" operator="equal">
      <formula>0</formula>
    </cfRule>
  </conditionalFormatting>
  <conditionalFormatting sqref="E281:H291">
    <cfRule type="cellIs" dxfId="173" priority="85" operator="equal">
      <formula>0</formula>
    </cfRule>
  </conditionalFormatting>
  <conditionalFormatting sqref="V281:V291 I281:T291">
    <cfRule type="cellIs" dxfId="172" priority="84" operator="equal">
      <formula>0</formula>
    </cfRule>
  </conditionalFormatting>
  <conditionalFormatting sqref="V413:V434 I413:T434">
    <cfRule type="cellIs" dxfId="171" priority="58" operator="equal">
      <formula>0</formula>
    </cfRule>
  </conditionalFormatting>
  <conditionalFormatting sqref="E413:H434">
    <cfRule type="cellIs" dxfId="170" priority="59" operator="equal">
      <formula>0</formula>
    </cfRule>
  </conditionalFormatting>
  <conditionalFormatting sqref="E292:H302">
    <cfRule type="cellIs" dxfId="169" priority="81" operator="equal">
      <formula>0</formula>
    </cfRule>
  </conditionalFormatting>
  <conditionalFormatting sqref="V292:V302 I292:T302">
    <cfRule type="cellIs" dxfId="168" priority="80" operator="equal">
      <formula>0</formula>
    </cfRule>
  </conditionalFormatting>
  <conditionalFormatting sqref="E303:H313">
    <cfRule type="cellIs" dxfId="167" priority="79" operator="equal">
      <formula>0</formula>
    </cfRule>
  </conditionalFormatting>
  <conditionalFormatting sqref="V303:V313 I303:T313">
    <cfRule type="cellIs" dxfId="166" priority="78" operator="equal">
      <formula>0</formula>
    </cfRule>
  </conditionalFormatting>
  <conditionalFormatting sqref="E314:H324">
    <cfRule type="cellIs" dxfId="165" priority="77" operator="equal">
      <formula>0</formula>
    </cfRule>
  </conditionalFormatting>
  <conditionalFormatting sqref="V314:V324 I314:T324">
    <cfRule type="cellIs" dxfId="164" priority="76" operator="equal">
      <formula>0</formula>
    </cfRule>
  </conditionalFormatting>
  <conditionalFormatting sqref="E325:H335">
    <cfRule type="cellIs" dxfId="163" priority="75" operator="equal">
      <formula>0</formula>
    </cfRule>
  </conditionalFormatting>
  <conditionalFormatting sqref="V325:V335 I325:T335">
    <cfRule type="cellIs" dxfId="162" priority="74" operator="equal">
      <formula>0</formula>
    </cfRule>
  </conditionalFormatting>
  <conditionalFormatting sqref="E336:H346">
    <cfRule type="cellIs" dxfId="161" priority="73" operator="equal">
      <formula>0</formula>
    </cfRule>
  </conditionalFormatting>
  <conditionalFormatting sqref="V336:V346 I336:T346">
    <cfRule type="cellIs" dxfId="160" priority="72" operator="equal">
      <formula>0</formula>
    </cfRule>
  </conditionalFormatting>
  <conditionalFormatting sqref="E347:H357">
    <cfRule type="cellIs" dxfId="159" priority="71" operator="equal">
      <formula>0</formula>
    </cfRule>
  </conditionalFormatting>
  <conditionalFormatting sqref="V347:V357 I347:T357">
    <cfRule type="cellIs" dxfId="158" priority="70" operator="equal">
      <formula>0</formula>
    </cfRule>
  </conditionalFormatting>
  <conditionalFormatting sqref="E358:H368">
    <cfRule type="cellIs" dxfId="157" priority="69" operator="equal">
      <formula>0</formula>
    </cfRule>
  </conditionalFormatting>
  <conditionalFormatting sqref="V358:V368 I358:T368">
    <cfRule type="cellIs" dxfId="156" priority="68" operator="equal">
      <formula>0</formula>
    </cfRule>
  </conditionalFormatting>
  <conditionalFormatting sqref="E369:H379">
    <cfRule type="cellIs" dxfId="155" priority="67" operator="equal">
      <formula>0</formula>
    </cfRule>
  </conditionalFormatting>
  <conditionalFormatting sqref="V369:V379 I369:T379">
    <cfRule type="cellIs" dxfId="154" priority="66" operator="equal">
      <formula>0</formula>
    </cfRule>
  </conditionalFormatting>
  <conditionalFormatting sqref="E380:H390">
    <cfRule type="cellIs" dxfId="153" priority="65" operator="equal">
      <formula>0</formula>
    </cfRule>
  </conditionalFormatting>
  <conditionalFormatting sqref="V380:V390 I380:T390">
    <cfRule type="cellIs" dxfId="152" priority="64" operator="equal">
      <formula>0</formula>
    </cfRule>
  </conditionalFormatting>
  <conditionalFormatting sqref="E391:H401">
    <cfRule type="cellIs" dxfId="151" priority="63" operator="equal">
      <formula>0</formula>
    </cfRule>
  </conditionalFormatting>
  <conditionalFormatting sqref="V391:V401 I391:T401">
    <cfRule type="cellIs" dxfId="150" priority="62" operator="equal">
      <formula>0</formula>
    </cfRule>
  </conditionalFormatting>
  <conditionalFormatting sqref="E402:H412">
    <cfRule type="cellIs" dxfId="149" priority="61" operator="equal">
      <formula>0</formula>
    </cfRule>
  </conditionalFormatting>
  <conditionalFormatting sqref="V402:V412 I402:T412">
    <cfRule type="cellIs" dxfId="148" priority="60" operator="equal">
      <formula>0</formula>
    </cfRule>
  </conditionalFormatting>
  <conditionalFormatting sqref="E435:T444 V435:V445">
    <cfRule type="cellIs" dxfId="147" priority="57" operator="equal">
      <formula>0</formula>
    </cfRule>
  </conditionalFormatting>
  <conditionalFormatting sqref="E445:U445 W445:X445">
    <cfRule type="cellIs" dxfId="146" priority="56" operator="equal">
      <formula>0</formula>
    </cfRule>
  </conditionalFormatting>
  <conditionalFormatting sqref="E446:T455 V446:V456">
    <cfRule type="cellIs" dxfId="145" priority="55" operator="equal">
      <formula>0</formula>
    </cfRule>
  </conditionalFormatting>
  <conditionalFormatting sqref="E456:U456 W456:X456">
    <cfRule type="cellIs" dxfId="144" priority="54" operator="equal">
      <formula>0</formula>
    </cfRule>
  </conditionalFormatting>
  <conditionalFormatting sqref="E457:T466 V457:V467">
    <cfRule type="cellIs" dxfId="143" priority="53" operator="equal">
      <formula>0</formula>
    </cfRule>
  </conditionalFormatting>
  <conditionalFormatting sqref="E467:U467 W467:X467">
    <cfRule type="cellIs" dxfId="142" priority="52" operator="equal">
      <formula>0</formula>
    </cfRule>
  </conditionalFormatting>
  <conditionalFormatting sqref="E468:T477 V468:V478">
    <cfRule type="cellIs" dxfId="141" priority="51" operator="equal">
      <formula>0</formula>
    </cfRule>
  </conditionalFormatting>
  <conditionalFormatting sqref="E478:U478 W478:X478">
    <cfRule type="cellIs" dxfId="140" priority="50" operator="equal">
      <formula>0</formula>
    </cfRule>
  </conditionalFormatting>
  <conditionalFormatting sqref="E479:T488 V479:V489">
    <cfRule type="cellIs" dxfId="139" priority="49" operator="equal">
      <formula>0</formula>
    </cfRule>
  </conditionalFormatting>
  <conditionalFormatting sqref="E489:U489 W489:X489">
    <cfRule type="cellIs" dxfId="138" priority="48" operator="equal">
      <formula>0</formula>
    </cfRule>
  </conditionalFormatting>
  <conditionalFormatting sqref="E490:T499 V490:V500">
    <cfRule type="cellIs" dxfId="137" priority="47" operator="equal">
      <formula>0</formula>
    </cfRule>
  </conditionalFormatting>
  <conditionalFormatting sqref="E500:U500 W500:X500">
    <cfRule type="cellIs" dxfId="136" priority="46" operator="equal">
      <formula>0</formula>
    </cfRule>
  </conditionalFormatting>
  <conditionalFormatting sqref="E501:T510 V501:V511">
    <cfRule type="cellIs" dxfId="135" priority="45" operator="equal">
      <formula>0</formula>
    </cfRule>
  </conditionalFormatting>
  <conditionalFormatting sqref="E511:U511 W511:X511">
    <cfRule type="cellIs" dxfId="134" priority="44" operator="equal">
      <formula>0</formula>
    </cfRule>
  </conditionalFormatting>
  <conditionalFormatting sqref="E512:T521">
    <cfRule type="cellIs" dxfId="133" priority="43" operator="equal">
      <formula>0</formula>
    </cfRule>
  </conditionalFormatting>
  <conditionalFormatting sqref="E556:X566">
    <cfRule type="cellIs" dxfId="132" priority="41" operator="equal">
      <formula>0</formula>
    </cfRule>
  </conditionalFormatting>
  <conditionalFormatting sqref="E567:X577">
    <cfRule type="cellIs" dxfId="131" priority="40" operator="equal">
      <formula>0</formula>
    </cfRule>
  </conditionalFormatting>
  <conditionalFormatting sqref="E578:X588">
    <cfRule type="cellIs" dxfId="130" priority="39" operator="equal">
      <formula>0</formula>
    </cfRule>
  </conditionalFormatting>
  <conditionalFormatting sqref="E589:X599">
    <cfRule type="cellIs" dxfId="129" priority="38" operator="equal">
      <formula>0</formula>
    </cfRule>
  </conditionalFormatting>
  <conditionalFormatting sqref="E600:X610">
    <cfRule type="cellIs" dxfId="128" priority="37" operator="equal">
      <formula>0</formula>
    </cfRule>
  </conditionalFormatting>
  <conditionalFormatting sqref="E611:X621">
    <cfRule type="cellIs" dxfId="127" priority="36" operator="equal">
      <formula>0</formula>
    </cfRule>
  </conditionalFormatting>
  <conditionalFormatting sqref="E622:X632">
    <cfRule type="cellIs" dxfId="126" priority="35" operator="equal">
      <formula>0</formula>
    </cfRule>
  </conditionalFormatting>
  <conditionalFormatting sqref="E633:X643">
    <cfRule type="cellIs" dxfId="125" priority="34" operator="equal">
      <formula>0</formula>
    </cfRule>
  </conditionalFormatting>
  <conditionalFormatting sqref="E655:X665">
    <cfRule type="cellIs" dxfId="124" priority="33" operator="equal">
      <formula>0</formula>
    </cfRule>
  </conditionalFormatting>
  <conditionalFormatting sqref="E677:X687">
    <cfRule type="cellIs" dxfId="123" priority="32" operator="equal">
      <formula>0</formula>
    </cfRule>
  </conditionalFormatting>
  <conditionalFormatting sqref="E666:X676">
    <cfRule type="cellIs" dxfId="122" priority="31" operator="equal">
      <formula>0</formula>
    </cfRule>
  </conditionalFormatting>
  <conditionalFormatting sqref="E644:X654">
    <cfRule type="cellIs" dxfId="121" priority="30" operator="equal">
      <formula>0</formula>
    </cfRule>
  </conditionalFormatting>
  <conditionalFormatting sqref="E721:X731">
    <cfRule type="cellIs" dxfId="120" priority="29" operator="equal">
      <formula>0</formula>
    </cfRule>
  </conditionalFormatting>
  <conditionalFormatting sqref="E710:X720">
    <cfRule type="cellIs" dxfId="119" priority="28" operator="equal">
      <formula>0</formula>
    </cfRule>
  </conditionalFormatting>
  <conditionalFormatting sqref="E699:X709">
    <cfRule type="cellIs" dxfId="118" priority="27" operator="equal">
      <formula>0</formula>
    </cfRule>
  </conditionalFormatting>
  <conditionalFormatting sqref="E688:X698">
    <cfRule type="cellIs" dxfId="117" priority="26" operator="equal">
      <formula>0</formula>
    </cfRule>
  </conditionalFormatting>
  <conditionalFormatting sqref="E732:X742">
    <cfRule type="cellIs" dxfId="116" priority="25" operator="equal">
      <formula>0</formula>
    </cfRule>
  </conditionalFormatting>
  <conditionalFormatting sqref="E743:X753">
    <cfRule type="cellIs" dxfId="115" priority="24" operator="equal">
      <formula>0</formula>
    </cfRule>
  </conditionalFormatting>
  <conditionalFormatting sqref="E754:X764">
    <cfRule type="cellIs" dxfId="114" priority="23" operator="equal">
      <formula>0</formula>
    </cfRule>
  </conditionalFormatting>
  <conditionalFormatting sqref="E776:T785 V776:V786">
    <cfRule type="cellIs" dxfId="113" priority="22" operator="equal">
      <formula>0</formula>
    </cfRule>
  </conditionalFormatting>
  <conditionalFormatting sqref="E786:U786 W786:X786">
    <cfRule type="cellIs" dxfId="112" priority="21" operator="equal">
      <formula>0</formula>
    </cfRule>
  </conditionalFormatting>
  <conditionalFormatting sqref="E765:T774 V765:V775">
    <cfRule type="cellIs" dxfId="111" priority="20" operator="equal">
      <formula>0</formula>
    </cfRule>
  </conditionalFormatting>
  <conditionalFormatting sqref="E775:U775 W775:X775">
    <cfRule type="cellIs" dxfId="110" priority="19" operator="equal">
      <formula>0</formula>
    </cfRule>
  </conditionalFormatting>
  <conditionalFormatting sqref="E809:T818 V809:V819">
    <cfRule type="cellIs" dxfId="109" priority="18" operator="equal">
      <formula>0</formula>
    </cfRule>
  </conditionalFormatting>
  <conditionalFormatting sqref="E819:U819 W819:X819">
    <cfRule type="cellIs" dxfId="108" priority="17" operator="equal">
      <formula>0</formula>
    </cfRule>
  </conditionalFormatting>
  <conditionalFormatting sqref="E787:T796 V787:V797">
    <cfRule type="cellIs" dxfId="107" priority="16" operator="equal">
      <formula>0</formula>
    </cfRule>
  </conditionalFormatting>
  <conditionalFormatting sqref="E797:U797 W797:X797">
    <cfRule type="cellIs" dxfId="106" priority="15" operator="equal">
      <formula>0</formula>
    </cfRule>
  </conditionalFormatting>
  <conditionalFormatting sqref="E798:T807 V798:V808">
    <cfRule type="cellIs" dxfId="105" priority="14" operator="equal">
      <formula>0</formula>
    </cfRule>
  </conditionalFormatting>
  <conditionalFormatting sqref="E808:U808 W808:X808">
    <cfRule type="cellIs" dxfId="104" priority="13" operator="equal">
      <formula>0</formula>
    </cfRule>
  </conditionalFormatting>
  <conditionalFormatting sqref="E842:T851 V842:V852">
    <cfRule type="cellIs" dxfId="103" priority="12" operator="equal">
      <formula>0</formula>
    </cfRule>
  </conditionalFormatting>
  <conditionalFormatting sqref="E852:U852 W852:X852">
    <cfRule type="cellIs" dxfId="102" priority="11" operator="equal">
      <formula>0</formula>
    </cfRule>
  </conditionalFormatting>
  <conditionalFormatting sqref="E831:T840 V831:V841">
    <cfRule type="cellIs" dxfId="101" priority="10" operator="equal">
      <formula>0</formula>
    </cfRule>
  </conditionalFormatting>
  <conditionalFormatting sqref="E841:U841 W841:X841">
    <cfRule type="cellIs" dxfId="100" priority="9" operator="equal">
      <formula>0</formula>
    </cfRule>
  </conditionalFormatting>
  <conditionalFormatting sqref="E820:T829 V820:V830">
    <cfRule type="cellIs" dxfId="99" priority="8" operator="equal">
      <formula>0</formula>
    </cfRule>
  </conditionalFormatting>
  <conditionalFormatting sqref="E830:U830 W830:X830">
    <cfRule type="cellIs" dxfId="98" priority="7" operator="equal">
      <formula>0</formula>
    </cfRule>
  </conditionalFormatting>
  <conditionalFormatting sqref="E875:T884 V875:V885">
    <cfRule type="cellIs" dxfId="97" priority="6" operator="equal">
      <formula>0</formula>
    </cfRule>
  </conditionalFormatting>
  <conditionalFormatting sqref="E885:U885 W885:X885">
    <cfRule type="cellIs" dxfId="96" priority="5" operator="equal">
      <formula>0</formula>
    </cfRule>
  </conditionalFormatting>
  <conditionalFormatting sqref="E864:T873 V864:V874">
    <cfRule type="cellIs" dxfId="95" priority="4" operator="equal">
      <formula>0</formula>
    </cfRule>
  </conditionalFormatting>
  <conditionalFormatting sqref="E874:U874 W874:X874">
    <cfRule type="cellIs" dxfId="94" priority="3" operator="equal">
      <formula>0</formula>
    </cfRule>
  </conditionalFormatting>
  <conditionalFormatting sqref="E853:T862 V853:V863">
    <cfRule type="cellIs" dxfId="93" priority="2" operator="equal">
      <formula>0</formula>
    </cfRule>
  </conditionalFormatting>
  <conditionalFormatting sqref="E863:U863 W863:X863">
    <cfRule type="cellIs" dxfId="92" priority="1" operator="equal">
      <formula>0</formula>
    </cfRule>
  </conditionalFormatting>
  <pageMargins left="0.7" right="0.7" top="0.75" bottom="0.75" header="0.3" footer="0.3"/>
  <pageSetup paperSize="9" scale="32" orientation="portrait" r:id="rId1"/>
  <rowBreaks count="3" manualBreakCount="3">
    <brk id="104" max="16383" man="1"/>
    <brk id="214" max="16383" man="1"/>
    <brk id="335" max="26" man="1"/>
  </rowBreaks>
  <ignoredErrors>
    <ignoredError sqref="S6:S9 W6:W11 W12:W16 S11 S10 S12:S13 S17:S24 W17:W247 S15:S16 S48:S57 S70:S79 S103:S112 S125:S134 S147:S156 S169:S178 S191:S200 S214:S222 S246:S247" twoDigitTextYear="1"/>
    <ignoredError sqref="Q11 U13 Q14:R14 T14:U14 Q25:R47 T25:U31 Q69 Q58:R68 T58:U69 R69 Q80:R102 T80:U102 Q124 Q113:R123 T113:U124 R124 Q135 Q136:R146 T135:U146 R135 Q157:R168 T157:U168 Q179:R190 T179:U190 Q201:R213 T201:U213 Q223:R245 T223:U245 T33:U34 U32 T36:U47 U35" formula="1"/>
    <ignoredError sqref="B33 B44 B55 B66 B77 B88 B99 B110 B121 B132 B143 B154 B165 B176 B187 B198 B209 B220 B231 B242" unlockedFormula="1"/>
    <ignoredError sqref="S14 S25:S34 S58:S69 S80:S102 S113:S124 S135:S146 S157:S168 S179:S190 S201:S213 S223:S245 S36:S47" twoDigitTextYear="1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база!$B:$B</xm:f>
          </x14:formula1>
          <xm:sqref>B6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Z190"/>
  <sheetViews>
    <sheetView showZeros="0" topLeftCell="A31" zoomScale="90" zoomScaleNormal="90" workbookViewId="0">
      <selection activeCell="M63" sqref="M63"/>
    </sheetView>
  </sheetViews>
  <sheetFormatPr defaultRowHeight="15.75"/>
  <cols>
    <col min="1" max="1" customWidth="true" width="9.85546875"/>
    <col min="2" max="2" customWidth="true" style="268" width="37.28515625"/>
    <col min="3" max="3" customWidth="true" width="6.85546875"/>
    <col min="4" max="4" customWidth="true" width="7.7109375"/>
    <col min="5" max="5" customWidth="true" width="8.5703125"/>
    <col min="6" max="6" customWidth="true" width="6.85546875"/>
    <col min="7" max="7" customWidth="true" width="9.0"/>
    <col min="8" max="13" customWidth="true" width="8.0"/>
    <col min="14" max="14" customWidth="true" style="45" width="9.0"/>
    <col min="15" max="15" customWidth="true" width="8.7109375"/>
    <col min="16" max="16" customWidth="true" style="684" width="5.7109375"/>
    <col min="17" max="17" customWidth="true" style="666" width="37.42578125"/>
    <col min="18" max="18" customWidth="true" style="666" width="5.140625"/>
    <col min="19" max="19" customWidth="true" style="666" width="7.140625"/>
    <col min="20" max="20" customWidth="true" style="45" width="8.42578125"/>
    <col min="21" max="21" customWidth="true" hidden="true" style="45" width="13.42578125"/>
    <col min="22" max="22" customWidth="true" hidden="true" style="45" width="6.42578125"/>
    <col min="23" max="23" customWidth="true" hidden="true" style="45" width="8.28515625"/>
    <col min="24" max="24" customWidth="true" hidden="true" style="45" width="4.42578125"/>
    <col min="25" max="25" customWidth="true" hidden="true" style="45" width="16.140625"/>
    <col min="26" max="27" customWidth="true" hidden="true" style="53" width="7.7109375"/>
    <col min="28" max="28" customWidth="true" hidden="true" style="45" width="4.28515625"/>
    <col min="29" max="29" customWidth="true" hidden="true" style="45" width="16.140625"/>
    <col min="30" max="30" customWidth="true" hidden="true" style="45" width="7.28515625"/>
    <col min="31" max="31" customWidth="true" hidden="true" style="45" width="6.85546875"/>
    <col min="32" max="32" customWidth="true" hidden="true" style="10" width="3.28515625"/>
    <col min="33" max="33" customWidth="true" hidden="true" style="45" width="14.0"/>
    <col min="34" max="34" customWidth="true" hidden="true" style="45" width="8.7109375"/>
    <col min="35" max="35" customWidth="true" hidden="true" width="9.140625"/>
    <col min="36" max="36" customWidth="true" hidden="true" width="5.7109375"/>
    <col min="37" max="37" customWidth="true" hidden="true" style="573" width="11.0"/>
    <col min="38" max="38" customWidth="true" hidden="true" style="573" width="19.85546875"/>
    <col min="39" max="39" customWidth="true" width="7.7109375"/>
    <col min="40" max="40" customWidth="true" hidden="true" width="9.140625"/>
    <col min="41" max="41" customWidth="true" hidden="true" width="34.28515625"/>
    <col min="42" max="42" customWidth="true" style="580" width="9.28515625"/>
    <col min="43" max="45" customWidth="true" style="583" width="9.28515625"/>
    <col min="46" max="46" customWidth="true" style="580" width="7.85546875"/>
  </cols>
  <sheetData>
    <row r="1" spans="1:52" ht="25.5" customHeight="1">
      <c r="A1" s="8" t="s">
        <v>10</v>
      </c>
      <c r="B1" s="266" t="s">
        <v>0</v>
      </c>
      <c r="C1" s="9" t="s">
        <v>1</v>
      </c>
      <c r="D1" s="55" t="s">
        <v>24</v>
      </c>
      <c r="E1" s="54" t="s">
        <v>23</v>
      </c>
      <c r="G1" s="692" t="s">
        <v>25</v>
      </c>
      <c r="H1" s="692" t="s">
        <v>26</v>
      </c>
      <c r="I1" s="693">
        <v>0.04</v>
      </c>
      <c r="J1" s="693" t="s">
        <v>27</v>
      </c>
      <c r="K1" s="693" t="s">
        <v>28</v>
      </c>
      <c r="L1" s="693" t="s">
        <v>29</v>
      </c>
      <c r="M1" s="693" t="s">
        <v>30</v>
      </c>
      <c r="N1" s="245"/>
      <c r="P1" s="684"/>
      <c r="Q1" s="863" t="s">
        <v>289</v>
      </c>
      <c r="R1" s="863"/>
      <c r="S1" s="863"/>
      <c r="T1" s="719" t="s">
        <v>346</v>
      </c>
      <c r="U1" s="864" t="s">
        <v>88</v>
      </c>
      <c r="V1" s="864"/>
      <c r="W1" s="864"/>
      <c r="X1" s="32"/>
      <c r="Y1" s="865" t="s">
        <v>84</v>
      </c>
      <c r="Z1" s="865"/>
      <c r="AA1" s="865"/>
      <c r="AB1" s="32"/>
      <c r="AC1" s="866" t="s">
        <v>90</v>
      </c>
      <c r="AD1" s="867"/>
      <c r="AE1" s="868"/>
      <c r="AF1" s="46"/>
      <c r="AG1" s="864" t="s">
        <v>91</v>
      </c>
      <c r="AH1" s="864"/>
      <c r="AI1" s="864"/>
      <c r="AN1" s="45" t="s">
        <v>289</v>
      </c>
      <c r="AO1" s="298" t="s">
        <v>89</v>
      </c>
      <c r="AP1" s="582" t="s">
        <v>2</v>
      </c>
      <c r="AQ1" s="582" t="s">
        <v>249</v>
      </c>
      <c r="AR1" s="582" t="s">
        <v>10</v>
      </c>
      <c r="AS1" s="582" t="s">
        <v>248</v>
      </c>
      <c r="AT1" s="581"/>
      <c r="AU1" s="298"/>
      <c r="AV1" s="298"/>
      <c r="AW1" s="298"/>
      <c r="AX1" s="298"/>
      <c r="AY1" s="298"/>
      <c r="AZ1" s="298"/>
    </row>
    <row r="2" spans="1:52" ht="17.25" customHeight="1">
      <c r="A2" s="40" t="s">
        <v>306</v>
      </c>
      <c r="B2" s="267" t="str">
        <f>IFERROR(INDEX($Q$1:$BH$100,ROW(A2),MATCH(Data_Tech!$AU$7,$Q$1:$AN$1,)+COLUMN(A1)-1),"")</f>
        <v>Авдокушина Елена Николаевна</v>
      </c>
      <c r="C2" s="3" t="s">
        <v>4</v>
      </c>
      <c r="D2" s="222">
        <f>INDEX($Q$1:$BH$100,ROW(B2),MATCH(Data_Tech!$AU$7,$Q$1:$AN$1,)+COLUMN(B2)-1)</f>
        <v>4</v>
      </c>
      <c r="E2" s="223">
        <f>INDEX($Q$1:$BH$100,ROW(C2),MATCH(Data_Tech!$AU$7,$Q$1:$AN$1,)+COLUMN(C2)-1)</f>
        <v>15118</v>
      </c>
      <c r="F2" s="45"/>
      <c r="G2" s="694">
        <v>1</v>
      </c>
      <c r="H2" s="695">
        <v>150.02000000000001</v>
      </c>
      <c r="I2" s="696">
        <f>(H2+(H2*$I$1))</f>
        <v>156.02080000000001</v>
      </c>
      <c r="J2" s="696">
        <f t="shared" ref="J2:J7" si="0">(H2+(H2*$J$1))</f>
        <v>162.02160000000001</v>
      </c>
      <c r="K2" s="696">
        <f>(H2+(H2*$K$1))</f>
        <v>168.0224</v>
      </c>
      <c r="L2" s="696">
        <f>(H2+(H2*$L$1))</f>
        <v>174.0232</v>
      </c>
      <c r="M2" s="696">
        <f>(H2+(H2*$M$1))</f>
        <v>186.02480000000003</v>
      </c>
      <c r="N2" s="246"/>
      <c r="O2" s="243" t="s">
        <v>289</v>
      </c>
      <c r="P2" s="685">
        <v>1</v>
      </c>
      <c r="Q2" s="700" t="s">
        <v>271</v>
      </c>
      <c r="R2" s="667">
        <v>4</v>
      </c>
      <c r="S2" s="667">
        <v>15118</v>
      </c>
      <c r="T2" s="699">
        <v>2</v>
      </c>
      <c r="U2" s="700" t="s">
        <v>271</v>
      </c>
      <c r="V2" s="667">
        <v>5039.3333333333403</v>
      </c>
      <c r="W2" s="667">
        <v>5038.3333333333403</v>
      </c>
      <c r="X2" s="699">
        <v>5037.3333333333403</v>
      </c>
      <c r="Y2" s="700" t="s">
        <v>271</v>
      </c>
      <c r="Z2" s="667">
        <v>5036.3333333333403</v>
      </c>
      <c r="AA2" s="667">
        <v>5035.3333333333403</v>
      </c>
      <c r="AB2" s="699">
        <v>5034.3333333333403</v>
      </c>
      <c r="AC2" s="700" t="s">
        <v>271</v>
      </c>
      <c r="AD2" s="667">
        <v>5033.3333333333403</v>
      </c>
      <c r="AE2" s="667">
        <v>5032.3333333333403</v>
      </c>
      <c r="AF2" s="699">
        <v>5031.3333333333403</v>
      </c>
      <c r="AG2" s="700" t="s">
        <v>271</v>
      </c>
      <c r="AH2" s="667">
        <v>5030.3333333333503</v>
      </c>
      <c r="AI2" s="667">
        <v>5029.3333333333503</v>
      </c>
      <c r="AJ2" s="699">
        <v>5028.3333333333503</v>
      </c>
      <c r="AK2" s="700" t="s">
        <v>271</v>
      </c>
      <c r="AL2" s="667">
        <v>5027.3333333333503</v>
      </c>
      <c r="AN2" s="45" t="s">
        <v>294</v>
      </c>
      <c r="AO2" s="298" t="s">
        <v>99</v>
      </c>
      <c r="AP2" s="584">
        <v>56</v>
      </c>
      <c r="AQ2" s="582">
        <v>112</v>
      </c>
      <c r="AR2" s="582">
        <v>4000</v>
      </c>
      <c r="AS2" s="169">
        <f>(AQ2*AR2/1000)</f>
        <v>448</v>
      </c>
      <c r="AT2" s="581"/>
      <c r="AU2" s="298"/>
      <c r="AV2" s="298"/>
      <c r="AW2" s="298"/>
      <c r="AX2" s="298"/>
      <c r="AY2" s="298"/>
      <c r="AZ2" s="298"/>
    </row>
    <row r="3" spans="1:52" ht="17.25" customHeight="1">
      <c r="A3" s="40" t="s">
        <v>311</v>
      </c>
      <c r="B3" s="267" t="str">
        <f>IFERROR(INDEX($Q$1:$BH$100,ROW(A3),MATCH(Data_Tech!$AU$7,$Q$1:$AN$1,)+COLUMN(A2)-1),"")</f>
        <v>Аксенов Александр Юрьевич</v>
      </c>
      <c r="C3" s="3" t="s">
        <v>3</v>
      </c>
      <c r="D3" s="222">
        <f>INDEX($Q$1:$BH$100,ROW(B3),MATCH(Data_Tech!$AU$7,$Q$1:$AN$1,)+COLUMN(B3)-1)</f>
        <v>3</v>
      </c>
      <c r="E3" s="223">
        <f>INDEX($Q$1:$BH$100,ROW(C3),MATCH(Data_Tech!$AU$7,$Q$1:$AN$1,)+COLUMN(C3)-1)</f>
        <v>15799</v>
      </c>
      <c r="F3" s="45"/>
      <c r="G3" s="694">
        <v>2</v>
      </c>
      <c r="H3" s="695">
        <v>163.52000000000001</v>
      </c>
      <c r="I3" s="696">
        <f t="shared" ref="I3:I7" si="1">(H3+(H3*$I$1))</f>
        <v>170.0608</v>
      </c>
      <c r="J3" s="696">
        <f t="shared" si="0"/>
        <v>176.60160000000002</v>
      </c>
      <c r="K3" s="696">
        <f t="shared" ref="K3:K6" si="2">(H3+(H3*$K$1))</f>
        <v>183.14240000000001</v>
      </c>
      <c r="L3" s="696">
        <f t="shared" ref="L3:L7" si="3">(H3+(H3*$L$1))</f>
        <v>189.6832</v>
      </c>
      <c r="M3" s="696">
        <f t="shared" ref="M3:M7" si="4">(H3+(H3*$M$1))</f>
        <v>202.76480000000001</v>
      </c>
      <c r="N3" s="246"/>
      <c r="O3" s="243" t="s">
        <v>294</v>
      </c>
      <c r="P3" s="685">
        <v>2</v>
      </c>
      <c r="Q3" s="700" t="s">
        <v>282</v>
      </c>
      <c r="R3" s="667">
        <v>3</v>
      </c>
      <c r="S3" s="667">
        <v>15799</v>
      </c>
      <c r="T3" s="699"/>
      <c r="U3" s="700" t="s">
        <v>282</v>
      </c>
      <c r="V3" s="667">
        <v>31595</v>
      </c>
      <c r="W3" s="667">
        <v>47391</v>
      </c>
      <c r="X3" s="699"/>
      <c r="Y3" s="700" t="s">
        <v>282</v>
      </c>
      <c r="Z3" s="667">
        <v>63187</v>
      </c>
      <c r="AA3" s="667">
        <v>78983</v>
      </c>
      <c r="AB3" s="699"/>
      <c r="AC3" s="700" t="s">
        <v>282</v>
      </c>
      <c r="AD3" s="667">
        <v>94779</v>
      </c>
      <c r="AE3" s="667">
        <v>110575</v>
      </c>
      <c r="AF3" s="699"/>
      <c r="AG3" s="700" t="s">
        <v>282</v>
      </c>
      <c r="AH3" s="667">
        <v>126371</v>
      </c>
      <c r="AI3" s="667">
        <v>142167</v>
      </c>
      <c r="AJ3" s="699"/>
      <c r="AK3" s="700" t="s">
        <v>282</v>
      </c>
      <c r="AL3" s="667">
        <v>157963</v>
      </c>
      <c r="AN3" s="45" t="s">
        <v>84</v>
      </c>
      <c r="AO3" s="298" t="s">
        <v>100</v>
      </c>
      <c r="AP3" s="585">
        <v>57</v>
      </c>
      <c r="AQ3" s="582">
        <v>112</v>
      </c>
      <c r="AR3" s="582">
        <v>10000</v>
      </c>
      <c r="AS3" s="169">
        <f t="shared" ref="AS3:AS8" si="5">(AQ3*AR3/1000)</f>
        <v>1120</v>
      </c>
      <c r="AT3" s="581"/>
      <c r="AU3" s="298"/>
      <c r="AV3" s="298"/>
      <c r="AW3" s="298"/>
      <c r="AX3" s="298"/>
      <c r="AY3" s="298"/>
      <c r="AZ3" s="298"/>
    </row>
    <row r="4" spans="1:52" ht="17.25" customHeight="1">
      <c r="A4" s="40" t="s">
        <v>312</v>
      </c>
      <c r="B4" s="267" t="str">
        <f>IFERROR(INDEX($Q$1:$BH$100,ROW(A4),MATCH(Data_Tech!$AU$7,$Q$1:$AN$1,)+COLUMN(A3)-1),"")</f>
        <v>Аксенова Диана Владимировна</v>
      </c>
      <c r="C4" s="3" t="s">
        <v>6</v>
      </c>
      <c r="D4" s="222">
        <f>INDEX($Q$1:$BH$100,ROW(B4),MATCH(Data_Tech!$AU$7,$Q$1:$AN$1,)+COLUMN(B4)-1)</f>
        <v>4</v>
      </c>
      <c r="E4" s="223">
        <f>INDEX($Q$1:$BH$100,ROW(C4),MATCH(Data_Tech!$AU$7,$Q$1:$AN$1,)+COLUMN(C4)-1)</f>
        <v>15791</v>
      </c>
      <c r="F4" s="45"/>
      <c r="G4" s="694">
        <v>3</v>
      </c>
      <c r="H4" s="695">
        <v>181.53</v>
      </c>
      <c r="I4" s="696">
        <f t="shared" si="1"/>
        <v>188.7912</v>
      </c>
      <c r="J4" s="696">
        <f t="shared" si="0"/>
        <v>196.05240000000001</v>
      </c>
      <c r="K4" s="696">
        <f t="shared" si="2"/>
        <v>203.31360000000001</v>
      </c>
      <c r="L4" s="696">
        <f t="shared" si="3"/>
        <v>210.57480000000001</v>
      </c>
      <c r="M4" s="696">
        <f t="shared" si="4"/>
        <v>225.09719999999999</v>
      </c>
      <c r="N4" s="246"/>
      <c r="O4" s="244" t="s">
        <v>84</v>
      </c>
      <c r="P4" s="685">
        <v>3</v>
      </c>
      <c r="Q4" s="700" t="s">
        <v>270</v>
      </c>
      <c r="R4" s="667">
        <v>4</v>
      </c>
      <c r="S4" s="667">
        <v>15791</v>
      </c>
      <c r="T4" s="699">
        <v>1</v>
      </c>
      <c r="U4" s="700" t="s">
        <v>270</v>
      </c>
      <c r="V4" s="667">
        <v>5262.3333333333303</v>
      </c>
      <c r="W4" s="667">
        <v>5260.8333333333403</v>
      </c>
      <c r="X4" s="699">
        <v>5259.3333333333403</v>
      </c>
      <c r="Y4" s="700" t="s">
        <v>270</v>
      </c>
      <c r="Z4" s="667">
        <v>5257.8333333333403</v>
      </c>
      <c r="AA4" s="667">
        <v>5256.3333333333403</v>
      </c>
      <c r="AB4" s="699">
        <v>5254.8333333333403</v>
      </c>
      <c r="AC4" s="700" t="s">
        <v>270</v>
      </c>
      <c r="AD4" s="667">
        <v>5253.3333333333403</v>
      </c>
      <c r="AE4" s="667">
        <v>5251.8333333333403</v>
      </c>
      <c r="AF4" s="699">
        <v>5250.3333333333403</v>
      </c>
      <c r="AG4" s="700" t="s">
        <v>270</v>
      </c>
      <c r="AH4" s="667">
        <v>5248.8333333333403</v>
      </c>
      <c r="AI4" s="667">
        <v>5247.3333333333503</v>
      </c>
      <c r="AJ4" s="699">
        <v>5245.8333333333503</v>
      </c>
      <c r="AK4" s="700" t="s">
        <v>270</v>
      </c>
      <c r="AL4" s="667">
        <v>5244.3333333333503</v>
      </c>
      <c r="AN4" s="45" t="s">
        <v>90</v>
      </c>
      <c r="AO4" s="298" t="s">
        <v>101</v>
      </c>
      <c r="AP4" s="585">
        <v>85</v>
      </c>
      <c r="AQ4" s="582">
        <v>115</v>
      </c>
      <c r="AR4" s="582">
        <v>11000</v>
      </c>
      <c r="AS4" s="169">
        <f t="shared" si="5"/>
        <v>1265</v>
      </c>
      <c r="AT4" s="581"/>
      <c r="AU4" s="298"/>
      <c r="AV4" s="298"/>
      <c r="AW4" s="298"/>
      <c r="AX4" s="298"/>
      <c r="AY4" s="298"/>
      <c r="AZ4" s="298"/>
    </row>
    <row r="5" spans="1:52" ht="17.25" customHeight="1">
      <c r="A5" s="40" t="s">
        <v>313</v>
      </c>
      <c r="B5" s="267" t="str">
        <f>IFERROR(INDEX($Q$1:$BH$100,ROW(A5),MATCH(Data_Tech!$AU$7,$Q$1:$AN$1,)+COLUMN(A4)-1),"")</f>
        <v>Александрович Екатерина Сергеевна</v>
      </c>
      <c r="C5" s="209" t="s">
        <v>5</v>
      </c>
      <c r="D5" s="222">
        <f>INDEX($Q$1:$BH$100,ROW(B5),MATCH(Data_Tech!$AU$7,$Q$1:$AN$1,)+COLUMN(B5)-1)</f>
        <v>3</v>
      </c>
      <c r="E5" s="223">
        <f>INDEX($Q$1:$BH$100,ROW(C5),MATCH(Data_Tech!$AU$7,$Q$1:$AN$1,)+COLUMN(C5)-1)</f>
        <v>15816</v>
      </c>
      <c r="F5" s="45"/>
      <c r="G5" s="694">
        <v>4</v>
      </c>
      <c r="H5" s="695">
        <v>199.53</v>
      </c>
      <c r="I5" s="696">
        <f t="shared" si="1"/>
        <v>207.5112</v>
      </c>
      <c r="J5" s="696">
        <f t="shared" si="0"/>
        <v>215.4924</v>
      </c>
      <c r="K5" s="696">
        <f t="shared" si="2"/>
        <v>223.4736</v>
      </c>
      <c r="L5" s="696">
        <f t="shared" si="3"/>
        <v>231.45480000000001</v>
      </c>
      <c r="M5" s="696">
        <f t="shared" si="4"/>
        <v>247.41720000000001</v>
      </c>
      <c r="N5" s="246"/>
      <c r="O5" s="244" t="s">
        <v>90</v>
      </c>
      <c r="P5" s="685">
        <v>4</v>
      </c>
      <c r="Q5" s="700" t="s">
        <v>290</v>
      </c>
      <c r="R5" s="667">
        <v>3</v>
      </c>
      <c r="S5" s="667">
        <v>15816</v>
      </c>
      <c r="T5" s="699"/>
      <c r="U5" s="700" t="s">
        <v>290</v>
      </c>
      <c r="V5" s="667">
        <v>31629</v>
      </c>
      <c r="W5" s="667">
        <v>47442</v>
      </c>
      <c r="X5" s="699"/>
      <c r="Y5" s="700" t="s">
        <v>290</v>
      </c>
      <c r="Z5" s="667">
        <v>63255</v>
      </c>
      <c r="AA5" s="667">
        <v>79068</v>
      </c>
      <c r="AB5" s="699"/>
      <c r="AC5" s="700" t="s">
        <v>290</v>
      </c>
      <c r="AD5" s="667">
        <v>94881</v>
      </c>
      <c r="AE5" s="667">
        <v>110694</v>
      </c>
      <c r="AF5" s="699"/>
      <c r="AG5" s="700" t="s">
        <v>290</v>
      </c>
      <c r="AH5" s="667">
        <v>126507</v>
      </c>
      <c r="AI5" s="667">
        <v>142320</v>
      </c>
      <c r="AJ5" s="699"/>
      <c r="AK5" s="700" t="s">
        <v>290</v>
      </c>
      <c r="AL5" s="667">
        <v>158133</v>
      </c>
      <c r="AN5" s="45" t="s">
        <v>91</v>
      </c>
      <c r="AO5" s="298" t="s">
        <v>102</v>
      </c>
      <c r="AP5" s="584">
        <v>60</v>
      </c>
      <c r="AQ5" s="582">
        <v>74</v>
      </c>
      <c r="AR5" s="582">
        <v>6400</v>
      </c>
      <c r="AS5" s="169">
        <f t="shared" si="5"/>
        <v>473.6</v>
      </c>
      <c r="AT5" s="581"/>
      <c r="AU5" s="298"/>
      <c r="AV5" s="298"/>
      <c r="AW5" s="298"/>
      <c r="AX5" s="298"/>
      <c r="AY5" s="298"/>
      <c r="AZ5" s="298"/>
    </row>
    <row r="6" spans="1:52" ht="17.25" customHeight="1">
      <c r="A6" s="40" t="s">
        <v>314</v>
      </c>
      <c r="B6" s="267" t="str">
        <f>IFERROR(INDEX($Q$1:$BH$100,ROW(A6),MATCH(Data_Tech!$AU$7,$Q$1:$AN$1,)+COLUMN(A5)-1),"")</f>
        <v>Алиева Диана Арифовна</v>
      </c>
      <c r="C6" s="3" t="s">
        <v>31</v>
      </c>
      <c r="D6" s="222">
        <f>INDEX($Q$1:$BH$100,ROW(B6),MATCH(Data_Tech!$AU$7,$Q$1:$AN$1,)+COLUMN(B6)-1)</f>
        <v>3</v>
      </c>
      <c r="E6" s="223">
        <f>INDEX($Q$1:$BH$100,ROW(C6),MATCH(Data_Tech!$AU$7,$Q$1:$AN$1,)+COLUMN(C6)-1)</f>
        <v>16475</v>
      </c>
      <c r="F6" s="45"/>
      <c r="G6" s="694">
        <v>5</v>
      </c>
      <c r="H6" s="695">
        <v>225.04</v>
      </c>
      <c r="I6" s="696">
        <f t="shared" si="1"/>
        <v>234.04159999999999</v>
      </c>
      <c r="J6" s="696">
        <f t="shared" si="0"/>
        <v>243.04319999999998</v>
      </c>
      <c r="K6" s="696">
        <f t="shared" si="2"/>
        <v>252.04479999999998</v>
      </c>
      <c r="L6" s="696">
        <f t="shared" si="3"/>
        <v>261.04640000000001</v>
      </c>
      <c r="M6" s="696">
        <f t="shared" si="4"/>
        <v>279.0496</v>
      </c>
      <c r="N6" s="246"/>
      <c r="O6" s="243" t="s">
        <v>91</v>
      </c>
      <c r="P6" s="685">
        <v>5</v>
      </c>
      <c r="Q6" s="700" t="s">
        <v>283</v>
      </c>
      <c r="R6" s="667">
        <v>3</v>
      </c>
      <c r="S6" s="667">
        <v>16475</v>
      </c>
      <c r="T6" s="699"/>
      <c r="U6" s="700" t="s">
        <v>283</v>
      </c>
      <c r="V6" s="667">
        <v>5491.00000000001</v>
      </c>
      <c r="W6" s="667">
        <v>5490.00000000001</v>
      </c>
      <c r="X6" s="699">
        <v>5489.00000000001</v>
      </c>
      <c r="Y6" s="700" t="s">
        <v>283</v>
      </c>
      <c r="Z6" s="667">
        <v>5488.00000000001</v>
      </c>
      <c r="AA6" s="667">
        <v>5487.00000000002</v>
      </c>
      <c r="AB6" s="699">
        <v>5486.00000000002</v>
      </c>
      <c r="AC6" s="700" t="s">
        <v>283</v>
      </c>
      <c r="AD6" s="667">
        <v>5485.00000000002</v>
      </c>
      <c r="AE6" s="667">
        <v>5484.00000000002</v>
      </c>
      <c r="AF6" s="699">
        <v>5483.00000000002</v>
      </c>
      <c r="AG6" s="700" t="s">
        <v>283</v>
      </c>
      <c r="AH6" s="667">
        <v>5482.00000000003</v>
      </c>
      <c r="AI6" s="667">
        <v>5481.00000000003</v>
      </c>
      <c r="AJ6" s="699">
        <v>5480.00000000003</v>
      </c>
      <c r="AK6" s="700" t="s">
        <v>283</v>
      </c>
      <c r="AL6" s="667">
        <v>5479.00000000003</v>
      </c>
      <c r="AP6" s="584">
        <v>757</v>
      </c>
      <c r="AQ6" s="582">
        <v>74</v>
      </c>
      <c r="AR6" s="582">
        <v>10200</v>
      </c>
      <c r="AS6" s="169">
        <f t="shared" si="5"/>
        <v>754.8</v>
      </c>
    </row>
    <row r="7" spans="1:52" ht="17.25" customHeight="1">
      <c r="A7" s="40" t="s">
        <v>315</v>
      </c>
      <c r="B7" s="267" t="str">
        <f>IFERROR(INDEX($Q$1:$BH$100,ROW(A7),MATCH(Data_Tech!$AU$7,$Q$1:$AN$1,)+COLUMN(A6)-1),"")</f>
        <v>Аполосова Ольга Николаевна</v>
      </c>
      <c r="C7" s="209" t="s">
        <v>32</v>
      </c>
      <c r="D7" s="222">
        <f>INDEX($Q$1:$BH$100,ROW(B7),MATCH(Data_Tech!$AU$7,$Q$1:$AN$1,)+COLUMN(B7)-1)</f>
        <v>3</v>
      </c>
      <c r="E7" s="223">
        <f>INDEX($Q$1:$BH$100,ROW(C7),MATCH(Data_Tech!$AU$7,$Q$1:$AN$1,)+COLUMN(C7)-1)</f>
        <v>17290</v>
      </c>
      <c r="F7" s="45"/>
      <c r="G7" s="694">
        <v>6</v>
      </c>
      <c r="H7" s="695">
        <v>256.52999999999997</v>
      </c>
      <c r="I7" s="696">
        <f t="shared" si="1"/>
        <v>266.79119999999995</v>
      </c>
      <c r="J7" s="696">
        <f t="shared" si="0"/>
        <v>277.05239999999998</v>
      </c>
      <c r="K7" s="696">
        <f>(H7+(H7*$K$1))</f>
        <v>287.31359999999995</v>
      </c>
      <c r="L7" s="696">
        <f t="shared" si="3"/>
        <v>297.57479999999998</v>
      </c>
      <c r="M7" s="696">
        <f t="shared" si="4"/>
        <v>318.09719999999999</v>
      </c>
      <c r="N7" s="246"/>
      <c r="P7" s="685">
        <v>6</v>
      </c>
      <c r="Q7" s="668" t="s">
        <v>347</v>
      </c>
      <c r="R7" s="667">
        <v>3</v>
      </c>
      <c r="S7" s="667">
        <v>17290</v>
      </c>
      <c r="T7" s="699">
        <v>1</v>
      </c>
      <c r="U7" s="668" t="s">
        <v>347</v>
      </c>
      <c r="V7" s="667">
        <v>5762.6666666666697</v>
      </c>
      <c r="W7" s="668">
        <v>5761.6666666666697</v>
      </c>
      <c r="X7" s="699">
        <v>5760.6666666666697</v>
      </c>
      <c r="Y7" s="668" t="s">
        <v>347</v>
      </c>
      <c r="Z7" s="667">
        <v>5759.6666666666697</v>
      </c>
      <c r="AA7" s="668">
        <v>5758.6666666666697</v>
      </c>
      <c r="AB7" s="699">
        <v>5757.6666666666797</v>
      </c>
      <c r="AC7" s="668" t="s">
        <v>347</v>
      </c>
      <c r="AD7" s="667">
        <v>5756.6666666666797</v>
      </c>
      <c r="AE7" s="668">
        <v>5755.6666666666797</v>
      </c>
      <c r="AF7" s="699">
        <v>5754.6666666666797</v>
      </c>
      <c r="AG7" s="668" t="s">
        <v>347</v>
      </c>
      <c r="AH7" s="667">
        <v>5753.6666666666797</v>
      </c>
      <c r="AI7" s="668">
        <v>5752.6666666666797</v>
      </c>
      <c r="AJ7" s="699">
        <v>5751.6666666666797</v>
      </c>
      <c r="AK7" s="668" t="s">
        <v>347</v>
      </c>
      <c r="AL7" s="667">
        <v>5750.6666666666797</v>
      </c>
      <c r="AP7" s="584">
        <v>6001</v>
      </c>
      <c r="AQ7" s="582">
        <v>56</v>
      </c>
      <c r="AR7" s="582">
        <v>6400</v>
      </c>
      <c r="AS7" s="169">
        <f t="shared" si="5"/>
        <v>358.4</v>
      </c>
    </row>
    <row r="8" spans="1:52" ht="17.25" customHeight="1">
      <c r="A8" s="40" t="s">
        <v>316</v>
      </c>
      <c r="B8" s="267" t="str">
        <f>IFERROR(INDEX($Q$1:$BH$100,ROW(A8),MATCH(Data_Tech!$AU$7,$Q$1:$AN$1,)+COLUMN(A7)-1),"")</f>
        <v>Аполосова Юлиана Александровна</v>
      </c>
      <c r="C8" s="3" t="s">
        <v>67</v>
      </c>
      <c r="D8" s="222">
        <f>INDEX($Q$1:$BH$100,ROW(B8),MATCH(Data_Tech!$AU$7,$Q$1:$AN$1,)+COLUMN(B8)-1)</f>
        <v>3</v>
      </c>
      <c r="E8" s="223">
        <f>INDEX($Q$1:$BH$100,ROW(C8),MATCH(Data_Tech!$AU$7,$Q$1:$AN$1,)+COLUMN(C8)-1)</f>
        <v>17296</v>
      </c>
      <c r="F8" s="45"/>
      <c r="P8" s="685">
        <v>7</v>
      </c>
      <c r="Q8" s="668" t="s">
        <v>349</v>
      </c>
      <c r="R8" s="667">
        <v>3</v>
      </c>
      <c r="S8" s="667">
        <v>17296</v>
      </c>
      <c r="T8" s="699">
        <v>1</v>
      </c>
      <c r="U8" s="700" t="s">
        <v>320</v>
      </c>
      <c r="V8" s="667">
        <v>5614.6666666666697</v>
      </c>
      <c r="W8" s="667">
        <v>5614.1666666666697</v>
      </c>
      <c r="X8" s="699">
        <v>5613.6666666666697</v>
      </c>
      <c r="Y8" s="700" t="s">
        <v>320</v>
      </c>
      <c r="Z8" s="667">
        <v>5613.1666666666697</v>
      </c>
      <c r="AA8" s="667">
        <v>5612.6666666666697</v>
      </c>
      <c r="AB8" s="699">
        <v>5612.1666666666697</v>
      </c>
      <c r="AC8" s="700" t="s">
        <v>320</v>
      </c>
      <c r="AD8" s="667">
        <v>5611.6666666666697</v>
      </c>
      <c r="AE8" s="667">
        <v>5611.1666666666697</v>
      </c>
      <c r="AF8" s="699">
        <v>5610.6666666666697</v>
      </c>
      <c r="AG8" s="700" t="s">
        <v>320</v>
      </c>
      <c r="AH8" s="667">
        <v>5610.1666666666697</v>
      </c>
      <c r="AI8" s="667">
        <v>5609.6666666666697</v>
      </c>
      <c r="AJ8" s="699">
        <v>5609.1666666666697</v>
      </c>
      <c r="AK8" s="700" t="s">
        <v>320</v>
      </c>
      <c r="AL8" s="667">
        <v>5608.6666666666697</v>
      </c>
      <c r="AP8" s="585">
        <v>185</v>
      </c>
      <c r="AQ8" s="582">
        <v>112</v>
      </c>
      <c r="AR8" s="582">
        <v>4800</v>
      </c>
      <c r="AS8" s="169">
        <f t="shared" si="5"/>
        <v>537.6</v>
      </c>
    </row>
    <row r="9" spans="1:52" ht="17.25" customHeight="1">
      <c r="A9" s="40" t="s">
        <v>317</v>
      </c>
      <c r="B9" s="267" t="str">
        <f>IFERROR(INDEX($Q$1:$BH$100,ROW(A9),MATCH(Data_Tech!$AU$7,$Q$1:$AN$1,)+COLUMN(A8)-1),"")</f>
        <v>Бадьялова Елена Сергеевна</v>
      </c>
      <c r="C9" s="3" t="s">
        <v>71</v>
      </c>
      <c r="D9" s="222">
        <f>INDEX($Q$1:$BH$100,ROW(B9),MATCH(Data_Tech!$AU$7,$Q$1:$AN$1,)+COLUMN(B9)-1)</f>
        <v>3</v>
      </c>
      <c r="E9" s="223">
        <f>INDEX($Q$1:$BH$100,ROW(C9),MATCH(Data_Tech!$AU$7,$Q$1:$AN$1,)+COLUMN(C9)-1)</f>
        <v>16809</v>
      </c>
      <c r="F9" s="45"/>
      <c r="H9" s="45"/>
      <c r="I9" s="109"/>
      <c r="J9" s="109"/>
      <c r="K9" s="109"/>
      <c r="L9" s="109"/>
      <c r="M9" s="109"/>
      <c r="N9" s="109"/>
      <c r="P9" s="685">
        <v>8</v>
      </c>
      <c r="Q9" s="700" t="s">
        <v>274</v>
      </c>
      <c r="R9" s="667">
        <v>3</v>
      </c>
      <c r="S9" s="667">
        <v>16809</v>
      </c>
      <c r="T9" s="699"/>
      <c r="U9" s="701" t="s">
        <v>321</v>
      </c>
      <c r="V9" s="667">
        <v>5759.6666666666697</v>
      </c>
      <c r="W9" s="667">
        <v>5759.1666666666697</v>
      </c>
      <c r="X9" s="699">
        <v>5758.6666666666697</v>
      </c>
      <c r="Y9" s="701" t="s">
        <v>321</v>
      </c>
      <c r="Z9" s="667">
        <v>5758.1666666666697</v>
      </c>
      <c r="AA9" s="667">
        <v>5757.6666666666697</v>
      </c>
      <c r="AB9" s="699">
        <v>5757.1666666666797</v>
      </c>
      <c r="AC9" s="701" t="s">
        <v>321</v>
      </c>
      <c r="AD9" s="667">
        <v>5756.6666666666797</v>
      </c>
      <c r="AE9" s="667">
        <v>5756.1666666666797</v>
      </c>
      <c r="AF9" s="699">
        <v>5755.6666666666797</v>
      </c>
      <c r="AG9" s="701" t="s">
        <v>321</v>
      </c>
      <c r="AH9" s="667">
        <v>5755.1666666666797</v>
      </c>
      <c r="AI9" s="667">
        <v>5754.6666666666797</v>
      </c>
      <c r="AJ9" s="699">
        <v>5754.1666666666797</v>
      </c>
      <c r="AK9" s="701" t="s">
        <v>321</v>
      </c>
      <c r="AL9" s="667">
        <v>5753.6666666666797</v>
      </c>
    </row>
    <row r="10" spans="1:52" ht="17.25" customHeight="1">
      <c r="A10" s="40" t="s">
        <v>318</v>
      </c>
      <c r="B10" s="267" t="str">
        <f>IFERROR(INDEX($Q$1:$BH$100,ROW(A10),MATCH(Data_Tech!$AU$7,$Q$1:$AN$1,)+COLUMN(A9)-1),"")</f>
        <v>Бекетова Надежда Ильинична</v>
      </c>
      <c r="C10" s="41"/>
      <c r="D10" s="222">
        <f>INDEX($Q$1:$BH$100,ROW(B10),MATCH(Data_Tech!$AU$7,$Q$1:$AN$1,)+COLUMN(B10)-1)</f>
        <v>3</v>
      </c>
      <c r="E10" s="223">
        <f>INDEX($Q$1:$BH$100,ROW(C10),MATCH(Data_Tech!$AU$7,$Q$1:$AN$1,)+COLUMN(C10)-1)</f>
        <v>17169</v>
      </c>
      <c r="F10" s="45"/>
      <c r="H10" s="45"/>
      <c r="I10" s="109" t="s">
        <v>387</v>
      </c>
      <c r="J10" s="109"/>
      <c r="K10" s="109"/>
      <c r="L10" s="109"/>
      <c r="M10" s="109"/>
      <c r="N10" s="109"/>
      <c r="P10" s="685">
        <v>9</v>
      </c>
      <c r="Q10" s="700" t="s">
        <v>304</v>
      </c>
      <c r="R10" s="667">
        <v>3</v>
      </c>
      <c r="S10" s="667">
        <v>17169</v>
      </c>
      <c r="T10" s="699">
        <v>2</v>
      </c>
      <c r="U10" s="700" t="s">
        <v>274</v>
      </c>
      <c r="V10" s="667">
        <v>33615</v>
      </c>
      <c r="W10" s="667">
        <v>50421</v>
      </c>
      <c r="X10" s="699"/>
      <c r="Y10" s="700" t="s">
        <v>274</v>
      </c>
      <c r="Z10" s="667">
        <v>67227</v>
      </c>
      <c r="AA10" s="667">
        <v>84033</v>
      </c>
      <c r="AB10" s="699"/>
      <c r="AC10" s="700" t="s">
        <v>274</v>
      </c>
      <c r="AD10" s="667">
        <v>100839</v>
      </c>
      <c r="AE10" s="667">
        <v>117645</v>
      </c>
      <c r="AF10" s="699"/>
      <c r="AG10" s="700" t="s">
        <v>274</v>
      </c>
      <c r="AH10" s="667">
        <v>134451</v>
      </c>
      <c r="AI10" s="667">
        <v>151257</v>
      </c>
      <c r="AJ10" s="699"/>
      <c r="AK10" s="700" t="s">
        <v>274</v>
      </c>
      <c r="AL10" s="667">
        <v>168063</v>
      </c>
    </row>
    <row r="11" spans="1:52" ht="17.25" customHeight="1">
      <c r="A11" s="40" t="s">
        <v>319</v>
      </c>
      <c r="B11" s="267" t="str">
        <f>IFERROR(INDEX($Q$1:$BH$100,ROW(A11),MATCH(Data_Tech!$AU$7,$Q$1:$AN$1,)+COLUMN(A10)-1),"")</f>
        <v>Бородицкая Ирина Борисовна</v>
      </c>
      <c r="C11" s="41"/>
      <c r="D11" s="222">
        <f>INDEX($Q$1:$BH$100,ROW(B11),MATCH(Data_Tech!$AU$7,$Q$1:$AN$1,)+COLUMN(B11)-1)</f>
        <v>3</v>
      </c>
      <c r="E11" s="223">
        <f>INDEX($Q$1:$BH$100,ROW(C11),MATCH(Data_Tech!$AU$7,$Q$1:$AN$1,)+COLUMN(C11)-1)</f>
        <v>16250</v>
      </c>
      <c r="F11" s="45"/>
      <c r="J11" s="110"/>
      <c r="K11" s="111"/>
      <c r="L11" s="591"/>
      <c r="M11" s="109"/>
      <c r="N11" s="109"/>
      <c r="P11" s="685">
        <v>10</v>
      </c>
      <c r="Q11" s="700" t="s">
        <v>251</v>
      </c>
      <c r="R11" s="667">
        <v>3</v>
      </c>
      <c r="S11" s="667">
        <v>16250</v>
      </c>
      <c r="T11" s="699">
        <v>3</v>
      </c>
      <c r="U11" s="700" t="s">
        <v>304</v>
      </c>
      <c r="V11" s="667">
        <v>5723.6666666666597</v>
      </c>
      <c r="W11" s="667">
        <v>5723.1666666666597</v>
      </c>
      <c r="X11" s="699">
        <v>5722.6666666666597</v>
      </c>
      <c r="Y11" s="700" t="s">
        <v>304</v>
      </c>
      <c r="Z11" s="667">
        <v>5722.1666666666597</v>
      </c>
      <c r="AA11" s="667">
        <v>5721.6666666666597</v>
      </c>
      <c r="AB11" s="699">
        <v>5721.1666666666597</v>
      </c>
      <c r="AC11" s="700" t="s">
        <v>304</v>
      </c>
      <c r="AD11" s="667">
        <v>5720.6666666666597</v>
      </c>
      <c r="AE11" s="667">
        <v>5720.1666666666497</v>
      </c>
      <c r="AF11" s="699">
        <v>5719.6666666666497</v>
      </c>
      <c r="AG11" s="700" t="s">
        <v>304</v>
      </c>
      <c r="AH11" s="667">
        <v>5719.1666666666497</v>
      </c>
      <c r="AI11" s="667">
        <v>5718.6666666666497</v>
      </c>
      <c r="AJ11" s="699">
        <v>5718.1666666666497</v>
      </c>
      <c r="AK11" s="700" t="s">
        <v>304</v>
      </c>
      <c r="AL11" s="667">
        <v>5717.6666666666497</v>
      </c>
    </row>
    <row r="12" spans="1:52" ht="17.25" customHeight="1">
      <c r="A12" s="40"/>
      <c r="B12" s="267" t="str">
        <f>IFERROR(INDEX($Q$1:$BH$100,ROW(A12),MATCH(Data_Tech!$AU$7,$Q$1:$AN$1,)+COLUMN(A11)-1),"")</f>
        <v>Бунчук Виктория Ивановна</v>
      </c>
      <c r="C12" s="224"/>
      <c r="D12" s="222">
        <f>INDEX($Q$1:$BH$100,ROW(B12),MATCH(Data_Tech!$AU$7,$Q$1:$AN$1,)+COLUMN(B12)-1)</f>
        <v>3</v>
      </c>
      <c r="E12" s="223">
        <f>INDEX($Q$1:$BH$100,ROW(C12),MATCH(Data_Tech!$AU$7,$Q$1:$AN$1,)+COLUMN(C12)-1)</f>
        <v>16960</v>
      </c>
      <c r="F12" s="45"/>
      <c r="J12" s="110"/>
      <c r="K12" s="111"/>
      <c r="L12" s="109"/>
      <c r="M12" s="109"/>
      <c r="N12" s="109"/>
      <c r="P12" s="685">
        <v>11</v>
      </c>
      <c r="Q12" s="700" t="s">
        <v>275</v>
      </c>
      <c r="R12" s="667">
        <v>3</v>
      </c>
      <c r="S12" s="667">
        <v>16960</v>
      </c>
      <c r="T12" s="699"/>
      <c r="U12" s="700" t="s">
        <v>251</v>
      </c>
      <c r="V12" s="667">
        <v>5418.6666666666697</v>
      </c>
      <c r="W12" s="667">
        <v>5418.6666666666697</v>
      </c>
      <c r="X12" s="699">
        <v>5418.6666666666697</v>
      </c>
      <c r="Y12" s="700" t="s">
        <v>251</v>
      </c>
      <c r="Z12" s="667">
        <v>5418.6666666666697</v>
      </c>
      <c r="AA12" s="667">
        <v>5418.6666666666697</v>
      </c>
      <c r="AB12" s="699">
        <v>5418.6666666666797</v>
      </c>
      <c r="AC12" s="700" t="s">
        <v>251</v>
      </c>
      <c r="AD12" s="667">
        <v>5418.6666666666797</v>
      </c>
      <c r="AE12" s="667">
        <v>5418.6666666666797</v>
      </c>
      <c r="AF12" s="699">
        <v>5418.6666666666797</v>
      </c>
      <c r="AG12" s="700" t="s">
        <v>251</v>
      </c>
      <c r="AH12" s="667">
        <v>5418.6666666666797</v>
      </c>
      <c r="AI12" s="667">
        <v>5418.6666666666797</v>
      </c>
      <c r="AJ12" s="699">
        <v>5418.6666666666797</v>
      </c>
      <c r="AK12" s="700" t="s">
        <v>251</v>
      </c>
      <c r="AL12" s="667">
        <v>5418.6666666666797</v>
      </c>
      <c r="AP12" s="582" t="s">
        <v>2</v>
      </c>
      <c r="AQ12" s="582" t="s">
        <v>249</v>
      </c>
      <c r="AR12" s="582" t="s">
        <v>10</v>
      </c>
      <c r="AS12" s="582" t="s">
        <v>248</v>
      </c>
    </row>
    <row r="13" spans="1:52" ht="17.25" customHeight="1">
      <c r="A13" s="40"/>
      <c r="B13" s="267" t="str">
        <f>IFERROR(INDEX($Q$1:$BH$100,ROW(A13),MATCH(Data_Tech!$AU$7,$Q$1:$AN$1,)+COLUMN(A12)-1),"")</f>
        <v>Васильева Марина Витальевна</v>
      </c>
      <c r="C13" s="224"/>
      <c r="D13" s="222">
        <f>INDEX($Q$1:$BH$100,ROW(B13),MATCH(Data_Tech!$AU$7,$Q$1:$AN$1,)+COLUMN(B13)-1)</f>
        <v>3</v>
      </c>
      <c r="E13" s="223">
        <f>INDEX($Q$1:$BH$100,ROW(C13),MATCH(Data_Tech!$AU$7,$Q$1:$AN$1,)+COLUMN(C13)-1)</f>
        <v>17332</v>
      </c>
      <c r="F13" s="45"/>
      <c r="H13" s="45"/>
      <c r="J13" s="110"/>
      <c r="K13" s="111"/>
      <c r="L13" s="109"/>
      <c r="M13" s="109"/>
      <c r="N13" s="109"/>
      <c r="P13" s="685">
        <v>12</v>
      </c>
      <c r="Q13" s="668" t="s">
        <v>386</v>
      </c>
      <c r="R13" s="667">
        <v>3</v>
      </c>
      <c r="S13" s="667">
        <v>17332</v>
      </c>
      <c r="T13" s="699">
        <v>2</v>
      </c>
      <c r="U13" s="700" t="s">
        <v>275</v>
      </c>
      <c r="V13" s="667">
        <v>33917</v>
      </c>
      <c r="W13" s="667">
        <v>50874</v>
      </c>
      <c r="X13" s="699"/>
      <c r="Y13" s="700" t="s">
        <v>275</v>
      </c>
      <c r="Z13" s="667">
        <v>67831</v>
      </c>
      <c r="AA13" s="667">
        <v>84788</v>
      </c>
      <c r="AB13" s="699"/>
      <c r="AC13" s="700" t="s">
        <v>275</v>
      </c>
      <c r="AD13" s="667">
        <v>101745</v>
      </c>
      <c r="AE13" s="667">
        <v>118702</v>
      </c>
      <c r="AF13" s="699"/>
      <c r="AG13" s="700" t="s">
        <v>275</v>
      </c>
      <c r="AH13" s="667">
        <v>135659</v>
      </c>
      <c r="AI13" s="667">
        <v>152616</v>
      </c>
      <c r="AJ13" s="699"/>
      <c r="AK13" s="700" t="s">
        <v>275</v>
      </c>
      <c r="AL13" s="667">
        <v>169573</v>
      </c>
      <c r="AP13" s="584">
        <v>56</v>
      </c>
      <c r="AQ13" s="582">
        <v>112</v>
      </c>
      <c r="AR13" s="582">
        <v>7000</v>
      </c>
      <c r="AS13" s="169">
        <f>(AQ13*AR13/1000)</f>
        <v>784</v>
      </c>
    </row>
    <row r="14" spans="1:52" ht="17.25" customHeight="1">
      <c r="A14" s="40"/>
      <c r="B14" s="267" t="str">
        <f>IFERROR(INDEX($Q$1:$BH$100,ROW(A14),MATCH(Data_Tech!$AU$7,$Q$1:$AN$1,)+COLUMN(A13)-1),"")</f>
        <v>Волошина Светлана Владимировна</v>
      </c>
      <c r="C14" s="10"/>
      <c r="D14" s="222">
        <f>INDEX($Q$1:$BH$100,ROW(B14),MATCH(Data_Tech!$AU$7,$Q$1:$AN$1,)+COLUMN(B14)-1)</f>
        <v>3</v>
      </c>
      <c r="E14" s="223">
        <f>INDEX($Q$1:$BH$100,ROW(C14),MATCH(Data_Tech!$AU$7,$Q$1:$AN$1,)+COLUMN(C14)-1)</f>
        <v>17198</v>
      </c>
      <c r="F14" s="45"/>
      <c r="J14" s="109"/>
      <c r="K14" s="109"/>
      <c r="L14" s="109"/>
      <c r="M14" s="109"/>
      <c r="N14" s="109"/>
      <c r="P14" s="685">
        <v>13</v>
      </c>
      <c r="Q14" s="700" t="s">
        <v>322</v>
      </c>
      <c r="R14" s="667">
        <v>3</v>
      </c>
      <c r="S14" s="667">
        <v>17198</v>
      </c>
      <c r="T14" s="699">
        <v>2</v>
      </c>
      <c r="U14" s="700" t="s">
        <v>322</v>
      </c>
      <c r="V14" s="667">
        <v>5733.3333333333303</v>
      </c>
      <c r="W14" s="667">
        <v>5732.8333333333403</v>
      </c>
      <c r="X14" s="699">
        <v>5732.3333333333403</v>
      </c>
      <c r="Y14" s="700" t="s">
        <v>322</v>
      </c>
      <c r="Z14" s="667">
        <v>5731.8333333333403</v>
      </c>
      <c r="AA14" s="667">
        <v>5731.3333333333403</v>
      </c>
      <c r="AB14" s="699">
        <v>5730.8333333333403</v>
      </c>
      <c r="AC14" s="700" t="s">
        <v>322</v>
      </c>
      <c r="AD14" s="667">
        <v>5730.3333333333403</v>
      </c>
      <c r="AE14" s="667">
        <v>5729.8333333333403</v>
      </c>
      <c r="AF14" s="699">
        <v>5729.3333333333403</v>
      </c>
      <c r="AG14" s="700" t="s">
        <v>322</v>
      </c>
      <c r="AH14" s="667">
        <v>5728.8333333333503</v>
      </c>
      <c r="AI14" s="667">
        <v>5728.3333333333503</v>
      </c>
      <c r="AJ14" s="699">
        <v>5727.8333333333503</v>
      </c>
      <c r="AK14" s="700" t="s">
        <v>322</v>
      </c>
      <c r="AL14" s="667">
        <v>5727.3333333333503</v>
      </c>
      <c r="AP14" s="585">
        <v>57</v>
      </c>
      <c r="AQ14" s="582">
        <v>112</v>
      </c>
      <c r="AR14" s="582">
        <v>3108</v>
      </c>
      <c r="AS14" s="169">
        <f t="shared" ref="AS14:AS19" si="6">(AQ14*AR14/1000)</f>
        <v>348.096</v>
      </c>
    </row>
    <row r="15" spans="1:52" ht="17.25" customHeight="1">
      <c r="A15" s="40"/>
      <c r="B15" s="267" t="str">
        <f>IFERROR(INDEX($Q$1:$BH$100,ROW(A15),MATCH(Data_Tech!$AU$7,$Q$1:$AN$1,)+COLUMN(A14)-1),"")</f>
        <v>Глинка Екатерина Юрьевна</v>
      </c>
      <c r="C15" s="10"/>
      <c r="D15" s="222">
        <f>INDEX($Q$1:$BH$100,ROW(B15),MATCH(Data_Tech!$AU$7,$Q$1:$AN$1,)+COLUMN(B15)-1)</f>
        <v>3</v>
      </c>
      <c r="E15" s="223">
        <f>INDEX($Q$1:$BH$100,ROW(C15),MATCH(Data_Tech!$AU$7,$Q$1:$AN$1,)+COLUMN(C15)-1)</f>
        <v>17115</v>
      </c>
      <c r="F15" s="45"/>
      <c r="J15" s="109"/>
      <c r="K15" s="109"/>
      <c r="L15" s="109"/>
      <c r="M15" s="109"/>
      <c r="N15" s="109"/>
      <c r="P15" s="685">
        <v>14</v>
      </c>
      <c r="Q15" s="700" t="s">
        <v>295</v>
      </c>
      <c r="R15" s="667">
        <v>3</v>
      </c>
      <c r="S15" s="667">
        <v>17115</v>
      </c>
      <c r="T15" s="699"/>
      <c r="U15" s="700" t="s">
        <v>295</v>
      </c>
      <c r="V15" s="667">
        <v>34227</v>
      </c>
      <c r="W15" s="667">
        <v>51339</v>
      </c>
      <c r="X15" s="699"/>
      <c r="Y15" s="700" t="s">
        <v>295</v>
      </c>
      <c r="Z15" s="667">
        <v>68451</v>
      </c>
      <c r="AA15" s="667">
        <v>85563</v>
      </c>
      <c r="AB15" s="699"/>
      <c r="AC15" s="700" t="s">
        <v>295</v>
      </c>
      <c r="AD15" s="667">
        <v>102675</v>
      </c>
      <c r="AE15" s="667">
        <v>119787</v>
      </c>
      <c r="AF15" s="699"/>
      <c r="AG15" s="700" t="s">
        <v>295</v>
      </c>
      <c r="AH15" s="667">
        <v>136899</v>
      </c>
      <c r="AI15" s="667">
        <v>154011</v>
      </c>
      <c r="AJ15" s="699"/>
      <c r="AK15" s="700" t="s">
        <v>295</v>
      </c>
      <c r="AL15" s="667">
        <v>171123</v>
      </c>
      <c r="AP15" s="585">
        <v>185</v>
      </c>
      <c r="AQ15" s="582">
        <v>115</v>
      </c>
      <c r="AR15" s="582">
        <v>5500</v>
      </c>
      <c r="AS15" s="169">
        <f t="shared" si="6"/>
        <v>632.5</v>
      </c>
    </row>
    <row r="16" spans="1:52" ht="17.25" customHeight="1">
      <c r="A16" s="56"/>
      <c r="B16" s="267" t="str">
        <f>IFERROR(INDEX($Q$1:$BH$100,ROW(A16),MATCH(Data_Tech!$AU$7,$Q$1:$AN$1,)+COLUMN(A15)-1),"")</f>
        <v>Грешнова Ольга Викторовна</v>
      </c>
      <c r="C16" s="10"/>
      <c r="D16" s="222">
        <f>INDEX($Q$1:$BH$100,ROW(B16),MATCH(Data_Tech!$AU$7,$Q$1:$AN$1,)+COLUMN(B16)-1)</f>
        <v>3</v>
      </c>
      <c r="E16" s="223">
        <f>INDEX($Q$1:$BH$100,ROW(C16),MATCH(Data_Tech!$AU$7,$Q$1:$AN$1,)+COLUMN(C16)-1)</f>
        <v>15880</v>
      </c>
      <c r="F16" s="45"/>
      <c r="P16" s="685">
        <v>15</v>
      </c>
      <c r="Q16" s="700" t="s">
        <v>252</v>
      </c>
      <c r="R16" s="667">
        <v>3</v>
      </c>
      <c r="S16" s="667">
        <v>15880</v>
      </c>
      <c r="T16" s="699"/>
      <c r="U16" s="700" t="s">
        <v>252</v>
      </c>
      <c r="V16" s="667">
        <v>31757</v>
      </c>
      <c r="W16" s="667">
        <v>47634</v>
      </c>
      <c r="X16" s="699"/>
      <c r="Y16" s="700" t="s">
        <v>252</v>
      </c>
      <c r="Z16" s="667">
        <v>63511</v>
      </c>
      <c r="AA16" s="667">
        <v>79388</v>
      </c>
      <c r="AB16" s="699"/>
      <c r="AC16" s="700" t="s">
        <v>252</v>
      </c>
      <c r="AD16" s="667">
        <v>95265</v>
      </c>
      <c r="AE16" s="667">
        <v>111142</v>
      </c>
      <c r="AF16" s="699"/>
      <c r="AG16" s="700" t="s">
        <v>252</v>
      </c>
      <c r="AH16" s="667">
        <v>127019</v>
      </c>
      <c r="AI16" s="667">
        <v>142896</v>
      </c>
      <c r="AJ16" s="699"/>
      <c r="AK16" s="700" t="s">
        <v>252</v>
      </c>
      <c r="AL16" s="667">
        <v>158773</v>
      </c>
      <c r="AP16" s="584">
        <v>60</v>
      </c>
      <c r="AQ16" s="582">
        <v>74</v>
      </c>
      <c r="AR16" s="582">
        <v>7300</v>
      </c>
      <c r="AS16" s="169">
        <f t="shared" si="6"/>
        <v>540.20000000000005</v>
      </c>
    </row>
    <row r="17" spans="1:49" ht="17.25" customHeight="1">
      <c r="A17" s="10"/>
      <c r="B17" s="267" t="str">
        <f>IFERROR(INDEX($Q$1:$BH$100,ROW(A17),MATCH(Data_Tech!$AU$7,$Q$1:$AN$1,)+COLUMN(A16)-1),"")</f>
        <v>Груздева Олеся Изидоровна</v>
      </c>
      <c r="C17" s="45"/>
      <c r="D17" s="222">
        <f>INDEX($Q$1:$BH$100,ROW(B17),MATCH(Data_Tech!$AU$7,$Q$1:$AN$1,)+COLUMN(B17)-1)</f>
        <v>3</v>
      </c>
      <c r="E17" s="223">
        <f>INDEX($Q$1:$BH$100,ROW(C17),MATCH(Data_Tech!$AU$7,$Q$1:$AN$1,)+COLUMN(C17)-1)</f>
        <v>15894</v>
      </c>
      <c r="F17" s="45"/>
      <c r="P17" s="685">
        <v>16</v>
      </c>
      <c r="Q17" s="700" t="s">
        <v>253</v>
      </c>
      <c r="R17" s="667">
        <v>3</v>
      </c>
      <c r="S17" s="667">
        <v>15894</v>
      </c>
      <c r="T17" s="699">
        <v>1</v>
      </c>
      <c r="U17" s="700" t="s">
        <v>253</v>
      </c>
      <c r="V17" s="667">
        <v>5297.3333333333403</v>
      </c>
      <c r="W17" s="667">
        <v>5296.3333333333403</v>
      </c>
      <c r="X17" s="699">
        <v>5295.3333333333403</v>
      </c>
      <c r="Y17" s="700" t="s">
        <v>253</v>
      </c>
      <c r="Z17" s="667">
        <v>5294.3333333333403</v>
      </c>
      <c r="AA17" s="667">
        <v>5293.3333333333403</v>
      </c>
      <c r="AB17" s="699">
        <v>5292.3333333333403</v>
      </c>
      <c r="AC17" s="700" t="s">
        <v>253</v>
      </c>
      <c r="AD17" s="667">
        <v>5291.3333333333403</v>
      </c>
      <c r="AE17" s="667">
        <v>5290.3333333333403</v>
      </c>
      <c r="AF17" s="699">
        <v>5289.3333333333403</v>
      </c>
      <c r="AG17" s="700" t="s">
        <v>253</v>
      </c>
      <c r="AH17" s="667">
        <v>5288.3333333333503</v>
      </c>
      <c r="AI17" s="667">
        <v>5287.3333333333503</v>
      </c>
      <c r="AJ17" s="699">
        <v>5286.3333333333503</v>
      </c>
      <c r="AK17" s="700" t="s">
        <v>253</v>
      </c>
      <c r="AL17" s="667">
        <v>5285.3333333333503</v>
      </c>
      <c r="AP17" s="584">
        <v>757</v>
      </c>
      <c r="AQ17" s="582">
        <v>74</v>
      </c>
      <c r="AR17" s="582">
        <v>11300</v>
      </c>
      <c r="AS17" s="169">
        <f t="shared" si="6"/>
        <v>836.2</v>
      </c>
    </row>
    <row r="18" spans="1:49" ht="17.25" customHeight="1">
      <c r="B18" s="267" t="str">
        <f>IFERROR(INDEX($Q$1:$BH$100,ROW(A18),MATCH(Data_Tech!$AU$7,$Q$1:$AN$1,)+COLUMN(A17)-1),"")</f>
        <v>Дорофеева Юлия Николаевна</v>
      </c>
      <c r="C18" s="45"/>
      <c r="D18" s="222">
        <f>INDEX($Q$1:$BH$100,ROW(B18),MATCH(Data_Tech!$AU$7,$Q$1:$AN$1,)+COLUMN(B18)-1)</f>
        <v>3</v>
      </c>
      <c r="E18" s="223">
        <f>INDEX($Q$1:$BH$100,ROW(C18),MATCH(Data_Tech!$AU$7,$Q$1:$AN$1,)+COLUMN(C18)-1)</f>
        <v>17160</v>
      </c>
      <c r="F18" s="45"/>
      <c r="H18" s="45"/>
      <c r="I18" s="684" t="s">
        <v>10</v>
      </c>
      <c r="J18" s="684" t="s">
        <v>333</v>
      </c>
      <c r="K18" s="684" t="s">
        <v>334</v>
      </c>
      <c r="L18" s="684" t="s">
        <v>86</v>
      </c>
      <c r="M18" s="686" t="s">
        <v>335</v>
      </c>
      <c r="N18" s="684" t="s">
        <v>336</v>
      </c>
      <c r="O18" s="45"/>
      <c r="P18" s="685">
        <v>17</v>
      </c>
      <c r="Q18" s="700" t="s">
        <v>302</v>
      </c>
      <c r="R18" s="667">
        <v>3</v>
      </c>
      <c r="S18" s="667">
        <v>17160</v>
      </c>
      <c r="T18" s="699">
        <v>2</v>
      </c>
      <c r="U18" s="700" t="s">
        <v>302</v>
      </c>
      <c r="V18" s="667">
        <v>5720.6666666666697</v>
      </c>
      <c r="W18" s="667">
        <v>5720.1666666666697</v>
      </c>
      <c r="X18" s="699">
        <v>5719.6666666666697</v>
      </c>
      <c r="Y18" s="700" t="s">
        <v>302</v>
      </c>
      <c r="Z18" s="667">
        <v>5719.1666666666697</v>
      </c>
      <c r="AA18" s="667">
        <v>5718.6666666666697</v>
      </c>
      <c r="AB18" s="699">
        <v>5718.1666666666697</v>
      </c>
      <c r="AC18" s="700" t="s">
        <v>302</v>
      </c>
      <c r="AD18" s="667">
        <v>5717.6666666666697</v>
      </c>
      <c r="AE18" s="667">
        <v>5717.1666666666697</v>
      </c>
      <c r="AF18" s="699">
        <v>5716.6666666666697</v>
      </c>
      <c r="AG18" s="700" t="s">
        <v>302</v>
      </c>
      <c r="AH18" s="667">
        <v>5716.1666666666697</v>
      </c>
      <c r="AI18" s="667">
        <v>5715.6666666666697</v>
      </c>
      <c r="AJ18" s="699">
        <v>5715.1666666666697</v>
      </c>
      <c r="AK18" s="700" t="s">
        <v>302</v>
      </c>
      <c r="AL18" s="667">
        <v>5714.6666666666697</v>
      </c>
      <c r="AP18" s="584">
        <v>6001</v>
      </c>
      <c r="AQ18" s="582">
        <v>56</v>
      </c>
      <c r="AR18" s="582">
        <v>6400</v>
      </c>
      <c r="AS18" s="169">
        <f t="shared" si="6"/>
        <v>358.4</v>
      </c>
    </row>
    <row r="19" spans="1:49" ht="17.25" customHeight="1">
      <c r="B19" s="267" t="str">
        <f>IFERROR(INDEX($Q$1:$BH$100,ROW(A19),MATCH(Data_Tech!$AU$7,$Q$1:$AN$1,)+COLUMN(A18)-1),"")</f>
        <v>Егоров Дмитрий Геннадьевич</v>
      </c>
      <c r="C19" s="45"/>
      <c r="D19" s="222">
        <f>INDEX($Q$1:$BH$100,ROW(B19),MATCH(Data_Tech!$AU$7,$Q$1:$AN$1,)+COLUMN(B19)-1)</f>
        <v>3</v>
      </c>
      <c r="E19" s="223">
        <f>INDEX($Q$1:$BH$100,ROW(C19),MATCH(Data_Tech!$AU$7,$Q$1:$AN$1,)+COLUMN(C19)-1)</f>
        <v>16860</v>
      </c>
      <c r="F19" s="45"/>
      <c r="H19" s="728">
        <v>6001</v>
      </c>
      <c r="I19" s="729" t="s">
        <v>376</v>
      </c>
      <c r="J19" s="730">
        <f>SUMIFS(Таблица1[сумма],Таблица1[партия],I19,Таблица1[изд],H19)</f>
        <v>0</v>
      </c>
      <c r="K19" s="730">
        <f>SUMIFS(Таблица14[часы],Таблица14[партия],I19,Таблица14[изд],H19)</f>
        <v>0</v>
      </c>
      <c r="L19" s="730">
        <f>SUMIFS(Таблица1[Столбец1],Таблица1[партия],I19,Таблица1[изд],H19)</f>
        <v>0</v>
      </c>
      <c r="M19" s="731">
        <f>J19+K19+L19</f>
        <v>0</v>
      </c>
      <c r="N19" s="732">
        <f>$AS$18-M19-O19</f>
        <v>358.4</v>
      </c>
      <c r="O19" s="10"/>
      <c r="P19" s="685">
        <v>18</v>
      </c>
      <c r="Q19" s="700" t="s">
        <v>254</v>
      </c>
      <c r="R19" s="667">
        <v>3</v>
      </c>
      <c r="S19" s="667">
        <v>16860</v>
      </c>
      <c r="T19" s="699"/>
      <c r="U19" s="700" t="s">
        <v>254</v>
      </c>
      <c r="V19" s="667">
        <v>33717</v>
      </c>
      <c r="W19" s="667">
        <v>50574</v>
      </c>
      <c r="X19" s="699"/>
      <c r="Y19" s="700" t="s">
        <v>254</v>
      </c>
      <c r="Z19" s="667">
        <v>67431</v>
      </c>
      <c r="AA19" s="667">
        <v>84288</v>
      </c>
      <c r="AB19" s="699"/>
      <c r="AC19" s="700" t="s">
        <v>254</v>
      </c>
      <c r="AD19" s="667">
        <v>101145</v>
      </c>
      <c r="AE19" s="667">
        <v>118002</v>
      </c>
      <c r="AF19" s="699"/>
      <c r="AG19" s="700" t="s">
        <v>254</v>
      </c>
      <c r="AH19" s="667">
        <v>134859</v>
      </c>
      <c r="AI19" s="667">
        <v>151716</v>
      </c>
      <c r="AJ19" s="699"/>
      <c r="AK19" s="700" t="s">
        <v>254</v>
      </c>
      <c r="AL19" s="667">
        <v>168573</v>
      </c>
      <c r="AP19" s="585">
        <v>631</v>
      </c>
      <c r="AQ19" s="582">
        <v>112</v>
      </c>
      <c r="AR19" s="582">
        <v>5400</v>
      </c>
      <c r="AS19" s="169">
        <f t="shared" si="6"/>
        <v>604.79999999999995</v>
      </c>
    </row>
    <row r="20" spans="1:49" ht="17.25" customHeight="1">
      <c r="B20" s="267" t="str">
        <f>IFERROR(INDEX($Q$1:$BH$100,ROW(A20),MATCH(Data_Tech!$AU$7,$Q$1:$AN$1,)+COLUMN(A19)-1),"")</f>
        <v>Егорова Татьяна Владимировна</v>
      </c>
      <c r="C20" s="45"/>
      <c r="D20" s="222">
        <f>INDEX($Q$1:$BH$100,ROW(B20),MATCH(Data_Tech!$AU$7,$Q$1:$AN$1,)+COLUMN(B20)-1)</f>
        <v>3</v>
      </c>
      <c r="E20" s="223">
        <f>INDEX($Q$1:$BH$100,ROW(C20),MATCH(Data_Tech!$AU$7,$Q$1:$AN$1,)+COLUMN(C20)-1)</f>
        <v>15590</v>
      </c>
      <c r="F20" s="45"/>
      <c r="H20" s="728">
        <v>6001</v>
      </c>
      <c r="I20" s="729" t="s">
        <v>377</v>
      </c>
      <c r="J20" s="730">
        <f>SUMIFS(Таблица1[сумма],Таблица1[партия],I20,Таблица1[изд],H20)</f>
        <v>0</v>
      </c>
      <c r="K20" s="730">
        <f>SUMIFS(Таблица14[часы],Таблица14[партия],I20,Таблица14[изд],H20)</f>
        <v>0</v>
      </c>
      <c r="L20" s="730">
        <f>SUMIFS(Таблица1[Столбец1],Таблица1[партия],I20,Таблица1[изд],H20)</f>
        <v>0</v>
      </c>
      <c r="M20" s="731">
        <f t="shared" ref="M20:M21" si="7">J20+K20+L20</f>
        <v>0</v>
      </c>
      <c r="N20" s="732">
        <f t="shared" ref="N20:N29" si="8">$AS$18-M20-O20</f>
        <v>358.4</v>
      </c>
      <c r="O20" s="10"/>
      <c r="P20" s="685">
        <v>19</v>
      </c>
      <c r="Q20" s="700" t="s">
        <v>255</v>
      </c>
      <c r="R20" s="667">
        <v>3</v>
      </c>
      <c r="S20" s="667">
        <v>15590</v>
      </c>
      <c r="T20" s="699"/>
      <c r="U20" s="700" t="s">
        <v>255</v>
      </c>
      <c r="V20" s="667">
        <v>31177</v>
      </c>
      <c r="W20" s="667">
        <v>46764</v>
      </c>
      <c r="X20" s="699"/>
      <c r="Y20" s="700" t="s">
        <v>255</v>
      </c>
      <c r="Z20" s="667">
        <v>62351</v>
      </c>
      <c r="AA20" s="667">
        <v>77938</v>
      </c>
      <c r="AB20" s="699"/>
      <c r="AC20" s="700" t="s">
        <v>255</v>
      </c>
      <c r="AD20" s="667">
        <v>93525</v>
      </c>
      <c r="AE20" s="667">
        <v>109112</v>
      </c>
      <c r="AF20" s="699"/>
      <c r="AG20" s="700" t="s">
        <v>255</v>
      </c>
      <c r="AH20" s="667">
        <v>124699</v>
      </c>
      <c r="AI20" s="667">
        <v>140286</v>
      </c>
      <c r="AJ20" s="699"/>
      <c r="AK20" s="700" t="s">
        <v>255</v>
      </c>
      <c r="AL20" s="667">
        <v>155873</v>
      </c>
      <c r="AP20" s="585">
        <v>85</v>
      </c>
      <c r="AQ20" s="582">
        <v>115</v>
      </c>
      <c r="AR20" s="582">
        <v>6615</v>
      </c>
      <c r="AS20" s="169">
        <f>(AQ20*AR20/1000)</f>
        <v>760.72500000000002</v>
      </c>
    </row>
    <row r="21" spans="1:49" ht="17.25" customHeight="1">
      <c r="B21" s="267" t="str">
        <f>IFERROR(INDEX($Q$1:$BH$100,ROW(A21),MATCH(Data_Tech!$AU$7,$Q$1:$AN$1,)+COLUMN(A20)-1),"")</f>
        <v>Елькина Татьяна Владимировна</v>
      </c>
      <c r="C21" s="45"/>
      <c r="D21" s="222">
        <f>INDEX($Q$1:$BH$100,ROW(B21),MATCH(Data_Tech!$AU$7,$Q$1:$AN$1,)+COLUMN(B21)-1)</f>
        <v>3</v>
      </c>
      <c r="E21" s="223">
        <f>INDEX($Q$1:$BH$100,ROW(C21),MATCH(Data_Tech!$AU$7,$Q$1:$AN$1,)+COLUMN(C21)-1)</f>
        <v>16771</v>
      </c>
      <c r="F21" s="45"/>
      <c r="H21" s="728">
        <v>6001</v>
      </c>
      <c r="I21" s="729" t="s">
        <v>378</v>
      </c>
      <c r="J21" s="730">
        <f>SUMIFS(Таблица1[сумма],Таблица1[партия],I21,Таблица1[изд],H21)</f>
        <v>0</v>
      </c>
      <c r="K21" s="730">
        <f>SUMIFS(Таблица14[часы],Таблица14[партия],I21,Таблица14[изд],H21)</f>
        <v>0</v>
      </c>
      <c r="L21" s="730">
        <f>SUMIFS(Таблица1[Столбец1],Таблица1[партия],I21,Таблица1[изд],H21)</f>
        <v>0</v>
      </c>
      <c r="M21" s="731">
        <f t="shared" si="7"/>
        <v>0</v>
      </c>
      <c r="N21" s="732">
        <f t="shared" si="8"/>
        <v>358.4</v>
      </c>
      <c r="O21" s="10"/>
      <c r="P21" s="685">
        <v>20</v>
      </c>
      <c r="Q21" s="700" t="s">
        <v>276</v>
      </c>
      <c r="R21" s="667">
        <v>3</v>
      </c>
      <c r="S21" s="667">
        <v>16771</v>
      </c>
      <c r="T21" s="699"/>
      <c r="U21" s="700" t="s">
        <v>276</v>
      </c>
      <c r="V21" s="667">
        <v>33539</v>
      </c>
      <c r="W21" s="667">
        <v>50307</v>
      </c>
      <c r="X21" s="699"/>
      <c r="Y21" s="700" t="s">
        <v>276</v>
      </c>
      <c r="Z21" s="667">
        <v>67075</v>
      </c>
      <c r="AA21" s="667">
        <v>83843</v>
      </c>
      <c r="AB21" s="699"/>
      <c r="AC21" s="700" t="s">
        <v>276</v>
      </c>
      <c r="AD21" s="667">
        <v>100611</v>
      </c>
      <c r="AE21" s="667">
        <v>117379</v>
      </c>
      <c r="AF21" s="699"/>
      <c r="AG21" s="700" t="s">
        <v>276</v>
      </c>
      <c r="AH21" s="667">
        <v>134147</v>
      </c>
      <c r="AI21" s="667">
        <v>150915</v>
      </c>
      <c r="AJ21" s="699"/>
      <c r="AK21" s="700" t="s">
        <v>276</v>
      </c>
      <c r="AL21" s="667">
        <v>167683</v>
      </c>
    </row>
    <row r="22" spans="1:49" ht="17.25" customHeight="1">
      <c r="B22" s="267" t="str">
        <f>IFERROR(INDEX($Q$1:$BH$100,ROW(A22),MATCH(Data_Tech!$AU$7,$Q$1:$AN$1,)+COLUMN(A21)-1),"")</f>
        <v>Ерошевич Дарья Александровна</v>
      </c>
      <c r="C22" s="45"/>
      <c r="D22" s="222">
        <f>INDEX($Q$1:$BH$100,ROW(B22),MATCH(Data_Tech!$AU$7,$Q$1:$AN$1,)+COLUMN(B22)-1)</f>
        <v>3</v>
      </c>
      <c r="E22" s="223">
        <f>INDEX($Q$1:$BH$100,ROW(C22),MATCH(Data_Tech!$AU$7,$Q$1:$AN$1,)+COLUMN(C22)-1)</f>
        <v>0</v>
      </c>
      <c r="H22" s="728">
        <v>6001</v>
      </c>
      <c r="I22" s="729" t="s">
        <v>379</v>
      </c>
      <c r="J22" s="730">
        <f>SUMIFS(Таблица1[сумма],Таблица1[партия],I22,Таблица1[изд],H22)</f>
        <v>0</v>
      </c>
      <c r="K22" s="730">
        <f>SUMIFS(Таблица14[часы],Таблица14[партия],I22,Таблица14[изд],H22)</f>
        <v>0</v>
      </c>
      <c r="L22" s="730">
        <f>SUMIFS(Таблица1[Столбец1],Таблица1[партия],I22,Таблица1[изд],H22)</f>
        <v>0</v>
      </c>
      <c r="M22" s="731">
        <f t="shared" ref="M22:M23" si="9">J22+K22+L22</f>
        <v>0</v>
      </c>
      <c r="N22" s="732">
        <f t="shared" si="8"/>
        <v>358.4</v>
      </c>
      <c r="O22" s="10"/>
      <c r="P22" s="685">
        <v>21</v>
      </c>
      <c r="Q22" s="668" t="s">
        <v>389</v>
      </c>
      <c r="R22" s="667">
        <v>3</v>
      </c>
      <c r="S22" s="668"/>
      <c r="T22" s="699"/>
      <c r="U22" s="700" t="s">
        <v>256</v>
      </c>
      <c r="V22" s="667">
        <v>30677</v>
      </c>
      <c r="W22" s="667">
        <v>46014</v>
      </c>
      <c r="X22" s="699"/>
      <c r="Y22" s="700" t="s">
        <v>256</v>
      </c>
      <c r="Z22" s="667">
        <v>61351</v>
      </c>
      <c r="AA22" s="667">
        <v>76688</v>
      </c>
      <c r="AB22" s="699"/>
      <c r="AC22" s="700" t="s">
        <v>256</v>
      </c>
      <c r="AD22" s="667">
        <v>92025</v>
      </c>
      <c r="AE22" s="667">
        <v>107362</v>
      </c>
      <c r="AF22" s="699"/>
      <c r="AG22" s="700" t="s">
        <v>256</v>
      </c>
      <c r="AH22" s="667">
        <v>122699</v>
      </c>
      <c r="AI22" s="667">
        <v>138036</v>
      </c>
      <c r="AJ22" s="699"/>
      <c r="AK22" s="700" t="s">
        <v>256</v>
      </c>
      <c r="AL22" s="667">
        <v>153373</v>
      </c>
    </row>
    <row r="23" spans="1:49" ht="17.25" customHeight="1">
      <c r="B23" s="267" t="str">
        <f>IFERROR(INDEX($Q$1:$BH$100,ROW(A23),MATCH(Data_Tech!$AU$7,$Q$1:$AN$1,)+COLUMN(A22)-1),"")</f>
        <v>Ерошина Ирина Павловна</v>
      </c>
      <c r="C23" s="45"/>
      <c r="D23" s="222">
        <f>INDEX($Q$1:$BH$100,ROW(B23),MATCH(Data_Tech!$AU$7,$Q$1:$AN$1,)+COLUMN(B23)-1)</f>
        <v>3</v>
      </c>
      <c r="E23" s="223">
        <f>INDEX($Q$1:$BH$100,ROW(C23),MATCH(Data_Tech!$AU$7,$Q$1:$AN$1,)+COLUMN(C23)-1)</f>
        <v>15340</v>
      </c>
      <c r="H23" s="728">
        <v>6001</v>
      </c>
      <c r="I23" s="729" t="s">
        <v>383</v>
      </c>
      <c r="J23" s="730">
        <f>SUMIFS(Таблица1[сумма],Таблица1[партия],I23,Таблица1[изд],H23)</f>
        <v>0</v>
      </c>
      <c r="K23" s="730">
        <f>SUMIFS(Таблица14[часы],Таблица14[партия],I23,Таблица14[изд],H23)</f>
        <v>0</v>
      </c>
      <c r="L23" s="730">
        <f>SUMIFS(Таблица1[Столбец1],Таблица1[партия],I23,Таблица1[изд],H23)</f>
        <v>0</v>
      </c>
      <c r="M23" s="731">
        <f t="shared" si="9"/>
        <v>0</v>
      </c>
      <c r="N23" s="732">
        <f t="shared" si="8"/>
        <v>358.4</v>
      </c>
      <c r="O23" s="10"/>
      <c r="P23" s="685">
        <v>22</v>
      </c>
      <c r="Q23" s="700" t="s">
        <v>256</v>
      </c>
      <c r="R23" s="667">
        <v>3</v>
      </c>
      <c r="S23" s="667">
        <v>15340</v>
      </c>
      <c r="T23" s="699"/>
      <c r="U23" s="700" t="s">
        <v>323</v>
      </c>
      <c r="V23" s="667">
        <v>5736.6666666666697</v>
      </c>
      <c r="W23" s="667">
        <v>5735.6666666666697</v>
      </c>
      <c r="X23" s="699">
        <v>5734.6666666666697</v>
      </c>
      <c r="Y23" s="700" t="s">
        <v>323</v>
      </c>
      <c r="Z23" s="667">
        <v>5733.6666666666697</v>
      </c>
      <c r="AA23" s="667">
        <v>5732.6666666666697</v>
      </c>
      <c r="AB23" s="699">
        <v>5731.6666666666797</v>
      </c>
      <c r="AC23" s="700" t="s">
        <v>323</v>
      </c>
      <c r="AD23" s="667">
        <v>5730.6666666666797</v>
      </c>
      <c r="AE23" s="667">
        <v>5729.6666666666797</v>
      </c>
      <c r="AF23" s="699">
        <v>5728.6666666666797</v>
      </c>
      <c r="AG23" s="700" t="s">
        <v>323</v>
      </c>
      <c r="AH23" s="667">
        <v>5727.6666666666797</v>
      </c>
      <c r="AI23" s="667">
        <v>5726.6666666666797</v>
      </c>
      <c r="AJ23" s="699">
        <v>5725.6666666666797</v>
      </c>
      <c r="AK23" s="700" t="s">
        <v>323</v>
      </c>
      <c r="AL23" s="667">
        <v>5724.6666666666797</v>
      </c>
      <c r="AR23" s="583" t="s">
        <v>337</v>
      </c>
      <c r="AU23" s="45"/>
      <c r="AV23" s="45"/>
      <c r="AW23" s="45"/>
    </row>
    <row r="24" spans="1:49" ht="17.25" customHeight="1">
      <c r="B24" s="267" t="str">
        <f>IFERROR(INDEX($Q$1:$BH$100,ROW(A24),MATCH(Data_Tech!$AU$7,$Q$1:$AN$1,)+COLUMN(A23)-1),"")</f>
        <v>Ескина Ксения Анатольевна</v>
      </c>
      <c r="C24" s="45"/>
      <c r="D24" s="222">
        <f>INDEX($Q$1:$BH$100,ROW(B24),MATCH(Data_Tech!$AU$7,$Q$1:$AN$1,)+COLUMN(B24)-1)</f>
        <v>3</v>
      </c>
      <c r="E24" s="223">
        <f>INDEX($Q$1:$BH$100,ROW(C24),MATCH(Data_Tech!$AU$7,$Q$1:$AN$1,)+COLUMN(C24)-1)</f>
        <v>17309</v>
      </c>
      <c r="H24" s="735">
        <v>6001</v>
      </c>
      <c r="I24" s="734" t="s">
        <v>384</v>
      </c>
      <c r="J24" s="736">
        <f>SUMIFS(Таблица1[сумма],Таблица1[партия],I24,Таблица1[изд],H24)</f>
        <v>0</v>
      </c>
      <c r="K24" s="736">
        <f>SUMIFS(Таблица14[часы],Таблица14[партия],I24,Таблица14[изд],H24)</f>
        <v>0</v>
      </c>
      <c r="L24" s="736">
        <f>SUMIFS(Таблица1[Столбец1],Таблица1[партия],I24,Таблица1[изд],H24)</f>
        <v>0</v>
      </c>
      <c r="M24" s="562">
        <f t="shared" ref="M24:M29" si="10">J24+K24+L24</f>
        <v>0</v>
      </c>
      <c r="N24" s="737">
        <f t="shared" si="8"/>
        <v>358.4</v>
      </c>
      <c r="O24" s="10"/>
      <c r="P24" s="685">
        <v>23</v>
      </c>
      <c r="Q24" s="668" t="s">
        <v>360</v>
      </c>
      <c r="R24" s="667">
        <v>3</v>
      </c>
      <c r="S24" s="668">
        <v>17309</v>
      </c>
      <c r="T24" s="699">
        <v>1</v>
      </c>
      <c r="U24" s="700" t="s">
        <v>272</v>
      </c>
      <c r="V24" s="667">
        <v>31213</v>
      </c>
      <c r="W24" s="667">
        <v>46818</v>
      </c>
      <c r="X24" s="699"/>
      <c r="Y24" s="700" t="s">
        <v>272</v>
      </c>
      <c r="Z24" s="667">
        <v>62423</v>
      </c>
      <c r="AA24" s="667">
        <v>78028</v>
      </c>
      <c r="AB24" s="699"/>
      <c r="AC24" s="700" t="s">
        <v>272</v>
      </c>
      <c r="AD24" s="667">
        <v>93633</v>
      </c>
      <c r="AE24" s="667">
        <v>109238</v>
      </c>
      <c r="AF24" s="699"/>
      <c r="AG24" s="700" t="s">
        <v>272</v>
      </c>
      <c r="AH24" s="667">
        <v>124843</v>
      </c>
      <c r="AI24" s="667">
        <v>140448</v>
      </c>
      <c r="AJ24" s="699"/>
      <c r="AK24" s="700" t="s">
        <v>272</v>
      </c>
      <c r="AL24" s="667">
        <v>156053</v>
      </c>
      <c r="AP24" s="45"/>
      <c r="AQ24" s="45"/>
      <c r="AU24" s="45"/>
      <c r="AV24" s="45"/>
      <c r="AW24" s="45"/>
    </row>
    <row r="25" spans="1:49" ht="17.25" customHeight="1">
      <c r="B25" s="267" t="str">
        <f>IFERROR(INDEX($Q$1:$BH$100,ROW(A25),MATCH(Data_Tech!$AU$7,$Q$1:$AN$1,)+COLUMN(A24)-1),"")</f>
        <v>Ефремова Юлия Сергеевна</v>
      </c>
      <c r="C25" s="45"/>
      <c r="D25" s="222">
        <f>INDEX($Q$1:$BH$100,ROW(B25),MATCH(Data_Tech!$AU$7,$Q$1:$AN$1,)+COLUMN(B25)-1)</f>
        <v>3</v>
      </c>
      <c r="E25" s="223">
        <f>INDEX($Q$1:$BH$100,ROW(C25),MATCH(Data_Tech!$AU$7,$Q$1:$AN$1,)+COLUMN(C25)-1)</f>
        <v>0</v>
      </c>
      <c r="H25" s="687">
        <v>6001</v>
      </c>
      <c r="I25" s="727"/>
      <c r="J25" s="10">
        <f>SUMIFS(Таблица1[сумма],Таблица1[партия],I25,Таблица1[изд],H25)</f>
        <v>0</v>
      </c>
      <c r="K25" s="10">
        <f>SUMIFS(Таблица14[часы],Таблица14[партия],I25,Таблица14[изд],H25)</f>
        <v>0</v>
      </c>
      <c r="L25" s="10">
        <f>SUMIFS(Таблица1[Столбец1],Таблица1[партия],I25,Таблица1[изд],H25)</f>
        <v>0</v>
      </c>
      <c r="M25" s="688">
        <f t="shared" si="10"/>
        <v>0</v>
      </c>
      <c r="N25" s="689">
        <f t="shared" si="8"/>
        <v>358.4</v>
      </c>
      <c r="O25" s="10"/>
      <c r="P25" s="685">
        <v>24</v>
      </c>
      <c r="Q25" s="668" t="s">
        <v>388</v>
      </c>
      <c r="R25" s="667">
        <v>3</v>
      </c>
      <c r="S25" s="668"/>
      <c r="T25" s="699"/>
      <c r="U25" s="700" t="s">
        <v>298</v>
      </c>
      <c r="V25" s="667">
        <v>5711.6666666666697</v>
      </c>
      <c r="W25" s="667">
        <v>5711.6666666666697</v>
      </c>
      <c r="X25" s="699">
        <v>5711.6666666666697</v>
      </c>
      <c r="Y25" s="700" t="s">
        <v>298</v>
      </c>
      <c r="Z25" s="667">
        <v>5711.6666666666697</v>
      </c>
      <c r="AA25" s="667">
        <v>5711.6666666666697</v>
      </c>
      <c r="AB25" s="699">
        <v>5711.6666666666797</v>
      </c>
      <c r="AC25" s="700" t="s">
        <v>298</v>
      </c>
      <c r="AD25" s="667">
        <v>5711.6666666666797</v>
      </c>
      <c r="AE25" s="667">
        <v>5711.6666666666797</v>
      </c>
      <c r="AF25" s="699">
        <v>5711.6666666666797</v>
      </c>
      <c r="AG25" s="700" t="s">
        <v>298</v>
      </c>
      <c r="AH25" s="667">
        <v>5711.6666666666797</v>
      </c>
      <c r="AI25" s="667">
        <v>5711.6666666666797</v>
      </c>
      <c r="AJ25" s="699">
        <v>5711.6666666666797</v>
      </c>
      <c r="AK25" s="700" t="s">
        <v>298</v>
      </c>
      <c r="AL25" s="667">
        <v>5711.6666666666797</v>
      </c>
      <c r="AP25" s="45" t="s">
        <v>338</v>
      </c>
      <c r="AS25" s="690">
        <v>0.4375</v>
      </c>
      <c r="AU25" s="45"/>
      <c r="AV25" s="45"/>
      <c r="AW25" s="45"/>
    </row>
    <row r="26" spans="1:49" ht="17.25" customHeight="1">
      <c r="B26" s="267" t="str">
        <f>IFERROR(INDEX($Q$1:$BH$100,ROW(A26),MATCH(Data_Tech!$AU$7,$Q$1:$AN$1,)+COLUMN(A25)-1),"")</f>
        <v>Журавлева Мария Валентиновна</v>
      </c>
      <c r="C26" s="45"/>
      <c r="D26" s="222">
        <f>INDEX($Q$1:$BH$100,ROW(B26),MATCH(Data_Tech!$AU$7,$Q$1:$AN$1,)+COLUMN(B26)-1)</f>
        <v>3</v>
      </c>
      <c r="E26" s="223">
        <f>INDEX($Q$1:$BH$100,ROW(C26),MATCH(Data_Tech!$AU$7,$Q$1:$AN$1,)+COLUMN(C26)-1)</f>
        <v>15608</v>
      </c>
      <c r="H26" s="687">
        <v>6001</v>
      </c>
      <c r="I26" s="727"/>
      <c r="J26" s="10">
        <f>SUMIFS(Таблица1[сумма],Таблица1[партия],I26,Таблица1[изд],H26)</f>
        <v>0</v>
      </c>
      <c r="K26" s="10">
        <f>SUMIFS(Таблица14[часы],Таблица14[партия],I26,Таблица14[изд],H26)</f>
        <v>0</v>
      </c>
      <c r="L26" s="10">
        <f>SUMIFS(Таблица1[Столбец1],Таблица1[партия],I26,Таблица1[изд],H26)</f>
        <v>0</v>
      </c>
      <c r="M26" s="688">
        <f t="shared" si="10"/>
        <v>0</v>
      </c>
      <c r="N26" s="689">
        <f t="shared" si="8"/>
        <v>358.4</v>
      </c>
      <c r="O26" s="10"/>
      <c r="P26" s="685">
        <v>25</v>
      </c>
      <c r="Q26" s="700" t="s">
        <v>272</v>
      </c>
      <c r="R26" s="667">
        <v>3</v>
      </c>
      <c r="S26" s="667">
        <v>15608</v>
      </c>
      <c r="T26" s="699"/>
      <c r="U26" s="700" t="s">
        <v>257</v>
      </c>
      <c r="V26" s="667">
        <v>4557.3333333333303</v>
      </c>
      <c r="W26" s="667">
        <v>4555.8333333333403</v>
      </c>
      <c r="X26" s="699">
        <v>4554.3333333333403</v>
      </c>
      <c r="Y26" s="700" t="s">
        <v>257</v>
      </c>
      <c r="Z26" s="667">
        <v>4552.8333333333403</v>
      </c>
      <c r="AA26" s="667">
        <v>4551.3333333333403</v>
      </c>
      <c r="AB26" s="699">
        <v>4549.8333333333403</v>
      </c>
      <c r="AC26" s="700" t="s">
        <v>257</v>
      </c>
      <c r="AD26" s="667">
        <v>4548.3333333333403</v>
      </c>
      <c r="AE26" s="667">
        <v>4546.8333333333403</v>
      </c>
      <c r="AF26" s="699">
        <v>4545.3333333333403</v>
      </c>
      <c r="AG26" s="700" t="s">
        <v>257</v>
      </c>
      <c r="AH26" s="667">
        <v>4543.8333333333403</v>
      </c>
      <c r="AI26" s="667">
        <v>4542.3333333333503</v>
      </c>
      <c r="AJ26" s="699">
        <v>4540.8333333333503</v>
      </c>
      <c r="AK26" s="700" t="s">
        <v>257</v>
      </c>
      <c r="AL26" s="667">
        <v>4539.3333333333503</v>
      </c>
      <c r="AP26" s="45" t="s">
        <v>339</v>
      </c>
      <c r="AS26" s="691">
        <v>0.6333333333333333</v>
      </c>
      <c r="AU26" s="45"/>
      <c r="AV26" s="45"/>
      <c r="AW26" s="45"/>
    </row>
    <row r="27" spans="1:49" ht="17.25" customHeight="1">
      <c r="B27" s="267" t="str">
        <f>IFERROR(INDEX($Q$1:$BH$100,ROW(A27),MATCH(Data_Tech!$AU$7,$Q$1:$AN$1,)+COLUMN(A26)-1),"")</f>
        <v>Зинина Екатерина Олеговна</v>
      </c>
      <c r="C27" s="45"/>
      <c r="D27" s="222">
        <f>INDEX($Q$1:$BH$100,ROW(B27),MATCH(Data_Tech!$AU$7,$Q$1:$AN$1,)+COLUMN(B27)-1)</f>
        <v>3</v>
      </c>
      <c r="E27" s="223">
        <f>INDEX($Q$1:$BH$100,ROW(C27),MATCH(Data_Tech!$AU$7,$Q$1:$AN$1,)+COLUMN(C27)-1)</f>
        <v>17129</v>
      </c>
      <c r="H27" s="687">
        <v>6001</v>
      </c>
      <c r="I27" s="727"/>
      <c r="J27" s="10">
        <f>SUMIFS(Таблица1[сумма],Таблица1[партия],I27,Таблица1[изд],H27)</f>
        <v>0</v>
      </c>
      <c r="K27" s="10">
        <f>SUMIFS(Таблица14[часы],Таблица14[партия],I27,Таблица14[изд],H27)</f>
        <v>0</v>
      </c>
      <c r="L27" s="10">
        <f>SUMIFS(Таблица1[Столбец1],Таблица1[партия],I27,Таблица1[изд],H27)</f>
        <v>0</v>
      </c>
      <c r="M27" s="688">
        <f t="shared" si="10"/>
        <v>0</v>
      </c>
      <c r="N27" s="689">
        <f t="shared" si="8"/>
        <v>358.4</v>
      </c>
      <c r="O27" s="10"/>
      <c r="P27" s="685">
        <v>26</v>
      </c>
      <c r="Q27" s="700" t="s">
        <v>298</v>
      </c>
      <c r="R27" s="667">
        <v>3</v>
      </c>
      <c r="S27" s="667">
        <v>17129</v>
      </c>
      <c r="T27" s="699">
        <v>3</v>
      </c>
      <c r="U27" s="700" t="s">
        <v>292</v>
      </c>
      <c r="V27" s="667">
        <v>5709.3333333333303</v>
      </c>
      <c r="W27" s="667">
        <v>5709.3333333333303</v>
      </c>
      <c r="X27" s="699">
        <v>5709.3333333333303</v>
      </c>
      <c r="Y27" s="700" t="s">
        <v>292</v>
      </c>
      <c r="Z27" s="667">
        <v>5709.3333333333303</v>
      </c>
      <c r="AA27" s="667">
        <v>5709.3333333333303</v>
      </c>
      <c r="AB27" s="699">
        <v>5709.3333333333303</v>
      </c>
      <c r="AC27" s="700" t="s">
        <v>292</v>
      </c>
      <c r="AD27" s="667">
        <v>5709.3333333333303</v>
      </c>
      <c r="AE27" s="667">
        <v>5709.3333333333303</v>
      </c>
      <c r="AF27" s="699">
        <v>5709.3333333333303</v>
      </c>
      <c r="AG27" s="700" t="s">
        <v>292</v>
      </c>
      <c r="AH27" s="667">
        <v>5709.3333333333303</v>
      </c>
      <c r="AI27" s="667">
        <v>5709.3333333333303</v>
      </c>
      <c r="AJ27" s="699">
        <v>5709.3333333333303</v>
      </c>
      <c r="AK27" s="700" t="s">
        <v>292</v>
      </c>
      <c r="AL27" s="667">
        <v>5709.3333333333303</v>
      </c>
      <c r="AP27" s="45" t="s">
        <v>340</v>
      </c>
      <c r="AS27" s="691">
        <v>2.0833333333333301E-2</v>
      </c>
      <c r="AU27" s="45"/>
      <c r="AV27" s="45"/>
      <c r="AW27" s="45"/>
    </row>
    <row r="28" spans="1:49" ht="17.25" customHeight="1">
      <c r="B28" s="267" t="str">
        <f>IFERROR(INDEX($Q$1:$BH$100,ROW(A28),MATCH(Data_Tech!$AU$7,$Q$1:$AN$1,)+COLUMN(A27)-1),"")</f>
        <v>Зоидзе Ирина Сергеевна</v>
      </c>
      <c r="D28" s="222">
        <f>INDEX($Q$1:$BH$100,ROW(B28),MATCH(Data_Tech!$AU$7,$Q$1:$AN$1,)+COLUMN(B28)-1)</f>
        <v>4</v>
      </c>
      <c r="E28" s="223">
        <f>INDEX($Q$1:$BH$100,ROW(C28),MATCH(Data_Tech!$AU$7,$Q$1:$AN$1,)+COLUMN(C28)-1)</f>
        <v>13676</v>
      </c>
      <c r="H28" s="687">
        <v>6001</v>
      </c>
      <c r="I28" s="727"/>
      <c r="J28" s="10">
        <f>SUMIFS(Таблица1[сумма],Таблица1[партия],I28,Таблица1[изд],H28)</f>
        <v>0</v>
      </c>
      <c r="K28" s="10">
        <f>SUMIFS(Таблица14[часы],Таблица14[партия],I28,Таблица14[изд],H28)</f>
        <v>0</v>
      </c>
      <c r="L28" s="10">
        <f>SUMIFS(Таблица1[Столбец1],Таблица1[партия],I28,Таблица1[изд],H28)</f>
        <v>0</v>
      </c>
      <c r="M28" s="688">
        <f t="shared" si="10"/>
        <v>0</v>
      </c>
      <c r="N28" s="689">
        <f t="shared" si="8"/>
        <v>358.4</v>
      </c>
      <c r="O28" s="10"/>
      <c r="P28" s="685">
        <v>27</v>
      </c>
      <c r="Q28" s="700" t="s">
        <v>257</v>
      </c>
      <c r="R28" s="667">
        <v>4</v>
      </c>
      <c r="S28" s="667">
        <v>13676</v>
      </c>
      <c r="T28" s="699">
        <v>3</v>
      </c>
      <c r="U28" s="700" t="s">
        <v>284</v>
      </c>
      <c r="V28" s="667">
        <v>5691.3333333333303</v>
      </c>
      <c r="W28" s="667">
        <v>5691.3333333333403</v>
      </c>
      <c r="X28" s="699">
        <v>5691.3333333333403</v>
      </c>
      <c r="Y28" s="700" t="s">
        <v>284</v>
      </c>
      <c r="Z28" s="667">
        <v>5691.3333333333403</v>
      </c>
      <c r="AA28" s="667">
        <v>5691.3333333333403</v>
      </c>
      <c r="AB28" s="699">
        <v>5691.3333333333403</v>
      </c>
      <c r="AC28" s="700" t="s">
        <v>284</v>
      </c>
      <c r="AD28" s="667">
        <v>5691.3333333333403</v>
      </c>
      <c r="AE28" s="667">
        <v>5691.3333333333403</v>
      </c>
      <c r="AF28" s="699">
        <v>5691.3333333333503</v>
      </c>
      <c r="AG28" s="700" t="s">
        <v>284</v>
      </c>
      <c r="AH28" s="667">
        <v>5691.3333333333503</v>
      </c>
      <c r="AI28" s="667">
        <v>5691.3333333333503</v>
      </c>
      <c r="AJ28" s="699">
        <v>5691.3333333333503</v>
      </c>
      <c r="AK28" s="700" t="s">
        <v>284</v>
      </c>
      <c r="AL28" s="667">
        <v>5691.3333333333503</v>
      </c>
      <c r="AP28" s="45"/>
      <c r="AS28" s="45"/>
      <c r="AU28" s="45"/>
      <c r="AV28" s="45"/>
      <c r="AW28" s="45"/>
    </row>
    <row r="29" spans="1:49" ht="17.25" customHeight="1">
      <c r="B29" s="267" t="str">
        <f>IFERROR(INDEX($Q$1:$BH$100,ROW(A29),MATCH(Data_Tech!$AU$7,$Q$1:$AN$1,)+COLUMN(A28)-1),"")</f>
        <v>Иванова Екатерина Борисовна</v>
      </c>
      <c r="D29" s="222">
        <f>INDEX($Q$1:$BH$100,ROW(B29),MATCH(Data_Tech!$AU$7,$Q$1:$AN$1,)+COLUMN(B29)-1)</f>
        <v>3</v>
      </c>
      <c r="E29" s="223">
        <f>INDEX($Q$1:$BH$100,ROW(C29),MATCH(Data_Tech!$AU$7,$Q$1:$AN$1,)+COLUMN(C29)-1)</f>
        <v>17122</v>
      </c>
      <c r="H29" s="687">
        <v>6001</v>
      </c>
      <c r="I29" s="727"/>
      <c r="J29" s="10">
        <f>SUMIFS(Таблица1[сумма],Таблица1[партия],I29,Таблица1[изд],H29)</f>
        <v>0</v>
      </c>
      <c r="K29" s="10">
        <f>SUMIFS(Таблица14[часы],Таблица14[партия],I29,Таблица14[изд],H29)</f>
        <v>0</v>
      </c>
      <c r="L29" s="10">
        <f>SUMIFS(Таблица1[Столбец1],Таблица1[партия],I29,Таблица1[изд],H29)</f>
        <v>0</v>
      </c>
      <c r="M29" s="688">
        <f t="shared" si="10"/>
        <v>0</v>
      </c>
      <c r="N29" s="689">
        <f t="shared" si="8"/>
        <v>358.4</v>
      </c>
      <c r="O29" s="10"/>
      <c r="P29" s="685">
        <v>28</v>
      </c>
      <c r="Q29" s="700" t="s">
        <v>292</v>
      </c>
      <c r="R29" s="667">
        <v>3</v>
      </c>
      <c r="S29" s="667">
        <v>17122</v>
      </c>
      <c r="T29" s="699">
        <v>3</v>
      </c>
      <c r="U29" s="700" t="s">
        <v>300</v>
      </c>
      <c r="V29" s="667">
        <v>29153</v>
      </c>
      <c r="W29" s="667">
        <v>43728</v>
      </c>
      <c r="X29" s="699"/>
      <c r="Y29" s="700" t="s">
        <v>300</v>
      </c>
      <c r="Z29" s="667">
        <v>58303</v>
      </c>
      <c r="AA29" s="667">
        <v>72878</v>
      </c>
      <c r="AB29" s="699"/>
      <c r="AC29" s="700" t="s">
        <v>300</v>
      </c>
      <c r="AD29" s="667">
        <v>87453</v>
      </c>
      <c r="AE29" s="667">
        <v>102028</v>
      </c>
      <c r="AF29" s="699"/>
      <c r="AG29" s="700" t="s">
        <v>300</v>
      </c>
      <c r="AH29" s="667">
        <v>116603</v>
      </c>
      <c r="AI29" s="667">
        <v>131178</v>
      </c>
      <c r="AJ29" s="699"/>
      <c r="AK29" s="700" t="s">
        <v>300</v>
      </c>
      <c r="AL29" s="667">
        <v>145753</v>
      </c>
      <c r="AP29" s="45"/>
      <c r="AS29" s="45"/>
      <c r="AU29" s="45"/>
      <c r="AV29" s="45"/>
      <c r="AW29" s="45"/>
    </row>
    <row r="30" spans="1:49" ht="17.25" customHeight="1">
      <c r="B30" s="267" t="str">
        <f>IFERROR(INDEX($Q$1:$BH$100,ROW(A30),MATCH(Data_Tech!$AU$7,$Q$1:$AN$1,)+COLUMN(A29)-1),"")</f>
        <v>Иванова Оксана Михайловна</v>
      </c>
      <c r="D30" s="222">
        <f>INDEX($Q$1:$BH$100,ROW(B30),MATCH(Data_Tech!$AU$7,$Q$1:$AN$1,)+COLUMN(B30)-1)</f>
        <v>3</v>
      </c>
      <c r="E30" s="223">
        <f>INDEX($Q$1:$BH$100,ROW(C30),MATCH(Data_Tech!$AU$7,$Q$1:$AN$1,)+COLUMN(C30)-1)</f>
        <v>17068</v>
      </c>
      <c r="H30" s="687"/>
      <c r="I30" s="687"/>
      <c r="J30" s="10"/>
      <c r="K30" s="10"/>
      <c r="L30" s="10"/>
      <c r="M30" s="688"/>
      <c r="N30" s="689"/>
      <c r="O30" s="10"/>
      <c r="P30" s="685">
        <v>29</v>
      </c>
      <c r="Q30" s="700" t="s">
        <v>284</v>
      </c>
      <c r="R30" s="667">
        <v>3</v>
      </c>
      <c r="S30" s="667">
        <v>17068</v>
      </c>
      <c r="T30" s="699"/>
      <c r="U30" s="700" t="s">
        <v>277</v>
      </c>
      <c r="V30" s="667">
        <v>33595</v>
      </c>
      <c r="W30" s="667">
        <v>50391</v>
      </c>
      <c r="X30" s="699"/>
      <c r="Y30" s="700" t="s">
        <v>277</v>
      </c>
      <c r="Z30" s="667">
        <v>67187</v>
      </c>
      <c r="AA30" s="667">
        <v>83983</v>
      </c>
      <c r="AB30" s="699"/>
      <c r="AC30" s="700" t="s">
        <v>277</v>
      </c>
      <c r="AD30" s="667">
        <v>100779</v>
      </c>
      <c r="AE30" s="667">
        <v>117575</v>
      </c>
      <c r="AF30" s="699"/>
      <c r="AG30" s="700" t="s">
        <v>277</v>
      </c>
      <c r="AH30" s="667">
        <v>134371</v>
      </c>
      <c r="AI30" s="667">
        <v>151167</v>
      </c>
      <c r="AJ30" s="699"/>
      <c r="AK30" s="700" t="s">
        <v>277</v>
      </c>
      <c r="AL30" s="667">
        <v>167963</v>
      </c>
      <c r="AP30" s="45" t="s">
        <v>341</v>
      </c>
      <c r="AS30" s="109">
        <f>(AS26-AS25-AS27)*24</f>
        <v>4.1999999999999993</v>
      </c>
      <c r="AU30" s="45"/>
      <c r="AV30" s="45"/>
      <c r="AW30" s="45"/>
    </row>
    <row r="31" spans="1:49" ht="17.25" customHeight="1">
      <c r="B31" s="267" t="str">
        <f>IFERROR(INDEX($Q$1:$BH$100,ROW(A31),MATCH(Data_Tech!$AU$7,$Q$1:$AN$1,)+COLUMN(A30)-1),"")</f>
        <v>Иванченко Ульяна Леонидовна</v>
      </c>
      <c r="D31" s="222">
        <f>INDEX($Q$1:$BH$100,ROW(B31),MATCH(Data_Tech!$AU$7,$Q$1:$AN$1,)+COLUMN(B31)-1)</f>
        <v>3</v>
      </c>
      <c r="E31" s="223">
        <f>INDEX($Q$1:$BH$100,ROW(C31),MATCH(Data_Tech!$AU$7,$Q$1:$AN$1,)+COLUMN(C31)-1)</f>
        <v>16799</v>
      </c>
      <c r="H31" s="687"/>
      <c r="I31" s="687"/>
      <c r="J31" s="10"/>
      <c r="K31" s="10"/>
      <c r="L31" s="10"/>
      <c r="M31" s="688"/>
      <c r="N31" s="689"/>
      <c r="O31" s="10"/>
      <c r="P31" s="685">
        <v>30</v>
      </c>
      <c r="Q31" s="700" t="s">
        <v>277</v>
      </c>
      <c r="R31" s="667">
        <v>3</v>
      </c>
      <c r="S31" s="667">
        <v>16799</v>
      </c>
      <c r="T31" s="699"/>
      <c r="U31" s="700" t="s">
        <v>324</v>
      </c>
      <c r="V31" s="667">
        <v>5756</v>
      </c>
      <c r="W31" s="667">
        <v>5755</v>
      </c>
      <c r="X31" s="699">
        <v>5754</v>
      </c>
      <c r="Y31" s="700" t="s">
        <v>324</v>
      </c>
      <c r="Z31" s="667">
        <v>5753.00000000001</v>
      </c>
      <c r="AA31" s="667">
        <v>5752.00000000001</v>
      </c>
      <c r="AB31" s="699">
        <v>5751.00000000001</v>
      </c>
      <c r="AC31" s="700" t="s">
        <v>324</v>
      </c>
      <c r="AD31" s="667">
        <v>5750.00000000001</v>
      </c>
      <c r="AE31" s="667">
        <v>5749.00000000001</v>
      </c>
      <c r="AF31" s="699">
        <v>5748.00000000001</v>
      </c>
      <c r="AG31" s="700" t="s">
        <v>324</v>
      </c>
      <c r="AH31" s="667">
        <v>5747.00000000001</v>
      </c>
      <c r="AI31" s="667">
        <v>5746.00000000001</v>
      </c>
      <c r="AJ31" s="699">
        <v>5745.00000000001</v>
      </c>
      <c r="AK31" s="700" t="s">
        <v>324</v>
      </c>
      <c r="AL31" s="667">
        <v>5744.00000000002</v>
      </c>
      <c r="AP31" s="45" t="s">
        <v>342</v>
      </c>
      <c r="AS31" s="109">
        <f>(AS26-AS25)*24</f>
        <v>4.6999999999999993</v>
      </c>
      <c r="AU31" s="45"/>
      <c r="AV31" s="45"/>
      <c r="AW31" s="45"/>
    </row>
    <row r="32" spans="1:49" ht="17.25" customHeight="1">
      <c r="B32" s="267" t="str">
        <f>IFERROR(INDEX($Q$1:$BH$100,ROW(A32),MATCH(Data_Tech!$AU$7,$Q$1:$AN$1,)+COLUMN(A31)-1),"")</f>
        <v>Исаева Инна Игоревна</v>
      </c>
      <c r="D32" s="222">
        <f>INDEX($Q$1:$BH$100,ROW(B32),MATCH(Data_Tech!$AU$7,$Q$1:$AN$1,)+COLUMN(B32)-1)</f>
        <v>3</v>
      </c>
      <c r="E32" s="223">
        <f>INDEX($Q$1:$BH$100,ROW(C32),MATCH(Data_Tech!$AU$7,$Q$1:$AN$1,)+COLUMN(C32)-1)</f>
        <v>17305</v>
      </c>
      <c r="H32" s="687"/>
      <c r="I32" s="687"/>
      <c r="J32" s="10"/>
      <c r="K32" s="10"/>
      <c r="L32" s="10"/>
      <c r="M32" s="688"/>
      <c r="N32" s="689"/>
      <c r="O32" s="10"/>
      <c r="P32" s="685">
        <v>31</v>
      </c>
      <c r="Q32" s="668" t="s">
        <v>354</v>
      </c>
      <c r="R32" s="667">
        <v>3</v>
      </c>
      <c r="S32" s="667">
        <v>17305</v>
      </c>
      <c r="T32" s="699">
        <v>2</v>
      </c>
      <c r="U32" s="700" t="s">
        <v>278</v>
      </c>
      <c r="V32" s="667">
        <v>33835</v>
      </c>
      <c r="W32" s="667">
        <v>50751</v>
      </c>
      <c r="X32" s="699"/>
      <c r="Y32" s="700" t="s">
        <v>278</v>
      </c>
      <c r="Z32" s="667">
        <v>67667</v>
      </c>
      <c r="AA32" s="667">
        <v>84583</v>
      </c>
      <c r="AB32" s="699"/>
      <c r="AC32" s="700" t="s">
        <v>278</v>
      </c>
      <c r="AD32" s="667">
        <v>101499</v>
      </c>
      <c r="AE32" s="667">
        <v>118415</v>
      </c>
      <c r="AF32" s="699"/>
      <c r="AG32" s="700" t="s">
        <v>278</v>
      </c>
      <c r="AH32" s="667">
        <v>135331</v>
      </c>
      <c r="AI32" s="667">
        <v>152247</v>
      </c>
      <c r="AJ32" s="699"/>
      <c r="AK32" s="700" t="s">
        <v>278</v>
      </c>
      <c r="AL32" s="667">
        <v>169163</v>
      </c>
      <c r="AP32" s="45"/>
      <c r="AQ32" s="45"/>
      <c r="AU32" s="45"/>
      <c r="AV32" s="45"/>
      <c r="AW32" s="45"/>
    </row>
    <row r="33" spans="2:49" ht="17.25" customHeight="1">
      <c r="B33" s="267" t="str">
        <f>IFERROR(INDEX($Q$1:$BH$100,ROW(A33),MATCH(Data_Tech!$AU$7,$Q$1:$AN$1,)+COLUMN(A32)-1),"")</f>
        <v>Кабакова Алина Дмитриевна</v>
      </c>
      <c r="D33" s="222">
        <f>INDEX($Q$1:$BH$100,ROW(B33),MATCH(Data_Tech!$AU$7,$Q$1:$AN$1,)+COLUMN(B33)-1)</f>
        <v>3</v>
      </c>
      <c r="E33" s="223">
        <f>INDEX($Q$1:$BH$100,ROW(C33),MATCH(Data_Tech!$AU$7,$Q$1:$AN$1,)+COLUMN(C33)-1)</f>
        <v>17270</v>
      </c>
      <c r="H33" s="720" t="s">
        <v>355</v>
      </c>
      <c r="I33" s="687" t="s">
        <v>369</v>
      </c>
      <c r="J33" s="10">
        <f>SUMIFS(Таблица1[сумма],Таблица1[партия],I33,Таблица1[изд],H33)</f>
        <v>0</v>
      </c>
      <c r="K33" s="10">
        <f>SUMIFS(Таблица14[часы],Таблица14[партия],I33,Таблица14[изд],H33)</f>
        <v>0</v>
      </c>
      <c r="L33" s="10">
        <f>SUMIFS(Таблица1[Столбец1],Таблица1[партия],I33,Таблица1[изд],H33)</f>
        <v>0</v>
      </c>
      <c r="M33" s="688">
        <f t="shared" ref="M33:M35" si="11">J33+K33+L33</f>
        <v>0</v>
      </c>
      <c r="N33" s="689">
        <f>$AS$18-M33-O33</f>
        <v>358.4</v>
      </c>
      <c r="O33" s="10"/>
      <c r="P33" s="685">
        <v>32</v>
      </c>
      <c r="Q33" s="700" t="s">
        <v>324</v>
      </c>
      <c r="R33" s="667">
        <v>3</v>
      </c>
      <c r="S33" s="667">
        <v>17270</v>
      </c>
      <c r="T33" s="699">
        <v>1</v>
      </c>
      <c r="U33" s="700" t="s">
        <v>325</v>
      </c>
      <c r="V33" s="702">
        <v>5762.6666666666697</v>
      </c>
      <c r="W33" s="702">
        <v>5762.6666666666697</v>
      </c>
      <c r="X33" s="699">
        <v>5762.6666666666697</v>
      </c>
      <c r="Y33" s="700" t="s">
        <v>325</v>
      </c>
      <c r="Z33" s="702">
        <v>5762.6666666666697</v>
      </c>
      <c r="AA33" s="702">
        <v>5762.6666666666697</v>
      </c>
      <c r="AB33" s="699">
        <v>5762.6666666666697</v>
      </c>
      <c r="AC33" s="700" t="s">
        <v>325</v>
      </c>
      <c r="AD33" s="702">
        <v>5762.6666666666697</v>
      </c>
      <c r="AE33" s="702">
        <v>5762.6666666666697</v>
      </c>
      <c r="AF33" s="699">
        <v>5762.6666666666697</v>
      </c>
      <c r="AG33" s="700" t="s">
        <v>325</v>
      </c>
      <c r="AH33" s="702">
        <v>5762.6666666666697</v>
      </c>
      <c r="AI33" s="702">
        <v>5762.6666666666697</v>
      </c>
      <c r="AJ33" s="699">
        <v>5762.6666666666697</v>
      </c>
      <c r="AK33" s="700" t="s">
        <v>325</v>
      </c>
      <c r="AL33" s="702">
        <v>5762.6666666666697</v>
      </c>
      <c r="AP33" s="45"/>
      <c r="AQ33" s="45"/>
      <c r="AU33" s="45"/>
      <c r="AV33" s="45"/>
      <c r="AW33" s="45"/>
    </row>
    <row r="34" spans="2:49" ht="17.25" customHeight="1">
      <c r="B34" s="267" t="str">
        <f>IFERROR(INDEX($Q$1:$BH$100,ROW(A34),MATCH(Data_Tech!$AU$7,$Q$1:$AN$1,)+COLUMN(A33)-1),"")</f>
        <v>Кабанова Анастасия Евгеньевна</v>
      </c>
      <c r="D34" s="222">
        <f>INDEX($Q$1:$BH$100,ROW(B34),MATCH(Data_Tech!$AU$7,$Q$1:$AN$1,)+COLUMN(B34)-1)</f>
        <v>3</v>
      </c>
      <c r="E34" s="223">
        <f>INDEX($Q$1:$BH$100,ROW(C34),MATCH(Data_Tech!$AU$7,$Q$1:$AN$1,)+COLUMN(C34)-1)</f>
        <v>16919</v>
      </c>
      <c r="H34" s="720" t="s">
        <v>355</v>
      </c>
      <c r="I34" s="687" t="s">
        <v>370</v>
      </c>
      <c r="J34" s="10">
        <f>SUMIFS(Таблица1[сумма],Таблица1[партия],I34,Таблица1[изд],H34)</f>
        <v>0</v>
      </c>
      <c r="K34" s="10">
        <f>SUMIFS(Таблица14[часы],Таблица14[партия],I34,Таблица14[изд],H34)</f>
        <v>0</v>
      </c>
      <c r="L34" s="10">
        <f>SUMIFS(Таблица1[Столбец1],Таблица1[партия],I34,Таблица1[изд],H34)</f>
        <v>0</v>
      </c>
      <c r="M34" s="688">
        <f t="shared" si="11"/>
        <v>0</v>
      </c>
      <c r="N34" s="689">
        <f>$AS$18-M34-O34</f>
        <v>358.4</v>
      </c>
      <c r="O34" s="10"/>
      <c r="P34" s="685">
        <v>33</v>
      </c>
      <c r="Q34" s="700" t="s">
        <v>278</v>
      </c>
      <c r="R34" s="667">
        <v>3</v>
      </c>
      <c r="S34" s="667">
        <v>16919</v>
      </c>
      <c r="T34" s="699"/>
      <c r="U34" s="700" t="s">
        <v>296</v>
      </c>
      <c r="V34" s="667">
        <v>31147</v>
      </c>
      <c r="W34" s="667">
        <v>46719</v>
      </c>
      <c r="X34" s="699"/>
      <c r="Y34" s="700" t="s">
        <v>296</v>
      </c>
      <c r="Z34" s="667">
        <v>62291</v>
      </c>
      <c r="AA34" s="667">
        <v>77863</v>
      </c>
      <c r="AB34" s="699"/>
      <c r="AC34" s="700" t="s">
        <v>296</v>
      </c>
      <c r="AD34" s="667">
        <v>93435</v>
      </c>
      <c r="AE34" s="667">
        <v>109007</v>
      </c>
      <c r="AF34" s="699"/>
      <c r="AG34" s="700" t="s">
        <v>296</v>
      </c>
      <c r="AH34" s="667">
        <v>124579</v>
      </c>
      <c r="AI34" s="667">
        <v>140151</v>
      </c>
      <c r="AJ34" s="699"/>
      <c r="AK34" s="700" t="s">
        <v>296</v>
      </c>
      <c r="AL34" s="667">
        <v>155723</v>
      </c>
      <c r="AU34" s="45"/>
      <c r="AV34" s="45" t="s">
        <v>343</v>
      </c>
      <c r="AW34" s="45"/>
    </row>
    <row r="35" spans="2:49" ht="17.25" customHeight="1">
      <c r="B35" s="267" t="str">
        <f>IFERROR(INDEX($Q$1:$BH$100,ROW(A35),MATCH(Data_Tech!$AU$7,$Q$1:$AN$1,)+COLUMN(A34)-1),"")</f>
        <v>Кириллова Надежда Вячеславовна</v>
      </c>
      <c r="D35" s="222">
        <f>INDEX($Q$1:$BH$100,ROW(B35),MATCH(Data_Tech!$AU$7,$Q$1:$AN$1,)+COLUMN(B35)-1)</f>
        <v>3</v>
      </c>
      <c r="E35" s="223">
        <f>INDEX($Q$1:$BH$100,ROW(C35),MATCH(Data_Tech!$AU$7,$Q$1:$AN$1,)+COLUMN(C35)-1)</f>
        <v>17282</v>
      </c>
      <c r="H35" s="720" t="s">
        <v>355</v>
      </c>
      <c r="I35" s="10" t="s">
        <v>382</v>
      </c>
      <c r="J35" s="10">
        <f>SUMIFS(Таблица1[сумма],Таблица1[партия],I35,Таблица1[изд],H35)</f>
        <v>0</v>
      </c>
      <c r="K35" s="10">
        <f>SUMIFS(Таблица14[часы],Таблица14[партия],I35,Таблица14[изд],H35)</f>
        <v>0</v>
      </c>
      <c r="L35" s="10">
        <f>SUMIFS(Таблица1[Столбец1],Таблица1[партия],I35,Таблица1[изд],H35)</f>
        <v>0</v>
      </c>
      <c r="M35" s="688">
        <f t="shared" si="11"/>
        <v>0</v>
      </c>
      <c r="N35" s="689">
        <f>$AS$18-M35-O35</f>
        <v>358.4</v>
      </c>
      <c r="O35" s="10"/>
      <c r="P35" s="685">
        <v>34</v>
      </c>
      <c r="Q35" s="700" t="s">
        <v>325</v>
      </c>
      <c r="R35" s="702">
        <v>3</v>
      </c>
      <c r="S35" s="702">
        <v>17282</v>
      </c>
      <c r="T35" s="699">
        <v>3</v>
      </c>
      <c r="U35" s="700" t="s">
        <v>310</v>
      </c>
      <c r="V35" s="667">
        <v>5730</v>
      </c>
      <c r="W35" s="667">
        <v>5729.5</v>
      </c>
      <c r="X35" s="699">
        <v>5729</v>
      </c>
      <c r="Y35" s="700" t="s">
        <v>310</v>
      </c>
      <c r="Z35" s="667">
        <v>5728.50000000001</v>
      </c>
      <c r="AA35" s="667">
        <v>5728.00000000001</v>
      </c>
      <c r="AB35" s="699">
        <v>5727.50000000001</v>
      </c>
      <c r="AC35" s="700" t="s">
        <v>310</v>
      </c>
      <c r="AD35" s="667">
        <v>5727.00000000001</v>
      </c>
      <c r="AE35" s="667">
        <v>5726.50000000001</v>
      </c>
      <c r="AF35" s="699">
        <v>5726.00000000001</v>
      </c>
      <c r="AG35" s="700" t="s">
        <v>310</v>
      </c>
      <c r="AH35" s="667">
        <v>5725.50000000001</v>
      </c>
      <c r="AI35" s="667">
        <v>5725.00000000001</v>
      </c>
      <c r="AJ35" s="699">
        <v>5724.50000000002</v>
      </c>
      <c r="AK35" s="700" t="s">
        <v>310</v>
      </c>
      <c r="AL35" s="667">
        <v>5724.00000000002</v>
      </c>
      <c r="AT35" s="45"/>
      <c r="AU35" s="45"/>
      <c r="AV35" s="583"/>
      <c r="AW35" s="583"/>
    </row>
    <row r="36" spans="2:49" ht="17.25" customHeight="1">
      <c r="B36" s="267" t="str">
        <f>IFERROR(INDEX($Q$1:$BH$100,ROW(A36),MATCH(Data_Tech!$AU$7,$Q$1:$AN$1,)+COLUMN(A35)-1),"")</f>
        <v>Киселёва Надежда Игоревна</v>
      </c>
      <c r="D36" s="222">
        <f>INDEX($Q$1:$BH$100,ROW(B36),MATCH(Data_Tech!$AU$7,$Q$1:$AN$1,)+COLUMN(B36)-1)</f>
        <v>3</v>
      </c>
      <c r="E36" s="223">
        <f>INDEX($Q$1:$BH$100,ROW(C36),MATCH(Data_Tech!$AU$7,$Q$1:$AN$1,)+COLUMN(C36)-1)</f>
        <v>15575</v>
      </c>
      <c r="H36" s="687"/>
      <c r="I36" s="687"/>
      <c r="J36" s="10"/>
      <c r="K36" s="10"/>
      <c r="L36" s="10"/>
      <c r="M36" s="688"/>
      <c r="N36" s="689"/>
      <c r="O36" s="10"/>
      <c r="P36" s="685">
        <v>35</v>
      </c>
      <c r="Q36" s="700" t="s">
        <v>296</v>
      </c>
      <c r="R36" s="667">
        <v>3</v>
      </c>
      <c r="S36" s="667">
        <v>15575</v>
      </c>
      <c r="T36" s="699"/>
      <c r="U36" s="700" t="s">
        <v>326</v>
      </c>
      <c r="V36" s="667">
        <v>31773</v>
      </c>
      <c r="W36" s="667">
        <v>47658</v>
      </c>
      <c r="X36" s="699"/>
      <c r="Y36" s="700" t="s">
        <v>326</v>
      </c>
      <c r="Z36" s="667">
        <v>63543</v>
      </c>
      <c r="AA36" s="667">
        <v>79428</v>
      </c>
      <c r="AB36" s="699"/>
      <c r="AC36" s="700" t="s">
        <v>326</v>
      </c>
      <c r="AD36" s="667">
        <v>95313</v>
      </c>
      <c r="AE36" s="667">
        <v>111198</v>
      </c>
      <c r="AF36" s="699"/>
      <c r="AG36" s="700" t="s">
        <v>326</v>
      </c>
      <c r="AH36" s="667">
        <v>127083</v>
      </c>
      <c r="AI36" s="667">
        <v>142968</v>
      </c>
      <c r="AJ36" s="699"/>
      <c r="AK36" s="700" t="s">
        <v>326</v>
      </c>
      <c r="AL36" s="667">
        <v>158853</v>
      </c>
      <c r="AT36" s="45" t="s">
        <v>338</v>
      </c>
      <c r="AU36" s="583"/>
      <c r="AV36" s="583"/>
      <c r="AW36" s="690">
        <v>0.6333333333333333</v>
      </c>
    </row>
    <row r="37" spans="2:49" ht="17.25" customHeight="1">
      <c r="B37" s="267" t="str">
        <f>IFERROR(INDEX($Q$1:$BH$100,ROW(A37),MATCH(Data_Tech!$AU$7,$Q$1:$AN$1,)+COLUMN(A36)-1),"")</f>
        <v>Климонтович Янина Анатольевна</v>
      </c>
      <c r="D37" s="222">
        <f>INDEX($Q$1:$BH$100,ROW(B37),MATCH(Data_Tech!$AU$7,$Q$1:$AN$1,)+COLUMN(B37)-1)</f>
        <v>3</v>
      </c>
      <c r="E37" s="223">
        <f>INDEX($Q$1:$BH$100,ROW(C37),MATCH(Data_Tech!$AU$7,$Q$1:$AN$1,)+COLUMN(C37)-1)</f>
        <v>17188</v>
      </c>
      <c r="H37" s="687" t="s">
        <v>351</v>
      </c>
      <c r="I37" s="687" t="s">
        <v>374</v>
      </c>
      <c r="J37" s="10">
        <f>SUMIFS(Таблица1[сумма],Таблица1[партия],I37,Таблица1[изд],H37)</f>
        <v>0</v>
      </c>
      <c r="K37" s="10">
        <f>SUMIFS(Таблица14[часы],Таблица14[партия],I37,Таблица14[изд],H37)</f>
        <v>0</v>
      </c>
      <c r="L37" s="10">
        <f>SUMIFS(Таблица1[Столбец1],Таблица1[партия],I37,Таблица1[изд],H37)</f>
        <v>0</v>
      </c>
      <c r="M37" s="688">
        <f t="shared" ref="M37" si="12">J37+K37+L37</f>
        <v>0</v>
      </c>
      <c r="N37" s="689">
        <f>$AS$16-M37-O37</f>
        <v>540.20000000000005</v>
      </c>
      <c r="O37" s="10"/>
      <c r="P37" s="685">
        <v>36</v>
      </c>
      <c r="Q37" s="700" t="s">
        <v>310</v>
      </c>
      <c r="R37" s="667">
        <v>3</v>
      </c>
      <c r="S37" s="667">
        <v>17188</v>
      </c>
      <c r="T37" s="699"/>
      <c r="U37" s="700" t="s">
        <v>301</v>
      </c>
      <c r="V37" s="667">
        <v>33324</v>
      </c>
      <c r="W37" s="667">
        <v>49984</v>
      </c>
      <c r="X37" s="699"/>
      <c r="Y37" s="700" t="s">
        <v>301</v>
      </c>
      <c r="Z37" s="667">
        <v>66644</v>
      </c>
      <c r="AA37" s="667">
        <v>83304</v>
      </c>
      <c r="AB37" s="699"/>
      <c r="AC37" s="700" t="s">
        <v>301</v>
      </c>
      <c r="AD37" s="667">
        <v>99964</v>
      </c>
      <c r="AE37" s="667">
        <v>116624</v>
      </c>
      <c r="AF37" s="699"/>
      <c r="AG37" s="700" t="s">
        <v>301</v>
      </c>
      <c r="AH37" s="667">
        <v>133284</v>
      </c>
      <c r="AI37" s="667">
        <v>149944</v>
      </c>
      <c r="AJ37" s="699"/>
      <c r="AK37" s="700" t="s">
        <v>301</v>
      </c>
      <c r="AL37" s="667">
        <v>166604</v>
      </c>
      <c r="AT37" s="45" t="s">
        <v>339</v>
      </c>
      <c r="AU37" s="583"/>
      <c r="AV37" s="583"/>
      <c r="AW37" s="691">
        <v>0.79999999999999993</v>
      </c>
    </row>
    <row r="38" spans="2:49" ht="17.25" customHeight="1">
      <c r="B38" s="267" t="str">
        <f>IFERROR(INDEX($Q$1:$BH$100,ROW(A38),MATCH(Data_Tech!$AU$7,$Q$1:$AN$1,)+COLUMN(A37)-1),"")</f>
        <v>Коричева Юлия Владимировна</v>
      </c>
      <c r="D38" s="222">
        <f>INDEX($Q$1:$BH$100,ROW(B38),MATCH(Data_Tech!$AU$7,$Q$1:$AN$1,)+COLUMN(B38)-1)</f>
        <v>3</v>
      </c>
      <c r="E38" s="223">
        <f>INDEX($Q$1:$BH$100,ROW(C38),MATCH(Data_Tech!$AU$7,$Q$1:$AN$1,)+COLUMN(C38)-1)</f>
        <v>15888</v>
      </c>
      <c r="H38" s="687"/>
      <c r="I38" s="687"/>
      <c r="J38" s="10"/>
      <c r="K38" s="10"/>
      <c r="L38" s="10"/>
      <c r="M38" s="688"/>
      <c r="N38" s="689"/>
      <c r="O38" s="10"/>
      <c r="P38" s="685">
        <v>37</v>
      </c>
      <c r="Q38" s="700" t="s">
        <v>326</v>
      </c>
      <c r="R38" s="667">
        <v>3</v>
      </c>
      <c r="S38" s="667">
        <v>15888</v>
      </c>
      <c r="T38" s="699"/>
      <c r="U38" s="700" t="s">
        <v>327</v>
      </c>
      <c r="V38" s="667">
        <v>5756.3333333333403</v>
      </c>
      <c r="W38" s="667">
        <v>5755.3333333333403</v>
      </c>
      <c r="X38" s="699">
        <v>5754.3333333333403</v>
      </c>
      <c r="Y38" s="700" t="s">
        <v>327</v>
      </c>
      <c r="Z38" s="667">
        <v>5753.3333333333403</v>
      </c>
      <c r="AA38" s="667">
        <v>5752.3333333333403</v>
      </c>
      <c r="AB38" s="699">
        <v>5751.3333333333403</v>
      </c>
      <c r="AC38" s="700" t="s">
        <v>327</v>
      </c>
      <c r="AD38" s="667">
        <v>5750.3333333333403</v>
      </c>
      <c r="AE38" s="667">
        <v>5749.3333333333403</v>
      </c>
      <c r="AF38" s="699">
        <v>5748.3333333333403</v>
      </c>
      <c r="AG38" s="700" t="s">
        <v>327</v>
      </c>
      <c r="AH38" s="667">
        <v>5747.3333333333503</v>
      </c>
      <c r="AI38" s="667">
        <v>5746.3333333333503</v>
      </c>
      <c r="AJ38" s="699">
        <v>5745.3333333333503</v>
      </c>
      <c r="AK38" s="700" t="s">
        <v>327</v>
      </c>
      <c r="AL38" s="667">
        <v>5744.3333333333503</v>
      </c>
      <c r="AT38" s="45" t="s">
        <v>340</v>
      </c>
      <c r="AU38" s="583"/>
      <c r="AV38" s="583"/>
      <c r="AW38" s="691">
        <v>2.0833333333333301E-2</v>
      </c>
    </row>
    <row r="39" spans="2:49" ht="17.25" customHeight="1">
      <c r="B39" s="267" t="str">
        <f>IFERROR(INDEX($Q$1:$BH$100,ROW(A39),MATCH(Data_Tech!$AU$7,$Q$1:$AN$1,)+COLUMN(A38)-1),"")</f>
        <v>Кочеткова Мария Андреевна</v>
      </c>
      <c r="D39" s="222">
        <f>INDEX($Q$1:$BH$100,ROW(B39),MATCH(Data_Tech!$AU$7,$Q$1:$AN$1,)+COLUMN(B39)-1)</f>
        <v>3</v>
      </c>
      <c r="E39" s="223">
        <f>INDEX($Q$1:$BH$100,ROW(C39),MATCH(Data_Tech!$AU$7,$Q$1:$AN$1,)+COLUMN(C39)-1)</f>
        <v>17271</v>
      </c>
      <c r="H39" s="687">
        <v>6000</v>
      </c>
      <c r="I39" s="687" t="s">
        <v>375</v>
      </c>
      <c r="J39" s="10">
        <f>SUMIFS(Таблица1[сумма],Таблица1[партия],I39,Таблица1[изд],H39)</f>
        <v>0</v>
      </c>
      <c r="K39" s="10">
        <f>SUMIFS(Таблица14[часы],Таблица14[партия],I39,Таблица14[изд],H39)</f>
        <v>0</v>
      </c>
      <c r="L39" s="10">
        <f>SUMIFS(Таблица1[Столбец1],Таблица1[партия],I39,Таблица1[изд],H39)</f>
        <v>0</v>
      </c>
      <c r="M39" s="688">
        <f t="shared" ref="M39" si="13">J39+K39+L39</f>
        <v>0</v>
      </c>
      <c r="N39" s="689">
        <f>$AS$16-M39-O39</f>
        <v>540.20000000000005</v>
      </c>
      <c r="O39" s="10"/>
      <c r="P39" s="685">
        <v>38</v>
      </c>
      <c r="Q39" s="700" t="s">
        <v>327</v>
      </c>
      <c r="R39" s="667">
        <v>3</v>
      </c>
      <c r="S39" s="667">
        <v>17271</v>
      </c>
      <c r="T39" s="699">
        <v>1</v>
      </c>
      <c r="U39" s="700" t="s">
        <v>279</v>
      </c>
      <c r="V39" s="667">
        <v>5650</v>
      </c>
      <c r="W39" s="667">
        <v>5650</v>
      </c>
      <c r="X39" s="699">
        <v>5650</v>
      </c>
      <c r="Y39" s="700" t="s">
        <v>279</v>
      </c>
      <c r="Z39" s="667">
        <v>5650.00000000001</v>
      </c>
      <c r="AA39" s="667">
        <v>5650.00000000001</v>
      </c>
      <c r="AB39" s="699">
        <v>5650.00000000001</v>
      </c>
      <c r="AC39" s="700" t="s">
        <v>279</v>
      </c>
      <c r="AD39" s="667">
        <v>5650.00000000001</v>
      </c>
      <c r="AE39" s="667">
        <v>5650.00000000001</v>
      </c>
      <c r="AF39" s="699">
        <v>5650.00000000001</v>
      </c>
      <c r="AG39" s="700" t="s">
        <v>279</v>
      </c>
      <c r="AH39" s="667">
        <v>5650.00000000001</v>
      </c>
      <c r="AI39" s="667">
        <v>5650.00000000001</v>
      </c>
      <c r="AJ39" s="699">
        <v>5650.00000000002</v>
      </c>
      <c r="AK39" s="700" t="s">
        <v>279</v>
      </c>
      <c r="AL39" s="667">
        <v>5650.00000000002</v>
      </c>
      <c r="AT39" s="45"/>
      <c r="AU39" s="583"/>
      <c r="AV39" s="583"/>
      <c r="AW39" s="45"/>
    </row>
    <row r="40" spans="2:49" ht="17.25" customHeight="1">
      <c r="B40" s="267" t="str">
        <f>IFERROR(INDEX($Q$1:$BH$100,ROW(A40),MATCH(Data_Tech!$AU$7,$Q$1:$AN$1,)+COLUMN(A39)-1),"")</f>
        <v>Кравченко Светлана Александровна</v>
      </c>
      <c r="D40" s="222">
        <f>INDEX($Q$1:$BH$100,ROW(B40),MATCH(Data_Tech!$AU$7,$Q$1:$AN$1,)+COLUMN(B40)-1)</f>
        <v>3</v>
      </c>
      <c r="E40" s="223">
        <f>INDEX($Q$1:$BH$100,ROW(C40),MATCH(Data_Tech!$AU$7,$Q$1:$AN$1,)+COLUMN(C40)-1)</f>
        <v>16944</v>
      </c>
      <c r="H40" s="687"/>
      <c r="I40" s="10"/>
      <c r="J40" s="10">
        <f>SUMIFS(Таблица1[сумма],Таблица1[партия],I40,Таблица1[изд],H40)</f>
        <v>0</v>
      </c>
      <c r="K40" s="10">
        <f>SUMIFS(Таблица14[часы],Таблица14[партия],I40,Таблица14[изд],H40)</f>
        <v>0</v>
      </c>
      <c r="L40" s="10">
        <f>SUMIFS(Таблица1[Столбец1],Таблица1[партия],I40,Таблица1[изд],H40)</f>
        <v>0</v>
      </c>
      <c r="M40" s="688">
        <f t="shared" ref="M40:M50" si="14">J40+K40+L40</f>
        <v>0</v>
      </c>
      <c r="N40" s="689"/>
      <c r="O40" s="10"/>
      <c r="P40" s="685">
        <v>39</v>
      </c>
      <c r="Q40" s="700" t="s">
        <v>279</v>
      </c>
      <c r="R40" s="667">
        <v>3</v>
      </c>
      <c r="S40" s="667">
        <v>16944</v>
      </c>
      <c r="T40" s="699">
        <v>3</v>
      </c>
      <c r="U40" s="700" t="s">
        <v>288</v>
      </c>
      <c r="V40" s="667">
        <v>5699.3333333333403</v>
      </c>
      <c r="W40" s="667">
        <v>5698.3333333333403</v>
      </c>
      <c r="X40" s="699">
        <v>5697.3333333333403</v>
      </c>
      <c r="Y40" s="700" t="s">
        <v>288</v>
      </c>
      <c r="Z40" s="667">
        <v>5696.3333333333403</v>
      </c>
      <c r="AA40" s="667">
        <v>5695.3333333333403</v>
      </c>
      <c r="AB40" s="699">
        <v>5694.3333333333403</v>
      </c>
      <c r="AC40" s="700" t="s">
        <v>288</v>
      </c>
      <c r="AD40" s="667">
        <v>5693.3333333333403</v>
      </c>
      <c r="AE40" s="667">
        <v>5692.3333333333403</v>
      </c>
      <c r="AF40" s="699">
        <v>5691.3333333333403</v>
      </c>
      <c r="AG40" s="700" t="s">
        <v>288</v>
      </c>
      <c r="AH40" s="667">
        <v>5690.3333333333503</v>
      </c>
      <c r="AI40" s="667">
        <v>5689.3333333333503</v>
      </c>
      <c r="AJ40" s="699">
        <v>5688.3333333333503</v>
      </c>
      <c r="AK40" s="700" t="s">
        <v>288</v>
      </c>
      <c r="AL40" s="667">
        <v>5687.3333333333503</v>
      </c>
      <c r="AT40" s="45"/>
      <c r="AU40" s="583"/>
      <c r="AV40" s="583"/>
      <c r="AW40" s="45"/>
    </row>
    <row r="41" spans="2:49" ht="17.25" customHeight="1">
      <c r="B41" s="267" t="str">
        <f>IFERROR(INDEX($Q$1:$BH$100,ROW(A41),MATCH(Data_Tech!$AU$7,$Q$1:$AN$1,)+COLUMN(A40)-1),"")</f>
        <v>Лапина Елена Сергеевна</v>
      </c>
      <c r="D41" s="222">
        <f>INDEX($Q$1:$BH$100,ROW(B41),MATCH(Data_Tech!$AU$7,$Q$1:$AN$1,)+COLUMN(B41)-1)</f>
        <v>3</v>
      </c>
      <c r="E41" s="223">
        <f>INDEX($Q$1:$BH$100,ROW(C41),MATCH(Data_Tech!$AU$7,$Q$1:$AN$1,)+COLUMN(C41)-1)</f>
        <v>17281</v>
      </c>
      <c r="H41" s="728">
        <v>185</v>
      </c>
      <c r="I41" s="733" t="s">
        <v>372</v>
      </c>
      <c r="J41" s="730">
        <f>SUMIFS(Таблица1[сумма],Таблица1[партия],I41,Таблица1[изд],H41)</f>
        <v>0</v>
      </c>
      <c r="K41" s="730">
        <f>SUMIFS(Таблица14[часы],Таблица14[партия],I41,Таблица14[изд],H41)</f>
        <v>0</v>
      </c>
      <c r="L41" s="730">
        <f>SUMIFS(Таблица1[Столбец1],Таблица1[партия],I41,Таблица1[изд],H41)</f>
        <v>0</v>
      </c>
      <c r="M41" s="731">
        <f t="shared" si="14"/>
        <v>0</v>
      </c>
      <c r="N41" s="732">
        <f>$AS$15-M41-O41</f>
        <v>632.5</v>
      </c>
      <c r="O41" s="10"/>
      <c r="P41" s="685">
        <v>40</v>
      </c>
      <c r="Q41" s="700" t="s">
        <v>328</v>
      </c>
      <c r="R41" s="702">
        <v>3</v>
      </c>
      <c r="S41" s="703">
        <v>17281</v>
      </c>
      <c r="T41" s="699">
        <v>2</v>
      </c>
      <c r="U41" s="700" t="s">
        <v>328</v>
      </c>
      <c r="V41" s="702">
        <v>5761</v>
      </c>
      <c r="W41" s="703">
        <v>5760.5</v>
      </c>
      <c r="X41" s="699">
        <v>5760</v>
      </c>
      <c r="Y41" s="700" t="s">
        <v>328</v>
      </c>
      <c r="Z41" s="702">
        <v>5759.50000000001</v>
      </c>
      <c r="AA41" s="703">
        <v>5759.00000000001</v>
      </c>
      <c r="AB41" s="699">
        <v>5758.50000000001</v>
      </c>
      <c r="AC41" s="700" t="s">
        <v>328</v>
      </c>
      <c r="AD41" s="702">
        <v>5758.00000000001</v>
      </c>
      <c r="AE41" s="703">
        <v>5757.50000000001</v>
      </c>
      <c r="AF41" s="699">
        <v>5757.00000000001</v>
      </c>
      <c r="AG41" s="700" t="s">
        <v>328</v>
      </c>
      <c r="AH41" s="702">
        <v>5756.50000000001</v>
      </c>
      <c r="AI41" s="703">
        <v>5756.00000000001</v>
      </c>
      <c r="AJ41" s="699">
        <v>5755.50000000002</v>
      </c>
      <c r="AK41" s="700" t="s">
        <v>328</v>
      </c>
      <c r="AL41" s="702">
        <v>5755.00000000002</v>
      </c>
      <c r="AT41" s="45" t="s">
        <v>341</v>
      </c>
      <c r="AU41" s="583"/>
      <c r="AV41" s="583"/>
      <c r="AW41" s="109">
        <f>(AW37-AW36-AW38)*24</f>
        <v>3.4999999999999996</v>
      </c>
    </row>
    <row r="42" spans="2:49" ht="17.25" customHeight="1">
      <c r="B42" s="267" t="str">
        <f>IFERROR(INDEX($Q$1:$BH$100,ROW(A42),MATCH(Data_Tech!$AU$7,$Q$1:$AN$1,)+COLUMN(A41)-1),"")</f>
        <v>Лезина Анастасия Юрьевна</v>
      </c>
      <c r="D42" s="222">
        <f>INDEX($Q$1:$BH$100,ROW(B42),MATCH(Data_Tech!$AU$7,$Q$1:$AN$1,)+COLUMN(B42)-1)</f>
        <v>3</v>
      </c>
      <c r="E42" s="223">
        <f>INDEX($Q$1:$BH$100,ROW(C42),MATCH(Data_Tech!$AU$7,$Q$1:$AN$1,)+COLUMN(C42)-1)</f>
        <v>17303</v>
      </c>
      <c r="H42" s="728">
        <v>185</v>
      </c>
      <c r="I42" s="733" t="s">
        <v>371</v>
      </c>
      <c r="J42" s="730">
        <f>SUMIFS(Таблица1[сумма],Таблица1[партия],I42,Таблица1[изд],H42)</f>
        <v>0</v>
      </c>
      <c r="K42" s="730">
        <f>SUMIFS(Таблица14[часы],Таблица14[партия],I42,Таблица14[изд],H42)</f>
        <v>0</v>
      </c>
      <c r="L42" s="730">
        <f>SUMIFS(Таблица1[Столбец1],Таблица1[партия],I42,Таблица1[изд],H42)</f>
        <v>0</v>
      </c>
      <c r="M42" s="731">
        <f t="shared" si="14"/>
        <v>0</v>
      </c>
      <c r="N42" s="732">
        <f t="shared" ref="N42:N43" si="15">$AS$15-M42-O42</f>
        <v>632.5</v>
      </c>
      <c r="O42" s="10"/>
      <c r="P42" s="685">
        <v>41</v>
      </c>
      <c r="Q42" s="668" t="s">
        <v>352</v>
      </c>
      <c r="R42" s="667">
        <v>3</v>
      </c>
      <c r="S42" s="667">
        <v>17303</v>
      </c>
      <c r="T42" s="699">
        <v>3</v>
      </c>
      <c r="U42" s="700" t="s">
        <v>305</v>
      </c>
      <c r="V42" s="667">
        <v>27714</v>
      </c>
      <c r="W42" s="667">
        <v>41569</v>
      </c>
      <c r="X42" s="699"/>
      <c r="Y42" s="700" t="s">
        <v>305</v>
      </c>
      <c r="Z42" s="667">
        <v>55424</v>
      </c>
      <c r="AA42" s="667">
        <v>69279</v>
      </c>
      <c r="AB42" s="699"/>
      <c r="AC42" s="700" t="s">
        <v>305</v>
      </c>
      <c r="AD42" s="667">
        <v>83134</v>
      </c>
      <c r="AE42" s="667">
        <v>96989</v>
      </c>
      <c r="AF42" s="699"/>
      <c r="AG42" s="700" t="s">
        <v>305</v>
      </c>
      <c r="AH42" s="667">
        <v>110844</v>
      </c>
      <c r="AI42" s="667">
        <v>124699</v>
      </c>
      <c r="AJ42" s="699"/>
      <c r="AK42" s="700" t="s">
        <v>305</v>
      </c>
      <c r="AL42" s="667">
        <v>138554</v>
      </c>
      <c r="AT42" s="45" t="s">
        <v>342</v>
      </c>
      <c r="AU42" s="583"/>
      <c r="AV42" s="583"/>
      <c r="AW42" s="109">
        <f>(AW37-AW36)*24</f>
        <v>3.9999999999999991</v>
      </c>
    </row>
    <row r="43" spans="2:49" ht="17.25" customHeight="1">
      <c r="B43" s="267" t="str">
        <f>IFERROR(INDEX($Q$1:$BH$100,ROW(A43),MATCH(Data_Tech!$AU$7,$Q$1:$AN$1,)+COLUMN(A42)-1),"")</f>
        <v>Малышева Анна Евгеньевна</v>
      </c>
      <c r="D43" s="222">
        <f>INDEX($Q$1:$BH$100,ROW(B43),MATCH(Data_Tech!$AU$7,$Q$1:$AN$1,)+COLUMN(B43)-1)</f>
        <v>3</v>
      </c>
      <c r="E43" s="223">
        <f>INDEX($Q$1:$BH$100,ROW(C43),MATCH(Data_Tech!$AU$7,$Q$1:$AN$1,)+COLUMN(C43)-1)</f>
        <v>17321</v>
      </c>
      <c r="H43" s="687">
        <v>185</v>
      </c>
      <c r="I43" s="726" t="s">
        <v>373</v>
      </c>
      <c r="J43" s="10">
        <f>SUMIFS(Таблица1[сумма],Таблица1[партия],I43,Таблица1[изд],H43)</f>
        <v>0</v>
      </c>
      <c r="K43" s="10">
        <f>SUMIFS(Таблица14[часы],Таблица14[партия],I43,Таблица14[изд],H43)</f>
        <v>0</v>
      </c>
      <c r="L43" s="10">
        <f>SUMIFS(Таблица1[Столбец1],Таблица1[партия],I43,Таблица1[изд],H43)</f>
        <v>0</v>
      </c>
      <c r="M43" s="688">
        <f t="shared" si="14"/>
        <v>0</v>
      </c>
      <c r="N43" s="689">
        <f t="shared" si="15"/>
        <v>632.5</v>
      </c>
      <c r="O43" s="10"/>
      <c r="P43" s="685">
        <v>42</v>
      </c>
      <c r="Q43" s="668" t="s">
        <v>358</v>
      </c>
      <c r="R43" s="667">
        <v>3</v>
      </c>
      <c r="S43" s="667">
        <v>17321</v>
      </c>
      <c r="T43" s="699">
        <v>1</v>
      </c>
      <c r="U43" s="700" t="s">
        <v>299</v>
      </c>
      <c r="V43" s="667">
        <v>34269</v>
      </c>
      <c r="W43" s="667">
        <v>51402</v>
      </c>
      <c r="X43" s="699"/>
      <c r="Y43" s="700" t="s">
        <v>299</v>
      </c>
      <c r="Z43" s="667">
        <v>68535</v>
      </c>
      <c r="AA43" s="667">
        <v>85668</v>
      </c>
      <c r="AB43" s="699"/>
      <c r="AC43" s="700" t="s">
        <v>299</v>
      </c>
      <c r="AD43" s="667">
        <v>102801</v>
      </c>
      <c r="AE43" s="667">
        <v>119934</v>
      </c>
      <c r="AF43" s="699"/>
      <c r="AG43" s="700" t="s">
        <v>299</v>
      </c>
      <c r="AH43" s="667">
        <v>137067</v>
      </c>
      <c r="AI43" s="667">
        <v>154200</v>
      </c>
      <c r="AJ43" s="699"/>
      <c r="AK43" s="700" t="s">
        <v>299</v>
      </c>
      <c r="AL43" s="667">
        <v>171333</v>
      </c>
    </row>
    <row r="44" spans="2:49" ht="17.25" customHeight="1">
      <c r="B44" s="267" t="str">
        <f>IFERROR(INDEX($Q$1:$BH$100,ROW(A44),MATCH(Data_Tech!$AU$7,$Q$1:$AN$1,)+COLUMN(A43)-1),"")</f>
        <v>Маргиева Фатима Александровна</v>
      </c>
      <c r="D44" s="222">
        <f>INDEX($Q$1:$BH$100,ROW(B44),MATCH(Data_Tech!$AU$7,$Q$1:$AN$1,)+COLUMN(B44)-1)</f>
        <v>3</v>
      </c>
      <c r="E44" s="223">
        <f>INDEX($Q$1:$BH$100,ROW(C44),MATCH(Data_Tech!$AU$7,$Q$1:$AN$1,)+COLUMN(C44)-1)</f>
        <v>17136</v>
      </c>
      <c r="H44" s="687">
        <v>185</v>
      </c>
      <c r="I44" s="727" t="s">
        <v>376</v>
      </c>
      <c r="J44" s="10">
        <f>SUMIFS(Таблица1[сумма],Таблица1[партия],I44,Таблица1[изд],H44)</f>
        <v>0</v>
      </c>
      <c r="K44" s="10">
        <f>SUMIFS(Таблица14[часы],Таблица14[партия],I44,Таблица14[изд],H44)</f>
        <v>0</v>
      </c>
      <c r="L44" s="10">
        <f>SUMIFS(Таблица1[Столбец1],Таблица1[партия],I44,Таблица1[изд],H44)</f>
        <v>0</v>
      </c>
      <c r="M44" s="688">
        <f t="shared" si="14"/>
        <v>0</v>
      </c>
      <c r="N44" s="689">
        <f>$AS$15-M44-O44</f>
        <v>632.5</v>
      </c>
      <c r="O44" s="10"/>
      <c r="P44" s="685">
        <v>43</v>
      </c>
      <c r="Q44" s="700" t="s">
        <v>299</v>
      </c>
      <c r="R44" s="667">
        <v>3</v>
      </c>
      <c r="S44" s="667">
        <v>17136</v>
      </c>
      <c r="T44" s="699"/>
      <c r="U44" s="700" t="s">
        <v>258</v>
      </c>
      <c r="V44" s="667">
        <v>33555</v>
      </c>
      <c r="W44" s="667">
        <v>50331</v>
      </c>
      <c r="X44" s="699"/>
      <c r="Y44" s="700" t="s">
        <v>258</v>
      </c>
      <c r="Z44" s="667">
        <v>67107</v>
      </c>
      <c r="AA44" s="667">
        <v>83883</v>
      </c>
      <c r="AB44" s="699"/>
      <c r="AC44" s="700" t="s">
        <v>258</v>
      </c>
      <c r="AD44" s="667">
        <v>100659</v>
      </c>
      <c r="AE44" s="667">
        <v>117435</v>
      </c>
      <c r="AF44" s="699"/>
      <c r="AG44" s="700" t="s">
        <v>258</v>
      </c>
      <c r="AH44" s="667">
        <v>134211</v>
      </c>
      <c r="AI44" s="667">
        <v>150987</v>
      </c>
      <c r="AJ44" s="699"/>
      <c r="AK44" s="700" t="s">
        <v>258</v>
      </c>
      <c r="AL44" s="667">
        <v>167763</v>
      </c>
    </row>
    <row r="45" spans="2:49" ht="17.25" customHeight="1">
      <c r="B45" s="267" t="str">
        <f>IFERROR(INDEX($Q$1:$BH$100,ROW(A45),MATCH(Data_Tech!$AU$7,$Q$1:$AN$1,)+COLUMN(A44)-1),"")</f>
        <v>Маркова Ольга Евгеньевна</v>
      </c>
      <c r="D45" s="222">
        <f>INDEX($Q$1:$BH$100,ROW(B45),MATCH(Data_Tech!$AU$7,$Q$1:$AN$1,)+COLUMN(B45)-1)</f>
        <v>3</v>
      </c>
      <c r="E45" s="223">
        <f>INDEX($Q$1:$BH$100,ROW(C45),MATCH(Data_Tech!$AU$7,$Q$1:$AN$1,)+COLUMN(C45)-1)</f>
        <v>16779</v>
      </c>
      <c r="H45" s="687"/>
      <c r="I45" s="727"/>
      <c r="J45" s="10">
        <f>SUMIFS(Таблица1[сумма],Таблица1[партия],I45,Таблица1[изд],H45)</f>
        <v>0</v>
      </c>
      <c r="K45" s="10">
        <f>SUMIFS(Таблица14[часы],Таблица14[партия],I45,Таблица14[изд],H45)</f>
        <v>0</v>
      </c>
      <c r="L45" s="10">
        <f>SUMIFS(Таблица1[Столбец1],Таблица1[партия],I45,Таблица1[изд],H45)</f>
        <v>0</v>
      </c>
      <c r="M45" s="688">
        <f t="shared" si="14"/>
        <v>0</v>
      </c>
      <c r="N45" s="689"/>
      <c r="O45" s="10"/>
      <c r="P45" s="685">
        <v>44</v>
      </c>
      <c r="Q45" s="700" t="s">
        <v>258</v>
      </c>
      <c r="R45" s="667">
        <v>3</v>
      </c>
      <c r="S45" s="667">
        <v>16779</v>
      </c>
      <c r="T45" s="699"/>
      <c r="U45" s="700" t="s">
        <v>280</v>
      </c>
      <c r="V45" s="667">
        <v>5623.3333333333403</v>
      </c>
      <c r="W45" s="667">
        <v>5622.3333333333403</v>
      </c>
      <c r="X45" s="699">
        <v>5621.3333333333403</v>
      </c>
      <c r="Y45" s="700" t="s">
        <v>280</v>
      </c>
      <c r="Z45" s="667">
        <v>5620.3333333333403</v>
      </c>
      <c r="AA45" s="667">
        <v>5619.3333333333403</v>
      </c>
      <c r="AB45" s="699">
        <v>5618.3333333333403</v>
      </c>
      <c r="AC45" s="700" t="s">
        <v>280</v>
      </c>
      <c r="AD45" s="667">
        <v>5617.3333333333403</v>
      </c>
      <c r="AE45" s="667">
        <v>5616.3333333333403</v>
      </c>
      <c r="AF45" s="699">
        <v>5615.3333333333403</v>
      </c>
      <c r="AG45" s="700" t="s">
        <v>280</v>
      </c>
      <c r="AH45" s="667">
        <v>5614.3333333333503</v>
      </c>
      <c r="AI45" s="667">
        <v>5613.3333333333503</v>
      </c>
      <c r="AJ45" s="699">
        <v>5612.3333333333503</v>
      </c>
      <c r="AK45" s="700" t="s">
        <v>280</v>
      </c>
      <c r="AL45" s="667">
        <v>5611.3333333333503</v>
      </c>
    </row>
    <row r="46" spans="2:49" ht="17.25" customHeight="1">
      <c r="B46" s="267" t="str">
        <f>IFERROR(INDEX($Q$1:$BH$100,ROW(A46),MATCH(Data_Tech!$AU$7,$Q$1:$AN$1,)+COLUMN(A45)-1),"")</f>
        <v>Марченко Ирина Вячеславовна</v>
      </c>
      <c r="D46" s="222">
        <f>INDEX($Q$1:$BH$100,ROW(B46),MATCH(Data_Tech!$AU$7,$Q$1:$AN$1,)+COLUMN(B46)-1)</f>
        <v>3</v>
      </c>
      <c r="E46" s="223">
        <f>INDEX($Q$1:$BH$100,ROW(C46),MATCH(Data_Tech!$AU$7,$Q$1:$AN$1,)+COLUMN(C46)-1)</f>
        <v>16872</v>
      </c>
      <c r="H46" s="728">
        <v>757</v>
      </c>
      <c r="I46" s="733" t="s">
        <v>365</v>
      </c>
      <c r="J46" s="730">
        <f>SUMIFS(Таблица1[сумма],Таблица1[партия],I46,Таблица1[изд],H46)</f>
        <v>0</v>
      </c>
      <c r="K46" s="730">
        <f>SUMIFS(Таблица14[часы],Таблица14[партия],I46,Таблица14[изд],H46)</f>
        <v>0</v>
      </c>
      <c r="L46" s="730">
        <f>SUMIFS(Таблица1[Столбец1],Таблица1[партия],I46,Таблица1[изд],H46)</f>
        <v>0</v>
      </c>
      <c r="M46" s="731">
        <f t="shared" si="14"/>
        <v>0</v>
      </c>
      <c r="N46" s="732">
        <f>$AS$17-M46-O46</f>
        <v>836.2</v>
      </c>
      <c r="O46" s="10"/>
      <c r="P46" s="685">
        <v>45</v>
      </c>
      <c r="Q46" s="700" t="s">
        <v>280</v>
      </c>
      <c r="R46" s="667">
        <v>3</v>
      </c>
      <c r="S46" s="667">
        <v>16872</v>
      </c>
      <c r="T46" s="699">
        <v>1</v>
      </c>
      <c r="U46" s="700" t="s">
        <v>293</v>
      </c>
      <c r="V46" s="667">
        <v>5709</v>
      </c>
      <c r="W46" s="667">
        <v>5709</v>
      </c>
      <c r="X46" s="699">
        <v>5709</v>
      </c>
      <c r="Y46" s="700" t="s">
        <v>293</v>
      </c>
      <c r="Z46" s="667">
        <v>5709.00000000001</v>
      </c>
      <c r="AA46" s="667">
        <v>5709.00000000001</v>
      </c>
      <c r="AB46" s="699">
        <v>5709.00000000001</v>
      </c>
      <c r="AC46" s="700" t="s">
        <v>293</v>
      </c>
      <c r="AD46" s="667">
        <v>5709.00000000001</v>
      </c>
      <c r="AE46" s="667">
        <v>5709.00000000001</v>
      </c>
      <c r="AF46" s="699">
        <v>5709.00000000001</v>
      </c>
      <c r="AG46" s="700" t="s">
        <v>293</v>
      </c>
      <c r="AH46" s="667">
        <v>5709.00000000001</v>
      </c>
      <c r="AI46" s="667">
        <v>5709.00000000001</v>
      </c>
      <c r="AJ46" s="699">
        <v>5709.00000000002</v>
      </c>
      <c r="AK46" s="700" t="s">
        <v>293</v>
      </c>
      <c r="AL46" s="667">
        <v>5709.00000000002</v>
      </c>
    </row>
    <row r="47" spans="2:49" ht="17.25" customHeight="1">
      <c r="B47" s="267" t="str">
        <f>IFERROR(INDEX($Q$1:$BH$100,ROW(A47),MATCH(Data_Tech!$AU$7,$Q$1:$AN$1,)+COLUMN(A46)-1),"")</f>
        <v>Матыгулина Наталья Энвировна</v>
      </c>
      <c r="D47" s="222">
        <f>INDEX($Q$1:$BH$100,ROW(B47),MATCH(Data_Tech!$AU$7,$Q$1:$AN$1,)+COLUMN(B47)-1)</f>
        <v>3</v>
      </c>
      <c r="E47" s="223">
        <f>INDEX($Q$1:$BH$100,ROW(C47),MATCH(Data_Tech!$AU$7,$Q$1:$AN$1,)+COLUMN(C47)-1)</f>
        <v>15082</v>
      </c>
      <c r="H47" s="728">
        <v>757</v>
      </c>
      <c r="I47" s="733" t="s">
        <v>366</v>
      </c>
      <c r="J47" s="730">
        <f>SUMIFS(Таблица1[сумма],Таблица1[партия],I47,Таблица1[изд],H47)</f>
        <v>0</v>
      </c>
      <c r="K47" s="730">
        <f>SUMIFS(Таблица14[часы],Таблица14[партия],I47,Таблица14[изд],H47)</f>
        <v>0</v>
      </c>
      <c r="L47" s="730">
        <f>SUMIFS(Таблица1[Столбец1],Таблица1[партия],I47,Таблица1[изд],H47)</f>
        <v>0</v>
      </c>
      <c r="M47" s="731">
        <f t="shared" si="14"/>
        <v>0</v>
      </c>
      <c r="N47" s="732">
        <f t="shared" ref="N47:N49" si="16">$AS$17-M47-O47</f>
        <v>836.2</v>
      </c>
      <c r="O47" s="10"/>
      <c r="P47" s="685">
        <v>46</v>
      </c>
      <c r="Q47" s="668" t="s">
        <v>362</v>
      </c>
      <c r="R47" s="667">
        <v>3</v>
      </c>
      <c r="S47" s="667">
        <v>15082</v>
      </c>
      <c r="T47" s="699">
        <v>2</v>
      </c>
      <c r="U47" s="700" t="s">
        <v>273</v>
      </c>
      <c r="V47" s="667">
        <v>29762</v>
      </c>
      <c r="W47" s="667">
        <v>44641</v>
      </c>
      <c r="X47" s="699"/>
      <c r="Y47" s="700" t="s">
        <v>273</v>
      </c>
      <c r="Z47" s="667">
        <v>59520</v>
      </c>
      <c r="AA47" s="667">
        <v>74399</v>
      </c>
      <c r="AB47" s="699"/>
      <c r="AC47" s="700" t="s">
        <v>273</v>
      </c>
      <c r="AD47" s="667">
        <v>89278</v>
      </c>
      <c r="AE47" s="667">
        <v>104157</v>
      </c>
      <c r="AF47" s="699"/>
      <c r="AG47" s="700" t="s">
        <v>273</v>
      </c>
      <c r="AH47" s="667">
        <v>119036</v>
      </c>
      <c r="AI47" s="667">
        <v>133915</v>
      </c>
      <c r="AJ47" s="699"/>
      <c r="AK47" s="700" t="s">
        <v>273</v>
      </c>
      <c r="AL47" s="667">
        <v>148794</v>
      </c>
    </row>
    <row r="48" spans="2:49" ht="17.25" customHeight="1">
      <c r="B48" s="267" t="str">
        <f>IFERROR(INDEX($Q$1:$BH$100,ROW(A48),MATCH(Data_Tech!$AU$7,$Q$1:$AN$1,)+COLUMN(A47)-1),"")</f>
        <v>Машталяр Анна Сергеевна</v>
      </c>
      <c r="D48" s="222">
        <f>INDEX($Q$1:$BH$100,ROW(B48),MATCH(Data_Tech!$AU$7,$Q$1:$AN$1,)+COLUMN(B48)-1)</f>
        <v>3</v>
      </c>
      <c r="E48" s="223">
        <f>INDEX($Q$1:$BH$100,ROW(C48),MATCH(Data_Tech!$AU$7,$Q$1:$AN$1,)+COLUMN(C48)-1)</f>
        <v>17341</v>
      </c>
      <c r="H48" s="728">
        <v>757</v>
      </c>
      <c r="I48" s="733" t="s">
        <v>367</v>
      </c>
      <c r="J48" s="730">
        <f>SUMIFS(Таблица1[сумма],Таблица1[партия],I48,Таблица1[изд],H48)</f>
        <v>0</v>
      </c>
      <c r="K48" s="730">
        <f>SUMIFS(Таблица14[часы],Таблица14[партия],I48,Таблица14[изд],H48)</f>
        <v>0</v>
      </c>
      <c r="L48" s="730">
        <f>SUMIFS(Таблица1[Столбец1],Таблица1[партия],I48,Таблица1[изд],H48)</f>
        <v>0</v>
      </c>
      <c r="M48" s="731">
        <f t="shared" si="14"/>
        <v>0</v>
      </c>
      <c r="N48" s="732">
        <f t="shared" si="16"/>
        <v>836.2</v>
      </c>
      <c r="O48" s="10"/>
      <c r="P48" s="685">
        <v>47</v>
      </c>
      <c r="Q48" s="668" t="s">
        <v>390</v>
      </c>
      <c r="R48" s="667">
        <v>3</v>
      </c>
      <c r="S48" s="668">
        <v>17341</v>
      </c>
      <c r="T48" s="699">
        <v>3</v>
      </c>
      <c r="U48" s="700" t="s">
        <v>281</v>
      </c>
      <c r="V48" s="667">
        <v>30475</v>
      </c>
      <c r="W48" s="667">
        <v>45711</v>
      </c>
      <c r="X48" s="699"/>
      <c r="Y48" s="700" t="s">
        <v>281</v>
      </c>
      <c r="Z48" s="667">
        <v>60947</v>
      </c>
      <c r="AA48" s="667">
        <v>76183</v>
      </c>
      <c r="AB48" s="699"/>
      <c r="AC48" s="700" t="s">
        <v>281</v>
      </c>
      <c r="AD48" s="667">
        <v>91419</v>
      </c>
      <c r="AE48" s="667">
        <v>106655</v>
      </c>
      <c r="AF48" s="699"/>
      <c r="AG48" s="700" t="s">
        <v>281</v>
      </c>
      <c r="AH48" s="667">
        <v>121891</v>
      </c>
      <c r="AI48" s="667">
        <v>137127</v>
      </c>
      <c r="AJ48" s="699"/>
      <c r="AK48" s="700" t="s">
        <v>281</v>
      </c>
      <c r="AL48" s="667">
        <v>152363</v>
      </c>
    </row>
    <row r="49" spans="2:38" ht="17.25" customHeight="1">
      <c r="B49" s="267" t="str">
        <f>IFERROR(INDEX($Q$1:$BH$100,ROW(A49),MATCH(Data_Tech!$AU$7,$Q$1:$AN$1,)+COLUMN(A48)-1),"")</f>
        <v>Мельникова Анна Юрьевна</v>
      </c>
      <c r="D49" s="222">
        <f>INDEX($Q$1:$BH$100,ROW(B49),MATCH(Data_Tech!$AU$7,$Q$1:$AN$1,)+COLUMN(B49)-1)</f>
        <v>3</v>
      </c>
      <c r="E49" s="223">
        <f>INDEX($Q$1:$BH$100,ROW(C49),MATCH(Data_Tech!$AU$7,$Q$1:$AN$1,)+COLUMN(C49)-1)</f>
        <v>17121</v>
      </c>
      <c r="H49" s="728">
        <v>757</v>
      </c>
      <c r="I49" s="733" t="s">
        <v>368</v>
      </c>
      <c r="J49" s="730">
        <f>SUMIFS(Таблица1[сумма],Таблица1[партия],I49,Таблица1[изд],H49)</f>
        <v>0</v>
      </c>
      <c r="K49" s="730">
        <f>SUMIFS(Таблица14[часы],Таблица14[партия],I49,Таблица14[изд],H49)</f>
        <v>0</v>
      </c>
      <c r="L49" s="730">
        <f>SUMIFS(Таблица1[Столбец1],Таблица1[партия],I49,Таблица1[изд],H49)</f>
        <v>0</v>
      </c>
      <c r="M49" s="731">
        <f t="shared" si="14"/>
        <v>0</v>
      </c>
      <c r="N49" s="732">
        <f t="shared" si="16"/>
        <v>836.2</v>
      </c>
      <c r="O49" s="10"/>
      <c r="P49" s="685">
        <v>48</v>
      </c>
      <c r="Q49" s="700" t="s">
        <v>293</v>
      </c>
      <c r="R49" s="667">
        <v>3</v>
      </c>
      <c r="S49" s="667">
        <v>17121</v>
      </c>
      <c r="T49" s="699">
        <v>3</v>
      </c>
      <c r="U49" s="700" t="s">
        <v>259</v>
      </c>
      <c r="V49" s="667">
        <v>30079</v>
      </c>
      <c r="W49" s="667">
        <v>45117</v>
      </c>
      <c r="X49" s="699"/>
      <c r="Y49" s="700" t="s">
        <v>259</v>
      </c>
      <c r="Z49" s="667">
        <v>60155</v>
      </c>
      <c r="AA49" s="667">
        <v>75193</v>
      </c>
      <c r="AB49" s="699"/>
      <c r="AC49" s="700" t="s">
        <v>259</v>
      </c>
      <c r="AD49" s="667">
        <v>90231</v>
      </c>
      <c r="AE49" s="667">
        <v>105269</v>
      </c>
      <c r="AF49" s="699"/>
      <c r="AG49" s="700" t="s">
        <v>259</v>
      </c>
      <c r="AH49" s="667">
        <v>120307</v>
      </c>
      <c r="AI49" s="667">
        <v>135345</v>
      </c>
      <c r="AJ49" s="699"/>
      <c r="AK49" s="700" t="s">
        <v>259</v>
      </c>
      <c r="AL49" s="667">
        <v>150383</v>
      </c>
    </row>
    <row r="50" spans="2:38" ht="17.25" customHeight="1">
      <c r="B50" s="267" t="str">
        <f>IFERROR(INDEX($Q$1:$BH$100,ROW(A50),MATCH(Data_Tech!$AU$7,$Q$1:$AN$1,)+COLUMN(A49)-1),"")</f>
        <v>Минко Елена Анатольевна</v>
      </c>
      <c r="D50" s="222">
        <f>INDEX($Q$1:$BH$100,ROW(B50),MATCH(Data_Tech!$AU$7,$Q$1:$AN$1,)+COLUMN(B50)-1)</f>
        <v>4</v>
      </c>
      <c r="E50" s="223">
        <f>INDEX($Q$1:$BH$100,ROW(C50),MATCH(Data_Tech!$AU$7,$Q$1:$AN$1,)+COLUMN(C50)-1)</f>
        <v>14883</v>
      </c>
      <c r="H50" s="687">
        <v>757</v>
      </c>
      <c r="I50" s="727" t="s">
        <v>376</v>
      </c>
      <c r="J50" s="10">
        <f>SUMIFS(Таблица1[сумма],Таблица1[партия],I50,Таблица1[изд],H50)</f>
        <v>0</v>
      </c>
      <c r="K50" s="10">
        <f>SUMIFS(Таблица14[часы],Таблица14[партия],I50,Таблица14[изд],H50)</f>
        <v>0</v>
      </c>
      <c r="L50" s="10">
        <f>SUMIFS(Таблица1[Столбец1],Таблица1[партия],I50,Таблица1[изд],H50)</f>
        <v>0</v>
      </c>
      <c r="M50" s="688">
        <f t="shared" si="14"/>
        <v>0</v>
      </c>
      <c r="N50" s="689">
        <f>$AS$17-M50-O50</f>
        <v>836.2</v>
      </c>
      <c r="O50" s="10"/>
      <c r="P50" s="685">
        <v>49</v>
      </c>
      <c r="Q50" s="700" t="s">
        <v>273</v>
      </c>
      <c r="R50" s="667">
        <v>4</v>
      </c>
      <c r="S50" s="667">
        <v>14883</v>
      </c>
      <c r="T50" s="699"/>
      <c r="U50" s="700" t="s">
        <v>303</v>
      </c>
      <c r="V50" s="667">
        <v>5722.00000000001</v>
      </c>
      <c r="W50" s="667">
        <v>5721.50000000001</v>
      </c>
      <c r="X50" s="699">
        <v>5721.00000000001</v>
      </c>
      <c r="Y50" s="700" t="s">
        <v>303</v>
      </c>
      <c r="Z50" s="667">
        <v>5720.50000000001</v>
      </c>
      <c r="AA50" s="667">
        <v>5720.00000000002</v>
      </c>
      <c r="AB50" s="699">
        <v>5719.50000000002</v>
      </c>
      <c r="AC50" s="700" t="s">
        <v>303</v>
      </c>
      <c r="AD50" s="667">
        <v>5719.00000000002</v>
      </c>
      <c r="AE50" s="667">
        <v>5718.50000000002</v>
      </c>
      <c r="AF50" s="699">
        <v>5718.00000000003</v>
      </c>
      <c r="AG50" s="700" t="s">
        <v>303</v>
      </c>
      <c r="AH50" s="667">
        <v>5717.50000000003</v>
      </c>
      <c r="AI50" s="667">
        <v>5717.00000000003</v>
      </c>
      <c r="AJ50" s="699">
        <v>5716.50000000003</v>
      </c>
      <c r="AK50" s="700" t="s">
        <v>303</v>
      </c>
      <c r="AL50" s="667">
        <v>5716.00000000004</v>
      </c>
    </row>
    <row r="51" spans="2:38" ht="17.25" customHeight="1">
      <c r="B51" s="267" t="str">
        <f>IFERROR(INDEX($Q$1:$BH$100,ROW(A51),MATCH(Data_Tech!$AU$7,$Q$1:$AN$1,)+COLUMN(A50)-1),"")</f>
        <v>Михалочкина Наталья Ивановна</v>
      </c>
      <c r="C51" s="45"/>
      <c r="D51" s="222">
        <f>INDEX($Q$1:$BH$100,ROW(B51),MATCH(Data_Tech!$AU$7,$Q$1:$AN$1,)+COLUMN(B51)-1)</f>
        <v>3</v>
      </c>
      <c r="E51" s="223">
        <f>INDEX($Q$1:$BH$100,ROW(C51),MATCH(Data_Tech!$AU$7,$Q$1:$AN$1,)+COLUMN(C51)-1)</f>
        <v>17312</v>
      </c>
      <c r="H51" s="687">
        <v>757</v>
      </c>
      <c r="I51" s="727" t="s">
        <v>377</v>
      </c>
      <c r="J51" s="10">
        <f>SUMIFS(Таблица1[сумма],Таблица1[партия],I51,Таблица1[изд],H51)</f>
        <v>0</v>
      </c>
      <c r="K51" s="10">
        <f>SUMIFS(Таблица14[часы],Таблица14[партия],I51,Таблица14[изд],H51)</f>
        <v>0</v>
      </c>
      <c r="L51" s="10">
        <f>SUMIFS(Таблица1[Столбец1],Таблица1[партия],I51,Таблица1[изд],H51)</f>
        <v>0</v>
      </c>
      <c r="M51" s="688">
        <f t="shared" ref="M51:M59" si="17">J51+K51+L51</f>
        <v>0</v>
      </c>
      <c r="N51" s="689">
        <f>$AS$17-M51-O51</f>
        <v>836.2</v>
      </c>
      <c r="O51" s="10"/>
      <c r="P51" s="685">
        <v>50</v>
      </c>
      <c r="Q51" s="668" t="s">
        <v>356</v>
      </c>
      <c r="R51" s="667">
        <v>3</v>
      </c>
      <c r="S51" s="667">
        <v>17312</v>
      </c>
      <c r="T51" s="699">
        <v>2</v>
      </c>
      <c r="U51" s="700" t="s">
        <v>268</v>
      </c>
      <c r="V51" s="667">
        <v>33897</v>
      </c>
      <c r="W51" s="667">
        <v>50844</v>
      </c>
      <c r="X51" s="699"/>
      <c r="Y51" s="700" t="s">
        <v>268</v>
      </c>
      <c r="Z51" s="667">
        <v>67791</v>
      </c>
      <c r="AA51" s="667">
        <v>84738</v>
      </c>
      <c r="AB51" s="699"/>
      <c r="AC51" s="700" t="s">
        <v>268</v>
      </c>
      <c r="AD51" s="667">
        <v>101685</v>
      </c>
      <c r="AE51" s="667">
        <v>118632</v>
      </c>
      <c r="AF51" s="699"/>
      <c r="AG51" s="700" t="s">
        <v>268</v>
      </c>
      <c r="AH51" s="667">
        <v>135579</v>
      </c>
      <c r="AI51" s="667">
        <v>152526</v>
      </c>
      <c r="AJ51" s="699"/>
      <c r="AK51" s="700" t="s">
        <v>268</v>
      </c>
      <c r="AL51" s="667">
        <v>169473</v>
      </c>
    </row>
    <row r="52" spans="2:38" ht="17.25" customHeight="1">
      <c r="B52" s="267" t="str">
        <f>IFERROR(INDEX($Q$1:$BH$100,ROW(A52),MATCH(Data_Tech!$AU$7,$Q$1:$AN$1,)+COLUMN(A51)-1),"")</f>
        <v>Михно Татьяна Николаевна</v>
      </c>
      <c r="C52" s="45"/>
      <c r="D52" s="222">
        <f>INDEX($Q$1:$BH$100,ROW(B52),MATCH(Data_Tech!$AU$7,$Q$1:$AN$1,)+COLUMN(B52)-1)</f>
        <v>3</v>
      </c>
      <c r="E52" s="223">
        <f>INDEX($Q$1:$BH$100,ROW(C52),MATCH(Data_Tech!$AU$7,$Q$1:$AN$1,)+COLUMN(C52)-1)</f>
        <v>15239</v>
      </c>
      <c r="H52" s="728">
        <v>85</v>
      </c>
      <c r="I52" s="729" t="s">
        <v>380</v>
      </c>
      <c r="J52" s="730">
        <f>SUMIFS(Таблица1[сумма],Таблица1[партия],I52,Таблица1[изд],H52)</f>
        <v>0</v>
      </c>
      <c r="K52" s="730">
        <f>SUMIFS(Таблица14[часы],Таблица14[партия],I52,Таблица14[изд],H52)</f>
        <v>0</v>
      </c>
      <c r="L52" s="730">
        <f>SUMIFS(Таблица1[Столбец1],Таблица1[партия],I52,Таблица1[изд],H52)</f>
        <v>0</v>
      </c>
      <c r="M52" s="731">
        <f t="shared" si="17"/>
        <v>0</v>
      </c>
      <c r="N52" s="732">
        <f>$AS$4-M52-O52</f>
        <v>1265</v>
      </c>
      <c r="O52" s="10"/>
      <c r="P52" s="685">
        <v>51</v>
      </c>
      <c r="Q52" s="700" t="s">
        <v>281</v>
      </c>
      <c r="R52" s="667">
        <v>3</v>
      </c>
      <c r="S52" s="667">
        <v>15239</v>
      </c>
      <c r="T52" s="699"/>
      <c r="U52" s="700" t="s">
        <v>260</v>
      </c>
      <c r="V52" s="667">
        <v>32619</v>
      </c>
      <c r="W52" s="667">
        <v>48927</v>
      </c>
      <c r="X52" s="699"/>
      <c r="Y52" s="700" t="s">
        <v>260</v>
      </c>
      <c r="Z52" s="667">
        <v>65235</v>
      </c>
      <c r="AA52" s="667">
        <v>81543</v>
      </c>
      <c r="AB52" s="699"/>
      <c r="AC52" s="700" t="s">
        <v>260</v>
      </c>
      <c r="AD52" s="667">
        <v>97851</v>
      </c>
      <c r="AE52" s="667">
        <v>114159</v>
      </c>
      <c r="AF52" s="699"/>
      <c r="AG52" s="700" t="s">
        <v>260</v>
      </c>
      <c r="AH52" s="667">
        <v>130467</v>
      </c>
      <c r="AI52" s="667">
        <v>146775</v>
      </c>
      <c r="AJ52" s="699"/>
      <c r="AK52" s="700" t="s">
        <v>260</v>
      </c>
      <c r="AL52" s="667">
        <v>163083</v>
      </c>
    </row>
    <row r="53" spans="2:38" ht="17.25" customHeight="1">
      <c r="B53" s="267" t="str">
        <f>IFERROR(INDEX($Q$1:$BH$100,ROW(A53),MATCH(Data_Tech!$AU$7,$Q$1:$AN$1,)+COLUMN(A52)-1),"")</f>
        <v>Набойченко Седа Хамидовна</v>
      </c>
      <c r="C53" s="45"/>
      <c r="D53" s="222">
        <f>INDEX($Q$1:$BH$100,ROW(B53),MATCH(Data_Tech!$AU$7,$Q$1:$AN$1,)+COLUMN(B53)-1)</f>
        <v>3</v>
      </c>
      <c r="E53" s="223">
        <f>INDEX($Q$1:$BH$100,ROW(C53),MATCH(Data_Tech!$AU$7,$Q$1:$AN$1,)+COLUMN(C53)-1)</f>
        <v>15041</v>
      </c>
      <c r="H53" s="687">
        <v>85</v>
      </c>
      <c r="I53" s="727" t="s">
        <v>381</v>
      </c>
      <c r="J53" s="10">
        <f>SUMIFS(Таблица1[сумма],Таблица1[партия],I53,Таблица1[изд],H53)</f>
        <v>0</v>
      </c>
      <c r="K53" s="10">
        <f>SUMIFS(Таблица14[часы],Таблица14[партия],I53,Таблица14[изд],H53)</f>
        <v>0</v>
      </c>
      <c r="L53" s="10">
        <f>SUMIFS(Таблица1[Столбец1],Таблица1[партия],I53,Таблица1[изд],H53)</f>
        <v>0</v>
      </c>
      <c r="M53" s="688">
        <f t="shared" si="17"/>
        <v>0</v>
      </c>
      <c r="N53" s="689">
        <f>$AS$20-M53-O53</f>
        <v>760.72500000000002</v>
      </c>
      <c r="O53" s="10"/>
      <c r="P53" s="685">
        <v>52</v>
      </c>
      <c r="Q53" s="700" t="s">
        <v>259</v>
      </c>
      <c r="R53" s="667">
        <v>3</v>
      </c>
      <c r="S53" s="667">
        <v>15041</v>
      </c>
      <c r="T53" s="699"/>
      <c r="U53" s="700" t="s">
        <v>287</v>
      </c>
      <c r="V53" s="667">
        <v>5698.6666666666697</v>
      </c>
      <c r="W53" s="667">
        <v>5698.6666666666697</v>
      </c>
      <c r="X53" s="699">
        <v>5698.6666666666797</v>
      </c>
      <c r="Y53" s="700" t="s">
        <v>287</v>
      </c>
      <c r="Z53" s="667">
        <v>5698.6666666666797</v>
      </c>
      <c r="AA53" s="667">
        <v>5698.6666666666797</v>
      </c>
      <c r="AB53" s="699">
        <v>5698.6666666666897</v>
      </c>
      <c r="AC53" s="700" t="s">
        <v>287</v>
      </c>
      <c r="AD53" s="667">
        <v>5698.6666666666897</v>
      </c>
      <c r="AE53" s="667">
        <v>5698.6666666666897</v>
      </c>
      <c r="AF53" s="699">
        <v>5698.6666666666897</v>
      </c>
      <c r="AG53" s="700" t="s">
        <v>287</v>
      </c>
      <c r="AH53" s="667">
        <v>5698.6666666666997</v>
      </c>
      <c r="AI53" s="667">
        <v>5698.6666666666997</v>
      </c>
      <c r="AJ53" s="699">
        <v>5698.6666666666997</v>
      </c>
      <c r="AK53" s="700" t="s">
        <v>287</v>
      </c>
      <c r="AL53" s="667">
        <v>5698.6666666666997</v>
      </c>
    </row>
    <row r="54" spans="2:38" ht="17.25" customHeight="1">
      <c r="B54" s="267" t="str">
        <f>IFERROR(INDEX($Q$1:$BH$100,ROW(A54),MATCH(Data_Tech!$AU$7,$Q$1:$AN$1,)+COLUMN(A53)-1),"")</f>
        <v>Нагловская Наталья Анатольевна</v>
      </c>
      <c r="C54" s="45"/>
      <c r="D54" s="222">
        <f>INDEX($Q$1:$BH$100,ROW(B54),MATCH(Data_Tech!$AU$7,$Q$1:$AN$1,)+COLUMN(B54)-1)</f>
        <v>3</v>
      </c>
      <c r="E54" s="223">
        <f>INDEX($Q$1:$BH$100,ROW(C54),MATCH(Data_Tech!$AU$7,$Q$1:$AN$1,)+COLUMN(C54)-1)</f>
        <v>16303</v>
      </c>
      <c r="H54" s="687">
        <v>85</v>
      </c>
      <c r="I54" s="727" t="s">
        <v>376</v>
      </c>
      <c r="J54" s="10">
        <f>SUMIFS(Таблица1[сумма],Таблица1[партия],I54,Таблица1[изд],H54)</f>
        <v>0</v>
      </c>
      <c r="K54" s="10">
        <f>SUMIFS(Таблица14[часы],Таблица14[партия],I54,Таблица14[изд],H54)</f>
        <v>0</v>
      </c>
      <c r="L54" s="10">
        <f>SUMIFS(Таблица1[Столбец1],Таблица1[партия],I54,Таблица1[изд],H54)</f>
        <v>0</v>
      </c>
      <c r="M54" s="688">
        <f t="shared" si="17"/>
        <v>0</v>
      </c>
      <c r="N54" s="689">
        <f>$AS$4-M54-O54</f>
        <v>1265</v>
      </c>
      <c r="O54" s="10"/>
      <c r="P54" s="685">
        <v>53</v>
      </c>
      <c r="Q54" s="668" t="s">
        <v>363</v>
      </c>
      <c r="R54" s="667">
        <v>3</v>
      </c>
      <c r="S54" s="667">
        <v>16303</v>
      </c>
      <c r="T54" s="699"/>
      <c r="U54" s="700" t="s">
        <v>261</v>
      </c>
      <c r="V54" s="667">
        <v>31109</v>
      </c>
      <c r="W54" s="667">
        <v>46662</v>
      </c>
      <c r="X54" s="699"/>
      <c r="Y54" s="700" t="s">
        <v>261</v>
      </c>
      <c r="Z54" s="667">
        <v>62215</v>
      </c>
      <c r="AA54" s="667">
        <v>77768</v>
      </c>
      <c r="AB54" s="699"/>
      <c r="AC54" s="700" t="s">
        <v>261</v>
      </c>
      <c r="AD54" s="667">
        <v>93321</v>
      </c>
      <c r="AE54" s="667">
        <v>108874</v>
      </c>
      <c r="AF54" s="699"/>
      <c r="AG54" s="700" t="s">
        <v>261</v>
      </c>
      <c r="AH54" s="667">
        <v>124427</v>
      </c>
      <c r="AI54" s="667">
        <v>139980</v>
      </c>
      <c r="AJ54" s="699"/>
      <c r="AK54" s="700" t="s">
        <v>261</v>
      </c>
      <c r="AL54" s="667">
        <v>155533</v>
      </c>
    </row>
    <row r="55" spans="2:38" ht="17.25" customHeight="1">
      <c r="B55" s="267" t="str">
        <f>IFERROR(INDEX($Q$1:$BH$100,ROW(A55),MATCH(Data_Tech!$AU$7,$Q$1:$AN$1,)+COLUMN(A54)-1),"")</f>
        <v>Никифорова Юлия Анатольевна</v>
      </c>
      <c r="C55" s="45"/>
      <c r="D55" s="222">
        <f>INDEX($Q$1:$BH$100,ROW(B55),MATCH(Data_Tech!$AU$7,$Q$1:$AN$1,)+COLUMN(B55)-1)</f>
        <v>3</v>
      </c>
      <c r="E55" s="223">
        <f>INDEX($Q$1:$BH$100,ROW(C55),MATCH(Data_Tech!$AU$7,$Q$1:$AN$1,)+COLUMN(C55)-1)</f>
        <v>17164</v>
      </c>
      <c r="H55" s="687"/>
      <c r="I55" s="727"/>
      <c r="J55" s="10">
        <f>SUMIFS(Таблица1[сумма],Таблица1[партия],I55,Таблица1[изд],H55)</f>
        <v>0</v>
      </c>
      <c r="K55" s="10">
        <f>SUMIFS(Таблица14[часы],Таблица14[партия],I55,Таблица14[изд],H55)</f>
        <v>0</v>
      </c>
      <c r="L55" s="10">
        <f>SUMIFS(Таблица1[Столбец1],Таблица1[партия],I55,Таблица1[изд],H55)</f>
        <v>0</v>
      </c>
      <c r="M55" s="688">
        <f t="shared" si="17"/>
        <v>0</v>
      </c>
      <c r="N55" s="689"/>
      <c r="O55" s="10"/>
      <c r="P55" s="685">
        <v>54</v>
      </c>
      <c r="Q55" s="700" t="s">
        <v>303</v>
      </c>
      <c r="R55" s="667">
        <v>3</v>
      </c>
      <c r="S55" s="667">
        <v>17164</v>
      </c>
      <c r="T55" s="699">
        <v>2</v>
      </c>
      <c r="U55" s="700" t="s">
        <v>297</v>
      </c>
      <c r="V55" s="667">
        <v>31175</v>
      </c>
      <c r="W55" s="667">
        <v>46761</v>
      </c>
      <c r="X55" s="699"/>
      <c r="Y55" s="700" t="s">
        <v>297</v>
      </c>
      <c r="Z55" s="667">
        <v>62347</v>
      </c>
      <c r="AA55" s="667">
        <v>77933</v>
      </c>
      <c r="AB55" s="699"/>
      <c r="AC55" s="700" t="s">
        <v>297</v>
      </c>
      <c r="AD55" s="667">
        <v>93519</v>
      </c>
      <c r="AE55" s="667">
        <v>109105</v>
      </c>
      <c r="AF55" s="699"/>
      <c r="AG55" s="700" t="s">
        <v>297</v>
      </c>
      <c r="AH55" s="667">
        <v>124691</v>
      </c>
      <c r="AI55" s="667">
        <v>140277</v>
      </c>
      <c r="AJ55" s="699"/>
      <c r="AK55" s="700" t="s">
        <v>297</v>
      </c>
      <c r="AL55" s="667">
        <v>155863</v>
      </c>
    </row>
    <row r="56" spans="2:38" ht="17.25" customHeight="1">
      <c r="B56" s="267" t="str">
        <f>IFERROR(INDEX($Q$1:$BH$100,ROW(A56),MATCH(Data_Tech!$AU$7,$Q$1:$AN$1,)+COLUMN(A55)-1),"")</f>
        <v>Новикова Александра Владимировна</v>
      </c>
      <c r="C56" s="45"/>
      <c r="D56" s="222">
        <f>INDEX($Q$1:$BH$100,ROW(B56),MATCH(Data_Tech!$AU$7,$Q$1:$AN$1,)+COLUMN(B56)-1)</f>
        <v>3</v>
      </c>
      <c r="E56" s="223">
        <f>INDEX($Q$1:$BH$100,ROW(C56),MATCH(Data_Tech!$AU$7,$Q$1:$AN$1,)+COLUMN(C56)-1)</f>
        <v>17307</v>
      </c>
      <c r="H56" s="687">
        <v>631</v>
      </c>
      <c r="I56" s="727" t="s">
        <v>376</v>
      </c>
      <c r="J56" s="10">
        <f>SUMIFS(Таблица1[сумма],Таблица1[партия],I56,Таблица1[изд],H56)</f>
        <v>0</v>
      </c>
      <c r="K56" s="10">
        <f>SUMIFS(Таблица14[часы],Таблица14[партия],I56,Таблица14[изд],H56)</f>
        <v>0</v>
      </c>
      <c r="L56" s="10">
        <f>SUMIFS(Таблица1[Столбец1],Таблица1[партия],I56,Таблица1[изд],H56)</f>
        <v>0</v>
      </c>
      <c r="M56" s="688">
        <f t="shared" si="17"/>
        <v>0</v>
      </c>
      <c r="N56" s="689">
        <f>$AS$19-M56-O56</f>
        <v>604.79999999999995</v>
      </c>
      <c r="P56" s="685">
        <v>55</v>
      </c>
      <c r="Q56" s="668" t="s">
        <v>353</v>
      </c>
      <c r="R56" s="667">
        <v>3</v>
      </c>
      <c r="S56" s="667">
        <v>17307</v>
      </c>
      <c r="T56" s="699">
        <v>2</v>
      </c>
      <c r="U56" s="700" t="s">
        <v>262</v>
      </c>
      <c r="V56" s="667">
        <v>5620</v>
      </c>
      <c r="W56" s="667">
        <v>5619.5</v>
      </c>
      <c r="X56" s="699">
        <v>5619</v>
      </c>
      <c r="Y56" s="700" t="s">
        <v>262</v>
      </c>
      <c r="Z56" s="667">
        <v>5618.50000000001</v>
      </c>
      <c r="AA56" s="667">
        <v>5618.00000000001</v>
      </c>
      <c r="AB56" s="699">
        <v>5617.50000000001</v>
      </c>
      <c r="AC56" s="700" t="s">
        <v>262</v>
      </c>
      <c r="AD56" s="667">
        <v>5617.00000000001</v>
      </c>
      <c r="AE56" s="667">
        <v>5616.50000000001</v>
      </c>
      <c r="AF56" s="699">
        <v>5616.00000000001</v>
      </c>
      <c r="AG56" s="700" t="s">
        <v>262</v>
      </c>
      <c r="AH56" s="667">
        <v>5615.50000000001</v>
      </c>
      <c r="AI56" s="667">
        <v>5615.00000000001</v>
      </c>
      <c r="AJ56" s="699">
        <v>5614.50000000002</v>
      </c>
      <c r="AK56" s="700" t="s">
        <v>262</v>
      </c>
      <c r="AL56" s="667">
        <v>5614.00000000002</v>
      </c>
    </row>
    <row r="57" spans="2:38" ht="17.25" customHeight="1">
      <c r="B57" s="267" t="str">
        <f>IFERROR(INDEX($Q$1:$BH$100,ROW(A57),MATCH(Data_Tech!$AU$7,$Q$1:$AN$1,)+COLUMN(A56)-1),"")</f>
        <v>Овчинников Глеб Эдуардович</v>
      </c>
      <c r="C57" s="45"/>
      <c r="D57" s="222">
        <f>INDEX($Q$1:$BH$100,ROW(B57),MATCH(Data_Tech!$AU$7,$Q$1:$AN$1,)+COLUMN(B57)-1)</f>
        <v>3</v>
      </c>
      <c r="E57" s="223">
        <f>INDEX($Q$1:$BH$100,ROW(C57),MATCH(Data_Tech!$AU$7,$Q$1:$AN$1,)+COLUMN(C57)-1)</f>
        <v>16950</v>
      </c>
      <c r="H57" s="687">
        <v>631</v>
      </c>
      <c r="I57" s="727" t="s">
        <v>377</v>
      </c>
      <c r="J57" s="10">
        <f>SUMIFS(Таблица1[сумма],Таблица1[партия],I57,Таблица1[изд],H57)</f>
        <v>0</v>
      </c>
      <c r="K57" s="10">
        <f>SUMIFS(Таблица14[часы],Таблица14[партия],I57,Таблица14[изд],H57)</f>
        <v>0</v>
      </c>
      <c r="L57" s="10">
        <f>SUMIFS(Таблица1[Столбец1],Таблица1[партия],I57,Таблица1[изд],H57)</f>
        <v>0</v>
      </c>
      <c r="M57" s="688">
        <f t="shared" si="17"/>
        <v>0</v>
      </c>
      <c r="N57" s="689">
        <f t="shared" ref="N57:N58" si="18">$AS$19-M57-O57</f>
        <v>604.79999999999995</v>
      </c>
      <c r="P57" s="685">
        <v>56</v>
      </c>
      <c r="Q57" s="700" t="s">
        <v>268</v>
      </c>
      <c r="R57" s="667">
        <v>3</v>
      </c>
      <c r="S57" s="667">
        <v>16950</v>
      </c>
      <c r="T57" s="699"/>
      <c r="U57" s="700" t="s">
        <v>309</v>
      </c>
      <c r="V57" s="667">
        <v>33933</v>
      </c>
      <c r="W57" s="667">
        <v>50898</v>
      </c>
      <c r="X57" s="699"/>
      <c r="Y57" s="700" t="s">
        <v>309</v>
      </c>
      <c r="Z57" s="667">
        <v>67863</v>
      </c>
      <c r="AA57" s="667">
        <v>84828</v>
      </c>
      <c r="AB57" s="699"/>
      <c r="AC57" s="700" t="s">
        <v>309</v>
      </c>
      <c r="AD57" s="667">
        <v>101793</v>
      </c>
      <c r="AE57" s="667">
        <v>118758</v>
      </c>
      <c r="AF57" s="699"/>
      <c r="AG57" s="700" t="s">
        <v>309</v>
      </c>
      <c r="AH57" s="667">
        <v>135723</v>
      </c>
      <c r="AI57" s="667">
        <v>152688</v>
      </c>
      <c r="AJ57" s="699"/>
      <c r="AK57" s="700" t="s">
        <v>309</v>
      </c>
      <c r="AL57" s="667">
        <v>169653</v>
      </c>
    </row>
    <row r="58" spans="2:38" ht="17.25" customHeight="1">
      <c r="B58" s="267" t="str">
        <f>IFERROR(INDEX($Q$1:$BH$100,ROW(A58),MATCH(Data_Tech!$AU$7,$Q$1:$AN$1,)+COLUMN(A57)-1),"")</f>
        <v>Оленева Анна Викторовна</v>
      </c>
      <c r="C58" s="45"/>
      <c r="D58" s="222">
        <f>INDEX($Q$1:$BH$100,ROW(B58),MATCH(Data_Tech!$AU$7,$Q$1:$AN$1,)+COLUMN(B58)-1)</f>
        <v>3</v>
      </c>
      <c r="E58" s="223">
        <f>INDEX($Q$1:$BH$100,ROW(C58),MATCH(Data_Tech!$AU$7,$Q$1:$AN$1,)+COLUMN(C58)-1)</f>
        <v>16311</v>
      </c>
      <c r="H58" s="687">
        <v>631</v>
      </c>
      <c r="I58" s="727" t="s">
        <v>378</v>
      </c>
      <c r="J58" s="10">
        <f>SUMIFS(Таблица1[сумма],Таблица1[партия],I58,Таблица1[изд],H58)</f>
        <v>0</v>
      </c>
      <c r="K58" s="10">
        <f>SUMIFS(Таблица14[часы],Таблица14[партия],I58,Таблица14[изд],H58)</f>
        <v>0</v>
      </c>
      <c r="L58" s="10">
        <f>SUMIFS(Таблица1[Столбец1],Таблица1[партия],I58,Таблица1[изд],H58)</f>
        <v>0</v>
      </c>
      <c r="M58" s="688">
        <f t="shared" si="17"/>
        <v>0</v>
      </c>
      <c r="N58" s="689">
        <f t="shared" si="18"/>
        <v>604.79999999999995</v>
      </c>
      <c r="P58" s="685">
        <v>57</v>
      </c>
      <c r="Q58" s="700" t="s">
        <v>260</v>
      </c>
      <c r="R58" s="667">
        <v>3</v>
      </c>
      <c r="S58" s="667">
        <v>16311</v>
      </c>
      <c r="T58" s="699"/>
      <c r="U58" s="700" t="s">
        <v>263</v>
      </c>
      <c r="V58" s="667">
        <v>5034.6666666666697</v>
      </c>
      <c r="W58" s="667">
        <v>5034.6666666666697</v>
      </c>
      <c r="X58" s="699">
        <v>5034.6666666666697</v>
      </c>
      <c r="Y58" s="700" t="s">
        <v>263</v>
      </c>
      <c r="Z58" s="667">
        <v>5034.6666666666697</v>
      </c>
      <c r="AA58" s="667">
        <v>5034.6666666666697</v>
      </c>
      <c r="AB58" s="699">
        <v>5034.6666666666697</v>
      </c>
      <c r="AC58" s="700" t="s">
        <v>263</v>
      </c>
      <c r="AD58" s="667">
        <v>5034.6666666666697</v>
      </c>
      <c r="AE58" s="667">
        <v>5034.6666666666697</v>
      </c>
      <c r="AF58" s="699">
        <v>5034.6666666666697</v>
      </c>
      <c r="AG58" s="700" t="s">
        <v>263</v>
      </c>
      <c r="AH58" s="667">
        <v>5034.6666666666697</v>
      </c>
      <c r="AI58" s="667">
        <v>5034.6666666666697</v>
      </c>
      <c r="AJ58" s="699">
        <v>5034.6666666666697</v>
      </c>
      <c r="AK58" s="700" t="s">
        <v>263</v>
      </c>
      <c r="AL58" s="667">
        <v>5034.6666666666697</v>
      </c>
    </row>
    <row r="59" spans="2:38" ht="17.25" customHeight="1">
      <c r="B59" s="267" t="str">
        <f>IFERROR(INDEX($Q$1:$BH$100,ROW(A59),MATCH(Data_Tech!$AU$7,$Q$1:$AN$1,)+COLUMN(A58)-1),"")</f>
        <v>Ополченова Ольга Валерьевна</v>
      </c>
      <c r="D59" s="222">
        <f>INDEX($Q$1:$BH$100,ROW(B59),MATCH(Data_Tech!$AU$7,$Q$1:$AN$1,)+COLUMN(B59)-1)</f>
        <v>3</v>
      </c>
      <c r="E59" s="223">
        <f>INDEX($Q$1:$BH$100,ROW(C59),MATCH(Data_Tech!$AU$7,$Q$1:$AN$1,)+COLUMN(C59)-1)</f>
        <v>0</v>
      </c>
      <c r="H59" s="687">
        <v>631</v>
      </c>
      <c r="I59" s="727" t="s">
        <v>376</v>
      </c>
      <c r="J59" s="10">
        <f>SUMIFS(Таблица1[сумма],Таблица1[партия],I59,Таблица1[изд],H59)</f>
        <v>0</v>
      </c>
      <c r="K59" s="10">
        <f>SUMIFS(Таблица14[часы],Таблица14[партия],I59,Таблица14[изд],H59)</f>
        <v>0</v>
      </c>
      <c r="L59" s="10">
        <f>SUMIFS(Таблица1[Столбец1],Таблица1[партия],I59,Таблица1[изд],H59)</f>
        <v>0</v>
      </c>
      <c r="M59" s="688">
        <f t="shared" si="17"/>
        <v>0</v>
      </c>
      <c r="N59" s="689">
        <f>$AS$19-M59-O59</f>
        <v>604.79999999999995</v>
      </c>
      <c r="P59" s="685">
        <v>58</v>
      </c>
      <c r="Q59" s="668" t="s">
        <v>391</v>
      </c>
      <c r="R59" s="667">
        <v>3</v>
      </c>
      <c r="S59" s="668"/>
      <c r="T59" s="683"/>
      <c r="U59" s="700" t="s">
        <v>264</v>
      </c>
      <c r="V59" s="667">
        <v>30471</v>
      </c>
      <c r="W59" s="667">
        <v>45705</v>
      </c>
      <c r="X59" s="699"/>
      <c r="Y59" s="700" t="s">
        <v>264</v>
      </c>
      <c r="Z59" s="667">
        <v>60939</v>
      </c>
      <c r="AA59" s="667">
        <v>76173</v>
      </c>
      <c r="AB59" s="699"/>
      <c r="AC59" s="700" t="s">
        <v>264</v>
      </c>
      <c r="AD59" s="667">
        <v>91407</v>
      </c>
      <c r="AE59" s="667">
        <v>106641</v>
      </c>
      <c r="AF59" s="699"/>
      <c r="AG59" s="700" t="s">
        <v>264</v>
      </c>
      <c r="AH59" s="667">
        <v>121875</v>
      </c>
      <c r="AI59" s="667">
        <v>137109</v>
      </c>
      <c r="AJ59" s="699"/>
      <c r="AK59" s="700" t="s">
        <v>264</v>
      </c>
      <c r="AL59" s="667">
        <v>152343</v>
      </c>
    </row>
    <row r="60" spans="2:38" ht="17.25" customHeight="1">
      <c r="B60" s="267" t="str">
        <f>IFERROR(INDEX($Q$1:$BH$100,ROW(A60),MATCH(Data_Tech!$AU$7,$Q$1:$AN$1,)+COLUMN(A59)-1),"")</f>
        <v>Петрова Анна Сергеевна</v>
      </c>
      <c r="D60" s="222">
        <f>INDEX($Q$1:$BH$100,ROW(B60),MATCH(Data_Tech!$AU$7,$Q$1:$AN$1,)+COLUMN(B60)-1)</f>
        <v>3</v>
      </c>
      <c r="E60" s="223">
        <f>INDEX($Q$1:$BH$100,ROW(C60),MATCH(Data_Tech!$AU$7,$Q$1:$AN$1,)+COLUMN(C60)-1)</f>
        <v>15556</v>
      </c>
      <c r="P60" s="685">
        <v>59</v>
      </c>
      <c r="Q60" s="700" t="s">
        <v>261</v>
      </c>
      <c r="R60" s="667">
        <v>3</v>
      </c>
      <c r="S60" s="667">
        <v>15556</v>
      </c>
      <c r="T60" s="683">
        <v>1</v>
      </c>
      <c r="U60" s="700" t="s">
        <v>329</v>
      </c>
      <c r="V60" s="667">
        <v>5736.6666666666697</v>
      </c>
      <c r="W60" s="667">
        <v>5736.1666666666697</v>
      </c>
      <c r="X60" s="699">
        <v>5735.6666666666697</v>
      </c>
      <c r="Y60" s="700" t="s">
        <v>329</v>
      </c>
      <c r="Z60" s="667">
        <v>5735.1666666666697</v>
      </c>
      <c r="AA60" s="667">
        <v>5734.6666666666697</v>
      </c>
      <c r="AB60" s="699">
        <v>5734.1666666666797</v>
      </c>
      <c r="AC60" s="700" t="s">
        <v>329</v>
      </c>
      <c r="AD60" s="667">
        <v>5733.6666666666797</v>
      </c>
      <c r="AE60" s="667">
        <v>5733.1666666666797</v>
      </c>
      <c r="AF60" s="699">
        <v>5732.6666666666797</v>
      </c>
      <c r="AG60" s="700" t="s">
        <v>329</v>
      </c>
      <c r="AH60" s="667">
        <v>5732.1666666666797</v>
      </c>
      <c r="AI60" s="667">
        <v>5731.6666666666797</v>
      </c>
      <c r="AJ60" s="699">
        <v>5731.1666666666797</v>
      </c>
      <c r="AK60" s="700" t="s">
        <v>329</v>
      </c>
      <c r="AL60" s="667">
        <v>5730.6666666666797</v>
      </c>
    </row>
    <row r="61" spans="2:38" ht="17.25" customHeight="1">
      <c r="B61" s="267" t="str">
        <f>IFERROR(INDEX($Q$1:$BH$100,ROW(A61),MATCH(Data_Tech!$AU$7,$Q$1:$AN$1,)+COLUMN(A60)-1),"")</f>
        <v>Пириева Виктория Хозеиновна</v>
      </c>
      <c r="D61" s="222">
        <f>INDEX($Q$1:$BH$100,ROW(B61),MATCH(Data_Tech!$AU$7,$Q$1:$AN$1,)+COLUMN(B61)-1)</f>
        <v>3</v>
      </c>
      <c r="E61" s="223">
        <f>INDEX($Q$1:$BH$100,ROW(C61),MATCH(Data_Tech!$AU$7,$Q$1:$AN$1,)+COLUMN(C61)-1)</f>
        <v>15589</v>
      </c>
      <c r="P61" s="685">
        <v>60</v>
      </c>
      <c r="Q61" s="700" t="s">
        <v>297</v>
      </c>
      <c r="R61" s="667">
        <v>3</v>
      </c>
      <c r="S61" s="667">
        <v>15589</v>
      </c>
      <c r="T61" s="683"/>
      <c r="U61" s="700" t="s">
        <v>291</v>
      </c>
      <c r="V61" s="667">
        <v>5700</v>
      </c>
      <c r="W61" s="667">
        <v>5699</v>
      </c>
      <c r="X61" s="699">
        <v>5698</v>
      </c>
      <c r="Y61" s="700" t="s">
        <v>291</v>
      </c>
      <c r="Z61" s="667">
        <v>5697</v>
      </c>
      <c r="AA61" s="667">
        <v>5696</v>
      </c>
      <c r="AB61" s="699">
        <v>5695</v>
      </c>
      <c r="AC61" s="700" t="s">
        <v>291</v>
      </c>
      <c r="AD61" s="667">
        <v>5694</v>
      </c>
      <c r="AE61" s="667">
        <v>5693</v>
      </c>
      <c r="AF61" s="699">
        <v>5692</v>
      </c>
      <c r="AG61" s="700" t="s">
        <v>291</v>
      </c>
      <c r="AH61" s="667">
        <v>5691</v>
      </c>
      <c r="AI61" s="667">
        <v>5690</v>
      </c>
      <c r="AJ61" s="699">
        <v>5689</v>
      </c>
      <c r="AK61" s="700" t="s">
        <v>291</v>
      </c>
      <c r="AL61" s="667">
        <v>5688</v>
      </c>
    </row>
    <row r="62" spans="2:38" ht="17.25" customHeight="1">
      <c r="B62" s="267" t="str">
        <f>IFERROR(INDEX($Q$1:$BH$100,ROW(A62),MATCH(Data_Tech!$AU$7,$Q$1:$AN$1,)+COLUMN(A61)-1),"")</f>
        <v>Полушкина Анастасия Юрьевна</v>
      </c>
      <c r="D62" s="222">
        <f>INDEX($Q$1:$BH$100,ROW(B62),MATCH(Data_Tech!$AU$7,$Q$1:$AN$1,)+COLUMN(B62)-1)</f>
        <v>3</v>
      </c>
      <c r="E62" s="223">
        <f>INDEX($Q$1:$BH$100,ROW(C62),MATCH(Data_Tech!$AU$7,$Q$1:$AN$1,)+COLUMN(C62)-1)</f>
        <v>16858</v>
      </c>
      <c r="P62" s="685">
        <v>61</v>
      </c>
      <c r="Q62" s="700" t="s">
        <v>262</v>
      </c>
      <c r="R62" s="667">
        <v>3</v>
      </c>
      <c r="S62" s="667">
        <v>16858</v>
      </c>
      <c r="T62" s="683">
        <v>2</v>
      </c>
      <c r="U62" s="700" t="s">
        <v>330</v>
      </c>
      <c r="V62" s="667">
        <v>5746</v>
      </c>
      <c r="W62" s="667">
        <v>5746.00000000001</v>
      </c>
      <c r="X62" s="699">
        <v>5746.00000000001</v>
      </c>
      <c r="Y62" s="700" t="s">
        <v>330</v>
      </c>
      <c r="Z62" s="667">
        <v>5746.00000000001</v>
      </c>
      <c r="AA62" s="667">
        <v>5746.00000000002</v>
      </c>
      <c r="AB62" s="699">
        <v>5746.00000000002</v>
      </c>
      <c r="AC62" s="700" t="s">
        <v>330</v>
      </c>
      <c r="AD62" s="667">
        <v>5746.00000000002</v>
      </c>
      <c r="AE62" s="667">
        <v>5746.00000000002</v>
      </c>
      <c r="AF62" s="699">
        <v>5746.00000000003</v>
      </c>
      <c r="AG62" s="700" t="s">
        <v>330</v>
      </c>
      <c r="AH62" s="667">
        <v>5746.00000000003</v>
      </c>
      <c r="AI62" s="667">
        <v>5746.00000000003</v>
      </c>
      <c r="AJ62" s="699">
        <v>5746.00000000003</v>
      </c>
      <c r="AK62" s="700" t="s">
        <v>330</v>
      </c>
      <c r="AL62" s="667">
        <v>5746.00000000004</v>
      </c>
    </row>
    <row r="63" spans="2:38" ht="17.25" customHeight="1">
      <c r="B63" s="267" t="str">
        <f>IFERROR(INDEX($Q$1:$BH$100,ROW(A63),MATCH(Data_Tech!$AU$7,$Q$1:$AN$1,)+COLUMN(A62)-1),"")</f>
        <v>Потемкина Елена Анатольевна</v>
      </c>
      <c r="D63" s="222">
        <f>INDEX($Q$1:$BH$100,ROW(B63),MATCH(Data_Tech!$AU$7,$Q$1:$AN$1,)+COLUMN(B63)-1)</f>
        <v>3</v>
      </c>
      <c r="E63" s="223">
        <f>INDEX($Q$1:$BH$100,ROW(C63),MATCH(Data_Tech!$AU$7,$Q$1:$AN$1,)+COLUMN(C63)-1)</f>
        <v>15098</v>
      </c>
      <c r="P63" s="685">
        <v>62</v>
      </c>
      <c r="Q63" s="700" t="s">
        <v>263</v>
      </c>
      <c r="R63" s="667">
        <v>3</v>
      </c>
      <c r="S63" s="667">
        <v>15098</v>
      </c>
      <c r="T63" s="683">
        <v>3</v>
      </c>
      <c r="U63" s="668" t="s">
        <v>348</v>
      </c>
      <c r="V63" s="667">
        <v>5762.3333333333403</v>
      </c>
      <c r="W63" s="668">
        <v>5761.3333333333403</v>
      </c>
      <c r="X63" s="699">
        <v>5760.3333333333403</v>
      </c>
      <c r="Y63" s="668" t="s">
        <v>348</v>
      </c>
      <c r="Z63" s="667">
        <v>5759.3333333333403</v>
      </c>
      <c r="AA63" s="668">
        <v>5758.3333333333403</v>
      </c>
      <c r="AB63" s="699">
        <v>5757.3333333333403</v>
      </c>
      <c r="AC63" s="668" t="s">
        <v>348</v>
      </c>
      <c r="AD63" s="667">
        <v>5756.3333333333403</v>
      </c>
      <c r="AE63" s="668">
        <v>5755.3333333333403</v>
      </c>
      <c r="AF63" s="699">
        <v>5754.3333333333403</v>
      </c>
      <c r="AG63" s="668" t="s">
        <v>348</v>
      </c>
      <c r="AH63" s="667">
        <v>5753.3333333333503</v>
      </c>
      <c r="AI63" s="668">
        <v>5752.3333333333503</v>
      </c>
      <c r="AJ63" s="699">
        <v>5751.3333333333503</v>
      </c>
      <c r="AK63" s="668" t="s">
        <v>348</v>
      </c>
      <c r="AL63" s="667">
        <v>5750.3333333333503</v>
      </c>
    </row>
    <row r="64" spans="2:38" ht="17.25" customHeight="1">
      <c r="B64" s="267" t="str">
        <f>IFERROR(INDEX($Q$1:$BH$100,ROW(A64),MATCH(Data_Tech!$AU$7,$Q$1:$AN$1,)+COLUMN(A63)-1),"")</f>
        <v>Пригоженкова Ольга Сергеевна</v>
      </c>
      <c r="D64" s="222">
        <f>INDEX($Q$1:$BH$100,ROW(B64),MATCH(Data_Tech!$AU$7,$Q$1:$AN$1,)+COLUMN(B64)-1)</f>
        <v>3</v>
      </c>
      <c r="E64" s="223">
        <f>INDEX($Q$1:$BH$100,ROW(C64),MATCH(Data_Tech!$AU$7,$Q$1:$AN$1,)+COLUMN(C64)-1)</f>
        <v>15237</v>
      </c>
      <c r="P64" s="685">
        <v>63</v>
      </c>
      <c r="Q64" s="700" t="s">
        <v>264</v>
      </c>
      <c r="R64" s="667">
        <v>3</v>
      </c>
      <c r="S64" s="667">
        <v>15237</v>
      </c>
      <c r="T64" s="683">
        <v>1</v>
      </c>
      <c r="U64" s="700" t="s">
        <v>265</v>
      </c>
      <c r="V64" s="667">
        <v>29274</v>
      </c>
      <c r="W64" s="667">
        <v>43909</v>
      </c>
      <c r="X64" s="699"/>
      <c r="Y64" s="700" t="s">
        <v>265</v>
      </c>
      <c r="Z64" s="667">
        <v>58544</v>
      </c>
      <c r="AA64" s="667">
        <v>73179</v>
      </c>
      <c r="AB64" s="699"/>
      <c r="AC64" s="700" t="s">
        <v>265</v>
      </c>
      <c r="AD64" s="667">
        <v>87814</v>
      </c>
      <c r="AE64" s="667">
        <v>102449</v>
      </c>
      <c r="AF64" s="699"/>
      <c r="AG64" s="700" t="s">
        <v>265</v>
      </c>
      <c r="AH64" s="667">
        <v>117084</v>
      </c>
      <c r="AI64" s="667">
        <v>131719</v>
      </c>
      <c r="AJ64" s="699"/>
      <c r="AK64" s="700" t="s">
        <v>265</v>
      </c>
      <c r="AL64" s="667">
        <v>146354</v>
      </c>
    </row>
    <row r="65" spans="2:38" ht="17.25" customHeight="1">
      <c r="B65" s="267" t="str">
        <f>IFERROR(INDEX($Q$1:$BH$100,ROW(A65),MATCH(Data_Tech!$AU$7,$Q$1:$AN$1,)+COLUMN(A64)-1),"")</f>
        <v>Рысев Иван Александрович</v>
      </c>
      <c r="D65" s="222">
        <f>INDEX($Q$1:$BH$100,ROW(B65),MATCH(Data_Tech!$AU$7,$Q$1:$AN$1,)+COLUMN(B65)-1)</f>
        <v>3</v>
      </c>
      <c r="E65" s="223">
        <f>INDEX($Q$1:$BH$100,ROW(C65),MATCH(Data_Tech!$AU$7,$Q$1:$AN$1,)+COLUMN(C65)-1)</f>
        <v>17208</v>
      </c>
      <c r="P65" s="685">
        <v>64</v>
      </c>
      <c r="Q65" s="700" t="s">
        <v>329</v>
      </c>
      <c r="R65" s="667">
        <v>3</v>
      </c>
      <c r="S65" s="667">
        <v>17208</v>
      </c>
      <c r="T65" s="683">
        <v>2</v>
      </c>
      <c r="U65" s="700" t="s">
        <v>331</v>
      </c>
      <c r="V65" s="667">
        <v>5734</v>
      </c>
      <c r="W65" s="667">
        <v>5734</v>
      </c>
      <c r="X65" s="699">
        <v>5734</v>
      </c>
      <c r="Y65" s="700" t="s">
        <v>331</v>
      </c>
      <c r="Z65" s="667">
        <v>5734.00000000001</v>
      </c>
      <c r="AA65" s="667">
        <v>5734.00000000001</v>
      </c>
      <c r="AB65" s="699">
        <v>5734.00000000001</v>
      </c>
      <c r="AC65" s="700" t="s">
        <v>331</v>
      </c>
      <c r="AD65" s="667">
        <v>5734.00000000001</v>
      </c>
      <c r="AE65" s="667">
        <v>5734.00000000001</v>
      </c>
      <c r="AF65" s="699">
        <v>5734.00000000001</v>
      </c>
      <c r="AG65" s="700" t="s">
        <v>331</v>
      </c>
      <c r="AH65" s="667">
        <v>5734.00000000001</v>
      </c>
      <c r="AI65" s="667">
        <v>5734.00000000001</v>
      </c>
      <c r="AJ65" s="699">
        <v>5734.00000000002</v>
      </c>
      <c r="AK65" s="700" t="s">
        <v>331</v>
      </c>
      <c r="AL65" s="667">
        <v>5734.00000000002</v>
      </c>
    </row>
    <row r="66" spans="2:38" ht="17.25" customHeight="1">
      <c r="B66" s="267" t="str">
        <f>IFERROR(INDEX($Q$1:$BH$100,ROW(A66),MATCH(Data_Tech!$AU$7,$Q$1:$AN$1,)+COLUMN(A65)-1),"")</f>
        <v>Саидова Ольга Владимировна</v>
      </c>
      <c r="D66" s="222">
        <f>INDEX($Q$1:$BH$100,ROW(B66),MATCH(Data_Tech!$AU$7,$Q$1:$AN$1,)+COLUMN(B66)-1)</f>
        <v>3</v>
      </c>
      <c r="E66" s="223">
        <f>INDEX($Q$1:$BH$100,ROW(C66),MATCH(Data_Tech!$AU$7,$Q$1:$AN$1,)+COLUMN(C66)-1)</f>
        <v>17324</v>
      </c>
      <c r="P66" s="685">
        <v>65</v>
      </c>
      <c r="Q66" s="668" t="s">
        <v>359</v>
      </c>
      <c r="R66" s="667">
        <v>3</v>
      </c>
      <c r="S66" s="667">
        <v>17324</v>
      </c>
      <c r="T66" s="683">
        <v>1</v>
      </c>
      <c r="U66" s="700" t="s">
        <v>332</v>
      </c>
      <c r="V66" s="667">
        <v>5757.3333333333403</v>
      </c>
      <c r="W66" s="667">
        <v>5757.3333333333403</v>
      </c>
      <c r="X66" s="699">
        <v>5757.3333333333403</v>
      </c>
      <c r="Y66" s="700" t="s">
        <v>332</v>
      </c>
      <c r="Z66" s="667">
        <v>5757.3333333333503</v>
      </c>
      <c r="AA66" s="667">
        <v>5757.3333333333503</v>
      </c>
      <c r="AB66" s="699">
        <v>5757.3333333333503</v>
      </c>
      <c r="AC66" s="700" t="s">
        <v>332</v>
      </c>
      <c r="AD66" s="667">
        <v>5757.3333333333503</v>
      </c>
      <c r="AE66" s="667">
        <v>5757.3333333333603</v>
      </c>
      <c r="AF66" s="699">
        <v>5757.3333333333603</v>
      </c>
      <c r="AG66" s="700" t="s">
        <v>332</v>
      </c>
      <c r="AH66" s="667">
        <v>5757.3333333333603</v>
      </c>
      <c r="AI66" s="667">
        <v>5757.3333333333603</v>
      </c>
      <c r="AJ66" s="699">
        <v>5757.3333333333703</v>
      </c>
      <c r="AK66" s="700" t="s">
        <v>332</v>
      </c>
      <c r="AL66" s="667">
        <v>5757.3333333333703</v>
      </c>
    </row>
    <row r="67" spans="2:38" ht="17.25" customHeight="1">
      <c r="B67" s="267" t="str">
        <f>IFERROR(INDEX($Q$1:$BH$100,ROW(A67),MATCH(Data_Tech!$AU$7,$Q$1:$AN$1,)+COLUMN(A66)-1),"")</f>
        <v>Сайпулаева Феодосия Андреевна</v>
      </c>
      <c r="D67" s="222">
        <f>INDEX($Q$1:$BH$100,ROW(B67),MATCH(Data_Tech!$AU$7,$Q$1:$AN$1,)+COLUMN(B67)-1)</f>
        <v>3</v>
      </c>
      <c r="E67" s="223">
        <f>INDEX($Q$1:$BH$100,ROW(C67),MATCH(Data_Tech!$AU$7,$Q$1:$AN$1,)+COLUMN(C67)-1)</f>
        <v>17102</v>
      </c>
      <c r="P67" s="685">
        <v>66</v>
      </c>
      <c r="Q67" s="700" t="s">
        <v>291</v>
      </c>
      <c r="R67" s="667">
        <v>3</v>
      </c>
      <c r="S67" s="667">
        <v>17102</v>
      </c>
      <c r="T67" s="683">
        <v>1</v>
      </c>
      <c r="U67" s="700" t="s">
        <v>266</v>
      </c>
      <c r="V67" s="667">
        <v>29972</v>
      </c>
      <c r="W67" s="667">
        <v>44956</v>
      </c>
      <c r="X67" s="699"/>
      <c r="Y67" s="700" t="s">
        <v>266</v>
      </c>
      <c r="Z67" s="667">
        <v>59940</v>
      </c>
      <c r="AA67" s="667">
        <v>74924</v>
      </c>
      <c r="AB67" s="699"/>
      <c r="AC67" s="700" t="s">
        <v>266</v>
      </c>
      <c r="AD67" s="667">
        <v>89908</v>
      </c>
      <c r="AE67" s="667">
        <v>104892</v>
      </c>
      <c r="AF67" s="699"/>
      <c r="AG67" s="700" t="s">
        <v>266</v>
      </c>
      <c r="AH67" s="667">
        <v>119876</v>
      </c>
      <c r="AI67" s="667">
        <v>134860</v>
      </c>
      <c r="AJ67" s="699"/>
      <c r="AK67" s="700" t="s">
        <v>266</v>
      </c>
      <c r="AL67" s="667">
        <v>149844</v>
      </c>
    </row>
    <row r="68" spans="2:38" ht="17.25" customHeight="1">
      <c r="B68" s="267" t="str">
        <f>IFERROR(INDEX($Q$1:$BH$100,ROW(A68),MATCH(Data_Tech!$AU$7,$Q$1:$AN$1,)+COLUMN(A67)-1),"")</f>
        <v>Силаева Ольга Владимировна</v>
      </c>
      <c r="D68" s="222">
        <f>INDEX($Q$1:$BH$100,ROW(B68),MATCH(Data_Tech!$AU$7,$Q$1:$AN$1,)+COLUMN(B68)-1)</f>
        <v>3</v>
      </c>
      <c r="E68" s="223">
        <f>INDEX($Q$1:$BH$100,ROW(C68),MATCH(Data_Tech!$AU$7,$Q$1:$AN$1,)+COLUMN(C68)-1)</f>
        <v>17329</v>
      </c>
      <c r="P68" s="685">
        <v>67</v>
      </c>
      <c r="Q68" s="668" t="s">
        <v>385</v>
      </c>
      <c r="R68" s="667">
        <v>3</v>
      </c>
      <c r="S68" s="667">
        <v>17329</v>
      </c>
      <c r="T68" s="683">
        <v>1</v>
      </c>
      <c r="U68" s="700" t="s">
        <v>267</v>
      </c>
      <c r="V68" s="667">
        <v>31775</v>
      </c>
      <c r="W68" s="667">
        <v>47661</v>
      </c>
      <c r="X68" s="699"/>
      <c r="Y68" s="700" t="s">
        <v>267</v>
      </c>
      <c r="Z68" s="667">
        <v>63547</v>
      </c>
      <c r="AA68" s="667">
        <v>79433</v>
      </c>
      <c r="AB68" s="699"/>
      <c r="AC68" s="700" t="s">
        <v>267</v>
      </c>
      <c r="AD68" s="667">
        <v>95319</v>
      </c>
      <c r="AE68" s="667">
        <v>111205</v>
      </c>
      <c r="AF68" s="699"/>
      <c r="AG68" s="700" t="s">
        <v>267</v>
      </c>
      <c r="AH68" s="667">
        <v>127091</v>
      </c>
      <c r="AI68" s="667">
        <v>142977</v>
      </c>
      <c r="AJ68" s="699"/>
      <c r="AK68" s="700" t="s">
        <v>267</v>
      </c>
      <c r="AL68" s="667">
        <v>158863</v>
      </c>
    </row>
    <row r="69" spans="2:38" ht="17.25" customHeight="1">
      <c r="B69" s="267" t="str">
        <f>IFERROR(INDEX($Q$1:$BH$100,ROW(A69),MATCH(Data_Tech!$AU$7,$Q$1:$AN$1,)+COLUMN(A68)-1),"")</f>
        <v>Скрынникова Виктория Геннадьевна</v>
      </c>
      <c r="D69" s="222">
        <f>INDEX($Q$1:$BH$100,ROW(B69),MATCH(Data_Tech!$AU$7,$Q$1:$AN$1,)+COLUMN(B69)-1)</f>
        <v>3</v>
      </c>
      <c r="E69" s="223">
        <f>INDEX($Q$1:$BH$100,ROW(C69),MATCH(Data_Tech!$AU$7,$Q$1:$AN$1,)+COLUMN(C69)-1)</f>
        <v>17289</v>
      </c>
      <c r="P69" s="685">
        <v>68</v>
      </c>
      <c r="Q69" s="668" t="s">
        <v>348</v>
      </c>
      <c r="R69" s="667">
        <v>3</v>
      </c>
      <c r="S69" s="668">
        <v>17289</v>
      </c>
      <c r="T69" s="683">
        <v>1</v>
      </c>
      <c r="U69" s="700" t="s">
        <v>285</v>
      </c>
      <c r="V69" s="667">
        <v>30516</v>
      </c>
      <c r="W69" s="667">
        <v>45772</v>
      </c>
      <c r="X69" s="699"/>
      <c r="Y69" s="700" t="s">
        <v>285</v>
      </c>
      <c r="Z69" s="667">
        <v>61028</v>
      </c>
      <c r="AA69" s="667">
        <v>76284</v>
      </c>
      <c r="AB69" s="699"/>
      <c r="AC69" s="700" t="s">
        <v>285</v>
      </c>
      <c r="AD69" s="667">
        <v>91540</v>
      </c>
      <c r="AE69" s="667">
        <v>106796</v>
      </c>
      <c r="AF69" s="699"/>
      <c r="AG69" s="700" t="s">
        <v>285</v>
      </c>
      <c r="AH69" s="667">
        <v>122052</v>
      </c>
      <c r="AI69" s="667">
        <v>137308</v>
      </c>
      <c r="AJ69" s="699"/>
      <c r="AK69" s="700" t="s">
        <v>285</v>
      </c>
      <c r="AL69" s="667">
        <v>152564</v>
      </c>
    </row>
    <row r="70" spans="2:38" ht="17.25" customHeight="1">
      <c r="B70" s="267" t="str">
        <f>IFERROR(INDEX($Q$1:$BH$100,ROW(A70),MATCH(Data_Tech!$AU$7,$Q$1:$AN$1,)+COLUMN(A69)-1),"")</f>
        <v>Смирнова Елена Евгеньевна</v>
      </c>
      <c r="D70" s="222">
        <f>INDEX($Q$1:$BH$100,ROW(B70),MATCH(Data_Tech!$AU$7,$Q$1:$AN$1,)+COLUMN(B70)-1)</f>
        <v>4</v>
      </c>
      <c r="E70" s="223">
        <f>INDEX($Q$1:$BH$100,ROW(C70),MATCH(Data_Tech!$AU$7,$Q$1:$AN$1,)+COLUMN(C70)-1)</f>
        <v>14639</v>
      </c>
      <c r="P70" s="685">
        <v>69</v>
      </c>
      <c r="Q70" s="700" t="s">
        <v>265</v>
      </c>
      <c r="R70" s="667">
        <v>4</v>
      </c>
      <c r="S70" s="667">
        <v>14639</v>
      </c>
      <c r="T70" s="683"/>
      <c r="U70" s="700" t="s">
        <v>286</v>
      </c>
      <c r="V70" s="667">
        <v>5693.6666666666697</v>
      </c>
      <c r="W70" s="667">
        <v>5693.1666666666797</v>
      </c>
      <c r="X70" s="683">
        <v>5692.6666666666797</v>
      </c>
      <c r="Y70" s="700" t="s">
        <v>286</v>
      </c>
      <c r="Z70" s="667">
        <v>5692.1666666666797</v>
      </c>
      <c r="AA70" s="667">
        <v>5691.6666666666797</v>
      </c>
      <c r="AB70" s="683">
        <v>5691.1666666666897</v>
      </c>
      <c r="AC70" s="700" t="s">
        <v>286</v>
      </c>
      <c r="AD70" s="667">
        <v>5690.6666666666897</v>
      </c>
      <c r="AE70" s="667">
        <v>5690.1666666666897</v>
      </c>
      <c r="AF70" s="683">
        <v>5689.6666666666897</v>
      </c>
      <c r="AG70" s="700" t="s">
        <v>286</v>
      </c>
      <c r="AH70" s="667">
        <v>5689.1666666666997</v>
      </c>
      <c r="AI70" s="667">
        <v>5688.6666666666997</v>
      </c>
      <c r="AJ70" s="683">
        <v>5688.1666666666997</v>
      </c>
      <c r="AK70" s="700" t="s">
        <v>286</v>
      </c>
      <c r="AL70" s="667">
        <v>5687.6666666666997</v>
      </c>
    </row>
    <row r="71" spans="2:38" ht="17.25" customHeight="1">
      <c r="B71" s="267" t="str">
        <f>IFERROR(INDEX($Q$1:$BH$100,ROW(A71),MATCH(Data_Tech!$AU$7,$Q$1:$AN$1,)+COLUMN(A70)-1),"")</f>
        <v>Соболева Наталья Александровна</v>
      </c>
      <c r="D71" s="222">
        <f>INDEX($Q$1:$BH$100,ROW(B71),MATCH(Data_Tech!$AU$7,$Q$1:$AN$1,)+COLUMN(B71)-1)</f>
        <v>3</v>
      </c>
      <c r="E71" s="223">
        <f>INDEX($Q$1:$BH$100,ROW(C71),MATCH(Data_Tech!$AU$7,$Q$1:$AN$1,)+COLUMN(C71)-1)</f>
        <v>17076</v>
      </c>
      <c r="P71" s="685">
        <v>70</v>
      </c>
      <c r="Q71" s="668" t="s">
        <v>357</v>
      </c>
      <c r="R71" s="667">
        <v>3</v>
      </c>
      <c r="S71" s="667">
        <v>17076</v>
      </c>
      <c r="T71" s="683"/>
      <c r="U71" s="668"/>
      <c r="V71" s="668"/>
      <c r="W71" s="668"/>
      <c r="X71" s="683"/>
      <c r="Y71" s="668"/>
      <c r="Z71" s="668"/>
      <c r="AA71" s="668"/>
      <c r="AB71" s="683"/>
      <c r="AC71" s="668"/>
      <c r="AD71" s="668"/>
      <c r="AE71" s="668"/>
      <c r="AF71" s="683"/>
      <c r="AG71" s="668"/>
      <c r="AH71" s="668"/>
      <c r="AI71" s="668"/>
      <c r="AJ71" s="683"/>
      <c r="AK71" s="668"/>
      <c r="AL71" s="668"/>
    </row>
    <row r="72" spans="2:38" ht="17.25" customHeight="1">
      <c r="B72" s="267" t="str">
        <f>IFERROR(INDEX($Q$1:$BH$100,ROW(A72),MATCH(Data_Tech!$AU$7,$Q$1:$AN$1,)+COLUMN(A71)-1),"")</f>
        <v>Старичкова Полина Анатольевна</v>
      </c>
      <c r="D72" s="222">
        <f>INDEX($Q$1:$BH$100,ROW(B72),MATCH(Data_Tech!$AU$7,$Q$1:$AN$1,)+COLUMN(B72)-1)</f>
        <v>3</v>
      </c>
      <c r="E72" s="223">
        <f>INDEX($Q$1:$BH$100,ROW(C72),MATCH(Data_Tech!$AU$7,$Q$1:$AN$1,)+COLUMN(C72)-1)</f>
        <v>17196</v>
      </c>
      <c r="P72" s="685">
        <v>71</v>
      </c>
      <c r="Q72" s="700" t="s">
        <v>331</v>
      </c>
      <c r="R72" s="667">
        <v>3</v>
      </c>
      <c r="S72" s="667">
        <v>17196</v>
      </c>
      <c r="T72" s="683">
        <v>3</v>
      </c>
      <c r="AK72" s="573">
        <v>16</v>
      </c>
      <c r="AL72" s="573" t="s">
        <v>110</v>
      </c>
    </row>
    <row r="73" spans="2:38" ht="17.25" customHeight="1">
      <c r="B73" s="267" t="str">
        <f>IFERROR(INDEX($Q$1:$BH$100,ROW(A73),MATCH(Data_Tech!$AU$7,$Q$1:$AN$1,)+COLUMN(A72)-1),"")</f>
        <v>Степанова Ольга Юрьевна</v>
      </c>
      <c r="D73" s="222">
        <f>INDEX($Q$1:$BH$100,ROW(B73),MATCH(Data_Tech!$AU$7,$Q$1:$AN$1,)+COLUMN(B73)-1)</f>
        <v>3</v>
      </c>
      <c r="E73" s="223">
        <f>INDEX($Q$1:$BH$100,ROW(C73),MATCH(Data_Tech!$AU$7,$Q$1:$AN$1,)+COLUMN(C73)-1)</f>
        <v>17266</v>
      </c>
      <c r="P73" s="685">
        <v>72</v>
      </c>
      <c r="Q73" s="700" t="s">
        <v>332</v>
      </c>
      <c r="R73" s="667">
        <v>3</v>
      </c>
      <c r="S73" s="667">
        <v>17266</v>
      </c>
      <c r="T73" s="683"/>
      <c r="AK73" s="573">
        <v>20</v>
      </c>
      <c r="AL73" s="573" t="s">
        <v>111</v>
      </c>
    </row>
    <row r="74" spans="2:38" ht="17.25" customHeight="1">
      <c r="B74" s="267" t="str">
        <f>IFERROR(INDEX($Q$1:$BH$100,ROW(A74),MATCH(Data_Tech!$AU$7,$Q$1:$AN$1,)+COLUMN(A73)-1),"")</f>
        <v>Томилова Антонина Викторовна</v>
      </c>
      <c r="D74" s="222">
        <f>INDEX($Q$1:$BH$100,ROW(B74),MATCH(Data_Tech!$AU$7,$Q$1:$AN$1,)+COLUMN(B74)-1)</f>
        <v>4</v>
      </c>
      <c r="E74" s="223">
        <f>INDEX($Q$1:$BH$100,ROW(C74),MATCH(Data_Tech!$AU$7,$Q$1:$AN$1,)+COLUMN(C74)-1)</f>
        <v>14988</v>
      </c>
      <c r="F74" s="45"/>
      <c r="P74" s="685">
        <v>73</v>
      </c>
      <c r="Q74" s="700" t="s">
        <v>266</v>
      </c>
      <c r="R74" s="667">
        <v>4</v>
      </c>
      <c r="S74" s="667">
        <v>14988</v>
      </c>
      <c r="T74" s="683"/>
      <c r="AK74" s="573">
        <v>23</v>
      </c>
      <c r="AL74" s="573" t="s">
        <v>112</v>
      </c>
    </row>
    <row r="75" spans="2:38" ht="17.25" customHeight="1">
      <c r="B75" s="267" t="str">
        <f>IFERROR(INDEX($Q$1:$BH$100,ROW(A75),MATCH(Data_Tech!$AU$7,$Q$1:$AN$1,)+COLUMN(A74)-1),"")</f>
        <v>Худякова Ольга Николаевна</v>
      </c>
      <c r="D75" s="222">
        <f>INDEX($Q$1:$BH$100,ROW(B75),MATCH(Data_Tech!$AU$7,$Q$1:$AN$1,)+COLUMN(B75)-1)</f>
        <v>3</v>
      </c>
      <c r="E75" s="223">
        <f>INDEX($Q$1:$BH$100,ROW(C75),MATCH(Data_Tech!$AU$7,$Q$1:$AN$1,)+COLUMN(C75)-1)</f>
        <v>15889</v>
      </c>
      <c r="P75" s="685">
        <v>74</v>
      </c>
      <c r="Q75" s="700" t="s">
        <v>267</v>
      </c>
      <c r="R75" s="667">
        <v>3</v>
      </c>
      <c r="S75" s="667">
        <v>15889</v>
      </c>
      <c r="T75" s="683"/>
      <c r="AK75" s="573">
        <v>34</v>
      </c>
      <c r="AL75" s="573" t="s">
        <v>113</v>
      </c>
    </row>
    <row r="76" spans="2:38" ht="17.25" customHeight="1">
      <c r="B76" s="267" t="str">
        <f>IFERROR(INDEX($Q$1:$BH$100,ROW(A76),MATCH(Data_Tech!$AU$7,$Q$1:$AN$1,)+COLUMN(A75)-1),"")</f>
        <v>Черкасова Дарья Викторовна</v>
      </c>
      <c r="D76" s="222">
        <f>INDEX($Q$1:$BH$100,ROW(B76),MATCH(Data_Tech!$AU$7,$Q$1:$AN$1,)+COLUMN(B76)-1)</f>
        <v>3</v>
      </c>
      <c r="E76" s="223">
        <f>INDEX($Q$1:$BH$100,ROW(C76),MATCH(Data_Tech!$AU$7,$Q$1:$AN$1,)+COLUMN(C76)-1)</f>
        <v>17302</v>
      </c>
      <c r="P76" s="685">
        <v>75</v>
      </c>
      <c r="Q76" s="668" t="s">
        <v>361</v>
      </c>
      <c r="R76" s="667">
        <v>3</v>
      </c>
      <c r="S76" s="667">
        <v>17302</v>
      </c>
      <c r="T76" s="683">
        <v>3</v>
      </c>
      <c r="AK76" s="573">
        <v>37</v>
      </c>
      <c r="AL76" s="573" t="s">
        <v>114</v>
      </c>
    </row>
    <row r="77" spans="2:38" ht="17.25" customHeight="1">
      <c r="B77" s="267" t="str">
        <f>IFERROR(INDEX($Q$1:$BH$100,ROW(A77),MATCH(Data_Tech!$AU$7,$Q$1:$AN$1,)+COLUMN(A76)-1),"")</f>
        <v>Шамарина Светлана Владимировна</v>
      </c>
      <c r="D77" s="222">
        <f>INDEX($Q$1:$BH$100,ROW(B77),MATCH(Data_Tech!$AU$7,$Q$1:$AN$1,)+COLUMN(B77)-1)</f>
        <v>4</v>
      </c>
      <c r="E77" s="223">
        <f>INDEX($Q$1:$BH$100,ROW(C77),MATCH(Data_Tech!$AU$7,$Q$1:$AN$1,)+COLUMN(C77)-1)</f>
        <v>15260</v>
      </c>
      <c r="P77" s="685">
        <v>76</v>
      </c>
      <c r="Q77" s="700" t="s">
        <v>285</v>
      </c>
      <c r="R77" s="667">
        <v>4</v>
      </c>
      <c r="S77" s="667">
        <v>15260</v>
      </c>
      <c r="T77" s="683"/>
      <c r="AK77" s="573">
        <v>38</v>
      </c>
      <c r="AL77" s="573" t="s">
        <v>115</v>
      </c>
    </row>
    <row r="78" spans="2:38" ht="17.25" customHeight="1">
      <c r="B78" s="267" t="str">
        <f>IFERROR(INDEX($Q$1:$BH$100,ROW(A78),MATCH(Data_Tech!$AU$7,$Q$1:$AN$1,)+COLUMN(A77)-1),"")</f>
        <v>Шишина Наталья Александровна</v>
      </c>
      <c r="D78" s="222">
        <f>INDEX($Q$1:$BH$100,ROW(B78),MATCH(Data_Tech!$AU$7,$Q$1:$AN$1,)+COLUMN(B78)-1)</f>
        <v>3</v>
      </c>
      <c r="E78" s="223">
        <f>INDEX($Q$1:$BH$100,ROW(C78),MATCH(Data_Tech!$AU$7,$Q$1:$AN$1,)+COLUMN(C78)-1)</f>
        <v>17079</v>
      </c>
      <c r="P78" s="685">
        <v>77</v>
      </c>
      <c r="Q78" s="700" t="s">
        <v>286</v>
      </c>
      <c r="R78" s="667">
        <v>3</v>
      </c>
      <c r="S78" s="667">
        <v>17079</v>
      </c>
      <c r="T78" s="683">
        <v>2</v>
      </c>
      <c r="AK78" s="573">
        <v>83</v>
      </c>
      <c r="AL78" s="573" t="s">
        <v>116</v>
      </c>
    </row>
    <row r="79" spans="2:38" ht="17.25" customHeight="1">
      <c r="B79" s="267" t="str">
        <f>IFERROR(INDEX($Q$1:$BH$100,ROW(A79),MATCH(Data_Tech!$AU$7,$Q$1:$AN$1,)+COLUMN(A78)-1),"")</f>
        <v>Яблокова Дарья Александровна</v>
      </c>
      <c r="D79" s="222">
        <f>INDEX($Q$1:$BH$100,ROW(B79),MATCH(Data_Tech!$AU$7,$Q$1:$AN$1,)+COLUMN(B79)-1)</f>
        <v>3</v>
      </c>
      <c r="E79" s="223">
        <f>INDEX($Q$1:$BH$100,ROW(C79),MATCH(Data_Tech!$AU$7,$Q$1:$AN$1,)+COLUMN(C79)-1)</f>
        <v>0</v>
      </c>
      <c r="P79" s="685">
        <v>78</v>
      </c>
      <c r="Q79" s="668" t="s">
        <v>392</v>
      </c>
      <c r="R79" s="667">
        <v>3</v>
      </c>
      <c r="S79" s="668"/>
      <c r="T79" s="683"/>
      <c r="AK79" s="573">
        <v>86</v>
      </c>
      <c r="AL79" s="573" t="s">
        <v>117</v>
      </c>
    </row>
    <row r="80" spans="2:38" ht="17.25" customHeight="1">
      <c r="B80" s="267">
        <f>IFERROR(INDEX($Q$1:$BH$100,ROW(A80),MATCH(Data_Tech!$AU$7,$Q$1:$AN$1,)+COLUMN(A79)-1),"")</f>
        <v>0</v>
      </c>
      <c r="D80" s="222">
        <f>INDEX($Q$1:$BH$100,ROW(B80),MATCH(Data_Tech!$AU$7,$Q$1:$AN$1,)+COLUMN(B80)-1)</f>
        <v>0</v>
      </c>
      <c r="E80" s="223">
        <f>INDEX($Q$1:$BH$100,ROW(C80),MATCH(Data_Tech!$AU$7,$Q$1:$AN$1,)+COLUMN(C80)-1)</f>
        <v>0</v>
      </c>
      <c r="P80" s="685">
        <v>79</v>
      </c>
      <c r="Q80" s="668"/>
      <c r="R80" s="668"/>
      <c r="S80" s="668"/>
      <c r="T80" s="683"/>
      <c r="AK80" s="573">
        <v>114</v>
      </c>
      <c r="AL80" s="573" t="s">
        <v>118</v>
      </c>
    </row>
    <row r="81" spans="2:38" ht="17.25" customHeight="1">
      <c r="B81" s="267">
        <f>IFERROR(INDEX($Q$1:$BH$100,ROW(A81),MATCH(Data_Tech!$AU$7,$Q$1:$AN$1,)+COLUMN(A80)-1),"")</f>
        <v>0</v>
      </c>
      <c r="D81" s="222">
        <f>INDEX($Q$1:$BH$100,ROW(B81),MATCH(Data_Tech!$AU$7,$Q$1:$AN$1,)+COLUMN(B81)-1)</f>
        <v>0</v>
      </c>
      <c r="E81" s="223">
        <f>INDEX($Q$1:$BH$100,ROW(C81),MATCH(Data_Tech!$AU$7,$Q$1:$AN$1,)+COLUMN(C81)-1)</f>
        <v>0</v>
      </c>
      <c r="P81" s="685">
        <v>80</v>
      </c>
      <c r="Q81" s="668"/>
      <c r="R81" s="668"/>
      <c r="S81" s="668"/>
      <c r="T81" s="683"/>
      <c r="AK81" s="573">
        <v>130</v>
      </c>
      <c r="AL81" s="573" t="s">
        <v>119</v>
      </c>
    </row>
    <row r="82" spans="2:38" ht="17.25" customHeight="1">
      <c r="P82" s="685">
        <v>81</v>
      </c>
      <c r="Q82" s="668"/>
      <c r="R82" s="668"/>
      <c r="S82" s="668"/>
      <c r="T82" s="683"/>
      <c r="AK82" s="573">
        <v>132</v>
      </c>
      <c r="AL82" s="573" t="s">
        <v>120</v>
      </c>
    </row>
    <row r="83" spans="2:38" ht="17.25" customHeight="1">
      <c r="P83" s="685">
        <v>82</v>
      </c>
      <c r="AK83" s="573">
        <v>133</v>
      </c>
      <c r="AL83" s="573" t="s">
        <v>121</v>
      </c>
    </row>
    <row r="84" spans="2:38" ht="17.25" customHeight="1">
      <c r="P84" s="685">
        <v>83</v>
      </c>
      <c r="AK84" s="573">
        <v>136</v>
      </c>
      <c r="AL84" s="573" t="s">
        <v>122</v>
      </c>
    </row>
    <row r="85" spans="2:38" ht="17.25" customHeight="1">
      <c r="P85" s="685">
        <v>84</v>
      </c>
      <c r="AK85" s="573">
        <v>155</v>
      </c>
      <c r="AL85" s="573" t="s">
        <v>123</v>
      </c>
    </row>
    <row r="86" spans="2:38" ht="17.25" customHeight="1">
      <c r="P86" s="685">
        <v>85</v>
      </c>
      <c r="AK86" s="573">
        <v>160</v>
      </c>
      <c r="AL86" s="573" t="s">
        <v>124</v>
      </c>
    </row>
    <row r="87" spans="2:38" ht="17.25" customHeight="1">
      <c r="P87" s="685">
        <v>86</v>
      </c>
      <c r="AK87" s="573">
        <v>163</v>
      </c>
      <c r="AL87" s="573" t="s">
        <v>125</v>
      </c>
    </row>
    <row r="88" spans="2:38" ht="17.25" customHeight="1">
      <c r="P88" s="685">
        <v>87</v>
      </c>
      <c r="AK88" s="573">
        <v>165</v>
      </c>
      <c r="AL88" s="573" t="s">
        <v>126</v>
      </c>
    </row>
    <row r="89" spans="2:38" ht="17.25" customHeight="1">
      <c r="P89" s="685">
        <v>88</v>
      </c>
      <c r="AK89" s="573">
        <v>167</v>
      </c>
      <c r="AL89" s="573" t="s">
        <v>127</v>
      </c>
    </row>
    <row r="90" spans="2:38" ht="17.25" customHeight="1">
      <c r="P90" s="685">
        <v>89</v>
      </c>
      <c r="AK90" s="573" t="s">
        <v>128</v>
      </c>
      <c r="AL90" s="573" t="s">
        <v>129</v>
      </c>
    </row>
    <row r="91" spans="2:38" ht="17.25" customHeight="1">
      <c r="P91" s="685">
        <v>90</v>
      </c>
      <c r="AK91" s="573">
        <v>182</v>
      </c>
      <c r="AL91" s="573" t="s">
        <v>130</v>
      </c>
    </row>
    <row r="92" spans="2:38" ht="17.25" customHeight="1">
      <c r="P92" s="685">
        <v>91</v>
      </c>
      <c r="AK92" s="573">
        <v>183</v>
      </c>
      <c r="AL92" s="573" t="s">
        <v>131</v>
      </c>
    </row>
    <row r="93" spans="2:38" ht="17.25" customHeight="1">
      <c r="P93" s="685">
        <v>92</v>
      </c>
      <c r="AK93" s="573" t="s">
        <v>132</v>
      </c>
      <c r="AL93" s="573" t="s">
        <v>133</v>
      </c>
    </row>
    <row r="94" spans="2:38" ht="17.25" customHeight="1">
      <c r="P94" s="685">
        <v>93</v>
      </c>
      <c r="AK94" s="573" t="s">
        <v>134</v>
      </c>
      <c r="AL94" s="573" t="s">
        <v>135</v>
      </c>
    </row>
    <row r="95" spans="2:38" ht="17.25" customHeight="1">
      <c r="AK95" s="573">
        <v>190</v>
      </c>
      <c r="AL95" s="573" t="s">
        <v>136</v>
      </c>
    </row>
    <row r="96" spans="2:38" ht="17.25" customHeight="1">
      <c r="AK96" s="573">
        <v>198</v>
      </c>
      <c r="AL96" s="573" t="s">
        <v>137</v>
      </c>
    </row>
    <row r="97" spans="37:38" ht="17.25" customHeight="1">
      <c r="AK97" s="573">
        <v>210</v>
      </c>
      <c r="AL97" s="573" t="s">
        <v>138</v>
      </c>
    </row>
    <row r="98" spans="37:38" ht="17.25" customHeight="1">
      <c r="AK98" s="573">
        <v>218</v>
      </c>
      <c r="AL98" s="573" t="s">
        <v>139</v>
      </c>
    </row>
    <row r="99" spans="37:38" ht="17.25" customHeight="1">
      <c r="AK99" s="573">
        <v>219</v>
      </c>
      <c r="AL99" s="573" t="s">
        <v>140</v>
      </c>
    </row>
    <row r="100" spans="37:38" ht="17.25" customHeight="1">
      <c r="AK100" s="573">
        <v>220</v>
      </c>
      <c r="AL100" s="573" t="s">
        <v>141</v>
      </c>
    </row>
    <row r="101" spans="37:38" ht="17.25" customHeight="1">
      <c r="AK101" s="573">
        <v>221</v>
      </c>
      <c r="AL101" s="573" t="s">
        <v>142</v>
      </c>
    </row>
    <row r="102" spans="37:38" ht="17.25" customHeight="1">
      <c r="AK102" s="573" t="s">
        <v>143</v>
      </c>
      <c r="AL102" s="573" t="s">
        <v>144</v>
      </c>
    </row>
    <row r="103" spans="37:38" ht="17.25" customHeight="1">
      <c r="AK103" s="573" t="s">
        <v>145</v>
      </c>
      <c r="AL103" s="573" t="s">
        <v>146</v>
      </c>
    </row>
    <row r="104" spans="37:38" ht="17.25" customHeight="1">
      <c r="AK104" s="573">
        <v>240</v>
      </c>
      <c r="AL104" s="573" t="s">
        <v>147</v>
      </c>
    </row>
    <row r="105" spans="37:38" ht="17.25" customHeight="1">
      <c r="AK105" s="573">
        <v>241</v>
      </c>
      <c r="AL105" s="573" t="s">
        <v>148</v>
      </c>
    </row>
    <row r="106" spans="37:38" ht="17.25" customHeight="1">
      <c r="AK106" s="573">
        <v>244</v>
      </c>
      <c r="AL106" s="573" t="s">
        <v>149</v>
      </c>
    </row>
    <row r="107" spans="37:38" ht="17.25" customHeight="1">
      <c r="AK107" s="573" t="s">
        <v>150</v>
      </c>
      <c r="AL107" s="573" t="s">
        <v>151</v>
      </c>
    </row>
    <row r="108" spans="37:38" ht="17.25" customHeight="1">
      <c r="AK108" s="573">
        <v>255</v>
      </c>
      <c r="AL108" s="573" t="s">
        <v>152</v>
      </c>
    </row>
    <row r="109" spans="37:38" ht="17.25" customHeight="1">
      <c r="AK109" s="573">
        <v>257</v>
      </c>
      <c r="AL109" s="573" t="s">
        <v>153</v>
      </c>
    </row>
    <row r="110" spans="37:38" ht="17.25" customHeight="1">
      <c r="AK110" s="573" t="s">
        <v>154</v>
      </c>
      <c r="AL110" s="573" t="s">
        <v>155</v>
      </c>
    </row>
    <row r="111" spans="37:38" ht="17.25" customHeight="1">
      <c r="AK111" s="573" t="s">
        <v>156</v>
      </c>
      <c r="AL111" s="573" t="s">
        <v>157</v>
      </c>
    </row>
    <row r="112" spans="37:38" ht="17.25" customHeight="1">
      <c r="AK112" s="573" t="s">
        <v>158</v>
      </c>
      <c r="AL112" s="573" t="s">
        <v>159</v>
      </c>
    </row>
    <row r="113" spans="37:38" ht="17.25" customHeight="1">
      <c r="AK113" s="573" t="s">
        <v>160</v>
      </c>
      <c r="AL113" s="573" t="s">
        <v>161</v>
      </c>
    </row>
    <row r="114" spans="37:38" ht="17.25" customHeight="1">
      <c r="AK114" s="573" t="s">
        <v>162</v>
      </c>
      <c r="AL114" s="573" t="s">
        <v>163</v>
      </c>
    </row>
    <row r="115" spans="37:38" ht="17.25" customHeight="1">
      <c r="AK115" s="573" t="s">
        <v>164</v>
      </c>
      <c r="AL115" s="573" t="s">
        <v>165</v>
      </c>
    </row>
    <row r="116" spans="37:38" ht="17.25" customHeight="1">
      <c r="AK116" s="573" t="s">
        <v>166</v>
      </c>
      <c r="AL116" s="573" t="s">
        <v>167</v>
      </c>
    </row>
    <row r="117" spans="37:38" ht="17.25" customHeight="1">
      <c r="AK117" s="573" t="s">
        <v>168</v>
      </c>
      <c r="AL117" s="573" t="s">
        <v>169</v>
      </c>
    </row>
    <row r="118" spans="37:38" ht="17.25" customHeight="1">
      <c r="AK118" s="573">
        <v>267</v>
      </c>
      <c r="AL118" s="573" t="s">
        <v>170</v>
      </c>
    </row>
    <row r="119" spans="37:38" ht="17.25" customHeight="1">
      <c r="AK119" s="573" t="s">
        <v>171</v>
      </c>
      <c r="AL119" s="573" t="s">
        <v>172</v>
      </c>
    </row>
    <row r="120" spans="37:38" ht="17.25" customHeight="1">
      <c r="AK120" s="573">
        <v>293</v>
      </c>
      <c r="AL120" s="573" t="s">
        <v>173</v>
      </c>
    </row>
    <row r="121" spans="37:38" ht="17.25" customHeight="1">
      <c r="AK121" s="573">
        <v>295</v>
      </c>
      <c r="AL121" s="573" t="s">
        <v>174</v>
      </c>
    </row>
    <row r="122" spans="37:38" ht="17.25" customHeight="1">
      <c r="AK122" s="573">
        <v>308</v>
      </c>
      <c r="AL122" s="573" t="s">
        <v>175</v>
      </c>
    </row>
    <row r="123" spans="37:38" ht="17.25" customHeight="1">
      <c r="AK123" s="573">
        <v>319</v>
      </c>
      <c r="AL123" s="573" t="s">
        <v>176</v>
      </c>
    </row>
    <row r="124" spans="37:38" ht="17.25" customHeight="1">
      <c r="AK124" s="573">
        <v>331</v>
      </c>
      <c r="AL124" s="573" t="s">
        <v>177</v>
      </c>
    </row>
    <row r="125" spans="37:38" ht="17.25" customHeight="1">
      <c r="AK125" s="573">
        <v>346</v>
      </c>
      <c r="AL125" s="573" t="s">
        <v>178</v>
      </c>
    </row>
    <row r="126" spans="37:38" ht="17.25" customHeight="1">
      <c r="AK126" s="573">
        <v>351</v>
      </c>
      <c r="AL126" s="573" t="s">
        <v>179</v>
      </c>
    </row>
    <row r="127" spans="37:38" ht="17.25" customHeight="1">
      <c r="AK127" s="573">
        <v>354</v>
      </c>
      <c r="AL127" s="573" t="s">
        <v>180</v>
      </c>
    </row>
    <row r="128" spans="37:38" ht="17.25" customHeight="1">
      <c r="AK128" s="573">
        <v>359</v>
      </c>
      <c r="AL128" s="573" t="s">
        <v>181</v>
      </c>
    </row>
    <row r="129" spans="37:38" ht="17.25" customHeight="1">
      <c r="AK129" s="573">
        <v>362</v>
      </c>
      <c r="AL129" s="573" t="s">
        <v>182</v>
      </c>
    </row>
    <row r="130" spans="37:38" ht="17.25" customHeight="1">
      <c r="AK130" s="573">
        <v>389</v>
      </c>
      <c r="AL130" s="573" t="s">
        <v>183</v>
      </c>
    </row>
    <row r="131" spans="37:38" ht="17.25" customHeight="1">
      <c r="AK131" s="573">
        <v>390</v>
      </c>
      <c r="AL131" s="573" t="s">
        <v>184</v>
      </c>
    </row>
    <row r="132" spans="37:38">
      <c r="AK132" s="573">
        <v>407</v>
      </c>
      <c r="AL132" s="573" t="s">
        <v>185</v>
      </c>
    </row>
    <row r="133" spans="37:38">
      <c r="AK133" s="573">
        <v>408</v>
      </c>
      <c r="AL133" s="573" t="s">
        <v>186</v>
      </c>
    </row>
    <row r="134" spans="37:38">
      <c r="AK134" s="573">
        <v>416</v>
      </c>
      <c r="AL134" s="573" t="s">
        <v>187</v>
      </c>
    </row>
    <row r="135" spans="37:38">
      <c r="AK135" s="573" t="s">
        <v>188</v>
      </c>
      <c r="AL135" s="573" t="s">
        <v>189</v>
      </c>
    </row>
    <row r="136" spans="37:38">
      <c r="AK136" s="573">
        <v>428</v>
      </c>
      <c r="AL136" s="573" t="s">
        <v>190</v>
      </c>
    </row>
    <row r="137" spans="37:38">
      <c r="AK137" s="573">
        <v>429</v>
      </c>
      <c r="AL137" s="573" t="s">
        <v>191</v>
      </c>
    </row>
    <row r="138" spans="37:38">
      <c r="AK138" s="573" t="s">
        <v>192</v>
      </c>
      <c r="AL138" s="573" t="s">
        <v>193</v>
      </c>
    </row>
    <row r="139" spans="37:38">
      <c r="AK139" s="573">
        <v>484</v>
      </c>
      <c r="AL139" s="573" t="s">
        <v>194</v>
      </c>
    </row>
    <row r="140" spans="37:38">
      <c r="AK140" s="573">
        <v>489</v>
      </c>
      <c r="AL140" s="573" t="s">
        <v>195</v>
      </c>
    </row>
    <row r="141" spans="37:38">
      <c r="AK141" s="573">
        <v>490</v>
      </c>
      <c r="AL141" s="573" t="s">
        <v>196</v>
      </c>
    </row>
    <row r="142" spans="37:38">
      <c r="AK142" s="573">
        <v>491</v>
      </c>
      <c r="AL142" s="573" t="s">
        <v>197</v>
      </c>
    </row>
    <row r="143" spans="37:38">
      <c r="AK143" s="573">
        <v>492</v>
      </c>
      <c r="AL143" s="573" t="s">
        <v>198</v>
      </c>
    </row>
    <row r="144" spans="37:38">
      <c r="AK144" s="573">
        <v>500</v>
      </c>
      <c r="AL144" s="573" t="s">
        <v>199</v>
      </c>
    </row>
    <row r="145" spans="37:38">
      <c r="AK145" s="573" t="s">
        <v>200</v>
      </c>
      <c r="AL145" s="573" t="s">
        <v>201</v>
      </c>
    </row>
    <row r="146" spans="37:38">
      <c r="AK146" s="573">
        <v>551</v>
      </c>
      <c r="AL146" s="573" t="s">
        <v>202</v>
      </c>
    </row>
    <row r="147" spans="37:38">
      <c r="AK147" s="573">
        <v>554</v>
      </c>
      <c r="AL147" s="573" t="s">
        <v>203</v>
      </c>
    </row>
    <row r="148" spans="37:38">
      <c r="AK148" s="573">
        <v>589</v>
      </c>
      <c r="AL148" s="573" t="s">
        <v>204</v>
      </c>
    </row>
    <row r="149" spans="37:38">
      <c r="AK149" s="573">
        <v>614</v>
      </c>
      <c r="AL149" s="573" t="s">
        <v>205</v>
      </c>
    </row>
    <row r="150" spans="37:38">
      <c r="AK150" s="573">
        <v>639</v>
      </c>
      <c r="AL150" s="573" t="s">
        <v>206</v>
      </c>
    </row>
    <row r="151" spans="37:38">
      <c r="AK151" s="573">
        <v>641</v>
      </c>
      <c r="AL151" s="573" t="s">
        <v>207</v>
      </c>
    </row>
    <row r="152" spans="37:38">
      <c r="AK152" s="573">
        <v>642</v>
      </c>
      <c r="AL152" s="573" t="s">
        <v>208</v>
      </c>
    </row>
    <row r="153" spans="37:38">
      <c r="AK153" s="573">
        <v>643</v>
      </c>
      <c r="AL153" s="573" t="s">
        <v>209</v>
      </c>
    </row>
    <row r="154" spans="37:38">
      <c r="AK154" s="573">
        <v>659</v>
      </c>
      <c r="AL154" s="573" t="s">
        <v>210</v>
      </c>
    </row>
    <row r="155" spans="37:38">
      <c r="AK155" s="573">
        <v>661</v>
      </c>
      <c r="AL155" s="573" t="s">
        <v>211</v>
      </c>
    </row>
    <row r="156" spans="37:38">
      <c r="AK156" s="573">
        <v>662</v>
      </c>
      <c r="AL156" s="573" t="s">
        <v>212</v>
      </c>
    </row>
    <row r="157" spans="37:38">
      <c r="AK157" s="573">
        <v>663</v>
      </c>
      <c r="AL157" s="573" t="s">
        <v>213</v>
      </c>
    </row>
    <row r="158" spans="37:38">
      <c r="AK158" s="573">
        <v>676</v>
      </c>
      <c r="AL158" s="573" t="s">
        <v>214</v>
      </c>
    </row>
    <row r="159" spans="37:38">
      <c r="AK159" s="573">
        <v>677</v>
      </c>
      <c r="AL159" s="573" t="s">
        <v>177</v>
      </c>
    </row>
    <row r="160" spans="37:38">
      <c r="AK160" s="573">
        <v>685</v>
      </c>
      <c r="AL160" s="573" t="s">
        <v>215</v>
      </c>
    </row>
    <row r="161" spans="37:38">
      <c r="AK161" s="573">
        <v>686</v>
      </c>
      <c r="AL161" s="573" t="s">
        <v>216</v>
      </c>
    </row>
    <row r="162" spans="37:38">
      <c r="AK162" s="573">
        <v>692</v>
      </c>
      <c r="AL162" s="573" t="s">
        <v>217</v>
      </c>
    </row>
    <row r="163" spans="37:38">
      <c r="AK163" s="573">
        <v>698</v>
      </c>
      <c r="AL163" s="573" t="s">
        <v>218</v>
      </c>
    </row>
    <row r="164" spans="37:38">
      <c r="AK164" s="573">
        <v>700</v>
      </c>
      <c r="AL164" s="573" t="s">
        <v>219</v>
      </c>
    </row>
    <row r="165" spans="37:38">
      <c r="AK165" s="573">
        <v>704</v>
      </c>
      <c r="AL165" s="573" t="s">
        <v>95</v>
      </c>
    </row>
    <row r="166" spans="37:38">
      <c r="AK166" s="573">
        <v>706</v>
      </c>
      <c r="AL166" s="573" t="s">
        <v>220</v>
      </c>
    </row>
    <row r="167" spans="37:38">
      <c r="AK167" s="573">
        <v>709</v>
      </c>
      <c r="AL167" s="573" t="s">
        <v>221</v>
      </c>
    </row>
    <row r="168" spans="37:38">
      <c r="AK168" s="573">
        <v>710</v>
      </c>
      <c r="AL168" s="573" t="s">
        <v>222</v>
      </c>
    </row>
    <row r="169" spans="37:38">
      <c r="AK169" s="573">
        <v>717</v>
      </c>
      <c r="AL169" s="573" t="s">
        <v>96</v>
      </c>
    </row>
    <row r="170" spans="37:38">
      <c r="AK170" s="573">
        <v>719</v>
      </c>
      <c r="AL170" s="573" t="s">
        <v>223</v>
      </c>
    </row>
    <row r="171" spans="37:38">
      <c r="AK171" s="573">
        <v>677</v>
      </c>
      <c r="AL171" s="573" t="s">
        <v>177</v>
      </c>
    </row>
    <row r="172" spans="37:38">
      <c r="AK172" s="573" t="s">
        <v>224</v>
      </c>
      <c r="AL172" s="573" t="s">
        <v>225</v>
      </c>
    </row>
    <row r="173" spans="37:38">
      <c r="AK173" s="573">
        <v>729</v>
      </c>
      <c r="AL173" s="573" t="s">
        <v>225</v>
      </c>
    </row>
    <row r="174" spans="37:38">
      <c r="AK174" s="573">
        <v>733</v>
      </c>
      <c r="AL174" s="573" t="s">
        <v>97</v>
      </c>
    </row>
    <row r="175" spans="37:38">
      <c r="AK175" s="573">
        <v>734</v>
      </c>
      <c r="AL175" s="573" t="s">
        <v>226</v>
      </c>
    </row>
    <row r="176" spans="37:38">
      <c r="AK176" s="573">
        <v>735</v>
      </c>
      <c r="AL176" s="573" t="s">
        <v>227</v>
      </c>
    </row>
    <row r="177" spans="37:38">
      <c r="AK177" s="573" t="s">
        <v>228</v>
      </c>
      <c r="AL177" s="573" t="s">
        <v>229</v>
      </c>
    </row>
    <row r="178" spans="37:38">
      <c r="AK178" s="573">
        <v>737</v>
      </c>
      <c r="AL178" s="573" t="s">
        <v>230</v>
      </c>
    </row>
    <row r="179" spans="37:38">
      <c r="AK179" s="573" t="s">
        <v>231</v>
      </c>
      <c r="AL179" s="573" t="s">
        <v>232</v>
      </c>
    </row>
    <row r="180" spans="37:38">
      <c r="AK180" s="573">
        <v>740</v>
      </c>
      <c r="AL180" s="573" t="s">
        <v>233</v>
      </c>
    </row>
    <row r="181" spans="37:38">
      <c r="AK181" s="573" t="s">
        <v>234</v>
      </c>
      <c r="AL181" s="573" t="s">
        <v>235</v>
      </c>
    </row>
    <row r="182" spans="37:38">
      <c r="AK182" s="573">
        <v>742</v>
      </c>
      <c r="AL182" s="573" t="s">
        <v>236</v>
      </c>
    </row>
    <row r="183" spans="37:38">
      <c r="AK183" s="573" t="s">
        <v>237</v>
      </c>
      <c r="AL183" s="573" t="s">
        <v>238</v>
      </c>
    </row>
    <row r="184" spans="37:38">
      <c r="AK184" s="573">
        <v>744</v>
      </c>
      <c r="AL184" s="573" t="s">
        <v>239</v>
      </c>
    </row>
    <row r="185" spans="37:38">
      <c r="AK185" s="573">
        <v>746</v>
      </c>
      <c r="AL185" s="573" t="s">
        <v>240</v>
      </c>
    </row>
    <row r="186" spans="37:38">
      <c r="AK186" s="573">
        <v>752</v>
      </c>
      <c r="AL186" s="573" t="s">
        <v>241</v>
      </c>
    </row>
    <row r="187" spans="37:38">
      <c r="AK187" s="573" t="s">
        <v>242</v>
      </c>
      <c r="AL187" s="573" t="s">
        <v>243</v>
      </c>
    </row>
    <row r="188" spans="37:38">
      <c r="AK188" s="573">
        <v>754</v>
      </c>
      <c r="AL188" s="573" t="s">
        <v>244</v>
      </c>
    </row>
    <row r="189" spans="37:38">
      <c r="AK189" s="573">
        <v>758</v>
      </c>
      <c r="AL189" s="573" t="s">
        <v>245</v>
      </c>
    </row>
    <row r="190" spans="37:38">
      <c r="AK190" s="573">
        <v>759</v>
      </c>
      <c r="AL190" s="573" t="s">
        <v>98</v>
      </c>
    </row>
  </sheetData>
  <sortState ref="Q2:T79">
    <sortCondition ref="Q2"/>
  </sortState>
  <mergeCells count="5">
    <mergeCell ref="Q1:S1"/>
    <mergeCell ref="U1:W1"/>
    <mergeCell ref="Y1:AA1"/>
    <mergeCell ref="AG1:AI1"/>
    <mergeCell ref="AC1:AE1"/>
  </mergeCells>
  <phoneticPr fontId="3" type="noConversion"/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C828"/>
  <sheetViews>
    <sheetView showZeros="0" view="pageBreakPreview" topLeftCell="A644" zoomScale="70" zoomScaleNormal="60" zoomScaleSheetLayoutView="70" workbookViewId="0">
      <selection activeCell="K780" sqref="K780"/>
    </sheetView>
  </sheetViews>
  <sheetFormatPr defaultColWidth="10.28515625" defaultRowHeight="20.25"/>
  <cols>
    <col min="1" max="1" customWidth="true" style="179" width="4.0"/>
    <col min="2" max="2" customWidth="true" style="179" width="47.140625"/>
    <col min="3" max="3" customWidth="true" style="180" width="7.7109375"/>
    <col min="4" max="4" customWidth="true" style="181" width="6.7109375"/>
    <col min="5" max="5" customWidth="true" style="182" width="8.140625"/>
    <col min="6" max="6" customWidth="true" style="183" width="7.0"/>
    <col min="7" max="7" customWidth="true" style="183" width="9.140625"/>
    <col min="8" max="8" customWidth="true" style="182" width="13.140625"/>
    <col min="9" max="9" customWidth="true" style="182" width="8.0"/>
    <col min="10" max="10" customWidth="true" style="179" width="7.0"/>
    <col min="11" max="11" customWidth="true" style="183" width="7.0"/>
    <col min="12" max="12" customWidth="true" style="182" width="11.140625"/>
    <col min="13" max="13" customWidth="true" hidden="true" style="182" width="7.0"/>
    <col min="14" max="14" customWidth="true" hidden="true" style="183" width="7.0"/>
    <col min="15" max="15" customWidth="true" hidden="true" style="183" width="7.42578125"/>
    <col min="16" max="16" customWidth="true" hidden="true" style="182" width="8.85546875"/>
    <col min="17" max="17" customWidth="true" style="182" width="8.5703125"/>
    <col min="18" max="18" customWidth="true" style="183" width="7.0"/>
    <col min="19" max="19" bestFit="true" customWidth="true" style="183" width="9.42578125"/>
    <col min="20" max="20" bestFit="true" customWidth="true" style="182" width="13.0"/>
    <col min="21" max="21" bestFit="true" customWidth="true" style="182" width="8.140625"/>
    <col min="22" max="22" customWidth="true" style="183" width="7.0"/>
    <col min="23" max="23" bestFit="true" customWidth="true" style="183" width="9.42578125"/>
    <col min="24" max="24" bestFit="true" customWidth="true" style="184" width="13.0"/>
    <col min="25" max="25" customWidth="true" style="179" width="13.0"/>
    <col min="26" max="26" customWidth="true" style="182" width="15.28515625"/>
    <col min="27" max="27" customWidth="true" style="185" width="24.7109375"/>
    <col min="28" max="28" style="179" width="10.28515625"/>
    <col min="29" max="29" customWidth="true" style="752" width="14.42578125"/>
    <col min="30" max="150" style="179" width="10.28515625"/>
    <col min="151" max="151" bestFit="true" customWidth="true" style="179" width="3.42578125"/>
    <col min="152" max="152" customWidth="true" style="179" width="23.28515625"/>
    <col min="153" max="153" bestFit="true" customWidth="true" style="179" width="7.0"/>
    <col min="154" max="154" customWidth="true" style="179" width="5.7109375"/>
    <col min="155" max="174" customWidth="true" style="179" width="7.0"/>
    <col min="175" max="175" bestFit="true" customWidth="true" style="179" width="7.42578125"/>
    <col min="176" max="176" bestFit="true" customWidth="true" style="179" width="14.28515625"/>
    <col min="177" max="177" customWidth="true" style="179" width="20.42578125"/>
    <col min="178" max="16384" style="179" width="10.28515625"/>
  </cols>
  <sheetData>
    <row r="1" spans="1:29" s="170" customFormat="1" ht="27" customHeight="1">
      <c r="A1" s="298"/>
      <c r="B1" s="298"/>
      <c r="C1" s="298"/>
      <c r="D1" s="298"/>
      <c r="E1" s="298"/>
      <c r="F1" s="298"/>
      <c r="G1" s="298"/>
      <c r="H1" s="772" t="str">
        <f>INDEX(база!AO:AO, MATCH(Data_Tech!AU7,база!AN:AN,0))</f>
        <v>Производственный цех №3, мастерская 39</v>
      </c>
      <c r="I1" s="772"/>
      <c r="J1" s="772"/>
      <c r="K1" s="772"/>
      <c r="L1" s="772"/>
      <c r="M1" s="772"/>
      <c r="N1" s="772"/>
      <c r="O1" s="772"/>
      <c r="P1" s="772"/>
      <c r="Q1" s="772"/>
      <c r="R1" s="772"/>
      <c r="S1" s="772"/>
      <c r="T1" s="772"/>
      <c r="U1" s="772"/>
      <c r="V1" s="298"/>
      <c r="W1" s="298"/>
      <c r="X1" s="298"/>
      <c r="Y1" s="298"/>
      <c r="Z1" s="298"/>
      <c r="AA1" s="298"/>
      <c r="AC1" s="749"/>
    </row>
    <row r="2" spans="1:29" s="170" customFormat="1">
      <c r="A2" s="167"/>
      <c r="B2" s="167"/>
      <c r="C2" s="167"/>
      <c r="D2" s="167"/>
      <c r="E2" s="168"/>
      <c r="F2" s="169"/>
      <c r="G2" s="169"/>
      <c r="H2" s="168"/>
      <c r="I2" s="168"/>
      <c r="L2" s="170" t="s">
        <v>43</v>
      </c>
      <c r="N2" s="169" t="s">
        <v>43</v>
      </c>
      <c r="Q2" s="171" t="str">
        <f>Data_Tech!$A$3</f>
        <v>декабрь</v>
      </c>
      <c r="R2" s="169"/>
      <c r="S2" s="169"/>
      <c r="T2" s="172">
        <v>2023</v>
      </c>
      <c r="U2" s="168"/>
      <c r="V2" s="169"/>
      <c r="W2" s="169"/>
      <c r="X2" s="173"/>
      <c r="Y2" s="167"/>
      <c r="Z2" s="168"/>
      <c r="AA2" s="174"/>
      <c r="AC2" s="749"/>
    </row>
    <row r="3" spans="1:29" s="178" customFormat="1" ht="21" thickBot="1">
      <c r="A3" s="175"/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7"/>
      <c r="Q3" s="175"/>
      <c r="R3" s="176"/>
      <c r="S3" s="176"/>
      <c r="T3" s="176"/>
      <c r="U3" s="176"/>
      <c r="V3" s="176"/>
      <c r="W3" s="176"/>
      <c r="X3" s="176"/>
      <c r="Y3" s="176"/>
      <c r="Z3" s="176"/>
      <c r="AA3" s="176"/>
      <c r="AC3" s="750"/>
    </row>
    <row r="4" spans="1:29" s="371" customFormat="1" ht="21" thickBot="1">
      <c r="A4" s="773"/>
      <c r="B4" s="775" t="s">
        <v>33</v>
      </c>
      <c r="C4" s="777" t="s">
        <v>34</v>
      </c>
      <c r="D4" s="779" t="s">
        <v>35</v>
      </c>
      <c r="E4" s="781">
        <v>0.04</v>
      </c>
      <c r="F4" s="782"/>
      <c r="G4" s="782"/>
      <c r="H4" s="783"/>
      <c r="I4" s="781">
        <v>0.08</v>
      </c>
      <c r="J4" s="782"/>
      <c r="K4" s="782"/>
      <c r="L4" s="783"/>
      <c r="M4" s="781">
        <v>0.12</v>
      </c>
      <c r="N4" s="782"/>
      <c r="O4" s="782"/>
      <c r="P4" s="783"/>
      <c r="Q4" s="784">
        <v>0.16</v>
      </c>
      <c r="R4" s="785"/>
      <c r="S4" s="785"/>
      <c r="T4" s="786"/>
      <c r="U4" s="784">
        <v>0.24</v>
      </c>
      <c r="V4" s="785"/>
      <c r="W4" s="785"/>
      <c r="X4" s="786"/>
      <c r="Y4" s="787" t="s">
        <v>36</v>
      </c>
      <c r="Z4" s="789" t="s">
        <v>37</v>
      </c>
      <c r="AA4" s="791" t="s">
        <v>38</v>
      </c>
      <c r="AC4" s="751"/>
    </row>
    <row r="5" spans="1:29" ht="42.75" thickBot="1">
      <c r="A5" s="774"/>
      <c r="B5" s="776"/>
      <c r="C5" s="778"/>
      <c r="D5" s="780"/>
      <c r="E5" s="372" t="s">
        <v>39</v>
      </c>
      <c r="F5" s="373" t="s">
        <v>40</v>
      </c>
      <c r="G5" s="373" t="s">
        <v>41</v>
      </c>
      <c r="H5" s="374" t="s">
        <v>42</v>
      </c>
      <c r="I5" s="375" t="s">
        <v>39</v>
      </c>
      <c r="J5" s="373" t="s">
        <v>40</v>
      </c>
      <c r="K5" s="373" t="s">
        <v>41</v>
      </c>
      <c r="L5" s="374" t="s">
        <v>42</v>
      </c>
      <c r="M5" s="375" t="s">
        <v>39</v>
      </c>
      <c r="N5" s="373" t="s">
        <v>40</v>
      </c>
      <c r="O5" s="373" t="s">
        <v>41</v>
      </c>
      <c r="P5" s="374" t="s">
        <v>42</v>
      </c>
      <c r="Q5" s="375" t="s">
        <v>39</v>
      </c>
      <c r="R5" s="373" t="s">
        <v>40</v>
      </c>
      <c r="S5" s="373" t="s">
        <v>41</v>
      </c>
      <c r="T5" s="374" t="s">
        <v>42</v>
      </c>
      <c r="U5" s="375" t="s">
        <v>39</v>
      </c>
      <c r="V5" s="373" t="s">
        <v>40</v>
      </c>
      <c r="W5" s="373" t="s">
        <v>41</v>
      </c>
      <c r="X5" s="376" t="s">
        <v>42</v>
      </c>
      <c r="Y5" s="788"/>
      <c r="Z5" s="790"/>
      <c r="AA5" s="792"/>
    </row>
    <row r="6" spans="1:29">
      <c r="A6" s="755">
        <v>1</v>
      </c>
      <c r="B6" s="237"/>
      <c r="C6" s="758">
        <f>INDEX(база!$E$2:$E$81, MATCH(B11,база!$B$2:$B$50,0))</f>
        <v>15118</v>
      </c>
      <c r="D6" s="761">
        <f>INDEX(база!$D$2:$D$89, MATCH(B11,база!$B$2:$B$50,0))</f>
        <v>4</v>
      </c>
      <c r="E6" s="377">
        <f>IF(D6&lt;=3,база!$I$4,
IF(D6=4,база!$I$5,
IF(D6=5,база!$I$6)))</f>
        <v>207.5112</v>
      </c>
      <c r="F6" s="378">
        <v>1</v>
      </c>
      <c r="G6" s="553">
        <f>SUMIFS(Таблица14[часы],Таблица14[коэф],"1",Таблица14[р/р],"2/4",Таблица14[Ф. И. О.],B11)</f>
        <v>0</v>
      </c>
      <c r="H6" s="554">
        <f>ROUND(E6*F6*G6*2,2)</f>
        <v>0</v>
      </c>
      <c r="I6" s="381">
        <f>IF(D6&lt;=3,база!$J$4,
IF(D6=4,база!$J$5,
IF(D6=5,база!$J$6)))</f>
        <v>215.4924</v>
      </c>
      <c r="J6" s="378">
        <v>1</v>
      </c>
      <c r="K6" s="382">
        <f>SUMIFS(Таблица14[часы],Таблица14[коэф],"1",Таблица14[р/р],"2/8",Таблица14[Ф. И. О.],B11)</f>
        <v>0</v>
      </c>
      <c r="L6" s="523">
        <f>ROUND(I6*J6*K6*2,2)</f>
        <v>0</v>
      </c>
      <c r="M6" s="384"/>
      <c r="N6" s="382">
        <v>1</v>
      </c>
      <c r="O6" s="382">
        <f>SUMIFS(Data_Tech!$AM$3:$AM$67,Data_Tech!$E$3:$E$67,"1",Data_Tech!$G$3:$G$67,"3/12",Data_Tech!$F$3:$F$67,B11)</f>
        <v>0</v>
      </c>
      <c r="P6" s="385">
        <f>ROUND(M6*N6*O6,2)</f>
        <v>0</v>
      </c>
      <c r="Q6" s="386">
        <f>IF(D6&lt;=3,база!$L$4,
IF(D6=4,база!$L$5,
IF(D6=5,база!$L$6)))</f>
        <v>231.45480000000001</v>
      </c>
      <c r="R6" s="378">
        <v>1</v>
      </c>
      <c r="S6" s="387">
        <f>SUMIFS(Таблица14[часы],Таблица14[коэф],"1",Таблица14[р/р],"3/16",Таблица14[Ф. И. О.],B11)</f>
        <v>0</v>
      </c>
      <c r="T6" s="380">
        <f>ROUND(Q6*R6*S6*2,2)</f>
        <v>0</v>
      </c>
      <c r="U6" s="388">
        <f>IF(D6&lt;=3,база!$M$4,
IF(D6=4,база!$M$5,
IF(D6=5,база!$M$6)))</f>
        <v>247.41720000000001</v>
      </c>
      <c r="V6" s="378">
        <v>1</v>
      </c>
      <c r="W6" s="387">
        <f>SUMIFS(Таблица14[часы],Таблица14[коэф],"1",Таблица14[р/р],"3/24",Таблица14[Ф. И. О.],B11)</f>
        <v>0</v>
      </c>
      <c r="X6" s="548">
        <f>ROUND(U6*V6*W6*2,2)</f>
        <v>0</v>
      </c>
      <c r="Y6" s="769">
        <f>SUM(G6:G16,K6:K16,O6:O16,S6:S16,W6:W16)</f>
        <v>0</v>
      </c>
      <c r="Z6" s="768">
        <f>IFERROR(SUM(H6:H16,L6:L16,T6:T16,X6:X16),"")</f>
        <v>0</v>
      </c>
      <c r="AA6" s="755"/>
    </row>
    <row r="7" spans="1:29">
      <c r="A7" s="756"/>
      <c r="C7" s="759"/>
      <c r="D7" s="762"/>
      <c r="E7" s="389">
        <f>IF(D6&lt;=3,база!$I$4,
IF(D6=4,база!$I$5,
IF(D6=5,база!$I$6)))</f>
        <v>207.5112</v>
      </c>
      <c r="F7" s="390">
        <v>1</v>
      </c>
      <c r="G7" s="555">
        <f>SUMIFS(Таблица14[часы],Таблица14[коэф],"1",Таблица14[р/р],"3/4",Таблица14[Ф. И. О.],B11)</f>
        <v>0</v>
      </c>
      <c r="H7" s="556">
        <f t="shared" ref="H7:H16" si="0">ROUND(E7*F7*G7*2,2)</f>
        <v>0</v>
      </c>
      <c r="I7" s="393">
        <f>IF(D6&lt;=3,база!$J$4,
IF(D6=4,база!$J$5,
IF(D6=5,база!$J$6)))</f>
        <v>215.4924</v>
      </c>
      <c r="J7" s="390">
        <v>1</v>
      </c>
      <c r="K7" s="394">
        <f>SUMIFS(Таблица14[часы],Таблица14[коэф],"1",Таблица14[р/р],"3/8",Таблица14[Ф. И. О.],B11)</f>
        <v>0</v>
      </c>
      <c r="L7" s="524">
        <f t="shared" ref="L7:L16" si="1">ROUND(I7*J7*K7*2,2)</f>
        <v>0</v>
      </c>
      <c r="M7" s="396"/>
      <c r="N7" s="397">
        <v>1</v>
      </c>
      <c r="O7" s="397">
        <f>SUMIFS(Data_Tech!$AM$3:$AM$67,Data_Tech!$E$3:$E$67,"1",Data_Tech!$G$3:$G$67,"4/12",Data_Tech!$F$3:$F$67,B11)</f>
        <v>0</v>
      </c>
      <c r="P7" s="398">
        <f>ROUND(M7*O7,2)</f>
        <v>0</v>
      </c>
      <c r="Q7" s="399">
        <f>база!$L$5</f>
        <v>231.45480000000001</v>
      </c>
      <c r="R7" s="390">
        <v>1</v>
      </c>
      <c r="S7" s="400">
        <f>SUMIFS(Таблица14[часы],Таблица14[коэф],"1",Таблица14[р/р],"4/16",Таблица14[Ф. И. О.],B11)</f>
        <v>0</v>
      </c>
      <c r="T7" s="392">
        <f t="shared" ref="T7:T16" si="2">ROUND(Q7*R7*S7*2,2)</f>
        <v>0</v>
      </c>
      <c r="U7" s="401">
        <f>база!$M$5</f>
        <v>247.41720000000001</v>
      </c>
      <c r="V7" s="390">
        <v>1</v>
      </c>
      <c r="W7" s="400">
        <f>SUMIFS(Таблица14[часы],Таблица14[коэф],"1",Таблица14[р/р],"4/24",Таблица14[Ф. И. О.],B11)</f>
        <v>0</v>
      </c>
      <c r="X7" s="544">
        <f t="shared" ref="X7:X16" si="3">ROUND(U7*V7*W7*2,2)</f>
        <v>0</v>
      </c>
      <c r="Y7" s="770"/>
      <c r="Z7" s="766"/>
      <c r="AA7" s="756"/>
    </row>
    <row r="8" spans="1:29">
      <c r="A8" s="756"/>
      <c r="C8" s="759"/>
      <c r="D8" s="762"/>
      <c r="E8" s="389"/>
      <c r="F8" s="390"/>
      <c r="G8" s="555"/>
      <c r="H8" s="557">
        <f t="shared" si="0"/>
        <v>0</v>
      </c>
      <c r="I8" s="393"/>
      <c r="J8" s="390"/>
      <c r="K8" s="394"/>
      <c r="L8" s="524">
        <f t="shared" si="1"/>
        <v>0</v>
      </c>
      <c r="M8" s="396"/>
      <c r="N8" s="397"/>
      <c r="O8" s="397"/>
      <c r="P8" s="398"/>
      <c r="Q8" s="399">
        <f>база!$L$6</f>
        <v>261.04640000000001</v>
      </c>
      <c r="R8" s="390">
        <v>1</v>
      </c>
      <c r="S8" s="400">
        <f>SUMIFS(Таблица14[часы],Таблица14[коэф],"1",Таблица14[р/р],"5/16",Таблица14[Ф. И. О.],B11)</f>
        <v>0</v>
      </c>
      <c r="T8" s="440">
        <f t="shared" si="2"/>
        <v>0</v>
      </c>
      <c r="U8" s="401">
        <f>база!$M$6</f>
        <v>279.0496</v>
      </c>
      <c r="V8" s="390">
        <v>1</v>
      </c>
      <c r="W8" s="400">
        <f>SUMIFS(Таблица14[часы],Таблица14[коэф],"1",Таблица14[р/р],"5/24",Таблица14[Ф. И. О.],B11)</f>
        <v>0</v>
      </c>
      <c r="X8" s="590">
        <f t="shared" si="3"/>
        <v>0</v>
      </c>
      <c r="Y8" s="770"/>
      <c r="Z8" s="766"/>
      <c r="AA8" s="756"/>
    </row>
    <row r="9" spans="1:29">
      <c r="A9" s="756"/>
      <c r="B9" s="215"/>
      <c r="C9" s="759"/>
      <c r="D9" s="762"/>
      <c r="E9" s="389"/>
      <c r="F9" s="390"/>
      <c r="G9" s="555"/>
      <c r="H9" s="557">
        <f t="shared" si="0"/>
        <v>0</v>
      </c>
      <c r="I9" s="393">
        <f>база!$J$5</f>
        <v>215.4924</v>
      </c>
      <c r="J9" s="390">
        <v>1.5</v>
      </c>
      <c r="K9" s="394">
        <f>SUMIFS(Таблица14[часы],Таблица14[коэф],"1,5",Таблица14[р/р],"4/8",Таблица14[Ф. И. О.],B11)</f>
        <v>0</v>
      </c>
      <c r="L9" s="587">
        <f t="shared" si="1"/>
        <v>0</v>
      </c>
      <c r="M9" s="396"/>
      <c r="N9" s="397"/>
      <c r="O9" s="397"/>
      <c r="P9" s="398"/>
      <c r="Q9" s="399">
        <f>IF(D6&lt;=3,база!$L$4,
IF(D6=4,база!$L$5,
IF(D6=5,база!$L$6)))</f>
        <v>231.45480000000001</v>
      </c>
      <c r="R9" s="390">
        <v>1.2</v>
      </c>
      <c r="S9" s="400">
        <f>SUMIFS(Таблица14[часы],Таблица14[коэф],"1,2",Таблица14[р/р],"3/16",Таблица14[Ф. И. О.],B11)</f>
        <v>0</v>
      </c>
      <c r="T9" s="409">
        <f t="shared" si="2"/>
        <v>0</v>
      </c>
      <c r="U9" s="401">
        <f>IF(D6&lt;=3,база!$M$4,
IF(D6=4,база!$M$5,
IF(D6=5,база!$M$6)))</f>
        <v>247.41720000000001</v>
      </c>
      <c r="V9" s="390">
        <v>1.2</v>
      </c>
      <c r="W9" s="400">
        <f>SUMIFS(Таблица14[часы],Таблица14[коэф],"1,2",Таблица14[р/р],"3/24",Таблица14[Ф. И. О.],B11)</f>
        <v>0</v>
      </c>
      <c r="X9" s="546">
        <f t="shared" si="3"/>
        <v>0</v>
      </c>
      <c r="Y9" s="770"/>
      <c r="Z9" s="766"/>
      <c r="AA9" s="756"/>
    </row>
    <row r="10" spans="1:29">
      <c r="A10" s="756"/>
      <c r="B10" s="215"/>
      <c r="C10" s="759"/>
      <c r="D10" s="762"/>
      <c r="E10" s="389"/>
      <c r="F10" s="390"/>
      <c r="G10" s="555"/>
      <c r="H10" s="557">
        <f t="shared" si="0"/>
        <v>0</v>
      </c>
      <c r="I10" s="393">
        <f>база!$J$6</f>
        <v>243.04319999999998</v>
      </c>
      <c r="J10" s="390">
        <v>1.5</v>
      </c>
      <c r="K10" s="394">
        <f>SUMIFS(Таблица14[часы],Таблица14[коэф],"1,5",Таблица14[р/р],"5/8",Таблица14[Ф. И. О.],B11)</f>
        <v>0</v>
      </c>
      <c r="L10" s="588">
        <f t="shared" si="1"/>
        <v>0</v>
      </c>
      <c r="M10" s="396"/>
      <c r="N10" s="397"/>
      <c r="O10" s="397"/>
      <c r="P10" s="398"/>
      <c r="Q10" s="399">
        <f>база!$L$5</f>
        <v>231.45480000000001</v>
      </c>
      <c r="R10" s="403">
        <v>1.2</v>
      </c>
      <c r="S10" s="400">
        <f>SUMIFS(Таблица14[часы],Таблица14[коэф],"1,2",Таблица14[р/р],"4/16",Таблица14[Ф. И. О.],B11)</f>
        <v>0</v>
      </c>
      <c r="T10" s="409">
        <f t="shared" si="2"/>
        <v>0</v>
      </c>
      <c r="U10" s="401">
        <f>база!$M$5</f>
        <v>247.41720000000001</v>
      </c>
      <c r="V10" s="403">
        <v>1.2</v>
      </c>
      <c r="W10" s="400">
        <f>SUMIFS(Таблица14[часы],Таблица14[коэф],"1,2",Таблица14[р/р],"4/24",Таблица14[Ф. И. О.],B11)</f>
        <v>0</v>
      </c>
      <c r="X10" s="546">
        <f t="shared" si="3"/>
        <v>0</v>
      </c>
      <c r="Y10" s="770"/>
      <c r="Z10" s="766"/>
      <c r="AA10" s="756"/>
      <c r="AC10" s="752" t="str">
        <f>IF(SUMIFS(Таблица14[Столбец2],Таблица14[Ф. И. О.],B11)-Z6=0,"",SUMIFS(Таблица14[Столбец2],Таблица14[Ф. И. О.],B11)-Z6)</f>
        <v/>
      </c>
    </row>
    <row r="11" spans="1:29" ht="20.25" customHeight="1">
      <c r="A11" s="756"/>
      <c r="B11" s="215" t="str">
        <f>база!B2</f>
        <v>Авдокушина Елена Николаевна</v>
      </c>
      <c r="C11" s="759"/>
      <c r="D11" s="762"/>
      <c r="E11" s="389"/>
      <c r="F11" s="390"/>
      <c r="G11" s="555"/>
      <c r="H11" s="557">
        <f t="shared" si="0"/>
        <v>0</v>
      </c>
      <c r="I11" s="393"/>
      <c r="J11" s="390"/>
      <c r="K11" s="394"/>
      <c r="L11" s="524">
        <f t="shared" si="1"/>
        <v>0</v>
      </c>
      <c r="M11" s="396"/>
      <c r="N11" s="397"/>
      <c r="O11" s="397"/>
      <c r="P11" s="398"/>
      <c r="Q11" s="399">
        <f>база!$L$6</f>
        <v>261.04640000000001</v>
      </c>
      <c r="R11" s="390">
        <v>1.2</v>
      </c>
      <c r="S11" s="400">
        <f>SUMIFS(Таблица14[часы],Таблица14[коэф],"1,2",Таблица14[р/р],"5/16",Таблица14[Ф. И. О.],B11)</f>
        <v>0</v>
      </c>
      <c r="T11" s="392">
        <f t="shared" si="2"/>
        <v>0</v>
      </c>
      <c r="U11" s="401">
        <f>база!$M$6</f>
        <v>279.0496</v>
      </c>
      <c r="V11" s="390">
        <v>1.2</v>
      </c>
      <c r="W11" s="525">
        <f>SUMIFS(Таблица14[часы],Таблица14[коэф],"1,2",Таблица14[р/р],"5/24",Таблица14[Ф. И. О.],B11)</f>
        <v>0</v>
      </c>
      <c r="X11" s="546">
        <f t="shared" si="3"/>
        <v>0</v>
      </c>
      <c r="Y11" s="770"/>
      <c r="Z11" s="766"/>
      <c r="AA11" s="756"/>
      <c r="AC11" s="752" t="str">
        <f>IF(SUMIFS(Таблица14[часы],Таблица14[Ф. И. О.],B11)-Y6=0,"",SUMIFS(Таблица14[часы],Таблица14[Ф. И. О.],B11)-Y6)</f>
        <v/>
      </c>
    </row>
    <row r="12" spans="1:29">
      <c r="A12" s="756"/>
      <c r="C12" s="759"/>
      <c r="D12" s="762"/>
      <c r="E12" s="389"/>
      <c r="F12" s="390"/>
      <c r="G12" s="555"/>
      <c r="H12" s="557">
        <f t="shared" si="0"/>
        <v>0</v>
      </c>
      <c r="I12" s="393"/>
      <c r="J12" s="390"/>
      <c r="K12" s="394"/>
      <c r="L12" s="587">
        <f t="shared" si="1"/>
        <v>0</v>
      </c>
      <c r="M12" s="405"/>
      <c r="N12" s="394"/>
      <c r="O12" s="394"/>
      <c r="P12" s="406"/>
      <c r="Q12" s="407">
        <f>IF(D6&lt;=3,база!$L$4,
IF(D6=4,база!$L$5,
IF(D6=5,база!$L$6)))</f>
        <v>231.45480000000001</v>
      </c>
      <c r="R12" s="403">
        <v>1.3</v>
      </c>
      <c r="S12" s="408">
        <f>SUMIFS(Таблица14[часы],Таблица14[коэф],"1,3",Таблица14[р/р],"3/16",Таблица14[Ф. И. О.],B11)</f>
        <v>0</v>
      </c>
      <c r="T12" s="440">
        <f t="shared" si="2"/>
        <v>0</v>
      </c>
      <c r="U12" s="410">
        <f>IF(D6&lt;=3,база!$M$4,
IF(D6=4,база!$M$5,
IF(D6=5,база!$M$6)))</f>
        <v>247.41720000000001</v>
      </c>
      <c r="V12" s="411">
        <v>1.3</v>
      </c>
      <c r="W12" s="412">
        <f>SUMIFS(Таблица14[часы],Таблица14[коэф],"1,3",Таблица14[р/р],"3/24",Таблица14[Ф. И. О.],B11)</f>
        <v>0</v>
      </c>
      <c r="X12" s="546">
        <f t="shared" si="3"/>
        <v>0</v>
      </c>
      <c r="Y12" s="770"/>
      <c r="Z12" s="766"/>
      <c r="AA12" s="756"/>
    </row>
    <row r="13" spans="1:29">
      <c r="A13" s="756"/>
      <c r="B13" s="215"/>
      <c r="C13" s="759"/>
      <c r="D13" s="762"/>
      <c r="E13" s="389"/>
      <c r="F13" s="390"/>
      <c r="G13" s="555"/>
      <c r="H13" s="557">
        <f t="shared" si="0"/>
        <v>0</v>
      </c>
      <c r="I13" s="393"/>
      <c r="J13" s="390"/>
      <c r="K13" s="394"/>
      <c r="L13" s="524">
        <f t="shared" si="1"/>
        <v>0</v>
      </c>
      <c r="M13" s="413"/>
      <c r="N13" s="414"/>
      <c r="O13" s="414"/>
      <c r="P13" s="415"/>
      <c r="Q13" s="399">
        <f>база!$L$5</f>
        <v>231.45480000000001</v>
      </c>
      <c r="R13" s="390">
        <v>1.3</v>
      </c>
      <c r="S13" s="400">
        <f>SUMIFS(Таблица14[часы],Таблица14[коэф],"1,3",Таблица14[р/р],"4/16",Таблица14[Ф. И. О.],B11)</f>
        <v>0</v>
      </c>
      <c r="T13" s="409">
        <f t="shared" si="2"/>
        <v>0</v>
      </c>
      <c r="U13" s="410">
        <f>база!$M$5</f>
        <v>247.41720000000001</v>
      </c>
      <c r="V13" s="411">
        <v>1.3</v>
      </c>
      <c r="W13" s="412">
        <f>SUMIFS(Таблица14[часы],Таблица14[коэф],"1,3",Таблица14[р/р],"4/24",Таблица14[Ф. И. О.],B11)</f>
        <v>0</v>
      </c>
      <c r="X13" s="546">
        <f t="shared" si="3"/>
        <v>0</v>
      </c>
      <c r="Y13" s="770"/>
      <c r="Z13" s="766"/>
      <c r="AA13" s="756"/>
    </row>
    <row r="14" spans="1:29">
      <c r="A14" s="756"/>
      <c r="B14" s="215"/>
      <c r="C14" s="759"/>
      <c r="D14" s="762"/>
      <c r="E14" s="389"/>
      <c r="F14" s="390"/>
      <c r="G14" s="555"/>
      <c r="H14" s="557">
        <f t="shared" si="0"/>
        <v>0</v>
      </c>
      <c r="I14" s="393"/>
      <c r="J14" s="390"/>
      <c r="K14" s="394"/>
      <c r="L14" s="524">
        <f t="shared" si="1"/>
        <v>0</v>
      </c>
      <c r="M14" s="413"/>
      <c r="N14" s="414"/>
      <c r="O14" s="414"/>
      <c r="P14" s="415"/>
      <c r="Q14" s="416">
        <f>IF(D6&lt;=3,база!$L$4,
IF(D6=4,база!$L$5,
IF(D6=5,база!$L$6)))</f>
        <v>231.45480000000001</v>
      </c>
      <c r="R14" s="417">
        <v>1.4</v>
      </c>
      <c r="S14" s="418">
        <f>SUMIFS(Таблица14[часы],Таблица14[коэф],"1,4",Таблица14[р/р],"3/16",Таблица14[Ф. И. О.],B11)</f>
        <v>0</v>
      </c>
      <c r="T14" s="409">
        <f t="shared" si="2"/>
        <v>0</v>
      </c>
      <c r="U14" s="419">
        <f>IF(D6&lt;=3,база!$M$4,
IF(D6=4,база!$M$5,
IF(D6=5,база!$M$6)))</f>
        <v>247.41720000000001</v>
      </c>
      <c r="V14" s="417">
        <v>1.4</v>
      </c>
      <c r="W14" s="418">
        <f>SUMIFS(Таблица14[часы],Таблица14[коэф],"1,4",Таблица14[р/р],"3/24",Таблица14[Ф. И. О.],B11)</f>
        <v>0</v>
      </c>
      <c r="X14" s="546">
        <f t="shared" si="3"/>
        <v>0</v>
      </c>
      <c r="Y14" s="770"/>
      <c r="Z14" s="766"/>
      <c r="AA14" s="756"/>
    </row>
    <row r="15" spans="1:29">
      <c r="A15" s="756"/>
      <c r="B15" s="215"/>
      <c r="C15" s="759"/>
      <c r="D15" s="762"/>
      <c r="E15" s="420"/>
      <c r="F15" s="403"/>
      <c r="G15" s="558"/>
      <c r="H15" s="559">
        <f t="shared" si="0"/>
        <v>0</v>
      </c>
      <c r="I15" s="422"/>
      <c r="J15" s="403"/>
      <c r="K15" s="423"/>
      <c r="L15" s="587">
        <f t="shared" si="1"/>
        <v>0</v>
      </c>
      <c r="M15" s="413"/>
      <c r="N15" s="414"/>
      <c r="O15" s="414"/>
      <c r="P15" s="415"/>
      <c r="Q15" s="399">
        <f>база!$L$5</f>
        <v>231.45480000000001</v>
      </c>
      <c r="R15" s="390">
        <v>1.4</v>
      </c>
      <c r="S15" s="400">
        <f>SUMIFS(Таблица14[часы],Таблица14[коэф],"1,4",Таблица14[р/р],"4/16",Таблица14[Ф. И. О.],B11)</f>
        <v>0</v>
      </c>
      <c r="T15" s="392">
        <f t="shared" si="2"/>
        <v>0</v>
      </c>
      <c r="U15" s="401">
        <f>база!$M$5</f>
        <v>247.41720000000001</v>
      </c>
      <c r="V15" s="390">
        <v>1.4</v>
      </c>
      <c r="W15" s="400">
        <f>SUMIFS(Таблица14[часы],Таблица14[коэф],"1,4",Таблица14[р/р],"4/24",Таблица14[Ф. И. О.],B11)</f>
        <v>0</v>
      </c>
      <c r="X15" s="546">
        <f t="shared" si="3"/>
        <v>0</v>
      </c>
      <c r="Y15" s="770"/>
      <c r="Z15" s="766"/>
      <c r="AA15" s="756"/>
    </row>
    <row r="16" spans="1:29" ht="21" thickBot="1">
      <c r="A16" s="757"/>
      <c r="B16" s="202"/>
      <c r="C16" s="760"/>
      <c r="D16" s="763"/>
      <c r="E16" s="420"/>
      <c r="F16" s="403"/>
      <c r="G16" s="558"/>
      <c r="H16" s="559">
        <f t="shared" si="0"/>
        <v>0</v>
      </c>
      <c r="I16" s="422"/>
      <c r="J16" s="403"/>
      <c r="K16" s="423"/>
      <c r="L16" s="589">
        <f t="shared" si="1"/>
        <v>0</v>
      </c>
      <c r="M16" s="413"/>
      <c r="N16" s="414"/>
      <c r="O16" s="414"/>
      <c r="P16" s="415"/>
      <c r="Q16" s="407">
        <f>база!$L$6</f>
        <v>261.04640000000001</v>
      </c>
      <c r="R16" s="403">
        <v>1.4</v>
      </c>
      <c r="S16" s="408">
        <f>SUMIFS(Таблица14[часы],Таблица14[коэф],"1,4",Таблица14[р/р],"5/16",Таблица14[Ф. И. О.],B11)</f>
        <v>0</v>
      </c>
      <c r="T16" s="402">
        <f t="shared" si="2"/>
        <v>0</v>
      </c>
      <c r="U16" s="526">
        <f>база!$M$6</f>
        <v>279.0496</v>
      </c>
      <c r="V16" s="403">
        <v>1.4</v>
      </c>
      <c r="W16" s="527">
        <f>SUMIFS(Таблица14[часы],Таблица14[коэф],"1,4",Таблица14[р/р],"5/24",Таблица14[Ф. И. О.],B11)</f>
        <v>0</v>
      </c>
      <c r="X16" s="549">
        <f t="shared" si="3"/>
        <v>0</v>
      </c>
      <c r="Y16" s="771"/>
      <c r="Z16" s="767"/>
      <c r="AA16" s="757"/>
    </row>
    <row r="17" spans="1:29" ht="20.25" customHeight="1">
      <c r="A17" s="755">
        <v>2</v>
      </c>
      <c r="B17" s="215"/>
      <c r="C17" s="758">
        <f>INDEX(база!$E$2:$E$81, MATCH(B22,база!$B$2:$B$50,0))</f>
        <v>15799</v>
      </c>
      <c r="D17" s="761">
        <f>INDEX(база!$D$2:$D$89, MATCH(B22,база!$B$2:$B$50,0))</f>
        <v>3</v>
      </c>
      <c r="E17" s="377">
        <f>IF(D17&lt;=3,база!$I$4,
IF(D17=4,база!$I$5,
IF(D17=5,база!$I$6)))</f>
        <v>188.7912</v>
      </c>
      <c r="F17" s="378">
        <v>1</v>
      </c>
      <c r="G17" s="387">
        <f>SUMIFS(Таблица14[часы],Таблица14[коэф],"1",Таблица14[р/р],"2/4",Таблица14[Ф. И. О.],B22)</f>
        <v>0</v>
      </c>
      <c r="H17" s="380">
        <f>ROUND(E17*F17*G17*2,2)</f>
        <v>0</v>
      </c>
      <c r="I17" s="381">
        <f>IF(D17&lt;=3,база!$J$4,
IF(D17=4,база!$J$5,
IF(D17=5,база!$J$6)))</f>
        <v>196.05240000000001</v>
      </c>
      <c r="J17" s="378">
        <v>1</v>
      </c>
      <c r="K17" s="428">
        <f>SUMIFS(Таблица14[часы],Таблица14[коэф],"1",Таблица14[р/р],"2/8",Таблица14[Ф. И. О.],B22)</f>
        <v>0</v>
      </c>
      <c r="L17" s="383">
        <f>ROUND(I17*J17*K17*2,2)</f>
        <v>0</v>
      </c>
      <c r="M17" s="426"/>
      <c r="N17" s="428">
        <v>1</v>
      </c>
      <c r="O17" s="428">
        <f>SUMIFS(Data_Tech!$AM$3:$AM$67,Data_Tech!$E$3:$E$67,"1",Data_Tech!$G$3:$G$67,"3/12",Data_Tech!$F$3:$F$67,B22)</f>
        <v>0</v>
      </c>
      <c r="P17" s="385">
        <f>ROUND(M17*N17*O17,2)</f>
        <v>0</v>
      </c>
      <c r="Q17" s="429">
        <f>IF(D17&lt;=3,база!$L$4,
IF(D17=4,база!$L$5,
IF(D17=5,база!$L$6)))</f>
        <v>210.57480000000001</v>
      </c>
      <c r="R17" s="429">
        <v>1</v>
      </c>
      <c r="S17" s="430">
        <f>SUMIFS(Таблица14[часы],Таблица14[коэф],"1",Таблица14[р/р],"3/16",Таблица14[Ф. И. О.],B22)</f>
        <v>0</v>
      </c>
      <c r="T17" s="528">
        <f>ROUND(Q17*R17*S17*2,2)</f>
        <v>0</v>
      </c>
      <c r="U17" s="431">
        <f>IF(D17&lt;=3,база!$M$4,
IF(D17=4,база!$M$5,
IF(D17=5,база!$M$6)))</f>
        <v>225.09719999999999</v>
      </c>
      <c r="V17" s="378">
        <v>1</v>
      </c>
      <c r="W17" s="430">
        <f>SUMIFS(Таблица14[часы],Таблица14[коэф],"1",Таблица14[р/р],"3/24",Таблица14[Ф. И. О.],B22)</f>
        <v>0</v>
      </c>
      <c r="X17" s="528">
        <f>ROUND(U17*V17*W17*2,2)</f>
        <v>0</v>
      </c>
      <c r="Y17" s="769">
        <f t="shared" ref="Y17" si="4">SUM(G17:G27,K17:K27,O17:O27,S17:S27,W17:W27)</f>
        <v>0</v>
      </c>
      <c r="Z17" s="766">
        <f>IFERROR(SUM(H17:H27,L17:L27,T17:T27,X17:X27),"")</f>
        <v>0</v>
      </c>
      <c r="AA17" s="756"/>
    </row>
    <row r="18" spans="1:29" ht="20.25" customHeight="1">
      <c r="A18" s="756"/>
      <c r="B18" s="215"/>
      <c r="C18" s="759"/>
      <c r="D18" s="762"/>
      <c r="E18" s="389">
        <f>IF(D17&lt;=3,база!$I$4,
IF(D17=4,база!$I$5,
IF(D17=5,база!$I$6)))</f>
        <v>188.7912</v>
      </c>
      <c r="F18" s="390">
        <v>1</v>
      </c>
      <c r="G18" s="400">
        <f>SUMIFS(Таблица14[часы],Таблица14[коэф],"1",Таблица14[р/р],"3/4",Таблица14[Ф. И. О.],B22)</f>
        <v>0</v>
      </c>
      <c r="H18" s="392">
        <f t="shared" ref="H18:H27" si="5">ROUND(E18*F18*G18*2,2)</f>
        <v>0</v>
      </c>
      <c r="I18" s="393">
        <f>IF(D17&lt;=3,база!$J$4,
IF(D17=4,база!$J$5,
IF(D17=5,база!$J$6)))</f>
        <v>196.05240000000001</v>
      </c>
      <c r="J18" s="390">
        <v>1</v>
      </c>
      <c r="K18" s="434">
        <f>SUMIFS(Таблица14[часы],Таблица14[коэф],"1",Таблица14[р/р],"3/8",Таблица14[Ф. И. О.],B22)</f>
        <v>0</v>
      </c>
      <c r="L18" s="395">
        <f t="shared" ref="L18:L27" si="6">ROUND(I18*J18*K18*2,2)</f>
        <v>0</v>
      </c>
      <c r="M18" s="432"/>
      <c r="N18" s="434">
        <v>1</v>
      </c>
      <c r="O18" s="434">
        <f>SUMIFS(Data_Tech!$AM$3:$AM$67,Data_Tech!$E$3:$E$67,"1",Data_Tech!$G$3:$G$67,"4/12",Data_Tech!$F$3:$F$67,B22)</f>
        <v>0</v>
      </c>
      <c r="P18" s="406">
        <f>ROUND(M18*O18,2)</f>
        <v>0</v>
      </c>
      <c r="Q18" s="435">
        <f>база!$L$5</f>
        <v>231.45480000000001</v>
      </c>
      <c r="R18" s="435">
        <v>1</v>
      </c>
      <c r="S18" s="412">
        <f>SUMIFS(Таблица14[часы],Таблица14[коэф],"1",Таблица14[р/р],"4/16",Таблица14[Ф. И. О.],B22)</f>
        <v>0</v>
      </c>
      <c r="T18" s="529">
        <f t="shared" ref="T18:T27" si="7">ROUND(Q18*R18*S18*2,2)</f>
        <v>0</v>
      </c>
      <c r="U18" s="436">
        <f>база!$M$5</f>
        <v>247.41720000000001</v>
      </c>
      <c r="V18" s="390">
        <v>1</v>
      </c>
      <c r="W18" s="412">
        <f>SUMIFS(Таблица14[часы],Таблица14[коэф],"1",Таблица14[р/р],"4/24",Таблица14[Ф. И. О.],B22)</f>
        <v>0</v>
      </c>
      <c r="X18" s="530">
        <f t="shared" ref="X18:X27" si="8">ROUND(U18*V18*W18*2,2)</f>
        <v>0</v>
      </c>
      <c r="Y18" s="770"/>
      <c r="Z18" s="766"/>
      <c r="AA18" s="756"/>
    </row>
    <row r="19" spans="1:29" ht="20.25" customHeight="1">
      <c r="A19" s="756"/>
      <c r="B19" s="215"/>
      <c r="C19" s="759"/>
      <c r="D19" s="762"/>
      <c r="E19" s="389"/>
      <c r="F19" s="390"/>
      <c r="G19" s="400"/>
      <c r="H19" s="392">
        <f t="shared" si="5"/>
        <v>0</v>
      </c>
      <c r="I19" s="393"/>
      <c r="J19" s="390"/>
      <c r="K19" s="434"/>
      <c r="L19" s="395">
        <f t="shared" si="6"/>
        <v>0</v>
      </c>
      <c r="M19" s="432"/>
      <c r="N19" s="434"/>
      <c r="O19" s="434"/>
      <c r="P19" s="406"/>
      <c r="Q19" s="399">
        <f>база!$L$6</f>
        <v>261.04640000000001</v>
      </c>
      <c r="R19" s="390">
        <v>1</v>
      </c>
      <c r="S19" s="400">
        <f>SUMIFS(Таблица14[часы],Таблица14[коэф],"1",Таблица14[р/р],"5/16",Таблица14[Ф. И. О.],B22)</f>
        <v>0</v>
      </c>
      <c r="T19" s="531">
        <f t="shared" si="7"/>
        <v>0</v>
      </c>
      <c r="U19" s="436">
        <f>база!$M$6</f>
        <v>279.0496</v>
      </c>
      <c r="V19" s="390">
        <v>1</v>
      </c>
      <c r="W19" s="412">
        <f>SUMIFS(Таблица14[часы],Таблица14[коэф],"1",Таблица14[р/р],"5/24",Таблица14[Ф. И. О.],B22)</f>
        <v>0</v>
      </c>
      <c r="X19" s="529">
        <f t="shared" si="8"/>
        <v>0</v>
      </c>
      <c r="Y19" s="770"/>
      <c r="Z19" s="766"/>
      <c r="AA19" s="756"/>
    </row>
    <row r="20" spans="1:29" ht="20.25" customHeight="1">
      <c r="A20" s="756"/>
      <c r="B20" s="215"/>
      <c r="C20" s="759"/>
      <c r="D20" s="762"/>
      <c r="E20" s="437"/>
      <c r="F20" s="438"/>
      <c r="G20" s="439"/>
      <c r="H20" s="440">
        <f t="shared" si="5"/>
        <v>0</v>
      </c>
      <c r="I20" s="515">
        <f>база!$J$5</f>
        <v>215.4924</v>
      </c>
      <c r="J20" s="438">
        <v>1.5</v>
      </c>
      <c r="K20" s="442">
        <f>SUMIFS(Таблица14[часы],Таблица14[коэф],"1,5",Таблица14[р/р],"4/8",Таблица14[Ф. И. О.],B22)</f>
        <v>0</v>
      </c>
      <c r="L20" s="532">
        <f t="shared" si="6"/>
        <v>0</v>
      </c>
      <c r="M20" s="441"/>
      <c r="N20" s="442"/>
      <c r="O20" s="442"/>
      <c r="P20" s="415"/>
      <c r="Q20" s="443">
        <f>IF(D17&lt;=3,база!$L$4,
IF(D17=4,база!$L$5,
IF(D17=5,база!$L$6)))</f>
        <v>210.57480000000001</v>
      </c>
      <c r="R20" s="438">
        <v>1.2</v>
      </c>
      <c r="S20" s="439">
        <f>SUMIFS(Таблица14[часы],Таблица14[коэф],"1,2",Таблица14[р/р],"3/16",Таблица14[Ф. И. О.],B22)</f>
        <v>0</v>
      </c>
      <c r="T20" s="440">
        <f t="shared" si="7"/>
        <v>0</v>
      </c>
      <c r="U20" s="444">
        <f>IF(D17&lt;=3,база!$M$4,
IF(D17=4,база!$M$5,
IF(D17=5,база!$M$6)))</f>
        <v>225.09719999999999</v>
      </c>
      <c r="V20" s="438">
        <v>1.2</v>
      </c>
      <c r="W20" s="533">
        <f>SUMIFS(Таблица14[часы],Таблица14[коэф],"1,2",Таблица14[р/р],"3/24",Таблица14[Ф. И. О.],B22)</f>
        <v>0</v>
      </c>
      <c r="X20" s="534">
        <f t="shared" si="8"/>
        <v>0</v>
      </c>
      <c r="Y20" s="770"/>
      <c r="Z20" s="766"/>
      <c r="AA20" s="756"/>
    </row>
    <row r="21" spans="1:29" ht="20.25" customHeight="1">
      <c r="A21" s="756"/>
      <c r="B21" s="215"/>
      <c r="C21" s="759"/>
      <c r="D21" s="762"/>
      <c r="E21" s="389"/>
      <c r="F21" s="390"/>
      <c r="G21" s="400"/>
      <c r="H21" s="392">
        <f t="shared" si="5"/>
        <v>0</v>
      </c>
      <c r="I21" s="393">
        <f>база!$J$6</f>
        <v>243.04319999999998</v>
      </c>
      <c r="J21" s="390">
        <v>1.5</v>
      </c>
      <c r="K21" s="434">
        <f>SUMIFS(Таблица14[часы],Таблица14[коэф],"1,5",Таблица14[р/р],"5/8",Таблица14[Ф. И. О.],B22)</f>
        <v>0</v>
      </c>
      <c r="L21" s="395">
        <f t="shared" si="6"/>
        <v>0</v>
      </c>
      <c r="M21" s="432"/>
      <c r="N21" s="434"/>
      <c r="O21" s="434"/>
      <c r="P21" s="406"/>
      <c r="Q21" s="399">
        <f>база!$L$5</f>
        <v>231.45480000000001</v>
      </c>
      <c r="R21" s="390">
        <v>1.2</v>
      </c>
      <c r="S21" s="400">
        <f>SUMIFS(Таблица14[часы],Таблица14[коэф],"1,2",Таблица14[р/р],"4/16",Таблица14[Ф. И. О.],B22)</f>
        <v>0</v>
      </c>
      <c r="T21" s="392">
        <f t="shared" si="7"/>
        <v>0</v>
      </c>
      <c r="U21" s="436">
        <f>база!$M$5</f>
        <v>247.41720000000001</v>
      </c>
      <c r="V21" s="390">
        <v>1.2</v>
      </c>
      <c r="W21" s="412">
        <f>SUMIFS(Таблица14[часы],Таблица14[коэф],"1,2",Таблица14[р/р],"4/24",Таблица14[Ф. И. О.],B22)</f>
        <v>0</v>
      </c>
      <c r="X21" s="529">
        <f t="shared" si="8"/>
        <v>0</v>
      </c>
      <c r="Y21" s="770"/>
      <c r="Z21" s="766"/>
      <c r="AA21" s="756"/>
    </row>
    <row r="22" spans="1:29" ht="20.25" customHeight="1">
      <c r="A22" s="756"/>
      <c r="B22" s="215" t="str">
        <f>база!B3</f>
        <v>Аксенов Александр Юрьевич</v>
      </c>
      <c r="C22" s="759"/>
      <c r="D22" s="762"/>
      <c r="E22" s="437"/>
      <c r="F22" s="438"/>
      <c r="G22" s="439"/>
      <c r="H22" s="440">
        <f t="shared" si="5"/>
        <v>0</v>
      </c>
      <c r="I22" s="515"/>
      <c r="J22" s="438"/>
      <c r="K22" s="442"/>
      <c r="L22" s="532">
        <f t="shared" si="6"/>
        <v>0</v>
      </c>
      <c r="M22" s="441"/>
      <c r="N22" s="442"/>
      <c r="O22" s="442"/>
      <c r="P22" s="415"/>
      <c r="Q22" s="443">
        <f>база!$L$6</f>
        <v>261.04640000000001</v>
      </c>
      <c r="R22" s="438">
        <v>1.2</v>
      </c>
      <c r="S22" s="439">
        <f>SUMIFS(Таблица14[часы],Таблица14[коэф],"1,2",Таблица14[р/р],"5/16",Таблица14[Ф. И. О.],B22)</f>
        <v>0</v>
      </c>
      <c r="T22" s="440">
        <f t="shared" si="7"/>
        <v>0</v>
      </c>
      <c r="U22" s="444">
        <f>база!$M$6</f>
        <v>279.0496</v>
      </c>
      <c r="V22" s="438">
        <v>1.2</v>
      </c>
      <c r="W22" s="533">
        <f>SUMIFS(Таблица14[часы],Таблица14[коэф],"1,2",Таблица14[р/р],"5/24",Таблица14[Ф. И. О.],B22)</f>
        <v>0</v>
      </c>
      <c r="X22" s="534">
        <f t="shared" si="8"/>
        <v>0</v>
      </c>
      <c r="Y22" s="770"/>
      <c r="Z22" s="766"/>
      <c r="AA22" s="756"/>
      <c r="AC22" s="752" t="str">
        <f>IF(SUMIFS(Таблица14[Столбец2],Таблица14[Ф. И. О.],B22)-Z17=0,"",SUMIFS(Таблица14[Столбец2],Таблица14[Ф. И. О.],B22)-Z17)</f>
        <v/>
      </c>
    </row>
    <row r="23" spans="1:29" ht="20.25" customHeight="1">
      <c r="A23" s="756"/>
      <c r="B23" s="215"/>
      <c r="C23" s="759"/>
      <c r="D23" s="762"/>
      <c r="E23" s="389"/>
      <c r="F23" s="390"/>
      <c r="G23" s="400"/>
      <c r="H23" s="392">
        <f t="shared" si="5"/>
        <v>0</v>
      </c>
      <c r="I23" s="393"/>
      <c r="J23" s="390"/>
      <c r="K23" s="434"/>
      <c r="L23" s="395">
        <f t="shared" si="6"/>
        <v>0</v>
      </c>
      <c r="M23" s="432"/>
      <c r="N23" s="434"/>
      <c r="O23" s="434"/>
      <c r="P23" s="406"/>
      <c r="Q23" s="399">
        <f>IF(D17&lt;=3,база!$L$4,
IF(D17=4,база!$L$5,
IF(D17=5,база!$L$6)))</f>
        <v>210.57480000000001</v>
      </c>
      <c r="R23" s="390">
        <v>1.3</v>
      </c>
      <c r="S23" s="400">
        <f>SUMIFS(Таблица14[часы],Таблица14[коэф],"1,3",Таблица14[р/р],"3/16",Таблица14[Ф. И. О.],B22)</f>
        <v>0</v>
      </c>
      <c r="T23" s="392">
        <f t="shared" si="7"/>
        <v>0</v>
      </c>
      <c r="U23" s="436">
        <f>IF(D17&lt;=3,база!$M$4,
IF(D17=4,база!$M$5,
IF(D17=5,база!$M$6)))</f>
        <v>225.09719999999999</v>
      </c>
      <c r="V23" s="390">
        <v>1.3</v>
      </c>
      <c r="W23" s="412">
        <f>SUMIFS(Таблица14[часы],Таблица14[коэф],"1,3",Таблица14[р/р],"3/24",Таблица14[Ф. И. О.],B22)</f>
        <v>0</v>
      </c>
      <c r="X23" s="529">
        <f t="shared" si="8"/>
        <v>0</v>
      </c>
      <c r="Y23" s="770"/>
      <c r="Z23" s="766"/>
      <c r="AA23" s="756"/>
      <c r="AC23" s="752" t="str">
        <f>IF(SUMIFS(Таблица14[часы],Таблица14[Ф. И. О.],B22)-Y17=0,"",SUMIFS(Таблица14[часы],Таблица14[Ф. И. О.],B22)-Y17)</f>
        <v/>
      </c>
    </row>
    <row r="24" spans="1:29" ht="20.25" customHeight="1">
      <c r="A24" s="756"/>
      <c r="B24" s="215"/>
      <c r="C24" s="759"/>
      <c r="D24" s="762"/>
      <c r="E24" s="389"/>
      <c r="F24" s="390"/>
      <c r="G24" s="400"/>
      <c r="H24" s="392">
        <f t="shared" si="5"/>
        <v>0</v>
      </c>
      <c r="I24" s="393"/>
      <c r="J24" s="390"/>
      <c r="K24" s="434"/>
      <c r="L24" s="395">
        <f t="shared" si="6"/>
        <v>0</v>
      </c>
      <c r="M24" s="432"/>
      <c r="N24" s="434"/>
      <c r="O24" s="434"/>
      <c r="P24" s="406"/>
      <c r="Q24" s="399">
        <f>база!$L$5</f>
        <v>231.45480000000001</v>
      </c>
      <c r="R24" s="390">
        <v>1.3</v>
      </c>
      <c r="S24" s="400">
        <f>SUMIFS(Таблица14[часы],Таблица14[коэф],"1,3",Таблица14[р/р],"4/16",Таблица14[Ф. И. О.],B22)</f>
        <v>0</v>
      </c>
      <c r="T24" s="392">
        <f t="shared" si="7"/>
        <v>0</v>
      </c>
      <c r="U24" s="436">
        <f>база!$M$5</f>
        <v>247.41720000000001</v>
      </c>
      <c r="V24" s="390">
        <v>1.3</v>
      </c>
      <c r="W24" s="412">
        <f>SUMIFS(Таблица14[часы],Таблица14[коэф],"1,3",Таблица14[р/р],"4/24",Таблица14[Ф. И. О.],B22)</f>
        <v>0</v>
      </c>
      <c r="X24" s="529">
        <f t="shared" si="8"/>
        <v>0</v>
      </c>
      <c r="Y24" s="770"/>
      <c r="Z24" s="766"/>
      <c r="AA24" s="756"/>
    </row>
    <row r="25" spans="1:29" ht="20.25" customHeight="1">
      <c r="A25" s="756"/>
      <c r="B25" s="215"/>
      <c r="C25" s="759"/>
      <c r="D25" s="762"/>
      <c r="E25" s="437"/>
      <c r="F25" s="438"/>
      <c r="G25" s="439"/>
      <c r="H25" s="440">
        <f t="shared" si="5"/>
        <v>0</v>
      </c>
      <c r="I25" s="515"/>
      <c r="J25" s="438"/>
      <c r="K25" s="442"/>
      <c r="L25" s="532">
        <f t="shared" si="6"/>
        <v>0</v>
      </c>
      <c r="M25" s="441"/>
      <c r="N25" s="442"/>
      <c r="O25" s="442"/>
      <c r="P25" s="415"/>
      <c r="Q25" s="443">
        <f>IF(D17&lt;=3,база!$L$4,
IF(D17=4,база!$L$5,
IF(D17=5,база!$L$6)))</f>
        <v>210.57480000000001</v>
      </c>
      <c r="R25" s="438">
        <v>1.4</v>
      </c>
      <c r="S25" s="439">
        <f>SUMIFS(Таблица14[часы],Таблица14[коэф],"1,4",Таблица14[р/р],"3/16",Таблица14[Ф. И. О.],B22)</f>
        <v>0</v>
      </c>
      <c r="T25" s="440">
        <f t="shared" si="7"/>
        <v>0</v>
      </c>
      <c r="U25" s="444">
        <f>IF(D17&lt;=3,база!$M$4,
IF(D17=4,база!$M$5,
IF(D17=5,база!$M$6)))</f>
        <v>225.09719999999999</v>
      </c>
      <c r="V25" s="438">
        <v>1.4</v>
      </c>
      <c r="W25" s="533">
        <f>SUMIFS(Таблица14[часы],Таблица14[коэф],"1,4",Таблица14[р/р],"3/24",Таблица14[Ф. И. О.],B22)</f>
        <v>0</v>
      </c>
      <c r="X25" s="534">
        <f t="shared" si="8"/>
        <v>0</v>
      </c>
      <c r="Y25" s="770"/>
      <c r="Z25" s="766"/>
      <c r="AA25" s="756"/>
    </row>
    <row r="26" spans="1:29" ht="20.25" customHeight="1">
      <c r="A26" s="756"/>
      <c r="B26" s="215"/>
      <c r="C26" s="759"/>
      <c r="D26" s="762"/>
      <c r="E26" s="389"/>
      <c r="F26" s="390"/>
      <c r="G26" s="400"/>
      <c r="H26" s="392">
        <f t="shared" si="5"/>
        <v>0</v>
      </c>
      <c r="I26" s="393"/>
      <c r="J26" s="390"/>
      <c r="K26" s="434"/>
      <c r="L26" s="395">
        <f t="shared" si="6"/>
        <v>0</v>
      </c>
      <c r="M26" s="432"/>
      <c r="N26" s="434"/>
      <c r="O26" s="434"/>
      <c r="P26" s="406"/>
      <c r="Q26" s="399">
        <f>база!$L$5</f>
        <v>231.45480000000001</v>
      </c>
      <c r="R26" s="390">
        <v>1.4</v>
      </c>
      <c r="S26" s="400">
        <f>SUMIFS(Таблица14[часы],Таблица14[коэф],"1,4",Таблица14[р/р],"4/16",Таблица14[Ф. И. О.],B22)</f>
        <v>0</v>
      </c>
      <c r="T26" s="392">
        <f t="shared" si="7"/>
        <v>0</v>
      </c>
      <c r="U26" s="436">
        <f>база!$M$5</f>
        <v>247.41720000000001</v>
      </c>
      <c r="V26" s="390">
        <v>1.4</v>
      </c>
      <c r="W26" s="412">
        <f>SUMIFS(Таблица14[часы],Таблица14[коэф],"1,4",Таблица14[р/р],"4/24",Таблица14[Ф. И. О.],B22)</f>
        <v>0</v>
      </c>
      <c r="X26" s="529">
        <f t="shared" si="8"/>
        <v>0</v>
      </c>
      <c r="Y26" s="770"/>
      <c r="Z26" s="766"/>
      <c r="AA26" s="756"/>
    </row>
    <row r="27" spans="1:29" ht="20.25" customHeight="1" thickBot="1">
      <c r="A27" s="757"/>
      <c r="B27" s="202"/>
      <c r="C27" s="760"/>
      <c r="D27" s="763"/>
      <c r="E27" s="445"/>
      <c r="F27" s="446"/>
      <c r="G27" s="447"/>
      <c r="H27" s="535">
        <f t="shared" si="5"/>
        <v>0</v>
      </c>
      <c r="I27" s="536"/>
      <c r="J27" s="446"/>
      <c r="K27" s="449"/>
      <c r="L27" s="537">
        <f t="shared" si="6"/>
        <v>0</v>
      </c>
      <c r="M27" s="448"/>
      <c r="N27" s="449"/>
      <c r="O27" s="449"/>
      <c r="P27" s="538"/>
      <c r="Q27" s="450">
        <f>база!$L$6</f>
        <v>261.04640000000001</v>
      </c>
      <c r="R27" s="446">
        <v>1.4</v>
      </c>
      <c r="S27" s="447">
        <f>SUMIFS(Таблица14[часы],Таблица14[коэф],"1,4",Таблица14[р/р],"5/16",Таблица14[Ф. И. О.],B22)</f>
        <v>0</v>
      </c>
      <c r="T27" s="535">
        <f t="shared" si="7"/>
        <v>0</v>
      </c>
      <c r="U27" s="539">
        <f>база!$M$6</f>
        <v>279.0496</v>
      </c>
      <c r="V27" s="446">
        <v>1.4</v>
      </c>
      <c r="W27" s="540">
        <f>SUMIFS(Таблица14[часы],Таблица14[коэф],"1,4",Таблица14[р/р],"5/24",Таблица14[Ф. И. О.],B22)</f>
        <v>0</v>
      </c>
      <c r="X27" s="541">
        <f t="shared" si="8"/>
        <v>0</v>
      </c>
      <c r="Y27" s="771"/>
      <c r="Z27" s="767"/>
      <c r="AA27" s="757"/>
    </row>
    <row r="28" spans="1:29" ht="18.75" customHeight="1">
      <c r="A28" s="755">
        <v>3</v>
      </c>
      <c r="B28" s="215"/>
      <c r="C28" s="758">
        <f>INDEX(база!$E$2:$E$81, MATCH(B33,база!$B$2:$B$50,0))</f>
        <v>15791</v>
      </c>
      <c r="D28" s="761">
        <f>INDEX(база!$D$2:$D$89, MATCH(B33,база!$B$2:$B$50,0))</f>
        <v>4</v>
      </c>
      <c r="E28" s="451">
        <f>IF(D28&lt;=3,база!$I$4,
IF(D28=4,база!$I$5,
IF(D28=5,база!$I$6)))</f>
        <v>207.5112</v>
      </c>
      <c r="F28" s="417">
        <v>1</v>
      </c>
      <c r="G28" s="418">
        <f>SUMIFS(Таблица14[часы],Таблица14[коэф],"1",Таблица14[р/р],"2/4",Таблица14[Ф. И. О.],B33)</f>
        <v>0</v>
      </c>
      <c r="H28" s="542">
        <f>ROUND(E28*F28*G28*2,2)</f>
        <v>0</v>
      </c>
      <c r="I28" s="377">
        <f>IF(D28&lt;=3,база!$J$4,
IF(D28=4,база!$J$5,
IF(D28=5,база!$J$6)))</f>
        <v>215.4924</v>
      </c>
      <c r="J28" s="378">
        <v>1</v>
      </c>
      <c r="K28" s="428">
        <f>SUMIFS(Таблица14[часы],Таблица14[коэф],"1",Таблица14[р/р],"2/8",Таблица14[Ф. И. О.],B33)</f>
        <v>0</v>
      </c>
      <c r="L28" s="383">
        <f>ROUND(I28*J28*K28*2,2)</f>
        <v>0</v>
      </c>
      <c r="M28" s="452"/>
      <c r="N28" s="453">
        <v>1</v>
      </c>
      <c r="O28" s="453">
        <f>SUMIFS(Data_Tech!$AM$3:$AM$67,Data_Tech!$E$3:$E$67,"1",Data_Tech!$G$3:$G$67,"3/12",Data_Tech!$F$3:$F$67,B33)</f>
        <v>0</v>
      </c>
      <c r="P28" s="453">
        <f>ROUND(M28*N28*O28,2)</f>
        <v>0</v>
      </c>
      <c r="Q28" s="416">
        <f>IF(D28&lt;=3,база!$L$4,
IF(D28=4,база!$L$5,
IF(D28=5,база!$L$6)))</f>
        <v>231.45480000000001</v>
      </c>
      <c r="R28" s="417">
        <v>1</v>
      </c>
      <c r="S28" s="418">
        <f>SUMIFS(Таблица14[часы],Таблица14[коэф],"1",Таблица14[р/р],"3/16",Таблица14[Ф. И. О.],B33)</f>
        <v>0</v>
      </c>
      <c r="T28" s="380">
        <f>ROUND(Q28*R28*S28*2,2)</f>
        <v>0</v>
      </c>
      <c r="U28" s="454">
        <f>IF(D28&lt;=3,база!$M$4,
IF(D28=4,база!$M$5,
IF(D28=5,база!$M$6)))</f>
        <v>247.41720000000001</v>
      </c>
      <c r="V28" s="417">
        <v>1</v>
      </c>
      <c r="W28" s="455">
        <f>SUMIFS(Таблица14[часы],Таблица14[коэф],"1",Таблица14[р/р],"3/24",Таблица14[Ф. И. О.],B33)</f>
        <v>0</v>
      </c>
      <c r="X28" s="543">
        <f>ROUND(U28*V28*W28*2,2)</f>
        <v>0</v>
      </c>
      <c r="Y28" s="769">
        <f t="shared" ref="Y28" si="9">SUM(G28:G38,K28:K38,O28:O38,S28:S38,W28:W38)</f>
        <v>0</v>
      </c>
      <c r="Z28" s="766">
        <f>IFERROR(SUM(H28:H38,L28:L38,T28:T38,X28:X38),"")</f>
        <v>0</v>
      </c>
      <c r="AA28" s="755"/>
    </row>
    <row r="29" spans="1:29" ht="18.75" customHeight="1">
      <c r="A29" s="756"/>
      <c r="B29" s="215"/>
      <c r="C29" s="759"/>
      <c r="D29" s="762"/>
      <c r="E29" s="393">
        <f>IF(D28&lt;=3,база!$I$4,
IF(D28=4,база!$I$5,
IF(D28=5,база!$I$6)))</f>
        <v>207.5112</v>
      </c>
      <c r="F29" s="390">
        <v>1</v>
      </c>
      <c r="G29" s="400">
        <f>SUMIFS(Таблица14[часы],Таблица14[коэф],"1",Таблица14[р/р],"3/4",Таблица14[Ф. И. О.],B33)</f>
        <v>0</v>
      </c>
      <c r="H29" s="544">
        <f t="shared" ref="H29:H38" si="10">ROUND(E29*F29*G29*2,2)</f>
        <v>0</v>
      </c>
      <c r="I29" s="389">
        <f>IF(D28&lt;=3,база!$J$4,
IF(D28=4,база!$J$5,
IF(D28=5,база!$J$6)))</f>
        <v>215.4924</v>
      </c>
      <c r="J29" s="390">
        <v>1</v>
      </c>
      <c r="K29" s="434">
        <f>SUMIFS(Таблица14[часы],Таблица14[коэф],"1",Таблица14[р/р],"3/8",Таблица14[Ф. И. О.],B33)</f>
        <v>0</v>
      </c>
      <c r="L29" s="395">
        <f t="shared" ref="L29:L38" si="11">ROUND(I29*J29*K29*2,2)</f>
        <v>0</v>
      </c>
      <c r="M29" s="432"/>
      <c r="N29" s="434">
        <v>1</v>
      </c>
      <c r="O29" s="434">
        <f>SUMIFS(Data_Tech!$AM$3:$AM$67,Data_Tech!$E$3:$E$67,"1",Data_Tech!$G$3:$G$67,"4/12",Data_Tech!$F$3:$F$67,B33)</f>
        <v>0</v>
      </c>
      <c r="P29" s="434">
        <f>ROUND(M29*O29,2)</f>
        <v>0</v>
      </c>
      <c r="Q29" s="399">
        <f>база!$L$5</f>
        <v>231.45480000000001</v>
      </c>
      <c r="R29" s="390">
        <v>1</v>
      </c>
      <c r="S29" s="400">
        <f>SUMIFS(Таблица14[часы],Таблица14[коэф],"1",Таблица14[р/р],"4/16",Таблица14[Ф. И. О.],B33)</f>
        <v>0</v>
      </c>
      <c r="T29" s="392">
        <f t="shared" ref="T29:T38" si="12">ROUND(Q29*R29*S29*2,2)</f>
        <v>0</v>
      </c>
      <c r="U29" s="410">
        <f>база!$M$5</f>
        <v>247.41720000000001</v>
      </c>
      <c r="V29" s="390">
        <v>1</v>
      </c>
      <c r="W29" s="412">
        <f>SUMIFS(Таблица14[часы],Таблица14[коэф],"1",Таблица14[р/р],"4/24",Таблица14[Ф. И. О.],B33)</f>
        <v>0</v>
      </c>
      <c r="X29" s="545">
        <f t="shared" ref="X29:X38" si="13">ROUND(U29*V29*W29*2,2)</f>
        <v>0</v>
      </c>
      <c r="Y29" s="770"/>
      <c r="Z29" s="766"/>
      <c r="AA29" s="756"/>
    </row>
    <row r="30" spans="1:29" ht="18.75" customHeight="1">
      <c r="A30" s="756"/>
      <c r="B30" s="215"/>
      <c r="C30" s="759"/>
      <c r="D30" s="762"/>
      <c r="E30" s="393"/>
      <c r="F30" s="390"/>
      <c r="G30" s="400"/>
      <c r="H30" s="544">
        <f t="shared" si="10"/>
        <v>0</v>
      </c>
      <c r="I30" s="389"/>
      <c r="J30" s="390"/>
      <c r="K30" s="434"/>
      <c r="L30" s="395">
        <f t="shared" si="11"/>
        <v>0</v>
      </c>
      <c r="M30" s="432"/>
      <c r="N30" s="434"/>
      <c r="O30" s="434"/>
      <c r="P30" s="434"/>
      <c r="Q30" s="399">
        <f>база!$L$6</f>
        <v>261.04640000000001</v>
      </c>
      <c r="R30" s="390">
        <v>1</v>
      </c>
      <c r="S30" s="400">
        <f>SUMIFS(Таблица14[часы],Таблица14[коэф],"1",Таблица14[р/р],"5/16",Таблица14[Ф. И. О.],B33)</f>
        <v>0</v>
      </c>
      <c r="T30" s="392">
        <f t="shared" si="12"/>
        <v>0</v>
      </c>
      <c r="U30" s="410">
        <f>база!$M$6</f>
        <v>279.0496</v>
      </c>
      <c r="V30" s="390">
        <v>1</v>
      </c>
      <c r="W30" s="412">
        <f>SUMIFS(Таблица14[часы],Таблица14[коэф],"1",Таблица14[р/р],"5/24",Таблица14[Ф. И. О.],B33)</f>
        <v>0</v>
      </c>
      <c r="X30" s="545">
        <f t="shared" si="13"/>
        <v>0</v>
      </c>
      <c r="Y30" s="770"/>
      <c r="Z30" s="766"/>
      <c r="AA30" s="756"/>
    </row>
    <row r="31" spans="1:29" ht="18.75" customHeight="1">
      <c r="A31" s="756"/>
      <c r="B31" s="215"/>
      <c r="C31" s="759"/>
      <c r="D31" s="762"/>
      <c r="E31" s="393"/>
      <c r="F31" s="390"/>
      <c r="G31" s="400"/>
      <c r="H31" s="544">
        <f t="shared" si="10"/>
        <v>0</v>
      </c>
      <c r="I31" s="389">
        <f>база!$J$5</f>
        <v>215.4924</v>
      </c>
      <c r="J31" s="390">
        <v>1.5</v>
      </c>
      <c r="K31" s="434">
        <f>SUMIFS(Таблица14[часы],Таблица14[коэф],"1,5",Таблица14[р/р],"4/8",Таблица14[Ф. И. О.],B33)</f>
        <v>0</v>
      </c>
      <c r="L31" s="395">
        <f t="shared" si="11"/>
        <v>0</v>
      </c>
      <c r="M31" s="432"/>
      <c r="N31" s="434"/>
      <c r="O31" s="434"/>
      <c r="P31" s="434"/>
      <c r="Q31" s="399">
        <f>IF(D28&lt;=3,база!$L$4,
IF(D28=4,база!$L$5,
IF(D28=5,база!$L$6)))</f>
        <v>231.45480000000001</v>
      </c>
      <c r="R31" s="390">
        <v>1.2</v>
      </c>
      <c r="S31" s="400">
        <f>SUMIFS(Таблица14[часы],Таблица14[коэф],"1,2",Таблица14[р/р],"3/16",Таблица14[Ф. И. О.],B33)</f>
        <v>0</v>
      </c>
      <c r="T31" s="392">
        <f t="shared" si="12"/>
        <v>0</v>
      </c>
      <c r="U31" s="410">
        <f>IF(D28&lt;=3,база!$M$4,
IF(D28=4,база!$M$5,
IF(D28=5,база!$M$6)))</f>
        <v>247.41720000000001</v>
      </c>
      <c r="V31" s="390">
        <v>1.2</v>
      </c>
      <c r="W31" s="412">
        <f>SUMIFS(Таблица14[часы],Таблица14[коэф],"1,2",Таблица14[р/р],"3/24",Таблица14[Ф. И. О.],B33)</f>
        <v>0</v>
      </c>
      <c r="X31" s="545">
        <f t="shared" si="13"/>
        <v>0</v>
      </c>
      <c r="Y31" s="770"/>
      <c r="Z31" s="766"/>
      <c r="AA31" s="756"/>
    </row>
    <row r="32" spans="1:29" ht="18.75" customHeight="1">
      <c r="A32" s="756"/>
      <c r="B32" s="215"/>
      <c r="C32" s="759"/>
      <c r="D32" s="762"/>
      <c r="E32" s="393"/>
      <c r="F32" s="390"/>
      <c r="G32" s="400"/>
      <c r="H32" s="544">
        <f t="shared" si="10"/>
        <v>0</v>
      </c>
      <c r="I32" s="389">
        <f>база!$J$6</f>
        <v>243.04319999999998</v>
      </c>
      <c r="J32" s="390">
        <v>1.5</v>
      </c>
      <c r="K32" s="434">
        <f>SUMIFS(Таблица14[часы],Таблица14[коэф],"1,5",Таблица14[р/р],"5/8",Таблица14[Ф. И. О.],B33)</f>
        <v>0</v>
      </c>
      <c r="L32" s="395">
        <f t="shared" si="11"/>
        <v>0</v>
      </c>
      <c r="M32" s="432"/>
      <c r="N32" s="434"/>
      <c r="O32" s="434"/>
      <c r="P32" s="434"/>
      <c r="Q32" s="399">
        <f>база!$L$5</f>
        <v>231.45480000000001</v>
      </c>
      <c r="R32" s="390">
        <v>1.2</v>
      </c>
      <c r="S32" s="400">
        <f>SUMIFS(Таблица14[часы],Таблица14[коэф],"1,2",Таблица14[р/р],"4/16",Таблица14[Ф. И. О.],B33)</f>
        <v>0</v>
      </c>
      <c r="T32" s="392">
        <f t="shared" si="12"/>
        <v>0</v>
      </c>
      <c r="U32" s="410">
        <f>база!$M$5</f>
        <v>247.41720000000001</v>
      </c>
      <c r="V32" s="390">
        <v>1.2</v>
      </c>
      <c r="W32" s="412">
        <f>SUMIFS(Таблица14[часы],Таблица14[коэф],"1,2",Таблица14[р/р],"4/24",Таблица14[Ф. И. О.],B33)</f>
        <v>0</v>
      </c>
      <c r="X32" s="545">
        <f t="shared" si="13"/>
        <v>0</v>
      </c>
      <c r="Y32" s="770"/>
      <c r="Z32" s="766"/>
      <c r="AA32" s="756"/>
      <c r="AC32" s="752" t="str">
        <f>IF(SUMIFS(Таблица14[Столбец2],Таблица14[Ф. И. О.],B33)-Z28=0,"",SUMIFS(Таблица14[Столбец2],Таблица14[Ф. И. О.],B33)-Z28)</f>
        <v/>
      </c>
    </row>
    <row r="33" spans="1:29" ht="20.25" customHeight="1">
      <c r="A33" s="756"/>
      <c r="B33" s="215" t="str">
        <f>база!B4</f>
        <v>Аксенова Диана Владимировна</v>
      </c>
      <c r="C33" s="759"/>
      <c r="D33" s="762"/>
      <c r="E33" s="393"/>
      <c r="F33" s="390"/>
      <c r="G33" s="400"/>
      <c r="H33" s="544">
        <f t="shared" si="10"/>
        <v>0</v>
      </c>
      <c r="I33" s="389"/>
      <c r="J33" s="390"/>
      <c r="K33" s="434"/>
      <c r="L33" s="395">
        <f t="shared" si="11"/>
        <v>0</v>
      </c>
      <c r="M33" s="432"/>
      <c r="N33" s="434"/>
      <c r="O33" s="434"/>
      <c r="P33" s="434"/>
      <c r="Q33" s="399">
        <f>база!$L$6</f>
        <v>261.04640000000001</v>
      </c>
      <c r="R33" s="390">
        <v>1.2</v>
      </c>
      <c r="S33" s="400">
        <f>SUMIFS(Таблица14[часы],Таблица14[коэф],"1,2",Таблица14[р/р],"5/16",Таблица14[Ф. И. О.],B33)</f>
        <v>0</v>
      </c>
      <c r="T33" s="392">
        <f t="shared" si="12"/>
        <v>0</v>
      </c>
      <c r="U33" s="410">
        <f>база!$M$6</f>
        <v>279.0496</v>
      </c>
      <c r="V33" s="390">
        <v>1.2</v>
      </c>
      <c r="W33" s="412">
        <f>SUMIFS(Таблица14[часы],Таблица14[коэф],"1,2",Таблица14[р/р],"5/24",Таблица14[Ф. И. О.],B33)</f>
        <v>0</v>
      </c>
      <c r="X33" s="545">
        <f t="shared" si="13"/>
        <v>0</v>
      </c>
      <c r="Y33" s="770"/>
      <c r="Z33" s="766"/>
      <c r="AA33" s="756"/>
      <c r="AC33" s="752" t="str">
        <f>IF(SUMIFS(Таблица14[часы],Таблица14[Ф. И. О.],B33)-Y28=0,"",SUMIFS(Таблица14[часы],Таблица14[Ф. И. О.],B33)-Y28)</f>
        <v/>
      </c>
    </row>
    <row r="34" spans="1:29" ht="18.75" customHeight="1">
      <c r="A34" s="756"/>
      <c r="B34" s="215"/>
      <c r="C34" s="759"/>
      <c r="D34" s="762"/>
      <c r="E34" s="393"/>
      <c r="F34" s="390"/>
      <c r="G34" s="400"/>
      <c r="H34" s="544">
        <f t="shared" si="10"/>
        <v>0</v>
      </c>
      <c r="I34" s="389"/>
      <c r="J34" s="390"/>
      <c r="K34" s="434"/>
      <c r="L34" s="395">
        <f t="shared" si="11"/>
        <v>0</v>
      </c>
      <c r="M34" s="432"/>
      <c r="N34" s="434"/>
      <c r="O34" s="434"/>
      <c r="P34" s="434"/>
      <c r="Q34" s="399">
        <f>IF(D28&lt;=3,база!$L$4,
IF(D28=4,база!$L$5,
IF(D28=5,база!$L$6)))</f>
        <v>231.45480000000001</v>
      </c>
      <c r="R34" s="390">
        <v>1.3</v>
      </c>
      <c r="S34" s="400">
        <f>SUMIFS(Таблица14[часы],Таблица14[коэф],"1,3",Таблица14[р/р],"3/16",Таблица14[Ф. И. О.],B33)</f>
        <v>0</v>
      </c>
      <c r="T34" s="392">
        <f t="shared" si="12"/>
        <v>0</v>
      </c>
      <c r="U34" s="410">
        <f>IF(D28&lt;=3,база!$M$4,
IF(D28=4,база!$M$5,
IF(D28=5,база!$M$6)))</f>
        <v>247.41720000000001</v>
      </c>
      <c r="V34" s="390">
        <v>1.3</v>
      </c>
      <c r="W34" s="412">
        <f>SUMIFS(Таблица14[часы],Таблица14[коэф],"1,3",Таблица14[р/р],"3/24",Таблица14[Ф. И. О.],B33)</f>
        <v>0</v>
      </c>
      <c r="X34" s="545">
        <f t="shared" si="13"/>
        <v>0</v>
      </c>
      <c r="Y34" s="770"/>
      <c r="Z34" s="766"/>
      <c r="AA34" s="756"/>
    </row>
    <row r="35" spans="1:29" ht="18.75" customHeight="1">
      <c r="A35" s="756"/>
      <c r="B35" s="215"/>
      <c r="C35" s="759"/>
      <c r="D35" s="762"/>
      <c r="E35" s="393"/>
      <c r="F35" s="390"/>
      <c r="G35" s="400"/>
      <c r="H35" s="544">
        <f t="shared" si="10"/>
        <v>0</v>
      </c>
      <c r="I35" s="389"/>
      <c r="J35" s="390"/>
      <c r="K35" s="434"/>
      <c r="L35" s="395">
        <f t="shared" si="11"/>
        <v>0</v>
      </c>
      <c r="M35" s="432"/>
      <c r="N35" s="434"/>
      <c r="O35" s="434"/>
      <c r="P35" s="434"/>
      <c r="Q35" s="399">
        <f>база!$L$5</f>
        <v>231.45480000000001</v>
      </c>
      <c r="R35" s="390">
        <v>1.3</v>
      </c>
      <c r="S35" s="400">
        <f>SUMIFS(Таблица14[часы],Таблица14[коэф],"1,3",Таблица14[р/р],"4/16",Таблица14[Ф. И. О.],B33)</f>
        <v>0</v>
      </c>
      <c r="T35" s="392">
        <f t="shared" si="12"/>
        <v>0</v>
      </c>
      <c r="U35" s="410">
        <f>база!$M$5</f>
        <v>247.41720000000001</v>
      </c>
      <c r="V35" s="390">
        <v>1.3</v>
      </c>
      <c r="W35" s="412">
        <f>SUMIFS(Таблица14[часы],Таблица14[коэф],"1,3",Таблица14[р/р],"4/24",Таблица14[Ф. И. О.],B33)</f>
        <v>0</v>
      </c>
      <c r="X35" s="545">
        <f t="shared" si="13"/>
        <v>0</v>
      </c>
      <c r="Y35" s="770"/>
      <c r="Z35" s="766"/>
      <c r="AA35" s="756"/>
    </row>
    <row r="36" spans="1:29" ht="18.75" customHeight="1">
      <c r="A36" s="756"/>
      <c r="B36" s="215"/>
      <c r="C36" s="759"/>
      <c r="D36" s="762"/>
      <c r="E36" s="393"/>
      <c r="F36" s="390"/>
      <c r="G36" s="400"/>
      <c r="H36" s="544">
        <f t="shared" si="10"/>
        <v>0</v>
      </c>
      <c r="I36" s="389"/>
      <c r="J36" s="390"/>
      <c r="K36" s="434"/>
      <c r="L36" s="395">
        <f t="shared" si="11"/>
        <v>0</v>
      </c>
      <c r="M36" s="432"/>
      <c r="N36" s="434"/>
      <c r="O36" s="434"/>
      <c r="P36" s="434"/>
      <c r="Q36" s="399">
        <f>IF(D28&lt;=3,база!$L$4,
IF(D28=4,база!$L$5,
IF(D28=5,база!$L$6)))</f>
        <v>231.45480000000001</v>
      </c>
      <c r="R36" s="390">
        <v>1.4</v>
      </c>
      <c r="S36" s="400">
        <f>SUMIFS(Таблица14[часы],Таблица14[коэф],"1,4",Таблица14[р/р],"3/16",Таблица14[Ф. И. О.],B33)</f>
        <v>0</v>
      </c>
      <c r="T36" s="392">
        <f t="shared" si="12"/>
        <v>0</v>
      </c>
      <c r="U36" s="410">
        <f>IF(D28&lt;=3,база!$M$4,
IF(D28=4,база!$M$5,
IF(D28=5,база!$M$6)))</f>
        <v>247.41720000000001</v>
      </c>
      <c r="V36" s="390">
        <v>1.4</v>
      </c>
      <c r="W36" s="412">
        <f>SUMIFS(Таблица14[часы],Таблица14[коэф],"1,4",Таблица14[р/р],"3/24",Таблица14[Ф. И. О.],B33)</f>
        <v>0</v>
      </c>
      <c r="X36" s="545">
        <f t="shared" si="13"/>
        <v>0</v>
      </c>
      <c r="Y36" s="770"/>
      <c r="Z36" s="766"/>
      <c r="AA36" s="756"/>
    </row>
    <row r="37" spans="1:29" ht="18.75" customHeight="1">
      <c r="A37" s="756"/>
      <c r="B37" s="215"/>
      <c r="C37" s="759"/>
      <c r="D37" s="762"/>
      <c r="E37" s="393"/>
      <c r="F37" s="390"/>
      <c r="G37" s="400"/>
      <c r="H37" s="544">
        <f t="shared" si="10"/>
        <v>0</v>
      </c>
      <c r="I37" s="389"/>
      <c r="J37" s="390"/>
      <c r="K37" s="434"/>
      <c r="L37" s="395">
        <f t="shared" si="11"/>
        <v>0</v>
      </c>
      <c r="M37" s="432"/>
      <c r="N37" s="434"/>
      <c r="O37" s="434"/>
      <c r="P37" s="434"/>
      <c r="Q37" s="399">
        <f>база!$L$5</f>
        <v>231.45480000000001</v>
      </c>
      <c r="R37" s="390">
        <v>1.4</v>
      </c>
      <c r="S37" s="400">
        <f>SUMIFS(Таблица14[часы],Таблица14[коэф],"1,4",Таблица14[р/р],"4/16",Таблица14[Ф. И. О.],B33)</f>
        <v>0</v>
      </c>
      <c r="T37" s="392">
        <f t="shared" si="12"/>
        <v>0</v>
      </c>
      <c r="U37" s="410">
        <f>база!$M$5</f>
        <v>247.41720000000001</v>
      </c>
      <c r="V37" s="390">
        <v>1.4</v>
      </c>
      <c r="W37" s="412">
        <f>SUMIFS(Таблица14[часы],Таблица14[коэф],"1,4",Таблица14[р/р],"4/24",Таблица14[Ф. И. О.],B33)</f>
        <v>0</v>
      </c>
      <c r="X37" s="545">
        <f t="shared" si="13"/>
        <v>0</v>
      </c>
      <c r="Y37" s="770"/>
      <c r="Z37" s="766"/>
      <c r="AA37" s="756"/>
    </row>
    <row r="38" spans="1:29" ht="19.5" customHeight="1" thickBot="1">
      <c r="A38" s="757"/>
      <c r="B38" s="215"/>
      <c r="C38" s="760"/>
      <c r="D38" s="763"/>
      <c r="E38" s="422"/>
      <c r="F38" s="403"/>
      <c r="G38" s="408"/>
      <c r="H38" s="546">
        <f t="shared" si="10"/>
        <v>0</v>
      </c>
      <c r="I38" s="473"/>
      <c r="J38" s="464"/>
      <c r="K38" s="457"/>
      <c r="L38" s="458">
        <f t="shared" si="11"/>
        <v>0</v>
      </c>
      <c r="M38" s="459"/>
      <c r="N38" s="460"/>
      <c r="O38" s="460"/>
      <c r="P38" s="460"/>
      <c r="Q38" s="407">
        <f>база!$L$6</f>
        <v>261.04640000000001</v>
      </c>
      <c r="R38" s="403">
        <v>1.4</v>
      </c>
      <c r="S38" s="408">
        <f>SUMIFS(Таблица14[часы],Таблица14[коэф],"1,4",Таблица14[р/р],"5/16",Таблица14[Ф. И. О.],B33)</f>
        <v>0</v>
      </c>
      <c r="T38" s="409">
        <f t="shared" si="12"/>
        <v>0</v>
      </c>
      <c r="U38" s="461">
        <f>база!$M$6</f>
        <v>279.0496</v>
      </c>
      <c r="V38" s="403">
        <v>1.4</v>
      </c>
      <c r="W38" s="527">
        <f>SUMIFS(Таблица14[часы],Таблица14[коэф],"1,4",Таблица14[р/р],"5/24",Таблица14[Ф. И. О.],B33)</f>
        <v>0</v>
      </c>
      <c r="X38" s="547">
        <f t="shared" si="13"/>
        <v>0</v>
      </c>
      <c r="Y38" s="771"/>
      <c r="Z38" s="767"/>
      <c r="AA38" s="757"/>
    </row>
    <row r="39" spans="1:29">
      <c r="A39" s="755">
        <v>4</v>
      </c>
      <c r="B39" s="235"/>
      <c r="C39" s="758">
        <f>INDEX(база!$E$2:$E$81, MATCH(B44,база!$B$2:$B$50,0))</f>
        <v>15816</v>
      </c>
      <c r="D39" s="761">
        <f>INDEX(база!$D$2:$D$89, MATCH(B44,база!$B$2:$B$50,0))</f>
        <v>3</v>
      </c>
      <c r="E39" s="381">
        <f>IF(D39&lt;=3,база!$I$4,
IF(D39=4,база!$I$5,
IF(D39=5,база!$I$6)))</f>
        <v>188.7912</v>
      </c>
      <c r="F39" s="378">
        <v>1</v>
      </c>
      <c r="G39" s="387">
        <f>SUMIFS(Таблица14[часы],Таблица14[коэф],"1",Таблица14[р/р],"2/4",Таблица14[Ф. И. О.],B44)</f>
        <v>0</v>
      </c>
      <c r="H39" s="548">
        <f>ROUND(E39*F39*G39*2,2)</f>
        <v>0</v>
      </c>
      <c r="I39" s="377">
        <f>IF(D39&lt;=3,база!$J$4,
IF(D39=4,база!$J$5,
IF(D39=5,база!$J$6)))</f>
        <v>196.05240000000001</v>
      </c>
      <c r="J39" s="378">
        <v>1</v>
      </c>
      <c r="K39" s="428">
        <f>SUMIFS(Таблица14[часы],Таблица14[коэф],"1",Таблица14[р/р],"2/8",Таблица14[Ф. И. О.],B44)</f>
        <v>0</v>
      </c>
      <c r="L39" s="383">
        <f>ROUND(I39*J39*K39*2,2)</f>
        <v>0</v>
      </c>
      <c r="M39" s="426"/>
      <c r="N39" s="428">
        <v>1</v>
      </c>
      <c r="O39" s="428">
        <f>SUMIFS(Data_Tech!$AM$3:$AM$67,Data_Tech!$E$3:$E$67,"1",Data_Tech!$G$3:$G$67,"3/12",Data_Tech!$F$3:$F$67,B44)</f>
        <v>0</v>
      </c>
      <c r="P39" s="428">
        <f>ROUND(M39*N39*O39,2)</f>
        <v>0</v>
      </c>
      <c r="Q39" s="386">
        <f>IF(D39&lt;=3,база!$L$4,
IF(D39=4,база!$L$5,
IF(D39=5,база!$L$6)))</f>
        <v>210.57480000000001</v>
      </c>
      <c r="R39" s="378">
        <v>1</v>
      </c>
      <c r="S39" s="387">
        <f>SUMIFS(Таблица14[часы],Таблица14[коэф],"1",Таблица14[р/р],"3/16",Таблица14[Ф. И. О.],B44)</f>
        <v>0</v>
      </c>
      <c r="T39" s="380">
        <f>ROUND(Q39*R39*S39*2,2)</f>
        <v>0</v>
      </c>
      <c r="U39" s="462">
        <f>IF(D39&lt;=3,база!$M$4,
IF(D39=4,база!$M$5,
IF(D39=5,база!$M$6)))</f>
        <v>225.09719999999999</v>
      </c>
      <c r="V39" s="378">
        <v>1</v>
      </c>
      <c r="W39" s="430">
        <f>SUMIFS(Таблица14[часы],Таблица14[коэф],"1",Таблица14[р/р],"3/24",Таблица14[Ф. И. О.],B44)</f>
        <v>0</v>
      </c>
      <c r="X39" s="543">
        <f>ROUND(U39*V39*W39*2,2)</f>
        <v>0</v>
      </c>
      <c r="Y39" s="764">
        <f>SUM(G39:G49,K39:K49,O39:O49,S39:S49,W39:W49)</f>
        <v>0</v>
      </c>
      <c r="Z39" s="766">
        <f>IFERROR(SUM(H39:H49,L39:L49,T39:T49,X39:X49),"")</f>
        <v>0</v>
      </c>
      <c r="AA39" s="756"/>
    </row>
    <row r="40" spans="1:29">
      <c r="A40" s="756"/>
      <c r="B40" s="215"/>
      <c r="C40" s="759"/>
      <c r="D40" s="762"/>
      <c r="E40" s="393">
        <f>IF(D39&lt;=3,база!$I$4,
IF(D39=4,база!$I$5,
IF(D39=5,база!$I$6)))</f>
        <v>188.7912</v>
      </c>
      <c r="F40" s="390">
        <v>1</v>
      </c>
      <c r="G40" s="400">
        <f>SUMIFS(Таблица14[часы],Таблица14[коэф],"1",Таблица14[р/р],"3/4",Таблица14[Ф. И. О.],B44)</f>
        <v>0</v>
      </c>
      <c r="H40" s="544">
        <f t="shared" ref="H40:H49" si="14">ROUND(E40*F40*G40*2,2)</f>
        <v>0</v>
      </c>
      <c r="I40" s="389">
        <f>IF(D39&lt;=3,база!$J$4,
IF(D39=4,база!$J$5,
IF(D39=5,база!$J$6)))</f>
        <v>196.05240000000001</v>
      </c>
      <c r="J40" s="390">
        <v>1</v>
      </c>
      <c r="K40" s="434">
        <f>SUMIFS(Таблица14[часы],Таблица14[коэф],"1",Таблица14[р/р],"3/8",Таблица14[Ф. И. О.],B44)</f>
        <v>0</v>
      </c>
      <c r="L40" s="395">
        <f t="shared" ref="L40:L49" si="15">ROUND(I40*J40*K40*2,2)</f>
        <v>0</v>
      </c>
      <c r="M40" s="432"/>
      <c r="N40" s="434">
        <v>1</v>
      </c>
      <c r="O40" s="434">
        <f>SUMIFS(Data_Tech!$AM$3:$AM$67,Data_Tech!$E$3:$E$67,"1",Data_Tech!$G$3:$G$67,"4/12",Data_Tech!$F$3:$F$67,B44)</f>
        <v>0</v>
      </c>
      <c r="P40" s="434">
        <f>ROUND(M40*O40,2)</f>
        <v>0</v>
      </c>
      <c r="Q40" s="399">
        <f>база!$L$5</f>
        <v>231.45480000000001</v>
      </c>
      <c r="R40" s="390">
        <v>1</v>
      </c>
      <c r="S40" s="400">
        <f>SUMIFS(Таблица14[часы],Таблица14[коэф],"1",Таблица14[р/р],"4/16",Таблица14[Ф. И. О.],B44)</f>
        <v>0</v>
      </c>
      <c r="T40" s="392">
        <f t="shared" ref="T40:T49" si="16">ROUND(Q40*R40*S40*2,2)</f>
        <v>0</v>
      </c>
      <c r="U40" s="410">
        <f>база!$M$5</f>
        <v>247.41720000000001</v>
      </c>
      <c r="V40" s="390">
        <v>1</v>
      </c>
      <c r="W40" s="412">
        <f>SUMIFS(Таблица14[часы],Таблица14[коэф],"1",Таблица14[р/р],"4/24",Таблица14[Ф. И. О.],B44)</f>
        <v>0</v>
      </c>
      <c r="X40" s="545">
        <f t="shared" ref="X40:X49" si="17">ROUND(U40*V40*W40*2,2)</f>
        <v>0</v>
      </c>
      <c r="Y40" s="764"/>
      <c r="Z40" s="766"/>
      <c r="AA40" s="756"/>
    </row>
    <row r="41" spans="1:29">
      <c r="A41" s="756"/>
      <c r="B41" s="215"/>
      <c r="C41" s="759"/>
      <c r="D41" s="762"/>
      <c r="E41" s="393"/>
      <c r="F41" s="390"/>
      <c r="G41" s="400"/>
      <c r="H41" s="544">
        <f t="shared" si="14"/>
        <v>0</v>
      </c>
      <c r="I41" s="389"/>
      <c r="J41" s="390"/>
      <c r="K41" s="434"/>
      <c r="L41" s="395">
        <f t="shared" si="15"/>
        <v>0</v>
      </c>
      <c r="M41" s="432"/>
      <c r="N41" s="434"/>
      <c r="O41" s="434"/>
      <c r="P41" s="434"/>
      <c r="Q41" s="399">
        <f>база!$L$6</f>
        <v>261.04640000000001</v>
      </c>
      <c r="R41" s="390">
        <v>1</v>
      </c>
      <c r="S41" s="400">
        <f>SUMIFS(Таблица14[часы],Таблица14[коэф],"1",Таблица14[р/р],"5/16",Таблица14[Ф. И. О.],B44)</f>
        <v>0</v>
      </c>
      <c r="T41" s="392">
        <f t="shared" si="16"/>
        <v>0</v>
      </c>
      <c r="U41" s="410">
        <f>база!$M$6</f>
        <v>279.0496</v>
      </c>
      <c r="V41" s="390">
        <v>1</v>
      </c>
      <c r="W41" s="412">
        <f>SUMIFS(Таблица14[часы],Таблица14[коэф],"1",Таблица14[р/р],"5/24",Таблица14[Ф. И. О.],B44)</f>
        <v>0</v>
      </c>
      <c r="X41" s="545">
        <f t="shared" si="17"/>
        <v>0</v>
      </c>
      <c r="Y41" s="764"/>
      <c r="Z41" s="766"/>
      <c r="AA41" s="756"/>
    </row>
    <row r="42" spans="1:29">
      <c r="A42" s="756"/>
      <c r="B42" s="215"/>
      <c r="C42" s="759"/>
      <c r="D42" s="762"/>
      <c r="E42" s="393"/>
      <c r="F42" s="390"/>
      <c r="G42" s="400"/>
      <c r="H42" s="544">
        <f t="shared" si="14"/>
        <v>0</v>
      </c>
      <c r="I42" s="389">
        <f>база!$J$5</f>
        <v>215.4924</v>
      </c>
      <c r="J42" s="390">
        <v>1.5</v>
      </c>
      <c r="K42" s="434">
        <f>SUMIFS(Таблица14[часы],Таблица14[коэф],"1,5",Таблица14[р/р],"4/8",Таблица14[Ф. И. О.],B44)</f>
        <v>0</v>
      </c>
      <c r="L42" s="395">
        <f t="shared" si="15"/>
        <v>0</v>
      </c>
      <c r="M42" s="432"/>
      <c r="N42" s="434"/>
      <c r="O42" s="434"/>
      <c r="P42" s="434"/>
      <c r="Q42" s="399">
        <f>IF(D39&lt;=3,база!$L$4,
IF(D39=4,база!$L$5,
IF(D39=5,база!$L$6)))</f>
        <v>210.57480000000001</v>
      </c>
      <c r="R42" s="390">
        <v>1.2</v>
      </c>
      <c r="S42" s="400">
        <f>SUMIFS(Таблица14[часы],Таблица14[коэф],"1,2",Таблица14[р/р],"3/16",Таблица14[Ф. И. О.],B44)</f>
        <v>0</v>
      </c>
      <c r="T42" s="392">
        <f t="shared" si="16"/>
        <v>0</v>
      </c>
      <c r="U42" s="410">
        <f>IF(D39&lt;=3,база!$M$4,
IF(D39=4,база!$M$5,
IF(D39=5,база!$M$6)))</f>
        <v>225.09719999999999</v>
      </c>
      <c r="V42" s="390">
        <v>1.2</v>
      </c>
      <c r="W42" s="412">
        <f>SUMIFS(Таблица14[часы],Таблица14[коэф],"1,2",Таблица14[р/р],"3/24",Таблица14[Ф. И. О.],B44)</f>
        <v>0</v>
      </c>
      <c r="X42" s="545">
        <f t="shared" si="17"/>
        <v>0</v>
      </c>
      <c r="Y42" s="764"/>
      <c r="Z42" s="766"/>
      <c r="AA42" s="756"/>
    </row>
    <row r="43" spans="1:29">
      <c r="A43" s="756"/>
      <c r="B43" s="215"/>
      <c r="C43" s="759"/>
      <c r="D43" s="762"/>
      <c r="E43" s="393"/>
      <c r="F43" s="390"/>
      <c r="G43" s="400"/>
      <c r="H43" s="544">
        <f t="shared" si="14"/>
        <v>0</v>
      </c>
      <c r="I43" s="389">
        <f>база!$J$6</f>
        <v>243.04319999999998</v>
      </c>
      <c r="J43" s="390">
        <v>1.5</v>
      </c>
      <c r="K43" s="434">
        <f>SUMIFS(Таблица14[часы],Таблица14[коэф],"1,5",Таблица14[р/р],"5/8",Таблица14[Ф. И. О.],B44)</f>
        <v>0</v>
      </c>
      <c r="L43" s="395">
        <f t="shared" si="15"/>
        <v>0</v>
      </c>
      <c r="M43" s="432"/>
      <c r="N43" s="434"/>
      <c r="O43" s="434"/>
      <c r="P43" s="434"/>
      <c r="Q43" s="399">
        <f>база!$L$5</f>
        <v>231.45480000000001</v>
      </c>
      <c r="R43" s="390">
        <v>1.2</v>
      </c>
      <c r="S43" s="400">
        <f>SUMIFS(Таблица14[часы],Таблица14[коэф],"1,2",Таблица14[р/р],"4/16",Таблица14[Ф. И. О.],B44)</f>
        <v>0</v>
      </c>
      <c r="T43" s="392">
        <f t="shared" si="16"/>
        <v>0</v>
      </c>
      <c r="U43" s="410">
        <f>база!$M$5</f>
        <v>247.41720000000001</v>
      </c>
      <c r="V43" s="390">
        <v>1.2</v>
      </c>
      <c r="W43" s="412">
        <f>SUMIFS(Таблица14[часы],Таблица14[коэф],"1,2",Таблица14[р/р],"4/24",Таблица14[Ф. И. О.],B44)</f>
        <v>0</v>
      </c>
      <c r="X43" s="545">
        <f t="shared" si="17"/>
        <v>0</v>
      </c>
      <c r="Y43" s="764"/>
      <c r="Z43" s="766"/>
      <c r="AA43" s="756"/>
    </row>
    <row r="44" spans="1:29" ht="22.5" customHeight="1">
      <c r="A44" s="756"/>
      <c r="B44" s="215" t="str">
        <f>база!B5</f>
        <v>Александрович Екатерина Сергеевна</v>
      </c>
      <c r="C44" s="759"/>
      <c r="D44" s="762"/>
      <c r="E44" s="393"/>
      <c r="F44" s="390"/>
      <c r="G44" s="400"/>
      <c r="H44" s="544">
        <f t="shared" si="14"/>
        <v>0</v>
      </c>
      <c r="I44" s="389"/>
      <c r="J44" s="390"/>
      <c r="K44" s="434"/>
      <c r="L44" s="395">
        <f t="shared" si="15"/>
        <v>0</v>
      </c>
      <c r="M44" s="432"/>
      <c r="N44" s="434"/>
      <c r="O44" s="434"/>
      <c r="P44" s="434"/>
      <c r="Q44" s="399">
        <f>база!$L$6</f>
        <v>261.04640000000001</v>
      </c>
      <c r="R44" s="390">
        <v>1.2</v>
      </c>
      <c r="S44" s="400">
        <f>SUMIFS(Таблица14[часы],Таблица14[коэф],"1,2",Таблица14[р/р],"5/16",Таблица14[Ф. И. О.],B44)</f>
        <v>0</v>
      </c>
      <c r="T44" s="392">
        <f t="shared" si="16"/>
        <v>0</v>
      </c>
      <c r="U44" s="410">
        <f>база!$M$6</f>
        <v>279.0496</v>
      </c>
      <c r="V44" s="390">
        <v>1.2</v>
      </c>
      <c r="W44" s="412">
        <f>SUMIFS(Таблица14[часы],Таблица14[коэф],"1,2",Таблица14[р/р],"5/24",Таблица14[Ф. И. О.],B44)</f>
        <v>0</v>
      </c>
      <c r="X44" s="545">
        <f t="shared" si="17"/>
        <v>0</v>
      </c>
      <c r="Y44" s="764"/>
      <c r="Z44" s="766"/>
      <c r="AA44" s="756"/>
      <c r="AC44" s="752" t="str">
        <f>IF(SUMIFS(Таблица14[Столбец2],Таблица14[Ф. И. О.],B44)-Z39=0,"",SUMIFS(Таблица14[Столбец2],Таблица14[Ф. И. О.],B44)-Z39)</f>
        <v/>
      </c>
    </row>
    <row r="45" spans="1:29">
      <c r="A45" s="756"/>
      <c r="B45" s="215"/>
      <c r="C45" s="759"/>
      <c r="D45" s="762"/>
      <c r="E45" s="393"/>
      <c r="F45" s="390"/>
      <c r="G45" s="400"/>
      <c r="H45" s="544">
        <f t="shared" si="14"/>
        <v>0</v>
      </c>
      <c r="I45" s="389"/>
      <c r="J45" s="390"/>
      <c r="K45" s="434"/>
      <c r="L45" s="395">
        <f t="shared" si="15"/>
        <v>0</v>
      </c>
      <c r="M45" s="432"/>
      <c r="N45" s="434"/>
      <c r="O45" s="434"/>
      <c r="P45" s="434"/>
      <c r="Q45" s="399">
        <f>IF(D39&lt;=3,база!$L$4,
IF(D39=4,база!$L$5,
IF(D39=5,база!$L$6)))</f>
        <v>210.57480000000001</v>
      </c>
      <c r="R45" s="390">
        <v>1.3</v>
      </c>
      <c r="S45" s="400">
        <f>SUMIFS(Таблица14[часы],Таблица14[коэф],"1,3",Таблица14[р/р],"3/16",Таблица14[Ф. И. О.],B44)</f>
        <v>0</v>
      </c>
      <c r="T45" s="392">
        <f t="shared" si="16"/>
        <v>0</v>
      </c>
      <c r="U45" s="410">
        <f>IF(D39&lt;=3,база!$M$4,
IF(D39=4,база!$M$5,
IF(D39=5,база!$M$6)))</f>
        <v>225.09719999999999</v>
      </c>
      <c r="V45" s="390">
        <v>1.3</v>
      </c>
      <c r="W45" s="412">
        <f>SUMIFS(Таблица14[часы],Таблица14[коэф],"1,3",Таблица14[р/р],"3/24",Таблица14[Ф. И. О.],B44)</f>
        <v>0</v>
      </c>
      <c r="X45" s="545">
        <f t="shared" si="17"/>
        <v>0</v>
      </c>
      <c r="Y45" s="764"/>
      <c r="Z45" s="766"/>
      <c r="AA45" s="756"/>
      <c r="AC45" s="752" t="str">
        <f>IF(SUMIFS(Таблица14[часы],Таблица14[Ф. И. О.],B44)-Y39=0,"",SUMIFS(Таблица14[часы],Таблица14[Ф. И. О.],B44)-Y39)</f>
        <v/>
      </c>
    </row>
    <row r="46" spans="1:29">
      <c r="A46" s="756"/>
      <c r="B46" s="215"/>
      <c r="C46" s="759"/>
      <c r="D46" s="762"/>
      <c r="E46" s="393"/>
      <c r="F46" s="390"/>
      <c r="G46" s="400"/>
      <c r="H46" s="544">
        <f t="shared" si="14"/>
        <v>0</v>
      </c>
      <c r="I46" s="389"/>
      <c r="J46" s="390"/>
      <c r="K46" s="434"/>
      <c r="L46" s="395">
        <f t="shared" si="15"/>
        <v>0</v>
      </c>
      <c r="M46" s="432"/>
      <c r="N46" s="434"/>
      <c r="O46" s="434"/>
      <c r="P46" s="434"/>
      <c r="Q46" s="399">
        <f>база!$L$5</f>
        <v>231.45480000000001</v>
      </c>
      <c r="R46" s="390">
        <v>1.3</v>
      </c>
      <c r="S46" s="400">
        <f>SUMIFS(Таблица14[часы],Таблица14[коэф],"1,3",Таблица14[р/р],"4/16",Таблица14[Ф. И. О.],B44)</f>
        <v>0</v>
      </c>
      <c r="T46" s="392">
        <f t="shared" si="16"/>
        <v>0</v>
      </c>
      <c r="U46" s="410">
        <f>база!$M$5</f>
        <v>247.41720000000001</v>
      </c>
      <c r="V46" s="390">
        <v>1.3</v>
      </c>
      <c r="W46" s="412">
        <f>SUMIFS(Таблица14[часы],Таблица14[коэф],"1,3",Таблица14[р/р],"4/24",Таблица14[Ф. И. О.],B44)</f>
        <v>0</v>
      </c>
      <c r="X46" s="545">
        <f t="shared" si="17"/>
        <v>0</v>
      </c>
      <c r="Y46" s="764"/>
      <c r="Z46" s="766"/>
      <c r="AA46" s="756"/>
    </row>
    <row r="47" spans="1:29">
      <c r="A47" s="756"/>
      <c r="B47" s="215"/>
      <c r="C47" s="759"/>
      <c r="D47" s="762"/>
      <c r="E47" s="393"/>
      <c r="F47" s="390"/>
      <c r="G47" s="400"/>
      <c r="H47" s="544">
        <f t="shared" si="14"/>
        <v>0</v>
      </c>
      <c r="I47" s="389"/>
      <c r="J47" s="390"/>
      <c r="K47" s="434"/>
      <c r="L47" s="395">
        <f t="shared" si="15"/>
        <v>0</v>
      </c>
      <c r="M47" s="432"/>
      <c r="N47" s="434"/>
      <c r="O47" s="434"/>
      <c r="P47" s="434"/>
      <c r="Q47" s="399">
        <f>IF(D39&lt;=3,база!$L$4,
IF(D39=4,база!$L$5,
IF(D39=5,база!$L$6)))</f>
        <v>210.57480000000001</v>
      </c>
      <c r="R47" s="390">
        <v>1.4</v>
      </c>
      <c r="S47" s="400">
        <f>SUMIFS(Таблица14[часы],Таблица14[коэф],"1,4",Таблица14[р/р],"3/16",Таблица14[Ф. И. О.],B44)</f>
        <v>0</v>
      </c>
      <c r="T47" s="392">
        <f t="shared" si="16"/>
        <v>0</v>
      </c>
      <c r="U47" s="410">
        <f>IF(D39&lt;=3,база!$M$4,
IF(D39=4,база!$M$5,
IF(D39=5,база!$M$6)))</f>
        <v>225.09719999999999</v>
      </c>
      <c r="V47" s="390">
        <v>1.4</v>
      </c>
      <c r="W47" s="412">
        <f>SUMIFS(Таблица14[часы],Таблица14[коэф],"1,4",Таблица14[р/р],"3/24",Таблица14[Ф. И. О.],B44)</f>
        <v>0</v>
      </c>
      <c r="X47" s="545">
        <f t="shared" si="17"/>
        <v>0</v>
      </c>
      <c r="Y47" s="764"/>
      <c r="Z47" s="766"/>
      <c r="AA47" s="756"/>
    </row>
    <row r="48" spans="1:29">
      <c r="A48" s="756"/>
      <c r="B48" s="215"/>
      <c r="C48" s="759"/>
      <c r="D48" s="762"/>
      <c r="E48" s="393"/>
      <c r="F48" s="390"/>
      <c r="G48" s="400"/>
      <c r="H48" s="544">
        <f t="shared" si="14"/>
        <v>0</v>
      </c>
      <c r="I48" s="389"/>
      <c r="J48" s="390"/>
      <c r="K48" s="434"/>
      <c r="L48" s="395">
        <f t="shared" si="15"/>
        <v>0</v>
      </c>
      <c r="M48" s="432"/>
      <c r="N48" s="434"/>
      <c r="O48" s="434"/>
      <c r="P48" s="434"/>
      <c r="Q48" s="399">
        <f>база!$L$5</f>
        <v>231.45480000000001</v>
      </c>
      <c r="R48" s="390">
        <v>1.4</v>
      </c>
      <c r="S48" s="400">
        <f>SUMIFS(Таблица14[часы],Таблица14[коэф],"1,4",Таблица14[р/р],"4/16",Таблица14[Ф. И. О.],B44)</f>
        <v>0</v>
      </c>
      <c r="T48" s="392">
        <f t="shared" si="16"/>
        <v>0</v>
      </c>
      <c r="U48" s="410">
        <f>база!$M$5</f>
        <v>247.41720000000001</v>
      </c>
      <c r="V48" s="390">
        <v>1.4</v>
      </c>
      <c r="W48" s="412">
        <f>SUMIFS(Таблица14[часы],Таблица14[коэф],"1,4",Таблица14[р/р],"4/24",Таблица14[Ф. И. О.],B44)</f>
        <v>0</v>
      </c>
      <c r="X48" s="545">
        <f t="shared" si="17"/>
        <v>0</v>
      </c>
      <c r="Y48" s="764"/>
      <c r="Z48" s="766"/>
      <c r="AA48" s="756"/>
    </row>
    <row r="49" spans="1:29" ht="21" thickBot="1">
      <c r="A49" s="757"/>
      <c r="B49" s="202"/>
      <c r="C49" s="760"/>
      <c r="D49" s="763"/>
      <c r="E49" s="463"/>
      <c r="F49" s="464"/>
      <c r="G49" s="465"/>
      <c r="H49" s="549">
        <f t="shared" si="14"/>
        <v>0</v>
      </c>
      <c r="I49" s="473"/>
      <c r="J49" s="464"/>
      <c r="K49" s="457"/>
      <c r="L49" s="458">
        <f t="shared" si="15"/>
        <v>0</v>
      </c>
      <c r="M49" s="466"/>
      <c r="N49" s="457"/>
      <c r="O49" s="457"/>
      <c r="P49" s="457"/>
      <c r="Q49" s="467">
        <f>база!$L$6</f>
        <v>261.04640000000001</v>
      </c>
      <c r="R49" s="464">
        <v>1.4</v>
      </c>
      <c r="S49" s="465">
        <f>SUMIFS(Таблица14[часы],Таблица14[коэф],"1,4",Таблица14[р/р],"5/16",Таблица14[Ф. И. О.],B44)</f>
        <v>0</v>
      </c>
      <c r="T49" s="468">
        <f t="shared" si="16"/>
        <v>0</v>
      </c>
      <c r="U49" s="469">
        <f>база!$M$6</f>
        <v>279.0496</v>
      </c>
      <c r="V49" s="464">
        <v>1.4</v>
      </c>
      <c r="W49" s="470">
        <f>SUMIFS(Таблица14[часы],Таблица14[коэф],"1,4",Таблица14[р/р],"5/24",Таблица14[Ф. И. О.],B44)</f>
        <v>0</v>
      </c>
      <c r="X49" s="547">
        <f t="shared" si="17"/>
        <v>0</v>
      </c>
      <c r="Y49" s="765"/>
      <c r="Z49" s="767"/>
      <c r="AA49" s="757"/>
    </row>
    <row r="50" spans="1:29">
      <c r="A50" s="755">
        <v>5</v>
      </c>
      <c r="B50" s="215"/>
      <c r="C50" s="794">
        <f>INDEX(база!$E$2:$E$81, MATCH(B55,база!$B$2:$B$50,0))</f>
        <v>16475</v>
      </c>
      <c r="D50" s="794">
        <f>INDEX(база!$D$2:$D$89, MATCH(B55,база!$B$2:$B$50,0))</f>
        <v>3</v>
      </c>
      <c r="E50" s="377">
        <f>IF(D50&lt;=3,база!$I$4,
IF(D50=4,база!$I$5,
IF(D50=5,база!$I$6)))</f>
        <v>188.7912</v>
      </c>
      <c r="F50" s="378">
        <v>1</v>
      </c>
      <c r="G50" s="387">
        <f>SUMIFS(Таблица14[часы],Таблица14[коэф],"1",Таблица14[р/р],"2/4",Таблица14[Ф. И. О.],B55)</f>
        <v>0</v>
      </c>
      <c r="H50" s="380">
        <f>ROUND(E50*F50*G50*2,2)</f>
        <v>0</v>
      </c>
      <c r="I50" s="381">
        <f>IF(D50&lt;=3,база!$J$4,
IF(D50=4,база!$J$5,
IF(D50=5,база!$J$6)))</f>
        <v>196.05240000000001</v>
      </c>
      <c r="J50" s="378">
        <v>1</v>
      </c>
      <c r="K50" s="428">
        <f>SUMIFS(Таблица14[часы],Таблица14[коэф],"1",Таблица14[р/р],"2/8",Таблица14[Ф. И. О.],B55)</f>
        <v>0</v>
      </c>
      <c r="L50" s="383">
        <f>ROUND(I50*J50*K50*2,2)</f>
        <v>0</v>
      </c>
      <c r="M50" s="426"/>
      <c r="N50" s="428">
        <v>1</v>
      </c>
      <c r="O50" s="428">
        <f>SUMIFS(Data_Tech!$AM$3:$AM$67,Data_Tech!$E$3:$E$67,"1",Data_Tech!$G$3:$G$67,"3/12",Data_Tech!$F$3:$F$67,B55)</f>
        <v>0</v>
      </c>
      <c r="P50" s="428">
        <f>ROUND(M50*N50*O50,2)</f>
        <v>0</v>
      </c>
      <c r="Q50" s="386">
        <f>IF(D50&lt;=3,база!$L$4,
IF(D50=4,база!$L$5,
IF(D50=5,база!$L$6)))</f>
        <v>210.57480000000001</v>
      </c>
      <c r="R50" s="378">
        <v>1</v>
      </c>
      <c r="S50" s="387">
        <f>SUMIFS(Таблица14[часы],Таблица14[коэф],"1",Таблица14[р/р],"3/16",Таблица14[Ф. И. О.],B55)</f>
        <v>0</v>
      </c>
      <c r="T50" s="548">
        <f>ROUND(Q50*R50*S50*2,2)</f>
        <v>0</v>
      </c>
      <c r="U50" s="471">
        <f>IF(D50&lt;=3,база!$M$4,
IF(D50=4,база!$M$5,
IF(D50=5,база!$M$6)))</f>
        <v>225.09719999999999</v>
      </c>
      <c r="V50" s="378">
        <v>1</v>
      </c>
      <c r="W50" s="430">
        <f>SUMIFS(Таблица14[часы],Таблица14[коэф],"1",Таблица14[р/р],"3/24",Таблица14[Ф. И. О.],B55)</f>
        <v>0</v>
      </c>
      <c r="X50" s="543">
        <f>ROUND(U50*V50*W50*2,2)</f>
        <v>0</v>
      </c>
      <c r="Y50" s="764">
        <f>SUM(G50:G60,K50:K60,O50:O60,S50:S60,W50:W60)</f>
        <v>0</v>
      </c>
      <c r="Z50" s="766">
        <f>IFERROR(SUM(H50:H60,L50:L60,T50:T60,X50:X60),"")</f>
        <v>0</v>
      </c>
      <c r="AA50" s="755"/>
    </row>
    <row r="51" spans="1:29">
      <c r="A51" s="756"/>
      <c r="B51" s="215"/>
      <c r="C51" s="795"/>
      <c r="D51" s="795"/>
      <c r="E51" s="389">
        <f>IF(D50&lt;=3,база!$I$4,
IF(D50=4,база!$I$5,
IF(D50=5,база!$I$6)))</f>
        <v>188.7912</v>
      </c>
      <c r="F51" s="390">
        <v>1</v>
      </c>
      <c r="G51" s="400">
        <f>SUMIFS(Таблица14[часы],Таблица14[коэф],"1",Таблица14[р/р],"3/4",Таблица14[Ф. И. О.],B55)</f>
        <v>0</v>
      </c>
      <c r="H51" s="392">
        <f t="shared" ref="H51:H60" si="18">ROUND(E51*F51*G51*2,2)</f>
        <v>0</v>
      </c>
      <c r="I51" s="393">
        <f>IF(D50&lt;=3,база!$J$4,
IF(D50=4,база!$J$5,
IF(D50=5,база!$J$6)))</f>
        <v>196.05240000000001</v>
      </c>
      <c r="J51" s="390">
        <v>1</v>
      </c>
      <c r="K51" s="434">
        <f>SUMIFS(Таблица14[часы],Таблица14[коэф],"1",Таблица14[р/р],"3/8",Таблица14[Ф. И. О.],B55)</f>
        <v>0</v>
      </c>
      <c r="L51" s="395">
        <f t="shared" ref="L51:L60" si="19">ROUND(I51*J51*K51*2,2)</f>
        <v>0</v>
      </c>
      <c r="M51" s="432"/>
      <c r="N51" s="434">
        <v>1</v>
      </c>
      <c r="O51" s="434">
        <f>SUMIFS(Data_Tech!$AM$3:$AM$67,Data_Tech!$E$3:$E$67,"1",Data_Tech!$G$3:$G$67,"4/12",Data_Tech!$F$3:$F$67,B55)</f>
        <v>0</v>
      </c>
      <c r="P51" s="434">
        <f>ROUND(M51*O51,2)</f>
        <v>0</v>
      </c>
      <c r="Q51" s="399">
        <f>база!$L$5</f>
        <v>231.45480000000001</v>
      </c>
      <c r="R51" s="390">
        <v>1</v>
      </c>
      <c r="S51" s="400">
        <f>SUMIFS(Таблица14[часы],Таблица14[коэф],"1",Таблица14[р/р],"4/16",Таблица14[Ф. И. О.],B55)</f>
        <v>0</v>
      </c>
      <c r="T51" s="544">
        <f t="shared" ref="T51:T60" si="20">ROUND(Q51*R51*S51*2,2)</f>
        <v>0</v>
      </c>
      <c r="U51" s="472">
        <f>база!$M$5</f>
        <v>247.41720000000001</v>
      </c>
      <c r="V51" s="390">
        <v>1</v>
      </c>
      <c r="W51" s="412">
        <f>SUMIFS(Таблица14[часы],Таблица14[коэф],"1",Таблица14[р/р],"4/24",Таблица14[Ф. И. О.],B55)</f>
        <v>0</v>
      </c>
      <c r="X51" s="545">
        <f t="shared" ref="X51:X60" si="21">ROUND(U51*V51*W51*2,2)</f>
        <v>0</v>
      </c>
      <c r="Y51" s="764"/>
      <c r="Z51" s="766"/>
      <c r="AA51" s="756"/>
    </row>
    <row r="52" spans="1:29">
      <c r="A52" s="756"/>
      <c r="B52" s="215"/>
      <c r="C52" s="795"/>
      <c r="D52" s="795"/>
      <c r="E52" s="389"/>
      <c r="F52" s="390"/>
      <c r="G52" s="400"/>
      <c r="H52" s="392">
        <f t="shared" si="18"/>
        <v>0</v>
      </c>
      <c r="I52" s="393"/>
      <c r="J52" s="390"/>
      <c r="K52" s="434"/>
      <c r="L52" s="395">
        <f t="shared" si="19"/>
        <v>0</v>
      </c>
      <c r="M52" s="432"/>
      <c r="N52" s="434"/>
      <c r="O52" s="434"/>
      <c r="P52" s="434"/>
      <c r="Q52" s="399">
        <f>база!$L$6</f>
        <v>261.04640000000001</v>
      </c>
      <c r="R52" s="390">
        <v>1</v>
      </c>
      <c r="S52" s="400">
        <f>SUMIFS(Таблица14[часы],Таблица14[коэф],"1",Таблица14[р/р],"5/16",Таблица14[Ф. И. О.],B55)</f>
        <v>0</v>
      </c>
      <c r="T52" s="544">
        <f t="shared" si="20"/>
        <v>0</v>
      </c>
      <c r="U52" s="472">
        <f>база!$M$6</f>
        <v>279.0496</v>
      </c>
      <c r="V52" s="390">
        <v>1</v>
      </c>
      <c r="W52" s="412">
        <f>SUMIFS(Таблица14[часы],Таблица14[коэф],"1",Таблица14[р/р],"5/24",Таблица14[Ф. И. О.],B55)</f>
        <v>0</v>
      </c>
      <c r="X52" s="545">
        <f t="shared" si="21"/>
        <v>0</v>
      </c>
      <c r="Y52" s="764"/>
      <c r="Z52" s="766"/>
      <c r="AA52" s="756"/>
    </row>
    <row r="53" spans="1:29">
      <c r="A53" s="756"/>
      <c r="B53" s="215"/>
      <c r="C53" s="795"/>
      <c r="D53" s="795"/>
      <c r="E53" s="389"/>
      <c r="F53" s="390"/>
      <c r="G53" s="400"/>
      <c r="H53" s="392">
        <f t="shared" si="18"/>
        <v>0</v>
      </c>
      <c r="I53" s="393">
        <f>база!$J$5</f>
        <v>215.4924</v>
      </c>
      <c r="J53" s="390">
        <v>1.5</v>
      </c>
      <c r="K53" s="434">
        <f>SUMIFS(Таблица14[часы],Таблица14[коэф],"1,5",Таблица14[р/р],"4/8",Таблица14[Ф. И. О.],B55)</f>
        <v>0</v>
      </c>
      <c r="L53" s="395">
        <f t="shared" si="19"/>
        <v>0</v>
      </c>
      <c r="M53" s="432"/>
      <c r="N53" s="434"/>
      <c r="O53" s="434"/>
      <c r="P53" s="434"/>
      <c r="Q53" s="399">
        <f>IF(D50&lt;=3,база!$L$4,
IF(D50=4,база!$L$5,
IF(D50=5,база!$L$6)))</f>
        <v>210.57480000000001</v>
      </c>
      <c r="R53" s="390">
        <v>1.2</v>
      </c>
      <c r="S53" s="400">
        <f>SUMIFS(Таблица14[часы],Таблица14[коэф],"1,2",Таблица14[р/р],"3/16",Таблица14[Ф. И. О.],B55)</f>
        <v>0</v>
      </c>
      <c r="T53" s="544">
        <f t="shared" si="20"/>
        <v>0</v>
      </c>
      <c r="U53" s="472">
        <f>IF(D50&lt;=3,база!$M$4,
IF(D50=4,база!$M$5,
IF(D50=5,база!$M$6)))</f>
        <v>225.09719999999999</v>
      </c>
      <c r="V53" s="390">
        <v>1.2</v>
      </c>
      <c r="W53" s="412">
        <f>SUMIFS(Таблица14[часы],Таблица14[коэф],"1,2",Таблица14[р/р],"3/24",Таблица14[Ф. И. О.],B55)</f>
        <v>0</v>
      </c>
      <c r="X53" s="545">
        <f t="shared" si="21"/>
        <v>0</v>
      </c>
      <c r="Y53" s="764"/>
      <c r="Z53" s="766"/>
      <c r="AA53" s="756"/>
    </row>
    <row r="54" spans="1:29">
      <c r="A54" s="756"/>
      <c r="B54" s="215"/>
      <c r="C54" s="795"/>
      <c r="D54" s="795"/>
      <c r="E54" s="389"/>
      <c r="F54" s="390"/>
      <c r="G54" s="400"/>
      <c r="H54" s="392">
        <f t="shared" si="18"/>
        <v>0</v>
      </c>
      <c r="I54" s="393">
        <f>база!$J$6</f>
        <v>243.04319999999998</v>
      </c>
      <c r="J54" s="390">
        <v>1.5</v>
      </c>
      <c r="K54" s="434">
        <f>SUMIFS(Таблица14[часы],Таблица14[коэф],"1,5",Таблица14[р/р],"5/8",Таблица14[Ф. И. О.],B55)</f>
        <v>0</v>
      </c>
      <c r="L54" s="395">
        <f t="shared" si="19"/>
        <v>0</v>
      </c>
      <c r="M54" s="432"/>
      <c r="N54" s="434"/>
      <c r="O54" s="434"/>
      <c r="P54" s="434"/>
      <c r="Q54" s="399">
        <f>база!$L$5</f>
        <v>231.45480000000001</v>
      </c>
      <c r="R54" s="390">
        <v>1.2</v>
      </c>
      <c r="S54" s="400">
        <f>SUMIFS(Таблица14[часы],Таблица14[коэф],"1,2",Таблица14[р/р],"4/16",Таблица14[Ф. И. О.],B55)</f>
        <v>0</v>
      </c>
      <c r="T54" s="544">
        <f t="shared" si="20"/>
        <v>0</v>
      </c>
      <c r="U54" s="472">
        <f>база!$M$5</f>
        <v>247.41720000000001</v>
      </c>
      <c r="V54" s="390">
        <v>1.2</v>
      </c>
      <c r="W54" s="412">
        <f>SUMIFS(Таблица14[часы],Таблица14[коэф],"1,2",Таблица14[р/р],"4/24",Таблица14[Ф. И. О.],B55)</f>
        <v>0</v>
      </c>
      <c r="X54" s="545">
        <f t="shared" si="21"/>
        <v>0</v>
      </c>
      <c r="Y54" s="764"/>
      <c r="Z54" s="766"/>
      <c r="AA54" s="756"/>
      <c r="AC54" s="752" t="str">
        <f>IF(SUMIFS(Таблица14[Столбец2],Таблица14[Ф. И. О.],B55)-Z50=0,"",SUMIFS(Таблица14[Столбец2],Таблица14[Ф. И. О.],B55)-Z50)</f>
        <v/>
      </c>
    </row>
    <row r="55" spans="1:29">
      <c r="A55" s="756"/>
      <c r="B55" s="215" t="str">
        <f>база!B6</f>
        <v>Алиева Диана Арифовна</v>
      </c>
      <c r="C55" s="795"/>
      <c r="D55" s="795"/>
      <c r="E55" s="389"/>
      <c r="F55" s="390"/>
      <c r="G55" s="400"/>
      <c r="H55" s="392">
        <f t="shared" si="18"/>
        <v>0</v>
      </c>
      <c r="I55" s="393"/>
      <c r="J55" s="390"/>
      <c r="K55" s="434"/>
      <c r="L55" s="395">
        <f t="shared" si="19"/>
        <v>0</v>
      </c>
      <c r="M55" s="432"/>
      <c r="N55" s="434"/>
      <c r="O55" s="434"/>
      <c r="P55" s="434"/>
      <c r="Q55" s="399">
        <f>база!$L$6</f>
        <v>261.04640000000001</v>
      </c>
      <c r="R55" s="390">
        <v>1.2</v>
      </c>
      <c r="S55" s="400">
        <f>SUMIFS(Таблица14[часы],Таблица14[коэф],"1,2",Таблица14[р/р],"5/16",Таблица14[Ф. И. О.],B55)</f>
        <v>0</v>
      </c>
      <c r="T55" s="544">
        <f t="shared" si="20"/>
        <v>0</v>
      </c>
      <c r="U55" s="472">
        <f>база!$M$6</f>
        <v>279.0496</v>
      </c>
      <c r="V55" s="390">
        <v>1.2</v>
      </c>
      <c r="W55" s="412">
        <f>SUMIFS(Таблица14[часы],Таблица14[коэф],"1,2",Таблица14[р/р],"5/24",Таблица14[Ф. И. О.],B55)</f>
        <v>0</v>
      </c>
      <c r="X55" s="545">
        <f t="shared" si="21"/>
        <v>0</v>
      </c>
      <c r="Y55" s="764"/>
      <c r="Z55" s="766"/>
      <c r="AA55" s="756"/>
      <c r="AC55" s="752" t="str">
        <f>IF(SUMIFS(Таблица14[часы],Таблица14[Ф. И. О.],B55)-Y50=0,"",SUMIFS(Таблица14[часы],Таблица14[Ф. И. О.],B55)-Y50)</f>
        <v/>
      </c>
    </row>
    <row r="56" spans="1:29">
      <c r="A56" s="756"/>
      <c r="B56" s="215"/>
      <c r="C56" s="795"/>
      <c r="D56" s="795"/>
      <c r="E56" s="389"/>
      <c r="F56" s="390"/>
      <c r="G56" s="400"/>
      <c r="H56" s="392">
        <f t="shared" si="18"/>
        <v>0</v>
      </c>
      <c r="I56" s="393"/>
      <c r="J56" s="390"/>
      <c r="K56" s="434"/>
      <c r="L56" s="395">
        <f t="shared" si="19"/>
        <v>0</v>
      </c>
      <c r="M56" s="432"/>
      <c r="N56" s="434"/>
      <c r="O56" s="434"/>
      <c r="P56" s="434"/>
      <c r="Q56" s="399">
        <f>IF(D50&lt;=3,база!$L$4,
IF(D50=4,база!$L$5,
IF(D50=5,база!$L$6)))</f>
        <v>210.57480000000001</v>
      </c>
      <c r="R56" s="390">
        <v>1.3</v>
      </c>
      <c r="S56" s="400">
        <f>SUMIFS(Таблица14[часы],Таблица14[коэф],"1,3",Таблица14[р/р],"3/16",Таблица14[Ф. И. О.],B55)</f>
        <v>0</v>
      </c>
      <c r="T56" s="544">
        <f t="shared" si="20"/>
        <v>0</v>
      </c>
      <c r="U56" s="472">
        <f>IF(D50&lt;=3,база!$M$4,
IF(D50=4,база!$M$5,
IF(D50=5,база!$M$6)))</f>
        <v>225.09719999999999</v>
      </c>
      <c r="V56" s="390">
        <v>1.3</v>
      </c>
      <c r="W56" s="412">
        <f>SUMIFS(Таблица14[часы],Таблица14[коэф],"1,3",Таблица14[р/р],"3/24",Таблица14[Ф. И. О.],B55)</f>
        <v>0</v>
      </c>
      <c r="X56" s="545">
        <f t="shared" si="21"/>
        <v>0</v>
      </c>
      <c r="Y56" s="764"/>
      <c r="Z56" s="766"/>
      <c r="AA56" s="756"/>
    </row>
    <row r="57" spans="1:29">
      <c r="A57" s="756"/>
      <c r="B57" s="215"/>
      <c r="C57" s="795"/>
      <c r="D57" s="795"/>
      <c r="E57" s="389"/>
      <c r="F57" s="390"/>
      <c r="G57" s="400"/>
      <c r="H57" s="392">
        <f t="shared" si="18"/>
        <v>0</v>
      </c>
      <c r="I57" s="393"/>
      <c r="J57" s="390"/>
      <c r="K57" s="434"/>
      <c r="L57" s="395">
        <f t="shared" si="19"/>
        <v>0</v>
      </c>
      <c r="M57" s="432"/>
      <c r="N57" s="434"/>
      <c r="O57" s="434"/>
      <c r="P57" s="434"/>
      <c r="Q57" s="399">
        <f>база!$L$5</f>
        <v>231.45480000000001</v>
      </c>
      <c r="R57" s="390">
        <v>1.3</v>
      </c>
      <c r="S57" s="400">
        <f>SUMIFS(Таблица14[часы],Таблица14[коэф],"1,3",Таблица14[р/р],"4/16",Таблица14[Ф. И. О.],B55)</f>
        <v>0</v>
      </c>
      <c r="T57" s="544">
        <f t="shared" si="20"/>
        <v>0</v>
      </c>
      <c r="U57" s="472">
        <f>база!$M$5</f>
        <v>247.41720000000001</v>
      </c>
      <c r="V57" s="390">
        <v>1.3</v>
      </c>
      <c r="W57" s="412">
        <f>SUMIFS(Таблица14[часы],Таблица14[коэф],"1,3",Таблица14[р/р],"4/24",Таблица14[Ф. И. О.],B55)</f>
        <v>0</v>
      </c>
      <c r="X57" s="545">
        <f t="shared" si="21"/>
        <v>0</v>
      </c>
      <c r="Y57" s="764"/>
      <c r="Z57" s="766"/>
      <c r="AA57" s="756"/>
    </row>
    <row r="58" spans="1:29">
      <c r="A58" s="756"/>
      <c r="B58" s="215"/>
      <c r="C58" s="795"/>
      <c r="D58" s="795"/>
      <c r="E58" s="389"/>
      <c r="F58" s="390"/>
      <c r="G58" s="400"/>
      <c r="H58" s="392">
        <f t="shared" si="18"/>
        <v>0</v>
      </c>
      <c r="I58" s="393"/>
      <c r="J58" s="390"/>
      <c r="K58" s="434"/>
      <c r="L58" s="395">
        <f t="shared" si="19"/>
        <v>0</v>
      </c>
      <c r="M58" s="432"/>
      <c r="N58" s="434"/>
      <c r="O58" s="434"/>
      <c r="P58" s="434"/>
      <c r="Q58" s="399">
        <f>IF(D50&lt;=3,база!$L$4,
IF(D50=4,база!$L$5,
IF(D50=5,база!$L$6)))</f>
        <v>210.57480000000001</v>
      </c>
      <c r="R58" s="390">
        <v>1.4</v>
      </c>
      <c r="S58" s="400">
        <f>SUMIFS(Таблица14[часы],Таблица14[коэф],"1,4",Таблица14[р/р],"3/16",Таблица14[Ф. И. О.],B55)</f>
        <v>0</v>
      </c>
      <c r="T58" s="544">
        <f t="shared" si="20"/>
        <v>0</v>
      </c>
      <c r="U58" s="472">
        <f>IF(D50&lt;=3,база!$M$4,
IF(D50=4,база!$M$5,
IF(D50=5,база!$M$6)))</f>
        <v>225.09719999999999</v>
      </c>
      <c r="V58" s="390">
        <v>1.4</v>
      </c>
      <c r="W58" s="412">
        <f>SUMIFS(Таблица14[часы],Таблица14[коэф],"1,4",Таблица14[р/р],"3/24",Таблица14[Ф. И. О.],B55)</f>
        <v>0</v>
      </c>
      <c r="X58" s="545">
        <f t="shared" si="21"/>
        <v>0</v>
      </c>
      <c r="Y58" s="764"/>
      <c r="Z58" s="766"/>
      <c r="AA58" s="756"/>
    </row>
    <row r="59" spans="1:29">
      <c r="A59" s="756"/>
      <c r="B59" s="215"/>
      <c r="C59" s="795"/>
      <c r="D59" s="795"/>
      <c r="E59" s="389"/>
      <c r="F59" s="390"/>
      <c r="G59" s="400"/>
      <c r="H59" s="392">
        <f t="shared" si="18"/>
        <v>0</v>
      </c>
      <c r="I59" s="393"/>
      <c r="J59" s="390"/>
      <c r="K59" s="434"/>
      <c r="L59" s="395">
        <f t="shared" si="19"/>
        <v>0</v>
      </c>
      <c r="M59" s="432"/>
      <c r="N59" s="434"/>
      <c r="O59" s="434"/>
      <c r="P59" s="434"/>
      <c r="Q59" s="399">
        <f>база!$L$5</f>
        <v>231.45480000000001</v>
      </c>
      <c r="R59" s="390">
        <v>1.4</v>
      </c>
      <c r="S59" s="400">
        <f>SUMIFS(Таблица14[часы],Таблица14[коэф],"1,4",Таблица14[р/р],"4/16",Таблица14[Ф. И. О.],B55)</f>
        <v>0</v>
      </c>
      <c r="T59" s="544">
        <f t="shared" si="20"/>
        <v>0</v>
      </c>
      <c r="U59" s="472">
        <f>база!$M$5</f>
        <v>247.41720000000001</v>
      </c>
      <c r="V59" s="390">
        <v>1.4</v>
      </c>
      <c r="W59" s="412">
        <f>SUMIFS(Таблица14[часы],Таблица14[коэф],"1,4",Таблица14[р/р],"4/24",Таблица14[Ф. И. О.],B55)</f>
        <v>0</v>
      </c>
      <c r="X59" s="545">
        <f t="shared" si="21"/>
        <v>0</v>
      </c>
      <c r="Y59" s="764"/>
      <c r="Z59" s="766"/>
      <c r="AA59" s="756"/>
    </row>
    <row r="60" spans="1:29" ht="21" thickBot="1">
      <c r="A60" s="757"/>
      <c r="B60" s="202"/>
      <c r="C60" s="796"/>
      <c r="D60" s="796"/>
      <c r="E60" s="473"/>
      <c r="F60" s="464"/>
      <c r="G60" s="465"/>
      <c r="H60" s="468">
        <f t="shared" si="18"/>
        <v>0</v>
      </c>
      <c r="I60" s="463"/>
      <c r="J60" s="464"/>
      <c r="K60" s="457"/>
      <c r="L60" s="458">
        <f t="shared" si="19"/>
        <v>0</v>
      </c>
      <c r="M60" s="432"/>
      <c r="N60" s="434"/>
      <c r="O60" s="434"/>
      <c r="P60" s="434"/>
      <c r="Q60" s="467">
        <f>база!$L$6</f>
        <v>261.04640000000001</v>
      </c>
      <c r="R60" s="464">
        <v>1.4</v>
      </c>
      <c r="S60" s="465">
        <f>SUMIFS(Таблица14[часы],Таблица14[коэф],"1,4",Таблица14[р/р],"5/16",Таблица14[Ф. И. О.],B55)</f>
        <v>0</v>
      </c>
      <c r="T60" s="549">
        <f t="shared" si="20"/>
        <v>0</v>
      </c>
      <c r="U60" s="474">
        <f>база!$M$6</f>
        <v>279.0496</v>
      </c>
      <c r="V60" s="464">
        <v>1.4</v>
      </c>
      <c r="W60" s="470">
        <f>SUMIFS(Таблица14[часы],Таблица14[коэф],"1,4",Таблица14[р/р],"5/24",Таблица14[Ф. И. О.],B55)</f>
        <v>0</v>
      </c>
      <c r="X60" s="547">
        <f t="shared" si="21"/>
        <v>0</v>
      </c>
      <c r="Y60" s="765"/>
      <c r="Z60" s="767"/>
      <c r="AA60" s="757"/>
    </row>
    <row r="61" spans="1:29">
      <c r="A61" s="755">
        <v>6</v>
      </c>
      <c r="B61" s="215"/>
      <c r="C61" s="794">
        <f>INDEX(база!$E$2:$E$81, MATCH(B66,база!$B$2:$B$50,0))</f>
        <v>17290</v>
      </c>
      <c r="D61" s="794">
        <f>INDEX(база!$D$2:$D$89, MATCH(B66,база!$B$2:$B$50,0))</f>
        <v>3</v>
      </c>
      <c r="E61" s="377">
        <f>IF(D61&lt;=3,база!$I$4,
IF(D61=4,база!$I$5,
IF(D61=5,база!$I$6)))</f>
        <v>188.7912</v>
      </c>
      <c r="F61" s="378">
        <v>1</v>
      </c>
      <c r="G61" s="387">
        <f>SUMIFS(Таблица14[часы],Таблица14[коэф],"1",Таблица14[р/р],"2/4",Таблица14[Ф. И. О.],B66)</f>
        <v>0</v>
      </c>
      <c r="H61" s="380">
        <f>ROUND(E61*F61*G61*2,2)</f>
        <v>0</v>
      </c>
      <c r="I61" s="451">
        <f>IF(D61&lt;=3,база!$J$4,
IF(D61=4,база!$J$5,
IF(D61=5,база!$J$6)))</f>
        <v>196.05240000000001</v>
      </c>
      <c r="J61" s="417">
        <v>1</v>
      </c>
      <c r="K61" s="453">
        <f>SUMIFS(Таблица14[часы],Таблица14[коэф],"1",Таблица14[р/р],"2/8",Таблица14[Ф. И. О.],B66)</f>
        <v>0</v>
      </c>
      <c r="L61" s="453">
        <f>ROUND(I61*J61*K61*2,2)</f>
        <v>0</v>
      </c>
      <c r="M61" s="434"/>
      <c r="N61" s="434">
        <v>1</v>
      </c>
      <c r="O61" s="434">
        <f>SUMIFS(Data_Tech!$AM$3:$AM$67,Data_Tech!$E$3:$E$67,"1",Data_Tech!$G$3:$G$67,"3/12",Data_Tech!$F$3:$F$67,B66)</f>
        <v>0</v>
      </c>
      <c r="P61" s="406">
        <f>ROUND(M61*N61*O61,2)</f>
        <v>0</v>
      </c>
      <c r="Q61" s="377">
        <f>IF(D61&lt;=3,база!$L$4,
IF(D61=4,база!$L$5,
IF(D61=5,база!$L$6)))</f>
        <v>210.57480000000001</v>
      </c>
      <c r="R61" s="378">
        <v>1</v>
      </c>
      <c r="S61" s="387">
        <f>SUMIFS(Таблица14[часы],Таблица14[коэф],"1",Таблица14[р/р],"3/16",Таблица14[Ф. И. О.],B66)</f>
        <v>0</v>
      </c>
      <c r="T61" s="380">
        <f>ROUND(Q61*R61*S61*2,2)</f>
        <v>0</v>
      </c>
      <c r="U61" s="454">
        <f>IF(D61&lt;=3,база!$M$4,
IF(D61=4,база!$M$5,
IF(D61=5,база!$M$6)))</f>
        <v>225.09719999999999</v>
      </c>
      <c r="V61" s="417">
        <v>1</v>
      </c>
      <c r="W61" s="455">
        <f>SUMIFS(Таблица14[часы],Таблица14[коэф],"1",Таблица14[р/р],"3/24",Таблица14[Ф. И. О.],B66)</f>
        <v>0</v>
      </c>
      <c r="X61" s="543">
        <f>ROUND(U61*V61*W61*2,2)</f>
        <v>0</v>
      </c>
      <c r="Y61" s="764">
        <f>SUM(G61:G71,K61:K71,O61:O71,S61:S71,W61:W71)</f>
        <v>0</v>
      </c>
      <c r="Z61" s="766">
        <f>IFERROR(SUM(H61:H71,L61:L71,T61:T71,X61:X71),"")</f>
        <v>0</v>
      </c>
      <c r="AA61" s="756"/>
    </row>
    <row r="62" spans="1:29">
      <c r="A62" s="756"/>
      <c r="B62" s="215"/>
      <c r="C62" s="795"/>
      <c r="D62" s="795"/>
      <c r="E62" s="389">
        <f>IF(D61&lt;=3,база!$I$4,
IF(D61=4,база!$I$5,
IF(D61=5,база!$I$6)))</f>
        <v>188.7912</v>
      </c>
      <c r="F62" s="390">
        <v>1</v>
      </c>
      <c r="G62" s="400">
        <f>SUMIFS(Таблица14[часы],Таблица14[коэф],"1",Таблица14[р/р],"3/4",Таблица14[Ф. И. О.],B66)</f>
        <v>0</v>
      </c>
      <c r="H62" s="392">
        <f t="shared" ref="H62:H71" si="22">ROUND(E62*F62*G62*2,2)</f>
        <v>0</v>
      </c>
      <c r="I62" s="393">
        <f>IF(D61&lt;=3,база!$J$4,
IF(D61=4,база!$J$5,
IF(D61=5,база!$J$6)))</f>
        <v>196.05240000000001</v>
      </c>
      <c r="J62" s="390">
        <v>1</v>
      </c>
      <c r="K62" s="434">
        <f>SUMIFS(Таблица14[часы],Таблица14[коэф],"1",Таблица14[р/р],"3/8",Таблица14[Ф. И. О.],B66)</f>
        <v>0</v>
      </c>
      <c r="L62" s="434">
        <f t="shared" ref="L62:L71" si="23">ROUND(I62*J62*K62*2,2)</f>
        <v>0</v>
      </c>
      <c r="M62" s="434"/>
      <c r="N62" s="434">
        <v>1</v>
      </c>
      <c r="O62" s="434">
        <f>SUMIFS(Data_Tech!$AM$3:$AM$67,Data_Tech!$E$3:$E$67,"1",Data_Tech!$G$3:$G$67,"4/12",Data_Tech!$F$3:$F$67,B66)</f>
        <v>0</v>
      </c>
      <c r="P62" s="406">
        <f>ROUND(M62*O62,2)</f>
        <v>0</v>
      </c>
      <c r="Q62" s="389">
        <f>база!$L$5</f>
        <v>231.45480000000001</v>
      </c>
      <c r="R62" s="390">
        <v>1</v>
      </c>
      <c r="S62" s="400">
        <f>SUMIFS(Таблица14[часы],Таблица14[коэф],"1",Таблица14[р/р],"4/16",Таблица14[Ф. И. О.],B66)</f>
        <v>0</v>
      </c>
      <c r="T62" s="392">
        <f t="shared" ref="T62:T71" si="24">ROUND(Q62*R62*S62*2,2)</f>
        <v>0</v>
      </c>
      <c r="U62" s="410">
        <f>база!$M$5</f>
        <v>247.41720000000001</v>
      </c>
      <c r="V62" s="390">
        <v>1</v>
      </c>
      <c r="W62" s="412">
        <f>SUMIFS(Таблица14[часы],Таблица14[коэф],"1",Таблица14[р/р],"4/24",Таблица14[Ф. И. О.],B66)</f>
        <v>0</v>
      </c>
      <c r="X62" s="545">
        <f t="shared" ref="X62:X71" si="25">ROUND(U62*V62*W62*2,2)</f>
        <v>0</v>
      </c>
      <c r="Y62" s="764"/>
      <c r="Z62" s="766"/>
      <c r="AA62" s="756"/>
    </row>
    <row r="63" spans="1:29">
      <c r="A63" s="756"/>
      <c r="B63" s="215"/>
      <c r="C63" s="795"/>
      <c r="D63" s="795"/>
      <c r="E63" s="389"/>
      <c r="F63" s="390"/>
      <c r="G63" s="400"/>
      <c r="H63" s="392">
        <f t="shared" si="22"/>
        <v>0</v>
      </c>
      <c r="I63" s="393"/>
      <c r="J63" s="390"/>
      <c r="K63" s="434"/>
      <c r="L63" s="434">
        <f t="shared" si="23"/>
        <v>0</v>
      </c>
      <c r="M63" s="434"/>
      <c r="N63" s="434"/>
      <c r="O63" s="434"/>
      <c r="P63" s="406"/>
      <c r="Q63" s="389">
        <f>база!$L$6</f>
        <v>261.04640000000001</v>
      </c>
      <c r="R63" s="390">
        <v>1</v>
      </c>
      <c r="S63" s="400">
        <f>SUMIFS(Таблица14[часы],Таблица14[коэф],"1",Таблица14[р/р],"5/16",Таблица14[Ф. И. О.],B66)</f>
        <v>0</v>
      </c>
      <c r="T63" s="392">
        <f t="shared" si="24"/>
        <v>0</v>
      </c>
      <c r="U63" s="410">
        <f>база!$M$6</f>
        <v>279.0496</v>
      </c>
      <c r="V63" s="390">
        <v>1</v>
      </c>
      <c r="W63" s="412">
        <f>SUMIFS(Таблица14[часы],Таблица14[коэф],"1",Таблица14[р/р],"5/24",Таблица14[Ф. И. О.],B66)</f>
        <v>0</v>
      </c>
      <c r="X63" s="545">
        <f t="shared" si="25"/>
        <v>0</v>
      </c>
      <c r="Y63" s="764"/>
      <c r="Z63" s="766"/>
      <c r="AA63" s="756"/>
    </row>
    <row r="64" spans="1:29">
      <c r="A64" s="756"/>
      <c r="B64" s="215"/>
      <c r="C64" s="795"/>
      <c r="D64" s="795"/>
      <c r="E64" s="389"/>
      <c r="F64" s="390"/>
      <c r="G64" s="400"/>
      <c r="H64" s="392">
        <f t="shared" si="22"/>
        <v>0</v>
      </c>
      <c r="I64" s="393">
        <f>база!$J$5</f>
        <v>215.4924</v>
      </c>
      <c r="J64" s="390">
        <v>1.5</v>
      </c>
      <c r="K64" s="434">
        <f>SUMIFS(Таблица14[часы],Таблица14[коэф],"1,5",Таблица14[р/р],"4/8",Таблица14[Ф. И. О.],B66)</f>
        <v>0</v>
      </c>
      <c r="L64" s="434">
        <f t="shared" si="23"/>
        <v>0</v>
      </c>
      <c r="M64" s="434"/>
      <c r="N64" s="434"/>
      <c r="O64" s="434"/>
      <c r="P64" s="406"/>
      <c r="Q64" s="389">
        <f>IF(D61&lt;=3,база!$L$4,
IF(D61=4,база!$L$5,
IF(D61=5,база!$L$6)))</f>
        <v>210.57480000000001</v>
      </c>
      <c r="R64" s="390">
        <v>1.2</v>
      </c>
      <c r="S64" s="400">
        <f>SUMIFS(Таблица14[часы],Таблица14[коэф],"1,2",Таблица14[р/р],"3/16",Таблица14[Ф. И. О.],B66)</f>
        <v>0</v>
      </c>
      <c r="T64" s="392">
        <f t="shared" si="24"/>
        <v>0</v>
      </c>
      <c r="U64" s="410">
        <f>IF(D61&lt;=3,база!$M$4,
IF(D61=4,база!$M$5,
IF(D61=5,база!$M$6)))</f>
        <v>225.09719999999999</v>
      </c>
      <c r="V64" s="390">
        <v>1.2</v>
      </c>
      <c r="W64" s="412">
        <f>SUMIFS(Таблица14[часы],Таблица14[коэф],"1,2",Таблица14[р/р],"3/24",Таблица14[Ф. И. О.],B66)</f>
        <v>0</v>
      </c>
      <c r="X64" s="545">
        <f t="shared" si="25"/>
        <v>0</v>
      </c>
      <c r="Y64" s="764"/>
      <c r="Z64" s="766"/>
      <c r="AA64" s="756"/>
    </row>
    <row r="65" spans="1:29">
      <c r="A65" s="756"/>
      <c r="B65" s="215"/>
      <c r="C65" s="795"/>
      <c r="D65" s="795"/>
      <c r="E65" s="389"/>
      <c r="F65" s="390"/>
      <c r="G65" s="400"/>
      <c r="H65" s="392">
        <f t="shared" si="22"/>
        <v>0</v>
      </c>
      <c r="I65" s="393">
        <f>база!$J$6</f>
        <v>243.04319999999998</v>
      </c>
      <c r="J65" s="390">
        <v>1.5</v>
      </c>
      <c r="K65" s="434">
        <f>SUMIFS(Таблица14[часы],Таблица14[коэф],"1,5",Таблица14[р/р],"5/8",Таблица14[Ф. И. О.],B66)</f>
        <v>0</v>
      </c>
      <c r="L65" s="434">
        <f t="shared" si="23"/>
        <v>0</v>
      </c>
      <c r="M65" s="434"/>
      <c r="N65" s="434"/>
      <c r="O65" s="434"/>
      <c r="P65" s="406"/>
      <c r="Q65" s="389">
        <f>база!$L$5</f>
        <v>231.45480000000001</v>
      </c>
      <c r="R65" s="390">
        <v>1.2</v>
      </c>
      <c r="S65" s="400">
        <f>SUMIFS(Таблица14[часы],Таблица14[коэф],"1,2",Таблица14[р/р],"4/16",Таблица14[Ф. И. О.],B66)</f>
        <v>0</v>
      </c>
      <c r="T65" s="392">
        <f t="shared" si="24"/>
        <v>0</v>
      </c>
      <c r="U65" s="410">
        <f>база!$M$5</f>
        <v>247.41720000000001</v>
      </c>
      <c r="V65" s="390">
        <v>1.2</v>
      </c>
      <c r="W65" s="412">
        <f>SUMIFS(Таблица14[часы],Таблица14[коэф],"1,2",Таблица14[р/р],"4/24",Таблица14[Ф. И. О.],B66)</f>
        <v>0</v>
      </c>
      <c r="X65" s="545">
        <f t="shared" si="25"/>
        <v>0</v>
      </c>
      <c r="Y65" s="764"/>
      <c r="Z65" s="766"/>
      <c r="AA65" s="756"/>
    </row>
    <row r="66" spans="1:29">
      <c r="A66" s="756"/>
      <c r="B66" s="215" t="str">
        <f>база!B7</f>
        <v>Аполосова Ольга Николаевна</v>
      </c>
      <c r="C66" s="795"/>
      <c r="D66" s="795"/>
      <c r="E66" s="389"/>
      <c r="F66" s="390"/>
      <c r="G66" s="400"/>
      <c r="H66" s="392">
        <f t="shared" si="22"/>
        <v>0</v>
      </c>
      <c r="I66" s="393"/>
      <c r="J66" s="390"/>
      <c r="K66" s="434"/>
      <c r="L66" s="434">
        <f t="shared" si="23"/>
        <v>0</v>
      </c>
      <c r="M66" s="434"/>
      <c r="N66" s="434"/>
      <c r="O66" s="434"/>
      <c r="P66" s="406"/>
      <c r="Q66" s="389">
        <f>база!$L$6</f>
        <v>261.04640000000001</v>
      </c>
      <c r="R66" s="390">
        <v>1.2</v>
      </c>
      <c r="S66" s="400">
        <f>SUMIFS(Таблица14[часы],Таблица14[коэф],"1,2",Таблица14[р/р],"5/16",Таблица14[Ф. И. О.],B66)</f>
        <v>0</v>
      </c>
      <c r="T66" s="392">
        <f t="shared" si="24"/>
        <v>0</v>
      </c>
      <c r="U66" s="410">
        <f>база!$M$6</f>
        <v>279.0496</v>
      </c>
      <c r="V66" s="390">
        <v>1.2</v>
      </c>
      <c r="W66" s="412">
        <f>SUMIFS(Таблица14[часы],Таблица14[коэф],"1,2",Таблица14[р/р],"5/24",Таблица14[Ф. И. О.],B66)</f>
        <v>0</v>
      </c>
      <c r="X66" s="545">
        <f t="shared" si="25"/>
        <v>0</v>
      </c>
      <c r="Y66" s="764"/>
      <c r="Z66" s="766"/>
      <c r="AA66" s="756"/>
      <c r="AC66" s="752" t="str">
        <f>IF(SUMIFS(Таблица14[Столбец2],Таблица14[Ф. И. О.],B66)-Z61=0,"",SUMIFS(Таблица14[Столбец2],Таблица14[Ф. И. О.],B66)-Z61)</f>
        <v/>
      </c>
    </row>
    <row r="67" spans="1:29">
      <c r="A67" s="756"/>
      <c r="B67" s="215"/>
      <c r="C67" s="795"/>
      <c r="D67" s="795"/>
      <c r="E67" s="389"/>
      <c r="F67" s="390"/>
      <c r="G67" s="400"/>
      <c r="H67" s="392">
        <f t="shared" si="22"/>
        <v>0</v>
      </c>
      <c r="I67" s="393"/>
      <c r="J67" s="390"/>
      <c r="K67" s="434"/>
      <c r="L67" s="434">
        <f t="shared" si="23"/>
        <v>0</v>
      </c>
      <c r="M67" s="434"/>
      <c r="N67" s="434"/>
      <c r="O67" s="434"/>
      <c r="P67" s="406"/>
      <c r="Q67" s="389">
        <f>IF(D61&lt;=3,база!$L$4,
IF(D61=4,база!$L$5,
IF(D61=5,база!$L$6)))</f>
        <v>210.57480000000001</v>
      </c>
      <c r="R67" s="390">
        <v>1.3</v>
      </c>
      <c r="S67" s="400">
        <f>SUMIFS(Таблица14[часы],Таблица14[коэф],"1,3",Таблица14[р/р],"3/16",Таблица14[Ф. И. О.],B66)</f>
        <v>0</v>
      </c>
      <c r="T67" s="392">
        <f t="shared" si="24"/>
        <v>0</v>
      </c>
      <c r="U67" s="410">
        <f>IF(D61&lt;=3,база!$M$4,
IF(D61=4,база!$M$5,
IF(D61=5,база!$M$6)))</f>
        <v>225.09719999999999</v>
      </c>
      <c r="V67" s="390">
        <v>1.3</v>
      </c>
      <c r="W67" s="412">
        <f>SUMIFS(Таблица14[часы],Таблица14[коэф],"1,3",Таблица14[р/р],"3/24",Таблица14[Ф. И. О.],B66)</f>
        <v>0</v>
      </c>
      <c r="X67" s="545">
        <f t="shared" si="25"/>
        <v>0</v>
      </c>
      <c r="Y67" s="764"/>
      <c r="Z67" s="766"/>
      <c r="AA67" s="756"/>
      <c r="AC67" s="752" t="str">
        <f>IF(SUMIFS(Таблица14[часы],Таблица14[Ф. И. О.],B66)-Y61=0,"",SUMIFS(Таблица14[часы],Таблица14[Ф. И. О.],B66)-Y61)</f>
        <v/>
      </c>
    </row>
    <row r="68" spans="1:29">
      <c r="A68" s="756"/>
      <c r="B68" s="215"/>
      <c r="C68" s="795"/>
      <c r="D68" s="795"/>
      <c r="E68" s="389"/>
      <c r="F68" s="390"/>
      <c r="G68" s="400"/>
      <c r="H68" s="392">
        <f t="shared" si="22"/>
        <v>0</v>
      </c>
      <c r="I68" s="393"/>
      <c r="J68" s="390"/>
      <c r="K68" s="434"/>
      <c r="L68" s="434">
        <f t="shared" si="23"/>
        <v>0</v>
      </c>
      <c r="M68" s="434"/>
      <c r="N68" s="434"/>
      <c r="O68" s="434"/>
      <c r="P68" s="406"/>
      <c r="Q68" s="389">
        <f>база!$L$5</f>
        <v>231.45480000000001</v>
      </c>
      <c r="R68" s="390">
        <v>1.3</v>
      </c>
      <c r="S68" s="400">
        <f>SUMIFS(Таблица14[часы],Таблица14[коэф],"1,3",Таблица14[р/р],"4/16",Таблица14[Ф. И. О.],B66)</f>
        <v>0</v>
      </c>
      <c r="T68" s="392">
        <f t="shared" si="24"/>
        <v>0</v>
      </c>
      <c r="U68" s="410">
        <f>база!$M$5</f>
        <v>247.41720000000001</v>
      </c>
      <c r="V68" s="390">
        <v>1.3</v>
      </c>
      <c r="W68" s="412">
        <f>SUMIFS(Таблица14[часы],Таблица14[коэф],"1,3",Таблица14[р/р],"4/24",Таблица14[Ф. И. О.],B66)</f>
        <v>0</v>
      </c>
      <c r="X68" s="545">
        <f t="shared" si="25"/>
        <v>0</v>
      </c>
      <c r="Y68" s="764"/>
      <c r="Z68" s="766"/>
      <c r="AA68" s="756"/>
    </row>
    <row r="69" spans="1:29">
      <c r="A69" s="756"/>
      <c r="B69" s="215"/>
      <c r="C69" s="795"/>
      <c r="D69" s="795"/>
      <c r="E69" s="389"/>
      <c r="F69" s="390"/>
      <c r="G69" s="400"/>
      <c r="H69" s="392">
        <f t="shared" si="22"/>
        <v>0</v>
      </c>
      <c r="I69" s="393"/>
      <c r="J69" s="390"/>
      <c r="K69" s="434"/>
      <c r="L69" s="434">
        <f t="shared" si="23"/>
        <v>0</v>
      </c>
      <c r="M69" s="434"/>
      <c r="N69" s="434"/>
      <c r="O69" s="434"/>
      <c r="P69" s="406"/>
      <c r="Q69" s="389">
        <f>IF(D61&lt;=3,база!$L$4,
IF(D61=4,база!$L$5,
IF(D61=5,база!$L$6)))</f>
        <v>210.57480000000001</v>
      </c>
      <c r="R69" s="390">
        <v>1.4</v>
      </c>
      <c r="S69" s="400">
        <f>SUMIFS(Таблица14[часы],Таблица14[коэф],"1,4",Таблица14[р/р],"3/16",Таблица14[Ф. И. О.],B66)</f>
        <v>0</v>
      </c>
      <c r="T69" s="392">
        <f t="shared" si="24"/>
        <v>0</v>
      </c>
      <c r="U69" s="410">
        <f>IF(D61&lt;=3,база!$M$4,
IF(D61=4,база!$M$5,
IF(D61=5,база!$M$6)))</f>
        <v>225.09719999999999</v>
      </c>
      <c r="V69" s="390">
        <v>1.4</v>
      </c>
      <c r="W69" s="412">
        <f>SUMIFS(Таблица14[часы],Таблица14[коэф],"1,4",Таблица14[р/р],"3/24",Таблица14[Ф. И. О.],B66)</f>
        <v>0</v>
      </c>
      <c r="X69" s="545">
        <f t="shared" si="25"/>
        <v>0</v>
      </c>
      <c r="Y69" s="764"/>
      <c r="Z69" s="766"/>
      <c r="AA69" s="756"/>
    </row>
    <row r="70" spans="1:29">
      <c r="A70" s="756"/>
      <c r="B70" s="215"/>
      <c r="C70" s="795"/>
      <c r="D70" s="795"/>
      <c r="E70" s="389"/>
      <c r="F70" s="390"/>
      <c r="G70" s="400"/>
      <c r="H70" s="392">
        <f t="shared" si="22"/>
        <v>0</v>
      </c>
      <c r="I70" s="393"/>
      <c r="J70" s="390"/>
      <c r="K70" s="434"/>
      <c r="L70" s="434">
        <f t="shared" si="23"/>
        <v>0</v>
      </c>
      <c r="M70" s="434"/>
      <c r="N70" s="434"/>
      <c r="O70" s="434"/>
      <c r="P70" s="406"/>
      <c r="Q70" s="389">
        <f>база!$L$5</f>
        <v>231.45480000000001</v>
      </c>
      <c r="R70" s="390">
        <v>1.4</v>
      </c>
      <c r="S70" s="400">
        <f>SUMIFS(Таблица14[часы],Таблица14[коэф],"1,4",Таблица14[р/р],"4/16",Таблица14[Ф. И. О.],B66)</f>
        <v>0</v>
      </c>
      <c r="T70" s="392">
        <f t="shared" si="24"/>
        <v>0</v>
      </c>
      <c r="U70" s="410">
        <f>база!$M$5</f>
        <v>247.41720000000001</v>
      </c>
      <c r="V70" s="390">
        <v>1.4</v>
      </c>
      <c r="W70" s="412">
        <f>SUMIFS(Таблица14[часы],Таблица14[коэф],"1,4",Таблица14[р/р],"4/24",Таблица14[Ф. И. О.],B66)</f>
        <v>0</v>
      </c>
      <c r="X70" s="545">
        <f t="shared" si="25"/>
        <v>0</v>
      </c>
      <c r="Y70" s="764"/>
      <c r="Z70" s="766"/>
      <c r="AA70" s="756"/>
    </row>
    <row r="71" spans="1:29" ht="21" thickBot="1">
      <c r="A71" s="757"/>
      <c r="B71" s="202"/>
      <c r="C71" s="796"/>
      <c r="D71" s="796"/>
      <c r="E71" s="473"/>
      <c r="F71" s="464"/>
      <c r="G71" s="465"/>
      <c r="H71" s="468">
        <f t="shared" si="22"/>
        <v>0</v>
      </c>
      <c r="I71" s="463"/>
      <c r="J71" s="464"/>
      <c r="K71" s="457"/>
      <c r="L71" s="457">
        <f t="shared" si="23"/>
        <v>0</v>
      </c>
      <c r="M71" s="457"/>
      <c r="N71" s="457"/>
      <c r="O71" s="457"/>
      <c r="P71" s="476"/>
      <c r="Q71" s="473">
        <f>база!$L$6</f>
        <v>261.04640000000001</v>
      </c>
      <c r="R71" s="464">
        <v>1.4</v>
      </c>
      <c r="S71" s="465">
        <f>SUMIFS(Таблица14[часы],Таблица14[коэф],"1,4",Таблица14[р/р],"5/16",Таблица14[Ф. И. О.],B66)</f>
        <v>0</v>
      </c>
      <c r="T71" s="468">
        <f t="shared" si="24"/>
        <v>0</v>
      </c>
      <c r="U71" s="469">
        <f>база!$M$6</f>
        <v>279.0496</v>
      </c>
      <c r="V71" s="464">
        <v>1.4</v>
      </c>
      <c r="W71" s="470">
        <f>SUMIFS(Таблица14[часы],Таблица14[коэф],"1,4",Таблица14[р/р],"5/24",Таблица14[Ф. И. О.],B66)</f>
        <v>0</v>
      </c>
      <c r="X71" s="547">
        <f t="shared" si="25"/>
        <v>0</v>
      </c>
      <c r="Y71" s="765"/>
      <c r="Z71" s="767"/>
      <c r="AA71" s="757"/>
    </row>
    <row r="72" spans="1:29">
      <c r="A72" s="755">
        <v>7</v>
      </c>
      <c r="B72" s="215"/>
      <c r="C72" s="794">
        <f>INDEX(база!$E$2:$E$81, MATCH(B77,база!$B$2:$B$50,0))</f>
        <v>17296</v>
      </c>
      <c r="D72" s="794">
        <f>INDEX(база!$D$2:$D$89, MATCH(B77,база!$B$2:$B$50,0))</f>
        <v>3</v>
      </c>
      <c r="E72" s="377">
        <f>IF(D72&lt;=3,база!$I$4,
IF(D72=4,база!$I$5,
IF(D72=5,база!$I$6)))</f>
        <v>188.7912</v>
      </c>
      <c r="F72" s="378">
        <v>1</v>
      </c>
      <c r="G72" s="387">
        <f>SUMIFS(Таблица14[часы],Таблица14[коэф],"1",Таблица14[р/р],"2/4",Таблица14[Ф. И. О.],B77)</f>
        <v>0</v>
      </c>
      <c r="H72" s="548">
        <f>ROUND(E72*F72*G72*2,2)</f>
        <v>0</v>
      </c>
      <c r="I72" s="377">
        <f>IF(D72&lt;=3,база!$J$4,
IF(D72=4,база!$J$5,
IF(D72=5,база!$J$6)))</f>
        <v>196.05240000000001</v>
      </c>
      <c r="J72" s="378">
        <v>1</v>
      </c>
      <c r="K72" s="428">
        <f>SUMIFS(Таблица14[часы],Таблица14[коэф],"1",Таблица14[р/р],"2/8",Таблица14[Ф. И. О.],B77)</f>
        <v>0</v>
      </c>
      <c r="L72" s="383">
        <f>ROUND(I72*J72*K72*2,2)</f>
        <v>0</v>
      </c>
      <c r="M72" s="426"/>
      <c r="N72" s="428">
        <v>1</v>
      </c>
      <c r="O72" s="428">
        <f>SUMIFS(Data_Tech!$AM$3:$AM$67,Data_Tech!$E$3:$E$67,"1",Data_Tech!$G$3:$G$67,"3/12",Data_Tech!$F$3:$F$67,B77)</f>
        <v>0</v>
      </c>
      <c r="P72" s="383">
        <f>ROUND(M72*N72*O72,2)</f>
        <v>0</v>
      </c>
      <c r="Q72" s="381">
        <f>IF(D72&lt;=3,база!$L$4,
IF(D72=4,база!$L$5,
IF(D72=5,база!$L$6)))</f>
        <v>210.57480000000001</v>
      </c>
      <c r="R72" s="378">
        <v>1</v>
      </c>
      <c r="S72" s="387">
        <f>SUMIFS(Таблица14[часы],Таблица14[коэф],"1",Таблица14[р/р],"3/16",Таблица14[Ф. И. О.],B77)</f>
        <v>0</v>
      </c>
      <c r="T72" s="380">
        <f>ROUND(Q72*R72*S72*2,2)</f>
        <v>0</v>
      </c>
      <c r="U72" s="462">
        <f>IF(D72&lt;=3,база!$M$4,
IF(D72=4,база!$M$5,
IF(D72=5,база!$M$6)))</f>
        <v>225.09719999999999</v>
      </c>
      <c r="V72" s="378">
        <v>1</v>
      </c>
      <c r="W72" s="430">
        <f>SUMIFS(Таблица14[часы],Таблица14[коэф],"1",Таблица14[р/р],"3/24",Таблица14[Ф. И. О.],B77)</f>
        <v>0</v>
      </c>
      <c r="X72" s="543">
        <f>ROUND(U72*V72*W72*2,2)</f>
        <v>0</v>
      </c>
      <c r="Y72" s="764">
        <f>SUM(G72:G82,K72:K82,O72:O82,S72:S82,W72:W82)</f>
        <v>0</v>
      </c>
      <c r="Z72" s="766">
        <f>IFERROR(SUM(H72:H82,L72:L82,T72:T82,X72:X82),"")</f>
        <v>0</v>
      </c>
      <c r="AA72" s="756"/>
    </row>
    <row r="73" spans="1:29">
      <c r="A73" s="756"/>
      <c r="B73" s="215"/>
      <c r="C73" s="795"/>
      <c r="D73" s="795"/>
      <c r="E73" s="389">
        <f>IF(D72&lt;=3,база!$I$4,
IF(D72=4,база!$I$5,
IF(D72=5,база!$I$6)))</f>
        <v>188.7912</v>
      </c>
      <c r="F73" s="390">
        <v>1</v>
      </c>
      <c r="G73" s="400">
        <f>SUMIFS(Таблица14[часы],Таблица14[коэф],"1",Таблица14[р/р],"3/4",Таблица14[Ф. И. О.],B77)</f>
        <v>0</v>
      </c>
      <c r="H73" s="544">
        <f t="shared" ref="H73:H82" si="26">ROUND(E73*F73*G73*2,2)</f>
        <v>0</v>
      </c>
      <c r="I73" s="389">
        <f>IF(D72&lt;=3,база!$J$4,
IF(D72=4,база!$J$5,
IF(D72=5,база!$J$6)))</f>
        <v>196.05240000000001</v>
      </c>
      <c r="J73" s="390">
        <v>1</v>
      </c>
      <c r="K73" s="434">
        <f>SUMIFS(Таблица14[часы],Таблица14[коэф],"1",Таблица14[р/р],"3/8",Таблица14[Ф. И. О.],B77)</f>
        <v>0</v>
      </c>
      <c r="L73" s="395">
        <f t="shared" ref="L73:L82" si="27">ROUND(I73*J73*K73*2,2)</f>
        <v>0</v>
      </c>
      <c r="M73" s="432"/>
      <c r="N73" s="434">
        <v>1</v>
      </c>
      <c r="O73" s="434">
        <f>SUMIFS(Data_Tech!$AM$3:$AM$67,Data_Tech!$E$3:$E$67,"1",Data_Tech!$G$3:$G$67,"4/12",Data_Tech!$F$3:$F$67,B77)</f>
        <v>0</v>
      </c>
      <c r="P73" s="395">
        <f>ROUND(M73*O73,2)</f>
        <v>0</v>
      </c>
      <c r="Q73" s="393">
        <f>база!$L$5</f>
        <v>231.45480000000001</v>
      </c>
      <c r="R73" s="390">
        <v>1</v>
      </c>
      <c r="S73" s="400">
        <f>SUMIFS(Таблица14[часы],Таблица14[коэф],"1",Таблица14[р/р],"4/16",Таблица14[Ф. И. О.],B77)</f>
        <v>0</v>
      </c>
      <c r="T73" s="392">
        <f t="shared" ref="T73:T82" si="28">ROUND(Q73*R73*S73*2,2)</f>
        <v>0</v>
      </c>
      <c r="U73" s="410">
        <f>база!$M$5</f>
        <v>247.41720000000001</v>
      </c>
      <c r="V73" s="390">
        <v>1</v>
      </c>
      <c r="W73" s="412">
        <f>SUMIFS(Таблица14[часы],Таблица14[коэф],"1",Таблица14[р/р],"4/24",Таблица14[Ф. И. О.],B77)</f>
        <v>0</v>
      </c>
      <c r="X73" s="545">
        <f t="shared" ref="X73:X82" si="29">ROUND(U73*V73*W73*2,2)</f>
        <v>0</v>
      </c>
      <c r="Y73" s="764"/>
      <c r="Z73" s="766"/>
      <c r="AA73" s="756"/>
    </row>
    <row r="74" spans="1:29">
      <c r="A74" s="756"/>
      <c r="B74" s="215"/>
      <c r="C74" s="795"/>
      <c r="D74" s="795"/>
      <c r="E74" s="389"/>
      <c r="F74" s="390"/>
      <c r="G74" s="400"/>
      <c r="H74" s="544">
        <f t="shared" si="26"/>
        <v>0</v>
      </c>
      <c r="I74" s="389"/>
      <c r="J74" s="390"/>
      <c r="K74" s="434"/>
      <c r="L74" s="395">
        <f t="shared" si="27"/>
        <v>0</v>
      </c>
      <c r="M74" s="432"/>
      <c r="N74" s="434"/>
      <c r="O74" s="434"/>
      <c r="P74" s="395"/>
      <c r="Q74" s="393">
        <f>база!$L$6</f>
        <v>261.04640000000001</v>
      </c>
      <c r="R74" s="390">
        <v>1</v>
      </c>
      <c r="S74" s="400">
        <f>SUMIFS(Таблица14[часы],Таблица14[коэф],"1",Таблица14[р/р],"5/16",Таблица14[Ф. И. О.],B77)</f>
        <v>0</v>
      </c>
      <c r="T74" s="392">
        <f t="shared" si="28"/>
        <v>0</v>
      </c>
      <c r="U74" s="410">
        <f>база!$M$6</f>
        <v>279.0496</v>
      </c>
      <c r="V74" s="390">
        <v>1</v>
      </c>
      <c r="W74" s="412">
        <f>SUMIFS(Таблица14[часы],Таблица14[коэф],"1",Таблица14[р/р],"5/24",Таблица14[Ф. И. О.],B77)</f>
        <v>0</v>
      </c>
      <c r="X74" s="545">
        <f t="shared" si="29"/>
        <v>0</v>
      </c>
      <c r="Y74" s="764"/>
      <c r="Z74" s="766"/>
      <c r="AA74" s="756"/>
    </row>
    <row r="75" spans="1:29">
      <c r="A75" s="756"/>
      <c r="B75" s="215"/>
      <c r="C75" s="795"/>
      <c r="D75" s="795"/>
      <c r="E75" s="389"/>
      <c r="F75" s="390"/>
      <c r="G75" s="400"/>
      <c r="H75" s="544">
        <f t="shared" si="26"/>
        <v>0</v>
      </c>
      <c r="I75" s="389">
        <f>база!$J$5</f>
        <v>215.4924</v>
      </c>
      <c r="J75" s="390">
        <v>1.5</v>
      </c>
      <c r="K75" s="434">
        <f>SUMIFS(Таблица14[часы],Таблица14[коэф],"1,5",Таблица14[р/р],"4/8",Таблица14[Ф. И. О.],B77)</f>
        <v>0</v>
      </c>
      <c r="L75" s="395">
        <f t="shared" si="27"/>
        <v>0</v>
      </c>
      <c r="M75" s="432"/>
      <c r="N75" s="434"/>
      <c r="O75" s="434"/>
      <c r="P75" s="395"/>
      <c r="Q75" s="393">
        <f>IF(D72&lt;=3,база!$L$4,
IF(D72=4,база!$L$5,
IF(D72=5,база!$L$6)))</f>
        <v>210.57480000000001</v>
      </c>
      <c r="R75" s="390">
        <v>1.2</v>
      </c>
      <c r="S75" s="400">
        <f>SUMIFS(Таблица14[часы],Таблица14[коэф],"1,2",Таблица14[р/р],"3/16",Таблица14[Ф. И. О.],B77)</f>
        <v>0</v>
      </c>
      <c r="T75" s="392">
        <f t="shared" si="28"/>
        <v>0</v>
      </c>
      <c r="U75" s="410">
        <f>IF(D72&lt;=3,база!$M$4,
IF(D72=4,база!$M$5,
IF(D72=5,база!$M$6)))</f>
        <v>225.09719999999999</v>
      </c>
      <c r="V75" s="390">
        <v>1.2</v>
      </c>
      <c r="W75" s="412">
        <f>SUMIFS(Таблица14[часы],Таблица14[коэф],"1,2",Таблица14[р/р],"3/24",Таблица14[Ф. И. О.],B77)</f>
        <v>0</v>
      </c>
      <c r="X75" s="545">
        <f t="shared" si="29"/>
        <v>0</v>
      </c>
      <c r="Y75" s="764"/>
      <c r="Z75" s="766"/>
      <c r="AA75" s="756"/>
    </row>
    <row r="76" spans="1:29">
      <c r="A76" s="756"/>
      <c r="B76" s="215"/>
      <c r="C76" s="795"/>
      <c r="D76" s="795"/>
      <c r="E76" s="389"/>
      <c r="F76" s="390"/>
      <c r="G76" s="400"/>
      <c r="H76" s="544">
        <f t="shared" si="26"/>
        <v>0</v>
      </c>
      <c r="I76" s="389">
        <f>база!$J$6</f>
        <v>243.04319999999998</v>
      </c>
      <c r="J76" s="390">
        <v>1.5</v>
      </c>
      <c r="K76" s="434">
        <f>SUMIFS(Таблица14[часы],Таблица14[коэф],"1,5",Таблица14[р/р],"5/8",Таблица14[Ф. И. О.],B77)</f>
        <v>0</v>
      </c>
      <c r="L76" s="395">
        <f t="shared" si="27"/>
        <v>0</v>
      </c>
      <c r="M76" s="432"/>
      <c r="N76" s="434"/>
      <c r="O76" s="434"/>
      <c r="P76" s="395"/>
      <c r="Q76" s="393">
        <f>база!$L$5</f>
        <v>231.45480000000001</v>
      </c>
      <c r="R76" s="390">
        <v>1.2</v>
      </c>
      <c r="S76" s="400">
        <f>SUMIFS(Таблица14[часы],Таблица14[коэф],"1,2",Таблица14[р/р],"4/16",Таблица14[Ф. И. О.],B77)</f>
        <v>0</v>
      </c>
      <c r="T76" s="392">
        <f t="shared" si="28"/>
        <v>0</v>
      </c>
      <c r="U76" s="410">
        <f>база!$M$5</f>
        <v>247.41720000000001</v>
      </c>
      <c r="V76" s="390">
        <v>1.2</v>
      </c>
      <c r="W76" s="412">
        <f>SUMIFS(Таблица14[часы],Таблица14[коэф],"1,2",Таблица14[р/р],"4/24",Таблица14[Ф. И. О.],B77)</f>
        <v>0</v>
      </c>
      <c r="X76" s="545">
        <f t="shared" si="29"/>
        <v>0</v>
      </c>
      <c r="Y76" s="764"/>
      <c r="Z76" s="766"/>
      <c r="AA76" s="756"/>
      <c r="AC76" s="752" t="str">
        <f>IF(SUMIFS(Таблица14[Столбец2],Таблица14[Ф. И. О.],B77)-Z72=0,"",SUMIFS(Таблица14[Столбец2],Таблица14[Ф. И. О.],B77)-Z72)</f>
        <v/>
      </c>
    </row>
    <row r="77" spans="1:29">
      <c r="A77" s="756"/>
      <c r="B77" s="215" t="str">
        <f>база!B8</f>
        <v>Аполосова Юлиана Александровна</v>
      </c>
      <c r="C77" s="795"/>
      <c r="D77" s="795"/>
      <c r="E77" s="389"/>
      <c r="F77" s="390"/>
      <c r="G77" s="400"/>
      <c r="H77" s="544">
        <f t="shared" si="26"/>
        <v>0</v>
      </c>
      <c r="I77" s="389"/>
      <c r="J77" s="390"/>
      <c r="K77" s="434"/>
      <c r="L77" s="395">
        <f t="shared" si="27"/>
        <v>0</v>
      </c>
      <c r="M77" s="432"/>
      <c r="N77" s="434"/>
      <c r="O77" s="434"/>
      <c r="P77" s="395"/>
      <c r="Q77" s="393">
        <f>база!$L$6</f>
        <v>261.04640000000001</v>
      </c>
      <c r="R77" s="390">
        <v>1.2</v>
      </c>
      <c r="S77" s="400">
        <f>SUMIFS(Таблица14[часы],Таблица14[коэф],"1,2",Таблица14[р/р],"5/16",Таблица14[Ф. И. О.],B77)</f>
        <v>0</v>
      </c>
      <c r="T77" s="392">
        <f t="shared" si="28"/>
        <v>0</v>
      </c>
      <c r="U77" s="410">
        <f>база!$M$6</f>
        <v>279.0496</v>
      </c>
      <c r="V77" s="390">
        <v>1.2</v>
      </c>
      <c r="W77" s="412">
        <f>SUMIFS(Таблица14[часы],Таблица14[коэф],"1,2",Таблица14[р/р],"5/24",Таблица14[Ф. И. О.],B77)</f>
        <v>0</v>
      </c>
      <c r="X77" s="545">
        <f t="shared" si="29"/>
        <v>0</v>
      </c>
      <c r="Y77" s="764"/>
      <c r="Z77" s="766"/>
      <c r="AA77" s="756"/>
      <c r="AC77" s="752" t="str">
        <f>IF(SUMIFS(Таблица14[часы],Таблица14[Ф. И. О.],B77)-Y72=0,"",SUMIFS(Таблица14[часы],Таблица14[Ф. И. О.],B77)-Y72)</f>
        <v/>
      </c>
    </row>
    <row r="78" spans="1:29">
      <c r="A78" s="756"/>
      <c r="B78" s="215"/>
      <c r="C78" s="795"/>
      <c r="D78" s="795"/>
      <c r="E78" s="389"/>
      <c r="F78" s="390"/>
      <c r="G78" s="400"/>
      <c r="H78" s="544">
        <f t="shared" si="26"/>
        <v>0</v>
      </c>
      <c r="I78" s="389"/>
      <c r="J78" s="390"/>
      <c r="K78" s="434"/>
      <c r="L78" s="395">
        <f t="shared" si="27"/>
        <v>0</v>
      </c>
      <c r="M78" s="432"/>
      <c r="N78" s="434"/>
      <c r="O78" s="434"/>
      <c r="P78" s="395"/>
      <c r="Q78" s="393">
        <f>IF(D72&lt;=3,база!$L$4,
IF(D72=4,база!$L$5,
IF(D72=5,база!$L$6)))</f>
        <v>210.57480000000001</v>
      </c>
      <c r="R78" s="390">
        <v>1.3</v>
      </c>
      <c r="S78" s="400">
        <f>SUMIFS(Таблица14[часы],Таблица14[коэф],"1,3",Таблица14[р/р],"3/16",Таблица14[Ф. И. О.],B77)</f>
        <v>0</v>
      </c>
      <c r="T78" s="392">
        <f t="shared" si="28"/>
        <v>0</v>
      </c>
      <c r="U78" s="410">
        <f>IF(D72&lt;=3,база!$M$4,
IF(D72=4,база!$M$5,
IF(D72=5,база!$M$6)))</f>
        <v>225.09719999999999</v>
      </c>
      <c r="V78" s="390">
        <v>1.3</v>
      </c>
      <c r="W78" s="412">
        <f>SUMIFS(Таблица14[часы],Таблица14[коэф],"1,3",Таблица14[р/р],"3/24",Таблица14[Ф. И. О.],B77)</f>
        <v>0</v>
      </c>
      <c r="X78" s="545">
        <f t="shared" si="29"/>
        <v>0</v>
      </c>
      <c r="Y78" s="764"/>
      <c r="Z78" s="766"/>
      <c r="AA78" s="756"/>
    </row>
    <row r="79" spans="1:29">
      <c r="A79" s="756"/>
      <c r="B79" s="215"/>
      <c r="C79" s="795"/>
      <c r="D79" s="795"/>
      <c r="E79" s="389"/>
      <c r="F79" s="390"/>
      <c r="G79" s="400"/>
      <c r="H79" s="544">
        <f t="shared" si="26"/>
        <v>0</v>
      </c>
      <c r="I79" s="389"/>
      <c r="J79" s="390"/>
      <c r="K79" s="434"/>
      <c r="L79" s="395">
        <f t="shared" si="27"/>
        <v>0</v>
      </c>
      <c r="M79" s="432"/>
      <c r="N79" s="434"/>
      <c r="O79" s="434"/>
      <c r="P79" s="395"/>
      <c r="Q79" s="393">
        <f>база!$L$5</f>
        <v>231.45480000000001</v>
      </c>
      <c r="R79" s="390">
        <v>1.3</v>
      </c>
      <c r="S79" s="400">
        <f>SUMIFS(Таблица14[часы],Таблица14[коэф],"1,3",Таблица14[р/р],"4/16",Таблица14[Ф. И. О.],B77)</f>
        <v>0</v>
      </c>
      <c r="T79" s="392">
        <f t="shared" si="28"/>
        <v>0</v>
      </c>
      <c r="U79" s="410">
        <f>база!$M$5</f>
        <v>247.41720000000001</v>
      </c>
      <c r="V79" s="390">
        <v>1.3</v>
      </c>
      <c r="W79" s="412">
        <f>SUMIFS(Таблица14[часы],Таблица14[коэф],"1,3",Таблица14[р/р],"4/24",Таблица14[Ф. И. О.],B77)</f>
        <v>0</v>
      </c>
      <c r="X79" s="545">
        <f t="shared" si="29"/>
        <v>0</v>
      </c>
      <c r="Y79" s="764"/>
      <c r="Z79" s="766"/>
      <c r="AA79" s="756"/>
    </row>
    <row r="80" spans="1:29">
      <c r="A80" s="756"/>
      <c r="B80" s="215"/>
      <c r="C80" s="795"/>
      <c r="D80" s="795"/>
      <c r="E80" s="389"/>
      <c r="F80" s="390"/>
      <c r="G80" s="400"/>
      <c r="H80" s="544">
        <f t="shared" si="26"/>
        <v>0</v>
      </c>
      <c r="I80" s="389"/>
      <c r="J80" s="390"/>
      <c r="K80" s="434"/>
      <c r="L80" s="395">
        <f t="shared" si="27"/>
        <v>0</v>
      </c>
      <c r="M80" s="432"/>
      <c r="N80" s="434"/>
      <c r="O80" s="434"/>
      <c r="P80" s="395"/>
      <c r="Q80" s="393">
        <f>IF(D72&lt;=3,база!$L$4,
IF(D72=4,база!$L$5,
IF(D72=5,база!$L$6)))</f>
        <v>210.57480000000001</v>
      </c>
      <c r="R80" s="390">
        <v>1.4</v>
      </c>
      <c r="S80" s="400">
        <f>SUMIFS(Таблица14[часы],Таблица14[коэф],"1,4",Таблица14[р/р],"3/16",Таблица14[Ф. И. О.],B77)</f>
        <v>0</v>
      </c>
      <c r="T80" s="392">
        <f t="shared" si="28"/>
        <v>0</v>
      </c>
      <c r="U80" s="410">
        <f>IF(D72&lt;=3,база!$M$4,
IF(D72=4,база!$M$5,
IF(D72=5,база!$M$6)))</f>
        <v>225.09719999999999</v>
      </c>
      <c r="V80" s="390">
        <v>1.4</v>
      </c>
      <c r="W80" s="412">
        <f>SUMIFS(Таблица14[часы],Таблица14[коэф],"1,4",Таблица14[р/р],"3/24",Таблица14[Ф. И. О.],B77)</f>
        <v>0</v>
      </c>
      <c r="X80" s="545">
        <f t="shared" si="29"/>
        <v>0</v>
      </c>
      <c r="Y80" s="764"/>
      <c r="Z80" s="766"/>
      <c r="AA80" s="756"/>
    </row>
    <row r="81" spans="1:29">
      <c r="A81" s="756"/>
      <c r="B81" s="215"/>
      <c r="C81" s="795"/>
      <c r="D81" s="795"/>
      <c r="E81" s="389"/>
      <c r="F81" s="390"/>
      <c r="G81" s="400"/>
      <c r="H81" s="544">
        <f t="shared" si="26"/>
        <v>0</v>
      </c>
      <c r="I81" s="389"/>
      <c r="J81" s="390"/>
      <c r="K81" s="434"/>
      <c r="L81" s="395">
        <f t="shared" si="27"/>
        <v>0</v>
      </c>
      <c r="M81" s="432"/>
      <c r="N81" s="434"/>
      <c r="O81" s="434"/>
      <c r="P81" s="395"/>
      <c r="Q81" s="393">
        <f>база!$L$5</f>
        <v>231.45480000000001</v>
      </c>
      <c r="R81" s="390">
        <v>1.4</v>
      </c>
      <c r="S81" s="400">
        <f>SUMIFS(Таблица14[часы],Таблица14[коэф],"1,4",Таблица14[р/р],"4/16",Таблица14[Ф. И. О.],B77)</f>
        <v>0</v>
      </c>
      <c r="T81" s="392">
        <f t="shared" si="28"/>
        <v>0</v>
      </c>
      <c r="U81" s="410">
        <f>база!$M$5</f>
        <v>247.41720000000001</v>
      </c>
      <c r="V81" s="390">
        <v>1.4</v>
      </c>
      <c r="W81" s="412">
        <f>SUMIFS(Таблица14[часы],Таблица14[коэф],"1,4",Таблица14[р/р],"4/24",Таблица14[Ф. И. О.],B77)</f>
        <v>0</v>
      </c>
      <c r="X81" s="545">
        <f t="shared" si="29"/>
        <v>0</v>
      </c>
      <c r="Y81" s="764"/>
      <c r="Z81" s="766"/>
      <c r="AA81" s="756"/>
    </row>
    <row r="82" spans="1:29" ht="21" thickBot="1">
      <c r="A82" s="757"/>
      <c r="B82" s="202"/>
      <c r="C82" s="796"/>
      <c r="D82" s="796"/>
      <c r="E82" s="473"/>
      <c r="F82" s="464"/>
      <c r="G82" s="465"/>
      <c r="H82" s="549">
        <f t="shared" si="26"/>
        <v>0</v>
      </c>
      <c r="I82" s="473"/>
      <c r="J82" s="464"/>
      <c r="K82" s="457"/>
      <c r="L82" s="458">
        <f t="shared" si="27"/>
        <v>0</v>
      </c>
      <c r="M82" s="466"/>
      <c r="N82" s="457"/>
      <c r="O82" s="457"/>
      <c r="P82" s="458"/>
      <c r="Q82" s="463">
        <f>база!$L$6</f>
        <v>261.04640000000001</v>
      </c>
      <c r="R82" s="464">
        <v>1.4</v>
      </c>
      <c r="S82" s="465">
        <f>SUMIFS(Таблица14[часы],Таблица14[коэф],"1,4",Таблица14[р/р],"5/16",Таблица14[Ф. И. О.],B77)</f>
        <v>0</v>
      </c>
      <c r="T82" s="468">
        <f t="shared" si="28"/>
        <v>0</v>
      </c>
      <c r="U82" s="469">
        <f>база!$M$6</f>
        <v>279.0496</v>
      </c>
      <c r="V82" s="464">
        <v>1.4</v>
      </c>
      <c r="W82" s="470">
        <f>SUMIFS(Таблица14[часы],Таблица14[коэф],"1,4",Таблица14[р/р],"5/24",Таблица14[Ф. И. О.],B77)</f>
        <v>0</v>
      </c>
      <c r="X82" s="547">
        <f t="shared" si="29"/>
        <v>0</v>
      </c>
      <c r="Y82" s="765"/>
      <c r="Z82" s="767"/>
      <c r="AA82" s="757"/>
    </row>
    <row r="83" spans="1:29">
      <c r="A83" s="755">
        <v>8</v>
      </c>
      <c r="B83" s="215"/>
      <c r="C83" s="794">
        <f>INDEX(база!$E$2:$E$81, MATCH(B88,база!$B$2:$B$50,0))</f>
        <v>16809</v>
      </c>
      <c r="D83" s="794">
        <f>INDEX(база!$D$2:$D$89, MATCH(B88,база!$B$2:$B$50,0))</f>
        <v>3</v>
      </c>
      <c r="E83" s="377">
        <f>IF(D83&lt;=3,база!$I$4,
IF(D83=4,база!$I$5,
IF(D83=5,база!$I$6)))</f>
        <v>188.7912</v>
      </c>
      <c r="F83" s="378">
        <v>1</v>
      </c>
      <c r="G83" s="387">
        <f>SUMIFS(Таблица14[часы],Таблица14[коэф],"1",Таблица14[р/р],"2/4",Таблица14[Ф. И. О.],B88)</f>
        <v>0</v>
      </c>
      <c r="H83" s="380">
        <f>ROUND(E83*F83*G83*2,2)</f>
        <v>0</v>
      </c>
      <c r="I83" s="451">
        <f>IF(D83&lt;=3,база!$J$4,
IF(D83=4,база!$J$5,
IF(D83=5,база!$J$6)))</f>
        <v>196.05240000000001</v>
      </c>
      <c r="J83" s="417">
        <v>1</v>
      </c>
      <c r="K83" s="453">
        <f>SUMIFS(Таблица14[часы],Таблица14[коэф],"1",Таблица14[р/р],"2/8",Таблица14[Ф. И. О.],B88)</f>
        <v>0</v>
      </c>
      <c r="L83" s="453">
        <f>ROUND(I83*J83*K83*2,2)</f>
        <v>0</v>
      </c>
      <c r="M83" s="453"/>
      <c r="N83" s="453">
        <v>1</v>
      </c>
      <c r="O83" s="453">
        <f>SUMIFS(Data_Tech!$AM$3:$AM$67,Data_Tech!$E$3:$E$67,"1",Data_Tech!$G$3:$G$67,"3/12",Data_Tech!$F$3:$F$67,B88)</f>
        <v>0</v>
      </c>
      <c r="P83" s="398">
        <f>ROUND(M83*N83*O83,2)</f>
        <v>0</v>
      </c>
      <c r="Q83" s="377">
        <f>IF(D83&lt;=3,база!$L$4,
IF(D83=4,база!$L$5,
IF(D83=5,база!$L$6)))</f>
        <v>210.57480000000001</v>
      </c>
      <c r="R83" s="378">
        <v>1</v>
      </c>
      <c r="S83" s="387">
        <f>SUMIFS(Таблица14[часы],Таблица14[коэф],"1",Таблица14[р/р],"3/16",Таблица14[Ф. И. О.],B88)</f>
        <v>0</v>
      </c>
      <c r="T83" s="380">
        <f>ROUND(Q83*R83*S83*2,2)</f>
        <v>0</v>
      </c>
      <c r="U83" s="454">
        <f>IF(D83&lt;=3,база!$M$4,
IF(D83=4,база!$M$5,
IF(D83=5,база!$M$6)))</f>
        <v>225.09719999999999</v>
      </c>
      <c r="V83" s="417">
        <v>1</v>
      </c>
      <c r="W83" s="455">
        <f>SUMIFS(Таблица14[часы],Таблица14[коэф],"1",Таблица14[р/р],"3/24",Таблица14[Ф. И. О.],B88)</f>
        <v>0</v>
      </c>
      <c r="X83" s="543">
        <f>ROUND(U83*V83*W83*2,2)</f>
        <v>0</v>
      </c>
      <c r="Y83" s="764">
        <f>SUM(G83:G93,K83:K93,O83:O93,S83:S93,W83:W93)</f>
        <v>0</v>
      </c>
      <c r="Z83" s="766">
        <f>IFERROR(SUM(H83:H93,L83:L93,T83:T93,X83:X93),"")</f>
        <v>0</v>
      </c>
      <c r="AA83" s="756"/>
    </row>
    <row r="84" spans="1:29">
      <c r="A84" s="756"/>
      <c r="B84" s="215"/>
      <c r="C84" s="795"/>
      <c r="D84" s="795"/>
      <c r="E84" s="389">
        <f>IF(D83&lt;=3,база!$I$4,
IF(D83=4,база!$I$5,
IF(D83=5,база!$I$6)))</f>
        <v>188.7912</v>
      </c>
      <c r="F84" s="390">
        <v>1</v>
      </c>
      <c r="G84" s="400">
        <f>SUMIFS(Таблица14[часы],Таблица14[коэф],"1",Таблица14[р/р],"3/4",Таблица14[Ф. И. О.],B88)</f>
        <v>0</v>
      </c>
      <c r="H84" s="392">
        <f t="shared" ref="H84:H93" si="30">ROUND(E84*F84*G84*2,2)</f>
        <v>0</v>
      </c>
      <c r="I84" s="393">
        <f>IF(D83&lt;=3,база!$J$4,
IF(D83=4,база!$J$5,
IF(D83=5,база!$J$6)))</f>
        <v>196.05240000000001</v>
      </c>
      <c r="J84" s="390">
        <v>1</v>
      </c>
      <c r="K84" s="434">
        <f>SUMIFS(Таблица14[часы],Таблица14[коэф],"1",Таблица14[р/р],"3/8",Таблица14[Ф. И. О.],B88)</f>
        <v>0</v>
      </c>
      <c r="L84" s="434">
        <f t="shared" ref="L84:L93" si="31">ROUND(I84*J84*K84*2,2)</f>
        <v>0</v>
      </c>
      <c r="M84" s="434"/>
      <c r="N84" s="434">
        <v>1</v>
      </c>
      <c r="O84" s="434">
        <f>SUMIFS(Data_Tech!$AM$3:$AM$67,Data_Tech!$E$3:$E$67,"1",Data_Tech!$G$3:$G$67,"4/12",Data_Tech!$F$3:$F$67,B88)</f>
        <v>0</v>
      </c>
      <c r="P84" s="406">
        <f>ROUND(M84*O84,2)</f>
        <v>0</v>
      </c>
      <c r="Q84" s="389">
        <f>база!$L$5</f>
        <v>231.45480000000001</v>
      </c>
      <c r="R84" s="390">
        <v>1</v>
      </c>
      <c r="S84" s="400">
        <f>SUMIFS(Таблица14[часы],Таблица14[коэф],"1",Таблица14[р/р],"4/16",Таблица14[Ф. И. О.],B88)</f>
        <v>0</v>
      </c>
      <c r="T84" s="392">
        <f t="shared" ref="T84:T93" si="32">ROUND(Q84*R84*S84*2,2)</f>
        <v>0</v>
      </c>
      <c r="U84" s="410">
        <f>база!$M$5</f>
        <v>247.41720000000001</v>
      </c>
      <c r="V84" s="390">
        <v>1</v>
      </c>
      <c r="W84" s="412">
        <f>SUMIFS(Таблица14[часы],Таблица14[коэф],"1",Таблица14[р/р],"4/24",Таблица14[Ф. И. О.],B88)</f>
        <v>0</v>
      </c>
      <c r="X84" s="545">
        <f t="shared" ref="X84:X93" si="33">ROUND(U84*V84*W84*2,2)</f>
        <v>0</v>
      </c>
      <c r="Y84" s="764"/>
      <c r="Z84" s="766"/>
      <c r="AA84" s="756"/>
    </row>
    <row r="85" spans="1:29">
      <c r="A85" s="756"/>
      <c r="B85" s="215"/>
      <c r="C85" s="795"/>
      <c r="D85" s="795"/>
      <c r="E85" s="389"/>
      <c r="F85" s="390"/>
      <c r="G85" s="400"/>
      <c r="H85" s="392">
        <f t="shared" si="30"/>
        <v>0</v>
      </c>
      <c r="I85" s="393"/>
      <c r="J85" s="390"/>
      <c r="K85" s="434"/>
      <c r="L85" s="434">
        <f t="shared" si="31"/>
        <v>0</v>
      </c>
      <c r="M85" s="434"/>
      <c r="N85" s="434"/>
      <c r="O85" s="434"/>
      <c r="P85" s="406"/>
      <c r="Q85" s="389">
        <f>база!$L$6</f>
        <v>261.04640000000001</v>
      </c>
      <c r="R85" s="390">
        <v>1</v>
      </c>
      <c r="S85" s="400">
        <f>SUMIFS(Таблица14[часы],Таблица14[коэф],"1",Таблица14[р/р],"5/16",Таблица14[Ф. И. О.],B88)</f>
        <v>0</v>
      </c>
      <c r="T85" s="392">
        <f t="shared" si="32"/>
        <v>0</v>
      </c>
      <c r="U85" s="410">
        <f>база!$M$6</f>
        <v>279.0496</v>
      </c>
      <c r="V85" s="390">
        <v>1</v>
      </c>
      <c r="W85" s="412">
        <f>SUMIFS(Таблица14[часы],Таблица14[коэф],"1",Таблица14[р/р],"5/24",Таблица14[Ф. И. О.],B88)</f>
        <v>0</v>
      </c>
      <c r="X85" s="545">
        <f t="shared" si="33"/>
        <v>0</v>
      </c>
      <c r="Y85" s="764"/>
      <c r="Z85" s="766"/>
      <c r="AA85" s="756"/>
    </row>
    <row r="86" spans="1:29">
      <c r="A86" s="756"/>
      <c r="B86" s="215"/>
      <c r="C86" s="795"/>
      <c r="D86" s="795"/>
      <c r="E86" s="389"/>
      <c r="F86" s="390"/>
      <c r="G86" s="400"/>
      <c r="H86" s="392">
        <f t="shared" si="30"/>
        <v>0</v>
      </c>
      <c r="I86" s="393">
        <f>база!$J$5</f>
        <v>215.4924</v>
      </c>
      <c r="J86" s="390">
        <v>1.5</v>
      </c>
      <c r="K86" s="434">
        <f>SUMIFS(Таблица14[часы],Таблица14[коэф],"1,5",Таблица14[р/р],"4/8",Таблица14[Ф. И. О.],B88)</f>
        <v>0</v>
      </c>
      <c r="L86" s="434">
        <f t="shared" si="31"/>
        <v>0</v>
      </c>
      <c r="M86" s="434"/>
      <c r="N86" s="434"/>
      <c r="O86" s="434"/>
      <c r="P86" s="406"/>
      <c r="Q86" s="389">
        <f>IF(D83&lt;=3,база!$L$4,
IF(D83=4,база!$L$5,
IF(D83=5,база!$L$6)))</f>
        <v>210.57480000000001</v>
      </c>
      <c r="R86" s="390">
        <v>1.2</v>
      </c>
      <c r="S86" s="400">
        <f>SUMIFS(Таблица14[часы],Таблица14[коэф],"1,2",Таблица14[р/р],"3/16",Таблица14[Ф. И. О.],B88)</f>
        <v>0</v>
      </c>
      <c r="T86" s="392">
        <f t="shared" si="32"/>
        <v>0</v>
      </c>
      <c r="U86" s="410">
        <f>IF(D83&lt;=3,база!$M$4,
IF(D83=4,база!$M$5,
IF(D83=5,база!$M$6)))</f>
        <v>225.09719999999999</v>
      </c>
      <c r="V86" s="390">
        <v>1.2</v>
      </c>
      <c r="W86" s="412">
        <f>SUMIFS(Таблица14[часы],Таблица14[коэф],"1,2",Таблица14[р/р],"3/24",Таблица14[Ф. И. О.],B88)</f>
        <v>0</v>
      </c>
      <c r="X86" s="545">
        <f t="shared" si="33"/>
        <v>0</v>
      </c>
      <c r="Y86" s="764"/>
      <c r="Z86" s="766"/>
      <c r="AA86" s="756"/>
    </row>
    <row r="87" spans="1:29">
      <c r="A87" s="756"/>
      <c r="B87" s="215"/>
      <c r="C87" s="795"/>
      <c r="D87" s="795"/>
      <c r="E87" s="389"/>
      <c r="F87" s="390"/>
      <c r="G87" s="400"/>
      <c r="H87" s="392">
        <f t="shared" si="30"/>
        <v>0</v>
      </c>
      <c r="I87" s="393">
        <f>база!$J$6</f>
        <v>243.04319999999998</v>
      </c>
      <c r="J87" s="390">
        <v>1.5</v>
      </c>
      <c r="K87" s="434">
        <f>SUMIFS(Таблица14[часы],Таблица14[коэф],"1,5",Таблица14[р/р],"5/8",Таблица14[Ф. И. О.],B88)</f>
        <v>0</v>
      </c>
      <c r="L87" s="434">
        <f t="shared" si="31"/>
        <v>0</v>
      </c>
      <c r="M87" s="434"/>
      <c r="N87" s="434"/>
      <c r="O87" s="434"/>
      <c r="P87" s="406"/>
      <c r="Q87" s="389">
        <f>база!$L$5</f>
        <v>231.45480000000001</v>
      </c>
      <c r="R87" s="390">
        <v>1.2</v>
      </c>
      <c r="S87" s="400">
        <f>SUMIFS(Таблица14[часы],Таблица14[коэф],"1,2",Таблица14[р/р],"4/16",Таблица14[Ф. И. О.],B88)</f>
        <v>0</v>
      </c>
      <c r="T87" s="392">
        <f t="shared" si="32"/>
        <v>0</v>
      </c>
      <c r="U87" s="410">
        <f>база!$M$5</f>
        <v>247.41720000000001</v>
      </c>
      <c r="V87" s="390">
        <v>1.2</v>
      </c>
      <c r="W87" s="412">
        <f>SUMIFS(Таблица14[часы],Таблица14[коэф],"1,2",Таблица14[р/р],"4/24",Таблица14[Ф. И. О.],B88)</f>
        <v>0</v>
      </c>
      <c r="X87" s="545">
        <f t="shared" si="33"/>
        <v>0</v>
      </c>
      <c r="Y87" s="764"/>
      <c r="Z87" s="766"/>
      <c r="AA87" s="756"/>
    </row>
    <row r="88" spans="1:29">
      <c r="A88" s="756"/>
      <c r="B88" s="215" t="str">
        <f>база!B9</f>
        <v>Бадьялова Елена Сергеевна</v>
      </c>
      <c r="C88" s="795"/>
      <c r="D88" s="795"/>
      <c r="E88" s="389"/>
      <c r="F88" s="390"/>
      <c r="G88" s="400"/>
      <c r="H88" s="392">
        <f t="shared" si="30"/>
        <v>0</v>
      </c>
      <c r="I88" s="393"/>
      <c r="J88" s="390"/>
      <c r="K88" s="434"/>
      <c r="L88" s="434">
        <f t="shared" si="31"/>
        <v>0</v>
      </c>
      <c r="M88" s="434"/>
      <c r="N88" s="434"/>
      <c r="O88" s="434"/>
      <c r="P88" s="406"/>
      <c r="Q88" s="389">
        <f>база!$L$6</f>
        <v>261.04640000000001</v>
      </c>
      <c r="R88" s="390">
        <v>1.2</v>
      </c>
      <c r="S88" s="400">
        <f>SUMIFS(Таблица14[часы],Таблица14[коэф],"1,2",Таблица14[р/р],"5/16",Таблица14[Ф. И. О.],B88)</f>
        <v>0</v>
      </c>
      <c r="T88" s="392">
        <f t="shared" si="32"/>
        <v>0</v>
      </c>
      <c r="U88" s="410">
        <f>база!$M$6</f>
        <v>279.0496</v>
      </c>
      <c r="V88" s="390">
        <v>1.2</v>
      </c>
      <c r="W88" s="412">
        <f>SUMIFS(Таблица14[часы],Таблица14[коэф],"1,2",Таблица14[р/р],"5/24",Таблица14[Ф. И. О.],B88)</f>
        <v>0</v>
      </c>
      <c r="X88" s="545">
        <f t="shared" si="33"/>
        <v>0</v>
      </c>
      <c r="Y88" s="764"/>
      <c r="Z88" s="766"/>
      <c r="AA88" s="756"/>
      <c r="AC88" s="752" t="str">
        <f>IF(SUMIFS(Таблица14[Столбец2],Таблица14[Ф. И. О.],B88)-Z83=0,"",SUMIFS(Таблица14[Столбец2],Таблица14[Ф. И. О.],B88)-Z83)</f>
        <v/>
      </c>
    </row>
    <row r="89" spans="1:29">
      <c r="A89" s="756"/>
      <c r="B89" s="215"/>
      <c r="C89" s="795"/>
      <c r="D89" s="795"/>
      <c r="E89" s="389"/>
      <c r="F89" s="390"/>
      <c r="G89" s="400"/>
      <c r="H89" s="392">
        <f t="shared" si="30"/>
        <v>0</v>
      </c>
      <c r="I89" s="393"/>
      <c r="J89" s="390"/>
      <c r="K89" s="434"/>
      <c r="L89" s="434">
        <f t="shared" si="31"/>
        <v>0</v>
      </c>
      <c r="M89" s="434"/>
      <c r="N89" s="434"/>
      <c r="O89" s="434"/>
      <c r="P89" s="406"/>
      <c r="Q89" s="389">
        <f>IF(D83&lt;=3,база!$L$4,
IF(D83=4,база!$L$5,
IF(D83=5,база!$L$6)))</f>
        <v>210.57480000000001</v>
      </c>
      <c r="R89" s="390">
        <v>1.3</v>
      </c>
      <c r="S89" s="400">
        <f>SUMIFS(Таблица14[часы],Таблица14[коэф],"1,3",Таблица14[р/р],"3/16",Таблица14[Ф. И. О.],B88)</f>
        <v>0</v>
      </c>
      <c r="T89" s="392">
        <f t="shared" si="32"/>
        <v>0</v>
      </c>
      <c r="U89" s="410">
        <f>IF(D83&lt;=3,база!$M$4,
IF(D83=4,база!$M$5,
IF(D83=5,база!$M$6)))</f>
        <v>225.09719999999999</v>
      </c>
      <c r="V89" s="390">
        <v>1.3</v>
      </c>
      <c r="W89" s="412">
        <f>SUMIFS(Таблица14[часы],Таблица14[коэф],"1,3",Таблица14[р/р],"3/24",Таблица14[Ф. И. О.],B88)</f>
        <v>0</v>
      </c>
      <c r="X89" s="545">
        <f t="shared" si="33"/>
        <v>0</v>
      </c>
      <c r="Y89" s="764"/>
      <c r="Z89" s="766"/>
      <c r="AA89" s="756"/>
      <c r="AC89" s="752" t="str">
        <f>IF(SUMIFS(Таблица14[часы],Таблица14[Ф. И. О.],B88)-Y83=0,"",SUMIFS(Таблица14[часы],Таблица14[Ф. И. О.],B88)-Y83)</f>
        <v/>
      </c>
    </row>
    <row r="90" spans="1:29">
      <c r="A90" s="756"/>
      <c r="B90" s="215"/>
      <c r="C90" s="795"/>
      <c r="D90" s="795"/>
      <c r="E90" s="389"/>
      <c r="F90" s="390"/>
      <c r="G90" s="400"/>
      <c r="H90" s="392">
        <f t="shared" si="30"/>
        <v>0</v>
      </c>
      <c r="I90" s="393"/>
      <c r="J90" s="390"/>
      <c r="K90" s="434"/>
      <c r="L90" s="434">
        <f t="shared" si="31"/>
        <v>0</v>
      </c>
      <c r="M90" s="434"/>
      <c r="N90" s="434"/>
      <c r="O90" s="434"/>
      <c r="P90" s="406"/>
      <c r="Q90" s="389">
        <f>база!$L$5</f>
        <v>231.45480000000001</v>
      </c>
      <c r="R90" s="390">
        <v>1.3</v>
      </c>
      <c r="S90" s="400">
        <f>SUMIFS(Таблица14[часы],Таблица14[коэф],"1,3",Таблица14[р/р],"4/16",Таблица14[Ф. И. О.],B88)</f>
        <v>0</v>
      </c>
      <c r="T90" s="392">
        <f t="shared" si="32"/>
        <v>0</v>
      </c>
      <c r="U90" s="410">
        <f>база!$M$5</f>
        <v>247.41720000000001</v>
      </c>
      <c r="V90" s="390">
        <v>1.3</v>
      </c>
      <c r="W90" s="412">
        <f>SUMIFS(Таблица14[часы],Таблица14[коэф],"1,3",Таблица14[р/р],"4/24",Таблица14[Ф. И. О.],B88)</f>
        <v>0</v>
      </c>
      <c r="X90" s="545">
        <f t="shared" si="33"/>
        <v>0</v>
      </c>
      <c r="Y90" s="764"/>
      <c r="Z90" s="766"/>
      <c r="AA90" s="756"/>
    </row>
    <row r="91" spans="1:29">
      <c r="A91" s="756"/>
      <c r="B91" s="215"/>
      <c r="C91" s="795"/>
      <c r="D91" s="795"/>
      <c r="E91" s="389"/>
      <c r="F91" s="390"/>
      <c r="G91" s="400"/>
      <c r="H91" s="392">
        <f t="shared" si="30"/>
        <v>0</v>
      </c>
      <c r="I91" s="393"/>
      <c r="J91" s="390"/>
      <c r="K91" s="434"/>
      <c r="L91" s="434">
        <f t="shared" si="31"/>
        <v>0</v>
      </c>
      <c r="M91" s="434"/>
      <c r="N91" s="434"/>
      <c r="O91" s="434"/>
      <c r="P91" s="406"/>
      <c r="Q91" s="389">
        <f>IF(D83&lt;=3,база!$L$4,
IF(D83=4,база!$L$5,
IF(D83=5,база!$L$6)))</f>
        <v>210.57480000000001</v>
      </c>
      <c r="R91" s="390">
        <v>1.4</v>
      </c>
      <c r="S91" s="400">
        <f>SUMIFS(Таблица14[часы],Таблица14[коэф],"1,4",Таблица14[р/р],"3/16",Таблица14[Ф. И. О.],B88)</f>
        <v>0</v>
      </c>
      <c r="T91" s="392">
        <f t="shared" si="32"/>
        <v>0</v>
      </c>
      <c r="U91" s="410">
        <f>IF(D83&lt;=3,база!$M$4,
IF(D83=4,база!$M$5,
IF(D83=5,база!$M$6)))</f>
        <v>225.09719999999999</v>
      </c>
      <c r="V91" s="390">
        <v>1.4</v>
      </c>
      <c r="W91" s="412">
        <f>SUMIFS(Таблица14[часы],Таблица14[коэф],"1,4",Таблица14[р/р],"3/24",Таблица14[Ф. И. О.],B88)</f>
        <v>0</v>
      </c>
      <c r="X91" s="545">
        <f t="shared" si="33"/>
        <v>0</v>
      </c>
      <c r="Y91" s="764"/>
      <c r="Z91" s="766"/>
      <c r="AA91" s="756"/>
    </row>
    <row r="92" spans="1:29">
      <c r="A92" s="756"/>
      <c r="B92" s="215"/>
      <c r="C92" s="795"/>
      <c r="D92" s="795"/>
      <c r="E92" s="389"/>
      <c r="F92" s="390"/>
      <c r="G92" s="400"/>
      <c r="H92" s="392">
        <f t="shared" si="30"/>
        <v>0</v>
      </c>
      <c r="I92" s="393"/>
      <c r="J92" s="390"/>
      <c r="K92" s="434"/>
      <c r="L92" s="434">
        <f t="shared" si="31"/>
        <v>0</v>
      </c>
      <c r="M92" s="434"/>
      <c r="N92" s="434"/>
      <c r="O92" s="434"/>
      <c r="P92" s="406"/>
      <c r="Q92" s="389">
        <f>база!$L$5</f>
        <v>231.45480000000001</v>
      </c>
      <c r="R92" s="390">
        <v>1.4</v>
      </c>
      <c r="S92" s="400">
        <f>SUMIFS(Таблица14[часы],Таблица14[коэф],"1,4",Таблица14[р/р],"4/16",Таблица14[Ф. И. О.],B88)</f>
        <v>0</v>
      </c>
      <c r="T92" s="392">
        <f t="shared" si="32"/>
        <v>0</v>
      </c>
      <c r="U92" s="410">
        <f>база!$M$5</f>
        <v>247.41720000000001</v>
      </c>
      <c r="V92" s="390">
        <v>1.4</v>
      </c>
      <c r="W92" s="412">
        <f>SUMIFS(Таблица14[часы],Таблица14[коэф],"1,4",Таблица14[р/р],"4/24",Таблица14[Ф. И. О.],B88)</f>
        <v>0</v>
      </c>
      <c r="X92" s="545">
        <f t="shared" si="33"/>
        <v>0</v>
      </c>
      <c r="Y92" s="764"/>
      <c r="Z92" s="766"/>
      <c r="AA92" s="756"/>
    </row>
    <row r="93" spans="1:29" ht="21" thickBot="1">
      <c r="A93" s="757"/>
      <c r="B93" s="202"/>
      <c r="C93" s="796"/>
      <c r="D93" s="796"/>
      <c r="E93" s="473"/>
      <c r="F93" s="464"/>
      <c r="G93" s="465"/>
      <c r="H93" s="468">
        <f t="shared" si="30"/>
        <v>0</v>
      </c>
      <c r="I93" s="463"/>
      <c r="J93" s="464"/>
      <c r="K93" s="457"/>
      <c r="L93" s="457">
        <f t="shared" si="31"/>
        <v>0</v>
      </c>
      <c r="M93" s="457"/>
      <c r="N93" s="457"/>
      <c r="O93" s="457"/>
      <c r="P93" s="476"/>
      <c r="Q93" s="473">
        <f>база!$L$6</f>
        <v>261.04640000000001</v>
      </c>
      <c r="R93" s="464">
        <v>1.4</v>
      </c>
      <c r="S93" s="465">
        <f>SUMIFS(Таблица14[часы],Таблица14[коэф],"1,4",Таблица14[р/р],"5/16",Таблица14[Ф. И. О.],B88)</f>
        <v>0</v>
      </c>
      <c r="T93" s="468">
        <f t="shared" si="32"/>
        <v>0</v>
      </c>
      <c r="U93" s="469">
        <f>база!$M$6</f>
        <v>279.0496</v>
      </c>
      <c r="V93" s="464">
        <v>1.4</v>
      </c>
      <c r="W93" s="470">
        <f>SUMIFS(Таблица14[часы],Таблица14[коэф],"1,4",Таблица14[р/р],"5/24",Таблица14[Ф. И. О.],B88)</f>
        <v>0</v>
      </c>
      <c r="X93" s="547">
        <f t="shared" si="33"/>
        <v>0</v>
      </c>
      <c r="Y93" s="765"/>
      <c r="Z93" s="767"/>
      <c r="AA93" s="757"/>
    </row>
    <row r="94" spans="1:29">
      <c r="A94" s="755">
        <v>9</v>
      </c>
      <c r="B94" s="215"/>
      <c r="C94" s="794">
        <f>INDEX(база!$E$2:$E$81, MATCH(B99,база!$B$2:$B$50,0))</f>
        <v>17169</v>
      </c>
      <c r="D94" s="794">
        <f>INDEX(база!$D$2:$D$89, MATCH(B99,база!$B$2:$B$50,0))</f>
        <v>3</v>
      </c>
      <c r="E94" s="377">
        <f>IF(D94&lt;=3,база!$I$4,
IF(D94=4,база!$I$5,
IF(D94=5,база!$I$6)))</f>
        <v>188.7912</v>
      </c>
      <c r="F94" s="378">
        <v>1</v>
      </c>
      <c r="G94" s="387">
        <f>SUMIFS(Таблица14[часы],Таблица14[коэф],"1",Таблица14[р/р],"2/4",Таблица14[Ф. И. О.],B99)</f>
        <v>0</v>
      </c>
      <c r="H94" s="380">
        <f>ROUND(E94*F94*G94*2,2)</f>
        <v>0</v>
      </c>
      <c r="I94" s="451">
        <f>IF(D94&lt;=3,база!$J$4,
IF(D94=4,база!$J$5,
IF(D94=5,база!$J$6)))</f>
        <v>196.05240000000001</v>
      </c>
      <c r="J94" s="417">
        <v>1</v>
      </c>
      <c r="K94" s="453">
        <f>SUMIFS(Таблица14[часы],Таблица14[коэф],"1",Таблица14[р/р],"2/8",Таблица14[Ф. И. О.],B99)</f>
        <v>0</v>
      </c>
      <c r="L94" s="453">
        <f>ROUND(I94*J94*K94*2,2)</f>
        <v>0</v>
      </c>
      <c r="M94" s="453"/>
      <c r="N94" s="453">
        <v>1</v>
      </c>
      <c r="O94" s="453">
        <f>SUMIFS(Data_Tech!$AM$3:$AM$67,Data_Tech!$E$3:$E$67,"1",Data_Tech!$G$3:$G$67,"3/12",Data_Tech!$F$3:$F$67,B99)</f>
        <v>0</v>
      </c>
      <c r="P94" s="398">
        <f>ROUND(M94*N94*O94,2)</f>
        <v>0</v>
      </c>
      <c r="Q94" s="377">
        <f>IF(D94&lt;=3,база!$L$4,
IF(D94=4,база!$L$5,
IF(D94=5,база!$L$6)))</f>
        <v>210.57480000000001</v>
      </c>
      <c r="R94" s="378">
        <v>1</v>
      </c>
      <c r="S94" s="387">
        <f>SUMIFS(Таблица14[часы],Таблица14[коэф],"1",Таблица14[р/р],"3/16",Таблица14[Ф. И. О.],B99)</f>
        <v>0</v>
      </c>
      <c r="T94" s="548">
        <f>ROUND(Q94*R94*S94*2,2)</f>
        <v>0</v>
      </c>
      <c r="U94" s="471">
        <f>IF(D94&lt;=3,база!$M$4,
IF(D94=4,база!$M$5,
IF(D94=5,база!$M$6)))</f>
        <v>225.09719999999999</v>
      </c>
      <c r="V94" s="378">
        <v>1</v>
      </c>
      <c r="W94" s="477">
        <f>SUMIFS(Таблица14[часы],Таблица14[коэф],"1",Таблица14[р/р],"3/24",Таблица14[Ф. И. О.],B99)</f>
        <v>0</v>
      </c>
      <c r="X94" s="543">
        <f>ROUND(U94*V94*W94*2,2)</f>
        <v>0</v>
      </c>
      <c r="Y94" s="764">
        <f t="shared" ref="Y94" si="34">SUM(G94:G104,K94:K104,O94:O104,S94:S104,W94:W104)</f>
        <v>0</v>
      </c>
      <c r="Z94" s="766">
        <f t="shared" ref="Z94" si="35">IFERROR(SUM(H94:H104,L94:L104,T94:T104,X94:X104),"")</f>
        <v>0</v>
      </c>
      <c r="AA94" s="756"/>
    </row>
    <row r="95" spans="1:29">
      <c r="A95" s="756"/>
      <c r="B95" s="215"/>
      <c r="C95" s="795"/>
      <c r="D95" s="795"/>
      <c r="E95" s="389">
        <f>IF(D94&lt;=3,база!$I$4,
IF(D94=4,база!$I$5,
IF(D94=5,база!$I$6)))</f>
        <v>188.7912</v>
      </c>
      <c r="F95" s="390">
        <v>1</v>
      </c>
      <c r="G95" s="400">
        <f>SUMIFS(Таблица14[часы],Таблица14[коэф],"1",Таблица14[р/р],"3/4",Таблица14[Ф. И. О.],B99)</f>
        <v>0</v>
      </c>
      <c r="H95" s="392">
        <f t="shared" ref="H95:H104" si="36">ROUND(E95*F95*G95*2,2)</f>
        <v>0</v>
      </c>
      <c r="I95" s="393">
        <f>IF(D94&lt;=3,база!$J$4,
IF(D94=4,база!$J$5,
IF(D94=5,база!$J$6)))</f>
        <v>196.05240000000001</v>
      </c>
      <c r="J95" s="390">
        <v>1</v>
      </c>
      <c r="K95" s="434">
        <f>SUMIFS(Таблица14[часы],Таблица14[коэф],"1",Таблица14[р/р],"3/8",Таблица14[Ф. И. О.],B99)</f>
        <v>0</v>
      </c>
      <c r="L95" s="434">
        <f t="shared" ref="L95:L104" si="37">ROUND(I95*J95*K95*2,2)</f>
        <v>0</v>
      </c>
      <c r="M95" s="434"/>
      <c r="N95" s="434">
        <v>1</v>
      </c>
      <c r="O95" s="434">
        <f>SUMIFS(Data_Tech!$AM$3:$AM$67,Data_Tech!$E$3:$E$67,"1",Data_Tech!$G$3:$G$67,"4/12",Data_Tech!$F$3:$F$67,B99)</f>
        <v>0</v>
      </c>
      <c r="P95" s="406">
        <f>ROUND(M95*O95,2)</f>
        <v>0</v>
      </c>
      <c r="Q95" s="389">
        <f>база!$L$5</f>
        <v>231.45480000000001</v>
      </c>
      <c r="R95" s="390">
        <v>1</v>
      </c>
      <c r="S95" s="400">
        <f>SUMIFS(Таблица14[часы],Таблица14[коэф],"1",Таблица14[р/р],"4/16",Таблица14[Ф. И. О.],B99)</f>
        <v>0</v>
      </c>
      <c r="T95" s="544">
        <f t="shared" ref="T95:T104" si="38">ROUND(Q95*R95*S95*2,2)</f>
        <v>0</v>
      </c>
      <c r="U95" s="472">
        <f>база!$M$5</f>
        <v>247.41720000000001</v>
      </c>
      <c r="V95" s="390">
        <v>1</v>
      </c>
      <c r="W95" s="478">
        <f>SUMIFS(Таблица14[часы],Таблица14[коэф],"1",Таблица14[р/р],"4/24",Таблица14[Ф. И. О.],B99)</f>
        <v>0</v>
      </c>
      <c r="X95" s="545">
        <f t="shared" ref="X95:X104" si="39">ROUND(U95*V95*W95*2,2)</f>
        <v>0</v>
      </c>
      <c r="Y95" s="764"/>
      <c r="Z95" s="766"/>
      <c r="AA95" s="756"/>
    </row>
    <row r="96" spans="1:29">
      <c r="A96" s="756"/>
      <c r="B96" s="215"/>
      <c r="C96" s="795"/>
      <c r="D96" s="795"/>
      <c r="E96" s="389"/>
      <c r="F96" s="390"/>
      <c r="G96" s="400"/>
      <c r="H96" s="392">
        <f t="shared" si="36"/>
        <v>0</v>
      </c>
      <c r="I96" s="393"/>
      <c r="J96" s="390"/>
      <c r="K96" s="434"/>
      <c r="L96" s="434">
        <f t="shared" si="37"/>
        <v>0</v>
      </c>
      <c r="M96" s="434"/>
      <c r="N96" s="434"/>
      <c r="O96" s="434"/>
      <c r="P96" s="406"/>
      <c r="Q96" s="389">
        <f>база!$L$6</f>
        <v>261.04640000000001</v>
      </c>
      <c r="R96" s="390">
        <v>1</v>
      </c>
      <c r="S96" s="400">
        <f>SUMIFS(Таблица14[часы],Таблица14[коэф],"1",Таблица14[р/р],"5/16",Таблица14[Ф. И. О.],B99)</f>
        <v>0</v>
      </c>
      <c r="T96" s="544">
        <f t="shared" si="38"/>
        <v>0</v>
      </c>
      <c r="U96" s="472">
        <f>база!$M$6</f>
        <v>279.0496</v>
      </c>
      <c r="V96" s="390">
        <v>1</v>
      </c>
      <c r="W96" s="478">
        <f>SUMIFS(Таблица14[часы],Таблица14[коэф],"1",Таблица14[р/р],"5/24",Таблица14[Ф. И. О.],B99)</f>
        <v>0</v>
      </c>
      <c r="X96" s="545">
        <f t="shared" si="39"/>
        <v>0</v>
      </c>
      <c r="Y96" s="764"/>
      <c r="Z96" s="766"/>
      <c r="AA96" s="756"/>
    </row>
    <row r="97" spans="1:29">
      <c r="A97" s="756"/>
      <c r="B97" s="215"/>
      <c r="C97" s="795"/>
      <c r="D97" s="795"/>
      <c r="E97" s="389"/>
      <c r="F97" s="390"/>
      <c r="G97" s="400"/>
      <c r="H97" s="392">
        <f t="shared" si="36"/>
        <v>0</v>
      </c>
      <c r="I97" s="393">
        <f>база!$J$5</f>
        <v>215.4924</v>
      </c>
      <c r="J97" s="390">
        <v>1.5</v>
      </c>
      <c r="K97" s="434">
        <f>SUMIFS(Таблица14[часы],Таблица14[коэф],"1,5",Таблица14[р/р],"4/8",Таблица14[Ф. И. О.],B99)</f>
        <v>0</v>
      </c>
      <c r="L97" s="434">
        <f t="shared" si="37"/>
        <v>0</v>
      </c>
      <c r="M97" s="434"/>
      <c r="N97" s="434"/>
      <c r="O97" s="434"/>
      <c r="P97" s="406"/>
      <c r="Q97" s="389">
        <f>IF(D94&lt;=3,база!$L$4,
IF(D94=4,база!$L$5,
IF(D94=5,база!$L$6)))</f>
        <v>210.57480000000001</v>
      </c>
      <c r="R97" s="390">
        <v>1.2</v>
      </c>
      <c r="S97" s="400">
        <f>SUMIFS(Таблица14[часы],Таблица14[коэф],"1,2",Таблица14[р/р],"3/16",Таблица14[Ф. И. О.],B99)</f>
        <v>0</v>
      </c>
      <c r="T97" s="544">
        <f t="shared" si="38"/>
        <v>0</v>
      </c>
      <c r="U97" s="472">
        <f>IF(D94&lt;=3,база!$M$4,
IF(D94=4,база!$M$5,
IF(D94=5,база!$M$6)))</f>
        <v>225.09719999999999</v>
      </c>
      <c r="V97" s="390">
        <v>1.2</v>
      </c>
      <c r="W97" s="478">
        <f>SUMIFS(Таблица14[часы],Таблица14[коэф],"1,2",Таблица14[р/р],"3/24",Таблица14[Ф. И. О.],B99)</f>
        <v>0</v>
      </c>
      <c r="X97" s="545">
        <f t="shared" si="39"/>
        <v>0</v>
      </c>
      <c r="Y97" s="764"/>
      <c r="Z97" s="766"/>
      <c r="AA97" s="756"/>
    </row>
    <row r="98" spans="1:29">
      <c r="A98" s="756"/>
      <c r="B98" s="215"/>
      <c r="C98" s="795"/>
      <c r="D98" s="795"/>
      <c r="E98" s="389"/>
      <c r="F98" s="390"/>
      <c r="G98" s="400"/>
      <c r="H98" s="392">
        <f t="shared" si="36"/>
        <v>0</v>
      </c>
      <c r="I98" s="393">
        <f>база!$J$6</f>
        <v>243.04319999999998</v>
      </c>
      <c r="J98" s="390">
        <v>1.5</v>
      </c>
      <c r="K98" s="434">
        <f>SUMIFS(Таблица14[часы],Таблица14[коэф],"1,5",Таблица14[р/р],"5/8",Таблица14[Ф. И. О.],B99)</f>
        <v>0</v>
      </c>
      <c r="L98" s="434">
        <f t="shared" si="37"/>
        <v>0</v>
      </c>
      <c r="M98" s="434"/>
      <c r="N98" s="434"/>
      <c r="O98" s="434"/>
      <c r="P98" s="406"/>
      <c r="Q98" s="389">
        <f>база!$L$5</f>
        <v>231.45480000000001</v>
      </c>
      <c r="R98" s="390">
        <v>1.2</v>
      </c>
      <c r="S98" s="400">
        <f>SUMIFS(Таблица14[часы],Таблица14[коэф],"1,2",Таблица14[р/р],"4/16",Таблица14[Ф. И. О.],B99)</f>
        <v>0</v>
      </c>
      <c r="T98" s="544">
        <f t="shared" si="38"/>
        <v>0</v>
      </c>
      <c r="U98" s="472">
        <f>база!$M$5</f>
        <v>247.41720000000001</v>
      </c>
      <c r="V98" s="390">
        <v>1.2</v>
      </c>
      <c r="W98" s="478">
        <f>SUMIFS(Таблица14[часы],Таблица14[коэф],"1,2",Таблица14[р/р],"4/24",Таблица14[Ф. И. О.],B99)</f>
        <v>0</v>
      </c>
      <c r="X98" s="545">
        <f t="shared" si="39"/>
        <v>0</v>
      </c>
      <c r="Y98" s="764"/>
      <c r="Z98" s="766"/>
      <c r="AA98" s="756"/>
      <c r="AC98" s="752" t="str">
        <f>IF(SUMIFS(Таблица14[Столбец2],Таблица14[Ф. И. О.],B99)-Z94=0,"",SUMIFS(Таблица14[Столбец2],Таблица14[Ф. И. О.],B99)-Z94)</f>
        <v/>
      </c>
    </row>
    <row r="99" spans="1:29" ht="20.25" customHeight="1">
      <c r="A99" s="756"/>
      <c r="B99" s="215" t="str">
        <f>база!B10</f>
        <v>Бекетова Надежда Ильинична</v>
      </c>
      <c r="C99" s="795"/>
      <c r="D99" s="795"/>
      <c r="E99" s="389"/>
      <c r="F99" s="390"/>
      <c r="G99" s="400"/>
      <c r="H99" s="392">
        <f t="shared" si="36"/>
        <v>0</v>
      </c>
      <c r="I99" s="393"/>
      <c r="J99" s="390"/>
      <c r="K99" s="434"/>
      <c r="L99" s="434">
        <f t="shared" si="37"/>
        <v>0</v>
      </c>
      <c r="M99" s="434"/>
      <c r="N99" s="434"/>
      <c r="O99" s="434"/>
      <c r="P99" s="406"/>
      <c r="Q99" s="389">
        <f>база!$L$6</f>
        <v>261.04640000000001</v>
      </c>
      <c r="R99" s="390">
        <v>1.2</v>
      </c>
      <c r="S99" s="400">
        <f>SUMIFS(Таблица14[часы],Таблица14[коэф],"1,2",Таблица14[р/р],"5/16",Таблица14[Ф. И. О.],B99)</f>
        <v>0</v>
      </c>
      <c r="T99" s="544">
        <f t="shared" si="38"/>
        <v>0</v>
      </c>
      <c r="U99" s="472">
        <f>база!$M$6</f>
        <v>279.0496</v>
      </c>
      <c r="V99" s="390">
        <v>1.2</v>
      </c>
      <c r="W99" s="478">
        <f>SUMIFS(Таблица14[часы],Таблица14[коэф],"1,2",Таблица14[р/р],"5/24",Таблица14[Ф. И. О.],B99)</f>
        <v>0</v>
      </c>
      <c r="X99" s="545">
        <f t="shared" si="39"/>
        <v>0</v>
      </c>
      <c r="Y99" s="764"/>
      <c r="Z99" s="766"/>
      <c r="AA99" s="756"/>
      <c r="AC99" s="752" t="str">
        <f>IF(SUMIFS(Таблица14[часы],Таблица14[Ф. И. О.],B99)-Y94=0,"",SUMIFS(Таблица14[часы],Таблица14[Ф. И. О.],B99)-Y94)</f>
        <v/>
      </c>
    </row>
    <row r="100" spans="1:29">
      <c r="A100" s="756"/>
      <c r="B100" s="215"/>
      <c r="C100" s="795"/>
      <c r="D100" s="795"/>
      <c r="E100" s="389"/>
      <c r="F100" s="390"/>
      <c r="G100" s="400"/>
      <c r="H100" s="392">
        <f t="shared" si="36"/>
        <v>0</v>
      </c>
      <c r="I100" s="393"/>
      <c r="J100" s="390"/>
      <c r="K100" s="434"/>
      <c r="L100" s="434">
        <f t="shared" si="37"/>
        <v>0</v>
      </c>
      <c r="M100" s="434"/>
      <c r="N100" s="434"/>
      <c r="O100" s="434"/>
      <c r="P100" s="406"/>
      <c r="Q100" s="389">
        <f>IF(D94&lt;=3,база!$L$4,
IF(D94=4,база!$L$5,
IF(D94=5,база!$L$6)))</f>
        <v>210.57480000000001</v>
      </c>
      <c r="R100" s="390">
        <v>1.3</v>
      </c>
      <c r="S100" s="400">
        <f>SUMIFS(Таблица14[часы],Таблица14[коэф],"1,3",Таблица14[р/р],"3/16",Таблица14[Ф. И. О.],B99)</f>
        <v>0</v>
      </c>
      <c r="T100" s="544">
        <f t="shared" si="38"/>
        <v>0</v>
      </c>
      <c r="U100" s="472">
        <f>IF(D94&lt;=3,база!$M$4,
IF(D94=4,база!$M$5,
IF(D94=5,база!$M$6)))</f>
        <v>225.09719999999999</v>
      </c>
      <c r="V100" s="390">
        <v>1.3</v>
      </c>
      <c r="W100" s="478">
        <f>SUMIFS(Таблица14[часы],Таблица14[коэф],"1,3",Таблица14[р/р],"3/24",Таблица14[Ф. И. О.],B99)</f>
        <v>0</v>
      </c>
      <c r="X100" s="545">
        <f t="shared" si="39"/>
        <v>0</v>
      </c>
      <c r="Y100" s="764"/>
      <c r="Z100" s="766"/>
      <c r="AA100" s="756"/>
    </row>
    <row r="101" spans="1:29">
      <c r="A101" s="756"/>
      <c r="B101" s="215"/>
      <c r="C101" s="795"/>
      <c r="D101" s="795"/>
      <c r="E101" s="389"/>
      <c r="F101" s="390"/>
      <c r="G101" s="400"/>
      <c r="H101" s="392">
        <f t="shared" si="36"/>
        <v>0</v>
      </c>
      <c r="I101" s="393"/>
      <c r="J101" s="390"/>
      <c r="K101" s="434"/>
      <c r="L101" s="434">
        <f t="shared" si="37"/>
        <v>0</v>
      </c>
      <c r="M101" s="434"/>
      <c r="N101" s="434"/>
      <c r="O101" s="434"/>
      <c r="P101" s="406"/>
      <c r="Q101" s="389">
        <f>база!$L$5</f>
        <v>231.45480000000001</v>
      </c>
      <c r="R101" s="390">
        <v>1.3</v>
      </c>
      <c r="S101" s="400">
        <f>SUMIFS(Таблица14[часы],Таблица14[коэф],"1,3",Таблица14[р/р],"4/16",Таблица14[Ф. И. О.],B99)</f>
        <v>0</v>
      </c>
      <c r="T101" s="544">
        <f t="shared" si="38"/>
        <v>0</v>
      </c>
      <c r="U101" s="472">
        <f>база!$M$5</f>
        <v>247.41720000000001</v>
      </c>
      <c r="V101" s="390">
        <v>1.3</v>
      </c>
      <c r="W101" s="478">
        <f>SUMIFS(Таблица14[часы],Таблица14[коэф],"1,3",Таблица14[р/р],"4/24",Таблица14[Ф. И. О.],B99)</f>
        <v>0</v>
      </c>
      <c r="X101" s="545">
        <f t="shared" si="39"/>
        <v>0</v>
      </c>
      <c r="Y101" s="764"/>
      <c r="Z101" s="766"/>
      <c r="AA101" s="756"/>
    </row>
    <row r="102" spans="1:29">
      <c r="A102" s="756"/>
      <c r="B102" s="215"/>
      <c r="C102" s="795"/>
      <c r="D102" s="795"/>
      <c r="E102" s="389"/>
      <c r="F102" s="390"/>
      <c r="G102" s="400"/>
      <c r="H102" s="392">
        <f t="shared" si="36"/>
        <v>0</v>
      </c>
      <c r="I102" s="393"/>
      <c r="J102" s="390"/>
      <c r="K102" s="434"/>
      <c r="L102" s="434">
        <f t="shared" si="37"/>
        <v>0</v>
      </c>
      <c r="M102" s="434"/>
      <c r="N102" s="434"/>
      <c r="O102" s="434"/>
      <c r="P102" s="406"/>
      <c r="Q102" s="389">
        <f>IF(D94&lt;=3,база!$L$4,
IF(D94=4,база!$L$5,
IF(D94=5,база!$L$6)))</f>
        <v>210.57480000000001</v>
      </c>
      <c r="R102" s="390">
        <v>1.4</v>
      </c>
      <c r="S102" s="400">
        <f>SUMIFS(Таблица14[часы],Таблица14[коэф],"1,4",Таблица14[р/р],"3/16",Таблица14[Ф. И. О.],B99)</f>
        <v>0</v>
      </c>
      <c r="T102" s="544">
        <f t="shared" si="38"/>
        <v>0</v>
      </c>
      <c r="U102" s="472">
        <f>IF(D94&lt;=3,база!$M$4,
IF(D94=4,база!$M$5,
IF(D94=5,база!$M$6)))</f>
        <v>225.09719999999999</v>
      </c>
      <c r="V102" s="390">
        <v>1.4</v>
      </c>
      <c r="W102" s="478">
        <f>SUMIFS(Таблица14[часы],Таблица14[коэф],"1,4",Таблица14[р/р],"3/24",Таблица14[Ф. И. О.],B99)</f>
        <v>0</v>
      </c>
      <c r="X102" s="545">
        <f t="shared" si="39"/>
        <v>0</v>
      </c>
      <c r="Y102" s="764"/>
      <c r="Z102" s="766"/>
      <c r="AA102" s="756"/>
    </row>
    <row r="103" spans="1:29">
      <c r="A103" s="756"/>
      <c r="B103" s="215"/>
      <c r="C103" s="795"/>
      <c r="D103" s="795"/>
      <c r="E103" s="389"/>
      <c r="F103" s="390"/>
      <c r="G103" s="400"/>
      <c r="H103" s="392">
        <f t="shared" si="36"/>
        <v>0</v>
      </c>
      <c r="I103" s="393"/>
      <c r="J103" s="390"/>
      <c r="K103" s="434"/>
      <c r="L103" s="434">
        <f t="shared" si="37"/>
        <v>0</v>
      </c>
      <c r="M103" s="434"/>
      <c r="N103" s="434"/>
      <c r="O103" s="434"/>
      <c r="P103" s="406"/>
      <c r="Q103" s="389">
        <f>база!$L$5</f>
        <v>231.45480000000001</v>
      </c>
      <c r="R103" s="390">
        <v>1.4</v>
      </c>
      <c r="S103" s="400">
        <f>SUMIFS(Таблица14[часы],Таблица14[коэф],"1,4",Таблица14[р/р],"4/16",Таблица14[Ф. И. О.],B99)</f>
        <v>0</v>
      </c>
      <c r="T103" s="544">
        <f t="shared" si="38"/>
        <v>0</v>
      </c>
      <c r="U103" s="472">
        <f>база!$M$5</f>
        <v>247.41720000000001</v>
      </c>
      <c r="V103" s="390">
        <v>1.4</v>
      </c>
      <c r="W103" s="478">
        <f>SUMIFS(Таблица14[часы],Таблица14[коэф],"1,4",Таблица14[р/р],"4/24",Таблица14[Ф. И. О.],B99)</f>
        <v>0</v>
      </c>
      <c r="X103" s="545">
        <f t="shared" si="39"/>
        <v>0</v>
      </c>
      <c r="Y103" s="764"/>
      <c r="Z103" s="766"/>
      <c r="AA103" s="756"/>
    </row>
    <row r="104" spans="1:29" ht="21" thickBot="1">
      <c r="A104" s="757"/>
      <c r="B104" s="215"/>
      <c r="C104" s="796"/>
      <c r="D104" s="796"/>
      <c r="E104" s="420"/>
      <c r="F104" s="403"/>
      <c r="G104" s="408"/>
      <c r="H104" s="409">
        <f t="shared" si="36"/>
        <v>0</v>
      </c>
      <c r="I104" s="422"/>
      <c r="J104" s="403"/>
      <c r="K104" s="460"/>
      <c r="L104" s="460">
        <f t="shared" si="37"/>
        <v>0</v>
      </c>
      <c r="M104" s="460"/>
      <c r="N104" s="460"/>
      <c r="O104" s="460"/>
      <c r="P104" s="479"/>
      <c r="Q104" s="420">
        <f>база!$L$6</f>
        <v>261.04640000000001</v>
      </c>
      <c r="R104" s="403">
        <v>1.4</v>
      </c>
      <c r="S104" s="408">
        <f>SUMIFS(Таблица14[часы],Таблица14[коэф],"1,4",Таблица14[р/р],"5/16",Таблица14[Ф. И. О.],B99)</f>
        <v>0</v>
      </c>
      <c r="T104" s="546">
        <f t="shared" si="38"/>
        <v>0</v>
      </c>
      <c r="U104" s="474">
        <f>база!$M$6</f>
        <v>279.0496</v>
      </c>
      <c r="V104" s="464">
        <v>1.4</v>
      </c>
      <c r="W104" s="480">
        <f>SUMIFS(Таблица14[часы],Таблица14[коэф],"1,4",Таблица14[р/р],"5/24",Таблица14[Ф. И. О.],B99)</f>
        <v>0</v>
      </c>
      <c r="X104" s="547">
        <f t="shared" si="39"/>
        <v>0</v>
      </c>
      <c r="Y104" s="765"/>
      <c r="Z104" s="767"/>
      <c r="AA104" s="757"/>
    </row>
    <row r="105" spans="1:29">
      <c r="A105" s="755">
        <v>10</v>
      </c>
      <c r="B105" s="235"/>
      <c r="C105" s="794">
        <f>INDEX(база!$E$2:$E$81, MATCH(B110,база!$B$2:$B$50,0))</f>
        <v>16250</v>
      </c>
      <c r="D105" s="794">
        <f>INDEX(база!$D$2:$D$89, MATCH(B110,база!$B$2:$B$50,0))</f>
        <v>3</v>
      </c>
      <c r="E105" s="377">
        <f>IF(D105&lt;=3,база!$I$4,
IF(D105=4,база!$I$5,
IF(D105=5,база!$I$6)))</f>
        <v>188.7912</v>
      </c>
      <c r="F105" s="378">
        <v>1</v>
      </c>
      <c r="G105" s="387">
        <f>SUMIFS(Таблица14[часы],Таблица14[коэф],"1",Таблица14[р/р],"2/4",Таблица14[Ф. И. О.],B110)</f>
        <v>0</v>
      </c>
      <c r="H105" s="380">
        <f>ROUND(E105*F105*G105*2,2)</f>
        <v>0</v>
      </c>
      <c r="I105" s="381">
        <f>IF(D105&lt;=3,база!$J$4,
IF(D105=4,база!$J$5,
IF(D105=5,база!$J$6)))</f>
        <v>196.05240000000001</v>
      </c>
      <c r="J105" s="378">
        <v>1</v>
      </c>
      <c r="K105" s="428">
        <f>SUMIFS(Таблица14[часы],Таблица14[коэф],"1",Таблица14[р/р],"2/8",Таблица14[Ф. И. О.],B110)</f>
        <v>0</v>
      </c>
      <c r="L105" s="428">
        <f>ROUND(I105*J105*K105*2,2)</f>
        <v>0</v>
      </c>
      <c r="M105" s="428"/>
      <c r="N105" s="428">
        <v>1</v>
      </c>
      <c r="O105" s="428">
        <f>SUMIFS(Data_Tech!$AM$3:$AM$67,Data_Tech!$E$3:$E$67,"1",Data_Tech!$G$3:$G$67,"3/12",Data_Tech!$F$3:$F$67,B110)</f>
        <v>0</v>
      </c>
      <c r="P105" s="385">
        <f>ROUND(M105*N105*O105,2)</f>
        <v>0</v>
      </c>
      <c r="Q105" s="377">
        <f>IF(D105&lt;=3,база!$L$4,
IF(D105=4,база!$L$5,
IF(D105=5,база!$L$6)))</f>
        <v>210.57480000000001</v>
      </c>
      <c r="R105" s="378">
        <v>1</v>
      </c>
      <c r="S105" s="387">
        <f>SUMIFS(Таблица14[часы],Таблица14[коэф],"1",Таблица14[р/р],"3/16",Таблица14[Ф. И. О.],B110)</f>
        <v>0</v>
      </c>
      <c r="T105" s="380">
        <f>ROUND(Q105*R105*S105*2,2)</f>
        <v>0</v>
      </c>
      <c r="U105" s="462">
        <f>IF(D105&lt;=3,база!$M$4,
IF(D105=4,база!$M$5,
IF(D105=5,база!$M$6)))</f>
        <v>225.09719999999999</v>
      </c>
      <c r="V105" s="378">
        <v>1</v>
      </c>
      <c r="W105" s="477">
        <f>SUMIFS(Таблица14[часы],Таблица14[коэф],"1",Таблица14[р/р],"3/24",Таблица14[Ф. И. О.],B110)</f>
        <v>0</v>
      </c>
      <c r="X105" s="543">
        <f>ROUND(U105*V105*W105*2,2)</f>
        <v>0</v>
      </c>
      <c r="Y105" s="764">
        <f t="shared" ref="Y105" si="40">SUM(G105:G115,K105:K115,O105:O115,S105:S115,W105:W115)</f>
        <v>0</v>
      </c>
      <c r="Z105" s="766">
        <f t="shared" ref="Z105" si="41">IFERROR(SUM(H105:H115,L105:L115,T105:T115,X105:X115),"")</f>
        <v>0</v>
      </c>
      <c r="AA105" s="756"/>
    </row>
    <row r="106" spans="1:29">
      <c r="A106" s="756"/>
      <c r="B106" s="215"/>
      <c r="C106" s="795"/>
      <c r="D106" s="795"/>
      <c r="E106" s="389">
        <f>IF(D105&lt;=3,база!$I$4,
IF(D105=4,база!$I$5,
IF(D105=5,база!$I$6)))</f>
        <v>188.7912</v>
      </c>
      <c r="F106" s="390">
        <v>1</v>
      </c>
      <c r="G106" s="400">
        <f>SUMIFS(Таблица14[часы],Таблица14[коэф],"1",Таблица14[р/р],"3/4",Таблица14[Ф. И. О.],B110)</f>
        <v>0</v>
      </c>
      <c r="H106" s="392">
        <f t="shared" ref="H106:H115" si="42">ROUND(E106*F106*G106*2,2)</f>
        <v>0</v>
      </c>
      <c r="I106" s="393">
        <f>IF(D105&lt;=3,база!$J$4,
IF(D105=4,база!$J$5,
IF(D105=5,база!$J$6)))</f>
        <v>196.05240000000001</v>
      </c>
      <c r="J106" s="390">
        <v>1</v>
      </c>
      <c r="K106" s="434">
        <f>SUMIFS(Таблица14[часы],Таблица14[коэф],"1",Таблица14[р/р],"3/8",Таблица14[Ф. И. О.],B110)</f>
        <v>0</v>
      </c>
      <c r="L106" s="434">
        <f t="shared" ref="L106:L115" si="43">ROUND(I106*J106*K106*2,2)</f>
        <v>0</v>
      </c>
      <c r="M106" s="434"/>
      <c r="N106" s="434">
        <v>1</v>
      </c>
      <c r="O106" s="434">
        <f>SUMIFS(Data_Tech!$AM$3:$AM$67,Data_Tech!$E$3:$E$67,"1",Data_Tech!$G$3:$G$67,"4/12",Data_Tech!$F$3:$F$67,B110)</f>
        <v>0</v>
      </c>
      <c r="P106" s="406">
        <f>ROUND(M106*O106,2)</f>
        <v>0</v>
      </c>
      <c r="Q106" s="389">
        <f>база!$L$5</f>
        <v>231.45480000000001</v>
      </c>
      <c r="R106" s="390">
        <v>1</v>
      </c>
      <c r="S106" s="400">
        <f>SUMIFS(Таблица14[часы],Таблица14[коэф],"1",Таблица14[р/р],"4/16",Таблица14[Ф. И. О.],B110)</f>
        <v>0</v>
      </c>
      <c r="T106" s="392">
        <f t="shared" ref="T106:T115" si="44">ROUND(Q106*R106*S106*2,2)</f>
        <v>0</v>
      </c>
      <c r="U106" s="410">
        <f>база!$M$5</f>
        <v>247.41720000000001</v>
      </c>
      <c r="V106" s="390">
        <v>1</v>
      </c>
      <c r="W106" s="478">
        <f>SUMIFS(Таблица14[часы],Таблица14[коэф],"1",Таблица14[р/р],"4/24",Таблица14[Ф. И. О.],B110)</f>
        <v>0</v>
      </c>
      <c r="X106" s="545">
        <f t="shared" ref="X106:X115" si="45">ROUND(U106*V106*W106*2,2)</f>
        <v>0</v>
      </c>
      <c r="Y106" s="764"/>
      <c r="Z106" s="766"/>
      <c r="AA106" s="756"/>
    </row>
    <row r="107" spans="1:29">
      <c r="A107" s="756"/>
      <c r="B107" s="215"/>
      <c r="C107" s="795"/>
      <c r="D107" s="795"/>
      <c r="E107" s="389"/>
      <c r="F107" s="390"/>
      <c r="G107" s="400"/>
      <c r="H107" s="392">
        <f t="shared" si="42"/>
        <v>0</v>
      </c>
      <c r="I107" s="393"/>
      <c r="J107" s="390"/>
      <c r="K107" s="434"/>
      <c r="L107" s="434">
        <f t="shared" si="43"/>
        <v>0</v>
      </c>
      <c r="M107" s="434"/>
      <c r="N107" s="434"/>
      <c r="O107" s="434"/>
      <c r="P107" s="406"/>
      <c r="Q107" s="389">
        <f>база!$L$6</f>
        <v>261.04640000000001</v>
      </c>
      <c r="R107" s="390">
        <v>1</v>
      </c>
      <c r="S107" s="400">
        <f>SUMIFS(Таблица14[часы],Таблица14[коэф],"1",Таблица14[р/р],"5/16",Таблица14[Ф. И. О.],B110)</f>
        <v>0</v>
      </c>
      <c r="T107" s="392">
        <f t="shared" si="44"/>
        <v>0</v>
      </c>
      <c r="U107" s="410">
        <f>база!$M$6</f>
        <v>279.0496</v>
      </c>
      <c r="V107" s="390">
        <v>1</v>
      </c>
      <c r="W107" s="478">
        <f>SUMIFS(Таблица14[часы],Таблица14[коэф],"1",Таблица14[р/р],"5/24",Таблица14[Ф. И. О.],B110)</f>
        <v>0</v>
      </c>
      <c r="X107" s="545">
        <f t="shared" si="45"/>
        <v>0</v>
      </c>
      <c r="Y107" s="764"/>
      <c r="Z107" s="766"/>
      <c r="AA107" s="756"/>
    </row>
    <row r="108" spans="1:29">
      <c r="A108" s="756"/>
      <c r="B108" s="215"/>
      <c r="C108" s="795"/>
      <c r="D108" s="795"/>
      <c r="E108" s="389"/>
      <c r="F108" s="390"/>
      <c r="G108" s="400"/>
      <c r="H108" s="392">
        <f t="shared" si="42"/>
        <v>0</v>
      </c>
      <c r="I108" s="393">
        <f>база!$J$5</f>
        <v>215.4924</v>
      </c>
      <c r="J108" s="390">
        <v>1.5</v>
      </c>
      <c r="K108" s="434">
        <f>SUMIFS(Таблица14[часы],Таблица14[коэф],"1,5",Таблица14[р/р],"4/8",Таблица14[Ф. И. О.],B110)</f>
        <v>0</v>
      </c>
      <c r="L108" s="434">
        <f t="shared" si="43"/>
        <v>0</v>
      </c>
      <c r="M108" s="434"/>
      <c r="N108" s="434"/>
      <c r="O108" s="434"/>
      <c r="P108" s="406"/>
      <c r="Q108" s="389">
        <f>IF(D105&lt;=3,база!$L$4,
IF(D105=4,база!$L$5,
IF(D105=5,база!$L$6)))</f>
        <v>210.57480000000001</v>
      </c>
      <c r="R108" s="390">
        <v>1.2</v>
      </c>
      <c r="S108" s="400">
        <f>SUMIFS(Таблица14[часы],Таблица14[коэф],"1,2",Таблица14[р/р],"3/16",Таблица14[Ф. И. О.],B110)</f>
        <v>0</v>
      </c>
      <c r="T108" s="392">
        <f t="shared" si="44"/>
        <v>0</v>
      </c>
      <c r="U108" s="410">
        <f>IF(D105&lt;=3,база!$M$4,
IF(D105=4,база!$M$5,
IF(D105=5,база!$M$6)))</f>
        <v>225.09719999999999</v>
      </c>
      <c r="V108" s="390">
        <v>1.2</v>
      </c>
      <c r="W108" s="478">
        <f>SUMIFS(Таблица14[часы],Таблица14[коэф],"1,2",Таблица14[р/р],"3/24",Таблица14[Ф. И. О.],B110)</f>
        <v>0</v>
      </c>
      <c r="X108" s="545">
        <f t="shared" si="45"/>
        <v>0</v>
      </c>
      <c r="Y108" s="764"/>
      <c r="Z108" s="766"/>
      <c r="AA108" s="756"/>
    </row>
    <row r="109" spans="1:29">
      <c r="A109" s="756"/>
      <c r="B109" s="215"/>
      <c r="C109" s="795"/>
      <c r="D109" s="795"/>
      <c r="E109" s="389"/>
      <c r="F109" s="390"/>
      <c r="G109" s="400"/>
      <c r="H109" s="392">
        <f t="shared" si="42"/>
        <v>0</v>
      </c>
      <c r="I109" s="393">
        <f>база!$J$6</f>
        <v>243.04319999999998</v>
      </c>
      <c r="J109" s="390">
        <v>1.5</v>
      </c>
      <c r="K109" s="434">
        <f>SUMIFS(Таблица14[часы],Таблица14[коэф],"1,5",Таблица14[р/р],"5/8",Таблица14[Ф. И. О.],B110)</f>
        <v>0</v>
      </c>
      <c r="L109" s="434">
        <f t="shared" si="43"/>
        <v>0</v>
      </c>
      <c r="M109" s="434"/>
      <c r="N109" s="434"/>
      <c r="O109" s="434"/>
      <c r="P109" s="406"/>
      <c r="Q109" s="389">
        <f>база!$L$5</f>
        <v>231.45480000000001</v>
      </c>
      <c r="R109" s="390">
        <v>1.2</v>
      </c>
      <c r="S109" s="400">
        <f>SUMIFS(Таблица14[часы],Таблица14[коэф],"1,2",Таблица14[р/р],"4/16",Таблица14[Ф. И. О.],B110)</f>
        <v>0</v>
      </c>
      <c r="T109" s="392">
        <f t="shared" si="44"/>
        <v>0</v>
      </c>
      <c r="U109" s="410">
        <f>база!$M$5</f>
        <v>247.41720000000001</v>
      </c>
      <c r="V109" s="390">
        <v>1.2</v>
      </c>
      <c r="W109" s="478">
        <f>SUMIFS(Таблица14[часы],Таблица14[коэф],"1,2",Таблица14[р/р],"4/24",Таблица14[Ф. И. О.],B110)</f>
        <v>0</v>
      </c>
      <c r="X109" s="545">
        <f t="shared" si="45"/>
        <v>0</v>
      </c>
      <c r="Y109" s="764"/>
      <c r="Z109" s="766"/>
      <c r="AA109" s="756"/>
    </row>
    <row r="110" spans="1:29">
      <c r="A110" s="756"/>
      <c r="B110" s="215" t="str">
        <f>база!B11</f>
        <v>Бородицкая Ирина Борисовна</v>
      </c>
      <c r="C110" s="795"/>
      <c r="D110" s="795"/>
      <c r="E110" s="389"/>
      <c r="F110" s="390"/>
      <c r="G110" s="400"/>
      <c r="H110" s="392">
        <f t="shared" si="42"/>
        <v>0</v>
      </c>
      <c r="I110" s="393"/>
      <c r="J110" s="390"/>
      <c r="K110" s="434"/>
      <c r="L110" s="434">
        <f t="shared" si="43"/>
        <v>0</v>
      </c>
      <c r="M110" s="434"/>
      <c r="N110" s="434"/>
      <c r="O110" s="434"/>
      <c r="P110" s="406"/>
      <c r="Q110" s="389">
        <f>база!$L$6</f>
        <v>261.04640000000001</v>
      </c>
      <c r="R110" s="390">
        <v>1.2</v>
      </c>
      <c r="S110" s="400">
        <f>SUMIFS(Таблица14[часы],Таблица14[коэф],"1,2",Таблица14[р/р],"5/16",Таблица14[Ф. И. О.],B110)</f>
        <v>0</v>
      </c>
      <c r="T110" s="392">
        <f t="shared" si="44"/>
        <v>0</v>
      </c>
      <c r="U110" s="410">
        <f>база!$M$6</f>
        <v>279.0496</v>
      </c>
      <c r="V110" s="390">
        <v>1.2</v>
      </c>
      <c r="W110" s="478">
        <f>SUMIFS(Таблица14[часы],Таблица14[коэф],"1,2",Таблица14[р/р],"5/24",Таблица14[Ф. И. О.],B110)</f>
        <v>0</v>
      </c>
      <c r="X110" s="545">
        <f t="shared" si="45"/>
        <v>0</v>
      </c>
      <c r="Y110" s="764"/>
      <c r="Z110" s="766"/>
      <c r="AA110" s="756"/>
      <c r="AC110" s="752" t="str">
        <f>IF(SUMIFS(Таблица14[Столбец2],Таблица14[Ф. И. О.],B110)-Z105=0,"",SUMIFS(Таблица14[Столбец2],Таблица14[Ф. И. О.],B110)-Z105)</f>
        <v/>
      </c>
    </row>
    <row r="111" spans="1:29">
      <c r="A111" s="756"/>
      <c r="B111" s="215"/>
      <c r="C111" s="795"/>
      <c r="D111" s="795"/>
      <c r="E111" s="389"/>
      <c r="F111" s="390"/>
      <c r="G111" s="400"/>
      <c r="H111" s="392">
        <f t="shared" si="42"/>
        <v>0</v>
      </c>
      <c r="I111" s="393"/>
      <c r="J111" s="390"/>
      <c r="K111" s="434"/>
      <c r="L111" s="434">
        <f t="shared" si="43"/>
        <v>0</v>
      </c>
      <c r="M111" s="434"/>
      <c r="N111" s="434"/>
      <c r="O111" s="434"/>
      <c r="P111" s="406"/>
      <c r="Q111" s="389">
        <f>IF(D105&lt;=3,база!$L$4,
IF(D105=4,база!$L$5,
IF(D105=5,база!$L$6)))</f>
        <v>210.57480000000001</v>
      </c>
      <c r="R111" s="390">
        <v>1.3</v>
      </c>
      <c r="S111" s="400">
        <f>SUMIFS(Таблица14[часы],Таблица14[коэф],"1,3",Таблица14[р/р],"3/16",Таблица14[Ф. И. О.],B110)</f>
        <v>0</v>
      </c>
      <c r="T111" s="392">
        <f t="shared" si="44"/>
        <v>0</v>
      </c>
      <c r="U111" s="410">
        <f>IF(D105&lt;=3,база!$M$4,
IF(D105=4,база!$M$5,
IF(D105=5,база!$M$6)))</f>
        <v>225.09719999999999</v>
      </c>
      <c r="V111" s="390">
        <v>1.3</v>
      </c>
      <c r="W111" s="478">
        <f>SUMIFS(Таблица14[часы],Таблица14[коэф],"1,3",Таблица14[р/р],"3/24",Таблица14[Ф. И. О.],B110)</f>
        <v>0</v>
      </c>
      <c r="X111" s="545">
        <f t="shared" si="45"/>
        <v>0</v>
      </c>
      <c r="Y111" s="764"/>
      <c r="Z111" s="766"/>
      <c r="AA111" s="756"/>
      <c r="AC111" s="752" t="str">
        <f>IF(SUMIFS(Таблица14[часы],Таблица14[Ф. И. О.],B110)-Y105=0,"",SUMIFS(Таблица14[часы],Таблица14[Ф. И. О.],B110)-Y105)</f>
        <v/>
      </c>
    </row>
    <row r="112" spans="1:29">
      <c r="A112" s="756"/>
      <c r="B112" s="215"/>
      <c r="C112" s="795"/>
      <c r="D112" s="795"/>
      <c r="E112" s="389"/>
      <c r="F112" s="390"/>
      <c r="G112" s="400"/>
      <c r="H112" s="392">
        <f t="shared" si="42"/>
        <v>0</v>
      </c>
      <c r="I112" s="393"/>
      <c r="J112" s="390"/>
      <c r="K112" s="434"/>
      <c r="L112" s="434">
        <f t="shared" si="43"/>
        <v>0</v>
      </c>
      <c r="M112" s="434"/>
      <c r="N112" s="434"/>
      <c r="O112" s="434"/>
      <c r="P112" s="406"/>
      <c r="Q112" s="389">
        <f>база!$L$5</f>
        <v>231.45480000000001</v>
      </c>
      <c r="R112" s="390">
        <v>1.3</v>
      </c>
      <c r="S112" s="400">
        <f>SUMIFS(Таблица14[часы],Таблица14[коэф],"1,3",Таблица14[р/р],"4/16",Таблица14[Ф. И. О.],B110)</f>
        <v>0</v>
      </c>
      <c r="T112" s="392">
        <f t="shared" si="44"/>
        <v>0</v>
      </c>
      <c r="U112" s="410">
        <f>база!$M$5</f>
        <v>247.41720000000001</v>
      </c>
      <c r="V112" s="390">
        <v>1.3</v>
      </c>
      <c r="W112" s="478">
        <f>SUMIFS(Таблица14[часы],Таблица14[коэф],"1,3",Таблица14[р/р],"4/24",Таблица14[Ф. И. О.],B110)</f>
        <v>0</v>
      </c>
      <c r="X112" s="545">
        <f t="shared" si="45"/>
        <v>0</v>
      </c>
      <c r="Y112" s="764"/>
      <c r="Z112" s="766"/>
      <c r="AA112" s="756"/>
    </row>
    <row r="113" spans="1:29">
      <c r="A113" s="756"/>
      <c r="B113" s="215"/>
      <c r="C113" s="795"/>
      <c r="D113" s="795"/>
      <c r="E113" s="389"/>
      <c r="F113" s="390"/>
      <c r="G113" s="400"/>
      <c r="H113" s="392">
        <f t="shared" si="42"/>
        <v>0</v>
      </c>
      <c r="I113" s="393"/>
      <c r="J113" s="390"/>
      <c r="K113" s="434"/>
      <c r="L113" s="434">
        <f t="shared" si="43"/>
        <v>0</v>
      </c>
      <c r="M113" s="434"/>
      <c r="N113" s="434"/>
      <c r="O113" s="434"/>
      <c r="P113" s="406"/>
      <c r="Q113" s="389">
        <f>IF(D105&lt;=3,база!$L$4,
IF(D105=4,база!$L$5,
IF(D105=5,база!$L$6)))</f>
        <v>210.57480000000001</v>
      </c>
      <c r="R113" s="390">
        <v>1.4</v>
      </c>
      <c r="S113" s="400">
        <f>SUMIFS(Таблица14[часы],Таблица14[коэф],"1,4",Таблица14[р/р],"3/16",Таблица14[Ф. И. О.],B110)</f>
        <v>0</v>
      </c>
      <c r="T113" s="392">
        <f t="shared" si="44"/>
        <v>0</v>
      </c>
      <c r="U113" s="410">
        <f>IF(D105&lt;=3,база!$M$4,
IF(D105=4,база!$M$5,
IF(D105=5,база!$M$6)))</f>
        <v>225.09719999999999</v>
      </c>
      <c r="V113" s="390">
        <v>1.4</v>
      </c>
      <c r="W113" s="478">
        <f>SUMIFS(Таблица14[часы],Таблица14[коэф],"1,4",Таблица14[р/р],"3/24",Таблица14[Ф. И. О.],B110)</f>
        <v>0</v>
      </c>
      <c r="X113" s="545">
        <f t="shared" si="45"/>
        <v>0</v>
      </c>
      <c r="Y113" s="764"/>
      <c r="Z113" s="766"/>
      <c r="AA113" s="756"/>
    </row>
    <row r="114" spans="1:29">
      <c r="A114" s="756"/>
      <c r="B114" s="215"/>
      <c r="C114" s="795"/>
      <c r="D114" s="795"/>
      <c r="E114" s="389"/>
      <c r="F114" s="390"/>
      <c r="G114" s="400"/>
      <c r="H114" s="392">
        <f t="shared" si="42"/>
        <v>0</v>
      </c>
      <c r="I114" s="393"/>
      <c r="J114" s="390"/>
      <c r="K114" s="434"/>
      <c r="L114" s="434">
        <f t="shared" si="43"/>
        <v>0</v>
      </c>
      <c r="M114" s="434"/>
      <c r="N114" s="434"/>
      <c r="O114" s="434"/>
      <c r="P114" s="406"/>
      <c r="Q114" s="389">
        <f>база!$L$5</f>
        <v>231.45480000000001</v>
      </c>
      <c r="R114" s="390">
        <v>1.4</v>
      </c>
      <c r="S114" s="400">
        <f>SUMIFS(Таблица14[часы],Таблица14[коэф],"1,4",Таблица14[р/р],"4/16",Таблица14[Ф. И. О.],B110)</f>
        <v>0</v>
      </c>
      <c r="T114" s="392">
        <f t="shared" si="44"/>
        <v>0</v>
      </c>
      <c r="U114" s="410">
        <f>база!$M$5</f>
        <v>247.41720000000001</v>
      </c>
      <c r="V114" s="390">
        <v>1.4</v>
      </c>
      <c r="W114" s="478">
        <f>SUMIFS(Таблица14[часы],Таблица14[коэф],"1,4",Таблица14[р/р],"4/24",Таблица14[Ф. И. О.],B110)</f>
        <v>0</v>
      </c>
      <c r="X114" s="545">
        <f t="shared" si="45"/>
        <v>0</v>
      </c>
      <c r="Y114" s="764"/>
      <c r="Z114" s="766"/>
      <c r="AA114" s="756"/>
    </row>
    <row r="115" spans="1:29" ht="21" thickBot="1">
      <c r="A115" s="757"/>
      <c r="B115" s="202"/>
      <c r="C115" s="796"/>
      <c r="D115" s="796"/>
      <c r="E115" s="473"/>
      <c r="F115" s="464"/>
      <c r="G115" s="465"/>
      <c r="H115" s="468">
        <f t="shared" si="42"/>
        <v>0</v>
      </c>
      <c r="I115" s="463"/>
      <c r="J115" s="464"/>
      <c r="K115" s="457"/>
      <c r="L115" s="457">
        <f t="shared" si="43"/>
        <v>0</v>
      </c>
      <c r="M115" s="457"/>
      <c r="N115" s="457"/>
      <c r="O115" s="457"/>
      <c r="P115" s="476"/>
      <c r="Q115" s="473">
        <f>база!$L$6</f>
        <v>261.04640000000001</v>
      </c>
      <c r="R115" s="464">
        <v>1.4</v>
      </c>
      <c r="S115" s="465">
        <f>SUMIFS(Таблица14[часы],Таблица14[коэф],"1,4",Таблица14[р/р],"5/16",Таблица14[Ф. И. О.],B110)</f>
        <v>0</v>
      </c>
      <c r="T115" s="468">
        <f t="shared" si="44"/>
        <v>0</v>
      </c>
      <c r="U115" s="469">
        <f>база!$M$6</f>
        <v>279.0496</v>
      </c>
      <c r="V115" s="464">
        <v>1.4</v>
      </c>
      <c r="W115" s="480">
        <f>SUMIFS(Таблица14[часы],Таблица14[коэф],"1,4",Таблица14[р/р],"5/24",Таблица14[Ф. И. О.],B110)</f>
        <v>0</v>
      </c>
      <c r="X115" s="547">
        <f t="shared" si="45"/>
        <v>0</v>
      </c>
      <c r="Y115" s="765"/>
      <c r="Z115" s="767"/>
      <c r="AA115" s="757"/>
    </row>
    <row r="116" spans="1:29">
      <c r="A116" s="755">
        <v>11</v>
      </c>
      <c r="B116" s="215"/>
      <c r="C116" s="758">
        <f>INDEX(база!$E$2:$E$81, MATCH(B121,база!$B$2:$B$50,0))</f>
        <v>16960</v>
      </c>
      <c r="D116" s="761">
        <f>INDEX(база!$D$2:$D$89, MATCH(B121,база!$B$2:$B$50,0))</f>
        <v>3</v>
      </c>
      <c r="E116" s="451">
        <f>IF(D116&lt;=3,база!$I$4,
IF(D116=4,база!$I$5,
IF(D116=5,база!$I$6)))</f>
        <v>188.7912</v>
      </c>
      <c r="F116" s="417">
        <v>1</v>
      </c>
      <c r="G116" s="418">
        <f>SUMIFS(Таблица14[часы],Таблица14[коэф],"1",Таблица14[р/р],"2/4",Таблица14[Ф. И. О.],B121)</f>
        <v>0</v>
      </c>
      <c r="H116" s="542">
        <f>ROUND(E116*F116*G116*2,2)</f>
        <v>0</v>
      </c>
      <c r="I116" s="377">
        <f>IF(D116&lt;=3,база!$J$4,
IF(D116=4,база!$J$5,
IF(D116=5,база!$J$6)))</f>
        <v>196.05240000000001</v>
      </c>
      <c r="J116" s="378">
        <v>1</v>
      </c>
      <c r="K116" s="428">
        <f>SUMIFS(Таблица14[часы],Таблица14[коэф],"1",Таблица14[р/р],"2/8",Таблица14[Ф. И. О.],B121)</f>
        <v>0</v>
      </c>
      <c r="L116" s="428">
        <f>ROUND(I116*J116*K116*2,2)</f>
        <v>0</v>
      </c>
      <c r="M116" s="428"/>
      <c r="N116" s="428">
        <v>1</v>
      </c>
      <c r="O116" s="428">
        <f>SUMIFS(Data_Tech!$AM$3:$AM$67,Data_Tech!$E$3:$E$67,"1",Data_Tech!$G$3:$G$67,"3/12",Data_Tech!$F$3:$F$67,B121)</f>
        <v>0</v>
      </c>
      <c r="P116" s="383">
        <f>ROUND(M116*N116*O116,2)</f>
        <v>0</v>
      </c>
      <c r="Q116" s="481">
        <f>IF(D116&lt;=3,база!$L$4,
IF(D116=4,база!$L$5,
IF(D116=5,база!$L$6)))</f>
        <v>210.57480000000001</v>
      </c>
      <c r="R116" s="417">
        <v>1</v>
      </c>
      <c r="S116" s="418">
        <f>SUMIFS(Таблица14[часы],Таблица14[коэф],"1",Таблица14[р/р],"3/16",Таблица14[Ф. И. О.],B121)</f>
        <v>0</v>
      </c>
      <c r="T116" s="542">
        <f>ROUND(Q116*R116*S116*2,2)</f>
        <v>0</v>
      </c>
      <c r="U116" s="471">
        <f>IF(D116&lt;=3,база!$M$4,
IF(D116=4,база!$M$5,
IF(D116=5,база!$M$6)))</f>
        <v>225.09719999999999</v>
      </c>
      <c r="V116" s="378">
        <v>1</v>
      </c>
      <c r="W116" s="430">
        <f>SUMIFS(Таблица14[часы],Таблица14[коэф],"1",Таблица14[р/р],"3/24",Таблица14[Ф. И. О.],B121)</f>
        <v>0</v>
      </c>
      <c r="X116" s="543">
        <f>ROUND(U116*V116*W116*2,2)</f>
        <v>0</v>
      </c>
      <c r="Y116" s="764">
        <f t="shared" ref="Y116" si="46">SUM(G116:G126,K116:K126,O116:O126,S116:S126,W116:W126)</f>
        <v>0</v>
      </c>
      <c r="Z116" s="766">
        <f t="shared" ref="Z116" si="47">IFERROR(SUM(H116:H126,L116:L126,T116:T126,X116:X126),"")</f>
        <v>0</v>
      </c>
      <c r="AA116" s="756"/>
    </row>
    <row r="117" spans="1:29">
      <c r="A117" s="756"/>
      <c r="B117" s="215"/>
      <c r="C117" s="759"/>
      <c r="D117" s="762"/>
      <c r="E117" s="393">
        <f>IF(D116&lt;=3,база!$I$4,
IF(D116=4,база!$I$5,
IF(D116=5,база!$I$6)))</f>
        <v>188.7912</v>
      </c>
      <c r="F117" s="390">
        <v>1</v>
      </c>
      <c r="G117" s="400">
        <f>SUMIFS(Таблица14[часы],Таблица14[коэф],"1",Таблица14[р/р],"3/4",Таблица14[Ф. И. О.],B121)</f>
        <v>0</v>
      </c>
      <c r="H117" s="544">
        <f t="shared" ref="H117:H126" si="48">ROUND(E117*F117*G117*2,2)</f>
        <v>0</v>
      </c>
      <c r="I117" s="389">
        <f>IF(D116&lt;=3,база!$J$4,
IF(D116=4,база!$J$5,
IF(D116=5,база!$J$6)))</f>
        <v>196.05240000000001</v>
      </c>
      <c r="J117" s="390">
        <v>1</v>
      </c>
      <c r="K117" s="434">
        <f>SUMIFS(Таблица14[часы],Таблица14[коэф],"1",Таблица14[р/р],"3/8",Таблица14[Ф. И. О.],B121)</f>
        <v>0</v>
      </c>
      <c r="L117" s="434">
        <f t="shared" ref="L117:L126" si="49">ROUND(I117*J117*K117*2,2)</f>
        <v>0</v>
      </c>
      <c r="M117" s="434"/>
      <c r="N117" s="434">
        <v>1</v>
      </c>
      <c r="O117" s="434">
        <f>SUMIFS(Data_Tech!$AM$3:$AM$67,Data_Tech!$E$3:$E$67,"1",Data_Tech!$G$3:$G$67,"4/12",Data_Tech!$F$3:$F$67,B121)</f>
        <v>0</v>
      </c>
      <c r="P117" s="395">
        <f>ROUND(M117*O117,2)</f>
        <v>0</v>
      </c>
      <c r="Q117" s="389">
        <f>база!$L$5</f>
        <v>231.45480000000001</v>
      </c>
      <c r="R117" s="390">
        <v>1</v>
      </c>
      <c r="S117" s="400">
        <f>SUMIFS(Таблица14[часы],Таблица14[коэф],"1",Таблица14[р/р],"4/16",Таблица14[Ф. И. О.],B121)</f>
        <v>0</v>
      </c>
      <c r="T117" s="544">
        <f t="shared" ref="T117:T126" si="50">ROUND(Q117*R117*S117*2,2)</f>
        <v>0</v>
      </c>
      <c r="U117" s="472">
        <f>база!$M$5</f>
        <v>247.41720000000001</v>
      </c>
      <c r="V117" s="390">
        <v>1</v>
      </c>
      <c r="W117" s="412">
        <f>SUMIFS(Таблица14[часы],Таблица14[коэф],"1",Таблица14[р/р],"4/24",Таблица14[Ф. И. О.],B121)</f>
        <v>0</v>
      </c>
      <c r="X117" s="545">
        <f t="shared" ref="X117:X126" si="51">ROUND(U117*V117*W117*2,2)</f>
        <v>0</v>
      </c>
      <c r="Y117" s="764"/>
      <c r="Z117" s="766"/>
      <c r="AA117" s="756"/>
    </row>
    <row r="118" spans="1:29">
      <c r="A118" s="756"/>
      <c r="B118" s="215"/>
      <c r="C118" s="759"/>
      <c r="D118" s="762"/>
      <c r="E118" s="393"/>
      <c r="F118" s="390"/>
      <c r="G118" s="400"/>
      <c r="H118" s="544">
        <f t="shared" si="48"/>
        <v>0</v>
      </c>
      <c r="I118" s="389"/>
      <c r="J118" s="390"/>
      <c r="K118" s="434"/>
      <c r="L118" s="434">
        <f t="shared" si="49"/>
        <v>0</v>
      </c>
      <c r="M118" s="434"/>
      <c r="N118" s="434"/>
      <c r="O118" s="434"/>
      <c r="P118" s="395"/>
      <c r="Q118" s="389">
        <f>база!$L$6</f>
        <v>261.04640000000001</v>
      </c>
      <c r="R118" s="390">
        <v>1</v>
      </c>
      <c r="S118" s="400">
        <f>SUMIFS(Таблица14[часы],Таблица14[коэф],"1",Таблица14[р/р],"5/16",Таблица14[Ф. И. О.],B121)</f>
        <v>0</v>
      </c>
      <c r="T118" s="544">
        <f t="shared" si="50"/>
        <v>0</v>
      </c>
      <c r="U118" s="472">
        <f>база!$M$6</f>
        <v>279.0496</v>
      </c>
      <c r="V118" s="390">
        <v>1</v>
      </c>
      <c r="W118" s="412">
        <f>SUMIFS(Таблица14[часы],Таблица14[коэф],"1",Таблица14[р/р],"5/24",Таблица14[Ф. И. О.],B121)</f>
        <v>0</v>
      </c>
      <c r="X118" s="545">
        <f t="shared" si="51"/>
        <v>0</v>
      </c>
      <c r="Y118" s="764"/>
      <c r="Z118" s="766"/>
      <c r="AA118" s="756"/>
    </row>
    <row r="119" spans="1:29">
      <c r="A119" s="756"/>
      <c r="B119" s="215"/>
      <c r="C119" s="759"/>
      <c r="D119" s="762"/>
      <c r="E119" s="393"/>
      <c r="F119" s="390"/>
      <c r="G119" s="400"/>
      <c r="H119" s="544">
        <f t="shared" si="48"/>
        <v>0</v>
      </c>
      <c r="I119" s="389">
        <f>база!$J$5</f>
        <v>215.4924</v>
      </c>
      <c r="J119" s="390">
        <v>1.5</v>
      </c>
      <c r="K119" s="434">
        <f>SUMIFS(Таблица14[часы],Таблица14[коэф],"1,5",Таблица14[р/р],"4/8",Таблица14[Ф. И. О.],B121)</f>
        <v>0</v>
      </c>
      <c r="L119" s="434">
        <f t="shared" si="49"/>
        <v>0</v>
      </c>
      <c r="M119" s="434"/>
      <c r="N119" s="434"/>
      <c r="O119" s="434"/>
      <c r="P119" s="395"/>
      <c r="Q119" s="389">
        <f>IF(D116&lt;=3,база!$L$4,
IF(D116=4,база!$L$5,
IF(D116=5,база!$L$6)))</f>
        <v>210.57480000000001</v>
      </c>
      <c r="R119" s="390">
        <v>1.2</v>
      </c>
      <c r="S119" s="400">
        <f>SUMIFS(Таблица14[часы],Таблица14[коэф],"1,2",Таблица14[р/р],"3/16",Таблица14[Ф. И. О.],B121)</f>
        <v>0</v>
      </c>
      <c r="T119" s="544">
        <f t="shared" si="50"/>
        <v>0</v>
      </c>
      <c r="U119" s="472">
        <f>IF(D116&lt;=3,база!$M$4,
IF(D116=4,база!$M$5,
IF(D116=5,база!$M$6)))</f>
        <v>225.09719999999999</v>
      </c>
      <c r="V119" s="390">
        <v>1.2</v>
      </c>
      <c r="W119" s="412">
        <f>SUMIFS(Таблица14[часы],Таблица14[коэф],"1,2",Таблица14[р/р],"3/24",Таблица14[Ф. И. О.],B121)</f>
        <v>0</v>
      </c>
      <c r="X119" s="545">
        <f t="shared" si="51"/>
        <v>0</v>
      </c>
      <c r="Y119" s="764"/>
      <c r="Z119" s="766"/>
      <c r="AA119" s="756"/>
    </row>
    <row r="120" spans="1:29">
      <c r="A120" s="756"/>
      <c r="B120" s="215"/>
      <c r="C120" s="759"/>
      <c r="D120" s="762"/>
      <c r="E120" s="393"/>
      <c r="F120" s="390"/>
      <c r="G120" s="400"/>
      <c r="H120" s="544">
        <f t="shared" si="48"/>
        <v>0</v>
      </c>
      <c r="I120" s="389">
        <f>база!$J$6</f>
        <v>243.04319999999998</v>
      </c>
      <c r="J120" s="390">
        <v>1.5</v>
      </c>
      <c r="K120" s="434">
        <f>SUMIFS(Таблица14[часы],Таблица14[коэф],"1,5",Таблица14[р/р],"5/8",Таблица14[Ф. И. О.],B121)</f>
        <v>0</v>
      </c>
      <c r="L120" s="434">
        <f t="shared" si="49"/>
        <v>0</v>
      </c>
      <c r="M120" s="434"/>
      <c r="N120" s="434"/>
      <c r="O120" s="434"/>
      <c r="P120" s="395"/>
      <c r="Q120" s="389">
        <f>база!$L$5</f>
        <v>231.45480000000001</v>
      </c>
      <c r="R120" s="390">
        <v>1.2</v>
      </c>
      <c r="S120" s="400">
        <f>SUMIFS(Таблица14[часы],Таблица14[коэф],"1,2",Таблица14[р/р],"4/16",Таблица14[Ф. И. О.],B121)</f>
        <v>0</v>
      </c>
      <c r="T120" s="544">
        <f t="shared" si="50"/>
        <v>0</v>
      </c>
      <c r="U120" s="472">
        <f>база!$M$5</f>
        <v>247.41720000000001</v>
      </c>
      <c r="V120" s="390">
        <v>1.2</v>
      </c>
      <c r="W120" s="412">
        <f>SUMIFS(Таблица14[часы],Таблица14[коэф],"1,2",Таблица14[р/р],"4/24",Таблица14[Ф. И. О.],B121)</f>
        <v>0</v>
      </c>
      <c r="X120" s="545">
        <f t="shared" si="51"/>
        <v>0</v>
      </c>
      <c r="Y120" s="764"/>
      <c r="Z120" s="766"/>
      <c r="AA120" s="756"/>
      <c r="AC120" s="752" t="str">
        <f>IF(SUMIFS(Таблица14[Столбец2],Таблица14[Ф. И. О.],B121)-Z116=0,"",SUMIFS(Таблица14[Столбец2],Таблица14[Ф. И. О.],B121)-Z116)</f>
        <v/>
      </c>
    </row>
    <row r="121" spans="1:29">
      <c r="A121" s="756"/>
      <c r="B121" s="215" t="str">
        <f>база!B12</f>
        <v>Бунчук Виктория Ивановна</v>
      </c>
      <c r="C121" s="759"/>
      <c r="D121" s="762"/>
      <c r="E121" s="393"/>
      <c r="F121" s="390"/>
      <c r="G121" s="400"/>
      <c r="H121" s="544">
        <f t="shared" si="48"/>
        <v>0</v>
      </c>
      <c r="I121" s="389"/>
      <c r="J121" s="390"/>
      <c r="K121" s="434"/>
      <c r="L121" s="434">
        <f t="shared" si="49"/>
        <v>0</v>
      </c>
      <c r="M121" s="434"/>
      <c r="N121" s="434"/>
      <c r="O121" s="434"/>
      <c r="P121" s="395"/>
      <c r="Q121" s="389">
        <f>база!$L$6</f>
        <v>261.04640000000001</v>
      </c>
      <c r="R121" s="390">
        <v>1.2</v>
      </c>
      <c r="S121" s="400">
        <f>SUMIFS(Таблица14[часы],Таблица14[коэф],"1,2",Таблица14[р/р],"5/16",Таблица14[Ф. И. О.],B121)</f>
        <v>0</v>
      </c>
      <c r="T121" s="544">
        <f t="shared" si="50"/>
        <v>0</v>
      </c>
      <c r="U121" s="472">
        <f>база!$M$6</f>
        <v>279.0496</v>
      </c>
      <c r="V121" s="390">
        <v>1.2</v>
      </c>
      <c r="W121" s="412">
        <f>SUMIFS(Таблица14[часы],Таблица14[коэф],"1,2",Таблица14[р/р],"5/24",Таблица14[Ф. И. О.],B121)</f>
        <v>0</v>
      </c>
      <c r="X121" s="545">
        <f t="shared" si="51"/>
        <v>0</v>
      </c>
      <c r="Y121" s="764"/>
      <c r="Z121" s="766"/>
      <c r="AA121" s="756"/>
      <c r="AC121" s="752" t="str">
        <f>IF(SUMIFS(Таблица14[часы],Таблица14[Ф. И. О.],B121)-Y116=0,"",SUMIFS(Таблица14[часы],Таблица14[Ф. И. О.],B121)-Y116)</f>
        <v/>
      </c>
    </row>
    <row r="122" spans="1:29">
      <c r="A122" s="756"/>
      <c r="B122" s="215"/>
      <c r="C122" s="759"/>
      <c r="D122" s="762"/>
      <c r="E122" s="393"/>
      <c r="F122" s="390"/>
      <c r="G122" s="400"/>
      <c r="H122" s="544">
        <f t="shared" si="48"/>
        <v>0</v>
      </c>
      <c r="I122" s="389"/>
      <c r="J122" s="390"/>
      <c r="K122" s="434"/>
      <c r="L122" s="434">
        <f t="shared" si="49"/>
        <v>0</v>
      </c>
      <c r="M122" s="434"/>
      <c r="N122" s="434"/>
      <c r="O122" s="434"/>
      <c r="P122" s="395"/>
      <c r="Q122" s="389">
        <f>IF(D116&lt;=3,база!$L$4,
IF(D116=4,база!$L$5,
IF(D116=5,база!$L$6)))</f>
        <v>210.57480000000001</v>
      </c>
      <c r="R122" s="390">
        <v>1.3</v>
      </c>
      <c r="S122" s="400">
        <f>SUMIFS(Таблица14[часы],Таблица14[коэф],"1,3",Таблица14[р/р],"3/16",Таблица14[Ф. И. О.],B121)</f>
        <v>0</v>
      </c>
      <c r="T122" s="544">
        <f t="shared" si="50"/>
        <v>0</v>
      </c>
      <c r="U122" s="472">
        <f>IF(D116&lt;=3,база!$M$4,
IF(D116=4,база!$M$5,
IF(D116=5,база!$M$6)))</f>
        <v>225.09719999999999</v>
      </c>
      <c r="V122" s="390">
        <v>1.3</v>
      </c>
      <c r="W122" s="412">
        <f>SUMIFS(Таблица14[часы],Таблица14[коэф],"1,3",Таблица14[р/р],"3/24",Таблица14[Ф. И. О.],B121)</f>
        <v>0</v>
      </c>
      <c r="X122" s="545">
        <f t="shared" si="51"/>
        <v>0</v>
      </c>
      <c r="Y122" s="764"/>
      <c r="Z122" s="766"/>
      <c r="AA122" s="756"/>
    </row>
    <row r="123" spans="1:29">
      <c r="A123" s="756"/>
      <c r="B123" s="215"/>
      <c r="C123" s="759"/>
      <c r="D123" s="762"/>
      <c r="E123" s="393"/>
      <c r="F123" s="390"/>
      <c r="G123" s="400"/>
      <c r="H123" s="544">
        <f t="shared" si="48"/>
        <v>0</v>
      </c>
      <c r="I123" s="389"/>
      <c r="J123" s="390"/>
      <c r="K123" s="434"/>
      <c r="L123" s="434">
        <f t="shared" si="49"/>
        <v>0</v>
      </c>
      <c r="M123" s="434"/>
      <c r="N123" s="434"/>
      <c r="O123" s="434"/>
      <c r="P123" s="395"/>
      <c r="Q123" s="389">
        <f>база!$L$5</f>
        <v>231.45480000000001</v>
      </c>
      <c r="R123" s="390">
        <v>1.3</v>
      </c>
      <c r="S123" s="400">
        <f>SUMIFS(Таблица14[часы],Таблица14[коэф],"1,3",Таблица14[р/р],"4/16",Таблица14[Ф. И. О.],B121)</f>
        <v>0</v>
      </c>
      <c r="T123" s="544">
        <f t="shared" si="50"/>
        <v>0</v>
      </c>
      <c r="U123" s="472">
        <f>база!$M$5</f>
        <v>247.41720000000001</v>
      </c>
      <c r="V123" s="390">
        <v>1.3</v>
      </c>
      <c r="W123" s="412">
        <f>SUMIFS(Таблица14[часы],Таблица14[коэф],"1,3",Таблица14[р/р],"4/24",Таблица14[Ф. И. О.],B121)</f>
        <v>0</v>
      </c>
      <c r="X123" s="545">
        <f t="shared" si="51"/>
        <v>0</v>
      </c>
      <c r="Y123" s="764"/>
      <c r="Z123" s="766"/>
      <c r="AA123" s="756"/>
    </row>
    <row r="124" spans="1:29">
      <c r="A124" s="756"/>
      <c r="B124" s="215"/>
      <c r="C124" s="759"/>
      <c r="D124" s="762"/>
      <c r="E124" s="393"/>
      <c r="F124" s="390"/>
      <c r="G124" s="400"/>
      <c r="H124" s="544">
        <f t="shared" si="48"/>
        <v>0</v>
      </c>
      <c r="I124" s="389"/>
      <c r="J124" s="390"/>
      <c r="K124" s="434"/>
      <c r="L124" s="434">
        <f t="shared" si="49"/>
        <v>0</v>
      </c>
      <c r="M124" s="434"/>
      <c r="N124" s="434"/>
      <c r="O124" s="434"/>
      <c r="P124" s="395"/>
      <c r="Q124" s="389">
        <f>IF(D116&lt;=3,база!$L$4,
IF(D116=4,база!$L$5,
IF(D116=5,база!$L$6)))</f>
        <v>210.57480000000001</v>
      </c>
      <c r="R124" s="390">
        <v>1.4</v>
      </c>
      <c r="S124" s="400">
        <f>SUMIFS(Таблица14[часы],Таблица14[коэф],"1,4",Таблица14[р/р],"3/16",Таблица14[Ф. И. О.],B121)</f>
        <v>0</v>
      </c>
      <c r="T124" s="544">
        <f t="shared" si="50"/>
        <v>0</v>
      </c>
      <c r="U124" s="472">
        <f>IF(D116&lt;=3,база!$M$4,
IF(D116=4,база!$M$5,
IF(D116=5,база!$M$6)))</f>
        <v>225.09719999999999</v>
      </c>
      <c r="V124" s="390">
        <v>1.4</v>
      </c>
      <c r="W124" s="412">
        <f>SUMIFS(Таблица14[часы],Таблица14[коэф],"1,4",Таблица14[р/р],"3/24",Таблица14[Ф. И. О.],B121)</f>
        <v>0</v>
      </c>
      <c r="X124" s="545">
        <f t="shared" si="51"/>
        <v>0</v>
      </c>
      <c r="Y124" s="764"/>
      <c r="Z124" s="766"/>
      <c r="AA124" s="756"/>
    </row>
    <row r="125" spans="1:29">
      <c r="A125" s="756"/>
      <c r="B125" s="215"/>
      <c r="C125" s="759"/>
      <c r="D125" s="762"/>
      <c r="E125" s="393"/>
      <c r="F125" s="390"/>
      <c r="G125" s="400"/>
      <c r="H125" s="544">
        <f t="shared" si="48"/>
        <v>0</v>
      </c>
      <c r="I125" s="389"/>
      <c r="J125" s="390"/>
      <c r="K125" s="434"/>
      <c r="L125" s="434">
        <f t="shared" si="49"/>
        <v>0</v>
      </c>
      <c r="M125" s="434"/>
      <c r="N125" s="434"/>
      <c r="O125" s="434"/>
      <c r="P125" s="395"/>
      <c r="Q125" s="389">
        <f>база!$L$5</f>
        <v>231.45480000000001</v>
      </c>
      <c r="R125" s="390">
        <v>1.4</v>
      </c>
      <c r="S125" s="400">
        <f>SUMIFS(Таблица14[часы],Таблица14[коэф],"1,4",Таблица14[р/р],"4/16",Таблица14[Ф. И. О.],B121)</f>
        <v>0</v>
      </c>
      <c r="T125" s="544">
        <f t="shared" si="50"/>
        <v>0</v>
      </c>
      <c r="U125" s="472">
        <f>база!$M$5</f>
        <v>247.41720000000001</v>
      </c>
      <c r="V125" s="390">
        <v>1.4</v>
      </c>
      <c r="W125" s="412">
        <f>SUMIFS(Таблица14[часы],Таблица14[коэф],"1,4",Таблица14[р/р],"4/24",Таблица14[Ф. И. О.],B121)</f>
        <v>0</v>
      </c>
      <c r="X125" s="545">
        <f t="shared" si="51"/>
        <v>0</v>
      </c>
      <c r="Y125" s="764"/>
      <c r="Z125" s="766"/>
      <c r="AA125" s="756"/>
    </row>
    <row r="126" spans="1:29" ht="21" thickBot="1">
      <c r="A126" s="757"/>
      <c r="B126" s="215"/>
      <c r="C126" s="760"/>
      <c r="D126" s="763"/>
      <c r="E126" s="422"/>
      <c r="F126" s="403"/>
      <c r="G126" s="408"/>
      <c r="H126" s="546">
        <f t="shared" si="48"/>
        <v>0</v>
      </c>
      <c r="I126" s="420"/>
      <c r="J126" s="403"/>
      <c r="K126" s="460"/>
      <c r="L126" s="460">
        <f t="shared" si="49"/>
        <v>0</v>
      </c>
      <c r="M126" s="460"/>
      <c r="N126" s="460"/>
      <c r="O126" s="460"/>
      <c r="P126" s="424"/>
      <c r="Q126" s="420">
        <f>база!$L$6</f>
        <v>261.04640000000001</v>
      </c>
      <c r="R126" s="403">
        <v>1.4</v>
      </c>
      <c r="S126" s="408">
        <f>SUMIFS(Таблица14[часы],Таблица14[коэф],"1,4",Таблица14[р/р],"5/16",Таблица14[Ф. И. О.],B121)</f>
        <v>0</v>
      </c>
      <c r="T126" s="546">
        <f t="shared" si="50"/>
        <v>0</v>
      </c>
      <c r="U126" s="482">
        <f>база!$M$6</f>
        <v>279.0496</v>
      </c>
      <c r="V126" s="403">
        <v>1.4</v>
      </c>
      <c r="W126" s="527">
        <f>SUMIFS(Таблица14[часы],Таблица14[коэф],"1,4",Таблица14[р/р],"5/24",Таблица14[Ф. И. О.],B121)</f>
        <v>0</v>
      </c>
      <c r="X126" s="550">
        <f t="shared" si="51"/>
        <v>0</v>
      </c>
      <c r="Y126" s="765"/>
      <c r="Z126" s="767"/>
      <c r="AA126" s="757"/>
    </row>
    <row r="127" spans="1:29">
      <c r="A127" s="755">
        <v>12</v>
      </c>
      <c r="B127" s="522"/>
      <c r="C127" s="758">
        <f>INDEX(база!$E$2:$E$81, MATCH(B132,база!$B$2:$B$50,0))</f>
        <v>17332</v>
      </c>
      <c r="D127" s="761">
        <f>INDEX(база!$D$2:$D$89, MATCH(B132,база!$B$2:$B$50,0))</f>
        <v>3</v>
      </c>
      <c r="E127" s="381">
        <f>IF(D127&lt;=3,база!$I$4,
IF(D127=4,база!$I$5,
IF(D127=5,база!$I$6)))</f>
        <v>188.7912</v>
      </c>
      <c r="F127" s="378">
        <v>1</v>
      </c>
      <c r="G127" s="387">
        <f>SUMIFS(Таблица14[часы],Таблица14[коэф],"1",Таблица14[р/р],"2/4",Таблица14[Ф. И. О.],B132)</f>
        <v>0</v>
      </c>
      <c r="H127" s="548">
        <f>ROUND(E127*F127*G127*2,2)</f>
        <v>0</v>
      </c>
      <c r="I127" s="377">
        <f>IF(D127&lt;=3,база!$J$4,
IF(D127=4,база!$J$5,
IF(D127=5,база!$J$6)))</f>
        <v>196.05240000000001</v>
      </c>
      <c r="J127" s="378">
        <v>1</v>
      </c>
      <c r="K127" s="428">
        <f>SUMIFS(Таблица14[часы],Таблица14[коэф],"1",Таблица14[р/р],"2/8",Таблица14[Ф. И. О.],B132)</f>
        <v>0</v>
      </c>
      <c r="L127" s="428">
        <f>ROUND(I127*J127*K127*2,2)</f>
        <v>0</v>
      </c>
      <c r="M127" s="428"/>
      <c r="N127" s="428">
        <v>1</v>
      </c>
      <c r="O127" s="428">
        <f>SUMIFS(Data_Tech!$AM$3:$AM$67,Data_Tech!$E$3:$E$67,"1",Data_Tech!$G$3:$G$67,"3/12",Data_Tech!$F$3:$F$67,B132)</f>
        <v>0</v>
      </c>
      <c r="P127" s="383">
        <f>ROUND(M127*N127*O127,2)</f>
        <v>0</v>
      </c>
      <c r="Q127" s="377">
        <f>IF(D127&lt;=3,база!$L$4,
IF(D127=4,база!$L$5,
IF(D127=5,база!$L$6)))</f>
        <v>210.57480000000001</v>
      </c>
      <c r="R127" s="378">
        <v>1</v>
      </c>
      <c r="S127" s="387">
        <f>SUMIFS(Таблица14[часы],Таблица14[коэф],"1",Таблица14[р/р],"3/16",Таблица14[Ф. И. О.],B132)</f>
        <v>0</v>
      </c>
      <c r="T127" s="548">
        <f>ROUND(Q127*R127*S127*2,2)</f>
        <v>0</v>
      </c>
      <c r="U127" s="471">
        <f>IF(D127&lt;=3,база!$M$4,
IF(D127=4,база!$M$5,
IF(D127=5,база!$M$6)))</f>
        <v>225.09719999999999</v>
      </c>
      <c r="V127" s="378">
        <v>1</v>
      </c>
      <c r="W127" s="430">
        <f>SUMIFS(Таблица14[часы],Таблица14[коэф],"1",Таблица14[р/р],"3/24",Таблица14[Ф. И. О.],B132)</f>
        <v>0</v>
      </c>
      <c r="X127" s="543">
        <f>ROUND(U127*V127*W127*2,2)</f>
        <v>0</v>
      </c>
      <c r="Y127" s="764">
        <f t="shared" ref="Y127" si="52">SUM(G127:G137,K127:K137,O127:O137,S127:S137,W127:W137)</f>
        <v>0</v>
      </c>
      <c r="Z127" s="766">
        <f t="shared" ref="Z127" si="53">IFERROR(SUM(H127:H137,L127:L137,T127:T137,X127:X137),"")</f>
        <v>0</v>
      </c>
      <c r="AA127" s="756"/>
    </row>
    <row r="128" spans="1:29">
      <c r="A128" s="756"/>
      <c r="B128" s="215"/>
      <c r="C128" s="759"/>
      <c r="D128" s="762"/>
      <c r="E128" s="393">
        <f>IF(D127&lt;=3,база!$I$4,
IF(D127=4,база!$I$5,
IF(D127=5,база!$I$6)))</f>
        <v>188.7912</v>
      </c>
      <c r="F128" s="390">
        <v>1</v>
      </c>
      <c r="G128" s="400">
        <f>SUMIFS(Таблица14[часы],Таблица14[коэф],"1",Таблица14[р/р],"3/4",Таблица14[Ф. И. О.],B132)</f>
        <v>0</v>
      </c>
      <c r="H128" s="544">
        <f t="shared" ref="H128:H137" si="54">ROUND(E128*F128*G128*2,2)</f>
        <v>0</v>
      </c>
      <c r="I128" s="389">
        <f>IF(D127&lt;=3,база!$J$4,
IF(D127=4,база!$J$5,
IF(D127=5,база!$J$6)))</f>
        <v>196.05240000000001</v>
      </c>
      <c r="J128" s="390">
        <v>1</v>
      </c>
      <c r="K128" s="434">
        <f>SUMIFS(Таблица14[часы],Таблица14[коэф],"1",Таблица14[р/р],"3/8",Таблица14[Ф. И. О.],B132)</f>
        <v>0</v>
      </c>
      <c r="L128" s="434">
        <f t="shared" ref="L128:L137" si="55">ROUND(I128*J128*K128*2,2)</f>
        <v>0</v>
      </c>
      <c r="M128" s="434"/>
      <c r="N128" s="434">
        <v>1</v>
      </c>
      <c r="O128" s="434">
        <f>SUMIFS(Data_Tech!$AM$3:$AM$67,Data_Tech!$E$3:$E$67,"1",Data_Tech!$G$3:$G$67,"4/12",Data_Tech!$F$3:$F$67,B132)</f>
        <v>0</v>
      </c>
      <c r="P128" s="395">
        <f>ROUND(M128*O128,2)</f>
        <v>0</v>
      </c>
      <c r="Q128" s="389">
        <f>база!$L$5</f>
        <v>231.45480000000001</v>
      </c>
      <c r="R128" s="390">
        <v>1</v>
      </c>
      <c r="S128" s="400">
        <f>SUMIFS(Таблица14[часы],Таблица14[коэф],"1",Таблица14[р/р],"4/16",Таблица14[Ф. И. О.],B132)</f>
        <v>0</v>
      </c>
      <c r="T128" s="544">
        <f t="shared" ref="T128:T137" si="56">ROUND(Q128*R128*S128*2,2)</f>
        <v>0</v>
      </c>
      <c r="U128" s="472">
        <f>база!$M$5</f>
        <v>247.41720000000001</v>
      </c>
      <c r="V128" s="390">
        <v>1</v>
      </c>
      <c r="W128" s="412">
        <f>SUMIFS(Таблица14[часы],Таблица14[коэф],"1",Таблица14[р/р],"4/24",Таблица14[Ф. И. О.],B132)</f>
        <v>0</v>
      </c>
      <c r="X128" s="545">
        <f t="shared" ref="X128:X137" si="57">ROUND(U128*V128*W128*2,2)</f>
        <v>0</v>
      </c>
      <c r="Y128" s="764"/>
      <c r="Z128" s="766"/>
      <c r="AA128" s="756"/>
    </row>
    <row r="129" spans="1:29">
      <c r="A129" s="756"/>
      <c r="B129" s="215"/>
      <c r="C129" s="759"/>
      <c r="D129" s="762"/>
      <c r="E129" s="393"/>
      <c r="F129" s="390"/>
      <c r="G129" s="400"/>
      <c r="H129" s="544">
        <f t="shared" si="54"/>
        <v>0</v>
      </c>
      <c r="I129" s="389"/>
      <c r="J129" s="390"/>
      <c r="K129" s="434"/>
      <c r="L129" s="434">
        <f t="shared" si="55"/>
        <v>0</v>
      </c>
      <c r="M129" s="434"/>
      <c r="N129" s="434"/>
      <c r="O129" s="434"/>
      <c r="P129" s="395"/>
      <c r="Q129" s="389">
        <f>база!$L$6</f>
        <v>261.04640000000001</v>
      </c>
      <c r="R129" s="390">
        <v>1</v>
      </c>
      <c r="S129" s="400">
        <f>SUMIFS(Таблица14[часы],Таблица14[коэф],"1",Таблица14[р/р],"5/16",Таблица14[Ф. И. О.],B132)</f>
        <v>0</v>
      </c>
      <c r="T129" s="544">
        <f t="shared" si="56"/>
        <v>0</v>
      </c>
      <c r="U129" s="472">
        <f>база!$M$6</f>
        <v>279.0496</v>
      </c>
      <c r="V129" s="390">
        <v>1</v>
      </c>
      <c r="W129" s="412">
        <f>SUMIFS(Таблица14[часы],Таблица14[коэф],"1",Таблица14[р/р],"5/24",Таблица14[Ф. И. О.],B132)</f>
        <v>0</v>
      </c>
      <c r="X129" s="545">
        <f t="shared" si="57"/>
        <v>0</v>
      </c>
      <c r="Y129" s="764"/>
      <c r="Z129" s="766"/>
      <c r="AA129" s="756"/>
    </row>
    <row r="130" spans="1:29">
      <c r="A130" s="756"/>
      <c r="B130" s="215"/>
      <c r="C130" s="759"/>
      <c r="D130" s="762"/>
      <c r="E130" s="393"/>
      <c r="F130" s="390"/>
      <c r="G130" s="400"/>
      <c r="H130" s="544">
        <f t="shared" si="54"/>
        <v>0</v>
      </c>
      <c r="I130" s="389">
        <f>база!$J$5</f>
        <v>215.4924</v>
      </c>
      <c r="J130" s="390">
        <v>1.5</v>
      </c>
      <c r="K130" s="434">
        <f>SUMIFS(Таблица14[часы],Таблица14[коэф],"1,5",Таблица14[р/р],"4/8",Таблица14[Ф. И. О.],B132)</f>
        <v>0</v>
      </c>
      <c r="L130" s="434">
        <f t="shared" si="55"/>
        <v>0</v>
      </c>
      <c r="M130" s="434"/>
      <c r="N130" s="434"/>
      <c r="O130" s="434"/>
      <c r="P130" s="395"/>
      <c r="Q130" s="389">
        <f>IF(D127&lt;=3,база!$L$4,
IF(D127=4,база!$L$5,
IF(D127=5,база!$L$6)))</f>
        <v>210.57480000000001</v>
      </c>
      <c r="R130" s="390">
        <v>1.2</v>
      </c>
      <c r="S130" s="400">
        <f>SUMIFS(Таблица14[часы],Таблица14[коэф],"1,2",Таблица14[р/р],"3/16",Таблица14[Ф. И. О.],B132)</f>
        <v>0</v>
      </c>
      <c r="T130" s="544">
        <f t="shared" si="56"/>
        <v>0</v>
      </c>
      <c r="U130" s="472">
        <f>IF(D127&lt;=3,база!$M$4,
IF(D127=4,база!$M$5,
IF(D127=5,база!$M$6)))</f>
        <v>225.09719999999999</v>
      </c>
      <c r="V130" s="390">
        <v>1.2</v>
      </c>
      <c r="W130" s="412">
        <f>SUMIFS(Таблица14[часы],Таблица14[коэф],"1,2",Таблица14[р/р],"3/24",Таблица14[Ф. И. О.],B132)</f>
        <v>0</v>
      </c>
      <c r="X130" s="545">
        <f t="shared" si="57"/>
        <v>0</v>
      </c>
      <c r="Y130" s="764"/>
      <c r="Z130" s="766"/>
      <c r="AA130" s="756"/>
    </row>
    <row r="131" spans="1:29">
      <c r="A131" s="756"/>
      <c r="B131" s="215"/>
      <c r="C131" s="759"/>
      <c r="D131" s="762"/>
      <c r="E131" s="393"/>
      <c r="F131" s="390"/>
      <c r="G131" s="400"/>
      <c r="H131" s="544">
        <f t="shared" si="54"/>
        <v>0</v>
      </c>
      <c r="I131" s="389">
        <f>база!$J$6</f>
        <v>243.04319999999998</v>
      </c>
      <c r="J131" s="390">
        <v>1.5</v>
      </c>
      <c r="K131" s="434">
        <f>SUMIFS(Таблица14[часы],Таблица14[коэф],"1,5",Таблица14[р/р],"5/8",Таблица14[Ф. И. О.],B132)</f>
        <v>0</v>
      </c>
      <c r="L131" s="434">
        <f t="shared" si="55"/>
        <v>0</v>
      </c>
      <c r="M131" s="434"/>
      <c r="N131" s="434"/>
      <c r="O131" s="434"/>
      <c r="P131" s="395"/>
      <c r="Q131" s="389">
        <f>база!$L$5</f>
        <v>231.45480000000001</v>
      </c>
      <c r="R131" s="390">
        <v>1.2</v>
      </c>
      <c r="S131" s="400">
        <f>SUMIFS(Таблица14[часы],Таблица14[коэф],"1,2",Таблица14[р/р],"4/16",Таблица14[Ф. И. О.],B132)</f>
        <v>0</v>
      </c>
      <c r="T131" s="544">
        <f t="shared" si="56"/>
        <v>0</v>
      </c>
      <c r="U131" s="472">
        <f>база!$M$5</f>
        <v>247.41720000000001</v>
      </c>
      <c r="V131" s="390">
        <v>1.2</v>
      </c>
      <c r="W131" s="412">
        <f>SUMIFS(Таблица14[часы],Таблица14[коэф],"1,2",Таблица14[р/р],"4/24",Таблица14[Ф. И. О.],B132)</f>
        <v>0</v>
      </c>
      <c r="X131" s="545">
        <f t="shared" si="57"/>
        <v>0</v>
      </c>
      <c r="Y131" s="764"/>
      <c r="Z131" s="766"/>
      <c r="AA131" s="756"/>
    </row>
    <row r="132" spans="1:29" ht="21" customHeight="1">
      <c r="A132" s="756"/>
      <c r="B132" s="215" t="str">
        <f>база!B13</f>
        <v>Васильева Марина Витальевна</v>
      </c>
      <c r="C132" s="759"/>
      <c r="D132" s="762"/>
      <c r="E132" s="393"/>
      <c r="F132" s="390"/>
      <c r="G132" s="400"/>
      <c r="H132" s="544">
        <f t="shared" si="54"/>
        <v>0</v>
      </c>
      <c r="I132" s="389"/>
      <c r="J132" s="390"/>
      <c r="K132" s="434"/>
      <c r="L132" s="434">
        <f t="shared" si="55"/>
        <v>0</v>
      </c>
      <c r="M132" s="434"/>
      <c r="N132" s="434"/>
      <c r="O132" s="434"/>
      <c r="P132" s="395"/>
      <c r="Q132" s="389">
        <f>база!$L$6</f>
        <v>261.04640000000001</v>
      </c>
      <c r="R132" s="390">
        <v>1.2</v>
      </c>
      <c r="S132" s="400">
        <f>SUMIFS(Таблица14[часы],Таблица14[коэф],"1,2",Таблица14[р/р],"5/16",Таблица14[Ф. И. О.],B132)</f>
        <v>0</v>
      </c>
      <c r="T132" s="544">
        <f t="shared" si="56"/>
        <v>0</v>
      </c>
      <c r="U132" s="472">
        <f>база!$M$6</f>
        <v>279.0496</v>
      </c>
      <c r="V132" s="390">
        <v>1.2</v>
      </c>
      <c r="W132" s="412">
        <f>SUMIFS(Таблица14[часы],Таблица14[коэф],"1,2",Таблица14[р/р],"5/24",Таблица14[Ф. И. О.],B132)</f>
        <v>0</v>
      </c>
      <c r="X132" s="545">
        <f t="shared" si="57"/>
        <v>0</v>
      </c>
      <c r="Y132" s="764"/>
      <c r="Z132" s="766"/>
      <c r="AA132" s="756"/>
      <c r="AC132" s="752" t="str">
        <f>IF(SUMIFS(Таблица14[Столбец2],Таблица14[Ф. И. О.],B132)-Z127=0,"",SUMIFS(Таблица14[Столбец2],Таблица14[Ф. И. О.],B132)-Z127)</f>
        <v/>
      </c>
    </row>
    <row r="133" spans="1:29">
      <c r="A133" s="756"/>
      <c r="B133" s="215"/>
      <c r="C133" s="759"/>
      <c r="D133" s="762"/>
      <c r="E133" s="393"/>
      <c r="F133" s="390"/>
      <c r="G133" s="400"/>
      <c r="H133" s="544">
        <f t="shared" si="54"/>
        <v>0</v>
      </c>
      <c r="I133" s="389"/>
      <c r="J133" s="390"/>
      <c r="K133" s="434"/>
      <c r="L133" s="434">
        <f t="shared" si="55"/>
        <v>0</v>
      </c>
      <c r="M133" s="434"/>
      <c r="N133" s="434"/>
      <c r="O133" s="434"/>
      <c r="P133" s="395"/>
      <c r="Q133" s="389">
        <f>IF(D127&lt;=3,база!$L$4,
IF(D127=4,база!$L$5,
IF(D127=5,база!$L$6)))</f>
        <v>210.57480000000001</v>
      </c>
      <c r="R133" s="390">
        <v>1.3</v>
      </c>
      <c r="S133" s="400">
        <f>SUMIFS(Таблица14[часы],Таблица14[коэф],"1,3",Таблица14[р/р],"3/16",Таблица14[Ф. И. О.],B132)</f>
        <v>0</v>
      </c>
      <c r="T133" s="544">
        <f t="shared" si="56"/>
        <v>0</v>
      </c>
      <c r="U133" s="472">
        <f>IF(D127&lt;=3,база!$M$4,
IF(D127=4,база!$M$5,
IF(D127=5,база!$M$6)))</f>
        <v>225.09719999999999</v>
      </c>
      <c r="V133" s="390">
        <v>1.3</v>
      </c>
      <c r="W133" s="412">
        <f>SUMIFS(Таблица14[часы],Таблица14[коэф],"1,3",Таблица14[р/р],"3/24",Таблица14[Ф. И. О.],B132)</f>
        <v>0</v>
      </c>
      <c r="X133" s="545">
        <f t="shared" si="57"/>
        <v>0</v>
      </c>
      <c r="Y133" s="764"/>
      <c r="Z133" s="766"/>
      <c r="AA133" s="756"/>
      <c r="AC133" s="752" t="str">
        <f>IF(SUMIFS(Таблица14[часы],Таблица14[Ф. И. О.],B132)-Y127=0,"",SUMIFS(Таблица14[часы],Таблица14[Ф. И. О.],B132)-Y127)</f>
        <v/>
      </c>
    </row>
    <row r="134" spans="1:29">
      <c r="A134" s="756"/>
      <c r="B134" s="215"/>
      <c r="C134" s="759"/>
      <c r="D134" s="762"/>
      <c r="E134" s="393"/>
      <c r="F134" s="390"/>
      <c r="G134" s="400"/>
      <c r="H134" s="544">
        <f t="shared" si="54"/>
        <v>0</v>
      </c>
      <c r="I134" s="389"/>
      <c r="J134" s="390"/>
      <c r="K134" s="434"/>
      <c r="L134" s="434">
        <f t="shared" si="55"/>
        <v>0</v>
      </c>
      <c r="M134" s="434"/>
      <c r="N134" s="434"/>
      <c r="O134" s="434"/>
      <c r="P134" s="395"/>
      <c r="Q134" s="389">
        <f>база!$L$5</f>
        <v>231.45480000000001</v>
      </c>
      <c r="R134" s="390">
        <v>1.3</v>
      </c>
      <c r="S134" s="400">
        <f>SUMIFS(Таблица14[часы],Таблица14[коэф],"1,3",Таблица14[р/р],"4/16",Таблица14[Ф. И. О.],B132)</f>
        <v>0</v>
      </c>
      <c r="T134" s="544">
        <f t="shared" si="56"/>
        <v>0</v>
      </c>
      <c r="U134" s="472">
        <f>база!$M$5</f>
        <v>247.41720000000001</v>
      </c>
      <c r="V134" s="390">
        <v>1.3</v>
      </c>
      <c r="W134" s="412">
        <f>SUMIFS(Таблица14[часы],Таблица14[коэф],"1,3",Таблица14[р/р],"4/24",Таблица14[Ф. И. О.],B132)</f>
        <v>0</v>
      </c>
      <c r="X134" s="545">
        <f t="shared" si="57"/>
        <v>0</v>
      </c>
      <c r="Y134" s="764"/>
      <c r="Z134" s="766"/>
      <c r="AA134" s="756"/>
    </row>
    <row r="135" spans="1:29">
      <c r="A135" s="756"/>
      <c r="B135" s="215"/>
      <c r="C135" s="759"/>
      <c r="D135" s="762"/>
      <c r="E135" s="393"/>
      <c r="F135" s="390"/>
      <c r="G135" s="400"/>
      <c r="H135" s="544">
        <f t="shared" si="54"/>
        <v>0</v>
      </c>
      <c r="I135" s="389"/>
      <c r="J135" s="390"/>
      <c r="K135" s="434"/>
      <c r="L135" s="434">
        <f t="shared" si="55"/>
        <v>0</v>
      </c>
      <c r="M135" s="434"/>
      <c r="N135" s="434"/>
      <c r="O135" s="434"/>
      <c r="P135" s="395"/>
      <c r="Q135" s="389">
        <f>IF(D127&lt;=3,база!$L$4,
IF(D127=4,база!$L$5,
IF(D127=5,база!$L$6)))</f>
        <v>210.57480000000001</v>
      </c>
      <c r="R135" s="390">
        <v>1.4</v>
      </c>
      <c r="S135" s="400">
        <f>SUMIFS(Таблица14[часы],Таблица14[коэф],"1,4",Таблица14[р/р],"3/16",Таблица14[Ф. И. О.],B132)</f>
        <v>0</v>
      </c>
      <c r="T135" s="544">
        <f t="shared" si="56"/>
        <v>0</v>
      </c>
      <c r="U135" s="472">
        <f>IF(D127&lt;=3,база!$M$4,
IF(D127=4,база!$M$5,
IF(D127=5,база!$M$6)))</f>
        <v>225.09719999999999</v>
      </c>
      <c r="V135" s="390">
        <v>1.4</v>
      </c>
      <c r="W135" s="412">
        <f>SUMIFS(Таблица14[часы],Таблица14[коэф],"1,4",Таблица14[р/р],"3/24",Таблица14[Ф. И. О.],B132)</f>
        <v>0</v>
      </c>
      <c r="X135" s="545">
        <f t="shared" si="57"/>
        <v>0</v>
      </c>
      <c r="Y135" s="764"/>
      <c r="Z135" s="766"/>
      <c r="AA135" s="756"/>
    </row>
    <row r="136" spans="1:29">
      <c r="A136" s="756"/>
      <c r="B136" s="215"/>
      <c r="C136" s="759"/>
      <c r="D136" s="762"/>
      <c r="E136" s="393"/>
      <c r="F136" s="390"/>
      <c r="G136" s="400"/>
      <c r="H136" s="544">
        <f t="shared" si="54"/>
        <v>0</v>
      </c>
      <c r="I136" s="389"/>
      <c r="J136" s="390"/>
      <c r="K136" s="434"/>
      <c r="L136" s="434">
        <f t="shared" si="55"/>
        <v>0</v>
      </c>
      <c r="M136" s="434"/>
      <c r="N136" s="434"/>
      <c r="O136" s="434"/>
      <c r="P136" s="395"/>
      <c r="Q136" s="389">
        <f>база!$L$5</f>
        <v>231.45480000000001</v>
      </c>
      <c r="R136" s="390">
        <v>1.4</v>
      </c>
      <c r="S136" s="400">
        <f>SUMIFS(Таблица14[часы],Таблица14[коэф],"1,4",Таблица14[р/р],"4/16",Таблица14[Ф. И. О.],B132)</f>
        <v>0</v>
      </c>
      <c r="T136" s="544">
        <f t="shared" si="56"/>
        <v>0</v>
      </c>
      <c r="U136" s="472">
        <f>база!$M$5</f>
        <v>247.41720000000001</v>
      </c>
      <c r="V136" s="390">
        <v>1.4</v>
      </c>
      <c r="W136" s="412">
        <f>SUMIFS(Таблица14[часы],Таблица14[коэф],"1,4",Таблица14[р/р],"4/24",Таблица14[Ф. И. О.],B132)</f>
        <v>0</v>
      </c>
      <c r="X136" s="545">
        <f t="shared" si="57"/>
        <v>0</v>
      </c>
      <c r="Y136" s="764"/>
      <c r="Z136" s="766"/>
      <c r="AA136" s="756"/>
    </row>
    <row r="137" spans="1:29" ht="21" thickBot="1">
      <c r="A137" s="757"/>
      <c r="B137" s="202"/>
      <c r="C137" s="760"/>
      <c r="D137" s="763"/>
      <c r="E137" s="463"/>
      <c r="F137" s="464"/>
      <c r="G137" s="465"/>
      <c r="H137" s="549">
        <f t="shared" si="54"/>
        <v>0</v>
      </c>
      <c r="I137" s="473"/>
      <c r="J137" s="464"/>
      <c r="K137" s="457"/>
      <c r="L137" s="457">
        <f t="shared" si="55"/>
        <v>0</v>
      </c>
      <c r="M137" s="457"/>
      <c r="N137" s="457"/>
      <c r="O137" s="457"/>
      <c r="P137" s="458"/>
      <c r="Q137" s="473">
        <f>база!$L$6</f>
        <v>261.04640000000001</v>
      </c>
      <c r="R137" s="464">
        <v>1.4</v>
      </c>
      <c r="S137" s="465">
        <f>SUMIFS(Таблица14[часы],Таблица14[коэф],"1,4",Таблица14[р/р],"5/16",Таблица14[Ф. И. О.],B132)</f>
        <v>0</v>
      </c>
      <c r="T137" s="549">
        <f t="shared" si="56"/>
        <v>0</v>
      </c>
      <c r="U137" s="474">
        <f>база!$M$6</f>
        <v>279.0496</v>
      </c>
      <c r="V137" s="464">
        <v>1.4</v>
      </c>
      <c r="W137" s="470">
        <f>SUMIFS(Таблица14[часы],Таблица14[коэф],"1,4",Таблица14[р/р],"5/24",Таблица14[Ф. И. О.],B132)</f>
        <v>0</v>
      </c>
      <c r="X137" s="547">
        <f t="shared" si="57"/>
        <v>0</v>
      </c>
      <c r="Y137" s="765"/>
      <c r="Z137" s="767"/>
      <c r="AA137" s="757"/>
    </row>
    <row r="138" spans="1:29">
      <c r="A138" s="755">
        <v>13</v>
      </c>
      <c r="B138" s="215"/>
      <c r="C138" s="758">
        <f>INDEX(база!$E$2:$E$81, MATCH(B143,база!$B$2:$B$50,0))</f>
        <v>17198</v>
      </c>
      <c r="D138" s="761">
        <f>INDEX(база!$D$2:$D$89, MATCH(B143,база!$B$2:$B$50,0))</f>
        <v>3</v>
      </c>
      <c r="E138" s="377">
        <f>IF(D138&lt;=3,база!$I$4,
IF(D138=4,база!$I$5,
IF(D138=5,база!$I$6)))</f>
        <v>188.7912</v>
      </c>
      <c r="F138" s="378">
        <v>1</v>
      </c>
      <c r="G138" s="387">
        <f>SUMIFS(Таблица14[часы],Таблица14[коэф],"1",Таблица14[р/р],"2/4",Таблица14[Ф. И. О.],B143)</f>
        <v>0</v>
      </c>
      <c r="H138" s="380">
        <f>ROUND(E138*F138*G138*2,2)</f>
        <v>0</v>
      </c>
      <c r="I138" s="451">
        <f>IF(D138&lt;=3,база!$J$4,
IF(D138=4,база!$J$5,
IF(D138=5,база!$J$6)))</f>
        <v>196.05240000000001</v>
      </c>
      <c r="J138" s="417">
        <v>1</v>
      </c>
      <c r="K138" s="453">
        <f>SUMIFS(Таблица14[часы],Таблица14[коэф],"1",Таблица14[р/р],"2/8",Таблица14[Ф. И. О.],B143)</f>
        <v>0</v>
      </c>
      <c r="L138" s="453">
        <f>ROUND(I138*J138*K138*2,2)</f>
        <v>0</v>
      </c>
      <c r="M138" s="453"/>
      <c r="N138" s="453">
        <v>1</v>
      </c>
      <c r="O138" s="453">
        <f>SUMIFS(Data_Tech!$AM$3:$AM$67,Data_Tech!$E$3:$E$67,"1",Data_Tech!$G$3:$G$67,"3/12",Data_Tech!$F$3:$F$67,B143)</f>
        <v>0</v>
      </c>
      <c r="P138" s="398">
        <f>ROUND(M138*N138*O138,2)</f>
        <v>0</v>
      </c>
      <c r="Q138" s="377">
        <f>IF(D138&lt;=3,база!$L$4,
IF(D138=4,база!$L$5,
IF(D138=5,база!$L$6)))</f>
        <v>210.57480000000001</v>
      </c>
      <c r="R138" s="378">
        <v>1</v>
      </c>
      <c r="S138" s="387">
        <f>SUMIFS(Таблица14[часы],Таблица14[коэф],"1",Таблица14[р/р],"3/16",Таблица14[Ф. И. О.],B143)</f>
        <v>0</v>
      </c>
      <c r="T138" s="380">
        <f>ROUND(Q138*R138*S138*2,2)</f>
        <v>0</v>
      </c>
      <c r="U138" s="462">
        <f>IF(D138&lt;=3,база!$M$4,
IF(D138=4,база!$M$5,
IF(D138=5,база!$M$6)))</f>
        <v>225.09719999999999</v>
      </c>
      <c r="V138" s="378">
        <v>1</v>
      </c>
      <c r="W138" s="483">
        <f>SUMIFS(Таблица14[часы],Таблица14[коэф],"1",Таблица14[р/р],"3/24",Таблица14[Ф. И. О.],B143)</f>
        <v>0</v>
      </c>
      <c r="X138" s="543">
        <f>ROUND(U138*V138*W138*2,2)</f>
        <v>0</v>
      </c>
      <c r="Y138" s="764">
        <f t="shared" ref="Y138" si="58">SUM(G138:G148,K138:K148,O138:O148,S138:S148,W138:W148)</f>
        <v>0</v>
      </c>
      <c r="Z138" s="766">
        <f t="shared" ref="Z138" si="59">IFERROR(SUM(H138:H148,L138:L148,T138:T148,X138:X148),"")</f>
        <v>0</v>
      </c>
      <c r="AA138" s="756"/>
    </row>
    <row r="139" spans="1:29">
      <c r="A139" s="756"/>
      <c r="B139" s="215"/>
      <c r="C139" s="759"/>
      <c r="D139" s="762"/>
      <c r="E139" s="389">
        <f>IF(D138&lt;=3,база!$I$4,
IF(D138=4,база!$I$5,
IF(D138=5,база!$I$6)))</f>
        <v>188.7912</v>
      </c>
      <c r="F139" s="390">
        <v>1</v>
      </c>
      <c r="G139" s="400">
        <f>SUMIFS(Таблица14[часы],Таблица14[коэф],"1",Таблица14[р/р],"3/4",Таблица14[Ф. И. О.],B143)</f>
        <v>0</v>
      </c>
      <c r="H139" s="392">
        <f t="shared" ref="H139:H148" si="60">ROUND(E139*F139*G139*2,2)</f>
        <v>0</v>
      </c>
      <c r="I139" s="393">
        <f>IF(D138&lt;=3,база!$J$4,
IF(D138=4,база!$J$5,
IF(D138=5,база!$J$6)))</f>
        <v>196.05240000000001</v>
      </c>
      <c r="J139" s="390">
        <v>1</v>
      </c>
      <c r="K139" s="434">
        <f>SUMIFS(Таблица14[часы],Таблица14[коэф],"1",Таблица14[р/р],"3/8",Таблица14[Ф. И. О.],B143)</f>
        <v>0</v>
      </c>
      <c r="L139" s="434">
        <f t="shared" ref="L139:L148" si="61">ROUND(I139*J139*K139*2,2)</f>
        <v>0</v>
      </c>
      <c r="M139" s="434"/>
      <c r="N139" s="434">
        <v>1</v>
      </c>
      <c r="O139" s="434">
        <f>SUMIFS(Data_Tech!$AM$3:$AM$67,Data_Tech!$E$3:$E$67,"1",Data_Tech!$G$3:$G$67,"4/12",Data_Tech!$F$3:$F$67,B143)</f>
        <v>0</v>
      </c>
      <c r="P139" s="406">
        <f>ROUND(M139*O139,2)</f>
        <v>0</v>
      </c>
      <c r="Q139" s="389">
        <f>база!$L$5</f>
        <v>231.45480000000001</v>
      </c>
      <c r="R139" s="390">
        <v>1</v>
      </c>
      <c r="S139" s="400">
        <f>SUMIFS(Таблица14[часы],Таблица14[коэф],"1",Таблица14[р/р],"4/16",Таблица14[Ф. И. О.],B143)</f>
        <v>0</v>
      </c>
      <c r="T139" s="392">
        <f t="shared" ref="T139:T148" si="62">ROUND(Q139*R139*S139*2,2)</f>
        <v>0</v>
      </c>
      <c r="U139" s="410">
        <f>база!$M$5</f>
        <v>247.41720000000001</v>
      </c>
      <c r="V139" s="390">
        <v>1</v>
      </c>
      <c r="W139" s="478">
        <f>SUMIFS(Таблица14[часы],Таблица14[коэф],"1",Таблица14[р/р],"4/24",Таблица14[Ф. И. О.],B143)</f>
        <v>0</v>
      </c>
      <c r="X139" s="545">
        <f t="shared" ref="X139:X148" si="63">ROUND(U139*V139*W139*2,2)</f>
        <v>0</v>
      </c>
      <c r="Y139" s="764"/>
      <c r="Z139" s="766"/>
      <c r="AA139" s="756"/>
    </row>
    <row r="140" spans="1:29">
      <c r="A140" s="756"/>
      <c r="B140" s="215"/>
      <c r="C140" s="759"/>
      <c r="D140" s="762"/>
      <c r="E140" s="389"/>
      <c r="F140" s="390"/>
      <c r="G140" s="400"/>
      <c r="H140" s="392">
        <f t="shared" si="60"/>
        <v>0</v>
      </c>
      <c r="I140" s="393"/>
      <c r="J140" s="390"/>
      <c r="K140" s="434"/>
      <c r="L140" s="434">
        <f t="shared" si="61"/>
        <v>0</v>
      </c>
      <c r="M140" s="434"/>
      <c r="N140" s="434"/>
      <c r="O140" s="434"/>
      <c r="P140" s="406"/>
      <c r="Q140" s="389">
        <f>база!$L$6</f>
        <v>261.04640000000001</v>
      </c>
      <c r="R140" s="390">
        <v>1</v>
      </c>
      <c r="S140" s="400">
        <f>SUMIFS(Таблица14[часы],Таблица14[коэф],"1",Таблица14[р/р],"5/16",Таблица14[Ф. И. О.],B143)</f>
        <v>0</v>
      </c>
      <c r="T140" s="392">
        <f t="shared" si="62"/>
        <v>0</v>
      </c>
      <c r="U140" s="410">
        <f>база!$M$6</f>
        <v>279.0496</v>
      </c>
      <c r="V140" s="390">
        <v>1</v>
      </c>
      <c r="W140" s="478">
        <f>SUMIFS(Таблица14[часы],Таблица14[коэф],"1",Таблица14[р/р],"5/24",Таблица14[Ф. И. О.],B143)</f>
        <v>0</v>
      </c>
      <c r="X140" s="545">
        <f t="shared" si="63"/>
        <v>0</v>
      </c>
      <c r="Y140" s="764"/>
      <c r="Z140" s="766"/>
      <c r="AA140" s="756"/>
    </row>
    <row r="141" spans="1:29">
      <c r="A141" s="756"/>
      <c r="B141" s="215"/>
      <c r="C141" s="759"/>
      <c r="D141" s="762"/>
      <c r="E141" s="389"/>
      <c r="F141" s="390"/>
      <c r="G141" s="400"/>
      <c r="H141" s="392">
        <f t="shared" si="60"/>
        <v>0</v>
      </c>
      <c r="I141" s="393">
        <f>база!$J$5</f>
        <v>215.4924</v>
      </c>
      <c r="J141" s="390">
        <v>1.5</v>
      </c>
      <c r="K141" s="434">
        <f>SUMIFS(Таблица14[часы],Таблица14[коэф],"1,5",Таблица14[р/р],"4/8",Таблица14[Ф. И. О.],B143)</f>
        <v>0</v>
      </c>
      <c r="L141" s="434">
        <f t="shared" si="61"/>
        <v>0</v>
      </c>
      <c r="M141" s="434"/>
      <c r="N141" s="434"/>
      <c r="O141" s="434"/>
      <c r="P141" s="406"/>
      <c r="Q141" s="389">
        <f>IF(D138&lt;=3,база!$L$4,
IF(D138=4,база!$L$5,
IF(D138=5,база!$L$6)))</f>
        <v>210.57480000000001</v>
      </c>
      <c r="R141" s="390">
        <v>1.2</v>
      </c>
      <c r="S141" s="400">
        <f>SUMIFS(Таблица14[часы],Таблица14[коэф],"1,2",Таблица14[р/р],"3/16",Таблица14[Ф. И. О.],B143)</f>
        <v>0</v>
      </c>
      <c r="T141" s="392">
        <f t="shared" si="62"/>
        <v>0</v>
      </c>
      <c r="U141" s="410">
        <f>IF(D138&lt;=3,база!$M$4,
IF(D138=4,база!$M$5,
IF(D138=5,база!$M$6)))</f>
        <v>225.09719999999999</v>
      </c>
      <c r="V141" s="390">
        <v>1.2</v>
      </c>
      <c r="W141" s="478">
        <f>SUMIFS(Таблица14[часы],Таблица14[коэф],"1,2",Таблица14[р/р],"3/24",Таблица14[Ф. И. О.],B143)</f>
        <v>0</v>
      </c>
      <c r="X141" s="545">
        <f t="shared" si="63"/>
        <v>0</v>
      </c>
      <c r="Y141" s="764"/>
      <c r="Z141" s="766"/>
      <c r="AA141" s="756"/>
    </row>
    <row r="142" spans="1:29">
      <c r="A142" s="756"/>
      <c r="B142" s="215"/>
      <c r="C142" s="759"/>
      <c r="D142" s="762"/>
      <c r="E142" s="389"/>
      <c r="F142" s="390"/>
      <c r="G142" s="400"/>
      <c r="H142" s="392">
        <f t="shared" si="60"/>
        <v>0</v>
      </c>
      <c r="I142" s="393">
        <f>база!$J$6</f>
        <v>243.04319999999998</v>
      </c>
      <c r="J142" s="390">
        <v>1.5</v>
      </c>
      <c r="K142" s="434">
        <f>SUMIFS(Таблица14[часы],Таблица14[коэф],"1,5",Таблица14[р/р],"5/8",Таблица14[Ф. И. О.],B143)</f>
        <v>0</v>
      </c>
      <c r="L142" s="434">
        <f t="shared" si="61"/>
        <v>0</v>
      </c>
      <c r="M142" s="434"/>
      <c r="N142" s="434"/>
      <c r="O142" s="434"/>
      <c r="P142" s="406"/>
      <c r="Q142" s="389">
        <f>база!$L$5</f>
        <v>231.45480000000001</v>
      </c>
      <c r="R142" s="390">
        <v>1.2</v>
      </c>
      <c r="S142" s="400">
        <f>SUMIFS(Таблица14[часы],Таблица14[коэф],"1,2",Таблица14[р/р],"4/16",Таблица14[Ф. И. О.],B143)</f>
        <v>0</v>
      </c>
      <c r="T142" s="392">
        <f t="shared" si="62"/>
        <v>0</v>
      </c>
      <c r="U142" s="410">
        <f>база!$M$5</f>
        <v>247.41720000000001</v>
      </c>
      <c r="V142" s="390">
        <v>1.2</v>
      </c>
      <c r="W142" s="478">
        <f>SUMIFS(Таблица14[часы],Таблица14[коэф],"1,2",Таблица14[р/р],"4/24",Таблица14[Ф. И. О.],B143)</f>
        <v>0</v>
      </c>
      <c r="X142" s="545">
        <f t="shared" si="63"/>
        <v>0</v>
      </c>
      <c r="Y142" s="764"/>
      <c r="Z142" s="766"/>
      <c r="AA142" s="756"/>
      <c r="AC142" s="752" t="str">
        <f>IF(SUMIFS(Таблица14[Столбец2],Таблица14[Ф. И. О.],B143)-Z138=0,"",SUMIFS(Таблица14[Столбец2],Таблица14[Ф. И. О.],B143)-Z138)</f>
        <v/>
      </c>
    </row>
    <row r="143" spans="1:29">
      <c r="A143" s="756"/>
      <c r="B143" s="215" t="str">
        <f>база!B14</f>
        <v>Волошина Светлана Владимировна</v>
      </c>
      <c r="C143" s="759"/>
      <c r="D143" s="762"/>
      <c r="E143" s="389"/>
      <c r="F143" s="390"/>
      <c r="G143" s="400"/>
      <c r="H143" s="392">
        <f t="shared" si="60"/>
        <v>0</v>
      </c>
      <c r="I143" s="393"/>
      <c r="J143" s="390"/>
      <c r="K143" s="434"/>
      <c r="L143" s="434">
        <f t="shared" si="61"/>
        <v>0</v>
      </c>
      <c r="M143" s="434"/>
      <c r="N143" s="434"/>
      <c r="O143" s="434"/>
      <c r="P143" s="406"/>
      <c r="Q143" s="389">
        <f>база!$L$6</f>
        <v>261.04640000000001</v>
      </c>
      <c r="R143" s="390">
        <v>1.2</v>
      </c>
      <c r="S143" s="400">
        <f>SUMIFS(Таблица14[часы],Таблица14[коэф],"1,2",Таблица14[р/р],"5/16",Таблица14[Ф. И. О.],B143)</f>
        <v>0</v>
      </c>
      <c r="T143" s="392">
        <f t="shared" si="62"/>
        <v>0</v>
      </c>
      <c r="U143" s="410">
        <f>база!$M$6</f>
        <v>279.0496</v>
      </c>
      <c r="V143" s="390">
        <v>1.2</v>
      </c>
      <c r="W143" s="478">
        <f>SUMIFS(Таблица14[часы],Таблица14[коэф],"1,2",Таблица14[р/р],"5/24",Таблица14[Ф. И. О.],B143)</f>
        <v>0</v>
      </c>
      <c r="X143" s="545">
        <f t="shared" si="63"/>
        <v>0</v>
      </c>
      <c r="Y143" s="764"/>
      <c r="Z143" s="766"/>
      <c r="AA143" s="756"/>
      <c r="AC143" s="752" t="str">
        <f>IF(SUMIFS(Таблица14[часы],Таблица14[Ф. И. О.],B143)-Y138=0,"",SUMIFS(Таблица14[часы],Таблица14[Ф. И. О.],B143)-Y138)</f>
        <v/>
      </c>
    </row>
    <row r="144" spans="1:29">
      <c r="A144" s="756"/>
      <c r="B144" s="215"/>
      <c r="C144" s="759"/>
      <c r="D144" s="762"/>
      <c r="E144" s="389"/>
      <c r="F144" s="390"/>
      <c r="G144" s="400"/>
      <c r="H144" s="392">
        <f t="shared" si="60"/>
        <v>0</v>
      </c>
      <c r="I144" s="393"/>
      <c r="J144" s="390"/>
      <c r="K144" s="434"/>
      <c r="L144" s="434">
        <f t="shared" si="61"/>
        <v>0</v>
      </c>
      <c r="M144" s="434"/>
      <c r="N144" s="434"/>
      <c r="O144" s="434"/>
      <c r="P144" s="406"/>
      <c r="Q144" s="389">
        <f>IF(D138&lt;=3,база!$L$4,
IF(D138=4,база!$L$5,
IF(D138=5,база!$L$6)))</f>
        <v>210.57480000000001</v>
      </c>
      <c r="R144" s="390">
        <v>1.3</v>
      </c>
      <c r="S144" s="400">
        <f>SUMIFS(Таблица14[часы],Таблица14[коэф],"1,3",Таблица14[р/р],"3/16",Таблица14[Ф. И. О.],B143)</f>
        <v>0</v>
      </c>
      <c r="T144" s="392">
        <f t="shared" si="62"/>
        <v>0</v>
      </c>
      <c r="U144" s="410">
        <f>IF(D138&lt;=3,база!$M$4,
IF(D138=4,база!$M$5,
IF(D138=5,база!$M$6)))</f>
        <v>225.09719999999999</v>
      </c>
      <c r="V144" s="390">
        <v>1.3</v>
      </c>
      <c r="W144" s="478">
        <f>SUMIFS(Таблица14[часы],Таблица14[коэф],"1,3",Таблица14[р/р],"3/24",Таблица14[Ф. И. О.],B143)</f>
        <v>0</v>
      </c>
      <c r="X144" s="545">
        <f t="shared" si="63"/>
        <v>0</v>
      </c>
      <c r="Y144" s="764"/>
      <c r="Z144" s="766"/>
      <c r="AA144" s="756"/>
    </row>
    <row r="145" spans="1:29">
      <c r="A145" s="756"/>
      <c r="B145" s="215"/>
      <c r="C145" s="759"/>
      <c r="D145" s="762"/>
      <c r="E145" s="389"/>
      <c r="F145" s="390"/>
      <c r="G145" s="400"/>
      <c r="H145" s="392">
        <f t="shared" si="60"/>
        <v>0</v>
      </c>
      <c r="I145" s="393"/>
      <c r="J145" s="390"/>
      <c r="K145" s="434"/>
      <c r="L145" s="434">
        <f t="shared" si="61"/>
        <v>0</v>
      </c>
      <c r="M145" s="434"/>
      <c r="N145" s="434"/>
      <c r="O145" s="434"/>
      <c r="P145" s="406"/>
      <c r="Q145" s="389">
        <f>база!$L$5</f>
        <v>231.45480000000001</v>
      </c>
      <c r="R145" s="390">
        <v>1.3</v>
      </c>
      <c r="S145" s="400">
        <f>SUMIFS(Таблица14[часы],Таблица14[коэф],"1,3",Таблица14[р/р],"4/16",Таблица14[Ф. И. О.],B143)</f>
        <v>0</v>
      </c>
      <c r="T145" s="392">
        <f t="shared" si="62"/>
        <v>0</v>
      </c>
      <c r="U145" s="410">
        <f>база!$M$5</f>
        <v>247.41720000000001</v>
      </c>
      <c r="V145" s="390">
        <v>1.3</v>
      </c>
      <c r="W145" s="478">
        <f>SUMIFS(Таблица14[часы],Таблица14[коэф],"1,3",Таблица14[р/р],"4/24",Таблица14[Ф. И. О.],B143)</f>
        <v>0</v>
      </c>
      <c r="X145" s="545">
        <f t="shared" si="63"/>
        <v>0</v>
      </c>
      <c r="Y145" s="764"/>
      <c r="Z145" s="766"/>
      <c r="AA145" s="756"/>
    </row>
    <row r="146" spans="1:29">
      <c r="A146" s="756"/>
      <c r="B146" s="215"/>
      <c r="C146" s="759"/>
      <c r="D146" s="762"/>
      <c r="E146" s="389"/>
      <c r="F146" s="390"/>
      <c r="G146" s="400"/>
      <c r="H146" s="392">
        <f t="shared" si="60"/>
        <v>0</v>
      </c>
      <c r="I146" s="393"/>
      <c r="J146" s="390"/>
      <c r="K146" s="434"/>
      <c r="L146" s="434">
        <f t="shared" si="61"/>
        <v>0</v>
      </c>
      <c r="M146" s="434"/>
      <c r="N146" s="434"/>
      <c r="O146" s="434"/>
      <c r="P146" s="406"/>
      <c r="Q146" s="389">
        <f>IF(D138&lt;=3,база!$L$4,
IF(D138=4,база!$L$5,
IF(D138=5,база!$L$6)))</f>
        <v>210.57480000000001</v>
      </c>
      <c r="R146" s="390">
        <v>1.4</v>
      </c>
      <c r="S146" s="400">
        <f>SUMIFS(Таблица14[часы],Таблица14[коэф],"1,4",Таблица14[р/р],"3/16",Таблица14[Ф. И. О.],B143)</f>
        <v>0</v>
      </c>
      <c r="T146" s="392">
        <f t="shared" si="62"/>
        <v>0</v>
      </c>
      <c r="U146" s="410">
        <f>IF(D138&lt;=3,база!$M$4,
IF(D138=4,база!$M$5,
IF(D138=5,база!$M$6)))</f>
        <v>225.09719999999999</v>
      </c>
      <c r="V146" s="390">
        <v>1.4</v>
      </c>
      <c r="W146" s="478">
        <f>SUMIFS(Таблица14[часы],Таблица14[коэф],"1,4",Таблица14[р/р],"3/24",Таблица14[Ф. И. О.],B143)</f>
        <v>0</v>
      </c>
      <c r="X146" s="545">
        <f t="shared" si="63"/>
        <v>0</v>
      </c>
      <c r="Y146" s="764"/>
      <c r="Z146" s="766"/>
      <c r="AA146" s="756"/>
    </row>
    <row r="147" spans="1:29">
      <c r="A147" s="756"/>
      <c r="B147" s="215"/>
      <c r="C147" s="759"/>
      <c r="D147" s="762"/>
      <c r="E147" s="389"/>
      <c r="F147" s="390"/>
      <c r="G147" s="400"/>
      <c r="H147" s="392">
        <f t="shared" si="60"/>
        <v>0</v>
      </c>
      <c r="I147" s="393"/>
      <c r="J147" s="390"/>
      <c r="K147" s="434"/>
      <c r="L147" s="434">
        <f t="shared" si="61"/>
        <v>0</v>
      </c>
      <c r="M147" s="434"/>
      <c r="N147" s="434"/>
      <c r="O147" s="434"/>
      <c r="P147" s="406"/>
      <c r="Q147" s="389">
        <f>база!$L$5</f>
        <v>231.45480000000001</v>
      </c>
      <c r="R147" s="390">
        <v>1.4</v>
      </c>
      <c r="S147" s="400">
        <f>SUMIFS(Таблица14[часы],Таблица14[коэф],"1,4",Таблица14[р/р],"4/16",Таблица14[Ф. И. О.],B143)</f>
        <v>0</v>
      </c>
      <c r="T147" s="392">
        <f t="shared" si="62"/>
        <v>0</v>
      </c>
      <c r="U147" s="410">
        <f>база!$M$5</f>
        <v>247.41720000000001</v>
      </c>
      <c r="V147" s="390">
        <v>1.4</v>
      </c>
      <c r="W147" s="478">
        <f>SUMIFS(Таблица14[часы],Таблица14[коэф],"1,4",Таблица14[р/р],"4/24",Таблица14[Ф. И. О.],B143)</f>
        <v>0</v>
      </c>
      <c r="X147" s="545">
        <f t="shared" si="63"/>
        <v>0</v>
      </c>
      <c r="Y147" s="764"/>
      <c r="Z147" s="766"/>
      <c r="AA147" s="756"/>
    </row>
    <row r="148" spans="1:29" ht="21" thickBot="1">
      <c r="A148" s="757"/>
      <c r="B148" s="215"/>
      <c r="C148" s="760"/>
      <c r="D148" s="763"/>
      <c r="E148" s="420"/>
      <c r="F148" s="403"/>
      <c r="G148" s="408"/>
      <c r="H148" s="409">
        <f t="shared" si="60"/>
        <v>0</v>
      </c>
      <c r="I148" s="422"/>
      <c r="J148" s="403"/>
      <c r="K148" s="460"/>
      <c r="L148" s="460">
        <f t="shared" si="61"/>
        <v>0</v>
      </c>
      <c r="M148" s="460"/>
      <c r="N148" s="460"/>
      <c r="O148" s="460"/>
      <c r="P148" s="479"/>
      <c r="Q148" s="420">
        <f>база!$L$6</f>
        <v>261.04640000000001</v>
      </c>
      <c r="R148" s="403">
        <v>1.4</v>
      </c>
      <c r="S148" s="408">
        <f>SUMIFS(Таблица14[часы],Таблица14[коэф],"1,4",Таблица14[р/р],"5/16",Таблица14[Ф. И. О.],B143)</f>
        <v>0</v>
      </c>
      <c r="T148" s="409">
        <f t="shared" si="62"/>
        <v>0</v>
      </c>
      <c r="U148" s="461">
        <f>база!$M$6</f>
        <v>279.0496</v>
      </c>
      <c r="V148" s="403">
        <v>1.4</v>
      </c>
      <c r="W148" s="551">
        <f>SUMIFS(Таблица14[часы],Таблица14[коэф],"1,4",Таблица14[р/р],"5/24",Таблица14[Ф. И. О.],B143)</f>
        <v>0</v>
      </c>
      <c r="X148" s="550">
        <f t="shared" si="63"/>
        <v>0</v>
      </c>
      <c r="Y148" s="765"/>
      <c r="Z148" s="767"/>
      <c r="AA148" s="757"/>
    </row>
    <row r="149" spans="1:29">
      <c r="A149" s="755">
        <v>14</v>
      </c>
      <c r="B149" s="235"/>
      <c r="C149" s="758">
        <f>INDEX(база!$E$2:$E$81, MATCH(B154,база!$B$2:$B$50,0))</f>
        <v>17115</v>
      </c>
      <c r="D149" s="761">
        <f>INDEX(база!$D$2:$D$89, MATCH(B154,база!$B$2:$B$50,0))</f>
        <v>3</v>
      </c>
      <c r="E149" s="377">
        <f>IF(D149&lt;=3,база!$I$4,
IF(D149=4,база!$I$5,
IF(D149=5,база!$I$6)))</f>
        <v>188.7912</v>
      </c>
      <c r="F149" s="378">
        <v>1</v>
      </c>
      <c r="G149" s="387">
        <f>SUMIFS(Таблица14[часы],Таблица14[коэф],"1",Таблица14[р/р],"2/4",Таблица14[Ф. И. О.],B154)</f>
        <v>0</v>
      </c>
      <c r="H149" s="380">
        <f>ROUND(E149*F149*G149*2,2)</f>
        <v>0</v>
      </c>
      <c r="I149" s="381">
        <f>IF(D149&lt;=3,база!$J$4,
IF(D149=4,база!$J$5,
IF(D149=5,база!$J$6)))</f>
        <v>196.05240000000001</v>
      </c>
      <c r="J149" s="378">
        <v>1</v>
      </c>
      <c r="K149" s="428">
        <f>SUMIFS(Таблица14[часы],Таблица14[коэф],"1",Таблица14[р/р],"2/8",Таблица14[Ф. И. О.],B154)</f>
        <v>0</v>
      </c>
      <c r="L149" s="428">
        <f>ROUND(I149*J149*K149*2,2)</f>
        <v>0</v>
      </c>
      <c r="M149" s="428"/>
      <c r="N149" s="428">
        <v>1</v>
      </c>
      <c r="O149" s="428">
        <f>SUMIFS(Data_Tech!$AM$3:$AM$67,Data_Tech!$E$3:$E$67,"1",Data_Tech!$G$3:$G$67,"3/12",Data_Tech!$F$3:$F$67,B154)</f>
        <v>0</v>
      </c>
      <c r="P149" s="385">
        <f>ROUND(M149*N149*O149,2)</f>
        <v>0</v>
      </c>
      <c r="Q149" s="377">
        <f>IF(D149&lt;=3,база!$L$4,
IF(D149=4,база!$L$5,
IF(D149=5,база!$L$6)))</f>
        <v>210.57480000000001</v>
      </c>
      <c r="R149" s="378">
        <v>1</v>
      </c>
      <c r="S149" s="387">
        <f>SUMIFS(Таблица14[часы],Таблица14[коэф],"1",Таблица14[р/р],"3/16",Таблица14[Ф. И. О.],B154)</f>
        <v>0</v>
      </c>
      <c r="T149" s="380">
        <f>ROUND(Q149*R149*S149*2,2)</f>
        <v>0</v>
      </c>
      <c r="U149" s="462">
        <f>IF(D149&lt;=3,база!$M$4,
IF(D149=4,база!$M$5,
IF(D149=5,база!$M$6)))</f>
        <v>225.09719999999999</v>
      </c>
      <c r="V149" s="378">
        <v>1</v>
      </c>
      <c r="W149" s="477">
        <f>SUMIFS(Таблица14[часы],Таблица14[коэф],"1",Таблица14[р/р],"3/24",Таблица14[Ф. И. О.],B154)</f>
        <v>0</v>
      </c>
      <c r="X149" s="543">
        <f>ROUND(U149*V149*W149*2,2)</f>
        <v>0</v>
      </c>
      <c r="Y149" s="764">
        <f t="shared" ref="Y149" si="64">SUM(G149:G159,K149:K159,O149:O159,S149:S159,W149:W159)</f>
        <v>0</v>
      </c>
      <c r="Z149" s="766">
        <f t="shared" ref="Z149" si="65">IFERROR(SUM(H149:H159,L149:L159,T149:T159,X149:X159),"")</f>
        <v>0</v>
      </c>
      <c r="AA149" s="756"/>
    </row>
    <row r="150" spans="1:29">
      <c r="A150" s="756"/>
      <c r="B150" s="215"/>
      <c r="C150" s="759"/>
      <c r="D150" s="762"/>
      <c r="E150" s="389">
        <f>IF(D149&lt;=3,база!$I$4,
IF(D149=4,база!$I$5,
IF(D149=5,база!$I$6)))</f>
        <v>188.7912</v>
      </c>
      <c r="F150" s="390">
        <v>1</v>
      </c>
      <c r="G150" s="400">
        <f>SUMIFS(Таблица14[часы],Таблица14[коэф],"1",Таблица14[р/р],"3/4",Таблица14[Ф. И. О.],B154)</f>
        <v>0</v>
      </c>
      <c r="H150" s="392">
        <f t="shared" ref="H150:H159" si="66">ROUND(E150*F150*G150*2,2)</f>
        <v>0</v>
      </c>
      <c r="I150" s="393">
        <f>IF(D149&lt;=3,база!$J$4,
IF(D149=4,база!$J$5,
IF(D149=5,база!$J$6)))</f>
        <v>196.05240000000001</v>
      </c>
      <c r="J150" s="390">
        <v>1</v>
      </c>
      <c r="K150" s="434">
        <f>SUMIFS(Таблица14[часы],Таблица14[коэф],"1",Таблица14[р/р],"3/8",Таблица14[Ф. И. О.],B154)</f>
        <v>0</v>
      </c>
      <c r="L150" s="434">
        <f t="shared" ref="L150:L159" si="67">ROUND(I150*J150*K150*2,2)</f>
        <v>0</v>
      </c>
      <c r="M150" s="434"/>
      <c r="N150" s="434">
        <v>1</v>
      </c>
      <c r="O150" s="434">
        <f>SUMIFS(Data_Tech!$AM$3:$AM$67,Data_Tech!$E$3:$E$67,"1",Data_Tech!$G$3:$G$67,"4/12",Data_Tech!$F$3:$F$67,B154)</f>
        <v>0</v>
      </c>
      <c r="P150" s="406">
        <f>ROUND(M150*O150,2)</f>
        <v>0</v>
      </c>
      <c r="Q150" s="389">
        <f>база!$L$5</f>
        <v>231.45480000000001</v>
      </c>
      <c r="R150" s="390">
        <v>1</v>
      </c>
      <c r="S150" s="400">
        <f>SUMIFS(Таблица14[часы],Таблица14[коэф],"1",Таблица14[р/р],"4/16",Таблица14[Ф. И. О.],B154)</f>
        <v>0</v>
      </c>
      <c r="T150" s="392">
        <f t="shared" ref="T150:T159" si="68">ROUND(Q150*R150*S150*2,2)</f>
        <v>0</v>
      </c>
      <c r="U150" s="410">
        <f>база!$M$5</f>
        <v>247.41720000000001</v>
      </c>
      <c r="V150" s="390">
        <v>1</v>
      </c>
      <c r="W150" s="478">
        <f>SUMIFS(Таблица14[часы],Таблица14[коэф],"1",Таблица14[р/р],"4/24",Таблица14[Ф. И. О.],B154)</f>
        <v>0</v>
      </c>
      <c r="X150" s="545">
        <f t="shared" ref="X150:X159" si="69">ROUND(U150*V150*W150*2,2)</f>
        <v>0</v>
      </c>
      <c r="Y150" s="764"/>
      <c r="Z150" s="766"/>
      <c r="AA150" s="756"/>
    </row>
    <row r="151" spans="1:29">
      <c r="A151" s="756"/>
      <c r="B151" s="215"/>
      <c r="C151" s="759"/>
      <c r="D151" s="762"/>
      <c r="E151" s="389"/>
      <c r="F151" s="390"/>
      <c r="G151" s="400"/>
      <c r="H151" s="392">
        <f t="shared" si="66"/>
        <v>0</v>
      </c>
      <c r="I151" s="393"/>
      <c r="J151" s="390"/>
      <c r="K151" s="434"/>
      <c r="L151" s="434">
        <f t="shared" si="67"/>
        <v>0</v>
      </c>
      <c r="M151" s="434"/>
      <c r="N151" s="434"/>
      <c r="O151" s="434"/>
      <c r="P151" s="406"/>
      <c r="Q151" s="389">
        <f>база!$L$6</f>
        <v>261.04640000000001</v>
      </c>
      <c r="R151" s="390">
        <v>1</v>
      </c>
      <c r="S151" s="400">
        <f>SUMIFS(Таблица14[часы],Таблица14[коэф],"1",Таблица14[р/р],"5/16",Таблица14[Ф. И. О.],B154)</f>
        <v>0</v>
      </c>
      <c r="T151" s="392">
        <f t="shared" si="68"/>
        <v>0</v>
      </c>
      <c r="U151" s="410">
        <f>база!$M$6</f>
        <v>279.0496</v>
      </c>
      <c r="V151" s="390">
        <v>1</v>
      </c>
      <c r="W151" s="478">
        <f>SUMIFS(Таблица14[часы],Таблица14[коэф],"1",Таблица14[р/р],"5/24",Таблица14[Ф. И. О.],B154)</f>
        <v>0</v>
      </c>
      <c r="X151" s="545">
        <f t="shared" si="69"/>
        <v>0</v>
      </c>
      <c r="Y151" s="764"/>
      <c r="Z151" s="766"/>
      <c r="AA151" s="756"/>
    </row>
    <row r="152" spans="1:29">
      <c r="A152" s="756"/>
      <c r="B152" s="215"/>
      <c r="C152" s="759"/>
      <c r="D152" s="762"/>
      <c r="E152" s="389"/>
      <c r="F152" s="390"/>
      <c r="G152" s="400"/>
      <c r="H152" s="392">
        <f t="shared" si="66"/>
        <v>0</v>
      </c>
      <c r="I152" s="393">
        <f>база!$J$5</f>
        <v>215.4924</v>
      </c>
      <c r="J152" s="390">
        <v>1.5</v>
      </c>
      <c r="K152" s="434">
        <f>SUMIFS(Таблица14[часы],Таблица14[коэф],"1,5",Таблица14[р/р],"4/8",Таблица14[Ф. И. О.],B154)</f>
        <v>0</v>
      </c>
      <c r="L152" s="434">
        <f t="shared" si="67"/>
        <v>0</v>
      </c>
      <c r="M152" s="434"/>
      <c r="N152" s="434"/>
      <c r="O152" s="434"/>
      <c r="P152" s="406"/>
      <c r="Q152" s="389">
        <f>IF(D149&lt;=3,база!$L$4,
IF(D149=4,база!$L$5,
IF(D149=5,база!$L$6)))</f>
        <v>210.57480000000001</v>
      </c>
      <c r="R152" s="390">
        <v>1.2</v>
      </c>
      <c r="S152" s="400">
        <f>SUMIFS(Таблица14[часы],Таблица14[коэф],"1,2",Таблица14[р/р],"3/16",Таблица14[Ф. И. О.],B154)</f>
        <v>0</v>
      </c>
      <c r="T152" s="392">
        <f t="shared" si="68"/>
        <v>0</v>
      </c>
      <c r="U152" s="410">
        <f>IF(D149&lt;=3,база!$M$4,
IF(D149=4,база!$M$5,
IF(D149=5,база!$M$6)))</f>
        <v>225.09719999999999</v>
      </c>
      <c r="V152" s="390">
        <v>1.2</v>
      </c>
      <c r="W152" s="478">
        <f>SUMIFS(Таблица14[часы],Таблица14[коэф],"1,2",Таблица14[р/р],"3/24",Таблица14[Ф. И. О.],B154)</f>
        <v>0</v>
      </c>
      <c r="X152" s="545">
        <f t="shared" si="69"/>
        <v>0</v>
      </c>
      <c r="Y152" s="764"/>
      <c r="Z152" s="766"/>
      <c r="AA152" s="756"/>
    </row>
    <row r="153" spans="1:29">
      <c r="A153" s="756"/>
      <c r="B153" s="215"/>
      <c r="C153" s="759"/>
      <c r="D153" s="762"/>
      <c r="E153" s="389"/>
      <c r="F153" s="390"/>
      <c r="G153" s="400"/>
      <c r="H153" s="392">
        <f t="shared" si="66"/>
        <v>0</v>
      </c>
      <c r="I153" s="393">
        <f>база!$J$6</f>
        <v>243.04319999999998</v>
      </c>
      <c r="J153" s="390">
        <v>1.5</v>
      </c>
      <c r="K153" s="434">
        <f>SUMIFS(Таблица14[часы],Таблица14[коэф],"1,5",Таблица14[р/р],"5/8",Таблица14[Ф. И. О.],B154)</f>
        <v>0</v>
      </c>
      <c r="L153" s="434">
        <f t="shared" si="67"/>
        <v>0</v>
      </c>
      <c r="M153" s="434"/>
      <c r="N153" s="434"/>
      <c r="O153" s="434"/>
      <c r="P153" s="406"/>
      <c r="Q153" s="389">
        <f>база!$L$5</f>
        <v>231.45480000000001</v>
      </c>
      <c r="R153" s="390">
        <v>1.2</v>
      </c>
      <c r="S153" s="400">
        <f>SUMIFS(Таблица14[часы],Таблица14[коэф],"1,2",Таблица14[р/р],"4/16",Таблица14[Ф. И. О.],B154)</f>
        <v>0</v>
      </c>
      <c r="T153" s="392">
        <f t="shared" si="68"/>
        <v>0</v>
      </c>
      <c r="U153" s="410">
        <f>база!$M$5</f>
        <v>247.41720000000001</v>
      </c>
      <c r="V153" s="390">
        <v>1.2</v>
      </c>
      <c r="W153" s="478">
        <f>SUMIFS(Таблица14[часы],Таблица14[коэф],"1,2",Таблица14[р/р],"4/24",Таблица14[Ф. И. О.],B154)</f>
        <v>0</v>
      </c>
      <c r="X153" s="545">
        <f t="shared" si="69"/>
        <v>0</v>
      </c>
      <c r="Y153" s="764"/>
      <c r="Z153" s="766"/>
      <c r="AA153" s="756"/>
    </row>
    <row r="154" spans="1:29">
      <c r="A154" s="756"/>
      <c r="B154" s="215" t="str">
        <f>база!B15</f>
        <v>Глинка Екатерина Юрьевна</v>
      </c>
      <c r="C154" s="759"/>
      <c r="D154" s="762"/>
      <c r="E154" s="389"/>
      <c r="F154" s="390"/>
      <c r="G154" s="400"/>
      <c r="H154" s="392">
        <f t="shared" si="66"/>
        <v>0</v>
      </c>
      <c r="I154" s="393"/>
      <c r="J154" s="390"/>
      <c r="K154" s="434"/>
      <c r="L154" s="434">
        <f t="shared" si="67"/>
        <v>0</v>
      </c>
      <c r="M154" s="434"/>
      <c r="N154" s="434"/>
      <c r="O154" s="434"/>
      <c r="P154" s="406"/>
      <c r="Q154" s="389">
        <f>база!$L$6</f>
        <v>261.04640000000001</v>
      </c>
      <c r="R154" s="390">
        <v>1.2</v>
      </c>
      <c r="S154" s="400">
        <f>SUMIFS(Таблица14[часы],Таблица14[коэф],"1,2",Таблица14[р/р],"5/16",Таблица14[Ф. И. О.],B154)</f>
        <v>0</v>
      </c>
      <c r="T154" s="392">
        <f t="shared" si="68"/>
        <v>0</v>
      </c>
      <c r="U154" s="410">
        <f>база!$M$6</f>
        <v>279.0496</v>
      </c>
      <c r="V154" s="390">
        <v>1.2</v>
      </c>
      <c r="W154" s="478">
        <f>SUMIFS(Таблица14[часы],Таблица14[коэф],"1,2",Таблица14[р/р],"5/24",Таблица14[Ф. И. О.],B154)</f>
        <v>0</v>
      </c>
      <c r="X154" s="545">
        <f t="shared" si="69"/>
        <v>0</v>
      </c>
      <c r="Y154" s="764"/>
      <c r="Z154" s="766"/>
      <c r="AA154" s="756"/>
      <c r="AC154" s="752" t="str">
        <f>IF(SUMIFS(Таблица14[Столбец2],Таблица14[Ф. И. О.],B154)-Z149=0,"",SUMIFS(Таблица14[Столбец2],Таблица14[Ф. И. О.],B154)-Z149)</f>
        <v/>
      </c>
    </row>
    <row r="155" spans="1:29">
      <c r="A155" s="756"/>
      <c r="B155" s="215"/>
      <c r="C155" s="759"/>
      <c r="D155" s="762"/>
      <c r="E155" s="389"/>
      <c r="F155" s="390"/>
      <c r="G155" s="400"/>
      <c r="H155" s="392">
        <f t="shared" si="66"/>
        <v>0</v>
      </c>
      <c r="I155" s="393"/>
      <c r="J155" s="390"/>
      <c r="K155" s="434"/>
      <c r="L155" s="434">
        <f t="shared" si="67"/>
        <v>0</v>
      </c>
      <c r="M155" s="434"/>
      <c r="N155" s="434"/>
      <c r="O155" s="434"/>
      <c r="P155" s="406"/>
      <c r="Q155" s="389">
        <f>IF(D149&lt;=3,база!$L$4,
IF(D149=4,база!$L$5,
IF(D149=5,база!$L$6)))</f>
        <v>210.57480000000001</v>
      </c>
      <c r="R155" s="390">
        <v>1.3</v>
      </c>
      <c r="S155" s="400">
        <f>SUMIFS(Таблица14[часы],Таблица14[коэф],"1,3",Таблица14[р/р],"3/16",Таблица14[Ф. И. О.],B154)</f>
        <v>0</v>
      </c>
      <c r="T155" s="392">
        <f t="shared" si="68"/>
        <v>0</v>
      </c>
      <c r="U155" s="410">
        <f>IF(D149&lt;=3,база!$M$4,
IF(D149=4,база!$M$5,
IF(D149=5,база!$M$6)))</f>
        <v>225.09719999999999</v>
      </c>
      <c r="V155" s="390">
        <v>1.3</v>
      </c>
      <c r="W155" s="478">
        <f>SUMIFS(Таблица14[часы],Таблица14[коэф],"1,3",Таблица14[р/р],"3/24",Таблица14[Ф. И. О.],B154)</f>
        <v>0</v>
      </c>
      <c r="X155" s="545">
        <f t="shared" si="69"/>
        <v>0</v>
      </c>
      <c r="Y155" s="764"/>
      <c r="Z155" s="766"/>
      <c r="AA155" s="756"/>
      <c r="AC155" s="752" t="str">
        <f>IF(SUMIFS(Таблица14[часы],Таблица14[Ф. И. О.],B154)-Y149=0,"",SUMIFS(Таблица14[часы],Таблица14[Ф. И. О.],B154)-Y149)</f>
        <v/>
      </c>
    </row>
    <row r="156" spans="1:29">
      <c r="A156" s="756"/>
      <c r="B156" s="215"/>
      <c r="C156" s="759"/>
      <c r="D156" s="762"/>
      <c r="E156" s="389"/>
      <c r="F156" s="390"/>
      <c r="G156" s="400"/>
      <c r="H156" s="392">
        <f t="shared" si="66"/>
        <v>0</v>
      </c>
      <c r="I156" s="393"/>
      <c r="J156" s="390"/>
      <c r="K156" s="434"/>
      <c r="L156" s="434">
        <f t="shared" si="67"/>
        <v>0</v>
      </c>
      <c r="M156" s="434"/>
      <c r="N156" s="434"/>
      <c r="O156" s="434"/>
      <c r="P156" s="406"/>
      <c r="Q156" s="389">
        <f>база!$L$5</f>
        <v>231.45480000000001</v>
      </c>
      <c r="R156" s="390">
        <v>1.3</v>
      </c>
      <c r="S156" s="400">
        <f>SUMIFS(Таблица14[часы],Таблица14[коэф],"1,3",Таблица14[р/р],"4/16",Таблица14[Ф. И. О.],B154)</f>
        <v>0</v>
      </c>
      <c r="T156" s="392">
        <f t="shared" si="68"/>
        <v>0</v>
      </c>
      <c r="U156" s="410">
        <f>база!$M$5</f>
        <v>247.41720000000001</v>
      </c>
      <c r="V156" s="390">
        <v>1.3</v>
      </c>
      <c r="W156" s="478">
        <f>SUMIFS(Таблица14[часы],Таблица14[коэф],"1,3",Таблица14[р/р],"4/24",Таблица14[Ф. И. О.],B154)</f>
        <v>0</v>
      </c>
      <c r="X156" s="545">
        <f t="shared" si="69"/>
        <v>0</v>
      </c>
      <c r="Y156" s="764"/>
      <c r="Z156" s="766"/>
      <c r="AA156" s="756"/>
    </row>
    <row r="157" spans="1:29">
      <c r="A157" s="756"/>
      <c r="B157" s="215"/>
      <c r="C157" s="759"/>
      <c r="D157" s="762"/>
      <c r="E157" s="389"/>
      <c r="F157" s="390"/>
      <c r="G157" s="400"/>
      <c r="H157" s="392">
        <f t="shared" si="66"/>
        <v>0</v>
      </c>
      <c r="I157" s="393"/>
      <c r="J157" s="390"/>
      <c r="K157" s="434"/>
      <c r="L157" s="434">
        <f t="shared" si="67"/>
        <v>0</v>
      </c>
      <c r="M157" s="434"/>
      <c r="N157" s="434"/>
      <c r="O157" s="434"/>
      <c r="P157" s="406"/>
      <c r="Q157" s="389">
        <f>IF(D149&lt;=3,база!$L$4,
IF(D149=4,база!$L$5,
IF(D149=5,база!$L$6)))</f>
        <v>210.57480000000001</v>
      </c>
      <c r="R157" s="390">
        <v>1.4</v>
      </c>
      <c r="S157" s="400">
        <f>SUMIFS(Таблица14[часы],Таблица14[коэф],"1,4",Таблица14[р/р],"3/16",Таблица14[Ф. И. О.],B154)</f>
        <v>0</v>
      </c>
      <c r="T157" s="392">
        <f t="shared" si="68"/>
        <v>0</v>
      </c>
      <c r="U157" s="410">
        <f>IF(D149&lt;=3,база!$M$4,
IF(D149=4,база!$M$5,
IF(D149=5,база!$M$6)))</f>
        <v>225.09719999999999</v>
      </c>
      <c r="V157" s="390">
        <v>1.4</v>
      </c>
      <c r="W157" s="478">
        <f>SUMIFS(Таблица14[часы],Таблица14[коэф],"1,4",Таблица14[р/р],"3/24",Таблица14[Ф. И. О.],B154)</f>
        <v>0</v>
      </c>
      <c r="X157" s="545">
        <f t="shared" si="69"/>
        <v>0</v>
      </c>
      <c r="Y157" s="764"/>
      <c r="Z157" s="766"/>
      <c r="AA157" s="756"/>
    </row>
    <row r="158" spans="1:29">
      <c r="A158" s="756"/>
      <c r="B158" s="215"/>
      <c r="C158" s="759"/>
      <c r="D158" s="762"/>
      <c r="E158" s="389"/>
      <c r="F158" s="390"/>
      <c r="G158" s="400"/>
      <c r="H158" s="392">
        <f t="shared" si="66"/>
        <v>0</v>
      </c>
      <c r="I158" s="393"/>
      <c r="J158" s="390"/>
      <c r="K158" s="434"/>
      <c r="L158" s="434">
        <f t="shared" si="67"/>
        <v>0</v>
      </c>
      <c r="M158" s="434"/>
      <c r="N158" s="434"/>
      <c r="O158" s="434"/>
      <c r="P158" s="406"/>
      <c r="Q158" s="389">
        <f>база!$L$5</f>
        <v>231.45480000000001</v>
      </c>
      <c r="R158" s="390">
        <v>1.4</v>
      </c>
      <c r="S158" s="400">
        <f>SUMIFS(Таблица14[часы],Таблица14[коэф],"1,4",Таблица14[р/р],"4/16",Таблица14[Ф. И. О.],B154)</f>
        <v>0</v>
      </c>
      <c r="T158" s="392">
        <f t="shared" si="68"/>
        <v>0</v>
      </c>
      <c r="U158" s="410">
        <f>база!$M$5</f>
        <v>247.41720000000001</v>
      </c>
      <c r="V158" s="390">
        <v>1.4</v>
      </c>
      <c r="W158" s="478">
        <f>SUMIFS(Таблица14[часы],Таблица14[коэф],"1,4",Таблица14[р/р],"4/24",Таблица14[Ф. И. О.],B154)</f>
        <v>0</v>
      </c>
      <c r="X158" s="545">
        <f t="shared" si="69"/>
        <v>0</v>
      </c>
      <c r="Y158" s="764"/>
      <c r="Z158" s="766"/>
      <c r="AA158" s="756"/>
    </row>
    <row r="159" spans="1:29" ht="21" thickBot="1">
      <c r="A159" s="757"/>
      <c r="B159" s="202"/>
      <c r="C159" s="760"/>
      <c r="D159" s="763"/>
      <c r="E159" s="473"/>
      <c r="F159" s="464"/>
      <c r="G159" s="465"/>
      <c r="H159" s="468">
        <f t="shared" si="66"/>
        <v>0</v>
      </c>
      <c r="I159" s="463"/>
      <c r="J159" s="464"/>
      <c r="K159" s="457"/>
      <c r="L159" s="457">
        <f t="shared" si="67"/>
        <v>0</v>
      </c>
      <c r="M159" s="457"/>
      <c r="N159" s="457"/>
      <c r="O159" s="457"/>
      <c r="P159" s="476"/>
      <c r="Q159" s="473">
        <f>база!$L$6</f>
        <v>261.04640000000001</v>
      </c>
      <c r="R159" s="464">
        <v>1.4</v>
      </c>
      <c r="S159" s="465">
        <f>SUMIFS(Таблица14[часы],Таблица14[коэф],"1,4",Таблица14[р/р],"5/16",Таблица14[Ф. И. О.],B154)</f>
        <v>0</v>
      </c>
      <c r="T159" s="468">
        <f t="shared" si="68"/>
        <v>0</v>
      </c>
      <c r="U159" s="469">
        <f>база!$M$6</f>
        <v>279.0496</v>
      </c>
      <c r="V159" s="464">
        <v>1.4</v>
      </c>
      <c r="W159" s="480">
        <f>SUMIFS(Таблица14[часы],Таблица14[коэф],"1,4",Таблица14[р/р],"5/24",Таблица14[Ф. И. О.],B154)</f>
        <v>0</v>
      </c>
      <c r="X159" s="547">
        <f t="shared" si="69"/>
        <v>0</v>
      </c>
      <c r="Y159" s="765"/>
      <c r="Z159" s="767"/>
      <c r="AA159" s="757"/>
    </row>
    <row r="160" spans="1:29">
      <c r="A160" s="755">
        <v>15</v>
      </c>
      <c r="B160" s="215"/>
      <c r="C160" s="758">
        <f>INDEX(база!$E$2:$E$81, MATCH(B165,база!$B$2:$B$50,0))</f>
        <v>15880</v>
      </c>
      <c r="D160" s="761">
        <f>INDEX(база!$D$2:$D$89, MATCH(B165,база!$B$2:$B$50,0))</f>
        <v>3</v>
      </c>
      <c r="E160" s="451">
        <f>IF(D160&lt;=3,база!$I$4,
IF(D160=4,база!$I$5,
IF(D160=5,база!$I$6)))</f>
        <v>188.7912</v>
      </c>
      <c r="F160" s="417">
        <v>1</v>
      </c>
      <c r="G160" s="418">
        <f>SUMIFS(Таблица14[часы],Таблица14[коэф],"1",Таблица14[р/р],"2/4",Таблица14[Ф. И. О.],B165)</f>
        <v>0</v>
      </c>
      <c r="H160" s="542">
        <f>ROUND(E160*F160*G160*2,2)</f>
        <v>0</v>
      </c>
      <c r="I160" s="377">
        <f>IF(D160&lt;=3,база!$J$4,
IF(D160=4,база!$J$5,
IF(D160=5,база!$J$6)))</f>
        <v>196.05240000000001</v>
      </c>
      <c r="J160" s="378">
        <v>1</v>
      </c>
      <c r="K160" s="428">
        <f>SUMIFS(Таблица14[часы],Таблица14[коэф],"1",Таблица14[р/р],"2/8",Таблица14[Ф. И. О.],B165)</f>
        <v>0</v>
      </c>
      <c r="L160" s="428">
        <f>ROUND(I160*J160*K160*2,2)</f>
        <v>0</v>
      </c>
      <c r="M160" s="428"/>
      <c r="N160" s="428">
        <v>1</v>
      </c>
      <c r="O160" s="428">
        <f>SUMIFS(Data_Tech!$AM$3:$AM$67,Data_Tech!$E$3:$E$67,"1",Data_Tech!$G$3:$G$67,"3/12",Data_Tech!$F$3:$F$67,B165)</f>
        <v>0</v>
      </c>
      <c r="P160" s="383">
        <f>ROUND(M160*N160*O160,2)</f>
        <v>0</v>
      </c>
      <c r="Q160" s="377">
        <f>IF(D160&lt;=3,база!$L$4,
IF(D160=4,база!$L$5,
IF(D160=5,база!$L$6)))</f>
        <v>210.57480000000001</v>
      </c>
      <c r="R160" s="417">
        <v>1</v>
      </c>
      <c r="S160" s="418">
        <f>SUMIFS(Таблица14[часы],Таблица14[коэф],"1",Таблица14[р/р],"3/16",Таблица14[Ф. И. О.],B165)</f>
        <v>0</v>
      </c>
      <c r="T160" s="542">
        <f>ROUND(Q160*R160*S160*2,2)</f>
        <v>0</v>
      </c>
      <c r="U160" s="471">
        <f>IF(D160&lt;=3,база!$M$4,
IF(D160=4,база!$M$5,
IF(D160=5,база!$M$6)))</f>
        <v>225.09719999999999</v>
      </c>
      <c r="V160" s="378">
        <v>1</v>
      </c>
      <c r="W160" s="430">
        <f>SUMIFS(Таблица14[часы],Таблица14[коэф],"1",Таблица14[р/р],"3/24",Таблица14[Ф. И. О.],B165)</f>
        <v>0</v>
      </c>
      <c r="X160" s="543">
        <f>ROUND(U160*V160*W160*2,2)</f>
        <v>0</v>
      </c>
      <c r="Y160" s="764">
        <f t="shared" ref="Y160" si="70">SUM(G160:G170,K160:K170,O160:O170,S160:S170,W160:W170)</f>
        <v>0</v>
      </c>
      <c r="Z160" s="766">
        <f t="shared" ref="Z160" si="71">IFERROR(SUM(H160:H170,L160:L170,T160:T170,X160:X170),"")</f>
        <v>0</v>
      </c>
      <c r="AA160" s="756"/>
    </row>
    <row r="161" spans="1:29">
      <c r="A161" s="756"/>
      <c r="B161" s="215"/>
      <c r="C161" s="759"/>
      <c r="D161" s="762"/>
      <c r="E161" s="393">
        <f>IF(D160&lt;=3,база!$I$4,
IF(D160=4,база!$I$5,
IF(D160=5,база!$I$6)))</f>
        <v>188.7912</v>
      </c>
      <c r="F161" s="390">
        <v>1</v>
      </c>
      <c r="G161" s="400">
        <f>SUMIFS(Таблица14[часы],Таблица14[коэф],"1",Таблица14[р/р],"3/4",Таблица14[Ф. И. О.],B165)</f>
        <v>0</v>
      </c>
      <c r="H161" s="544">
        <f t="shared" ref="H161:H170" si="72">ROUND(E161*F161*G161*2,2)</f>
        <v>0</v>
      </c>
      <c r="I161" s="389">
        <f>IF(D160&lt;=3,база!$J$4,
IF(D160=4,база!$J$5,
IF(D160=5,база!$J$6)))</f>
        <v>196.05240000000001</v>
      </c>
      <c r="J161" s="390">
        <v>1</v>
      </c>
      <c r="K161" s="434">
        <f>SUMIFS(Таблица14[часы],Таблица14[коэф],"1",Таблица14[р/р],"3/8",Таблица14[Ф. И. О.],B165)</f>
        <v>0</v>
      </c>
      <c r="L161" s="434">
        <f t="shared" ref="L161:L170" si="73">ROUND(I161*J161*K161*2,2)</f>
        <v>0</v>
      </c>
      <c r="M161" s="434"/>
      <c r="N161" s="434">
        <v>1</v>
      </c>
      <c r="O161" s="434">
        <f>SUMIFS(Data_Tech!$AM$3:$AM$67,Data_Tech!$E$3:$E$67,"1",Data_Tech!$G$3:$G$67,"4/12",Data_Tech!$F$3:$F$67,B165)</f>
        <v>0</v>
      </c>
      <c r="P161" s="395">
        <f>ROUND(M161*O161,2)</f>
        <v>0</v>
      </c>
      <c r="Q161" s="389">
        <f>база!$L$5</f>
        <v>231.45480000000001</v>
      </c>
      <c r="R161" s="390">
        <v>1</v>
      </c>
      <c r="S161" s="400">
        <f>SUMIFS(Таблица14[часы],Таблица14[коэф],"1",Таблица14[р/р],"4/16",Таблица14[Ф. И. О.],B165)</f>
        <v>0</v>
      </c>
      <c r="T161" s="544">
        <f t="shared" ref="T161:T170" si="74">ROUND(Q161*R161*S161*2,2)</f>
        <v>0</v>
      </c>
      <c r="U161" s="472">
        <f>база!$M$5</f>
        <v>247.41720000000001</v>
      </c>
      <c r="V161" s="390">
        <v>1</v>
      </c>
      <c r="W161" s="412">
        <f>SUMIFS(Таблица14[часы],Таблица14[коэф],"1",Таблица14[р/р],"4/24",Таблица14[Ф. И. О.],B165)</f>
        <v>0</v>
      </c>
      <c r="X161" s="545">
        <f t="shared" ref="X161:X170" si="75">ROUND(U161*V161*W161*2,2)</f>
        <v>0</v>
      </c>
      <c r="Y161" s="764"/>
      <c r="Z161" s="766"/>
      <c r="AA161" s="756"/>
    </row>
    <row r="162" spans="1:29">
      <c r="A162" s="756"/>
      <c r="B162" s="215"/>
      <c r="C162" s="759"/>
      <c r="D162" s="762"/>
      <c r="E162" s="393"/>
      <c r="F162" s="390"/>
      <c r="G162" s="400"/>
      <c r="H162" s="544">
        <f t="shared" si="72"/>
        <v>0</v>
      </c>
      <c r="I162" s="389"/>
      <c r="J162" s="390"/>
      <c r="K162" s="434"/>
      <c r="L162" s="434">
        <f t="shared" si="73"/>
        <v>0</v>
      </c>
      <c r="M162" s="434"/>
      <c r="N162" s="434"/>
      <c r="O162" s="434"/>
      <c r="P162" s="395"/>
      <c r="Q162" s="389">
        <f>база!$L$6</f>
        <v>261.04640000000001</v>
      </c>
      <c r="R162" s="390">
        <v>1</v>
      </c>
      <c r="S162" s="400">
        <f>SUMIFS(Таблица14[часы],Таблица14[коэф],"1",Таблица14[р/р],"5/16",Таблица14[Ф. И. О.],B165)</f>
        <v>0</v>
      </c>
      <c r="T162" s="544">
        <f t="shared" si="74"/>
        <v>0</v>
      </c>
      <c r="U162" s="472">
        <f>база!$M$6</f>
        <v>279.0496</v>
      </c>
      <c r="V162" s="390">
        <v>1</v>
      </c>
      <c r="W162" s="412">
        <f>SUMIFS(Таблица14[часы],Таблица14[коэф],"1",Таблица14[р/р],"5/24",Таблица14[Ф. И. О.],B165)</f>
        <v>0</v>
      </c>
      <c r="X162" s="545">
        <f t="shared" si="75"/>
        <v>0</v>
      </c>
      <c r="Y162" s="764"/>
      <c r="Z162" s="766"/>
      <c r="AA162" s="756"/>
    </row>
    <row r="163" spans="1:29">
      <c r="A163" s="756"/>
      <c r="B163" s="215"/>
      <c r="C163" s="759"/>
      <c r="D163" s="762"/>
      <c r="E163" s="393"/>
      <c r="F163" s="390"/>
      <c r="G163" s="400"/>
      <c r="H163" s="544">
        <f t="shared" si="72"/>
        <v>0</v>
      </c>
      <c r="I163" s="389">
        <f>база!$J$5</f>
        <v>215.4924</v>
      </c>
      <c r="J163" s="390">
        <v>1.5</v>
      </c>
      <c r="K163" s="434">
        <f>SUMIFS(Таблица14[часы],Таблица14[коэф],"1,5",Таблица14[р/р],"4/8",Таблица14[Ф. И. О.],B165)</f>
        <v>0</v>
      </c>
      <c r="L163" s="434">
        <f t="shared" si="73"/>
        <v>0</v>
      </c>
      <c r="M163" s="434"/>
      <c r="N163" s="434"/>
      <c r="O163" s="434"/>
      <c r="P163" s="395"/>
      <c r="Q163" s="389">
        <f>IF(D160&lt;=3,база!$L$4,
IF(D160=4,база!$L$5,
IF(D160=5,база!$L$6)))</f>
        <v>210.57480000000001</v>
      </c>
      <c r="R163" s="390">
        <v>1.2</v>
      </c>
      <c r="S163" s="400">
        <f>SUMIFS(Таблица14[часы],Таблица14[коэф],"1,2",Таблица14[р/р],"3/16",Таблица14[Ф. И. О.],B165)</f>
        <v>0</v>
      </c>
      <c r="T163" s="544">
        <f t="shared" si="74"/>
        <v>0</v>
      </c>
      <c r="U163" s="472">
        <f>IF(D160&lt;=3,база!$M$4,
IF(D160=4,база!$M$5,
IF(D160=5,база!$M$6)))</f>
        <v>225.09719999999999</v>
      </c>
      <c r="V163" s="390">
        <v>1.2</v>
      </c>
      <c r="W163" s="412">
        <f>SUMIFS(Таблица14[часы],Таблица14[коэф],"1,2",Таблица14[р/р],"3/24",Таблица14[Ф. И. О.],B165)</f>
        <v>0</v>
      </c>
      <c r="X163" s="545">
        <f t="shared" si="75"/>
        <v>0</v>
      </c>
      <c r="Y163" s="764"/>
      <c r="Z163" s="766"/>
      <c r="AA163" s="756"/>
    </row>
    <row r="164" spans="1:29">
      <c r="A164" s="756"/>
      <c r="B164" s="215"/>
      <c r="C164" s="759"/>
      <c r="D164" s="762"/>
      <c r="E164" s="393"/>
      <c r="F164" s="390"/>
      <c r="G164" s="400"/>
      <c r="H164" s="544">
        <f t="shared" si="72"/>
        <v>0</v>
      </c>
      <c r="I164" s="389">
        <f>база!$J$6</f>
        <v>243.04319999999998</v>
      </c>
      <c r="J164" s="390">
        <v>1.5</v>
      </c>
      <c r="K164" s="434">
        <f>SUMIFS(Таблица14[часы],Таблица14[коэф],"1,5",Таблица14[р/р],"5/8",Таблица14[Ф. И. О.],B165)</f>
        <v>0</v>
      </c>
      <c r="L164" s="434">
        <f t="shared" si="73"/>
        <v>0</v>
      </c>
      <c r="M164" s="434"/>
      <c r="N164" s="434"/>
      <c r="O164" s="434"/>
      <c r="P164" s="395"/>
      <c r="Q164" s="389">
        <f>база!$L$5</f>
        <v>231.45480000000001</v>
      </c>
      <c r="R164" s="390">
        <v>1.2</v>
      </c>
      <c r="S164" s="400">
        <f>SUMIFS(Таблица14[часы],Таблица14[коэф],"1,2",Таблица14[р/р],"4/16",Таблица14[Ф. И. О.],B165)</f>
        <v>0</v>
      </c>
      <c r="T164" s="544">
        <f t="shared" si="74"/>
        <v>0</v>
      </c>
      <c r="U164" s="472">
        <f>база!$M$5</f>
        <v>247.41720000000001</v>
      </c>
      <c r="V164" s="390">
        <v>1.2</v>
      </c>
      <c r="W164" s="412">
        <f>SUMIFS(Таблица14[часы],Таблица14[коэф],"1,2",Таблица14[р/р],"4/24",Таблица14[Ф. И. О.],B165)</f>
        <v>0</v>
      </c>
      <c r="X164" s="545">
        <f t="shared" si="75"/>
        <v>0</v>
      </c>
      <c r="Y164" s="764"/>
      <c r="Z164" s="766"/>
      <c r="AA164" s="756"/>
      <c r="AC164" s="752" t="str">
        <f>IF(SUMIFS(Таблица14[Столбец2],Таблица14[Ф. И. О.],B165)-Z160=0,"",SUMIFS(Таблица14[Столбец2],Таблица14[Ф. И. О.],B165)-Z160)</f>
        <v/>
      </c>
    </row>
    <row r="165" spans="1:29">
      <c r="A165" s="756"/>
      <c r="B165" s="215" t="str">
        <f>база!B16</f>
        <v>Грешнова Ольга Викторовна</v>
      </c>
      <c r="C165" s="759"/>
      <c r="D165" s="762"/>
      <c r="E165" s="393"/>
      <c r="F165" s="390"/>
      <c r="G165" s="400"/>
      <c r="H165" s="544">
        <f t="shared" si="72"/>
        <v>0</v>
      </c>
      <c r="I165" s="389"/>
      <c r="J165" s="390"/>
      <c r="K165" s="434"/>
      <c r="L165" s="434">
        <f t="shared" si="73"/>
        <v>0</v>
      </c>
      <c r="M165" s="434"/>
      <c r="N165" s="434"/>
      <c r="O165" s="434"/>
      <c r="P165" s="395"/>
      <c r="Q165" s="389">
        <f>база!$L$6</f>
        <v>261.04640000000001</v>
      </c>
      <c r="R165" s="390">
        <v>1.2</v>
      </c>
      <c r="S165" s="400">
        <f>SUMIFS(Таблица14[часы],Таблица14[коэф],"1,2",Таблица14[р/р],"5/16",Таблица14[Ф. И. О.],B165)</f>
        <v>0</v>
      </c>
      <c r="T165" s="544">
        <f t="shared" si="74"/>
        <v>0</v>
      </c>
      <c r="U165" s="472">
        <f>база!$M$6</f>
        <v>279.0496</v>
      </c>
      <c r="V165" s="390">
        <v>1.2</v>
      </c>
      <c r="W165" s="412">
        <f>SUMIFS(Таблица14[часы],Таблица14[коэф],"1,2",Таблица14[р/р],"5/24",Таблица14[Ф. И. О.],B165)</f>
        <v>0</v>
      </c>
      <c r="X165" s="545">
        <f t="shared" si="75"/>
        <v>0</v>
      </c>
      <c r="Y165" s="764"/>
      <c r="Z165" s="766"/>
      <c r="AA165" s="756"/>
      <c r="AC165" s="752" t="str">
        <f>IF(SUMIFS(Таблица14[часы],Таблица14[Ф. И. О.],B165)-Y160=0,"",SUMIFS(Таблица14[часы],Таблица14[Ф. И. О.],B165)-Y160)</f>
        <v/>
      </c>
    </row>
    <row r="166" spans="1:29">
      <c r="A166" s="756"/>
      <c r="B166" s="215"/>
      <c r="C166" s="759"/>
      <c r="D166" s="762"/>
      <c r="E166" s="393"/>
      <c r="F166" s="390"/>
      <c r="G166" s="400"/>
      <c r="H166" s="544">
        <f t="shared" si="72"/>
        <v>0</v>
      </c>
      <c r="I166" s="389"/>
      <c r="J166" s="390"/>
      <c r="K166" s="434"/>
      <c r="L166" s="434">
        <f t="shared" si="73"/>
        <v>0</v>
      </c>
      <c r="M166" s="434"/>
      <c r="N166" s="434"/>
      <c r="O166" s="434"/>
      <c r="P166" s="395"/>
      <c r="Q166" s="389">
        <f>IF(D160&lt;=3,база!$L$4,
IF(D160=4,база!$L$5,
IF(D160=5,база!$L$6)))</f>
        <v>210.57480000000001</v>
      </c>
      <c r="R166" s="390">
        <v>1.3</v>
      </c>
      <c r="S166" s="400">
        <f>SUMIFS(Таблица14[часы],Таблица14[коэф],"1,3",Таблица14[р/р],"3/16",Таблица14[Ф. И. О.],B165)</f>
        <v>0</v>
      </c>
      <c r="T166" s="544">
        <f t="shared" si="74"/>
        <v>0</v>
      </c>
      <c r="U166" s="472">
        <f>IF(D160&lt;=3,база!$M$4,
IF(D160=4,база!$M$5,
IF(D160=5,база!$M$6)))</f>
        <v>225.09719999999999</v>
      </c>
      <c r="V166" s="390">
        <v>1.3</v>
      </c>
      <c r="W166" s="412">
        <f>SUMIFS(Таблица14[часы],Таблица14[коэф],"1,3",Таблица14[р/р],"3/24",Таблица14[Ф. И. О.],B165)</f>
        <v>0</v>
      </c>
      <c r="X166" s="545">
        <f t="shared" si="75"/>
        <v>0</v>
      </c>
      <c r="Y166" s="764"/>
      <c r="Z166" s="766"/>
      <c r="AA166" s="756"/>
    </row>
    <row r="167" spans="1:29">
      <c r="A167" s="756"/>
      <c r="B167" s="215"/>
      <c r="C167" s="759"/>
      <c r="D167" s="762"/>
      <c r="E167" s="393"/>
      <c r="F167" s="390"/>
      <c r="G167" s="400"/>
      <c r="H167" s="544">
        <f t="shared" si="72"/>
        <v>0</v>
      </c>
      <c r="I167" s="389"/>
      <c r="J167" s="390"/>
      <c r="K167" s="434"/>
      <c r="L167" s="434">
        <f t="shared" si="73"/>
        <v>0</v>
      </c>
      <c r="M167" s="434"/>
      <c r="N167" s="434"/>
      <c r="O167" s="434"/>
      <c r="P167" s="395"/>
      <c r="Q167" s="389">
        <f>база!$L$5</f>
        <v>231.45480000000001</v>
      </c>
      <c r="R167" s="390">
        <v>1.3</v>
      </c>
      <c r="S167" s="400">
        <f>SUMIFS(Таблица14[часы],Таблица14[коэф],"1,3",Таблица14[р/р],"4/16",Таблица14[Ф. И. О.],B165)</f>
        <v>0</v>
      </c>
      <c r="T167" s="544">
        <f t="shared" si="74"/>
        <v>0</v>
      </c>
      <c r="U167" s="472">
        <f>база!$M$5</f>
        <v>247.41720000000001</v>
      </c>
      <c r="V167" s="390">
        <v>1.3</v>
      </c>
      <c r="W167" s="412">
        <f>SUMIFS(Таблица14[часы],Таблица14[коэф],"1,3",Таблица14[р/р],"4/24",Таблица14[Ф. И. О.],B165)</f>
        <v>0</v>
      </c>
      <c r="X167" s="545">
        <f t="shared" si="75"/>
        <v>0</v>
      </c>
      <c r="Y167" s="764"/>
      <c r="Z167" s="766"/>
      <c r="AA167" s="756"/>
    </row>
    <row r="168" spans="1:29">
      <c r="A168" s="756"/>
      <c r="B168" s="215"/>
      <c r="C168" s="759"/>
      <c r="D168" s="762"/>
      <c r="E168" s="393"/>
      <c r="F168" s="390"/>
      <c r="G168" s="400"/>
      <c r="H168" s="544">
        <f t="shared" si="72"/>
        <v>0</v>
      </c>
      <c r="I168" s="389"/>
      <c r="J168" s="390"/>
      <c r="K168" s="434"/>
      <c r="L168" s="434">
        <f t="shared" si="73"/>
        <v>0</v>
      </c>
      <c r="M168" s="434"/>
      <c r="N168" s="434"/>
      <c r="O168" s="434"/>
      <c r="P168" s="395"/>
      <c r="Q168" s="389">
        <f>IF(D160&lt;=3,база!$L$4,
IF(D160=4,база!$L$5,
IF(D160=5,база!$L$6)))</f>
        <v>210.57480000000001</v>
      </c>
      <c r="R168" s="390">
        <v>1.4</v>
      </c>
      <c r="S168" s="400">
        <f>SUMIFS(Таблица14[часы],Таблица14[коэф],"1,4",Таблица14[р/р],"3/16",Таблица14[Ф. И. О.],B165)</f>
        <v>0</v>
      </c>
      <c r="T168" s="544">
        <f t="shared" si="74"/>
        <v>0</v>
      </c>
      <c r="U168" s="472">
        <f>IF(D160&lt;=3,база!$M$4,
IF(D160=4,база!$M$5,
IF(D160=5,база!$M$6)))</f>
        <v>225.09719999999999</v>
      </c>
      <c r="V168" s="390">
        <v>1.4</v>
      </c>
      <c r="W168" s="412">
        <f>SUMIFS(Таблица14[часы],Таблица14[коэф],"1,4",Таблица14[р/р],"3/24",Таблица14[Ф. И. О.],B165)</f>
        <v>0</v>
      </c>
      <c r="X168" s="545">
        <f t="shared" si="75"/>
        <v>0</v>
      </c>
      <c r="Y168" s="764"/>
      <c r="Z168" s="766"/>
      <c r="AA168" s="756"/>
    </row>
    <row r="169" spans="1:29">
      <c r="A169" s="756"/>
      <c r="B169" s="215"/>
      <c r="C169" s="759"/>
      <c r="D169" s="762"/>
      <c r="E169" s="393"/>
      <c r="F169" s="390"/>
      <c r="G169" s="400"/>
      <c r="H169" s="544">
        <f t="shared" si="72"/>
        <v>0</v>
      </c>
      <c r="I169" s="389"/>
      <c r="J169" s="390"/>
      <c r="K169" s="434"/>
      <c r="L169" s="434">
        <f t="shared" si="73"/>
        <v>0</v>
      </c>
      <c r="M169" s="434"/>
      <c r="N169" s="434"/>
      <c r="O169" s="434"/>
      <c r="P169" s="395"/>
      <c r="Q169" s="389">
        <f>база!$L$5</f>
        <v>231.45480000000001</v>
      </c>
      <c r="R169" s="390">
        <v>1.4</v>
      </c>
      <c r="S169" s="400">
        <f>SUMIFS(Таблица14[часы],Таблица14[коэф],"1,4",Таблица14[р/р],"4/16",Таблица14[Ф. И. О.],B165)</f>
        <v>0</v>
      </c>
      <c r="T169" s="544">
        <f t="shared" si="74"/>
        <v>0</v>
      </c>
      <c r="U169" s="472">
        <f>база!$M$5</f>
        <v>247.41720000000001</v>
      </c>
      <c r="V169" s="390">
        <v>1.4</v>
      </c>
      <c r="W169" s="412">
        <f>SUMIFS(Таблица14[часы],Таблица14[коэф],"1,4",Таблица14[р/р],"4/24",Таблица14[Ф. И. О.],B165)</f>
        <v>0</v>
      </c>
      <c r="X169" s="545">
        <f t="shared" si="75"/>
        <v>0</v>
      </c>
      <c r="Y169" s="764"/>
      <c r="Z169" s="766"/>
      <c r="AA169" s="756"/>
    </row>
    <row r="170" spans="1:29" ht="21" thickBot="1">
      <c r="A170" s="757"/>
      <c r="B170" s="215"/>
      <c r="C170" s="760"/>
      <c r="D170" s="763"/>
      <c r="E170" s="422"/>
      <c r="F170" s="403"/>
      <c r="G170" s="408"/>
      <c r="H170" s="546">
        <f t="shared" si="72"/>
        <v>0</v>
      </c>
      <c r="I170" s="420"/>
      <c r="J170" s="403"/>
      <c r="K170" s="460"/>
      <c r="L170" s="460">
        <f t="shared" si="73"/>
        <v>0</v>
      </c>
      <c r="M170" s="460"/>
      <c r="N170" s="460"/>
      <c r="O170" s="460"/>
      <c r="P170" s="424"/>
      <c r="Q170" s="420">
        <f>база!$L$6</f>
        <v>261.04640000000001</v>
      </c>
      <c r="R170" s="403">
        <v>1.4</v>
      </c>
      <c r="S170" s="408">
        <f>SUMIFS(Таблица14[часы],Таблица14[коэф],"1,4",Таблица14[р/р],"5/16",Таблица14[Ф. И. О.],B165)</f>
        <v>0</v>
      </c>
      <c r="T170" s="546">
        <f t="shared" si="74"/>
        <v>0</v>
      </c>
      <c r="U170" s="482">
        <f>база!$M$6</f>
        <v>279.0496</v>
      </c>
      <c r="V170" s="403">
        <v>1.4</v>
      </c>
      <c r="W170" s="527">
        <f>SUMIFS(Таблица14[часы],Таблица14[коэф],"1,4",Таблица14[р/р],"5/24",Таблица14[Ф. И. О.],B165)</f>
        <v>0</v>
      </c>
      <c r="X170" s="550">
        <f t="shared" si="75"/>
        <v>0</v>
      </c>
      <c r="Y170" s="765"/>
      <c r="Z170" s="767"/>
      <c r="AA170" s="757"/>
    </row>
    <row r="171" spans="1:29">
      <c r="A171" s="755">
        <v>16</v>
      </c>
      <c r="B171" s="235"/>
      <c r="C171" s="758">
        <f>INDEX(база!$E$2:$E$81, MATCH(B176,база!$B$2:$B$50,0))</f>
        <v>15894</v>
      </c>
      <c r="D171" s="761">
        <f>INDEX(база!$D$2:$D$89, MATCH(B176,база!$B$2:$B$50,0))</f>
        <v>3</v>
      </c>
      <c r="E171" s="381">
        <f>IF(D171&lt;=3,база!$I$4,
IF(D171=4,база!$I$5,
IF(D171=5,база!$I$6)))</f>
        <v>188.7912</v>
      </c>
      <c r="F171" s="378">
        <v>1</v>
      </c>
      <c r="G171" s="387">
        <f>SUMIFS(Таблица14[часы],Таблица14[коэф],"1",Таблица14[р/р],"2/4",Таблица14[Ф. И. О.],B176)</f>
        <v>0</v>
      </c>
      <c r="H171" s="548">
        <f>ROUND(E171*F171*G171*2,2)</f>
        <v>0</v>
      </c>
      <c r="I171" s="377">
        <f>IF(D171&lt;=3,база!$J$4,
IF(D171=4,база!$J$5,
IF(D171=5,база!$J$6)))</f>
        <v>196.05240000000001</v>
      </c>
      <c r="J171" s="378">
        <v>1</v>
      </c>
      <c r="K171" s="428">
        <f>SUMIFS(Таблица14[часы],Таблица14[коэф],"1",Таблица14[р/р],"2/8",Таблица14[Ф. И. О.],B176)</f>
        <v>0</v>
      </c>
      <c r="L171" s="428">
        <f>ROUND(I171*J171*K171*2,2)</f>
        <v>0</v>
      </c>
      <c r="M171" s="428"/>
      <c r="N171" s="428">
        <v>1</v>
      </c>
      <c r="O171" s="428">
        <f>SUMIFS(Data_Tech!$AM$3:$AM$67,Data_Tech!$E$3:$E$67,"1",Data_Tech!$G$3:$G$67,"3/12",Data_Tech!$F$3:$F$67,B176)</f>
        <v>0</v>
      </c>
      <c r="P171" s="383">
        <f>ROUND(M171*N171*O171,2)</f>
        <v>0</v>
      </c>
      <c r="Q171" s="377">
        <f>IF(D171&lt;=3,база!$L$4,
IF(D171=4,база!$L$5,
IF(D171=5,база!$L$6)))</f>
        <v>210.57480000000001</v>
      </c>
      <c r="R171" s="378">
        <v>1</v>
      </c>
      <c r="S171" s="387">
        <f>SUMIFS(Таблица14[часы],Таблица14[коэф],"1",Таблица14[р/р],"3/16",Таблица14[Ф. И. О.],B176)</f>
        <v>0</v>
      </c>
      <c r="T171" s="548">
        <f>ROUND(Q171*R171*S171*2,2)</f>
        <v>0</v>
      </c>
      <c r="U171" s="471">
        <f>IF(D171&lt;=3,база!$M$4,
IF(D171=4,база!$M$5,
IF(D171=5,база!$M$6)))</f>
        <v>225.09719999999999</v>
      </c>
      <c r="V171" s="378">
        <v>1</v>
      </c>
      <c r="W171" s="430">
        <f>SUMIFS(Таблица14[часы],Таблица14[коэф],"1",Таблица14[р/р],"3/24",Таблица14[Ф. И. О.],B176)</f>
        <v>0</v>
      </c>
      <c r="X171" s="543">
        <f>ROUND(U171*V171*W171*2,2)</f>
        <v>0</v>
      </c>
      <c r="Y171" s="764">
        <f t="shared" ref="Y171" si="76">SUM(G171:G181,K171:K181,O171:O181,S171:S181,W171:W181)</f>
        <v>0</v>
      </c>
      <c r="Z171" s="766">
        <f t="shared" ref="Z171" si="77">IFERROR(SUM(H171:H181,L171:L181,T171:T181,X171:X181),"")</f>
        <v>0</v>
      </c>
      <c r="AA171" s="756"/>
    </row>
    <row r="172" spans="1:29">
      <c r="A172" s="756"/>
      <c r="B172" s="215"/>
      <c r="C172" s="759"/>
      <c r="D172" s="762"/>
      <c r="E172" s="393">
        <f>IF(D171&lt;=3,база!$I$4,
IF(D171=4,база!$I$5,
IF(D171=5,база!$I$6)))</f>
        <v>188.7912</v>
      </c>
      <c r="F172" s="390">
        <v>1</v>
      </c>
      <c r="G172" s="400">
        <f>SUMIFS(Таблица14[часы],Таблица14[коэф],"1",Таблица14[р/р],"3/4",Таблица14[Ф. И. О.],B176)</f>
        <v>0</v>
      </c>
      <c r="H172" s="544">
        <f t="shared" ref="H172:H181" si="78">ROUND(E172*F172*G172*2,2)</f>
        <v>0</v>
      </c>
      <c r="I172" s="389">
        <f>IF(D171&lt;=3,база!$J$4,
IF(D171=4,база!$J$5,
IF(D171=5,база!$J$6)))</f>
        <v>196.05240000000001</v>
      </c>
      <c r="J172" s="390">
        <v>1</v>
      </c>
      <c r="K172" s="434">
        <f>SUMIFS(Таблица14[часы],Таблица14[коэф],"1",Таблица14[р/р],"3/8",Таблица14[Ф. И. О.],B176)</f>
        <v>0</v>
      </c>
      <c r="L172" s="434">
        <f t="shared" ref="L172:L181" si="79">ROUND(I172*J172*K172*2,2)</f>
        <v>0</v>
      </c>
      <c r="M172" s="434"/>
      <c r="N172" s="434">
        <v>1</v>
      </c>
      <c r="O172" s="434">
        <f>SUMIFS(Data_Tech!$AM$3:$AM$67,Data_Tech!$E$3:$E$67,"1",Data_Tech!$G$3:$G$67,"4/12",Data_Tech!$F$3:$F$67,B176)</f>
        <v>0</v>
      </c>
      <c r="P172" s="395">
        <f>ROUND(M172*O172,2)</f>
        <v>0</v>
      </c>
      <c r="Q172" s="389">
        <f>база!$L$5</f>
        <v>231.45480000000001</v>
      </c>
      <c r="R172" s="390">
        <v>1</v>
      </c>
      <c r="S172" s="400">
        <f>SUMIFS(Таблица14[часы],Таблица14[коэф],"1",Таблица14[р/р],"4/16",Таблица14[Ф. И. О.],B176)</f>
        <v>0</v>
      </c>
      <c r="T172" s="544">
        <f t="shared" ref="T172:T181" si="80">ROUND(Q172*R172*S172*2,2)</f>
        <v>0</v>
      </c>
      <c r="U172" s="472">
        <f>база!$M$5</f>
        <v>247.41720000000001</v>
      </c>
      <c r="V172" s="390">
        <v>1</v>
      </c>
      <c r="W172" s="412">
        <f>SUMIFS(Таблица14[часы],Таблица14[коэф],"1",Таблица14[р/р],"4/24",Таблица14[Ф. И. О.],B176)</f>
        <v>0</v>
      </c>
      <c r="X172" s="545">
        <f t="shared" ref="X172:X181" si="81">ROUND(U172*V172*W172*2,2)</f>
        <v>0</v>
      </c>
      <c r="Y172" s="764"/>
      <c r="Z172" s="766"/>
      <c r="AA172" s="756"/>
    </row>
    <row r="173" spans="1:29">
      <c r="A173" s="756"/>
      <c r="B173" s="215"/>
      <c r="C173" s="759"/>
      <c r="D173" s="762"/>
      <c r="E173" s="393"/>
      <c r="F173" s="390"/>
      <c r="G173" s="400"/>
      <c r="H173" s="544">
        <f t="shared" si="78"/>
        <v>0</v>
      </c>
      <c r="I173" s="389"/>
      <c r="J173" s="390"/>
      <c r="K173" s="434"/>
      <c r="L173" s="434">
        <f t="shared" si="79"/>
        <v>0</v>
      </c>
      <c r="M173" s="434"/>
      <c r="N173" s="434"/>
      <c r="O173" s="434"/>
      <c r="P173" s="395"/>
      <c r="Q173" s="389">
        <f>база!$L$6</f>
        <v>261.04640000000001</v>
      </c>
      <c r="R173" s="390">
        <v>1</v>
      </c>
      <c r="S173" s="400">
        <f>SUMIFS(Таблица14[часы],Таблица14[коэф],"1",Таблица14[р/р],"5/16",Таблица14[Ф. И. О.],B176)</f>
        <v>0</v>
      </c>
      <c r="T173" s="544">
        <f t="shared" si="80"/>
        <v>0</v>
      </c>
      <c r="U173" s="472">
        <f>база!$M$6</f>
        <v>279.0496</v>
      </c>
      <c r="V173" s="390">
        <v>1</v>
      </c>
      <c r="W173" s="412">
        <f>SUMIFS(Таблица14[часы],Таблица14[коэф],"1",Таблица14[р/р],"5/24",Таблица14[Ф. И. О.],B176)</f>
        <v>0</v>
      </c>
      <c r="X173" s="545">
        <f t="shared" si="81"/>
        <v>0</v>
      </c>
      <c r="Y173" s="764"/>
      <c r="Z173" s="766"/>
      <c r="AA173" s="756"/>
    </row>
    <row r="174" spans="1:29">
      <c r="A174" s="756"/>
      <c r="B174" s="215"/>
      <c r="C174" s="759"/>
      <c r="D174" s="762"/>
      <c r="E174" s="393"/>
      <c r="F174" s="390"/>
      <c r="G174" s="400"/>
      <c r="H174" s="544">
        <f t="shared" si="78"/>
        <v>0</v>
      </c>
      <c r="I174" s="389">
        <f>база!$J$5</f>
        <v>215.4924</v>
      </c>
      <c r="J174" s="390">
        <v>1.5</v>
      </c>
      <c r="K174" s="434">
        <f>SUMIFS(Таблица14[часы],Таблица14[коэф],"1,5",Таблица14[р/р],"4/8",Таблица14[Ф. И. О.],B176)</f>
        <v>0</v>
      </c>
      <c r="L174" s="434">
        <f t="shared" si="79"/>
        <v>0</v>
      </c>
      <c r="M174" s="434"/>
      <c r="N174" s="434"/>
      <c r="O174" s="434"/>
      <c r="P174" s="395"/>
      <c r="Q174" s="389">
        <f>IF(D171&lt;=3,база!$L$4,
IF(D171=4,база!$L$5,
IF(D171=5,база!$L$6)))</f>
        <v>210.57480000000001</v>
      </c>
      <c r="R174" s="390">
        <v>1.2</v>
      </c>
      <c r="S174" s="400">
        <f>SUMIFS(Таблица14[часы],Таблица14[коэф],"1,2",Таблица14[р/р],"3/16",Таблица14[Ф. И. О.],B176)</f>
        <v>0</v>
      </c>
      <c r="T174" s="544">
        <f t="shared" si="80"/>
        <v>0</v>
      </c>
      <c r="U174" s="472">
        <f>IF(D171&lt;=3,база!$M$4,
IF(D171=4,база!$M$5,
IF(D171=5,база!$M$6)))</f>
        <v>225.09719999999999</v>
      </c>
      <c r="V174" s="390">
        <v>1.2</v>
      </c>
      <c r="W174" s="412">
        <f>SUMIFS(Таблица14[часы],Таблица14[коэф],"1,2",Таблица14[р/р],"3/24",Таблица14[Ф. И. О.],B176)</f>
        <v>0</v>
      </c>
      <c r="X174" s="545">
        <f t="shared" si="81"/>
        <v>0</v>
      </c>
      <c r="Y174" s="764"/>
      <c r="Z174" s="766"/>
      <c r="AA174" s="756"/>
    </row>
    <row r="175" spans="1:29">
      <c r="A175" s="756"/>
      <c r="B175" s="215"/>
      <c r="C175" s="759"/>
      <c r="D175" s="762"/>
      <c r="E175" s="393"/>
      <c r="F175" s="390"/>
      <c r="G175" s="400"/>
      <c r="H175" s="544">
        <f t="shared" si="78"/>
        <v>0</v>
      </c>
      <c r="I175" s="389">
        <f>база!$J$6</f>
        <v>243.04319999999998</v>
      </c>
      <c r="J175" s="390">
        <v>1.5</v>
      </c>
      <c r="K175" s="434">
        <f>SUMIFS(Таблица14[часы],Таблица14[коэф],"1,5",Таблица14[р/р],"5/8",Таблица14[Ф. И. О.],B176)</f>
        <v>0</v>
      </c>
      <c r="L175" s="434">
        <f t="shared" si="79"/>
        <v>0</v>
      </c>
      <c r="M175" s="434"/>
      <c r="N175" s="434"/>
      <c r="O175" s="434"/>
      <c r="P175" s="395"/>
      <c r="Q175" s="389">
        <f>база!$L$5</f>
        <v>231.45480000000001</v>
      </c>
      <c r="R175" s="390">
        <v>1.2</v>
      </c>
      <c r="S175" s="400">
        <f>SUMIFS(Таблица14[часы],Таблица14[коэф],"1,2",Таблица14[р/р],"4/16",Таблица14[Ф. И. О.],B176)</f>
        <v>0</v>
      </c>
      <c r="T175" s="544">
        <f t="shared" si="80"/>
        <v>0</v>
      </c>
      <c r="U175" s="472">
        <f>база!$M$5</f>
        <v>247.41720000000001</v>
      </c>
      <c r="V175" s="390">
        <v>1.2</v>
      </c>
      <c r="W175" s="412">
        <f>SUMIFS(Таблица14[часы],Таблица14[коэф],"1,2",Таблица14[р/р],"4/24",Таблица14[Ф. И. О.],B176)</f>
        <v>0</v>
      </c>
      <c r="X175" s="545">
        <f t="shared" si="81"/>
        <v>0</v>
      </c>
      <c r="Y175" s="764"/>
      <c r="Z175" s="766"/>
      <c r="AA175" s="756"/>
    </row>
    <row r="176" spans="1:29">
      <c r="A176" s="756"/>
      <c r="B176" s="215" t="str">
        <f>база!B17</f>
        <v>Груздева Олеся Изидоровна</v>
      </c>
      <c r="C176" s="759"/>
      <c r="D176" s="762"/>
      <c r="E176" s="393"/>
      <c r="F176" s="390"/>
      <c r="G176" s="400"/>
      <c r="H176" s="544">
        <f t="shared" si="78"/>
        <v>0</v>
      </c>
      <c r="I176" s="389"/>
      <c r="J176" s="390"/>
      <c r="K176" s="434"/>
      <c r="L176" s="434">
        <f t="shared" si="79"/>
        <v>0</v>
      </c>
      <c r="M176" s="434"/>
      <c r="N176" s="434"/>
      <c r="O176" s="434"/>
      <c r="P176" s="395"/>
      <c r="Q176" s="389">
        <f>база!$L$6</f>
        <v>261.04640000000001</v>
      </c>
      <c r="R176" s="390">
        <v>1.2</v>
      </c>
      <c r="S176" s="400">
        <f>SUMIFS(Таблица14[часы],Таблица14[коэф],"1,2",Таблица14[р/р],"5/16",Таблица14[Ф. И. О.],B176)</f>
        <v>0</v>
      </c>
      <c r="T176" s="544">
        <f t="shared" si="80"/>
        <v>0</v>
      </c>
      <c r="U176" s="472">
        <f>база!$M$6</f>
        <v>279.0496</v>
      </c>
      <c r="V176" s="390">
        <v>1.2</v>
      </c>
      <c r="W176" s="412">
        <f>SUMIFS(Таблица14[часы],Таблица14[коэф],"1,2",Таблица14[р/р],"5/24",Таблица14[Ф. И. О.],B176)</f>
        <v>0</v>
      </c>
      <c r="X176" s="545">
        <f t="shared" si="81"/>
        <v>0</v>
      </c>
      <c r="Y176" s="764"/>
      <c r="Z176" s="766"/>
      <c r="AA176" s="756"/>
      <c r="AC176" s="752" t="str">
        <f>IF(SUMIFS(Таблица14[Столбец2],Таблица14[Ф. И. О.],B176)-Z171=0,"",SUMIFS(Таблица14[Столбец2],Таблица14[Ф. И. О.],B176)-Z171)</f>
        <v/>
      </c>
    </row>
    <row r="177" spans="1:29">
      <c r="A177" s="756"/>
      <c r="B177" s="215"/>
      <c r="C177" s="759"/>
      <c r="D177" s="762"/>
      <c r="E177" s="393"/>
      <c r="F177" s="390"/>
      <c r="G177" s="400"/>
      <c r="H177" s="544">
        <f t="shared" si="78"/>
        <v>0</v>
      </c>
      <c r="I177" s="389"/>
      <c r="J177" s="390"/>
      <c r="K177" s="434"/>
      <c r="L177" s="434">
        <f t="shared" si="79"/>
        <v>0</v>
      </c>
      <c r="M177" s="434"/>
      <c r="N177" s="434"/>
      <c r="O177" s="434"/>
      <c r="P177" s="395"/>
      <c r="Q177" s="389">
        <f>IF(D171&lt;=3,база!$L$4,
IF(D171=4,база!$L$5,
IF(D171=5,база!$L$6)))</f>
        <v>210.57480000000001</v>
      </c>
      <c r="R177" s="390">
        <v>1.3</v>
      </c>
      <c r="S177" s="400">
        <f>SUMIFS(Таблица14[часы],Таблица14[коэф],"1,3",Таблица14[р/р],"3/16",Таблица14[Ф. И. О.],B176)</f>
        <v>0</v>
      </c>
      <c r="T177" s="544">
        <f t="shared" si="80"/>
        <v>0</v>
      </c>
      <c r="U177" s="472">
        <f>IF(D171&lt;=3,база!$M$4,
IF(D171=4,база!$M$5,
IF(D171=5,база!$M$6)))</f>
        <v>225.09719999999999</v>
      </c>
      <c r="V177" s="390">
        <v>1.3</v>
      </c>
      <c r="W177" s="412">
        <f>SUMIFS(Таблица14[часы],Таблица14[коэф],"1,3",Таблица14[р/р],"3/24",Таблица14[Ф. И. О.],B176)</f>
        <v>0</v>
      </c>
      <c r="X177" s="545">
        <f t="shared" si="81"/>
        <v>0</v>
      </c>
      <c r="Y177" s="764"/>
      <c r="Z177" s="766"/>
      <c r="AA177" s="756"/>
      <c r="AC177" s="752" t="str">
        <f>IF(SUMIFS(Таблица14[часы],Таблица14[Ф. И. О.],B176)-Y171=0,"",SUMIFS(Таблица14[часы],Таблица14[Ф. И. О.],B176)-Y171)</f>
        <v/>
      </c>
    </row>
    <row r="178" spans="1:29">
      <c r="A178" s="756"/>
      <c r="B178" s="215"/>
      <c r="C178" s="759"/>
      <c r="D178" s="762"/>
      <c r="E178" s="393"/>
      <c r="F178" s="390"/>
      <c r="G178" s="400"/>
      <c r="H178" s="544">
        <f t="shared" si="78"/>
        <v>0</v>
      </c>
      <c r="I178" s="389"/>
      <c r="J178" s="390"/>
      <c r="K178" s="434"/>
      <c r="L178" s="434">
        <f t="shared" si="79"/>
        <v>0</v>
      </c>
      <c r="M178" s="434"/>
      <c r="N178" s="434"/>
      <c r="O178" s="434"/>
      <c r="P178" s="395"/>
      <c r="Q178" s="389">
        <f>база!$L$5</f>
        <v>231.45480000000001</v>
      </c>
      <c r="R178" s="390">
        <v>1.3</v>
      </c>
      <c r="S178" s="400">
        <f>SUMIFS(Таблица14[часы],Таблица14[коэф],"1,3",Таблица14[р/р],"4/16",Таблица14[Ф. И. О.],B176)</f>
        <v>0</v>
      </c>
      <c r="T178" s="544">
        <f t="shared" si="80"/>
        <v>0</v>
      </c>
      <c r="U178" s="472">
        <f>база!$M$5</f>
        <v>247.41720000000001</v>
      </c>
      <c r="V178" s="390">
        <v>1.3</v>
      </c>
      <c r="W178" s="412">
        <f>SUMIFS(Таблица14[часы],Таблица14[коэф],"1,3",Таблица14[р/р],"4/24",Таблица14[Ф. И. О.],B176)</f>
        <v>0</v>
      </c>
      <c r="X178" s="545">
        <f t="shared" si="81"/>
        <v>0</v>
      </c>
      <c r="Y178" s="764"/>
      <c r="Z178" s="766"/>
      <c r="AA178" s="756"/>
    </row>
    <row r="179" spans="1:29">
      <c r="A179" s="756"/>
      <c r="B179" s="215"/>
      <c r="C179" s="759"/>
      <c r="D179" s="762"/>
      <c r="E179" s="393"/>
      <c r="F179" s="390"/>
      <c r="G179" s="400"/>
      <c r="H179" s="544">
        <f t="shared" si="78"/>
        <v>0</v>
      </c>
      <c r="I179" s="389"/>
      <c r="J179" s="390"/>
      <c r="K179" s="434"/>
      <c r="L179" s="434">
        <f t="shared" si="79"/>
        <v>0</v>
      </c>
      <c r="M179" s="434"/>
      <c r="N179" s="434"/>
      <c r="O179" s="434"/>
      <c r="P179" s="395"/>
      <c r="Q179" s="389">
        <f>IF(D171&lt;=3,база!$L$4,
IF(D171=4,база!$L$5,
IF(D171=5,база!$L$6)))</f>
        <v>210.57480000000001</v>
      </c>
      <c r="R179" s="390">
        <v>1.4</v>
      </c>
      <c r="S179" s="400">
        <f>SUMIFS(Таблица14[часы],Таблица14[коэф],"1,4",Таблица14[р/р],"3/16",Таблица14[Ф. И. О.],B176)</f>
        <v>0</v>
      </c>
      <c r="T179" s="544">
        <f t="shared" si="80"/>
        <v>0</v>
      </c>
      <c r="U179" s="472">
        <f>IF(D171&lt;=3,база!$M$4,
IF(D171=4,база!$M$5,
IF(D171=5,база!$M$6)))</f>
        <v>225.09719999999999</v>
      </c>
      <c r="V179" s="390">
        <v>1.4</v>
      </c>
      <c r="W179" s="412">
        <f>SUMIFS(Таблица14[часы],Таблица14[коэф],"1,4",Таблица14[р/р],"3/24",Таблица14[Ф. И. О.],B176)</f>
        <v>0</v>
      </c>
      <c r="X179" s="545">
        <f t="shared" si="81"/>
        <v>0</v>
      </c>
      <c r="Y179" s="764"/>
      <c r="Z179" s="766"/>
      <c r="AA179" s="756"/>
    </row>
    <row r="180" spans="1:29">
      <c r="A180" s="756"/>
      <c r="B180" s="215"/>
      <c r="C180" s="759"/>
      <c r="D180" s="762"/>
      <c r="E180" s="393"/>
      <c r="F180" s="390"/>
      <c r="G180" s="400"/>
      <c r="H180" s="544">
        <f t="shared" si="78"/>
        <v>0</v>
      </c>
      <c r="I180" s="389"/>
      <c r="J180" s="390"/>
      <c r="K180" s="434"/>
      <c r="L180" s="434">
        <f t="shared" si="79"/>
        <v>0</v>
      </c>
      <c r="M180" s="434"/>
      <c r="N180" s="434"/>
      <c r="O180" s="434"/>
      <c r="P180" s="395"/>
      <c r="Q180" s="389">
        <f>база!$L$5</f>
        <v>231.45480000000001</v>
      </c>
      <c r="R180" s="390">
        <v>1.4</v>
      </c>
      <c r="S180" s="400">
        <f>SUMIFS(Таблица14[часы],Таблица14[коэф],"1,4",Таблица14[р/р],"4/16",Таблица14[Ф. И. О.],B176)</f>
        <v>0</v>
      </c>
      <c r="T180" s="544">
        <f t="shared" si="80"/>
        <v>0</v>
      </c>
      <c r="U180" s="472">
        <f>база!$M$5</f>
        <v>247.41720000000001</v>
      </c>
      <c r="V180" s="390">
        <v>1.4</v>
      </c>
      <c r="W180" s="412">
        <f>SUMIFS(Таблица14[часы],Таблица14[коэф],"1,4",Таблица14[р/р],"4/24",Таблица14[Ф. И. О.],B176)</f>
        <v>0</v>
      </c>
      <c r="X180" s="545">
        <f t="shared" si="81"/>
        <v>0</v>
      </c>
      <c r="Y180" s="764"/>
      <c r="Z180" s="766"/>
      <c r="AA180" s="756"/>
    </row>
    <row r="181" spans="1:29" ht="21" thickBot="1">
      <c r="A181" s="757"/>
      <c r="B181" s="202"/>
      <c r="C181" s="760"/>
      <c r="D181" s="763"/>
      <c r="E181" s="463"/>
      <c r="F181" s="464"/>
      <c r="G181" s="465"/>
      <c r="H181" s="549">
        <f t="shared" si="78"/>
        <v>0</v>
      </c>
      <c r="I181" s="473"/>
      <c r="J181" s="464"/>
      <c r="K181" s="457"/>
      <c r="L181" s="457">
        <f t="shared" si="79"/>
        <v>0</v>
      </c>
      <c r="M181" s="457"/>
      <c r="N181" s="457"/>
      <c r="O181" s="457"/>
      <c r="P181" s="458"/>
      <c r="Q181" s="473">
        <f>база!$L$6</f>
        <v>261.04640000000001</v>
      </c>
      <c r="R181" s="464">
        <v>1.4</v>
      </c>
      <c r="S181" s="465">
        <f>SUMIFS(Таблица14[часы],Таблица14[коэф],"1,4",Таблица14[р/р],"5/16",Таблица14[Ф. И. О.],B176)</f>
        <v>0</v>
      </c>
      <c r="T181" s="549">
        <f t="shared" si="80"/>
        <v>0</v>
      </c>
      <c r="U181" s="474">
        <f>база!$M$6</f>
        <v>279.0496</v>
      </c>
      <c r="V181" s="464">
        <v>1.4</v>
      </c>
      <c r="W181" s="470">
        <f>SUMIFS(Таблица14[часы],Таблица14[коэф],"1,4",Таблица14[р/р],"5/24",Таблица14[Ф. И. О.],B176)</f>
        <v>0</v>
      </c>
      <c r="X181" s="547">
        <f t="shared" si="81"/>
        <v>0</v>
      </c>
      <c r="Y181" s="765"/>
      <c r="Z181" s="767"/>
      <c r="AA181" s="757"/>
    </row>
    <row r="182" spans="1:29">
      <c r="A182" s="755">
        <v>17</v>
      </c>
      <c r="B182" s="215"/>
      <c r="C182" s="758">
        <f>INDEX(база!$E$2:$E$81, MATCH(B187,база!$B$2:$B$50,0))</f>
        <v>17160</v>
      </c>
      <c r="D182" s="761">
        <f>INDEX(база!$D$2:$D$89, MATCH(B187,база!$B$2:$B$50,0))</f>
        <v>3</v>
      </c>
      <c r="E182" s="377">
        <f>IF(D182&lt;=3,база!$I$4,
IF(D182=4,база!$I$5,
IF(D182=5,база!$I$6)))</f>
        <v>188.7912</v>
      </c>
      <c r="F182" s="378">
        <v>1</v>
      </c>
      <c r="G182" s="387">
        <f>SUMIFS(Таблица14[часы],Таблица14[коэф],"1",Таблица14[р/р],"2/4",Таблица14[Ф. И. О.],B187)</f>
        <v>0</v>
      </c>
      <c r="H182" s="380">
        <f>ROUND(E182*F182*G182*2,2)</f>
        <v>0</v>
      </c>
      <c r="I182" s="451">
        <f>IF(D182&lt;=3,база!$J$4,
IF(D182=4,база!$J$5,
IF(D182=5,база!$J$6)))</f>
        <v>196.05240000000001</v>
      </c>
      <c r="J182" s="417">
        <v>1</v>
      </c>
      <c r="K182" s="453">
        <f>SUMIFS(Таблица14[часы],Таблица14[коэф],"1",Таблица14[р/р],"2/8",Таблица14[Ф. И. О.],B187)</f>
        <v>0</v>
      </c>
      <c r="L182" s="453">
        <f>ROUND(I182*J182*K182*2,2)</f>
        <v>0</v>
      </c>
      <c r="M182" s="453"/>
      <c r="N182" s="453">
        <v>1</v>
      </c>
      <c r="O182" s="453">
        <f>SUMIFS(Data_Tech!$AM$3:$AM$67,Data_Tech!$E$3:$E$67,"1",Data_Tech!$G$3:$G$67,"3/12",Data_Tech!$F$3:$F$67,B187)</f>
        <v>0</v>
      </c>
      <c r="P182" s="398">
        <f>ROUND(M182*N182*O182,2)</f>
        <v>0</v>
      </c>
      <c r="Q182" s="377">
        <f>IF(D182&lt;=3,база!$L$4,
IF(D182=4,база!$L$5,
IF(D182=5,база!$L$6)))</f>
        <v>210.57480000000001</v>
      </c>
      <c r="R182" s="378">
        <v>1</v>
      </c>
      <c r="S182" s="387">
        <f>SUMIFS(Таблица14[часы],Таблица14[коэф],"1",Таблица14[р/р],"3/16",Таблица14[Ф. И. О.],B187)</f>
        <v>0</v>
      </c>
      <c r="T182" s="380">
        <f>ROUND(Q182*R182*S182*2,2)</f>
        <v>0</v>
      </c>
      <c r="U182" s="454">
        <f>IF(D182&lt;=3,база!$M$4,
IF(D182=4,база!$M$5,
IF(D182=5,база!$M$6)))</f>
        <v>225.09719999999999</v>
      </c>
      <c r="V182" s="417">
        <v>1</v>
      </c>
      <c r="W182" s="455">
        <f>SUMIFS(Таблица14[часы],Таблица14[коэф],"1",Таблица14[р/р],"3/24",Таблица14[Ф. И. О.],B187)</f>
        <v>0</v>
      </c>
      <c r="X182" s="543">
        <f>ROUND(U182*V182*W182*2,2)</f>
        <v>0</v>
      </c>
      <c r="Y182" s="764">
        <f>SUM(G182:G192,K182:K192,O182:O192,S182:S192,W182:W192)</f>
        <v>0</v>
      </c>
      <c r="Z182" s="766">
        <f t="shared" ref="Z182" si="82">IFERROR(SUM(H182:H192,L182:L192,T182:T192,X182:X192),"")</f>
        <v>0</v>
      </c>
      <c r="AA182" s="756"/>
    </row>
    <row r="183" spans="1:29">
      <c r="A183" s="756"/>
      <c r="B183" s="215"/>
      <c r="C183" s="759"/>
      <c r="D183" s="762"/>
      <c r="E183" s="389">
        <f>IF(D182&lt;=3,база!$I$4,
IF(D182=4,база!$I$5,
IF(D182=5,база!$I$6)))</f>
        <v>188.7912</v>
      </c>
      <c r="F183" s="390">
        <v>1</v>
      </c>
      <c r="G183" s="400">
        <f>SUMIFS(Таблица14[часы],Таблица14[коэф],"1",Таблица14[р/р],"3/4",Таблица14[Ф. И. О.],B187)</f>
        <v>0</v>
      </c>
      <c r="H183" s="392">
        <f t="shared" ref="H183:H192" si="83">ROUND(E183*F183*G183*2,2)</f>
        <v>0</v>
      </c>
      <c r="I183" s="393">
        <f>IF(D182&lt;=3,база!$J$4,
IF(D182=4,база!$J$5,
IF(D182=5,база!$J$6)))</f>
        <v>196.05240000000001</v>
      </c>
      <c r="J183" s="390">
        <v>1</v>
      </c>
      <c r="K183" s="434">
        <f>SUMIFS(Таблица14[часы],Таблица14[коэф],"1",Таблица14[р/р],"3/8",Таблица14[Ф. И. О.],B187)</f>
        <v>0</v>
      </c>
      <c r="L183" s="434">
        <f t="shared" ref="L183:L192" si="84">ROUND(I183*J183*K183*2,2)</f>
        <v>0</v>
      </c>
      <c r="M183" s="434"/>
      <c r="N183" s="434">
        <v>1</v>
      </c>
      <c r="O183" s="434">
        <f>SUMIFS(Data_Tech!$AM$3:$AM$67,Data_Tech!$E$3:$E$67,"1",Data_Tech!$G$3:$G$67,"4/12",Data_Tech!$F$3:$F$67,B187)</f>
        <v>0</v>
      </c>
      <c r="P183" s="406">
        <f>ROUND(M183*O183,2)</f>
        <v>0</v>
      </c>
      <c r="Q183" s="389">
        <f>база!$L$5</f>
        <v>231.45480000000001</v>
      </c>
      <c r="R183" s="390">
        <v>1</v>
      </c>
      <c r="S183" s="400">
        <f>SUMIFS(Таблица14[часы],Таблица14[коэф],"1",Таблица14[р/р],"4/16",Таблица14[Ф. И. О.],B187)</f>
        <v>0</v>
      </c>
      <c r="T183" s="392">
        <f t="shared" ref="T183:T192" si="85">ROUND(Q183*R183*S183*2,2)</f>
        <v>0</v>
      </c>
      <c r="U183" s="410">
        <f>база!$M$5</f>
        <v>247.41720000000001</v>
      </c>
      <c r="V183" s="390">
        <v>1</v>
      </c>
      <c r="W183" s="412">
        <f>SUMIFS(Таблица14[часы],Таблица14[коэф],"1",Таблица14[р/р],"4/24",Таблица14[Ф. И. О.],B187)</f>
        <v>0</v>
      </c>
      <c r="X183" s="545">
        <f t="shared" ref="X183:X192" si="86">ROUND(U183*V183*W183*2,2)</f>
        <v>0</v>
      </c>
      <c r="Y183" s="764"/>
      <c r="Z183" s="766"/>
      <c r="AA183" s="756"/>
    </row>
    <row r="184" spans="1:29">
      <c r="A184" s="756"/>
      <c r="B184" s="215"/>
      <c r="C184" s="759"/>
      <c r="D184" s="762"/>
      <c r="E184" s="389"/>
      <c r="F184" s="390"/>
      <c r="G184" s="400"/>
      <c r="H184" s="392">
        <f t="shared" si="83"/>
        <v>0</v>
      </c>
      <c r="I184" s="393"/>
      <c r="J184" s="390"/>
      <c r="K184" s="434"/>
      <c r="L184" s="434">
        <f t="shared" si="84"/>
        <v>0</v>
      </c>
      <c r="M184" s="434"/>
      <c r="N184" s="434"/>
      <c r="O184" s="434"/>
      <c r="P184" s="406"/>
      <c r="Q184" s="389">
        <f>база!$L$6</f>
        <v>261.04640000000001</v>
      </c>
      <c r="R184" s="390">
        <v>1</v>
      </c>
      <c r="S184" s="400">
        <f>SUMIFS(Таблица14[часы],Таблица14[коэф],"1",Таблица14[р/р],"5/16",Таблица14[Ф. И. О.],B187)</f>
        <v>0</v>
      </c>
      <c r="T184" s="392">
        <f t="shared" si="85"/>
        <v>0</v>
      </c>
      <c r="U184" s="410">
        <f>база!$M$6</f>
        <v>279.0496</v>
      </c>
      <c r="V184" s="390">
        <v>1</v>
      </c>
      <c r="W184" s="412">
        <f>SUMIFS(Таблица14[часы],Таблица14[коэф],"1",Таблица14[р/р],"5/24",Таблица14[Ф. И. О.],B187)</f>
        <v>0</v>
      </c>
      <c r="X184" s="545">
        <f t="shared" si="86"/>
        <v>0</v>
      </c>
      <c r="Y184" s="764"/>
      <c r="Z184" s="766"/>
      <c r="AA184" s="756"/>
    </row>
    <row r="185" spans="1:29">
      <c r="A185" s="756"/>
      <c r="B185" s="215"/>
      <c r="C185" s="759"/>
      <c r="D185" s="762"/>
      <c r="E185" s="389"/>
      <c r="F185" s="390"/>
      <c r="G185" s="400"/>
      <c r="H185" s="392">
        <f t="shared" si="83"/>
        <v>0</v>
      </c>
      <c r="I185" s="393">
        <f>база!$J$5</f>
        <v>215.4924</v>
      </c>
      <c r="J185" s="390">
        <v>1.5</v>
      </c>
      <c r="K185" s="434">
        <f>SUMIFS(Таблица14[часы],Таблица14[коэф],"1,5",Таблица14[р/р],"4/8",Таблица14[Ф. И. О.],B187)</f>
        <v>0</v>
      </c>
      <c r="L185" s="434">
        <f t="shared" si="84"/>
        <v>0</v>
      </c>
      <c r="M185" s="434"/>
      <c r="N185" s="434"/>
      <c r="O185" s="434"/>
      <c r="P185" s="406"/>
      <c r="Q185" s="389">
        <f>IF(D182&lt;=3,база!$L$4,
IF(D182=4,база!$L$5,
IF(D182=5,база!$L$6)))</f>
        <v>210.57480000000001</v>
      </c>
      <c r="R185" s="390">
        <v>1.2</v>
      </c>
      <c r="S185" s="400">
        <f>SUMIFS(Таблица14[часы],Таблица14[коэф],"1,2",Таблица14[р/р],"3/16",Таблица14[Ф. И. О.],B187)</f>
        <v>0</v>
      </c>
      <c r="T185" s="392">
        <f t="shared" si="85"/>
        <v>0</v>
      </c>
      <c r="U185" s="410">
        <f>IF(D182&lt;=3,база!$M$4,
IF(D182=4,база!$M$5,
IF(D182=5,база!$M$6)))</f>
        <v>225.09719999999999</v>
      </c>
      <c r="V185" s="390">
        <v>1.2</v>
      </c>
      <c r="W185" s="412">
        <f>SUMIFS(Таблица14[часы],Таблица14[коэф],"1,2",Таблица14[р/р],"3/24",Таблица14[Ф. И. О.],B187)</f>
        <v>0</v>
      </c>
      <c r="X185" s="545">
        <f t="shared" si="86"/>
        <v>0</v>
      </c>
      <c r="Y185" s="764"/>
      <c r="Z185" s="766"/>
      <c r="AA185" s="756"/>
    </row>
    <row r="186" spans="1:29">
      <c r="A186" s="756"/>
      <c r="B186" s="215"/>
      <c r="C186" s="759"/>
      <c r="D186" s="762"/>
      <c r="E186" s="389"/>
      <c r="F186" s="390"/>
      <c r="G186" s="400"/>
      <c r="H186" s="392">
        <f t="shared" si="83"/>
        <v>0</v>
      </c>
      <c r="I186" s="393">
        <f>база!$J$6</f>
        <v>243.04319999999998</v>
      </c>
      <c r="J186" s="390">
        <v>1.5</v>
      </c>
      <c r="K186" s="434">
        <f>SUMIFS(Таблица14[часы],Таблица14[коэф],"1,5",Таблица14[р/р],"5/8",Таблица14[Ф. И. О.],B187)</f>
        <v>0</v>
      </c>
      <c r="L186" s="434">
        <f t="shared" si="84"/>
        <v>0</v>
      </c>
      <c r="M186" s="434"/>
      <c r="N186" s="434"/>
      <c r="O186" s="434"/>
      <c r="P186" s="406"/>
      <c r="Q186" s="389">
        <f>база!$L$5</f>
        <v>231.45480000000001</v>
      </c>
      <c r="R186" s="390">
        <v>1.2</v>
      </c>
      <c r="S186" s="400">
        <f>SUMIFS(Таблица14[часы],Таблица14[коэф],"1,2",Таблица14[р/р],"4/16",Таблица14[Ф. И. О.],B187)</f>
        <v>0</v>
      </c>
      <c r="T186" s="392">
        <f t="shared" si="85"/>
        <v>0</v>
      </c>
      <c r="U186" s="410">
        <f>база!$M$5</f>
        <v>247.41720000000001</v>
      </c>
      <c r="V186" s="390">
        <v>1.2</v>
      </c>
      <c r="W186" s="412">
        <f>SUMIFS(Таблица14[часы],Таблица14[коэф],"1,2",Таблица14[р/р],"4/24",Таблица14[Ф. И. О.],B187)</f>
        <v>0</v>
      </c>
      <c r="X186" s="545">
        <f t="shared" si="86"/>
        <v>0</v>
      </c>
      <c r="Y186" s="764"/>
      <c r="Z186" s="766"/>
      <c r="AA186" s="756"/>
      <c r="AC186" s="752" t="str">
        <f>IF(SUMIFS(Таблица14[Столбец2],Таблица14[Ф. И. О.],B187)-Z182=0,"",SUMIFS(Таблица14[Столбец2],Таблица14[Ф. И. О.],B187)-Z182)</f>
        <v/>
      </c>
    </row>
    <row r="187" spans="1:29">
      <c r="A187" s="756"/>
      <c r="B187" s="215" t="str">
        <f>база!B18</f>
        <v>Дорофеева Юлия Николаевна</v>
      </c>
      <c r="C187" s="759"/>
      <c r="D187" s="762"/>
      <c r="E187" s="389"/>
      <c r="F187" s="390"/>
      <c r="G187" s="400"/>
      <c r="H187" s="392">
        <f t="shared" si="83"/>
        <v>0</v>
      </c>
      <c r="I187" s="393"/>
      <c r="J187" s="390"/>
      <c r="K187" s="434"/>
      <c r="L187" s="434">
        <f t="shared" si="84"/>
        <v>0</v>
      </c>
      <c r="M187" s="434"/>
      <c r="N187" s="434"/>
      <c r="O187" s="434"/>
      <c r="P187" s="406"/>
      <c r="Q187" s="389">
        <f>база!$L$6</f>
        <v>261.04640000000001</v>
      </c>
      <c r="R187" s="390">
        <v>1.2</v>
      </c>
      <c r="S187" s="400">
        <f>SUMIFS(Таблица14[часы],Таблица14[коэф],"1,2",Таблица14[р/р],"5/16",Таблица14[Ф. И. О.],B187)</f>
        <v>0</v>
      </c>
      <c r="T187" s="392">
        <f t="shared" si="85"/>
        <v>0</v>
      </c>
      <c r="U187" s="410">
        <f>база!$M$6</f>
        <v>279.0496</v>
      </c>
      <c r="V187" s="390">
        <v>1.2</v>
      </c>
      <c r="W187" s="412">
        <f>SUMIFS(Таблица14[часы],Таблица14[коэф],"1,2",Таблица14[р/р],"5/24",Таблица14[Ф. И. О.],B187)</f>
        <v>0</v>
      </c>
      <c r="X187" s="545">
        <f t="shared" si="86"/>
        <v>0</v>
      </c>
      <c r="Y187" s="764"/>
      <c r="Z187" s="766"/>
      <c r="AA187" s="756"/>
      <c r="AC187" s="752" t="str">
        <f>IF(SUMIFS(Таблица14[часы],Таблица14[Ф. И. О.],B187)-Y182=0,"",SUMIFS(Таблица14[часы],Таблица14[Ф. И. О.],B187)-Y182)</f>
        <v/>
      </c>
    </row>
    <row r="188" spans="1:29">
      <c r="A188" s="756"/>
      <c r="B188" s="215"/>
      <c r="C188" s="759"/>
      <c r="D188" s="762"/>
      <c r="E188" s="389"/>
      <c r="F188" s="390"/>
      <c r="G188" s="400"/>
      <c r="H188" s="392">
        <f t="shared" si="83"/>
        <v>0</v>
      </c>
      <c r="I188" s="393"/>
      <c r="J188" s="390"/>
      <c r="K188" s="434"/>
      <c r="L188" s="434">
        <f t="shared" si="84"/>
        <v>0</v>
      </c>
      <c r="M188" s="434"/>
      <c r="N188" s="434"/>
      <c r="O188" s="434"/>
      <c r="P188" s="406"/>
      <c r="Q188" s="389">
        <f>IF(D182&lt;=3,база!$L$4,
IF(D182=4,база!$L$5,
IF(D182=5,база!$L$6)))</f>
        <v>210.57480000000001</v>
      </c>
      <c r="R188" s="390">
        <v>1.3</v>
      </c>
      <c r="S188" s="400">
        <f>SUMIFS(Таблица14[часы],Таблица14[коэф],"1,3",Таблица14[р/р],"3/16",Таблица14[Ф. И. О.],B187)</f>
        <v>0</v>
      </c>
      <c r="T188" s="392">
        <f t="shared" si="85"/>
        <v>0</v>
      </c>
      <c r="U188" s="410">
        <f>IF(D182&lt;=3,база!$M$4,
IF(D182=4,база!$M$5,
IF(D182=5,база!$M$6)))</f>
        <v>225.09719999999999</v>
      </c>
      <c r="V188" s="390">
        <v>1.3</v>
      </c>
      <c r="W188" s="412">
        <f>SUMIFS(Таблица14[часы],Таблица14[коэф],"1,3",Таблица14[р/р],"3/24",Таблица14[Ф. И. О.],B187)</f>
        <v>0</v>
      </c>
      <c r="X188" s="545">
        <f t="shared" si="86"/>
        <v>0</v>
      </c>
      <c r="Y188" s="764"/>
      <c r="Z188" s="766"/>
      <c r="AA188" s="756"/>
    </row>
    <row r="189" spans="1:29">
      <c r="A189" s="756"/>
      <c r="B189" s="215"/>
      <c r="C189" s="759"/>
      <c r="D189" s="762"/>
      <c r="E189" s="389"/>
      <c r="F189" s="390"/>
      <c r="G189" s="400"/>
      <c r="H189" s="392">
        <f t="shared" si="83"/>
        <v>0</v>
      </c>
      <c r="I189" s="393"/>
      <c r="J189" s="390"/>
      <c r="K189" s="434"/>
      <c r="L189" s="434">
        <f t="shared" si="84"/>
        <v>0</v>
      </c>
      <c r="M189" s="434"/>
      <c r="N189" s="434"/>
      <c r="O189" s="434"/>
      <c r="P189" s="406"/>
      <c r="Q189" s="389">
        <f>база!$L$5</f>
        <v>231.45480000000001</v>
      </c>
      <c r="R189" s="390">
        <v>1.3</v>
      </c>
      <c r="S189" s="400">
        <f>SUMIFS(Таблица14[часы],Таблица14[коэф],"1,3",Таблица14[р/р],"4/16",Таблица14[Ф. И. О.],B187)</f>
        <v>0</v>
      </c>
      <c r="T189" s="392">
        <f t="shared" si="85"/>
        <v>0</v>
      </c>
      <c r="U189" s="410">
        <f>база!$M$5</f>
        <v>247.41720000000001</v>
      </c>
      <c r="V189" s="390">
        <v>1.3</v>
      </c>
      <c r="W189" s="412">
        <f>SUMIFS(Таблица14[часы],Таблица14[коэф],"1,3",Таблица14[р/р],"4/24",Таблица14[Ф. И. О.],B187)</f>
        <v>0</v>
      </c>
      <c r="X189" s="545">
        <f t="shared" si="86"/>
        <v>0</v>
      </c>
      <c r="Y189" s="764"/>
      <c r="Z189" s="766"/>
      <c r="AA189" s="756"/>
    </row>
    <row r="190" spans="1:29">
      <c r="A190" s="756"/>
      <c r="B190" s="215"/>
      <c r="C190" s="759"/>
      <c r="D190" s="762"/>
      <c r="E190" s="389"/>
      <c r="F190" s="390"/>
      <c r="G190" s="400"/>
      <c r="H190" s="392">
        <f t="shared" si="83"/>
        <v>0</v>
      </c>
      <c r="I190" s="393"/>
      <c r="J190" s="390"/>
      <c r="K190" s="434"/>
      <c r="L190" s="434">
        <f t="shared" si="84"/>
        <v>0</v>
      </c>
      <c r="M190" s="434"/>
      <c r="N190" s="434"/>
      <c r="O190" s="434"/>
      <c r="P190" s="406"/>
      <c r="Q190" s="389">
        <f>IF(D182&lt;=3,база!$L$4,
IF(D182=4,база!$L$5,
IF(D182=5,база!$L$6)))</f>
        <v>210.57480000000001</v>
      </c>
      <c r="R190" s="390">
        <v>1.4</v>
      </c>
      <c r="S190" s="400">
        <f>SUMIFS(Таблица14[часы],Таблица14[коэф],"1,4",Таблица14[р/р],"3/16",Таблица14[Ф. И. О.],B187)</f>
        <v>0</v>
      </c>
      <c r="T190" s="392">
        <f t="shared" si="85"/>
        <v>0</v>
      </c>
      <c r="U190" s="410">
        <f>IF(D182&lt;=3,база!$M$4,
IF(D182=4,база!$M$5,
IF(D182=5,база!$M$6)))</f>
        <v>225.09719999999999</v>
      </c>
      <c r="V190" s="390">
        <v>1.4</v>
      </c>
      <c r="W190" s="412">
        <f>SUMIFS(Таблица14[часы],Таблица14[коэф],"1,4",Таблица14[р/р],"3/24",Таблица14[Ф. И. О.],B187)</f>
        <v>0</v>
      </c>
      <c r="X190" s="545">
        <f t="shared" si="86"/>
        <v>0</v>
      </c>
      <c r="Y190" s="764"/>
      <c r="Z190" s="766"/>
      <c r="AA190" s="756"/>
    </row>
    <row r="191" spans="1:29">
      <c r="A191" s="756"/>
      <c r="B191" s="215"/>
      <c r="C191" s="759"/>
      <c r="D191" s="762"/>
      <c r="E191" s="389"/>
      <c r="F191" s="390"/>
      <c r="G191" s="400"/>
      <c r="H191" s="392">
        <f t="shared" si="83"/>
        <v>0</v>
      </c>
      <c r="I191" s="393"/>
      <c r="J191" s="390"/>
      <c r="K191" s="434"/>
      <c r="L191" s="434">
        <f t="shared" si="84"/>
        <v>0</v>
      </c>
      <c r="M191" s="434"/>
      <c r="N191" s="434"/>
      <c r="O191" s="434"/>
      <c r="P191" s="406"/>
      <c r="Q191" s="389">
        <f>база!$L$5</f>
        <v>231.45480000000001</v>
      </c>
      <c r="R191" s="390">
        <v>1.4</v>
      </c>
      <c r="S191" s="400">
        <f>SUMIFS(Таблица14[часы],Таблица14[коэф],"1,4",Таблица14[р/р],"4/16",Таблица14[Ф. И. О.],B187)</f>
        <v>0</v>
      </c>
      <c r="T191" s="392">
        <f t="shared" si="85"/>
        <v>0</v>
      </c>
      <c r="U191" s="410">
        <f>база!$M$5</f>
        <v>247.41720000000001</v>
      </c>
      <c r="V191" s="390">
        <v>1.4</v>
      </c>
      <c r="W191" s="412">
        <f>SUMIFS(Таблица14[часы],Таблица14[коэф],"1,4",Таблица14[р/р],"4/24",Таблица14[Ф. И. О.],B187)</f>
        <v>0</v>
      </c>
      <c r="X191" s="545">
        <f t="shared" si="86"/>
        <v>0</v>
      </c>
      <c r="Y191" s="764"/>
      <c r="Z191" s="766"/>
      <c r="AA191" s="756"/>
    </row>
    <row r="192" spans="1:29" ht="21" thickBot="1">
      <c r="A192" s="757"/>
      <c r="B192" s="215"/>
      <c r="C192" s="760"/>
      <c r="D192" s="763"/>
      <c r="E192" s="420"/>
      <c r="F192" s="403"/>
      <c r="G192" s="408"/>
      <c r="H192" s="409">
        <f t="shared" si="83"/>
        <v>0</v>
      </c>
      <c r="I192" s="422"/>
      <c r="J192" s="403"/>
      <c r="K192" s="460"/>
      <c r="L192" s="460">
        <f t="shared" si="84"/>
        <v>0</v>
      </c>
      <c r="M192" s="460"/>
      <c r="N192" s="460"/>
      <c r="O192" s="460"/>
      <c r="P192" s="479"/>
      <c r="Q192" s="420">
        <f>база!$L$6</f>
        <v>261.04640000000001</v>
      </c>
      <c r="R192" s="403">
        <v>1.4</v>
      </c>
      <c r="S192" s="408">
        <f>SUMIFS(Таблица14[часы],Таблица14[коэф],"1,4",Таблица14[р/р],"5/16",Таблица14[Ф. И. О.],B187)</f>
        <v>0</v>
      </c>
      <c r="T192" s="409">
        <f t="shared" si="85"/>
        <v>0</v>
      </c>
      <c r="U192" s="461">
        <f>база!$M$6</f>
        <v>279.0496</v>
      </c>
      <c r="V192" s="403">
        <v>1.4</v>
      </c>
      <c r="W192" s="527">
        <f>SUMIFS(Таблица14[часы],Таблица14[коэф],"1,4",Таблица14[р/р],"5/24",Таблица14[Ф. И. О.],B187)</f>
        <v>0</v>
      </c>
      <c r="X192" s="550">
        <f t="shared" si="86"/>
        <v>0</v>
      </c>
      <c r="Y192" s="765"/>
      <c r="Z192" s="767"/>
      <c r="AA192" s="757"/>
    </row>
    <row r="193" spans="1:29">
      <c r="A193" s="755">
        <v>18</v>
      </c>
      <c r="B193" s="235"/>
      <c r="C193" s="758">
        <f>INDEX(база!$E$2:$E$81, MATCH(B198,база!$B$2:$B$50,0))</f>
        <v>16860</v>
      </c>
      <c r="D193" s="761">
        <f>INDEX(база!$D$2:$D$89, MATCH(B198,база!$B$2:$B$50,0))</f>
        <v>3</v>
      </c>
      <c r="E193" s="377">
        <f>IF(D193&lt;=3,база!$I$4,
IF(D193=4,база!$I$5,
IF(D193=5,база!$I$6)))</f>
        <v>188.7912</v>
      </c>
      <c r="F193" s="378">
        <v>1</v>
      </c>
      <c r="G193" s="387">
        <f>SUMIFS(Таблица14[часы],Таблица14[коэф],"1",Таблица14[р/р],"2/4",Таблица14[Ф. И. О.],B198)</f>
        <v>0</v>
      </c>
      <c r="H193" s="380">
        <f>ROUND(E193*F193*G193*2,2)</f>
        <v>0</v>
      </c>
      <c r="I193" s="381">
        <f>IF(D193&lt;=3,база!$J$4,
IF(D193=4,база!$J$5,
IF(D193=5,база!$J$6)))</f>
        <v>196.05240000000001</v>
      </c>
      <c r="J193" s="378">
        <v>1</v>
      </c>
      <c r="K193" s="428">
        <f>SUMIFS(Таблица14[часы],Таблица14[коэф],"1",Таблица14[р/р],"2/8",Таблица14[Ф. И. О.],B198)</f>
        <v>0</v>
      </c>
      <c r="L193" s="428">
        <f>ROUND(I193*J193*K193*2,2)</f>
        <v>0</v>
      </c>
      <c r="M193" s="428"/>
      <c r="N193" s="428">
        <v>1</v>
      </c>
      <c r="O193" s="428">
        <f>SUMIFS(Data_Tech!$AM$3:$AM$67,Data_Tech!$E$3:$E$67,"1",Data_Tech!$G$3:$G$67,"3/12",Data_Tech!$F$3:$F$67,B198)</f>
        <v>0</v>
      </c>
      <c r="P193" s="385">
        <f>ROUND(M193*N193*O193,2)</f>
        <v>0</v>
      </c>
      <c r="Q193" s="377">
        <f>IF(D193&lt;=3,база!$L$4,
IF(D193=4,база!$L$5,
IF(D193=5,база!$L$6)))</f>
        <v>210.57480000000001</v>
      </c>
      <c r="R193" s="378">
        <v>1</v>
      </c>
      <c r="S193" s="387">
        <f>SUMIFS(Таблица14[часы],Таблица14[коэф],"1",Таблица14[р/р],"3/16",Таблица14[Ф. И. О.],B198)</f>
        <v>0</v>
      </c>
      <c r="T193" s="380">
        <f>ROUND(Q193*R193*S193*2,2)</f>
        <v>0</v>
      </c>
      <c r="U193" s="462">
        <f>IF(D193&lt;=3,база!$M$4,
IF(D193=4,база!$M$5,
IF(D193=5,база!$M$6)))</f>
        <v>225.09719999999999</v>
      </c>
      <c r="V193" s="378">
        <v>1</v>
      </c>
      <c r="W193" s="430">
        <f>SUMIFS(Таблица14[часы],Таблица14[коэф],"1",Таблица14[р/р],"3/24",Таблица14[Ф. И. О.],B198)</f>
        <v>0</v>
      </c>
      <c r="X193" s="543">
        <f>ROUND(U193*V193*W193*2,2)</f>
        <v>0</v>
      </c>
      <c r="Y193" s="764">
        <f t="shared" ref="Y193" si="87">SUM(G193:G203,K193:K203,O193:O203,S193:S203,W193:W203)</f>
        <v>0</v>
      </c>
      <c r="Z193" s="766">
        <f t="shared" ref="Z193" si="88">IFERROR(SUM(H193:H203,L193:L203,T193:T203,X193:X203),"")</f>
        <v>0</v>
      </c>
      <c r="AA193" s="756"/>
    </row>
    <row r="194" spans="1:29">
      <c r="A194" s="756"/>
      <c r="B194" s="215"/>
      <c r="C194" s="759"/>
      <c r="D194" s="762"/>
      <c r="E194" s="389">
        <f>IF(D193&lt;=3,база!$I$4,
IF(D193=4,база!$I$5,
IF(D193=5,база!$I$6)))</f>
        <v>188.7912</v>
      </c>
      <c r="F194" s="390">
        <v>1</v>
      </c>
      <c r="G194" s="400">
        <f>SUMIFS(Таблица14[часы],Таблица14[коэф],"1",Таблица14[р/р],"3/4",Таблица14[Ф. И. О.],B198)</f>
        <v>0</v>
      </c>
      <c r="H194" s="392">
        <f t="shared" ref="H194:H203" si="89">ROUND(E194*F194*G194*2,2)</f>
        <v>0</v>
      </c>
      <c r="I194" s="393">
        <f>IF(D193&lt;=3,база!$J$4,
IF(D193=4,база!$J$5,
IF(D193=5,база!$J$6)))</f>
        <v>196.05240000000001</v>
      </c>
      <c r="J194" s="390">
        <v>1</v>
      </c>
      <c r="K194" s="434">
        <f>SUMIFS(Таблица14[часы],Таблица14[коэф],"1",Таблица14[р/р],"3/8",Таблица14[Ф. И. О.],B198)</f>
        <v>0</v>
      </c>
      <c r="L194" s="434">
        <f t="shared" ref="L194:L203" si="90">ROUND(I194*J194*K194*2,2)</f>
        <v>0</v>
      </c>
      <c r="M194" s="434"/>
      <c r="N194" s="434">
        <v>1</v>
      </c>
      <c r="O194" s="434">
        <f>SUMIFS(Data_Tech!$AM$3:$AM$67,Data_Tech!$E$3:$E$67,"1",Data_Tech!$G$3:$G$67,"4/12",Data_Tech!$F$3:$F$67,B198)</f>
        <v>0</v>
      </c>
      <c r="P194" s="406">
        <f>ROUND(M194*O194,2)</f>
        <v>0</v>
      </c>
      <c r="Q194" s="389">
        <f>база!$L$5</f>
        <v>231.45480000000001</v>
      </c>
      <c r="R194" s="390">
        <v>1</v>
      </c>
      <c r="S194" s="400">
        <f>SUMIFS(Таблица14[часы],Таблица14[коэф],"1",Таблица14[р/р],"4/16",Таблица14[Ф. И. О.],B198)</f>
        <v>0</v>
      </c>
      <c r="T194" s="392">
        <f t="shared" ref="T194:T203" si="91">ROUND(Q194*R194*S194*2,2)</f>
        <v>0</v>
      </c>
      <c r="U194" s="410">
        <f>база!$M$5</f>
        <v>247.41720000000001</v>
      </c>
      <c r="V194" s="390">
        <v>1</v>
      </c>
      <c r="W194" s="412">
        <f>SUMIFS(Таблица14[часы],Таблица14[коэф],"1",Таблица14[р/р],"4/24",Таблица14[Ф. И. О.],B198)</f>
        <v>0</v>
      </c>
      <c r="X194" s="545">
        <f t="shared" ref="X194:X203" si="92">ROUND(U194*V194*W194*2,2)</f>
        <v>0</v>
      </c>
      <c r="Y194" s="764"/>
      <c r="Z194" s="766"/>
      <c r="AA194" s="756"/>
    </row>
    <row r="195" spans="1:29">
      <c r="A195" s="756"/>
      <c r="B195" s="215"/>
      <c r="C195" s="759"/>
      <c r="D195" s="762"/>
      <c r="E195" s="389"/>
      <c r="F195" s="390"/>
      <c r="G195" s="400"/>
      <c r="H195" s="392">
        <f t="shared" si="89"/>
        <v>0</v>
      </c>
      <c r="I195" s="393"/>
      <c r="J195" s="390"/>
      <c r="K195" s="434"/>
      <c r="L195" s="434">
        <f t="shared" si="90"/>
        <v>0</v>
      </c>
      <c r="M195" s="434"/>
      <c r="N195" s="434"/>
      <c r="O195" s="434"/>
      <c r="P195" s="406"/>
      <c r="Q195" s="389">
        <f>база!$L$6</f>
        <v>261.04640000000001</v>
      </c>
      <c r="R195" s="390">
        <v>1</v>
      </c>
      <c r="S195" s="400">
        <f>SUMIFS(Таблица14[часы],Таблица14[коэф],"1",Таблица14[р/р],"5/16",Таблица14[Ф. И. О.],B198)</f>
        <v>0</v>
      </c>
      <c r="T195" s="392">
        <f t="shared" si="91"/>
        <v>0</v>
      </c>
      <c r="U195" s="410">
        <f>база!$M$6</f>
        <v>279.0496</v>
      </c>
      <c r="V195" s="390">
        <v>1</v>
      </c>
      <c r="W195" s="412">
        <f>SUMIFS(Таблица14[часы],Таблица14[коэф],"1",Таблица14[р/р],"5/24",Таблица14[Ф. И. О.],B198)</f>
        <v>0</v>
      </c>
      <c r="X195" s="545">
        <f t="shared" si="92"/>
        <v>0</v>
      </c>
      <c r="Y195" s="764"/>
      <c r="Z195" s="766"/>
      <c r="AA195" s="756"/>
    </row>
    <row r="196" spans="1:29">
      <c r="A196" s="756"/>
      <c r="B196" s="215"/>
      <c r="C196" s="759"/>
      <c r="D196" s="762"/>
      <c r="E196" s="389"/>
      <c r="F196" s="390"/>
      <c r="G196" s="400"/>
      <c r="H196" s="392">
        <f t="shared" si="89"/>
        <v>0</v>
      </c>
      <c r="I196" s="393">
        <f>база!$J$5</f>
        <v>215.4924</v>
      </c>
      <c r="J196" s="390">
        <v>1.5</v>
      </c>
      <c r="K196" s="434">
        <f>SUMIFS(Таблица14[часы],Таблица14[коэф],"1,5",Таблица14[р/р],"4/8",Таблица14[Ф. И. О.],B198)</f>
        <v>0</v>
      </c>
      <c r="L196" s="434">
        <f t="shared" si="90"/>
        <v>0</v>
      </c>
      <c r="M196" s="434"/>
      <c r="N196" s="434"/>
      <c r="O196" s="434"/>
      <c r="P196" s="406"/>
      <c r="Q196" s="389">
        <f>IF(D193&lt;=3,база!$L$4,
IF(D193=4,база!$L$5,
IF(D193=5,база!$L$6)))</f>
        <v>210.57480000000001</v>
      </c>
      <c r="R196" s="390">
        <v>1.2</v>
      </c>
      <c r="S196" s="400">
        <f>SUMIFS(Таблица14[часы],Таблица14[коэф],"1,2",Таблица14[р/р],"3/16",Таблица14[Ф. И. О.],B198)</f>
        <v>0</v>
      </c>
      <c r="T196" s="392">
        <f t="shared" si="91"/>
        <v>0</v>
      </c>
      <c r="U196" s="410">
        <f>IF(D193&lt;=3,база!$M$4,
IF(D193=4,база!$M$5,
IF(D193=5,база!$M$6)))</f>
        <v>225.09719999999999</v>
      </c>
      <c r="V196" s="390">
        <v>1.2</v>
      </c>
      <c r="W196" s="412">
        <f>SUMIFS(Таблица14[часы],Таблица14[коэф],"1,2",Таблица14[р/р],"3/24",Таблица14[Ф. И. О.],B198)</f>
        <v>0</v>
      </c>
      <c r="X196" s="545">
        <f t="shared" si="92"/>
        <v>0</v>
      </c>
      <c r="Y196" s="764"/>
      <c r="Z196" s="766"/>
      <c r="AA196" s="756"/>
    </row>
    <row r="197" spans="1:29">
      <c r="A197" s="756"/>
      <c r="B197" s="215"/>
      <c r="C197" s="759"/>
      <c r="D197" s="762"/>
      <c r="E197" s="389"/>
      <c r="F197" s="390"/>
      <c r="G197" s="400"/>
      <c r="H197" s="392">
        <f t="shared" si="89"/>
        <v>0</v>
      </c>
      <c r="I197" s="393">
        <f>база!$J$6</f>
        <v>243.04319999999998</v>
      </c>
      <c r="J197" s="390">
        <v>1.5</v>
      </c>
      <c r="K197" s="434">
        <f>SUMIFS(Таблица14[часы],Таблица14[коэф],"1,5",Таблица14[р/р],"5/8",Таблица14[Ф. И. О.],B198)</f>
        <v>0</v>
      </c>
      <c r="L197" s="434">
        <f t="shared" si="90"/>
        <v>0</v>
      </c>
      <c r="M197" s="434"/>
      <c r="N197" s="434"/>
      <c r="O197" s="434"/>
      <c r="P197" s="406"/>
      <c r="Q197" s="389">
        <f>база!$L$5</f>
        <v>231.45480000000001</v>
      </c>
      <c r="R197" s="390">
        <v>1.2</v>
      </c>
      <c r="S197" s="400">
        <f>SUMIFS(Таблица14[часы],Таблица14[коэф],"1,2",Таблица14[р/р],"4/16",Таблица14[Ф. И. О.],B198)</f>
        <v>0</v>
      </c>
      <c r="T197" s="392">
        <f t="shared" si="91"/>
        <v>0</v>
      </c>
      <c r="U197" s="410">
        <f>база!$M$5</f>
        <v>247.41720000000001</v>
      </c>
      <c r="V197" s="390">
        <v>1.2</v>
      </c>
      <c r="W197" s="412">
        <f>SUMIFS(Таблица14[часы],Таблица14[коэф],"1,2",Таблица14[р/р],"4/24",Таблица14[Ф. И. О.],B198)</f>
        <v>0</v>
      </c>
      <c r="X197" s="545">
        <f t="shared" si="92"/>
        <v>0</v>
      </c>
      <c r="Y197" s="764"/>
      <c r="Z197" s="766"/>
      <c r="AA197" s="756"/>
    </row>
    <row r="198" spans="1:29" ht="15.75" customHeight="1">
      <c r="A198" s="756"/>
      <c r="B198" s="215" t="str">
        <f>база!B19</f>
        <v>Егоров Дмитрий Геннадьевич</v>
      </c>
      <c r="C198" s="759"/>
      <c r="D198" s="762"/>
      <c r="E198" s="389"/>
      <c r="F198" s="390"/>
      <c r="G198" s="400"/>
      <c r="H198" s="392">
        <f t="shared" si="89"/>
        <v>0</v>
      </c>
      <c r="I198" s="393"/>
      <c r="J198" s="390"/>
      <c r="K198" s="434"/>
      <c r="L198" s="434">
        <f t="shared" si="90"/>
        <v>0</v>
      </c>
      <c r="M198" s="434"/>
      <c r="N198" s="434"/>
      <c r="O198" s="434"/>
      <c r="P198" s="406"/>
      <c r="Q198" s="389">
        <f>база!$L$6</f>
        <v>261.04640000000001</v>
      </c>
      <c r="R198" s="390">
        <v>1.2</v>
      </c>
      <c r="S198" s="400">
        <f>SUMIFS(Таблица14[часы],Таблица14[коэф],"1,2",Таблица14[р/р],"5/16",Таблица14[Ф. И. О.],B198)</f>
        <v>0</v>
      </c>
      <c r="T198" s="392">
        <f t="shared" si="91"/>
        <v>0</v>
      </c>
      <c r="U198" s="410">
        <f>база!$M$6</f>
        <v>279.0496</v>
      </c>
      <c r="V198" s="390">
        <v>1.2</v>
      </c>
      <c r="W198" s="412">
        <f>SUMIFS(Таблица14[часы],Таблица14[коэф],"1,2",Таблица14[р/р],"5/24",Таблица14[Ф. И. О.],B198)</f>
        <v>0</v>
      </c>
      <c r="X198" s="545">
        <f t="shared" si="92"/>
        <v>0</v>
      </c>
      <c r="Y198" s="764"/>
      <c r="Z198" s="766"/>
      <c r="AA198" s="756"/>
      <c r="AC198" s="752" t="str">
        <f>IF(SUMIFS(Таблица14[Столбец2],Таблица14[Ф. И. О.],B198)-Z193=0,"",SUMIFS(Таблица14[Столбец2],Таблица14[Ф. И. О.],B198)-Z193)</f>
        <v/>
      </c>
    </row>
    <row r="199" spans="1:29">
      <c r="A199" s="756"/>
      <c r="B199" s="215"/>
      <c r="C199" s="759"/>
      <c r="D199" s="762"/>
      <c r="E199" s="389"/>
      <c r="F199" s="390"/>
      <c r="G199" s="400"/>
      <c r="H199" s="392">
        <f t="shared" si="89"/>
        <v>0</v>
      </c>
      <c r="I199" s="393"/>
      <c r="J199" s="390"/>
      <c r="K199" s="434"/>
      <c r="L199" s="434">
        <f t="shared" si="90"/>
        <v>0</v>
      </c>
      <c r="M199" s="434"/>
      <c r="N199" s="434"/>
      <c r="O199" s="434"/>
      <c r="P199" s="406"/>
      <c r="Q199" s="389">
        <f>IF(D193&lt;=3,база!$L$4,
IF(D193=4,база!$L$5,
IF(D193=5,база!$L$6)))</f>
        <v>210.57480000000001</v>
      </c>
      <c r="R199" s="390">
        <v>1.3</v>
      </c>
      <c r="S199" s="400">
        <f>SUMIFS(Таблица14[часы],Таблица14[коэф],"1,3",Таблица14[р/р],"3/16",Таблица14[Ф. И. О.],B198)</f>
        <v>0</v>
      </c>
      <c r="T199" s="392">
        <f t="shared" si="91"/>
        <v>0</v>
      </c>
      <c r="U199" s="410">
        <f>IF(D193&lt;=3,база!$M$4,
IF(D193=4,база!$M$5,
IF(D193=5,база!$M$6)))</f>
        <v>225.09719999999999</v>
      </c>
      <c r="V199" s="390">
        <v>1.3</v>
      </c>
      <c r="W199" s="412">
        <f>SUMIFS(Таблица14[часы],Таблица14[коэф],"1,3",Таблица14[р/р],"3/24",Таблица14[Ф. И. О.],B198)</f>
        <v>0</v>
      </c>
      <c r="X199" s="545">
        <f t="shared" si="92"/>
        <v>0</v>
      </c>
      <c r="Y199" s="764"/>
      <c r="Z199" s="766"/>
      <c r="AA199" s="756"/>
      <c r="AC199" s="752" t="str">
        <f>IF(SUMIFS(Таблица14[часы],Таблица14[Ф. И. О.],B198)-Y193=0,"",SUMIFS(Таблица14[часы],Таблица14[Ф. И. О.],B198)-Y193)</f>
        <v/>
      </c>
    </row>
    <row r="200" spans="1:29">
      <c r="A200" s="756"/>
      <c r="B200" s="215"/>
      <c r="C200" s="759"/>
      <c r="D200" s="762"/>
      <c r="E200" s="389"/>
      <c r="F200" s="390"/>
      <c r="G200" s="400"/>
      <c r="H200" s="392">
        <f t="shared" si="89"/>
        <v>0</v>
      </c>
      <c r="I200" s="393"/>
      <c r="J200" s="390"/>
      <c r="K200" s="434"/>
      <c r="L200" s="434">
        <f t="shared" si="90"/>
        <v>0</v>
      </c>
      <c r="M200" s="434"/>
      <c r="N200" s="434"/>
      <c r="O200" s="434"/>
      <c r="P200" s="406"/>
      <c r="Q200" s="389">
        <f>база!$L$5</f>
        <v>231.45480000000001</v>
      </c>
      <c r="R200" s="390">
        <v>1.3</v>
      </c>
      <c r="S200" s="400">
        <f>SUMIFS(Таблица14[часы],Таблица14[коэф],"1,3",Таблица14[р/р],"4/16",Таблица14[Ф. И. О.],B198)</f>
        <v>0</v>
      </c>
      <c r="T200" s="392">
        <f t="shared" si="91"/>
        <v>0</v>
      </c>
      <c r="U200" s="410">
        <f>база!$M$5</f>
        <v>247.41720000000001</v>
      </c>
      <c r="V200" s="390">
        <v>1.3</v>
      </c>
      <c r="W200" s="412">
        <f>SUMIFS(Таблица14[часы],Таблица14[коэф],"1,3",Таблица14[р/р],"4/24",Таблица14[Ф. И. О.],B198)</f>
        <v>0</v>
      </c>
      <c r="X200" s="545">
        <f t="shared" si="92"/>
        <v>0</v>
      </c>
      <c r="Y200" s="764"/>
      <c r="Z200" s="766"/>
      <c r="AA200" s="756"/>
    </row>
    <row r="201" spans="1:29">
      <c r="A201" s="756"/>
      <c r="B201" s="215"/>
      <c r="C201" s="759"/>
      <c r="D201" s="762"/>
      <c r="E201" s="389"/>
      <c r="F201" s="390"/>
      <c r="G201" s="400"/>
      <c r="H201" s="392">
        <f t="shared" si="89"/>
        <v>0</v>
      </c>
      <c r="I201" s="393"/>
      <c r="J201" s="390"/>
      <c r="K201" s="434"/>
      <c r="L201" s="434">
        <f t="shared" si="90"/>
        <v>0</v>
      </c>
      <c r="M201" s="434"/>
      <c r="N201" s="434"/>
      <c r="O201" s="434"/>
      <c r="P201" s="406"/>
      <c r="Q201" s="389">
        <f>IF(D193&lt;=3,база!$L$4,
IF(D193=4,база!$L$5,
IF(D193=5,база!$L$6)))</f>
        <v>210.57480000000001</v>
      </c>
      <c r="R201" s="390">
        <v>1.4</v>
      </c>
      <c r="S201" s="400">
        <f>SUMIFS(Таблица14[часы],Таблица14[коэф],"1,4",Таблица14[р/р],"3/16",Таблица14[Ф. И. О.],B198)</f>
        <v>0</v>
      </c>
      <c r="T201" s="392">
        <f t="shared" si="91"/>
        <v>0</v>
      </c>
      <c r="U201" s="410">
        <f>IF(D193&lt;=3,база!$M$4,
IF(D193=4,база!$M$5,
IF(D193=5,база!$M$6)))</f>
        <v>225.09719999999999</v>
      </c>
      <c r="V201" s="390">
        <v>1.4</v>
      </c>
      <c r="W201" s="412">
        <f>SUMIFS(Таблица14[часы],Таблица14[коэф],"1,4",Таблица14[р/р],"3/24",Таблица14[Ф. И. О.],B198)</f>
        <v>0</v>
      </c>
      <c r="X201" s="545">
        <f t="shared" si="92"/>
        <v>0</v>
      </c>
      <c r="Y201" s="764"/>
      <c r="Z201" s="766"/>
      <c r="AA201" s="756"/>
    </row>
    <row r="202" spans="1:29">
      <c r="A202" s="756"/>
      <c r="B202" s="215"/>
      <c r="C202" s="759"/>
      <c r="D202" s="762"/>
      <c r="E202" s="389"/>
      <c r="F202" s="390"/>
      <c r="G202" s="400"/>
      <c r="H202" s="392">
        <f t="shared" si="89"/>
        <v>0</v>
      </c>
      <c r="I202" s="393"/>
      <c r="J202" s="390"/>
      <c r="K202" s="434"/>
      <c r="L202" s="434">
        <f t="shared" si="90"/>
        <v>0</v>
      </c>
      <c r="M202" s="434"/>
      <c r="N202" s="434"/>
      <c r="O202" s="434"/>
      <c r="P202" s="406"/>
      <c r="Q202" s="389">
        <f>база!$L$5</f>
        <v>231.45480000000001</v>
      </c>
      <c r="R202" s="390">
        <v>1.4</v>
      </c>
      <c r="S202" s="400">
        <f>SUMIFS(Таблица14[часы],Таблица14[коэф],"1,4",Таблица14[р/р],"4/16",Таблица14[Ф. И. О.],B198)</f>
        <v>0</v>
      </c>
      <c r="T202" s="392">
        <f t="shared" si="91"/>
        <v>0</v>
      </c>
      <c r="U202" s="410">
        <f>база!$M$5</f>
        <v>247.41720000000001</v>
      </c>
      <c r="V202" s="390">
        <v>1.4</v>
      </c>
      <c r="W202" s="412">
        <f>SUMIFS(Таблица14[часы],Таблица14[коэф],"1,4",Таблица14[р/р],"4/24",Таблица14[Ф. И. О.],B198)</f>
        <v>0</v>
      </c>
      <c r="X202" s="545">
        <f t="shared" si="92"/>
        <v>0</v>
      </c>
      <c r="Y202" s="764"/>
      <c r="Z202" s="766"/>
      <c r="AA202" s="756"/>
    </row>
    <row r="203" spans="1:29" ht="21" thickBot="1">
      <c r="A203" s="757"/>
      <c r="B203" s="202"/>
      <c r="C203" s="760"/>
      <c r="D203" s="763"/>
      <c r="E203" s="473"/>
      <c r="F203" s="464"/>
      <c r="G203" s="465"/>
      <c r="H203" s="468">
        <f t="shared" si="89"/>
        <v>0</v>
      </c>
      <c r="I203" s="463"/>
      <c r="J203" s="464"/>
      <c r="K203" s="457"/>
      <c r="L203" s="457">
        <f t="shared" si="90"/>
        <v>0</v>
      </c>
      <c r="M203" s="457"/>
      <c r="N203" s="457"/>
      <c r="O203" s="457"/>
      <c r="P203" s="476"/>
      <c r="Q203" s="473">
        <f>база!$L$6</f>
        <v>261.04640000000001</v>
      </c>
      <c r="R203" s="464">
        <v>1.4</v>
      </c>
      <c r="S203" s="465">
        <f>SUMIFS(Таблица14[часы],Таблица14[коэф],"1,4",Таблица14[р/р],"5/16",Таблица14[Ф. И. О.],B198)</f>
        <v>0</v>
      </c>
      <c r="T203" s="468">
        <f t="shared" si="91"/>
        <v>0</v>
      </c>
      <c r="U203" s="469">
        <f>база!$M$6</f>
        <v>279.0496</v>
      </c>
      <c r="V203" s="464">
        <v>1.4</v>
      </c>
      <c r="W203" s="470">
        <f>SUMIFS(Таблица14[часы],Таблица14[коэф],"1,4",Таблица14[р/р],"5/24",Таблица14[Ф. И. О.],B198)</f>
        <v>0</v>
      </c>
      <c r="X203" s="547">
        <f t="shared" si="92"/>
        <v>0</v>
      </c>
      <c r="Y203" s="765"/>
      <c r="Z203" s="767"/>
      <c r="AA203" s="757"/>
    </row>
    <row r="204" spans="1:29">
      <c r="A204" s="755">
        <v>19</v>
      </c>
      <c r="B204" s="215"/>
      <c r="C204" s="758">
        <f>INDEX(база!$E$2:$E$81, MATCH(B209,база!$B$2:$B$50,0))</f>
        <v>15590</v>
      </c>
      <c r="D204" s="761">
        <f>INDEX(база!$D$2:$D$89, MATCH(B209,база!$B$2:$B$50,0))</f>
        <v>3</v>
      </c>
      <c r="E204" s="451">
        <f>IF(D204&lt;=3,база!$I$4,
IF(D204=4,база!$I$5,
IF(D204=5,база!$I$6)))</f>
        <v>188.7912</v>
      </c>
      <c r="F204" s="417">
        <v>1</v>
      </c>
      <c r="G204" s="418">
        <f>SUMIFS(Таблица14[часы],Таблица14[коэф],"1",Таблица14[р/р],"2/4",Таблица14[Ф. И. О.],B209)</f>
        <v>0</v>
      </c>
      <c r="H204" s="542">
        <f>ROUND(E204*F204*G204*2,2)</f>
        <v>0</v>
      </c>
      <c r="I204" s="377">
        <f>IF(D204&lt;=3,база!$J$4,
IF(D204=4,база!$J$5,
IF(D204=5,база!$J$6)))</f>
        <v>196.05240000000001</v>
      </c>
      <c r="J204" s="378">
        <v>1</v>
      </c>
      <c r="K204" s="428">
        <f>SUMIFS(Таблица14[часы],Таблица14[коэф],"1",Таблица14[р/р],"2/8",Таблица14[Ф. И. О.],B209)</f>
        <v>0</v>
      </c>
      <c r="L204" s="383">
        <f>ROUND(I204*J204*K204*2,2)</f>
        <v>0</v>
      </c>
      <c r="M204" s="452"/>
      <c r="N204" s="453">
        <v>1</v>
      </c>
      <c r="O204" s="453">
        <f>SUMIFS(Data_Tech!$AM$3:$AM$67,Data_Tech!$E$3:$E$67,"1",Data_Tech!$G$3:$G$67,"3/12",Data_Tech!$F$3:$F$67,B209)</f>
        <v>0</v>
      </c>
      <c r="P204" s="453">
        <f>ROUND(M204*N204*O204,2)</f>
        <v>0</v>
      </c>
      <c r="Q204" s="416">
        <f>IF(D204&lt;=3,база!$L$4,
IF(D204=4,база!$L$5,
IF(D204=5,база!$L$6)))</f>
        <v>210.57480000000001</v>
      </c>
      <c r="R204" s="417">
        <v>1</v>
      </c>
      <c r="S204" s="418">
        <f>SUMIFS(Таблица14[часы],Таблица14[коэф],"1",Таблица14[р/р],"3/16",Таблица14[Ф. И. О.],B209)</f>
        <v>0</v>
      </c>
      <c r="T204" s="542">
        <f>ROUND(Q204*R204*S204*2,2)</f>
        <v>0</v>
      </c>
      <c r="U204" s="471">
        <f>IF(D204&lt;=3,база!$M$4,
IF(D204=4,база!$M$5,
IF(D204=5,база!$M$6)))</f>
        <v>225.09719999999999</v>
      </c>
      <c r="V204" s="378">
        <v>1</v>
      </c>
      <c r="W204" s="430">
        <f>SUMIFS(Таблица14[часы],Таблица14[коэф],"1",Таблица14[р/р],"3/24",Таблица14[Ф. И. О.],B209)</f>
        <v>0</v>
      </c>
      <c r="X204" s="543">
        <f>ROUND(U204*V204*W204*2,2)</f>
        <v>0</v>
      </c>
      <c r="Y204" s="764">
        <f t="shared" ref="Y204" si="93">SUM(G204:G214,K204:K214,O204:O214,S204:S214,W204:W214)</f>
        <v>0</v>
      </c>
      <c r="Z204" s="766">
        <f t="shared" ref="Z204" si="94">IFERROR(SUM(H204:H214,L204:L214,T204:T214,X204:X214),"")</f>
        <v>0</v>
      </c>
      <c r="AA204" s="756"/>
    </row>
    <row r="205" spans="1:29">
      <c r="A205" s="756"/>
      <c r="B205" s="215"/>
      <c r="C205" s="759"/>
      <c r="D205" s="762"/>
      <c r="E205" s="393">
        <f>IF(D204&lt;=3,база!$I$4,
IF(D204=4,база!$I$5,
IF(D204=5,база!$I$6)))</f>
        <v>188.7912</v>
      </c>
      <c r="F205" s="390">
        <v>1</v>
      </c>
      <c r="G205" s="400">
        <f>SUMIFS(Таблица14[часы],Таблица14[коэф],"1",Таблица14[р/р],"3/4",Таблица14[Ф. И. О.],B209)</f>
        <v>0</v>
      </c>
      <c r="H205" s="544">
        <f t="shared" ref="H205:H214" si="95">ROUND(E205*F205*G205*2,2)</f>
        <v>0</v>
      </c>
      <c r="I205" s="389">
        <f>IF(D204&lt;=3,база!$J$4,
IF(D204=4,база!$J$5,
IF(D204=5,база!$J$6)))</f>
        <v>196.05240000000001</v>
      </c>
      <c r="J205" s="390">
        <v>1</v>
      </c>
      <c r="K205" s="434">
        <f>SUMIFS(Таблица14[часы],Таблица14[коэф],"1",Таблица14[р/р],"3/8",Таблица14[Ф. И. О.],B209)</f>
        <v>0</v>
      </c>
      <c r="L205" s="395">
        <f t="shared" ref="L205:L214" si="96">ROUND(I205*J205*K205*2,2)</f>
        <v>0</v>
      </c>
      <c r="M205" s="432"/>
      <c r="N205" s="434">
        <v>1</v>
      </c>
      <c r="O205" s="434">
        <f>SUMIFS(Data_Tech!$AM$3:$AM$67,Data_Tech!$E$3:$E$67,"1",Data_Tech!$G$3:$G$67,"4/12",Data_Tech!$F$3:$F$67,B209)</f>
        <v>0</v>
      </c>
      <c r="P205" s="434">
        <f>ROUND(M205*O205,2)</f>
        <v>0</v>
      </c>
      <c r="Q205" s="399">
        <f>база!$L$5</f>
        <v>231.45480000000001</v>
      </c>
      <c r="R205" s="390">
        <v>1</v>
      </c>
      <c r="S205" s="400">
        <f>SUMIFS(Таблица14[часы],Таблица14[коэф],"1",Таблица14[р/р],"4/16",Таблица14[Ф. И. О.],B209)</f>
        <v>0</v>
      </c>
      <c r="T205" s="544">
        <f t="shared" ref="T205:T214" si="97">ROUND(Q205*R205*S205*2,2)</f>
        <v>0</v>
      </c>
      <c r="U205" s="472">
        <f>база!$M$5</f>
        <v>247.41720000000001</v>
      </c>
      <c r="V205" s="390">
        <v>1</v>
      </c>
      <c r="W205" s="412">
        <f>SUMIFS(Таблица14[часы],Таблица14[коэф],"1",Таблица14[р/р],"4/24",Таблица14[Ф. И. О.],B209)</f>
        <v>0</v>
      </c>
      <c r="X205" s="545">
        <f t="shared" ref="X205:X214" si="98">ROUND(U205*V205*W205*2,2)</f>
        <v>0</v>
      </c>
      <c r="Y205" s="764"/>
      <c r="Z205" s="766"/>
      <c r="AA205" s="756"/>
    </row>
    <row r="206" spans="1:29">
      <c r="A206" s="756"/>
      <c r="B206" s="215"/>
      <c r="C206" s="759"/>
      <c r="D206" s="762"/>
      <c r="E206" s="393"/>
      <c r="F206" s="390"/>
      <c r="G206" s="400"/>
      <c r="H206" s="544">
        <f t="shared" si="95"/>
        <v>0</v>
      </c>
      <c r="I206" s="389"/>
      <c r="J206" s="390"/>
      <c r="K206" s="434"/>
      <c r="L206" s="395">
        <f t="shared" si="96"/>
        <v>0</v>
      </c>
      <c r="M206" s="432"/>
      <c r="N206" s="434"/>
      <c r="O206" s="434"/>
      <c r="P206" s="434"/>
      <c r="Q206" s="399">
        <f>база!$L$6</f>
        <v>261.04640000000001</v>
      </c>
      <c r="R206" s="390">
        <v>1</v>
      </c>
      <c r="S206" s="400">
        <f>SUMIFS(Таблица14[часы],Таблица14[коэф],"1",Таблица14[р/р],"5/16",Таблица14[Ф. И. О.],B209)</f>
        <v>0</v>
      </c>
      <c r="T206" s="544">
        <f t="shared" si="97"/>
        <v>0</v>
      </c>
      <c r="U206" s="472">
        <f>база!$M$6</f>
        <v>279.0496</v>
      </c>
      <c r="V206" s="390">
        <v>1</v>
      </c>
      <c r="W206" s="412">
        <f>SUMIFS(Таблица14[часы],Таблица14[коэф],"1",Таблица14[р/р],"5/24",Таблица14[Ф. И. О.],B209)</f>
        <v>0</v>
      </c>
      <c r="X206" s="545">
        <f t="shared" si="98"/>
        <v>0</v>
      </c>
      <c r="Y206" s="764"/>
      <c r="Z206" s="766"/>
      <c r="AA206" s="756"/>
    </row>
    <row r="207" spans="1:29">
      <c r="A207" s="756"/>
      <c r="B207" s="215"/>
      <c r="C207" s="759"/>
      <c r="D207" s="762"/>
      <c r="E207" s="393"/>
      <c r="F207" s="390"/>
      <c r="G207" s="400"/>
      <c r="H207" s="544">
        <f t="shared" si="95"/>
        <v>0</v>
      </c>
      <c r="I207" s="389">
        <f>база!$J$5</f>
        <v>215.4924</v>
      </c>
      <c r="J207" s="390">
        <v>1.5</v>
      </c>
      <c r="K207" s="434">
        <f>SUMIFS(Таблица14[часы],Таблица14[коэф],"1,5",Таблица14[р/р],"4/8",Таблица14[Ф. И. О.],B209)</f>
        <v>0</v>
      </c>
      <c r="L207" s="395">
        <f t="shared" si="96"/>
        <v>0</v>
      </c>
      <c r="M207" s="432"/>
      <c r="N207" s="434"/>
      <c r="O207" s="434"/>
      <c r="P207" s="434"/>
      <c r="Q207" s="399">
        <f>IF(D204&lt;=3,база!$L$4,
IF(D204=4,база!$L$5,
IF(D204=5,база!$L$6)))</f>
        <v>210.57480000000001</v>
      </c>
      <c r="R207" s="390">
        <v>1.2</v>
      </c>
      <c r="S207" s="400">
        <f>SUMIFS(Таблица14[часы],Таблица14[коэф],"1,2",Таблица14[р/р],"3/16",Таблица14[Ф. И. О.],B209)</f>
        <v>0</v>
      </c>
      <c r="T207" s="544">
        <f t="shared" si="97"/>
        <v>0</v>
      </c>
      <c r="U207" s="472">
        <f>IF(D204&lt;=3,база!$M$4,
IF(D204=4,база!$M$5,
IF(D204=5,база!$M$6)))</f>
        <v>225.09719999999999</v>
      </c>
      <c r="V207" s="390">
        <v>1.2</v>
      </c>
      <c r="W207" s="412">
        <f>SUMIFS(Таблица14[часы],Таблица14[коэф],"1,2",Таблица14[р/р],"3/24",Таблица14[Ф. И. О.],B209)</f>
        <v>0</v>
      </c>
      <c r="X207" s="545">
        <f t="shared" si="98"/>
        <v>0</v>
      </c>
      <c r="Y207" s="764"/>
      <c r="Z207" s="766"/>
      <c r="AA207" s="756"/>
    </row>
    <row r="208" spans="1:29">
      <c r="A208" s="756"/>
      <c r="B208" s="215"/>
      <c r="C208" s="759"/>
      <c r="D208" s="762"/>
      <c r="E208" s="393"/>
      <c r="F208" s="390"/>
      <c r="G208" s="400"/>
      <c r="H208" s="544">
        <f t="shared" si="95"/>
        <v>0</v>
      </c>
      <c r="I208" s="389">
        <f>база!$J$6</f>
        <v>243.04319999999998</v>
      </c>
      <c r="J208" s="390">
        <v>1.5</v>
      </c>
      <c r="K208" s="434">
        <f>SUMIFS(Таблица14[часы],Таблица14[коэф],"1,5",Таблица14[р/р],"5/8",Таблица14[Ф. И. О.],B209)</f>
        <v>0</v>
      </c>
      <c r="L208" s="395">
        <f t="shared" si="96"/>
        <v>0</v>
      </c>
      <c r="M208" s="432"/>
      <c r="N208" s="434"/>
      <c r="O208" s="434"/>
      <c r="P208" s="434"/>
      <c r="Q208" s="399">
        <f>база!$L$5</f>
        <v>231.45480000000001</v>
      </c>
      <c r="R208" s="390">
        <v>1.2</v>
      </c>
      <c r="S208" s="400">
        <f>SUMIFS(Таблица14[часы],Таблица14[коэф],"1,2",Таблица14[р/р],"4/16",Таблица14[Ф. И. О.],B209)</f>
        <v>0</v>
      </c>
      <c r="T208" s="544">
        <f t="shared" si="97"/>
        <v>0</v>
      </c>
      <c r="U208" s="472">
        <f>база!$M$5</f>
        <v>247.41720000000001</v>
      </c>
      <c r="V208" s="390">
        <v>1.2</v>
      </c>
      <c r="W208" s="412">
        <f>SUMIFS(Таблица14[часы],Таблица14[коэф],"1,2",Таблица14[р/р],"4/24",Таблица14[Ф. И. О.],B209)</f>
        <v>0</v>
      </c>
      <c r="X208" s="545">
        <f t="shared" si="98"/>
        <v>0</v>
      </c>
      <c r="Y208" s="764"/>
      <c r="Z208" s="766"/>
      <c r="AA208" s="756"/>
      <c r="AC208" s="752" t="str">
        <f>IF(SUMIFS(Таблица14[Столбец2],Таблица14[Ф. И. О.],B209)-Z204=0,"",SUMIFS(Таблица14[Столбец2],Таблица14[Ф. И. О.],B209)-Z204)</f>
        <v/>
      </c>
    </row>
    <row r="209" spans="1:29" ht="18" customHeight="1">
      <c r="A209" s="756"/>
      <c r="B209" s="215" t="str">
        <f>база!B20</f>
        <v>Егорова Татьяна Владимировна</v>
      </c>
      <c r="C209" s="759"/>
      <c r="D209" s="762"/>
      <c r="E209" s="393"/>
      <c r="F209" s="390"/>
      <c r="G209" s="400"/>
      <c r="H209" s="544">
        <f t="shared" si="95"/>
        <v>0</v>
      </c>
      <c r="I209" s="389"/>
      <c r="J209" s="390"/>
      <c r="K209" s="434"/>
      <c r="L209" s="395">
        <f t="shared" si="96"/>
        <v>0</v>
      </c>
      <c r="M209" s="432"/>
      <c r="N209" s="434"/>
      <c r="O209" s="434"/>
      <c r="P209" s="434"/>
      <c r="Q209" s="399">
        <f>база!$L$6</f>
        <v>261.04640000000001</v>
      </c>
      <c r="R209" s="390">
        <v>1.2</v>
      </c>
      <c r="S209" s="400">
        <f>SUMIFS(Таблица14[часы],Таблица14[коэф],"1,2",Таблица14[р/р],"5/16",Таблица14[Ф. И. О.],B209)</f>
        <v>0</v>
      </c>
      <c r="T209" s="544">
        <f t="shared" si="97"/>
        <v>0</v>
      </c>
      <c r="U209" s="472">
        <f>база!$M$6</f>
        <v>279.0496</v>
      </c>
      <c r="V209" s="390">
        <v>1.2</v>
      </c>
      <c r="W209" s="412">
        <f>SUMIFS(Таблица14[часы],Таблица14[коэф],"1,2",Таблица14[р/р],"5/24",Таблица14[Ф. И. О.],B209)</f>
        <v>0</v>
      </c>
      <c r="X209" s="545">
        <f t="shared" si="98"/>
        <v>0</v>
      </c>
      <c r="Y209" s="764"/>
      <c r="Z209" s="766"/>
      <c r="AA209" s="756"/>
      <c r="AC209" s="752" t="str">
        <f>IF(SUMIFS(Таблица14[часы],Таблица14[Ф. И. О.],B209)-Y204=0,"",SUMIFS(Таблица14[часы],Таблица14[Ф. И. О.],B209)-Y204)</f>
        <v/>
      </c>
    </row>
    <row r="210" spans="1:29">
      <c r="A210" s="756"/>
      <c r="B210" s="215"/>
      <c r="C210" s="759"/>
      <c r="D210" s="762"/>
      <c r="E210" s="393"/>
      <c r="F210" s="390"/>
      <c r="G210" s="400"/>
      <c r="H210" s="544">
        <f t="shared" si="95"/>
        <v>0</v>
      </c>
      <c r="I210" s="389"/>
      <c r="J210" s="390"/>
      <c r="K210" s="434"/>
      <c r="L210" s="395">
        <f t="shared" si="96"/>
        <v>0</v>
      </c>
      <c r="M210" s="432"/>
      <c r="N210" s="434"/>
      <c r="O210" s="434"/>
      <c r="P210" s="434"/>
      <c r="Q210" s="399">
        <f>IF(D204&lt;=3,база!$L$4,
IF(D204=4,база!$L$5,
IF(D204=5,база!$L$6)))</f>
        <v>210.57480000000001</v>
      </c>
      <c r="R210" s="390">
        <v>1.3</v>
      </c>
      <c r="S210" s="400">
        <f>SUMIFS(Таблица14[часы],Таблица14[коэф],"1,3",Таблица14[р/р],"3/16",Таблица14[Ф. И. О.],B209)</f>
        <v>0</v>
      </c>
      <c r="T210" s="544">
        <f t="shared" si="97"/>
        <v>0</v>
      </c>
      <c r="U210" s="472">
        <f>IF(D204&lt;=3,база!$M$4,
IF(D204=4,база!$M$5,
IF(D204=5,база!$M$6)))</f>
        <v>225.09719999999999</v>
      </c>
      <c r="V210" s="390">
        <v>1.3</v>
      </c>
      <c r="W210" s="412">
        <f>SUMIFS(Таблица14[часы],Таблица14[коэф],"1,3",Таблица14[р/р],"3/24",Таблица14[Ф. И. О.],B209)</f>
        <v>0</v>
      </c>
      <c r="X210" s="545">
        <f t="shared" si="98"/>
        <v>0</v>
      </c>
      <c r="Y210" s="764"/>
      <c r="Z210" s="766"/>
      <c r="AA210" s="756"/>
    </row>
    <row r="211" spans="1:29">
      <c r="A211" s="756"/>
      <c r="B211" s="215"/>
      <c r="C211" s="759"/>
      <c r="D211" s="762"/>
      <c r="E211" s="393"/>
      <c r="F211" s="390"/>
      <c r="G211" s="400"/>
      <c r="H211" s="544">
        <f t="shared" si="95"/>
        <v>0</v>
      </c>
      <c r="I211" s="389"/>
      <c r="J211" s="390"/>
      <c r="K211" s="434"/>
      <c r="L211" s="395">
        <f t="shared" si="96"/>
        <v>0</v>
      </c>
      <c r="M211" s="432"/>
      <c r="N211" s="434"/>
      <c r="O211" s="434"/>
      <c r="P211" s="434"/>
      <c r="Q211" s="399">
        <f>база!$L$5</f>
        <v>231.45480000000001</v>
      </c>
      <c r="R211" s="390">
        <v>1.3</v>
      </c>
      <c r="S211" s="400">
        <f>SUMIFS(Таблица14[часы],Таблица14[коэф],"1,3",Таблица14[р/р],"4/16",Таблица14[Ф. И. О.],B209)</f>
        <v>0</v>
      </c>
      <c r="T211" s="544">
        <f t="shared" si="97"/>
        <v>0</v>
      </c>
      <c r="U211" s="472">
        <f>база!$M$5</f>
        <v>247.41720000000001</v>
      </c>
      <c r="V211" s="390">
        <v>1.3</v>
      </c>
      <c r="W211" s="412">
        <f>SUMIFS(Таблица14[часы],Таблица14[коэф],"1,3",Таблица14[р/р],"4/24",Таблица14[Ф. И. О.],B209)</f>
        <v>0</v>
      </c>
      <c r="X211" s="545">
        <f t="shared" si="98"/>
        <v>0</v>
      </c>
      <c r="Y211" s="764"/>
      <c r="Z211" s="766"/>
      <c r="AA211" s="756"/>
    </row>
    <row r="212" spans="1:29">
      <c r="A212" s="756"/>
      <c r="B212" s="215"/>
      <c r="C212" s="759"/>
      <c r="D212" s="762"/>
      <c r="E212" s="393"/>
      <c r="F212" s="390"/>
      <c r="G212" s="400"/>
      <c r="H212" s="544">
        <f t="shared" si="95"/>
        <v>0</v>
      </c>
      <c r="I212" s="389"/>
      <c r="J212" s="390"/>
      <c r="K212" s="434"/>
      <c r="L212" s="395">
        <f t="shared" si="96"/>
        <v>0</v>
      </c>
      <c r="M212" s="432"/>
      <c r="N212" s="434"/>
      <c r="O212" s="434"/>
      <c r="P212" s="434"/>
      <c r="Q212" s="399">
        <f>IF(D204&lt;=3,база!$L$4,
IF(D204=4,база!$L$5,
IF(D204=5,база!$L$6)))</f>
        <v>210.57480000000001</v>
      </c>
      <c r="R212" s="390">
        <v>1.4</v>
      </c>
      <c r="S212" s="400">
        <f>SUMIFS(Таблица14[часы],Таблица14[коэф],"1,4",Таблица14[р/р],"3/16",Таблица14[Ф. И. О.],B209)</f>
        <v>0</v>
      </c>
      <c r="T212" s="544">
        <f t="shared" si="97"/>
        <v>0</v>
      </c>
      <c r="U212" s="472">
        <f>IF(D204&lt;=3,база!$M$4,
IF(D204=4,база!$M$5,
IF(D204=5,база!$M$6)))</f>
        <v>225.09719999999999</v>
      </c>
      <c r="V212" s="390">
        <v>1.4</v>
      </c>
      <c r="W212" s="412">
        <f>SUMIFS(Таблица14[часы],Таблица14[коэф],"1,4",Таблица14[р/р],"3/24",Таблица14[Ф. И. О.],B209)</f>
        <v>0</v>
      </c>
      <c r="X212" s="545">
        <f t="shared" si="98"/>
        <v>0</v>
      </c>
      <c r="Y212" s="764"/>
      <c r="Z212" s="766"/>
      <c r="AA212" s="756"/>
    </row>
    <row r="213" spans="1:29">
      <c r="A213" s="756"/>
      <c r="B213" s="215"/>
      <c r="C213" s="759"/>
      <c r="D213" s="762"/>
      <c r="E213" s="393"/>
      <c r="F213" s="390"/>
      <c r="G213" s="400"/>
      <c r="H213" s="544">
        <f t="shared" si="95"/>
        <v>0</v>
      </c>
      <c r="I213" s="389"/>
      <c r="J213" s="390"/>
      <c r="K213" s="434"/>
      <c r="L213" s="395">
        <f t="shared" si="96"/>
        <v>0</v>
      </c>
      <c r="M213" s="432"/>
      <c r="N213" s="434"/>
      <c r="O213" s="434"/>
      <c r="P213" s="434"/>
      <c r="Q213" s="399">
        <f>база!$L$5</f>
        <v>231.45480000000001</v>
      </c>
      <c r="R213" s="390">
        <v>1.4</v>
      </c>
      <c r="S213" s="400">
        <f>SUMIFS(Таблица14[часы],Таблица14[коэф],"1,4",Таблица14[р/р],"4/16",Таблица14[Ф. И. О.],B209)</f>
        <v>0</v>
      </c>
      <c r="T213" s="544">
        <f t="shared" si="97"/>
        <v>0</v>
      </c>
      <c r="U213" s="472">
        <f>база!$M$5</f>
        <v>247.41720000000001</v>
      </c>
      <c r="V213" s="390">
        <v>1.4</v>
      </c>
      <c r="W213" s="412">
        <f>SUMIFS(Таблица14[часы],Таблица14[коэф],"1,4",Таблица14[р/р],"4/24",Таблица14[Ф. И. О.],B209)</f>
        <v>0</v>
      </c>
      <c r="X213" s="545">
        <f t="shared" si="98"/>
        <v>0</v>
      </c>
      <c r="Y213" s="764"/>
      <c r="Z213" s="766"/>
      <c r="AA213" s="756"/>
    </row>
    <row r="214" spans="1:29" ht="21" thickBot="1">
      <c r="A214" s="757"/>
      <c r="B214" s="202"/>
      <c r="C214" s="760"/>
      <c r="D214" s="763"/>
      <c r="E214" s="463"/>
      <c r="F214" s="464"/>
      <c r="G214" s="465"/>
      <c r="H214" s="549">
        <f t="shared" si="95"/>
        <v>0</v>
      </c>
      <c r="I214" s="473"/>
      <c r="J214" s="464"/>
      <c r="K214" s="457"/>
      <c r="L214" s="458">
        <f t="shared" si="96"/>
        <v>0</v>
      </c>
      <c r="M214" s="466"/>
      <c r="N214" s="457"/>
      <c r="O214" s="457"/>
      <c r="P214" s="457"/>
      <c r="Q214" s="467">
        <f>база!$L$6</f>
        <v>261.04640000000001</v>
      </c>
      <c r="R214" s="464">
        <v>1.4</v>
      </c>
      <c r="S214" s="465">
        <f>SUMIFS(Таблица14[часы],Таблица14[коэф],"1,4",Таблица14[р/р],"5/16",Таблица14[Ф. И. О.],B209)</f>
        <v>0</v>
      </c>
      <c r="T214" s="549">
        <f t="shared" si="97"/>
        <v>0</v>
      </c>
      <c r="U214" s="474">
        <f>база!$M$6</f>
        <v>279.0496</v>
      </c>
      <c r="V214" s="464">
        <v>1.4</v>
      </c>
      <c r="W214" s="470">
        <f>SUMIFS(Таблица14[часы],Таблица14[коэф],"1,4",Таблица14[р/р],"5/24",Таблица14[Ф. И. О.],B209)</f>
        <v>0</v>
      </c>
      <c r="X214" s="547">
        <f t="shared" si="98"/>
        <v>0</v>
      </c>
      <c r="Y214" s="765"/>
      <c r="Z214" s="767"/>
      <c r="AA214" s="757"/>
    </row>
    <row r="215" spans="1:29">
      <c r="A215" s="755">
        <v>20</v>
      </c>
      <c r="B215" s="215"/>
      <c r="C215" s="758">
        <f>INDEX(база!$E$2:$E$81, MATCH(B220,база!$B$2:$B$50,0))</f>
        <v>16771</v>
      </c>
      <c r="D215" s="761">
        <f>INDEX(база!$D$2:$D$89, MATCH(B220,база!$B$2:$B$50,0))</f>
        <v>3</v>
      </c>
      <c r="E215" s="451">
        <f>IF(D215&lt;=3,база!$I$4,
IF(D215=4,база!$I$5,
IF(D215=5,база!$I$6)))</f>
        <v>188.7912</v>
      </c>
      <c r="F215" s="417">
        <v>1</v>
      </c>
      <c r="G215" s="418">
        <f>SUMIFS(Таблица14[часы],Таблица14[коэф],"1",Таблица14[р/р],"2/4",Таблица14[Ф. И. О.],B220)</f>
        <v>0</v>
      </c>
      <c r="H215" s="542">
        <f>ROUND(E215*F215*G215*2,2)</f>
        <v>0</v>
      </c>
      <c r="I215" s="481">
        <f>IF(D215&lt;=3,база!$J$4,
IF(D215=4,база!$J$5,
IF(D215=5,база!$J$6)))</f>
        <v>196.05240000000001</v>
      </c>
      <c r="J215" s="417">
        <v>1</v>
      </c>
      <c r="K215" s="453">
        <f>SUMIFS(Таблица14[часы],Таблица14[коэф],"1",Таблица14[р/р],"2/8",Таблица14[Ф. И. О.],B220)</f>
        <v>0</v>
      </c>
      <c r="L215" s="484">
        <f>ROUND(I215*J215*K215*2,2)</f>
        <v>0</v>
      </c>
      <c r="M215" s="452"/>
      <c r="N215" s="453">
        <v>1</v>
      </c>
      <c r="O215" s="453">
        <f>SUMIFS(Data_Tech!$AM$3:$AM$67,Data_Tech!$E$3:$E$67,"1",Data_Tech!$G$3:$G$67,"3/12",Data_Tech!$F$3:$F$67,B220)</f>
        <v>0</v>
      </c>
      <c r="P215" s="453">
        <f>ROUND(M215*N215*O215,2)</f>
        <v>0</v>
      </c>
      <c r="Q215" s="416">
        <f>IF(D215&lt;=3,база!$L$4,
IF(D215=4,база!$L$5,
IF(D215=5,база!$L$6)))</f>
        <v>210.57480000000001</v>
      </c>
      <c r="R215" s="417">
        <v>1</v>
      </c>
      <c r="S215" s="418">
        <f>SUMIFS(Таблица14[часы],Таблица14[коэф],"1",Таблица14[р/р],"3/16",Таблица14[Ф. И. О.],B220)</f>
        <v>0</v>
      </c>
      <c r="T215" s="542">
        <f>ROUND(Q215*R215*S215*2,2)</f>
        <v>0</v>
      </c>
      <c r="U215" s="485">
        <f>IF(D215&lt;=3,база!$M$4,
IF(D215=4,база!$M$5,
IF(D215=5,база!$M$6)))</f>
        <v>225.09719999999999</v>
      </c>
      <c r="V215" s="417">
        <v>1</v>
      </c>
      <c r="W215" s="455">
        <f>SUMIFS(Таблица14[часы],Таблица14[коэф],"1",Таблица14[р/р],"3/24",Таблица14[Ф. И. О.],B220)</f>
        <v>0</v>
      </c>
      <c r="X215" s="552">
        <f>ROUND(U215*V215*W215*2,2)</f>
        <v>0</v>
      </c>
      <c r="Y215" s="764">
        <f>SUM(G215:G225,K215:K225,O215:O225,S215:S225,W215:W225)</f>
        <v>0</v>
      </c>
      <c r="Z215" s="766">
        <f t="shared" ref="Z215" si="99">IFERROR(SUM(H215:H225,L215:L225,T215:T225,X215:X225),"")</f>
        <v>0</v>
      </c>
      <c r="AA215" s="756"/>
    </row>
    <row r="216" spans="1:29">
      <c r="A216" s="756"/>
      <c r="B216" s="215"/>
      <c r="C216" s="759"/>
      <c r="D216" s="762"/>
      <c r="E216" s="393">
        <f>IF(D215&lt;=3,база!$I$4,
IF(D215=4,база!$I$5,
IF(D215=5,база!$I$6)))</f>
        <v>188.7912</v>
      </c>
      <c r="F216" s="390">
        <v>1</v>
      </c>
      <c r="G216" s="400">
        <f>SUMIFS(Таблица14[часы],Таблица14[коэф],"1",Таблица14[р/р],"3/4",Таблица14[Ф. И. О.],B220)</f>
        <v>0</v>
      </c>
      <c r="H216" s="544">
        <f t="shared" ref="H216:H225" si="100">ROUND(E216*F216*G216*2,2)</f>
        <v>0</v>
      </c>
      <c r="I216" s="389">
        <f>IF(D215&lt;=3,база!$J$4,
IF(D215=4,база!$J$5,
IF(D215=5,база!$J$6)))</f>
        <v>196.05240000000001</v>
      </c>
      <c r="J216" s="390">
        <v>1</v>
      </c>
      <c r="K216" s="434">
        <f>SUMIFS(Таблица14[часы],Таблица14[коэф],"1",Таблица14[р/р],"3/8",Таблица14[Ф. И. О.],B220)</f>
        <v>0</v>
      </c>
      <c r="L216" s="395">
        <f t="shared" ref="L216:L225" si="101">ROUND(I216*J216*K216*2,2)</f>
        <v>0</v>
      </c>
      <c r="M216" s="432"/>
      <c r="N216" s="434">
        <v>1</v>
      </c>
      <c r="O216" s="434">
        <f>SUMIFS(Data_Tech!$AM$3:$AM$67,Data_Tech!$E$3:$E$67,"1",Data_Tech!$G$3:$G$67,"4/12",Data_Tech!$F$3:$F$67,B220)</f>
        <v>0</v>
      </c>
      <c r="P216" s="434">
        <f>ROUND(M216*O216,2)</f>
        <v>0</v>
      </c>
      <c r="Q216" s="399">
        <f>база!$L$5</f>
        <v>231.45480000000001</v>
      </c>
      <c r="R216" s="390">
        <v>1</v>
      </c>
      <c r="S216" s="400">
        <f>SUMIFS(Таблица14[часы],Таблица14[коэф],"1",Таблица14[р/р],"4/16",Таблица14[Ф. И. О.],B220)</f>
        <v>0</v>
      </c>
      <c r="T216" s="544">
        <f t="shared" ref="T216:T225" si="102">ROUND(Q216*R216*S216*2,2)</f>
        <v>0</v>
      </c>
      <c r="U216" s="472">
        <f>база!$M$5</f>
        <v>247.41720000000001</v>
      </c>
      <c r="V216" s="390">
        <v>1</v>
      </c>
      <c r="W216" s="412">
        <f>SUMIFS(Таблица14[часы],Таблица14[коэф],"1",Таблица14[р/р],"4/24",Таблица14[Ф. И. О.],B220)</f>
        <v>0</v>
      </c>
      <c r="X216" s="545">
        <f t="shared" ref="X216:X225" si="103">ROUND(U216*V216*W216*2,2)</f>
        <v>0</v>
      </c>
      <c r="Y216" s="764"/>
      <c r="Z216" s="766"/>
      <c r="AA216" s="756"/>
    </row>
    <row r="217" spans="1:29">
      <c r="A217" s="756"/>
      <c r="B217" s="215"/>
      <c r="C217" s="759"/>
      <c r="D217" s="762"/>
      <c r="E217" s="393"/>
      <c r="F217" s="390"/>
      <c r="G217" s="400"/>
      <c r="H217" s="544">
        <f t="shared" si="100"/>
        <v>0</v>
      </c>
      <c r="I217" s="389"/>
      <c r="J217" s="390"/>
      <c r="K217" s="434"/>
      <c r="L217" s="395">
        <f t="shared" si="101"/>
        <v>0</v>
      </c>
      <c r="M217" s="432"/>
      <c r="N217" s="434"/>
      <c r="O217" s="434"/>
      <c r="P217" s="434"/>
      <c r="Q217" s="399">
        <f>база!$L$6</f>
        <v>261.04640000000001</v>
      </c>
      <c r="R217" s="390">
        <v>1</v>
      </c>
      <c r="S217" s="400">
        <f>SUMIFS(Таблица14[часы],Таблица14[коэф],"1",Таблица14[р/р],"5/16",Таблица14[Ф. И. О.],B220)</f>
        <v>0</v>
      </c>
      <c r="T217" s="544">
        <f t="shared" si="102"/>
        <v>0</v>
      </c>
      <c r="U217" s="472">
        <f>база!$M$6</f>
        <v>279.0496</v>
      </c>
      <c r="V217" s="390">
        <v>1</v>
      </c>
      <c r="W217" s="412">
        <f>SUMIFS(Таблица14[часы],Таблица14[коэф],"1",Таблица14[р/р],"5/24",Таблица14[Ф. И. О.],B220)</f>
        <v>0</v>
      </c>
      <c r="X217" s="545">
        <f t="shared" si="103"/>
        <v>0</v>
      </c>
      <c r="Y217" s="764"/>
      <c r="Z217" s="766"/>
      <c r="AA217" s="756"/>
    </row>
    <row r="218" spans="1:29">
      <c r="A218" s="756"/>
      <c r="B218" s="215"/>
      <c r="C218" s="759"/>
      <c r="D218" s="762"/>
      <c r="E218" s="393"/>
      <c r="F218" s="390"/>
      <c r="G218" s="400"/>
      <c r="H218" s="544">
        <f t="shared" si="100"/>
        <v>0</v>
      </c>
      <c r="I218" s="389">
        <f>база!$J$5</f>
        <v>215.4924</v>
      </c>
      <c r="J218" s="390">
        <v>1.5</v>
      </c>
      <c r="K218" s="434">
        <f>SUMIFS(Таблица14[часы],Таблица14[коэф],"1,5",Таблица14[р/р],"4/8",Таблица14[Ф. И. О.],B220)</f>
        <v>0</v>
      </c>
      <c r="L218" s="395">
        <f t="shared" si="101"/>
        <v>0</v>
      </c>
      <c r="M218" s="432"/>
      <c r="N218" s="434"/>
      <c r="O218" s="434"/>
      <c r="P218" s="434"/>
      <c r="Q218" s="399">
        <f>IF(D215&lt;=3,база!$L$4,
IF(D215=4,база!$L$5,
IF(D215=5,база!$L$6)))</f>
        <v>210.57480000000001</v>
      </c>
      <c r="R218" s="390">
        <v>1.2</v>
      </c>
      <c r="S218" s="400">
        <f>SUMIFS(Таблица14[часы],Таблица14[коэф],"1,2",Таблица14[р/р],"3/16",Таблица14[Ф. И. О.],B220)</f>
        <v>0</v>
      </c>
      <c r="T218" s="544">
        <f t="shared" si="102"/>
        <v>0</v>
      </c>
      <c r="U218" s="472">
        <f>IF(D215&lt;=3,база!$M$4,
IF(D215=4,база!$M$5,
IF(D215=5,база!$M$6)))</f>
        <v>225.09719999999999</v>
      </c>
      <c r="V218" s="390">
        <v>1.2</v>
      </c>
      <c r="W218" s="412">
        <f>SUMIFS(Таблица14[часы],Таблица14[коэф],"1,2",Таблица14[р/р],"3/24",Таблица14[Ф. И. О.],B220)</f>
        <v>0</v>
      </c>
      <c r="X218" s="545">
        <f t="shared" si="103"/>
        <v>0</v>
      </c>
      <c r="Y218" s="764"/>
      <c r="Z218" s="766"/>
      <c r="AA218" s="756"/>
    </row>
    <row r="219" spans="1:29">
      <c r="A219" s="756"/>
      <c r="B219" s="215"/>
      <c r="C219" s="759"/>
      <c r="D219" s="762"/>
      <c r="E219" s="393"/>
      <c r="F219" s="390"/>
      <c r="G219" s="400"/>
      <c r="H219" s="544">
        <f t="shared" si="100"/>
        <v>0</v>
      </c>
      <c r="I219" s="389">
        <f>база!$J$6</f>
        <v>243.04319999999998</v>
      </c>
      <c r="J219" s="390">
        <v>1.5</v>
      </c>
      <c r="K219" s="434">
        <f>SUMIFS(Таблица14[часы],Таблица14[коэф],"1,5",Таблица14[р/р],"5/8",Таблица14[Ф. И. О.],B220)</f>
        <v>0</v>
      </c>
      <c r="L219" s="395">
        <f t="shared" si="101"/>
        <v>0</v>
      </c>
      <c r="M219" s="432"/>
      <c r="N219" s="434"/>
      <c r="O219" s="434"/>
      <c r="P219" s="434"/>
      <c r="Q219" s="399">
        <f>база!$L$5</f>
        <v>231.45480000000001</v>
      </c>
      <c r="R219" s="390">
        <v>1.2</v>
      </c>
      <c r="S219" s="400">
        <f>SUMIFS(Таблица14[часы],Таблица14[коэф],"1,2",Таблица14[р/р],"4/16",Таблица14[Ф. И. О.],B220)</f>
        <v>0</v>
      </c>
      <c r="T219" s="544">
        <f t="shared" si="102"/>
        <v>0</v>
      </c>
      <c r="U219" s="472">
        <f>база!$M$5</f>
        <v>247.41720000000001</v>
      </c>
      <c r="V219" s="390">
        <v>1.2</v>
      </c>
      <c r="W219" s="412">
        <f>SUMIFS(Таблица14[часы],Таблица14[коэф],"1,2",Таблица14[р/р],"4/24",Таблица14[Ф. И. О.],B220)</f>
        <v>0</v>
      </c>
      <c r="X219" s="545">
        <f t="shared" si="103"/>
        <v>0</v>
      </c>
      <c r="Y219" s="764"/>
      <c r="Z219" s="766"/>
      <c r="AA219" s="756"/>
    </row>
    <row r="220" spans="1:29" ht="22.5" customHeight="1">
      <c r="A220" s="756"/>
      <c r="B220" s="215" t="str">
        <f>база!B21</f>
        <v>Елькина Татьяна Владимировна</v>
      </c>
      <c r="C220" s="759"/>
      <c r="D220" s="762"/>
      <c r="E220" s="393"/>
      <c r="F220" s="390"/>
      <c r="G220" s="400"/>
      <c r="H220" s="544">
        <f t="shared" si="100"/>
        <v>0</v>
      </c>
      <c r="I220" s="389"/>
      <c r="J220" s="390"/>
      <c r="K220" s="434"/>
      <c r="L220" s="395">
        <f t="shared" si="101"/>
        <v>0</v>
      </c>
      <c r="M220" s="432"/>
      <c r="N220" s="434"/>
      <c r="O220" s="434"/>
      <c r="P220" s="434"/>
      <c r="Q220" s="399">
        <f>база!$L$6</f>
        <v>261.04640000000001</v>
      </c>
      <c r="R220" s="390">
        <v>1.2</v>
      </c>
      <c r="S220" s="400">
        <f>SUMIFS(Таблица14[часы],Таблица14[коэф],"1,2",Таблица14[р/р],"5/16",Таблица14[Ф. И. О.],B220)</f>
        <v>0</v>
      </c>
      <c r="T220" s="544">
        <f t="shared" si="102"/>
        <v>0</v>
      </c>
      <c r="U220" s="472">
        <f>база!$M$6</f>
        <v>279.0496</v>
      </c>
      <c r="V220" s="390">
        <v>1.2</v>
      </c>
      <c r="W220" s="412">
        <f>SUMIFS(Таблица14[часы],Таблица14[коэф],"1,2",Таблица14[р/р],"5/24",Таблица14[Ф. И. О.],B220)</f>
        <v>0</v>
      </c>
      <c r="X220" s="545">
        <f t="shared" si="103"/>
        <v>0</v>
      </c>
      <c r="Y220" s="764"/>
      <c r="Z220" s="766"/>
      <c r="AA220" s="756"/>
      <c r="AC220" s="752" t="str">
        <f>IF(SUMIFS(Таблица14[Столбец2],Таблица14[Ф. И. О.],B220)-Z215=0,"",SUMIFS(Таблица14[Столбец2],Таблица14[Ф. И. О.],B220)-Z215)</f>
        <v/>
      </c>
    </row>
    <row r="221" spans="1:29">
      <c r="A221" s="756"/>
      <c r="B221" s="215"/>
      <c r="C221" s="759"/>
      <c r="D221" s="762"/>
      <c r="E221" s="393"/>
      <c r="F221" s="390"/>
      <c r="G221" s="400"/>
      <c r="H221" s="544">
        <f t="shared" si="100"/>
        <v>0</v>
      </c>
      <c r="I221" s="389"/>
      <c r="J221" s="390"/>
      <c r="K221" s="434"/>
      <c r="L221" s="395">
        <f t="shared" si="101"/>
        <v>0</v>
      </c>
      <c r="M221" s="432"/>
      <c r="N221" s="434"/>
      <c r="O221" s="434"/>
      <c r="P221" s="434"/>
      <c r="Q221" s="399">
        <f>IF(D215&lt;=3,база!$L$4,
IF(D215=4,база!$L$5,
IF(D215=5,база!$L$6)))</f>
        <v>210.57480000000001</v>
      </c>
      <c r="R221" s="390">
        <v>1.3</v>
      </c>
      <c r="S221" s="400">
        <f>SUMIFS(Таблица14[часы],Таблица14[коэф],"1,3",Таблица14[р/р],"3/16",Таблица14[Ф. И. О.],B220)</f>
        <v>0</v>
      </c>
      <c r="T221" s="544">
        <f t="shared" si="102"/>
        <v>0</v>
      </c>
      <c r="U221" s="472">
        <f>IF(D215&lt;=3,база!$M$4,
IF(D215=4,база!$M$5,
IF(D215=5,база!$M$6)))</f>
        <v>225.09719999999999</v>
      </c>
      <c r="V221" s="390">
        <v>1.3</v>
      </c>
      <c r="W221" s="412">
        <f>SUMIFS(Таблица14[часы],Таблица14[коэф],"1,3",Таблица14[р/р],"3/24",Таблица14[Ф. И. О.],B220)</f>
        <v>0</v>
      </c>
      <c r="X221" s="545">
        <f t="shared" si="103"/>
        <v>0</v>
      </c>
      <c r="Y221" s="764"/>
      <c r="Z221" s="766"/>
      <c r="AA221" s="756"/>
      <c r="AC221" s="752" t="str">
        <f>IF(SUMIFS(Таблица14[часы],Таблица14[Ф. И. О.],B220)-Y215=0,"",SUMIFS(Таблица14[часы],Таблица14[Ф. И. О.],B220)-Y215)</f>
        <v/>
      </c>
    </row>
    <row r="222" spans="1:29">
      <c r="A222" s="756"/>
      <c r="B222" s="215"/>
      <c r="C222" s="759"/>
      <c r="D222" s="762"/>
      <c r="E222" s="393"/>
      <c r="F222" s="390"/>
      <c r="G222" s="400"/>
      <c r="H222" s="544">
        <f t="shared" si="100"/>
        <v>0</v>
      </c>
      <c r="I222" s="389"/>
      <c r="J222" s="390"/>
      <c r="K222" s="434"/>
      <c r="L222" s="395">
        <f t="shared" si="101"/>
        <v>0</v>
      </c>
      <c r="M222" s="432"/>
      <c r="N222" s="434"/>
      <c r="O222" s="434"/>
      <c r="P222" s="434"/>
      <c r="Q222" s="399">
        <f>база!$L$5</f>
        <v>231.45480000000001</v>
      </c>
      <c r="R222" s="390">
        <v>1.3</v>
      </c>
      <c r="S222" s="400">
        <f>SUMIFS(Таблица14[часы],Таблица14[коэф],"1,3",Таблица14[р/р],"4/16",Таблица14[Ф. И. О.],B220)</f>
        <v>0</v>
      </c>
      <c r="T222" s="544">
        <f t="shared" si="102"/>
        <v>0</v>
      </c>
      <c r="U222" s="472">
        <f>база!$M$5</f>
        <v>247.41720000000001</v>
      </c>
      <c r="V222" s="390">
        <v>1.3</v>
      </c>
      <c r="W222" s="412">
        <f>SUMIFS(Таблица14[часы],Таблица14[коэф],"1,3",Таблица14[р/р],"4/24",Таблица14[Ф. И. О.],B220)</f>
        <v>0</v>
      </c>
      <c r="X222" s="545">
        <f t="shared" si="103"/>
        <v>0</v>
      </c>
      <c r="Y222" s="764"/>
      <c r="Z222" s="766"/>
      <c r="AA222" s="756"/>
    </row>
    <row r="223" spans="1:29">
      <c r="A223" s="756"/>
      <c r="B223" s="215"/>
      <c r="C223" s="759"/>
      <c r="D223" s="762"/>
      <c r="E223" s="393"/>
      <c r="F223" s="390"/>
      <c r="G223" s="400"/>
      <c r="H223" s="544">
        <f t="shared" si="100"/>
        <v>0</v>
      </c>
      <c r="I223" s="389"/>
      <c r="J223" s="390"/>
      <c r="K223" s="434"/>
      <c r="L223" s="395">
        <f t="shared" si="101"/>
        <v>0</v>
      </c>
      <c r="M223" s="432"/>
      <c r="N223" s="434"/>
      <c r="O223" s="434"/>
      <c r="P223" s="434"/>
      <c r="Q223" s="399">
        <f>IF(D215&lt;=3,база!$L$4,
IF(D215=4,база!$L$5,
IF(D215=5,база!$L$6)))</f>
        <v>210.57480000000001</v>
      </c>
      <c r="R223" s="390">
        <v>1.4</v>
      </c>
      <c r="S223" s="400">
        <f>SUMIFS(Таблица14[часы],Таблица14[коэф],"1,4",Таблица14[р/р],"3/16",Таблица14[Ф. И. О.],B220)</f>
        <v>0</v>
      </c>
      <c r="T223" s="544">
        <f t="shared" si="102"/>
        <v>0</v>
      </c>
      <c r="U223" s="472">
        <f>IF(D215&lt;=3,база!$M$4,
IF(D215=4,база!$M$5,
IF(D215=5,база!$M$6)))</f>
        <v>225.09719999999999</v>
      </c>
      <c r="V223" s="390">
        <v>1.4</v>
      </c>
      <c r="W223" s="412">
        <f>SUMIFS(Таблица14[часы],Таблица14[коэф],"1,4",Таблица14[р/р],"3/24",Таблица14[Ф. И. О.],B220)</f>
        <v>0</v>
      </c>
      <c r="X223" s="545">
        <f t="shared" si="103"/>
        <v>0</v>
      </c>
      <c r="Y223" s="764"/>
      <c r="Z223" s="766"/>
      <c r="AA223" s="756"/>
    </row>
    <row r="224" spans="1:29">
      <c r="A224" s="756"/>
      <c r="B224" s="215"/>
      <c r="C224" s="759"/>
      <c r="D224" s="762"/>
      <c r="E224" s="393"/>
      <c r="F224" s="390"/>
      <c r="G224" s="400"/>
      <c r="H224" s="544">
        <f t="shared" si="100"/>
        <v>0</v>
      </c>
      <c r="I224" s="389"/>
      <c r="J224" s="390"/>
      <c r="K224" s="434"/>
      <c r="L224" s="395">
        <f t="shared" si="101"/>
        <v>0</v>
      </c>
      <c r="M224" s="432"/>
      <c r="N224" s="434"/>
      <c r="O224" s="434"/>
      <c r="P224" s="434"/>
      <c r="Q224" s="399">
        <f>база!$L$5</f>
        <v>231.45480000000001</v>
      </c>
      <c r="R224" s="390">
        <v>1.4</v>
      </c>
      <c r="S224" s="400">
        <f>SUMIFS(Таблица14[часы],Таблица14[коэф],"1,4",Таблица14[р/р],"4/16",Таблица14[Ф. И. О.],B220)</f>
        <v>0</v>
      </c>
      <c r="T224" s="544">
        <f t="shared" si="102"/>
        <v>0</v>
      </c>
      <c r="U224" s="472">
        <f>база!$M$5</f>
        <v>247.41720000000001</v>
      </c>
      <c r="V224" s="390">
        <v>1.4</v>
      </c>
      <c r="W224" s="412">
        <f>SUMIFS(Таблица14[часы],Таблица14[коэф],"1,4",Таблица14[р/р],"4/24",Таблица14[Ф. И. О.],B220)</f>
        <v>0</v>
      </c>
      <c r="X224" s="545">
        <f t="shared" si="103"/>
        <v>0</v>
      </c>
      <c r="Y224" s="764"/>
      <c r="Z224" s="766"/>
      <c r="AA224" s="756"/>
    </row>
    <row r="225" spans="1:29" ht="21" thickBot="1">
      <c r="A225" s="757"/>
      <c r="B225" s="215"/>
      <c r="C225" s="760"/>
      <c r="D225" s="763"/>
      <c r="E225" s="422"/>
      <c r="F225" s="403"/>
      <c r="G225" s="408"/>
      <c r="H225" s="546">
        <f t="shared" si="100"/>
        <v>0</v>
      </c>
      <c r="I225" s="420"/>
      <c r="J225" s="403"/>
      <c r="K225" s="460"/>
      <c r="L225" s="424">
        <f t="shared" si="101"/>
        <v>0</v>
      </c>
      <c r="M225" s="459"/>
      <c r="N225" s="460"/>
      <c r="O225" s="460"/>
      <c r="P225" s="460"/>
      <c r="Q225" s="407">
        <f>база!$L$6</f>
        <v>261.04640000000001</v>
      </c>
      <c r="R225" s="403">
        <v>1.4</v>
      </c>
      <c r="S225" s="408">
        <f>SUMIFS(Таблица14[часы],Таблица14[коэф],"1,4",Таблица14[р/р],"5/16",Таблица14[Ф. И. О.],B220)</f>
        <v>0</v>
      </c>
      <c r="T225" s="546">
        <f t="shared" si="102"/>
        <v>0</v>
      </c>
      <c r="U225" s="482">
        <f>база!$M$6</f>
        <v>279.0496</v>
      </c>
      <c r="V225" s="403">
        <v>1.4</v>
      </c>
      <c r="W225" s="527">
        <f>SUMIFS(Таблица14[часы],Таблица14[коэф],"1,4",Таблица14[р/р],"5/24",Таблица14[Ф. И. О.],B220)</f>
        <v>0</v>
      </c>
      <c r="X225" s="550">
        <f t="shared" si="103"/>
        <v>0</v>
      </c>
      <c r="Y225" s="765"/>
      <c r="Z225" s="767"/>
      <c r="AA225" s="757"/>
    </row>
    <row r="226" spans="1:29">
      <c r="A226" s="755">
        <v>21</v>
      </c>
      <c r="B226" s="235"/>
      <c r="C226" s="758">
        <f>INDEX(база!$E$2:$E$81, MATCH(B231,база!$B$2:$B$50,0))</f>
        <v>0</v>
      </c>
      <c r="D226" s="761">
        <f>INDEX(база!$D$2:$D$89, MATCH(B231,база!$B$2:$B$50,0))</f>
        <v>3</v>
      </c>
      <c r="E226" s="381">
        <f>IF(D226&lt;=3,база!$I$4,
IF(D226=4,база!$I$5,
IF(D226=5,база!$I$6)))</f>
        <v>188.7912</v>
      </c>
      <c r="F226" s="378">
        <v>1</v>
      </c>
      <c r="G226" s="387">
        <f>SUMIFS(Таблица14[часы],Таблица14[коэф],"1",Таблица14[р/р],"2/4",Таблица14[Ф. И. О.],B231)</f>
        <v>0</v>
      </c>
      <c r="H226" s="380">
        <f>ROUND(E226*F226*G226*2,2)</f>
        <v>0</v>
      </c>
      <c r="I226" s="377">
        <f>IF(D226&lt;=3,база!$J$4,
IF(D226=4,база!$J$5,
IF(D226=5,база!$J$6)))</f>
        <v>196.05240000000001</v>
      </c>
      <c r="J226" s="378">
        <v>1</v>
      </c>
      <c r="K226" s="428">
        <f>SUMIFS(Таблица14[часы],Таблица14[коэф],"1",Таблица14[р/р],"2/8",Таблица14[Ф. И. О.],B231)</f>
        <v>0</v>
      </c>
      <c r="L226" s="383">
        <f>ROUND(I226*J226*K226*2,2)</f>
        <v>0</v>
      </c>
      <c r="M226" s="426"/>
      <c r="N226" s="428">
        <v>1</v>
      </c>
      <c r="O226" s="428">
        <f>SUMIFS(Data_Tech!$AM$3:$AM$67,Data_Tech!$E$3:$E$67,"1",Data_Tech!$G$3:$G$67,"3/12",Data_Tech!$F$3:$F$67,B231)</f>
        <v>0</v>
      </c>
      <c r="P226" s="428">
        <f>ROUND(M226*N226*O226,2)</f>
        <v>0</v>
      </c>
      <c r="Q226" s="386">
        <f>IF(D226&lt;=3,база!$L$4,
IF(D226=4,база!$L$5,
IF(D226=5,база!$L$6)))</f>
        <v>210.57480000000001</v>
      </c>
      <c r="R226" s="378">
        <v>1</v>
      </c>
      <c r="S226" s="387">
        <f>SUMIFS(Таблица14[часы],Таблица14[коэф],"1",Таблица14[р/р],"3/16",Таблица14[Ф. И. О.],B231)</f>
        <v>0</v>
      </c>
      <c r="T226" s="548">
        <f>ROUND(Q226*R226*S226*2,2)</f>
        <v>0</v>
      </c>
      <c r="U226" s="471">
        <f>IF(D226&lt;=3,база!$M$4,
IF(D226=4,база!$M$5,
IF(D226=5,база!$M$6)))</f>
        <v>225.09719999999999</v>
      </c>
      <c r="V226" s="378">
        <v>1</v>
      </c>
      <c r="W226" s="430">
        <f>SUMIFS(Таблица14[часы],Таблица14[коэф],"1",Таблица14[р/р],"3/24",Таблица14[Ф. И. О.],B231)</f>
        <v>0</v>
      </c>
      <c r="X226" s="543">
        <f>ROUND(U226*V226*W226*2,2)</f>
        <v>0</v>
      </c>
      <c r="Y226" s="764">
        <f t="shared" ref="Y226" si="104">SUM(G226:G236,K226:K236,O226:O236,S226:S236,W226:W236)</f>
        <v>0</v>
      </c>
      <c r="Z226" s="766">
        <f t="shared" ref="Z226" si="105">IFERROR(SUM(H226:H236,L226:L236,T226:T236,X226:X236),"")</f>
        <v>0</v>
      </c>
      <c r="AA226" s="756"/>
    </row>
    <row r="227" spans="1:29">
      <c r="A227" s="756"/>
      <c r="B227" s="215"/>
      <c r="C227" s="759"/>
      <c r="D227" s="762"/>
      <c r="E227" s="393">
        <f>IF(D226&lt;=3,база!$I$4,
IF(D226=4,база!$I$5,
IF(D226=5,база!$I$6)))</f>
        <v>188.7912</v>
      </c>
      <c r="F227" s="390">
        <v>1</v>
      </c>
      <c r="G227" s="400">
        <f>SUMIFS(Таблица14[часы],Таблица14[коэф],"1",Таблица14[р/р],"3/4",Таблица14[Ф. И. О.],B231)</f>
        <v>0</v>
      </c>
      <c r="H227" s="542">
        <f t="shared" ref="H227:H236" si="106">ROUND(E227*F227*G227*2,2)</f>
        <v>0</v>
      </c>
      <c r="I227" s="389">
        <f>IF(D226&lt;=3,база!$J$4,
IF(D226=4,база!$J$5,
IF(D226=5,база!$J$6)))</f>
        <v>196.05240000000001</v>
      </c>
      <c r="J227" s="390">
        <v>1</v>
      </c>
      <c r="K227" s="434">
        <f>SUMIFS(Таблица14[часы],Таблица14[коэф],"1",Таблица14[р/р],"3/8",Таблица14[Ф. И. О.],B231)</f>
        <v>0</v>
      </c>
      <c r="L227" s="395">
        <f t="shared" ref="L227:L236" si="107">ROUND(I227*J227*K227*2,2)</f>
        <v>0</v>
      </c>
      <c r="M227" s="432"/>
      <c r="N227" s="434">
        <v>1</v>
      </c>
      <c r="O227" s="434">
        <f>SUMIFS(Data_Tech!$AM$3:$AM$67,Data_Tech!$E$3:$E$67,"1",Data_Tech!$G$3:$G$67,"4/12",Data_Tech!$F$3:$F$67,B231)</f>
        <v>0</v>
      </c>
      <c r="P227" s="434">
        <f>ROUND(M227*O227,2)</f>
        <v>0</v>
      </c>
      <c r="Q227" s="399">
        <f>база!$L$5</f>
        <v>231.45480000000001</v>
      </c>
      <c r="R227" s="390">
        <v>1</v>
      </c>
      <c r="S227" s="400">
        <f>SUMIFS(Таблица14[часы],Таблица14[коэф],"1",Таблица14[р/р],"4/16",Таблица14[Ф. И. О.],B231)</f>
        <v>0</v>
      </c>
      <c r="T227" s="544">
        <f t="shared" ref="T227:T236" si="108">ROUND(Q227*R227*S227*2,2)</f>
        <v>0</v>
      </c>
      <c r="U227" s="472">
        <f>база!$M$5</f>
        <v>247.41720000000001</v>
      </c>
      <c r="V227" s="390">
        <v>1</v>
      </c>
      <c r="W227" s="412">
        <f>SUMIFS(Таблица14[часы],Таблица14[коэф],"1",Таблица14[р/р],"4/24",Таблица14[Ф. И. О.],B231)</f>
        <v>0</v>
      </c>
      <c r="X227" s="545">
        <f t="shared" ref="X227:X236" si="109">ROUND(U227*V227*W227*2,2)</f>
        <v>0</v>
      </c>
      <c r="Y227" s="764"/>
      <c r="Z227" s="766"/>
      <c r="AA227" s="756"/>
    </row>
    <row r="228" spans="1:29">
      <c r="A228" s="756"/>
      <c r="B228" s="215"/>
      <c r="C228" s="759"/>
      <c r="D228" s="762"/>
      <c r="E228" s="393"/>
      <c r="F228" s="390"/>
      <c r="G228" s="400"/>
      <c r="H228" s="544">
        <f t="shared" si="106"/>
        <v>0</v>
      </c>
      <c r="I228" s="389"/>
      <c r="J228" s="390"/>
      <c r="K228" s="434"/>
      <c r="L228" s="395">
        <f t="shared" si="107"/>
        <v>0</v>
      </c>
      <c r="M228" s="432"/>
      <c r="N228" s="434"/>
      <c r="O228" s="434"/>
      <c r="P228" s="434"/>
      <c r="Q228" s="399">
        <f>база!$L$6</f>
        <v>261.04640000000001</v>
      </c>
      <c r="R228" s="390">
        <v>1</v>
      </c>
      <c r="S228" s="400">
        <f>SUMIFS(Таблица14[часы],Таблица14[коэф],"1",Таблица14[р/р],"5/16",Таблица14[Ф. И. О.],B231)</f>
        <v>0</v>
      </c>
      <c r="T228" s="544">
        <f t="shared" si="108"/>
        <v>0</v>
      </c>
      <c r="U228" s="472">
        <f>база!$M$6</f>
        <v>279.0496</v>
      </c>
      <c r="V228" s="390">
        <v>1</v>
      </c>
      <c r="W228" s="412">
        <f>SUMIFS(Таблица14[часы],Таблица14[коэф],"1",Таблица14[р/р],"5/24",Таблица14[Ф. И. О.],B231)</f>
        <v>0</v>
      </c>
      <c r="X228" s="545">
        <f t="shared" si="109"/>
        <v>0</v>
      </c>
      <c r="Y228" s="764"/>
      <c r="Z228" s="766"/>
      <c r="AA228" s="756"/>
    </row>
    <row r="229" spans="1:29">
      <c r="A229" s="756"/>
      <c r="B229" s="215"/>
      <c r="C229" s="759"/>
      <c r="D229" s="762"/>
      <c r="E229" s="393"/>
      <c r="F229" s="390"/>
      <c r="G229" s="400"/>
      <c r="H229" s="544">
        <f t="shared" si="106"/>
        <v>0</v>
      </c>
      <c r="I229" s="389">
        <f>база!$J$5</f>
        <v>215.4924</v>
      </c>
      <c r="J229" s="390">
        <v>1.5</v>
      </c>
      <c r="K229" s="434">
        <f>SUMIFS(Таблица14[часы],Таблица14[коэф],"1,5",Таблица14[р/р],"4/8",Таблица14[Ф. И. О.],B231)</f>
        <v>0</v>
      </c>
      <c r="L229" s="395">
        <f t="shared" si="107"/>
        <v>0</v>
      </c>
      <c r="M229" s="432"/>
      <c r="N229" s="434"/>
      <c r="O229" s="434"/>
      <c r="P229" s="434"/>
      <c r="Q229" s="399">
        <f>IF(D226&lt;=3,база!$L$4,
IF(D226=4,база!$L$5,
IF(D226=5,база!$L$6)))</f>
        <v>210.57480000000001</v>
      </c>
      <c r="R229" s="390">
        <v>1.2</v>
      </c>
      <c r="S229" s="400">
        <f>SUMIFS(Таблица14[часы],Таблица14[коэф],"1,2",Таблица14[р/р],"3/16",Таблица14[Ф. И. О.],B231)</f>
        <v>0</v>
      </c>
      <c r="T229" s="544">
        <f t="shared" si="108"/>
        <v>0</v>
      </c>
      <c r="U229" s="472">
        <f>IF(D226&lt;=3,база!$M$4,
IF(D226=4,база!$M$5,
IF(D226=5,база!$M$6)))</f>
        <v>225.09719999999999</v>
      </c>
      <c r="V229" s="390">
        <v>1.2</v>
      </c>
      <c r="W229" s="412">
        <f>SUMIFS(Таблица14[часы],Таблица14[коэф],"1,2",Таблица14[р/р],"3/24",Таблица14[Ф. И. О.],B231)</f>
        <v>0</v>
      </c>
      <c r="X229" s="545">
        <f t="shared" si="109"/>
        <v>0</v>
      </c>
      <c r="Y229" s="764"/>
      <c r="Z229" s="766"/>
      <c r="AA229" s="756"/>
    </row>
    <row r="230" spans="1:29">
      <c r="A230" s="756"/>
      <c r="B230" s="215"/>
      <c r="C230" s="759"/>
      <c r="D230" s="762"/>
      <c r="E230" s="393"/>
      <c r="F230" s="390"/>
      <c r="G230" s="400"/>
      <c r="H230" s="544">
        <f t="shared" si="106"/>
        <v>0</v>
      </c>
      <c r="I230" s="389">
        <f>база!$J$6</f>
        <v>243.04319999999998</v>
      </c>
      <c r="J230" s="390">
        <v>1.5</v>
      </c>
      <c r="K230" s="434">
        <f>SUMIFS(Таблица14[часы],Таблица14[коэф],"1,5",Таблица14[р/р],"5/8",Таблица14[Ф. И. О.],B231)</f>
        <v>0</v>
      </c>
      <c r="L230" s="395">
        <f t="shared" si="107"/>
        <v>0</v>
      </c>
      <c r="M230" s="432"/>
      <c r="N230" s="434"/>
      <c r="O230" s="434"/>
      <c r="P230" s="434"/>
      <c r="Q230" s="399">
        <f>база!$L$5</f>
        <v>231.45480000000001</v>
      </c>
      <c r="R230" s="390">
        <v>1.2</v>
      </c>
      <c r="S230" s="400">
        <f>SUMIFS(Таблица14[часы],Таблица14[коэф],"1,2",Таблица14[р/р],"4/16",Таблица14[Ф. И. О.],B231)</f>
        <v>0</v>
      </c>
      <c r="T230" s="544">
        <f t="shared" si="108"/>
        <v>0</v>
      </c>
      <c r="U230" s="472">
        <f>база!$M$5</f>
        <v>247.41720000000001</v>
      </c>
      <c r="V230" s="390">
        <v>1.2</v>
      </c>
      <c r="W230" s="412">
        <f>SUMIFS(Таблица14[часы],Таблица14[коэф],"1,2",Таблица14[р/р],"4/24",Таблица14[Ф. И. О.],B231)</f>
        <v>0</v>
      </c>
      <c r="X230" s="545">
        <f t="shared" si="109"/>
        <v>0</v>
      </c>
      <c r="Y230" s="764"/>
      <c r="Z230" s="766"/>
      <c r="AA230" s="756"/>
      <c r="AC230" s="752" t="str">
        <f>IF(SUMIFS(Таблица14[Столбец2],Таблица14[Ф. И. О.],B231)-Z226=0,"",SUMIFS(Таблица14[Столбец2],Таблица14[Ф. И. О.],B231)-Z226)</f>
        <v/>
      </c>
    </row>
    <row r="231" spans="1:29">
      <c r="A231" s="756"/>
      <c r="B231" s="215" t="str">
        <f>база!B22</f>
        <v>Ерошевич Дарья Александровна</v>
      </c>
      <c r="C231" s="759"/>
      <c r="D231" s="762"/>
      <c r="E231" s="393"/>
      <c r="F231" s="390"/>
      <c r="G231" s="400"/>
      <c r="H231" s="544">
        <f t="shared" si="106"/>
        <v>0</v>
      </c>
      <c r="I231" s="389"/>
      <c r="J231" s="390"/>
      <c r="K231" s="434"/>
      <c r="L231" s="395">
        <f t="shared" si="107"/>
        <v>0</v>
      </c>
      <c r="M231" s="432"/>
      <c r="N231" s="434"/>
      <c r="O231" s="434"/>
      <c r="P231" s="434"/>
      <c r="Q231" s="399">
        <f>база!$L$6</f>
        <v>261.04640000000001</v>
      </c>
      <c r="R231" s="390">
        <v>1.2</v>
      </c>
      <c r="S231" s="400">
        <f>SUMIFS(Таблица14[часы],Таблица14[коэф],"1,2",Таблица14[р/р],"5/16",Таблица14[Ф. И. О.],B231)</f>
        <v>0</v>
      </c>
      <c r="T231" s="544">
        <f t="shared" si="108"/>
        <v>0</v>
      </c>
      <c r="U231" s="472">
        <f>база!$M$6</f>
        <v>279.0496</v>
      </c>
      <c r="V231" s="390">
        <v>1.2</v>
      </c>
      <c r="W231" s="412">
        <f>SUMIFS(Таблица14[часы],Таблица14[коэф],"1,2",Таблица14[р/р],"5/24",Таблица14[Ф. И. О.],B231)</f>
        <v>0</v>
      </c>
      <c r="X231" s="545">
        <f t="shared" si="109"/>
        <v>0</v>
      </c>
      <c r="Y231" s="764"/>
      <c r="Z231" s="766"/>
      <c r="AA231" s="756"/>
      <c r="AC231" s="752" t="str">
        <f>IF(SUMIFS(Таблица14[часы],Таблица14[Ф. И. О.],B231)-Y226=0,"",SUMIFS(Таблица14[часы],Таблица14[Ф. И. О.],B231)-Y226)</f>
        <v/>
      </c>
    </row>
    <row r="232" spans="1:29">
      <c r="A232" s="756"/>
      <c r="B232" s="215"/>
      <c r="C232" s="759"/>
      <c r="D232" s="762"/>
      <c r="E232" s="393"/>
      <c r="F232" s="390"/>
      <c r="G232" s="400"/>
      <c r="H232" s="544">
        <f t="shared" si="106"/>
        <v>0</v>
      </c>
      <c r="I232" s="389"/>
      <c r="J232" s="390"/>
      <c r="K232" s="434"/>
      <c r="L232" s="395">
        <f t="shared" si="107"/>
        <v>0</v>
      </c>
      <c r="M232" s="432"/>
      <c r="N232" s="434"/>
      <c r="O232" s="434"/>
      <c r="P232" s="434"/>
      <c r="Q232" s="399">
        <f>IF(D226&lt;=3,база!$L$4,
IF(D226=4,база!$L$5,
IF(D226=5,база!$L$6)))</f>
        <v>210.57480000000001</v>
      </c>
      <c r="R232" s="390">
        <v>1.3</v>
      </c>
      <c r="S232" s="400">
        <f>SUMIFS(Таблица14[часы],Таблица14[коэф],"1,3",Таблица14[р/р],"3/16",Таблица14[Ф. И. О.],B231)</f>
        <v>0</v>
      </c>
      <c r="T232" s="544">
        <f t="shared" si="108"/>
        <v>0</v>
      </c>
      <c r="U232" s="472">
        <f>IF(D226&lt;=3,база!$M$4,
IF(D226=4,база!$M$5,
IF(D226=5,база!$M$6)))</f>
        <v>225.09719999999999</v>
      </c>
      <c r="V232" s="390">
        <v>1.3</v>
      </c>
      <c r="W232" s="412">
        <f>SUMIFS(Таблица14[часы],Таблица14[коэф],"1,3",Таблица14[р/р],"3/24",Таблица14[Ф. И. О.],B231)</f>
        <v>0</v>
      </c>
      <c r="X232" s="545">
        <f t="shared" si="109"/>
        <v>0</v>
      </c>
      <c r="Y232" s="764"/>
      <c r="Z232" s="766"/>
      <c r="AA232" s="756"/>
    </row>
    <row r="233" spans="1:29">
      <c r="A233" s="756"/>
      <c r="B233" s="215"/>
      <c r="C233" s="759"/>
      <c r="D233" s="762"/>
      <c r="E233" s="393"/>
      <c r="F233" s="390"/>
      <c r="G233" s="400"/>
      <c r="H233" s="544">
        <f t="shared" si="106"/>
        <v>0</v>
      </c>
      <c r="I233" s="389"/>
      <c r="J233" s="390"/>
      <c r="K233" s="434"/>
      <c r="L233" s="395">
        <f t="shared" si="107"/>
        <v>0</v>
      </c>
      <c r="M233" s="432"/>
      <c r="N233" s="434"/>
      <c r="O233" s="434"/>
      <c r="P233" s="434"/>
      <c r="Q233" s="399">
        <f>база!$L$5</f>
        <v>231.45480000000001</v>
      </c>
      <c r="R233" s="390">
        <v>1.3</v>
      </c>
      <c r="S233" s="400">
        <f>SUMIFS(Таблица14[часы],Таблица14[коэф],"1,3",Таблица14[р/р],"4/16",Таблица14[Ф. И. О.],B231)</f>
        <v>0</v>
      </c>
      <c r="T233" s="544">
        <f t="shared" si="108"/>
        <v>0</v>
      </c>
      <c r="U233" s="472">
        <f>база!$M$5</f>
        <v>247.41720000000001</v>
      </c>
      <c r="V233" s="390">
        <v>1.3</v>
      </c>
      <c r="W233" s="412">
        <f>SUMIFS(Таблица14[часы],Таблица14[коэф],"1,3",Таблица14[р/р],"4/24",Таблица14[Ф. И. О.],B231)</f>
        <v>0</v>
      </c>
      <c r="X233" s="545">
        <f t="shared" si="109"/>
        <v>0</v>
      </c>
      <c r="Y233" s="764"/>
      <c r="Z233" s="766"/>
      <c r="AA233" s="756"/>
    </row>
    <row r="234" spans="1:29">
      <c r="A234" s="756"/>
      <c r="B234" s="215"/>
      <c r="C234" s="759"/>
      <c r="D234" s="762"/>
      <c r="E234" s="393"/>
      <c r="F234" s="390"/>
      <c r="G234" s="400"/>
      <c r="H234" s="544">
        <f t="shared" si="106"/>
        <v>0</v>
      </c>
      <c r="I234" s="389"/>
      <c r="J234" s="390"/>
      <c r="K234" s="434"/>
      <c r="L234" s="395">
        <f t="shared" si="107"/>
        <v>0</v>
      </c>
      <c r="M234" s="432"/>
      <c r="N234" s="434"/>
      <c r="O234" s="434"/>
      <c r="P234" s="434"/>
      <c r="Q234" s="399">
        <f>IF(D226&lt;=3,база!$L$4,
IF(D226=4,база!$L$5,
IF(D226=5,база!$L$6)))</f>
        <v>210.57480000000001</v>
      </c>
      <c r="R234" s="390">
        <v>1.4</v>
      </c>
      <c r="S234" s="400">
        <f>SUMIFS(Таблица14[часы],Таблица14[коэф],"1,4",Таблица14[р/р],"3/16",Таблица14[Ф. И. О.],B231)</f>
        <v>0</v>
      </c>
      <c r="T234" s="544">
        <f t="shared" si="108"/>
        <v>0</v>
      </c>
      <c r="U234" s="472">
        <f>IF(D226&lt;=3,база!$M$4,
IF(D226=4,база!$M$5,
IF(D226=5,база!$M$6)))</f>
        <v>225.09719999999999</v>
      </c>
      <c r="V234" s="390">
        <v>1.4</v>
      </c>
      <c r="W234" s="412">
        <f>SUMIFS(Таблица14[часы],Таблица14[коэф],"1,4",Таблица14[р/р],"3/24",Таблица14[Ф. И. О.],B231)</f>
        <v>0</v>
      </c>
      <c r="X234" s="545">
        <f t="shared" si="109"/>
        <v>0</v>
      </c>
      <c r="Y234" s="764"/>
      <c r="Z234" s="766"/>
      <c r="AA234" s="756"/>
    </row>
    <row r="235" spans="1:29">
      <c r="A235" s="756"/>
      <c r="B235" s="215"/>
      <c r="C235" s="759"/>
      <c r="D235" s="762"/>
      <c r="E235" s="393"/>
      <c r="F235" s="390"/>
      <c r="G235" s="400"/>
      <c r="H235" s="544">
        <f t="shared" si="106"/>
        <v>0</v>
      </c>
      <c r="I235" s="389"/>
      <c r="J235" s="390"/>
      <c r="K235" s="434"/>
      <c r="L235" s="395">
        <f t="shared" si="107"/>
        <v>0</v>
      </c>
      <c r="M235" s="432"/>
      <c r="N235" s="434"/>
      <c r="O235" s="434"/>
      <c r="P235" s="434"/>
      <c r="Q235" s="399">
        <f>база!$L$5</f>
        <v>231.45480000000001</v>
      </c>
      <c r="R235" s="390">
        <v>1.4</v>
      </c>
      <c r="S235" s="400">
        <f>SUMIFS(Таблица14[часы],Таблица14[коэф],"1,4",Таблица14[р/р],"4/16",Таблица14[Ф. И. О.],B231)</f>
        <v>0</v>
      </c>
      <c r="T235" s="544">
        <f t="shared" si="108"/>
        <v>0</v>
      </c>
      <c r="U235" s="472">
        <f>база!$M$5</f>
        <v>247.41720000000001</v>
      </c>
      <c r="V235" s="390">
        <v>1.4</v>
      </c>
      <c r="W235" s="412">
        <f>SUMIFS(Таблица14[часы],Таблица14[коэф],"1,4",Таблица14[р/р],"4/24",Таблица14[Ф. И. О.],B231)</f>
        <v>0</v>
      </c>
      <c r="X235" s="545">
        <f t="shared" si="109"/>
        <v>0</v>
      </c>
      <c r="Y235" s="764"/>
      <c r="Z235" s="766"/>
      <c r="AA235" s="756"/>
    </row>
    <row r="236" spans="1:29" ht="21" thickBot="1">
      <c r="A236" s="757"/>
      <c r="B236" s="202"/>
      <c r="C236" s="760"/>
      <c r="D236" s="763"/>
      <c r="E236" s="463"/>
      <c r="F236" s="464"/>
      <c r="G236" s="465"/>
      <c r="H236" s="549">
        <f t="shared" si="106"/>
        <v>0</v>
      </c>
      <c r="I236" s="473"/>
      <c r="J236" s="464"/>
      <c r="K236" s="457"/>
      <c r="L236" s="458">
        <f t="shared" si="107"/>
        <v>0</v>
      </c>
      <c r="M236" s="466"/>
      <c r="N236" s="457"/>
      <c r="O236" s="457"/>
      <c r="P236" s="457"/>
      <c r="Q236" s="467">
        <f>база!$L$6</f>
        <v>261.04640000000001</v>
      </c>
      <c r="R236" s="464">
        <v>1.4</v>
      </c>
      <c r="S236" s="465">
        <f>SUMIFS(Таблица14[часы],Таблица14[коэф],"1,4",Таблица14[р/р],"5/16",Таблица14[Ф. И. О.],B231)</f>
        <v>0</v>
      </c>
      <c r="T236" s="549">
        <f t="shared" si="108"/>
        <v>0</v>
      </c>
      <c r="U236" s="474">
        <f>база!$M$6</f>
        <v>279.0496</v>
      </c>
      <c r="V236" s="464">
        <v>1.4</v>
      </c>
      <c r="W236" s="470">
        <f>SUMIFS(Таблица14[часы],Таблица14[коэф],"1,4",Таблица14[р/р],"5/24",Таблица14[Ф. И. О.],B231)</f>
        <v>0</v>
      </c>
      <c r="X236" s="547">
        <f t="shared" si="109"/>
        <v>0</v>
      </c>
      <c r="Y236" s="765"/>
      <c r="Z236" s="767"/>
      <c r="AA236" s="757"/>
    </row>
    <row r="237" spans="1:29">
      <c r="A237" s="755">
        <v>22</v>
      </c>
      <c r="B237" s="235"/>
      <c r="C237" s="758">
        <f>INDEX(база!$E$2:$E$81, MATCH(B242,база!$B$2:$B$50,0))</f>
        <v>15340</v>
      </c>
      <c r="D237" s="761">
        <f>INDEX(база!$D$2:$D$89, MATCH(B242,база!$B$2:$B$50,0))</f>
        <v>3</v>
      </c>
      <c r="E237" s="381">
        <f>IF(D237&lt;=3,база!$I$4,
IF(D237=4,база!$I$5,
IF(D237=5,база!$I$6)))</f>
        <v>188.7912</v>
      </c>
      <c r="F237" s="378">
        <v>1</v>
      </c>
      <c r="G237" s="387">
        <f>SUMIFS(Таблица14[часы],Таблица14[коэф],"1",Таблица14[р/р],"2/4",Таблица14[Ф. И. О.],B242)</f>
        <v>0</v>
      </c>
      <c r="H237" s="380">
        <f>ROUND(E237*F237*G237*2,2)</f>
        <v>0</v>
      </c>
      <c r="I237" s="377">
        <f>IF(D237&lt;=3,база!$J$4,
IF(D237=4,база!$J$5,
IF(D237=5,база!$J$6)))</f>
        <v>196.05240000000001</v>
      </c>
      <c r="J237" s="378">
        <v>1</v>
      </c>
      <c r="K237" s="428">
        <f>SUMIFS(Таблица14[часы],Таблица14[коэф],"1",Таблица14[р/р],"2/8",Таблица14[Ф. И. О.],B242)</f>
        <v>0</v>
      </c>
      <c r="L237" s="383">
        <f>ROUND(I237*J237*K237*2,2)</f>
        <v>0</v>
      </c>
      <c r="M237" s="426"/>
      <c r="N237" s="428">
        <v>1</v>
      </c>
      <c r="O237" s="428">
        <f>SUMIFS(Data_Tech!$AM$3:$AM$67,Data_Tech!$E$3:$E$67,"1",Data_Tech!$G$3:$G$67,"3/12",Data_Tech!$F$3:$F$67,B242)</f>
        <v>0</v>
      </c>
      <c r="P237" s="428">
        <f>ROUND(M237*N237*O237,2)</f>
        <v>0</v>
      </c>
      <c r="Q237" s="386">
        <f>IF(D237&lt;=3,база!$L$4,
IF(D237=4,база!$L$5,
IF(D237=5,база!$L$6)))</f>
        <v>210.57480000000001</v>
      </c>
      <c r="R237" s="378">
        <v>1</v>
      </c>
      <c r="S237" s="387">
        <f>SUMIFS(Таблица14[часы],Таблица14[коэф],"1",Таблица14[р/р],"3/16",Таблица14[Ф. И. О.],B242)</f>
        <v>0</v>
      </c>
      <c r="T237" s="548">
        <f>ROUND(Q237*R237*S237*2,2)</f>
        <v>0</v>
      </c>
      <c r="U237" s="471">
        <f>IF(D237&lt;=3,база!$M$4,
IF(D237=4,база!$M$5,
IF(D237=5,база!$M$6)))</f>
        <v>225.09719999999999</v>
      </c>
      <c r="V237" s="378">
        <v>1</v>
      </c>
      <c r="W237" s="430">
        <f>SUMIFS(Таблица14[часы],Таблица14[коэф],"1",Таблица14[р/р],"3/24",Таблица14[Ф. И. О.],B242)</f>
        <v>0</v>
      </c>
      <c r="X237" s="543">
        <f>ROUND(U237*V237*W237*2,2)</f>
        <v>0</v>
      </c>
      <c r="Y237" s="764">
        <f t="shared" ref="Y237" si="110">SUM(G237:G247,K237:K247,O237:O247,S237:S247,W237:W247)</f>
        <v>0</v>
      </c>
      <c r="Z237" s="766">
        <f t="shared" ref="Z237" si="111">IFERROR(SUM(H237:H247,L237:L247,T237:T247,X237:X247),"")</f>
        <v>0</v>
      </c>
      <c r="AA237" s="756"/>
    </row>
    <row r="238" spans="1:29">
      <c r="A238" s="756"/>
      <c r="B238" s="215"/>
      <c r="C238" s="759"/>
      <c r="D238" s="762"/>
      <c r="E238" s="393">
        <f>IF(D237&lt;=3,база!$I$4,
IF(D237=4,база!$I$5,
IF(D237=5,база!$I$6)))</f>
        <v>188.7912</v>
      </c>
      <c r="F238" s="390">
        <v>1</v>
      </c>
      <c r="G238" s="400">
        <f>SUMIFS(Таблица14[часы],Таблица14[коэф],"1",Таблица14[р/р],"3/4",Таблица14[Ф. И. О.],B242)</f>
        <v>0</v>
      </c>
      <c r="H238" s="542">
        <f t="shared" ref="H238:H247" si="112">ROUND(E238*F238*G238*2,2)</f>
        <v>0</v>
      </c>
      <c r="I238" s="389">
        <f>IF(D237&lt;=3,база!$J$4,
IF(D237=4,база!$J$5,
IF(D237=5,база!$J$6)))</f>
        <v>196.05240000000001</v>
      </c>
      <c r="J238" s="390">
        <v>1</v>
      </c>
      <c r="K238" s="434">
        <f>SUMIFS(Таблица14[часы],Таблица14[коэф],"1",Таблица14[р/р],"3/8",Таблица14[Ф. И. О.],B242)</f>
        <v>0</v>
      </c>
      <c r="L238" s="395">
        <f t="shared" ref="L238:L247" si="113">ROUND(I238*J238*K238*2,2)</f>
        <v>0</v>
      </c>
      <c r="M238" s="432"/>
      <c r="N238" s="434">
        <v>1</v>
      </c>
      <c r="O238" s="434">
        <f>SUMIFS(Data_Tech!$AM$3:$AM$67,Data_Tech!$E$3:$E$67,"1",Data_Tech!$G$3:$G$67,"4/12",Data_Tech!$F$3:$F$67,B242)</f>
        <v>0</v>
      </c>
      <c r="P238" s="434">
        <f>ROUND(M238*O238,2)</f>
        <v>0</v>
      </c>
      <c r="Q238" s="399">
        <f>база!$L$5</f>
        <v>231.45480000000001</v>
      </c>
      <c r="R238" s="390">
        <v>1</v>
      </c>
      <c r="S238" s="400">
        <f>SUMIFS(Таблица14[часы],Таблица14[коэф],"1",Таблица14[р/р],"4/16",Таблица14[Ф. И. О.],B242)</f>
        <v>0</v>
      </c>
      <c r="T238" s="544">
        <f t="shared" ref="T238:T247" si="114">ROUND(Q238*R238*S238*2,2)</f>
        <v>0</v>
      </c>
      <c r="U238" s="472">
        <f>база!$M$5</f>
        <v>247.41720000000001</v>
      </c>
      <c r="V238" s="390">
        <v>1</v>
      </c>
      <c r="W238" s="412">
        <f>SUMIFS(Таблица14[часы],Таблица14[коэф],"1",Таблица14[р/р],"4/24",Таблица14[Ф. И. О.],B242)</f>
        <v>0</v>
      </c>
      <c r="X238" s="545">
        <f t="shared" ref="X238:X247" si="115">ROUND(U238*V238*W238*2,2)</f>
        <v>0</v>
      </c>
      <c r="Y238" s="764"/>
      <c r="Z238" s="766"/>
      <c r="AA238" s="756"/>
    </row>
    <row r="239" spans="1:29">
      <c r="A239" s="756"/>
      <c r="B239" s="215"/>
      <c r="C239" s="759"/>
      <c r="D239" s="762"/>
      <c r="E239" s="393"/>
      <c r="F239" s="390"/>
      <c r="G239" s="400"/>
      <c r="H239" s="544">
        <f t="shared" si="112"/>
        <v>0</v>
      </c>
      <c r="I239" s="389"/>
      <c r="J239" s="390"/>
      <c r="K239" s="434"/>
      <c r="L239" s="395">
        <f t="shared" si="113"/>
        <v>0</v>
      </c>
      <c r="M239" s="432"/>
      <c r="N239" s="434"/>
      <c r="O239" s="434"/>
      <c r="P239" s="434"/>
      <c r="Q239" s="399">
        <f>база!$L$6</f>
        <v>261.04640000000001</v>
      </c>
      <c r="R239" s="390">
        <v>1</v>
      </c>
      <c r="S239" s="400">
        <f>SUMIFS(Таблица14[часы],Таблица14[коэф],"1",Таблица14[р/р],"5/16",Таблица14[Ф. И. О.],B242)</f>
        <v>0</v>
      </c>
      <c r="T239" s="544">
        <f t="shared" si="114"/>
        <v>0</v>
      </c>
      <c r="U239" s="472">
        <f>база!$M$6</f>
        <v>279.0496</v>
      </c>
      <c r="V239" s="390">
        <v>1</v>
      </c>
      <c r="W239" s="412">
        <f>SUMIFS(Таблица14[часы],Таблица14[коэф],"1",Таблица14[р/р],"5/24",Таблица14[Ф. И. О.],B242)</f>
        <v>0</v>
      </c>
      <c r="X239" s="545">
        <f t="shared" si="115"/>
        <v>0</v>
      </c>
      <c r="Y239" s="764"/>
      <c r="Z239" s="766"/>
      <c r="AA239" s="756"/>
    </row>
    <row r="240" spans="1:29">
      <c r="A240" s="756"/>
      <c r="B240" s="215"/>
      <c r="C240" s="759"/>
      <c r="D240" s="762"/>
      <c r="E240" s="393"/>
      <c r="F240" s="390"/>
      <c r="G240" s="400"/>
      <c r="H240" s="544">
        <f t="shared" si="112"/>
        <v>0</v>
      </c>
      <c r="I240" s="389">
        <f>база!$J$5</f>
        <v>215.4924</v>
      </c>
      <c r="J240" s="390">
        <v>1.5</v>
      </c>
      <c r="K240" s="434">
        <f>SUMIFS(Таблица14[часы],Таблица14[коэф],"1,5",Таблица14[р/р],"4/8",Таблица14[Ф. И. О.],B242)</f>
        <v>0</v>
      </c>
      <c r="L240" s="395">
        <f t="shared" si="113"/>
        <v>0</v>
      </c>
      <c r="M240" s="432"/>
      <c r="N240" s="434"/>
      <c r="O240" s="434"/>
      <c r="P240" s="434"/>
      <c r="Q240" s="399">
        <f>IF(D237&lt;=3,база!$L$4,
IF(D237=4,база!$L$5,
IF(D237=5,база!$L$6)))</f>
        <v>210.57480000000001</v>
      </c>
      <c r="R240" s="390">
        <v>1.2</v>
      </c>
      <c r="S240" s="400">
        <f>SUMIFS(Таблица14[часы],Таблица14[коэф],"1,2",Таблица14[р/р],"3/16",Таблица14[Ф. И. О.],B242)</f>
        <v>0</v>
      </c>
      <c r="T240" s="544">
        <f t="shared" si="114"/>
        <v>0</v>
      </c>
      <c r="U240" s="472">
        <f>IF(D237&lt;=3,база!$M$4,
IF(D237=4,база!$M$5,
IF(D237=5,база!$M$6)))</f>
        <v>225.09719999999999</v>
      </c>
      <c r="V240" s="390">
        <v>1.2</v>
      </c>
      <c r="W240" s="412">
        <f>SUMIFS(Таблица14[часы],Таблица14[коэф],"1,2",Таблица14[р/р],"3/24",Таблица14[Ф. И. О.],B242)</f>
        <v>0</v>
      </c>
      <c r="X240" s="545">
        <f t="shared" si="115"/>
        <v>0</v>
      </c>
      <c r="Y240" s="764"/>
      <c r="Z240" s="766"/>
      <c r="AA240" s="756"/>
    </row>
    <row r="241" spans="1:29">
      <c r="A241" s="756"/>
      <c r="B241" s="215"/>
      <c r="C241" s="759"/>
      <c r="D241" s="762"/>
      <c r="E241" s="393"/>
      <c r="F241" s="390"/>
      <c r="G241" s="400"/>
      <c r="H241" s="544">
        <f t="shared" si="112"/>
        <v>0</v>
      </c>
      <c r="I241" s="389">
        <f>база!$J$6</f>
        <v>243.04319999999998</v>
      </c>
      <c r="J241" s="390">
        <v>1.5</v>
      </c>
      <c r="K241" s="434">
        <f>SUMIFS(Таблица14[часы],Таблица14[коэф],"1,5",Таблица14[р/р],"5/8",Таблица14[Ф. И. О.],B242)</f>
        <v>0</v>
      </c>
      <c r="L241" s="395">
        <f t="shared" si="113"/>
        <v>0</v>
      </c>
      <c r="M241" s="432"/>
      <c r="N241" s="434"/>
      <c r="O241" s="434"/>
      <c r="P241" s="434"/>
      <c r="Q241" s="399">
        <f>база!$L$5</f>
        <v>231.45480000000001</v>
      </c>
      <c r="R241" s="390">
        <v>1.2</v>
      </c>
      <c r="S241" s="400">
        <f>SUMIFS(Таблица14[часы],Таблица14[коэф],"1,2",Таблица14[р/р],"4/16",Таблица14[Ф. И. О.],B242)</f>
        <v>0</v>
      </c>
      <c r="T241" s="544">
        <f t="shared" si="114"/>
        <v>0</v>
      </c>
      <c r="U241" s="472">
        <f>база!$M$5</f>
        <v>247.41720000000001</v>
      </c>
      <c r="V241" s="390">
        <v>1.2</v>
      </c>
      <c r="W241" s="412">
        <f>SUMIFS(Таблица14[часы],Таблица14[коэф],"1,2",Таблица14[р/р],"4/24",Таблица14[Ф. И. О.],B242)</f>
        <v>0</v>
      </c>
      <c r="X241" s="545">
        <f t="shared" si="115"/>
        <v>0</v>
      </c>
      <c r="Y241" s="764"/>
      <c r="Z241" s="766"/>
      <c r="AA241" s="756"/>
    </row>
    <row r="242" spans="1:29">
      <c r="A242" s="756"/>
      <c r="B242" s="215" t="str">
        <f>база!B23</f>
        <v>Ерошина Ирина Павловна</v>
      </c>
      <c r="C242" s="759"/>
      <c r="D242" s="762"/>
      <c r="E242" s="393"/>
      <c r="F242" s="390"/>
      <c r="G242" s="400"/>
      <c r="H242" s="544">
        <f t="shared" si="112"/>
        <v>0</v>
      </c>
      <c r="I242" s="389"/>
      <c r="J242" s="390"/>
      <c r="K242" s="434"/>
      <c r="L242" s="395">
        <f t="shared" si="113"/>
        <v>0</v>
      </c>
      <c r="M242" s="432"/>
      <c r="N242" s="434"/>
      <c r="O242" s="434"/>
      <c r="P242" s="434"/>
      <c r="Q242" s="399">
        <f>база!$L$6</f>
        <v>261.04640000000001</v>
      </c>
      <c r="R242" s="390">
        <v>1.2</v>
      </c>
      <c r="S242" s="400">
        <f>SUMIFS(Таблица14[часы],Таблица14[коэф],"1,2",Таблица14[р/р],"5/16",Таблица14[Ф. И. О.],B242)</f>
        <v>0</v>
      </c>
      <c r="T242" s="544">
        <f t="shared" si="114"/>
        <v>0</v>
      </c>
      <c r="U242" s="472">
        <f>база!$M$6</f>
        <v>279.0496</v>
      </c>
      <c r="V242" s="390">
        <v>1.2</v>
      </c>
      <c r="W242" s="412">
        <f>SUMIFS(Таблица14[часы],Таблица14[коэф],"1,2",Таблица14[р/р],"5/24",Таблица14[Ф. И. О.],B242)</f>
        <v>0</v>
      </c>
      <c r="X242" s="545">
        <f t="shared" si="115"/>
        <v>0</v>
      </c>
      <c r="Y242" s="764"/>
      <c r="Z242" s="766"/>
      <c r="AA242" s="756"/>
      <c r="AC242" s="752" t="str">
        <f>IF(SUMIFS(Таблица14[Столбец2],Таблица14[Ф. И. О.],B242)-Z237=0,"",SUMIFS(Таблица14[Столбец2],Таблица14[Ф. И. О.],B242)-Z237)</f>
        <v/>
      </c>
    </row>
    <row r="243" spans="1:29">
      <c r="A243" s="756"/>
      <c r="B243" s="215"/>
      <c r="C243" s="759"/>
      <c r="D243" s="762"/>
      <c r="E243" s="393"/>
      <c r="F243" s="390"/>
      <c r="G243" s="400"/>
      <c r="H243" s="544">
        <f t="shared" si="112"/>
        <v>0</v>
      </c>
      <c r="I243" s="389"/>
      <c r="J243" s="390"/>
      <c r="K243" s="434"/>
      <c r="L243" s="395">
        <f t="shared" si="113"/>
        <v>0</v>
      </c>
      <c r="M243" s="432"/>
      <c r="N243" s="434"/>
      <c r="O243" s="434"/>
      <c r="P243" s="434"/>
      <c r="Q243" s="399">
        <f>IF(D237&lt;=3,база!$L$4,
IF(D237=4,база!$L$5,
IF(D237=5,база!$L$6)))</f>
        <v>210.57480000000001</v>
      </c>
      <c r="R243" s="390">
        <v>1.3</v>
      </c>
      <c r="S243" s="400">
        <f>SUMIFS(Таблица14[часы],Таблица14[коэф],"1,3",Таблица14[р/р],"3/16",Таблица14[Ф. И. О.],B242)</f>
        <v>0</v>
      </c>
      <c r="T243" s="544">
        <f t="shared" si="114"/>
        <v>0</v>
      </c>
      <c r="U243" s="472">
        <f>IF(D237&lt;=3,база!$M$4,
IF(D237=4,база!$M$5,
IF(D237=5,база!$M$6)))</f>
        <v>225.09719999999999</v>
      </c>
      <c r="V243" s="390">
        <v>1.3</v>
      </c>
      <c r="W243" s="412">
        <f>SUMIFS(Таблица14[часы],Таблица14[коэф],"1,3",Таблица14[р/р],"3/24",Таблица14[Ф. И. О.],B242)</f>
        <v>0</v>
      </c>
      <c r="X243" s="545">
        <f t="shared" si="115"/>
        <v>0</v>
      </c>
      <c r="Y243" s="764"/>
      <c r="Z243" s="766"/>
      <c r="AA243" s="756"/>
      <c r="AC243" s="752" t="str">
        <f>IF(SUMIFS(Таблица14[часы],Таблица14[Ф. И. О.],B242)-Y237=0,"",SUMIFS(Таблица14[часы],Таблица14[Ф. И. О.],B242)-Y237)</f>
        <v/>
      </c>
    </row>
    <row r="244" spans="1:29">
      <c r="A244" s="756"/>
      <c r="B244" s="215"/>
      <c r="C244" s="759"/>
      <c r="D244" s="762"/>
      <c r="E244" s="393"/>
      <c r="F244" s="390"/>
      <c r="G244" s="400"/>
      <c r="H244" s="544">
        <f t="shared" si="112"/>
        <v>0</v>
      </c>
      <c r="I244" s="389"/>
      <c r="J244" s="390"/>
      <c r="K244" s="434"/>
      <c r="L244" s="395">
        <f t="shared" si="113"/>
        <v>0</v>
      </c>
      <c r="M244" s="432"/>
      <c r="N244" s="434"/>
      <c r="O244" s="434"/>
      <c r="P244" s="434"/>
      <c r="Q244" s="399">
        <f>база!$L$5</f>
        <v>231.45480000000001</v>
      </c>
      <c r="R244" s="390">
        <v>1.3</v>
      </c>
      <c r="S244" s="400">
        <f>SUMIFS(Таблица14[часы],Таблица14[коэф],"1,3",Таблица14[р/р],"4/16",Таблица14[Ф. И. О.],B242)</f>
        <v>0</v>
      </c>
      <c r="T244" s="544">
        <f t="shared" si="114"/>
        <v>0</v>
      </c>
      <c r="U244" s="472">
        <f>база!$M$5</f>
        <v>247.41720000000001</v>
      </c>
      <c r="V244" s="390">
        <v>1.3</v>
      </c>
      <c r="W244" s="412">
        <f>SUMIFS(Таблица14[часы],Таблица14[коэф],"1,3",Таблица14[р/р],"4/24",Таблица14[Ф. И. О.],B242)</f>
        <v>0</v>
      </c>
      <c r="X244" s="545">
        <f t="shared" si="115"/>
        <v>0</v>
      </c>
      <c r="Y244" s="764"/>
      <c r="Z244" s="766"/>
      <c r="AA244" s="756"/>
    </row>
    <row r="245" spans="1:29">
      <c r="A245" s="756"/>
      <c r="B245" s="215"/>
      <c r="C245" s="759"/>
      <c r="D245" s="762"/>
      <c r="E245" s="393"/>
      <c r="F245" s="390"/>
      <c r="G245" s="400"/>
      <c r="H245" s="544">
        <f t="shared" si="112"/>
        <v>0</v>
      </c>
      <c r="I245" s="389"/>
      <c r="J245" s="390"/>
      <c r="K245" s="434"/>
      <c r="L245" s="395">
        <f t="shared" si="113"/>
        <v>0</v>
      </c>
      <c r="M245" s="432"/>
      <c r="N245" s="434"/>
      <c r="O245" s="434"/>
      <c r="P245" s="434"/>
      <c r="Q245" s="399">
        <f>IF(D237&lt;=3,база!$L$4,
IF(D237=4,база!$L$5,
IF(D237=5,база!$L$6)))</f>
        <v>210.57480000000001</v>
      </c>
      <c r="R245" s="390">
        <v>1.4</v>
      </c>
      <c r="S245" s="400">
        <f>SUMIFS(Таблица14[часы],Таблица14[коэф],"1,4",Таблица14[р/р],"3/16",Таблица14[Ф. И. О.],B242)</f>
        <v>0</v>
      </c>
      <c r="T245" s="544">
        <f t="shared" si="114"/>
        <v>0</v>
      </c>
      <c r="U245" s="472">
        <f>IF(D237&lt;=3,база!$M$4,
IF(D237=4,база!$M$5,
IF(D237=5,база!$M$6)))</f>
        <v>225.09719999999999</v>
      </c>
      <c r="V245" s="390">
        <v>1.4</v>
      </c>
      <c r="W245" s="412">
        <f>SUMIFS(Таблица14[часы],Таблица14[коэф],"1,4",Таблица14[р/р],"3/24",Таблица14[Ф. И. О.],B242)</f>
        <v>0</v>
      </c>
      <c r="X245" s="545">
        <f t="shared" si="115"/>
        <v>0</v>
      </c>
      <c r="Y245" s="764"/>
      <c r="Z245" s="766"/>
      <c r="AA245" s="756"/>
    </row>
    <row r="246" spans="1:29">
      <c r="A246" s="756"/>
      <c r="B246" s="215"/>
      <c r="C246" s="759"/>
      <c r="D246" s="762"/>
      <c r="E246" s="393"/>
      <c r="F246" s="390"/>
      <c r="G246" s="400"/>
      <c r="H246" s="544">
        <f t="shared" si="112"/>
        <v>0</v>
      </c>
      <c r="I246" s="389"/>
      <c r="J246" s="390"/>
      <c r="K246" s="434"/>
      <c r="L246" s="395">
        <f t="shared" si="113"/>
        <v>0</v>
      </c>
      <c r="M246" s="432"/>
      <c r="N246" s="434"/>
      <c r="O246" s="434"/>
      <c r="P246" s="434"/>
      <c r="Q246" s="399">
        <f>база!$L$5</f>
        <v>231.45480000000001</v>
      </c>
      <c r="R246" s="390">
        <v>1.4</v>
      </c>
      <c r="S246" s="400">
        <f>SUMIFS(Таблица14[часы],Таблица14[коэф],"1,4",Таблица14[р/р],"4/16",Таблица14[Ф. И. О.],B242)</f>
        <v>0</v>
      </c>
      <c r="T246" s="544">
        <f t="shared" si="114"/>
        <v>0</v>
      </c>
      <c r="U246" s="472">
        <f>база!$M$5</f>
        <v>247.41720000000001</v>
      </c>
      <c r="V246" s="390">
        <v>1.4</v>
      </c>
      <c r="W246" s="412">
        <f>SUMIFS(Таблица14[часы],Таблица14[коэф],"1,4",Таблица14[р/р],"4/24",Таблица14[Ф. И. О.],B242)</f>
        <v>0</v>
      </c>
      <c r="X246" s="545">
        <f t="shared" si="115"/>
        <v>0</v>
      </c>
      <c r="Y246" s="764"/>
      <c r="Z246" s="766"/>
      <c r="AA246" s="756"/>
    </row>
    <row r="247" spans="1:29" ht="21" thickBot="1">
      <c r="A247" s="757"/>
      <c r="B247" s="202"/>
      <c r="C247" s="760"/>
      <c r="D247" s="763"/>
      <c r="E247" s="463"/>
      <c r="F247" s="464"/>
      <c r="G247" s="465"/>
      <c r="H247" s="549">
        <f t="shared" si="112"/>
        <v>0</v>
      </c>
      <c r="I247" s="473"/>
      <c r="J247" s="464"/>
      <c r="K247" s="457"/>
      <c r="L247" s="458">
        <f t="shared" si="113"/>
        <v>0</v>
      </c>
      <c r="M247" s="466"/>
      <c r="N247" s="457"/>
      <c r="O247" s="457"/>
      <c r="P247" s="457"/>
      <c r="Q247" s="467">
        <f>база!$L$6</f>
        <v>261.04640000000001</v>
      </c>
      <c r="R247" s="464">
        <v>1.4</v>
      </c>
      <c r="S247" s="465">
        <f>SUMIFS(Таблица14[часы],Таблица14[коэф],"1,4",Таблица14[р/р],"5/16",Таблица14[Ф. И. О.],B242)</f>
        <v>0</v>
      </c>
      <c r="T247" s="549">
        <f t="shared" si="114"/>
        <v>0</v>
      </c>
      <c r="U247" s="474">
        <f>база!$M$6</f>
        <v>279.0496</v>
      </c>
      <c r="V247" s="464">
        <v>1.4</v>
      </c>
      <c r="W247" s="470">
        <f>SUMIFS(Таблица14[часы],Таблица14[коэф],"1,4",Таблица14[р/р],"5/24",Таблица14[Ф. И. О.],B242)</f>
        <v>0</v>
      </c>
      <c r="X247" s="547">
        <f t="shared" si="115"/>
        <v>0</v>
      </c>
      <c r="Y247" s="765"/>
      <c r="Z247" s="767"/>
      <c r="AA247" s="757"/>
    </row>
    <row r="248" spans="1:29">
      <c r="A248" s="755">
        <v>23</v>
      </c>
      <c r="B248" s="235"/>
      <c r="C248" s="758">
        <f>INDEX(база!$E$2:$E$81, MATCH(B253,база!$B$2:$B$50,0))</f>
        <v>17309</v>
      </c>
      <c r="D248" s="761">
        <f>INDEX(база!$D$2:$D$89, MATCH(B253,база!$B$2:$B$50,0))</f>
        <v>3</v>
      </c>
      <c r="E248" s="381">
        <f>IF(D248&lt;=3,база!$I$4,
IF(D248=4,база!$I$5,
IF(D248=5,база!$I$6)))</f>
        <v>188.7912</v>
      </c>
      <c r="F248" s="378">
        <v>1</v>
      </c>
      <c r="G248" s="387">
        <f>SUMIFS(Таблица14[часы],Таблица14[коэф],"1",Таблица14[р/р],"2/4",Таблица14[Ф. И. О.],B253)</f>
        <v>0</v>
      </c>
      <c r="H248" s="380">
        <f>ROUND(E248*F248*G248*2,2)</f>
        <v>0</v>
      </c>
      <c r="I248" s="377">
        <f>IF(D248&lt;=3,база!$J$4,
IF(D248=4,база!$J$5,
IF(D248=5,база!$J$6)))</f>
        <v>196.05240000000001</v>
      </c>
      <c r="J248" s="378">
        <v>1</v>
      </c>
      <c r="K248" s="428">
        <f>SUMIFS(Таблица14[часы],Таблица14[коэф],"1",Таблица14[р/р],"2/8",Таблица14[Ф. И. О.],B253)</f>
        <v>0</v>
      </c>
      <c r="L248" s="383">
        <f>ROUND(I248*J248*K248*2,2)</f>
        <v>0</v>
      </c>
      <c r="M248" s="426"/>
      <c r="N248" s="428">
        <v>1</v>
      </c>
      <c r="O248" s="428">
        <f>SUMIFS(Data_Tech!$AM$3:$AM$67,Data_Tech!$E$3:$E$67,"1",Data_Tech!$G$3:$G$67,"3/12",Data_Tech!$F$3:$F$67,B253)</f>
        <v>0</v>
      </c>
      <c r="P248" s="428">
        <f>ROUND(M248*N248*O248,2)</f>
        <v>0</v>
      </c>
      <c r="Q248" s="386">
        <f>IF(D248&lt;=3,база!$L$4,
IF(D248=4,база!$L$5,
IF(D248=5,база!$L$6)))</f>
        <v>210.57480000000001</v>
      </c>
      <c r="R248" s="378">
        <v>1</v>
      </c>
      <c r="S248" s="387">
        <f>SUMIFS(Таблица14[часы],Таблица14[коэф],"1",Таблица14[р/р],"3/16",Таблица14[Ф. И. О.],B253)</f>
        <v>0</v>
      </c>
      <c r="T248" s="548">
        <f>ROUND(Q248*R248*S248*2,2)</f>
        <v>0</v>
      </c>
      <c r="U248" s="471">
        <f>IF(D248&lt;=3,база!$M$4,
IF(D248=4,база!$M$5,
IF(D248=5,база!$M$6)))</f>
        <v>225.09719999999999</v>
      </c>
      <c r="V248" s="378">
        <v>1</v>
      </c>
      <c r="W248" s="430">
        <f>SUMIFS(Таблица14[часы],Таблица14[коэф],"1",Таблица14[р/р],"3/24",Таблица14[Ф. И. О.],B253)</f>
        <v>0</v>
      </c>
      <c r="X248" s="543">
        <f>ROUND(U248*V248*W248*2,2)</f>
        <v>0</v>
      </c>
      <c r="Y248" s="764">
        <f t="shared" ref="Y248" si="116">SUM(G248:G258,K248:K258,O248:O258,S248:S258,W248:W258)</f>
        <v>0</v>
      </c>
      <c r="Z248" s="766">
        <f t="shared" ref="Z248" si="117">IFERROR(SUM(H248:H258,L248:L258,T248:T258,X248:X258),"")</f>
        <v>0</v>
      </c>
      <c r="AA248" s="756"/>
    </row>
    <row r="249" spans="1:29">
      <c r="A249" s="756"/>
      <c r="B249" s="215"/>
      <c r="C249" s="759"/>
      <c r="D249" s="762"/>
      <c r="E249" s="393">
        <f>IF(D248&lt;=3,база!$I$4,
IF(D248=4,база!$I$5,
IF(D248=5,база!$I$6)))</f>
        <v>188.7912</v>
      </c>
      <c r="F249" s="390">
        <v>1</v>
      </c>
      <c r="G249" s="400">
        <f>SUMIFS(Таблица14[часы],Таблица14[коэф],"1",Таблица14[р/р],"3/4",Таблица14[Ф. И. О.],B253)</f>
        <v>0</v>
      </c>
      <c r="H249" s="542">
        <f t="shared" ref="H249:H258" si="118">ROUND(E249*F249*G249*2,2)</f>
        <v>0</v>
      </c>
      <c r="I249" s="389">
        <f>IF(D248&lt;=3,база!$J$4,
IF(D248=4,база!$J$5,
IF(D248=5,база!$J$6)))</f>
        <v>196.05240000000001</v>
      </c>
      <c r="J249" s="390">
        <v>1</v>
      </c>
      <c r="K249" s="434">
        <f>SUMIFS(Таблица14[часы],Таблица14[коэф],"1",Таблица14[р/р],"3/8",Таблица14[Ф. И. О.],B253)</f>
        <v>0</v>
      </c>
      <c r="L249" s="395">
        <f t="shared" ref="L249:L258" si="119">ROUND(I249*J249*K249*2,2)</f>
        <v>0</v>
      </c>
      <c r="M249" s="432"/>
      <c r="N249" s="434">
        <v>1</v>
      </c>
      <c r="O249" s="434">
        <f>SUMIFS(Data_Tech!$AM$3:$AM$67,Data_Tech!$E$3:$E$67,"1",Data_Tech!$G$3:$G$67,"4/12",Data_Tech!$F$3:$F$67,B253)</f>
        <v>0</v>
      </c>
      <c r="P249" s="434">
        <f>ROUND(M249*O249,2)</f>
        <v>0</v>
      </c>
      <c r="Q249" s="399">
        <f>база!$L$5</f>
        <v>231.45480000000001</v>
      </c>
      <c r="R249" s="390">
        <v>1</v>
      </c>
      <c r="S249" s="400">
        <f>SUMIFS(Таблица14[часы],Таблица14[коэф],"1",Таблица14[р/р],"4/16",Таблица14[Ф. И. О.],B253)</f>
        <v>0</v>
      </c>
      <c r="T249" s="544">
        <f t="shared" ref="T249:T258" si="120">ROUND(Q249*R249*S249*2,2)</f>
        <v>0</v>
      </c>
      <c r="U249" s="472">
        <f>база!$M$5</f>
        <v>247.41720000000001</v>
      </c>
      <c r="V249" s="390">
        <v>1</v>
      </c>
      <c r="W249" s="412">
        <f>SUMIFS(Таблица14[часы],Таблица14[коэф],"1",Таблица14[р/р],"4/24",Таблица14[Ф. И. О.],B253)</f>
        <v>0</v>
      </c>
      <c r="X249" s="545">
        <f t="shared" ref="X249:X258" si="121">ROUND(U249*V249*W249*2,2)</f>
        <v>0</v>
      </c>
      <c r="Y249" s="764"/>
      <c r="Z249" s="766"/>
      <c r="AA249" s="756"/>
    </row>
    <row r="250" spans="1:29">
      <c r="A250" s="756"/>
      <c r="B250" s="215"/>
      <c r="C250" s="759"/>
      <c r="D250" s="762"/>
      <c r="E250" s="393"/>
      <c r="F250" s="390"/>
      <c r="G250" s="400"/>
      <c r="H250" s="544">
        <f t="shared" si="118"/>
        <v>0</v>
      </c>
      <c r="I250" s="389"/>
      <c r="J250" s="390"/>
      <c r="K250" s="434"/>
      <c r="L250" s="395">
        <f t="shared" si="119"/>
        <v>0</v>
      </c>
      <c r="M250" s="432"/>
      <c r="N250" s="434"/>
      <c r="O250" s="434"/>
      <c r="P250" s="434"/>
      <c r="Q250" s="399">
        <f>база!$L$6</f>
        <v>261.04640000000001</v>
      </c>
      <c r="R250" s="390">
        <v>1</v>
      </c>
      <c r="S250" s="400">
        <f>SUMIFS(Таблица14[часы],Таблица14[коэф],"1",Таблица14[р/р],"5/16",Таблица14[Ф. И. О.],B253)</f>
        <v>0</v>
      </c>
      <c r="T250" s="544">
        <f t="shared" si="120"/>
        <v>0</v>
      </c>
      <c r="U250" s="472">
        <f>база!$M$6</f>
        <v>279.0496</v>
      </c>
      <c r="V250" s="390">
        <v>1</v>
      </c>
      <c r="W250" s="412">
        <f>SUMIFS(Таблица14[часы],Таблица14[коэф],"1",Таблица14[р/р],"5/24",Таблица14[Ф. И. О.],B253)</f>
        <v>0</v>
      </c>
      <c r="X250" s="545">
        <f t="shared" si="121"/>
        <v>0</v>
      </c>
      <c r="Y250" s="764"/>
      <c r="Z250" s="766"/>
      <c r="AA250" s="756"/>
    </row>
    <row r="251" spans="1:29">
      <c r="A251" s="756"/>
      <c r="B251" s="215"/>
      <c r="C251" s="759"/>
      <c r="D251" s="762"/>
      <c r="E251" s="393"/>
      <c r="F251" s="390"/>
      <c r="G251" s="400"/>
      <c r="H251" s="544">
        <f t="shared" si="118"/>
        <v>0</v>
      </c>
      <c r="I251" s="389">
        <f>база!$J$5</f>
        <v>215.4924</v>
      </c>
      <c r="J251" s="390">
        <v>1.5</v>
      </c>
      <c r="K251" s="434">
        <f>SUMIFS(Таблица14[часы],Таблица14[коэф],"1,5",Таблица14[р/р],"4/8",Таблица14[Ф. И. О.],B253)</f>
        <v>0</v>
      </c>
      <c r="L251" s="395">
        <f t="shared" si="119"/>
        <v>0</v>
      </c>
      <c r="M251" s="432"/>
      <c r="N251" s="434"/>
      <c r="O251" s="434"/>
      <c r="P251" s="434"/>
      <c r="Q251" s="399">
        <f>IF(D248&lt;=3,база!$L$4,
IF(D248=4,база!$L$5,
IF(D248=5,база!$L$6)))</f>
        <v>210.57480000000001</v>
      </c>
      <c r="R251" s="390">
        <v>1.2</v>
      </c>
      <c r="S251" s="400">
        <f>SUMIFS(Таблица14[часы],Таблица14[коэф],"1,2",Таблица14[р/р],"3/16",Таблица14[Ф. И. О.],B253)</f>
        <v>0</v>
      </c>
      <c r="T251" s="544">
        <f t="shared" si="120"/>
        <v>0</v>
      </c>
      <c r="U251" s="472">
        <f>IF(D248&lt;=3,база!$M$4,
IF(D248=4,база!$M$5,
IF(D248=5,база!$M$6)))</f>
        <v>225.09719999999999</v>
      </c>
      <c r="V251" s="390">
        <v>1.2</v>
      </c>
      <c r="W251" s="412">
        <f>SUMIFS(Таблица14[часы],Таблица14[коэф],"1,2",Таблица14[р/р],"3/24",Таблица14[Ф. И. О.],B253)</f>
        <v>0</v>
      </c>
      <c r="X251" s="545">
        <f t="shared" si="121"/>
        <v>0</v>
      </c>
      <c r="Y251" s="764"/>
      <c r="Z251" s="766"/>
      <c r="AA251" s="756"/>
    </row>
    <row r="252" spans="1:29">
      <c r="A252" s="756"/>
      <c r="B252" s="215"/>
      <c r="C252" s="759"/>
      <c r="D252" s="762"/>
      <c r="E252" s="393"/>
      <c r="F252" s="390"/>
      <c r="G252" s="400"/>
      <c r="H252" s="544">
        <f t="shared" si="118"/>
        <v>0</v>
      </c>
      <c r="I252" s="389">
        <f>база!$J$6</f>
        <v>243.04319999999998</v>
      </c>
      <c r="J252" s="390">
        <v>1.5</v>
      </c>
      <c r="K252" s="434">
        <f>SUMIFS(Таблица14[часы],Таблица14[коэф],"1,5",Таблица14[р/р],"5/8",Таблица14[Ф. И. О.],B253)</f>
        <v>0</v>
      </c>
      <c r="L252" s="395">
        <f t="shared" si="119"/>
        <v>0</v>
      </c>
      <c r="M252" s="432"/>
      <c r="N252" s="434"/>
      <c r="O252" s="434"/>
      <c r="P252" s="434"/>
      <c r="Q252" s="399">
        <f>база!$L$5</f>
        <v>231.45480000000001</v>
      </c>
      <c r="R252" s="390">
        <v>1.2</v>
      </c>
      <c r="S252" s="400">
        <f>SUMIFS(Таблица14[часы],Таблица14[коэф],"1,2",Таблица14[р/р],"4/16",Таблица14[Ф. И. О.],B253)</f>
        <v>0</v>
      </c>
      <c r="T252" s="544">
        <f t="shared" si="120"/>
        <v>0</v>
      </c>
      <c r="U252" s="472">
        <f>база!$M$5</f>
        <v>247.41720000000001</v>
      </c>
      <c r="V252" s="390">
        <v>1.2</v>
      </c>
      <c r="W252" s="412">
        <f>SUMIFS(Таблица14[часы],Таблица14[коэф],"1,2",Таблица14[р/р],"4/24",Таблица14[Ф. И. О.],B253)</f>
        <v>0</v>
      </c>
      <c r="X252" s="545">
        <f t="shared" si="121"/>
        <v>0</v>
      </c>
      <c r="Y252" s="764"/>
      <c r="Z252" s="766"/>
      <c r="AA252" s="756"/>
      <c r="AC252" s="752" t="str">
        <f>IF(SUMIFS(Таблица14[Столбец2],Таблица14[Ф. И. О.],B253)-Z248=0,"",SUMIFS(Таблица14[Столбец2],Таблица14[Ф. И. О.],B253)-Z248)</f>
        <v/>
      </c>
    </row>
    <row r="253" spans="1:29">
      <c r="A253" s="756"/>
      <c r="B253" s="215" t="str">
        <f>база!B24</f>
        <v>Ескина Ксения Анатольевна</v>
      </c>
      <c r="C253" s="759"/>
      <c r="D253" s="762"/>
      <c r="E253" s="393"/>
      <c r="F253" s="390"/>
      <c r="G253" s="400"/>
      <c r="H253" s="544">
        <f t="shared" si="118"/>
        <v>0</v>
      </c>
      <c r="I253" s="389"/>
      <c r="J253" s="390"/>
      <c r="K253" s="434"/>
      <c r="L253" s="395">
        <f t="shared" si="119"/>
        <v>0</v>
      </c>
      <c r="M253" s="432"/>
      <c r="N253" s="434"/>
      <c r="O253" s="434"/>
      <c r="P253" s="434"/>
      <c r="Q253" s="399">
        <f>база!$L$6</f>
        <v>261.04640000000001</v>
      </c>
      <c r="R253" s="390">
        <v>1.2</v>
      </c>
      <c r="S253" s="400">
        <f>SUMIFS(Таблица14[часы],Таблица14[коэф],"1,2",Таблица14[р/р],"5/16",Таблица14[Ф. И. О.],B253)</f>
        <v>0</v>
      </c>
      <c r="T253" s="544">
        <f t="shared" si="120"/>
        <v>0</v>
      </c>
      <c r="U253" s="472">
        <f>база!$M$6</f>
        <v>279.0496</v>
      </c>
      <c r="V253" s="390">
        <v>1.2</v>
      </c>
      <c r="W253" s="412">
        <f>SUMIFS(Таблица14[часы],Таблица14[коэф],"1,2",Таблица14[р/р],"5/24",Таблица14[Ф. И. О.],B253)</f>
        <v>0</v>
      </c>
      <c r="X253" s="545">
        <f t="shared" si="121"/>
        <v>0</v>
      </c>
      <c r="Y253" s="764"/>
      <c r="Z253" s="766"/>
      <c r="AA253" s="756"/>
      <c r="AC253" s="752" t="str">
        <f>IF(SUMIFS(Таблица14[часы],Таблица14[Ф. И. О.],B253)-Y248=0,"",SUMIFS(Таблица14[часы],Таблица14[Ф. И. О.],B253)-Y248)</f>
        <v/>
      </c>
    </row>
    <row r="254" spans="1:29">
      <c r="A254" s="756"/>
      <c r="B254" s="215"/>
      <c r="C254" s="759"/>
      <c r="D254" s="762"/>
      <c r="E254" s="393"/>
      <c r="F254" s="390"/>
      <c r="G254" s="400"/>
      <c r="H254" s="544">
        <f t="shared" si="118"/>
        <v>0</v>
      </c>
      <c r="I254" s="389"/>
      <c r="J254" s="390"/>
      <c r="K254" s="434"/>
      <c r="L254" s="395">
        <f t="shared" si="119"/>
        <v>0</v>
      </c>
      <c r="M254" s="432"/>
      <c r="N254" s="434"/>
      <c r="O254" s="434"/>
      <c r="P254" s="434"/>
      <c r="Q254" s="399">
        <f>IF(D248&lt;=3,база!$L$4,
IF(D248=4,база!$L$5,
IF(D248=5,база!$L$6)))</f>
        <v>210.57480000000001</v>
      </c>
      <c r="R254" s="390">
        <v>1.3</v>
      </c>
      <c r="S254" s="400">
        <f>SUMIFS(Таблица14[часы],Таблица14[коэф],"1,3",Таблица14[р/р],"3/16",Таблица14[Ф. И. О.],B253)</f>
        <v>0</v>
      </c>
      <c r="T254" s="544">
        <f t="shared" si="120"/>
        <v>0</v>
      </c>
      <c r="U254" s="472">
        <f>IF(D248&lt;=3,база!$M$4,
IF(D248=4,база!$M$5,
IF(D248=5,база!$M$6)))</f>
        <v>225.09719999999999</v>
      </c>
      <c r="V254" s="390">
        <v>1.3</v>
      </c>
      <c r="W254" s="412">
        <f>SUMIFS(Таблица14[часы],Таблица14[коэф],"1,3",Таблица14[р/р],"3/24",Таблица14[Ф. И. О.],B253)</f>
        <v>0</v>
      </c>
      <c r="X254" s="545">
        <f t="shared" si="121"/>
        <v>0</v>
      </c>
      <c r="Y254" s="764"/>
      <c r="Z254" s="766"/>
      <c r="AA254" s="756"/>
    </row>
    <row r="255" spans="1:29">
      <c r="A255" s="756"/>
      <c r="B255" s="215"/>
      <c r="C255" s="759"/>
      <c r="D255" s="762"/>
      <c r="E255" s="393"/>
      <c r="F255" s="390"/>
      <c r="G255" s="400"/>
      <c r="H255" s="544">
        <f t="shared" si="118"/>
        <v>0</v>
      </c>
      <c r="I255" s="389"/>
      <c r="J255" s="390"/>
      <c r="K255" s="434"/>
      <c r="L255" s="395">
        <f t="shared" si="119"/>
        <v>0</v>
      </c>
      <c r="M255" s="432"/>
      <c r="N255" s="434"/>
      <c r="O255" s="434"/>
      <c r="P255" s="434"/>
      <c r="Q255" s="399">
        <f>база!$L$5</f>
        <v>231.45480000000001</v>
      </c>
      <c r="R255" s="390">
        <v>1.3</v>
      </c>
      <c r="S255" s="400">
        <f>SUMIFS(Таблица14[часы],Таблица14[коэф],"1,3",Таблица14[р/р],"4/16",Таблица14[Ф. И. О.],B253)</f>
        <v>0</v>
      </c>
      <c r="T255" s="544">
        <f t="shared" si="120"/>
        <v>0</v>
      </c>
      <c r="U255" s="472">
        <f>база!$M$5</f>
        <v>247.41720000000001</v>
      </c>
      <c r="V255" s="390">
        <v>1.3</v>
      </c>
      <c r="W255" s="412">
        <f>SUMIFS(Таблица14[часы],Таблица14[коэф],"1,3",Таблица14[р/р],"4/24",Таблица14[Ф. И. О.],B253)</f>
        <v>0</v>
      </c>
      <c r="X255" s="545">
        <f t="shared" si="121"/>
        <v>0</v>
      </c>
      <c r="Y255" s="764"/>
      <c r="Z255" s="766"/>
      <c r="AA255" s="756"/>
    </row>
    <row r="256" spans="1:29">
      <c r="A256" s="756"/>
      <c r="B256" s="215"/>
      <c r="C256" s="759"/>
      <c r="D256" s="762"/>
      <c r="E256" s="393"/>
      <c r="F256" s="390"/>
      <c r="G256" s="400"/>
      <c r="H256" s="544">
        <f t="shared" si="118"/>
        <v>0</v>
      </c>
      <c r="I256" s="389"/>
      <c r="J256" s="390"/>
      <c r="K256" s="434"/>
      <c r="L256" s="395">
        <f t="shared" si="119"/>
        <v>0</v>
      </c>
      <c r="M256" s="432"/>
      <c r="N256" s="434"/>
      <c r="O256" s="434"/>
      <c r="P256" s="434"/>
      <c r="Q256" s="399">
        <f>IF(D248&lt;=3,база!$L$4,
IF(D248=4,база!$L$5,
IF(D248=5,база!$L$6)))</f>
        <v>210.57480000000001</v>
      </c>
      <c r="R256" s="390">
        <v>1.4</v>
      </c>
      <c r="S256" s="400">
        <f>SUMIFS(Таблица14[часы],Таблица14[коэф],"1,4",Таблица14[р/р],"3/16",Таблица14[Ф. И. О.],B253)</f>
        <v>0</v>
      </c>
      <c r="T256" s="544">
        <f t="shared" si="120"/>
        <v>0</v>
      </c>
      <c r="U256" s="472">
        <f>IF(D248&lt;=3,база!$M$4,
IF(D248=4,база!$M$5,
IF(D248=5,база!$M$6)))</f>
        <v>225.09719999999999</v>
      </c>
      <c r="V256" s="390">
        <v>1.4</v>
      </c>
      <c r="W256" s="412">
        <f>SUMIFS(Таблица14[часы],Таблица14[коэф],"1,4",Таблица14[р/р],"3/24",Таблица14[Ф. И. О.],B253)</f>
        <v>0</v>
      </c>
      <c r="X256" s="545">
        <f t="shared" si="121"/>
        <v>0</v>
      </c>
      <c r="Y256" s="764"/>
      <c r="Z256" s="766"/>
      <c r="AA256" s="756"/>
    </row>
    <row r="257" spans="1:29">
      <c r="A257" s="756"/>
      <c r="B257" s="215"/>
      <c r="C257" s="759"/>
      <c r="D257" s="762"/>
      <c r="E257" s="393"/>
      <c r="F257" s="390"/>
      <c r="G257" s="400"/>
      <c r="H257" s="544">
        <f t="shared" si="118"/>
        <v>0</v>
      </c>
      <c r="I257" s="389"/>
      <c r="J257" s="390"/>
      <c r="K257" s="434"/>
      <c r="L257" s="395">
        <f t="shared" si="119"/>
        <v>0</v>
      </c>
      <c r="M257" s="432"/>
      <c r="N257" s="434"/>
      <c r="O257" s="434"/>
      <c r="P257" s="434"/>
      <c r="Q257" s="399">
        <f>база!$L$5</f>
        <v>231.45480000000001</v>
      </c>
      <c r="R257" s="390">
        <v>1.4</v>
      </c>
      <c r="S257" s="400">
        <f>SUMIFS(Таблица14[часы],Таблица14[коэф],"1,4",Таблица14[р/р],"4/16",Таблица14[Ф. И. О.],B253)</f>
        <v>0</v>
      </c>
      <c r="T257" s="544">
        <f t="shared" si="120"/>
        <v>0</v>
      </c>
      <c r="U257" s="472">
        <f>база!$M$5</f>
        <v>247.41720000000001</v>
      </c>
      <c r="V257" s="390">
        <v>1.4</v>
      </c>
      <c r="W257" s="412">
        <f>SUMIFS(Таблица14[часы],Таблица14[коэф],"1,4",Таблица14[р/р],"4/24",Таблица14[Ф. И. О.],B253)</f>
        <v>0</v>
      </c>
      <c r="X257" s="545">
        <f t="shared" si="121"/>
        <v>0</v>
      </c>
      <c r="Y257" s="764"/>
      <c r="Z257" s="766"/>
      <c r="AA257" s="756"/>
    </row>
    <row r="258" spans="1:29" ht="21" thickBot="1">
      <c r="A258" s="757"/>
      <c r="B258" s="202"/>
      <c r="C258" s="760"/>
      <c r="D258" s="763"/>
      <c r="E258" s="463"/>
      <c r="F258" s="464"/>
      <c r="G258" s="465"/>
      <c r="H258" s="549">
        <f t="shared" si="118"/>
        <v>0</v>
      </c>
      <c r="I258" s="473"/>
      <c r="J258" s="464"/>
      <c r="K258" s="457"/>
      <c r="L258" s="458">
        <f t="shared" si="119"/>
        <v>0</v>
      </c>
      <c r="M258" s="466"/>
      <c r="N258" s="457"/>
      <c r="O258" s="457"/>
      <c r="P258" s="457"/>
      <c r="Q258" s="467">
        <f>база!$L$6</f>
        <v>261.04640000000001</v>
      </c>
      <c r="R258" s="464">
        <v>1.4</v>
      </c>
      <c r="S258" s="465">
        <f>SUMIFS(Таблица14[часы],Таблица14[коэф],"1,4",Таблица14[р/р],"5/16",Таблица14[Ф. И. О.],B253)</f>
        <v>0</v>
      </c>
      <c r="T258" s="549">
        <f t="shared" si="120"/>
        <v>0</v>
      </c>
      <c r="U258" s="474">
        <f>база!$M$6</f>
        <v>279.0496</v>
      </c>
      <c r="V258" s="464">
        <v>1.4</v>
      </c>
      <c r="W258" s="470">
        <f>SUMIFS(Таблица14[часы],Таблица14[коэф],"1,4",Таблица14[р/р],"5/24",Таблица14[Ф. И. О.],B253)</f>
        <v>0</v>
      </c>
      <c r="X258" s="547">
        <f t="shared" si="121"/>
        <v>0</v>
      </c>
      <c r="Y258" s="765"/>
      <c r="Z258" s="767"/>
      <c r="AA258" s="757"/>
    </row>
    <row r="259" spans="1:29">
      <c r="A259" s="755">
        <v>24</v>
      </c>
      <c r="B259" s="235"/>
      <c r="C259" s="758">
        <f>INDEX(база!$E$2:$E$81, MATCH(B264,база!$B$2:$B$50,0))</f>
        <v>0</v>
      </c>
      <c r="D259" s="761">
        <f>INDEX(база!$D$2:$D$89, MATCH(B264,база!$B$2:$B$50,0))</f>
        <v>3</v>
      </c>
      <c r="E259" s="381">
        <f>IF(D259&lt;=3,база!$I$4,
IF(D259=4,база!$I$5,
IF(D259=5,база!$I$6)))</f>
        <v>188.7912</v>
      </c>
      <c r="F259" s="378">
        <v>1</v>
      </c>
      <c r="G259" s="387">
        <f>SUMIFS(Таблица14[часы],Таблица14[коэф],"1",Таблица14[р/р],"2/4",Таблица14[Ф. И. О.],B264)</f>
        <v>0</v>
      </c>
      <c r="H259" s="380">
        <f>ROUND(E259*F259*G259*2,2)</f>
        <v>0</v>
      </c>
      <c r="I259" s="377">
        <f>IF(D259&lt;=3,база!$J$4,
IF(D259=4,база!$J$5,
IF(D259=5,база!$J$6)))</f>
        <v>196.05240000000001</v>
      </c>
      <c r="J259" s="378">
        <v>1</v>
      </c>
      <c r="K259" s="428">
        <f>SUMIFS(Таблица14[часы],Таблица14[коэф],"1",Таблица14[р/р],"2/8",Таблица14[Ф. И. О.],B264)</f>
        <v>0</v>
      </c>
      <c r="L259" s="383">
        <f>ROUND(I259*J259*K259*2,2)</f>
        <v>0</v>
      </c>
      <c r="M259" s="426"/>
      <c r="N259" s="428">
        <v>1</v>
      </c>
      <c r="O259" s="428">
        <f>SUMIFS(Data_Tech!$AM$3:$AM$67,Data_Tech!$E$3:$E$67,"1",Data_Tech!$G$3:$G$67,"3/12",Data_Tech!$F$3:$F$67,B264)</f>
        <v>0</v>
      </c>
      <c r="P259" s="428">
        <f>ROUND(M259*N259*O259,2)</f>
        <v>0</v>
      </c>
      <c r="Q259" s="386">
        <f>IF(D259&lt;=3,база!$L$4,
IF(D259=4,база!$L$5,
IF(D259=5,база!$L$6)))</f>
        <v>210.57480000000001</v>
      </c>
      <c r="R259" s="378">
        <v>1</v>
      </c>
      <c r="S259" s="387">
        <f>SUMIFS(Таблица14[часы],Таблица14[коэф],"1",Таблица14[р/р],"3/16",Таблица14[Ф. И. О.],B264)</f>
        <v>0</v>
      </c>
      <c r="T259" s="548">
        <f>ROUND(Q259*R259*S259*2,2)</f>
        <v>0</v>
      </c>
      <c r="U259" s="471">
        <f>IF(D259&lt;=3,база!$M$4,
IF(D259=4,база!$M$5,
IF(D259=5,база!$M$6)))</f>
        <v>225.09719999999999</v>
      </c>
      <c r="V259" s="378">
        <v>1</v>
      </c>
      <c r="W259" s="430">
        <f>SUMIFS(Таблица14[часы],Таблица14[коэф],"1",Таблица14[р/р],"3/24",Таблица14[Ф. И. О.],B264)</f>
        <v>0</v>
      </c>
      <c r="X259" s="543">
        <f>ROUND(U259*V259*W259*2,2)</f>
        <v>0</v>
      </c>
      <c r="Y259" s="764">
        <f t="shared" ref="Y259" si="122">SUM(G259:G269,K259:K269,O259:O269,S259:S269,W259:W269)</f>
        <v>0</v>
      </c>
      <c r="Z259" s="766">
        <f t="shared" ref="Z259" si="123">IFERROR(SUM(H259:H269,L259:L269,T259:T269,X259:X269),"")</f>
        <v>0</v>
      </c>
      <c r="AA259" s="756"/>
    </row>
    <row r="260" spans="1:29">
      <c r="A260" s="756"/>
      <c r="B260" s="215"/>
      <c r="C260" s="759"/>
      <c r="D260" s="762"/>
      <c r="E260" s="393">
        <f>IF(D259&lt;=3,база!$I$4,
IF(D259=4,база!$I$5,
IF(D259=5,база!$I$6)))</f>
        <v>188.7912</v>
      </c>
      <c r="F260" s="390">
        <v>1</v>
      </c>
      <c r="G260" s="400">
        <f>SUMIFS(Таблица14[часы],Таблица14[коэф],"1",Таблица14[р/р],"3/4",Таблица14[Ф. И. О.],B264)</f>
        <v>0</v>
      </c>
      <c r="H260" s="542">
        <f t="shared" ref="H260:H269" si="124">ROUND(E260*F260*G260*2,2)</f>
        <v>0</v>
      </c>
      <c r="I260" s="389">
        <f>IF(D259&lt;=3,база!$J$4,
IF(D259=4,база!$J$5,
IF(D259=5,база!$J$6)))</f>
        <v>196.05240000000001</v>
      </c>
      <c r="J260" s="390">
        <v>1</v>
      </c>
      <c r="K260" s="434">
        <f>SUMIFS(Таблица14[часы],Таблица14[коэф],"1",Таблица14[р/р],"3/8",Таблица14[Ф. И. О.],B264)</f>
        <v>0</v>
      </c>
      <c r="L260" s="395">
        <f t="shared" ref="L260:L269" si="125">ROUND(I260*J260*K260*2,2)</f>
        <v>0</v>
      </c>
      <c r="M260" s="432"/>
      <c r="N260" s="434">
        <v>1</v>
      </c>
      <c r="O260" s="434">
        <f>SUMIFS(Data_Tech!$AM$3:$AM$67,Data_Tech!$E$3:$E$67,"1",Data_Tech!$G$3:$G$67,"4/12",Data_Tech!$F$3:$F$67,B264)</f>
        <v>0</v>
      </c>
      <c r="P260" s="434">
        <f>ROUND(M260*O260,2)</f>
        <v>0</v>
      </c>
      <c r="Q260" s="399">
        <f>база!$L$5</f>
        <v>231.45480000000001</v>
      </c>
      <c r="R260" s="390">
        <v>1</v>
      </c>
      <c r="S260" s="400">
        <f>SUMIFS(Таблица14[часы],Таблица14[коэф],"1",Таблица14[р/р],"4/16",Таблица14[Ф. И. О.],B264)</f>
        <v>0</v>
      </c>
      <c r="T260" s="544">
        <f t="shared" ref="T260:T269" si="126">ROUND(Q260*R260*S260*2,2)</f>
        <v>0</v>
      </c>
      <c r="U260" s="472">
        <f>база!$M$5</f>
        <v>247.41720000000001</v>
      </c>
      <c r="V260" s="390">
        <v>1</v>
      </c>
      <c r="W260" s="412">
        <f>SUMIFS(Таблица14[часы],Таблица14[коэф],"1",Таблица14[р/р],"4/24",Таблица14[Ф. И. О.],B264)</f>
        <v>0</v>
      </c>
      <c r="X260" s="545">
        <f t="shared" ref="X260:X269" si="127">ROUND(U260*V260*W260*2,2)</f>
        <v>0</v>
      </c>
      <c r="Y260" s="764"/>
      <c r="Z260" s="766"/>
      <c r="AA260" s="756"/>
    </row>
    <row r="261" spans="1:29">
      <c r="A261" s="756"/>
      <c r="B261" s="215"/>
      <c r="C261" s="759"/>
      <c r="D261" s="762"/>
      <c r="E261" s="393"/>
      <c r="F261" s="390"/>
      <c r="G261" s="400"/>
      <c r="H261" s="544">
        <f t="shared" si="124"/>
        <v>0</v>
      </c>
      <c r="I261" s="389"/>
      <c r="J261" s="390"/>
      <c r="K261" s="434"/>
      <c r="L261" s="395">
        <f t="shared" si="125"/>
        <v>0</v>
      </c>
      <c r="M261" s="432"/>
      <c r="N261" s="434"/>
      <c r="O261" s="434"/>
      <c r="P261" s="434"/>
      <c r="Q261" s="399">
        <f>база!$L$6</f>
        <v>261.04640000000001</v>
      </c>
      <c r="R261" s="390">
        <v>1</v>
      </c>
      <c r="S261" s="400">
        <f>SUMIFS(Таблица14[часы],Таблица14[коэф],"1",Таблица14[р/р],"5/16",Таблица14[Ф. И. О.],B264)</f>
        <v>0</v>
      </c>
      <c r="T261" s="544">
        <f t="shared" si="126"/>
        <v>0</v>
      </c>
      <c r="U261" s="472">
        <f>база!$M$6</f>
        <v>279.0496</v>
      </c>
      <c r="V261" s="390">
        <v>1</v>
      </c>
      <c r="W261" s="412">
        <f>SUMIFS(Таблица14[часы],Таблица14[коэф],"1",Таблица14[р/р],"5/24",Таблица14[Ф. И. О.],B264)</f>
        <v>0</v>
      </c>
      <c r="X261" s="545">
        <f t="shared" si="127"/>
        <v>0</v>
      </c>
      <c r="Y261" s="764"/>
      <c r="Z261" s="766"/>
      <c r="AA261" s="756"/>
    </row>
    <row r="262" spans="1:29">
      <c r="A262" s="756"/>
      <c r="B262" s="215"/>
      <c r="C262" s="759"/>
      <c r="D262" s="762"/>
      <c r="E262" s="393"/>
      <c r="F262" s="390"/>
      <c r="G262" s="400"/>
      <c r="H262" s="544">
        <f t="shared" si="124"/>
        <v>0</v>
      </c>
      <c r="I262" s="389">
        <f>база!$J$5</f>
        <v>215.4924</v>
      </c>
      <c r="J262" s="390">
        <v>1.5</v>
      </c>
      <c r="K262" s="434">
        <f>SUMIFS(Таблица14[часы],Таблица14[коэф],"1,5",Таблица14[р/р],"4/8",Таблица14[Ф. И. О.],B264)</f>
        <v>0</v>
      </c>
      <c r="L262" s="395">
        <f t="shared" si="125"/>
        <v>0</v>
      </c>
      <c r="M262" s="432"/>
      <c r="N262" s="434"/>
      <c r="O262" s="434"/>
      <c r="P262" s="434"/>
      <c r="Q262" s="399">
        <f>IF(D259&lt;=3,база!$L$4,
IF(D259=4,база!$L$5,
IF(D259=5,база!$L$6)))</f>
        <v>210.57480000000001</v>
      </c>
      <c r="R262" s="390">
        <v>1.2</v>
      </c>
      <c r="S262" s="400">
        <f>SUMIFS(Таблица14[часы],Таблица14[коэф],"1,2",Таблица14[р/р],"3/16",Таблица14[Ф. И. О.],B264)</f>
        <v>0</v>
      </c>
      <c r="T262" s="544">
        <f t="shared" si="126"/>
        <v>0</v>
      </c>
      <c r="U262" s="472">
        <f>IF(D259&lt;=3,база!$M$4,
IF(D259=4,база!$M$5,
IF(D259=5,база!$M$6)))</f>
        <v>225.09719999999999</v>
      </c>
      <c r="V262" s="390">
        <v>1.2</v>
      </c>
      <c r="W262" s="412">
        <f>SUMIFS(Таблица14[часы],Таблица14[коэф],"1,2",Таблица14[р/р],"3/24",Таблица14[Ф. И. О.],B264)</f>
        <v>0</v>
      </c>
      <c r="X262" s="545">
        <f t="shared" si="127"/>
        <v>0</v>
      </c>
      <c r="Y262" s="764"/>
      <c r="Z262" s="766"/>
      <c r="AA262" s="756"/>
    </row>
    <row r="263" spans="1:29">
      <c r="A263" s="756"/>
      <c r="B263" s="215"/>
      <c r="C263" s="759"/>
      <c r="D263" s="762"/>
      <c r="E263" s="393"/>
      <c r="F263" s="390"/>
      <c r="G263" s="400"/>
      <c r="H263" s="544">
        <f t="shared" si="124"/>
        <v>0</v>
      </c>
      <c r="I263" s="389">
        <f>база!$J$6</f>
        <v>243.04319999999998</v>
      </c>
      <c r="J263" s="390">
        <v>1.5</v>
      </c>
      <c r="K263" s="434">
        <f>SUMIFS(Таблица14[часы],Таблица14[коэф],"1,5",Таблица14[р/р],"5/8",Таблица14[Ф. И. О.],B264)</f>
        <v>0</v>
      </c>
      <c r="L263" s="395">
        <f t="shared" si="125"/>
        <v>0</v>
      </c>
      <c r="M263" s="432"/>
      <c r="N263" s="434"/>
      <c r="O263" s="434"/>
      <c r="P263" s="434"/>
      <c r="Q263" s="399">
        <f>база!$L$5</f>
        <v>231.45480000000001</v>
      </c>
      <c r="R263" s="390">
        <v>1.2</v>
      </c>
      <c r="S263" s="400">
        <f>SUMIFS(Таблица14[часы],Таблица14[коэф],"1,2",Таблица14[р/р],"4/16",Таблица14[Ф. И. О.],B264)</f>
        <v>0</v>
      </c>
      <c r="T263" s="544">
        <f t="shared" si="126"/>
        <v>0</v>
      </c>
      <c r="U263" s="472">
        <f>база!$M$5</f>
        <v>247.41720000000001</v>
      </c>
      <c r="V263" s="390">
        <v>1.2</v>
      </c>
      <c r="W263" s="412">
        <f>SUMIFS(Таблица14[часы],Таблица14[коэф],"1,2",Таблица14[р/р],"4/24",Таблица14[Ф. И. О.],B264)</f>
        <v>0</v>
      </c>
      <c r="X263" s="545">
        <f t="shared" si="127"/>
        <v>0</v>
      </c>
      <c r="Y263" s="764"/>
      <c r="Z263" s="766"/>
      <c r="AA263" s="756"/>
    </row>
    <row r="264" spans="1:29">
      <c r="A264" s="756"/>
      <c r="B264" s="215" t="str">
        <f>база!B25</f>
        <v>Ефремова Юлия Сергеевна</v>
      </c>
      <c r="C264" s="759"/>
      <c r="D264" s="762"/>
      <c r="E264" s="393"/>
      <c r="F264" s="390"/>
      <c r="G264" s="400"/>
      <c r="H264" s="544">
        <f t="shared" si="124"/>
        <v>0</v>
      </c>
      <c r="I264" s="389"/>
      <c r="J264" s="390"/>
      <c r="K264" s="434"/>
      <c r="L264" s="395">
        <f t="shared" si="125"/>
        <v>0</v>
      </c>
      <c r="M264" s="432"/>
      <c r="N264" s="434"/>
      <c r="O264" s="434"/>
      <c r="P264" s="434"/>
      <c r="Q264" s="399">
        <f>база!$L$6</f>
        <v>261.04640000000001</v>
      </c>
      <c r="R264" s="390">
        <v>1.2</v>
      </c>
      <c r="S264" s="400">
        <f>SUMIFS(Таблица14[часы],Таблица14[коэф],"1,2",Таблица14[р/р],"5/16",Таблица14[Ф. И. О.],B264)</f>
        <v>0</v>
      </c>
      <c r="T264" s="544">
        <f t="shared" si="126"/>
        <v>0</v>
      </c>
      <c r="U264" s="472">
        <f>база!$M$6</f>
        <v>279.0496</v>
      </c>
      <c r="V264" s="390">
        <v>1.2</v>
      </c>
      <c r="W264" s="412">
        <f>SUMIFS(Таблица14[часы],Таблица14[коэф],"1,2",Таблица14[р/р],"5/24",Таблица14[Ф. И. О.],B264)</f>
        <v>0</v>
      </c>
      <c r="X264" s="545">
        <f t="shared" si="127"/>
        <v>0</v>
      </c>
      <c r="Y264" s="764"/>
      <c r="Z264" s="766"/>
      <c r="AA264" s="756"/>
      <c r="AC264" s="752" t="str">
        <f>IF(SUMIFS(Таблица14[Столбец2],Таблица14[Ф. И. О.],B264)-Z259=0,"",SUMIFS(Таблица14[Столбец2],Таблица14[Ф. И. О.],B264)-Z259)</f>
        <v/>
      </c>
    </row>
    <row r="265" spans="1:29">
      <c r="A265" s="756"/>
      <c r="B265" s="215"/>
      <c r="C265" s="759"/>
      <c r="D265" s="762"/>
      <c r="E265" s="393"/>
      <c r="F265" s="390"/>
      <c r="G265" s="400"/>
      <c r="H265" s="544">
        <f t="shared" si="124"/>
        <v>0</v>
      </c>
      <c r="I265" s="389"/>
      <c r="J265" s="390"/>
      <c r="K265" s="434"/>
      <c r="L265" s="395">
        <f t="shared" si="125"/>
        <v>0</v>
      </c>
      <c r="M265" s="432"/>
      <c r="N265" s="434"/>
      <c r="O265" s="434"/>
      <c r="P265" s="434"/>
      <c r="Q265" s="399">
        <f>IF(D259&lt;=3,база!$L$4,
IF(D259=4,база!$L$5,
IF(D259=5,база!$L$6)))</f>
        <v>210.57480000000001</v>
      </c>
      <c r="R265" s="390">
        <v>1.3</v>
      </c>
      <c r="S265" s="400">
        <f>SUMIFS(Таблица14[часы],Таблица14[коэф],"1,3",Таблица14[р/р],"3/16",Таблица14[Ф. И. О.],B264)</f>
        <v>0</v>
      </c>
      <c r="T265" s="544">
        <f t="shared" si="126"/>
        <v>0</v>
      </c>
      <c r="U265" s="472">
        <f>IF(D259&lt;=3,база!$M$4,
IF(D259=4,база!$M$5,
IF(D259=5,база!$M$6)))</f>
        <v>225.09719999999999</v>
      </c>
      <c r="V265" s="390">
        <v>1.3</v>
      </c>
      <c r="W265" s="412">
        <f>SUMIFS(Таблица14[часы],Таблица14[коэф],"1,3",Таблица14[р/р],"3/24",Таблица14[Ф. И. О.],B264)</f>
        <v>0</v>
      </c>
      <c r="X265" s="545">
        <f t="shared" si="127"/>
        <v>0</v>
      </c>
      <c r="Y265" s="764"/>
      <c r="Z265" s="766"/>
      <c r="AA265" s="756"/>
      <c r="AC265" s="752" t="str">
        <f>IF(SUMIFS(Таблица14[часы],Таблица14[Ф. И. О.],B264)-Y259=0,"",SUMIFS(Таблица14[часы],Таблица14[Ф. И. О.],B264)-Y259)</f>
        <v/>
      </c>
    </row>
    <row r="266" spans="1:29">
      <c r="A266" s="756"/>
      <c r="B266" s="215"/>
      <c r="C266" s="759"/>
      <c r="D266" s="762"/>
      <c r="E266" s="393"/>
      <c r="F266" s="390"/>
      <c r="G266" s="400"/>
      <c r="H266" s="544">
        <f t="shared" si="124"/>
        <v>0</v>
      </c>
      <c r="I266" s="389"/>
      <c r="J266" s="390"/>
      <c r="K266" s="434"/>
      <c r="L266" s="395">
        <f t="shared" si="125"/>
        <v>0</v>
      </c>
      <c r="M266" s="432"/>
      <c r="N266" s="434"/>
      <c r="O266" s="434"/>
      <c r="P266" s="434"/>
      <c r="Q266" s="399">
        <f>база!$L$5</f>
        <v>231.45480000000001</v>
      </c>
      <c r="R266" s="390">
        <v>1.3</v>
      </c>
      <c r="S266" s="400">
        <f>SUMIFS(Таблица14[часы],Таблица14[коэф],"1,3",Таблица14[р/р],"4/16",Таблица14[Ф. И. О.],B264)</f>
        <v>0</v>
      </c>
      <c r="T266" s="544">
        <f t="shared" si="126"/>
        <v>0</v>
      </c>
      <c r="U266" s="472">
        <f>база!$M$5</f>
        <v>247.41720000000001</v>
      </c>
      <c r="V266" s="390">
        <v>1.3</v>
      </c>
      <c r="W266" s="412">
        <f>SUMIFS(Таблица14[часы],Таблица14[коэф],"1,3",Таблица14[р/р],"4/24",Таблица14[Ф. И. О.],B264)</f>
        <v>0</v>
      </c>
      <c r="X266" s="545">
        <f t="shared" si="127"/>
        <v>0</v>
      </c>
      <c r="Y266" s="764"/>
      <c r="Z266" s="766"/>
      <c r="AA266" s="756"/>
    </row>
    <row r="267" spans="1:29">
      <c r="A267" s="756"/>
      <c r="B267" s="215"/>
      <c r="C267" s="759"/>
      <c r="D267" s="762"/>
      <c r="E267" s="393"/>
      <c r="F267" s="390"/>
      <c r="G267" s="400"/>
      <c r="H267" s="544">
        <f t="shared" si="124"/>
        <v>0</v>
      </c>
      <c r="I267" s="389"/>
      <c r="J267" s="390"/>
      <c r="K267" s="434"/>
      <c r="L267" s="395">
        <f t="shared" si="125"/>
        <v>0</v>
      </c>
      <c r="M267" s="432"/>
      <c r="N267" s="434"/>
      <c r="O267" s="434"/>
      <c r="P267" s="434"/>
      <c r="Q267" s="399">
        <f>IF(D259&lt;=3,база!$L$4,
IF(D259=4,база!$L$5,
IF(D259=5,база!$L$6)))</f>
        <v>210.57480000000001</v>
      </c>
      <c r="R267" s="390">
        <v>1.4</v>
      </c>
      <c r="S267" s="400">
        <f>SUMIFS(Таблица14[часы],Таблица14[коэф],"1,4",Таблица14[р/р],"3/16",Таблица14[Ф. И. О.],B264)</f>
        <v>0</v>
      </c>
      <c r="T267" s="544">
        <f t="shared" si="126"/>
        <v>0</v>
      </c>
      <c r="U267" s="472">
        <f>IF(D259&lt;=3,база!$M$4,
IF(D259=4,база!$M$5,
IF(D259=5,база!$M$6)))</f>
        <v>225.09719999999999</v>
      </c>
      <c r="V267" s="390">
        <v>1.4</v>
      </c>
      <c r="W267" s="412">
        <f>SUMIFS(Таблица14[часы],Таблица14[коэф],"1,4",Таблица14[р/р],"3/24",Таблица14[Ф. И. О.],B264)</f>
        <v>0</v>
      </c>
      <c r="X267" s="545">
        <f t="shared" si="127"/>
        <v>0</v>
      </c>
      <c r="Y267" s="764"/>
      <c r="Z267" s="766"/>
      <c r="AA267" s="756"/>
    </row>
    <row r="268" spans="1:29">
      <c r="A268" s="756"/>
      <c r="B268" s="215"/>
      <c r="C268" s="759"/>
      <c r="D268" s="762"/>
      <c r="E268" s="393"/>
      <c r="F268" s="390"/>
      <c r="G268" s="400"/>
      <c r="H268" s="544">
        <f t="shared" si="124"/>
        <v>0</v>
      </c>
      <c r="I268" s="389"/>
      <c r="J268" s="390"/>
      <c r="K268" s="434"/>
      <c r="L268" s="395">
        <f t="shared" si="125"/>
        <v>0</v>
      </c>
      <c r="M268" s="432"/>
      <c r="N268" s="434"/>
      <c r="O268" s="434"/>
      <c r="P268" s="434"/>
      <c r="Q268" s="399">
        <f>база!$L$5</f>
        <v>231.45480000000001</v>
      </c>
      <c r="R268" s="390">
        <v>1.4</v>
      </c>
      <c r="S268" s="400">
        <f>SUMIFS(Таблица14[часы],Таблица14[коэф],"1,4",Таблица14[р/р],"4/16",Таблица14[Ф. И. О.],B264)</f>
        <v>0</v>
      </c>
      <c r="T268" s="544">
        <f t="shared" si="126"/>
        <v>0</v>
      </c>
      <c r="U268" s="472">
        <f>база!$M$5</f>
        <v>247.41720000000001</v>
      </c>
      <c r="V268" s="390">
        <v>1.4</v>
      </c>
      <c r="W268" s="412">
        <f>SUMIFS(Таблица14[часы],Таблица14[коэф],"1,4",Таблица14[р/р],"4/24",Таблица14[Ф. И. О.],B264)</f>
        <v>0</v>
      </c>
      <c r="X268" s="545">
        <f t="shared" si="127"/>
        <v>0</v>
      </c>
      <c r="Y268" s="764"/>
      <c r="Z268" s="766"/>
      <c r="AA268" s="756"/>
    </row>
    <row r="269" spans="1:29" ht="21" thickBot="1">
      <c r="A269" s="757"/>
      <c r="B269" s="202"/>
      <c r="C269" s="760"/>
      <c r="D269" s="763"/>
      <c r="E269" s="463"/>
      <c r="F269" s="464"/>
      <c r="G269" s="465"/>
      <c r="H269" s="549">
        <f t="shared" si="124"/>
        <v>0</v>
      </c>
      <c r="I269" s="473"/>
      <c r="J269" s="464"/>
      <c r="K269" s="457"/>
      <c r="L269" s="458">
        <f t="shared" si="125"/>
        <v>0</v>
      </c>
      <c r="M269" s="466"/>
      <c r="N269" s="457"/>
      <c r="O269" s="457"/>
      <c r="P269" s="457"/>
      <c r="Q269" s="467">
        <f>база!$L$6</f>
        <v>261.04640000000001</v>
      </c>
      <c r="R269" s="464">
        <v>1.4</v>
      </c>
      <c r="S269" s="465">
        <f>SUMIFS(Таблица14[часы],Таблица14[коэф],"1,4",Таблица14[р/р],"5/16",Таблица14[Ф. И. О.],B264)</f>
        <v>0</v>
      </c>
      <c r="T269" s="549">
        <f t="shared" si="126"/>
        <v>0</v>
      </c>
      <c r="U269" s="474">
        <f>база!$M$6</f>
        <v>279.0496</v>
      </c>
      <c r="V269" s="464">
        <v>1.4</v>
      </c>
      <c r="W269" s="470">
        <f>SUMIFS(Таблица14[часы],Таблица14[коэф],"1,4",Таблица14[р/р],"5/24",Таблица14[Ф. И. О.],B264)</f>
        <v>0</v>
      </c>
      <c r="X269" s="547">
        <f t="shared" si="127"/>
        <v>0</v>
      </c>
      <c r="Y269" s="765"/>
      <c r="Z269" s="767"/>
      <c r="AA269" s="757"/>
    </row>
    <row r="270" spans="1:29">
      <c r="A270" s="755">
        <v>25</v>
      </c>
      <c r="B270" s="235"/>
      <c r="C270" s="758">
        <f>INDEX(база!$E$2:$E$81, MATCH(B275,база!$B$2:$B$50,0))</f>
        <v>15608</v>
      </c>
      <c r="D270" s="761">
        <f>INDEX(база!$D$2:$D$89, MATCH(B275,база!$B$2:$B$50,0))</f>
        <v>3</v>
      </c>
      <c r="E270" s="381">
        <f>IF(D270&lt;=3,база!$I$4,
IF(D270=4,база!$I$5,
IF(D270=5,база!$I$6)))</f>
        <v>188.7912</v>
      </c>
      <c r="F270" s="378">
        <v>1</v>
      </c>
      <c r="G270" s="387">
        <f>SUMIFS(Таблица14[часы],Таблица14[коэф],"1",Таблица14[р/р],"2/4",Таблица14[Ф. И. О.],B275)</f>
        <v>0</v>
      </c>
      <c r="H270" s="380">
        <f>ROUND(E270*F270*G270*2,2)</f>
        <v>0</v>
      </c>
      <c r="I270" s="377">
        <f>IF(D270&lt;=3,база!$J$4,
IF(D270=4,база!$J$5,
IF(D270=5,база!$J$6)))</f>
        <v>196.05240000000001</v>
      </c>
      <c r="J270" s="378">
        <v>1</v>
      </c>
      <c r="K270" s="428">
        <f>SUMIFS(Таблица14[часы],Таблица14[коэф],"1",Таблица14[р/р],"2/8",Таблица14[Ф. И. О.],B275)</f>
        <v>0</v>
      </c>
      <c r="L270" s="383">
        <f>ROUND(I270*J270*K270*2,2)</f>
        <v>0</v>
      </c>
      <c r="M270" s="426"/>
      <c r="N270" s="428">
        <v>1</v>
      </c>
      <c r="O270" s="428">
        <f>SUMIFS(Data_Tech!$AM$3:$AM$67,Data_Tech!$E$3:$E$67,"1",Data_Tech!$G$3:$G$67,"3/12",Data_Tech!$F$3:$F$67,B275)</f>
        <v>0</v>
      </c>
      <c r="P270" s="428">
        <f>ROUND(M270*N270*O270,2)</f>
        <v>0</v>
      </c>
      <c r="Q270" s="386">
        <f>IF(D270&lt;=3,база!$L$4,
IF(D270=4,база!$L$5,
IF(D270=5,база!$L$6)))</f>
        <v>210.57480000000001</v>
      </c>
      <c r="R270" s="378">
        <v>1</v>
      </c>
      <c r="S270" s="387">
        <f>SUMIFS(Таблица14[часы],Таблица14[коэф],"1",Таблица14[р/р],"3/16",Таблица14[Ф. И. О.],B275)</f>
        <v>0</v>
      </c>
      <c r="T270" s="548">
        <f>ROUND(Q270*R270*S270*2,2)</f>
        <v>0</v>
      </c>
      <c r="U270" s="471">
        <f>IF(D270&lt;=3,база!$M$4,
IF(D270=4,база!$M$5,
IF(D270=5,база!$M$6)))</f>
        <v>225.09719999999999</v>
      </c>
      <c r="V270" s="378">
        <v>1</v>
      </c>
      <c r="W270" s="430">
        <f>SUMIFS(Таблица14[часы],Таблица14[коэф],"1",Таблица14[р/р],"3/24",Таблица14[Ф. И. О.],B275)</f>
        <v>0</v>
      </c>
      <c r="X270" s="543">
        <f>ROUND(U270*V270*W270*2,2)</f>
        <v>0</v>
      </c>
      <c r="Y270" s="764">
        <f t="shared" ref="Y270" si="128">SUM(G270:G280,K270:K280,O270:O280,S270:S280,W270:W280)</f>
        <v>0</v>
      </c>
      <c r="Z270" s="766">
        <f t="shared" ref="Z270" si="129">IFERROR(SUM(H270:H280,L270:L280,T270:T280,X270:X280),"")</f>
        <v>0</v>
      </c>
      <c r="AA270" s="756"/>
    </row>
    <row r="271" spans="1:29">
      <c r="A271" s="756"/>
      <c r="B271" s="215"/>
      <c r="C271" s="759"/>
      <c r="D271" s="762"/>
      <c r="E271" s="393">
        <f>IF(D270&lt;=3,база!$I$4,
IF(D270=4,база!$I$5,
IF(D270=5,база!$I$6)))</f>
        <v>188.7912</v>
      </c>
      <c r="F271" s="390">
        <v>1</v>
      </c>
      <c r="G271" s="400">
        <f>SUMIFS(Таблица14[часы],Таблица14[коэф],"1",Таблица14[р/р],"3/4",Таблица14[Ф. И. О.],B275)</f>
        <v>0</v>
      </c>
      <c r="H271" s="542">
        <f t="shared" ref="H271:H280" si="130">ROUND(E271*F271*G271*2,2)</f>
        <v>0</v>
      </c>
      <c r="I271" s="389">
        <f>IF(D270&lt;=3,база!$J$4,
IF(D270=4,база!$J$5,
IF(D270=5,база!$J$6)))</f>
        <v>196.05240000000001</v>
      </c>
      <c r="J271" s="390">
        <v>1</v>
      </c>
      <c r="K271" s="434">
        <f>SUMIFS(Таблица14[часы],Таблица14[коэф],"1",Таблица14[р/р],"3/8",Таблица14[Ф. И. О.],B275)</f>
        <v>0</v>
      </c>
      <c r="L271" s="395">
        <f t="shared" ref="L271:L280" si="131">ROUND(I271*J271*K271*2,2)</f>
        <v>0</v>
      </c>
      <c r="M271" s="432"/>
      <c r="N271" s="434">
        <v>1</v>
      </c>
      <c r="O271" s="434">
        <f>SUMIFS(Data_Tech!$AM$3:$AM$67,Data_Tech!$E$3:$E$67,"1",Data_Tech!$G$3:$G$67,"4/12",Data_Tech!$F$3:$F$67,B275)</f>
        <v>0</v>
      </c>
      <c r="P271" s="434">
        <f>ROUND(M271*O271,2)</f>
        <v>0</v>
      </c>
      <c r="Q271" s="399">
        <f>база!$L$5</f>
        <v>231.45480000000001</v>
      </c>
      <c r="R271" s="390">
        <v>1</v>
      </c>
      <c r="S271" s="400">
        <f>SUMIFS(Таблица14[часы],Таблица14[коэф],"1",Таблица14[р/р],"4/16",Таблица14[Ф. И. О.],B275)</f>
        <v>0</v>
      </c>
      <c r="T271" s="544">
        <f t="shared" ref="T271:T280" si="132">ROUND(Q271*R271*S271*2,2)</f>
        <v>0</v>
      </c>
      <c r="U271" s="472">
        <f>база!$M$5</f>
        <v>247.41720000000001</v>
      </c>
      <c r="V271" s="390">
        <v>1</v>
      </c>
      <c r="W271" s="412">
        <f>SUMIFS(Таблица14[часы],Таблица14[коэф],"1",Таблица14[р/р],"4/24",Таблица14[Ф. И. О.],B275)</f>
        <v>0</v>
      </c>
      <c r="X271" s="545">
        <f t="shared" ref="X271:X280" si="133">ROUND(U271*V271*W271*2,2)</f>
        <v>0</v>
      </c>
      <c r="Y271" s="764"/>
      <c r="Z271" s="766"/>
      <c r="AA271" s="756"/>
    </row>
    <row r="272" spans="1:29">
      <c r="A272" s="756"/>
      <c r="B272" s="215"/>
      <c r="C272" s="759"/>
      <c r="D272" s="762"/>
      <c r="E272" s="393"/>
      <c r="F272" s="390"/>
      <c r="G272" s="400"/>
      <c r="H272" s="544">
        <f t="shared" si="130"/>
        <v>0</v>
      </c>
      <c r="I272" s="389"/>
      <c r="J272" s="390"/>
      <c r="K272" s="434"/>
      <c r="L272" s="395">
        <f t="shared" si="131"/>
        <v>0</v>
      </c>
      <c r="M272" s="432"/>
      <c r="N272" s="434"/>
      <c r="O272" s="434"/>
      <c r="P272" s="434"/>
      <c r="Q272" s="399">
        <f>база!$L$6</f>
        <v>261.04640000000001</v>
      </c>
      <c r="R272" s="390">
        <v>1</v>
      </c>
      <c r="S272" s="400">
        <f>SUMIFS(Таблица14[часы],Таблица14[коэф],"1",Таблица14[р/р],"5/16",Таблица14[Ф. И. О.],B275)</f>
        <v>0</v>
      </c>
      <c r="T272" s="544">
        <f t="shared" si="132"/>
        <v>0</v>
      </c>
      <c r="U272" s="472">
        <f>база!$M$6</f>
        <v>279.0496</v>
      </c>
      <c r="V272" s="390">
        <v>1</v>
      </c>
      <c r="W272" s="412">
        <f>SUMIFS(Таблица14[часы],Таблица14[коэф],"1",Таблица14[р/р],"5/24",Таблица14[Ф. И. О.],B275)</f>
        <v>0</v>
      </c>
      <c r="X272" s="545">
        <f t="shared" si="133"/>
        <v>0</v>
      </c>
      <c r="Y272" s="764"/>
      <c r="Z272" s="766"/>
      <c r="AA272" s="756"/>
    </row>
    <row r="273" spans="1:29">
      <c r="A273" s="756"/>
      <c r="B273" s="215"/>
      <c r="C273" s="759"/>
      <c r="D273" s="762"/>
      <c r="E273" s="393"/>
      <c r="F273" s="390"/>
      <c r="G273" s="400"/>
      <c r="H273" s="544">
        <f t="shared" si="130"/>
        <v>0</v>
      </c>
      <c r="I273" s="389">
        <f>база!$J$5</f>
        <v>215.4924</v>
      </c>
      <c r="J273" s="390">
        <v>1.5</v>
      </c>
      <c r="K273" s="434">
        <f>SUMIFS(Таблица14[часы],Таблица14[коэф],"1,5",Таблица14[р/р],"4/8",Таблица14[Ф. И. О.],B275)</f>
        <v>0</v>
      </c>
      <c r="L273" s="395">
        <f t="shared" si="131"/>
        <v>0</v>
      </c>
      <c r="M273" s="432"/>
      <c r="N273" s="434"/>
      <c r="O273" s="434"/>
      <c r="P273" s="434"/>
      <c r="Q273" s="399">
        <f>IF(D270&lt;=3,база!$L$4,
IF(D270=4,база!$L$5,
IF(D270=5,база!$L$6)))</f>
        <v>210.57480000000001</v>
      </c>
      <c r="R273" s="390">
        <v>1.2</v>
      </c>
      <c r="S273" s="400">
        <f>SUMIFS(Таблица14[часы],Таблица14[коэф],"1,2",Таблица14[р/р],"3/16",Таблица14[Ф. И. О.],B275)</f>
        <v>0</v>
      </c>
      <c r="T273" s="544">
        <f t="shared" si="132"/>
        <v>0</v>
      </c>
      <c r="U273" s="472">
        <f>IF(D270&lt;=3,база!$M$4,
IF(D270=4,база!$M$5,
IF(D270=5,база!$M$6)))</f>
        <v>225.09719999999999</v>
      </c>
      <c r="V273" s="390">
        <v>1.2</v>
      </c>
      <c r="W273" s="412">
        <f>SUMIFS(Таблица14[часы],Таблица14[коэф],"1,2",Таблица14[р/р],"3/24",Таблица14[Ф. И. О.],B275)</f>
        <v>0</v>
      </c>
      <c r="X273" s="545">
        <f t="shared" si="133"/>
        <v>0</v>
      </c>
      <c r="Y273" s="764"/>
      <c r="Z273" s="766"/>
      <c r="AA273" s="756"/>
    </row>
    <row r="274" spans="1:29">
      <c r="A274" s="756"/>
      <c r="B274" s="215"/>
      <c r="C274" s="759"/>
      <c r="D274" s="762"/>
      <c r="E274" s="393"/>
      <c r="F274" s="390"/>
      <c r="G274" s="400"/>
      <c r="H274" s="544">
        <f t="shared" si="130"/>
        <v>0</v>
      </c>
      <c r="I274" s="389">
        <f>база!$J$6</f>
        <v>243.04319999999998</v>
      </c>
      <c r="J274" s="390">
        <v>1.5</v>
      </c>
      <c r="K274" s="434">
        <f>SUMIFS(Таблица14[часы],Таблица14[коэф],"1,5",Таблица14[р/р],"5/8",Таблица14[Ф. И. О.],B275)</f>
        <v>0</v>
      </c>
      <c r="L274" s="395">
        <f t="shared" si="131"/>
        <v>0</v>
      </c>
      <c r="M274" s="432"/>
      <c r="N274" s="434"/>
      <c r="O274" s="434"/>
      <c r="P274" s="434"/>
      <c r="Q274" s="399">
        <f>база!$L$5</f>
        <v>231.45480000000001</v>
      </c>
      <c r="R274" s="390">
        <v>1.2</v>
      </c>
      <c r="S274" s="400">
        <f>SUMIFS(Таблица14[часы],Таблица14[коэф],"1,2",Таблица14[р/р],"4/16",Таблица14[Ф. И. О.],B275)</f>
        <v>0</v>
      </c>
      <c r="T274" s="544">
        <f t="shared" si="132"/>
        <v>0</v>
      </c>
      <c r="U274" s="472">
        <f>база!$M$5</f>
        <v>247.41720000000001</v>
      </c>
      <c r="V274" s="390">
        <v>1.2</v>
      </c>
      <c r="W274" s="412">
        <f>SUMIFS(Таблица14[часы],Таблица14[коэф],"1,2",Таблица14[р/р],"4/24",Таблица14[Ф. И. О.],B275)</f>
        <v>0</v>
      </c>
      <c r="X274" s="545">
        <f t="shared" si="133"/>
        <v>0</v>
      </c>
      <c r="Y274" s="764"/>
      <c r="Z274" s="766"/>
      <c r="AA274" s="756"/>
      <c r="AC274" s="752" t="str">
        <f>IF(SUMIFS(Таблица14[Столбец2],Таблица14[Ф. И. О.],B275)-Z270=0,"",SUMIFS(Таблица14[Столбец2],Таблица14[Ф. И. О.],B275)-Z270)</f>
        <v/>
      </c>
    </row>
    <row r="275" spans="1:29">
      <c r="A275" s="756"/>
      <c r="B275" s="215" t="str">
        <f>база!B26</f>
        <v>Журавлева Мария Валентиновна</v>
      </c>
      <c r="C275" s="759"/>
      <c r="D275" s="762"/>
      <c r="E275" s="393"/>
      <c r="F275" s="390"/>
      <c r="G275" s="400"/>
      <c r="H275" s="544">
        <f t="shared" si="130"/>
        <v>0</v>
      </c>
      <c r="I275" s="389"/>
      <c r="J275" s="390"/>
      <c r="K275" s="434"/>
      <c r="L275" s="395">
        <f t="shared" si="131"/>
        <v>0</v>
      </c>
      <c r="M275" s="432"/>
      <c r="N275" s="434"/>
      <c r="O275" s="434"/>
      <c r="P275" s="434"/>
      <c r="Q275" s="399">
        <f>база!$L$6</f>
        <v>261.04640000000001</v>
      </c>
      <c r="R275" s="390">
        <v>1.2</v>
      </c>
      <c r="S275" s="400">
        <f>SUMIFS(Таблица14[часы],Таблица14[коэф],"1,2",Таблица14[р/р],"5/16",Таблица14[Ф. И. О.],B275)</f>
        <v>0</v>
      </c>
      <c r="T275" s="544">
        <f t="shared" si="132"/>
        <v>0</v>
      </c>
      <c r="U275" s="472">
        <f>база!$M$6</f>
        <v>279.0496</v>
      </c>
      <c r="V275" s="390">
        <v>1.2</v>
      </c>
      <c r="W275" s="412">
        <f>SUMIFS(Таблица14[часы],Таблица14[коэф],"1,2",Таблица14[р/р],"5/24",Таблица14[Ф. И. О.],B275)</f>
        <v>0</v>
      </c>
      <c r="X275" s="545">
        <f t="shared" si="133"/>
        <v>0</v>
      </c>
      <c r="Y275" s="764"/>
      <c r="Z275" s="766"/>
      <c r="AA275" s="756"/>
      <c r="AC275" s="752" t="str">
        <f>IF(SUMIFS(Таблица14[часы],Таблица14[Ф. И. О.],B275)-Y270=0,"",SUMIFS(Таблица14[часы],Таблица14[Ф. И. О.],B275)-Y270)</f>
        <v/>
      </c>
    </row>
    <row r="276" spans="1:29">
      <c r="A276" s="756"/>
      <c r="B276" s="215"/>
      <c r="C276" s="759"/>
      <c r="D276" s="762"/>
      <c r="E276" s="393"/>
      <c r="F276" s="390"/>
      <c r="G276" s="400"/>
      <c r="H276" s="544">
        <f t="shared" si="130"/>
        <v>0</v>
      </c>
      <c r="I276" s="389"/>
      <c r="J276" s="390"/>
      <c r="K276" s="434"/>
      <c r="L276" s="395">
        <f t="shared" si="131"/>
        <v>0</v>
      </c>
      <c r="M276" s="432"/>
      <c r="N276" s="434"/>
      <c r="O276" s="434"/>
      <c r="P276" s="434"/>
      <c r="Q276" s="399">
        <f>IF(D270&lt;=3,база!$L$4,
IF(D270=4,база!$L$5,
IF(D270=5,база!$L$6)))</f>
        <v>210.57480000000001</v>
      </c>
      <c r="R276" s="390">
        <v>1.3</v>
      </c>
      <c r="S276" s="400">
        <f>SUMIFS(Таблица14[часы],Таблица14[коэф],"1,3",Таблица14[р/р],"3/16",Таблица14[Ф. И. О.],B275)</f>
        <v>0</v>
      </c>
      <c r="T276" s="544">
        <f t="shared" si="132"/>
        <v>0</v>
      </c>
      <c r="U276" s="472">
        <f>IF(D270&lt;=3,база!$M$4,
IF(D270=4,база!$M$5,
IF(D270=5,база!$M$6)))</f>
        <v>225.09719999999999</v>
      </c>
      <c r="V276" s="390">
        <v>1.3</v>
      </c>
      <c r="W276" s="412">
        <f>SUMIFS(Таблица14[часы],Таблица14[коэф],"1,3",Таблица14[р/р],"3/24",Таблица14[Ф. И. О.],B275)</f>
        <v>0</v>
      </c>
      <c r="X276" s="545">
        <f t="shared" si="133"/>
        <v>0</v>
      </c>
      <c r="Y276" s="764"/>
      <c r="Z276" s="766"/>
      <c r="AA276" s="756"/>
    </row>
    <row r="277" spans="1:29">
      <c r="A277" s="756"/>
      <c r="B277" s="215"/>
      <c r="C277" s="759"/>
      <c r="D277" s="762"/>
      <c r="E277" s="393"/>
      <c r="F277" s="390"/>
      <c r="G277" s="400"/>
      <c r="H277" s="544">
        <f t="shared" si="130"/>
        <v>0</v>
      </c>
      <c r="I277" s="389"/>
      <c r="J277" s="390"/>
      <c r="K277" s="434"/>
      <c r="L277" s="395">
        <f t="shared" si="131"/>
        <v>0</v>
      </c>
      <c r="M277" s="432"/>
      <c r="N277" s="434"/>
      <c r="O277" s="434"/>
      <c r="P277" s="434"/>
      <c r="Q277" s="399">
        <f>база!$L$5</f>
        <v>231.45480000000001</v>
      </c>
      <c r="R277" s="390">
        <v>1.3</v>
      </c>
      <c r="S277" s="400">
        <f>SUMIFS(Таблица14[часы],Таблица14[коэф],"1,3",Таблица14[р/р],"4/16",Таблица14[Ф. И. О.],B275)</f>
        <v>0</v>
      </c>
      <c r="T277" s="544">
        <f t="shared" si="132"/>
        <v>0</v>
      </c>
      <c r="U277" s="472">
        <f>база!$M$5</f>
        <v>247.41720000000001</v>
      </c>
      <c r="V277" s="390">
        <v>1.3</v>
      </c>
      <c r="W277" s="412">
        <f>SUMIFS(Таблица14[часы],Таблица14[коэф],"1,3",Таблица14[р/р],"4/24",Таблица14[Ф. И. О.],B275)</f>
        <v>0</v>
      </c>
      <c r="X277" s="545">
        <f t="shared" si="133"/>
        <v>0</v>
      </c>
      <c r="Y277" s="764"/>
      <c r="Z277" s="766"/>
      <c r="AA277" s="756"/>
    </row>
    <row r="278" spans="1:29">
      <c r="A278" s="756"/>
      <c r="B278" s="215"/>
      <c r="C278" s="759"/>
      <c r="D278" s="762"/>
      <c r="E278" s="393"/>
      <c r="F278" s="390"/>
      <c r="G278" s="400"/>
      <c r="H278" s="544">
        <f t="shared" si="130"/>
        <v>0</v>
      </c>
      <c r="I278" s="389"/>
      <c r="J278" s="390"/>
      <c r="K278" s="434"/>
      <c r="L278" s="395">
        <f t="shared" si="131"/>
        <v>0</v>
      </c>
      <c r="M278" s="432"/>
      <c r="N278" s="434"/>
      <c r="O278" s="434"/>
      <c r="P278" s="434"/>
      <c r="Q278" s="399">
        <f>IF(D270&lt;=3,база!$L$4,
IF(D270=4,база!$L$5,
IF(D270=5,база!$L$6)))</f>
        <v>210.57480000000001</v>
      </c>
      <c r="R278" s="390">
        <v>1.4</v>
      </c>
      <c r="S278" s="400">
        <f>SUMIFS(Таблица14[часы],Таблица14[коэф],"1,4",Таблица14[р/р],"3/16",Таблица14[Ф. И. О.],B275)</f>
        <v>0</v>
      </c>
      <c r="T278" s="544">
        <f t="shared" si="132"/>
        <v>0</v>
      </c>
      <c r="U278" s="472">
        <f>IF(D270&lt;=3,база!$M$4,
IF(D270=4,база!$M$5,
IF(D270=5,база!$M$6)))</f>
        <v>225.09719999999999</v>
      </c>
      <c r="V278" s="390">
        <v>1.4</v>
      </c>
      <c r="W278" s="412">
        <f>SUMIFS(Таблица14[часы],Таблица14[коэф],"1,4",Таблица14[р/р],"3/24",Таблица14[Ф. И. О.],B275)</f>
        <v>0</v>
      </c>
      <c r="X278" s="545">
        <f t="shared" si="133"/>
        <v>0</v>
      </c>
      <c r="Y278" s="764"/>
      <c r="Z278" s="766"/>
      <c r="AA278" s="756"/>
    </row>
    <row r="279" spans="1:29">
      <c r="A279" s="756"/>
      <c r="B279" s="215"/>
      <c r="C279" s="759"/>
      <c r="D279" s="762"/>
      <c r="E279" s="393"/>
      <c r="F279" s="390"/>
      <c r="G279" s="400"/>
      <c r="H279" s="544">
        <f t="shared" si="130"/>
        <v>0</v>
      </c>
      <c r="I279" s="389"/>
      <c r="J279" s="390"/>
      <c r="K279" s="434"/>
      <c r="L279" s="395">
        <f t="shared" si="131"/>
        <v>0</v>
      </c>
      <c r="M279" s="432"/>
      <c r="N279" s="434"/>
      <c r="O279" s="434"/>
      <c r="P279" s="434"/>
      <c r="Q279" s="399">
        <f>база!$L$5</f>
        <v>231.45480000000001</v>
      </c>
      <c r="R279" s="390">
        <v>1.4</v>
      </c>
      <c r="S279" s="400">
        <f>SUMIFS(Таблица14[часы],Таблица14[коэф],"1,4",Таблица14[р/р],"4/16",Таблица14[Ф. И. О.],B275)</f>
        <v>0</v>
      </c>
      <c r="T279" s="544">
        <f t="shared" si="132"/>
        <v>0</v>
      </c>
      <c r="U279" s="472">
        <f>база!$M$5</f>
        <v>247.41720000000001</v>
      </c>
      <c r="V279" s="390">
        <v>1.4</v>
      </c>
      <c r="W279" s="412">
        <f>SUMIFS(Таблица14[часы],Таблица14[коэф],"1,4",Таблица14[р/р],"4/24",Таблица14[Ф. И. О.],B275)</f>
        <v>0</v>
      </c>
      <c r="X279" s="545">
        <f t="shared" si="133"/>
        <v>0</v>
      </c>
      <c r="Y279" s="764"/>
      <c r="Z279" s="766"/>
      <c r="AA279" s="756"/>
    </row>
    <row r="280" spans="1:29" ht="21" thickBot="1">
      <c r="A280" s="757"/>
      <c r="B280" s="202"/>
      <c r="C280" s="760"/>
      <c r="D280" s="763"/>
      <c r="E280" s="463"/>
      <c r="F280" s="464"/>
      <c r="G280" s="465"/>
      <c r="H280" s="549">
        <f t="shared" si="130"/>
        <v>0</v>
      </c>
      <c r="I280" s="473"/>
      <c r="J280" s="464"/>
      <c r="K280" s="457"/>
      <c r="L280" s="458">
        <f t="shared" si="131"/>
        <v>0</v>
      </c>
      <c r="M280" s="466"/>
      <c r="N280" s="457"/>
      <c r="O280" s="457"/>
      <c r="P280" s="457"/>
      <c r="Q280" s="467">
        <f>база!$L$6</f>
        <v>261.04640000000001</v>
      </c>
      <c r="R280" s="464">
        <v>1.4</v>
      </c>
      <c r="S280" s="465">
        <f>SUMIFS(Таблица14[часы],Таблица14[коэф],"1,4",Таблица14[р/р],"5/16",Таблица14[Ф. И. О.],B275)</f>
        <v>0</v>
      </c>
      <c r="T280" s="549">
        <f t="shared" si="132"/>
        <v>0</v>
      </c>
      <c r="U280" s="474">
        <f>база!$M$6</f>
        <v>279.0496</v>
      </c>
      <c r="V280" s="464">
        <v>1.4</v>
      </c>
      <c r="W280" s="470">
        <f>SUMIFS(Таблица14[часы],Таблица14[коэф],"1,4",Таблица14[р/р],"5/24",Таблица14[Ф. И. О.],B275)</f>
        <v>0</v>
      </c>
      <c r="X280" s="547">
        <f t="shared" si="133"/>
        <v>0</v>
      </c>
      <c r="Y280" s="765"/>
      <c r="Z280" s="767"/>
      <c r="AA280" s="757"/>
    </row>
    <row r="281" spans="1:29">
      <c r="A281" s="755">
        <v>26</v>
      </c>
      <c r="B281" s="235"/>
      <c r="C281" s="758">
        <f>INDEX(база!$E$2:$E$81, MATCH(B286,база!$B$2:$B$50,0))</f>
        <v>17129</v>
      </c>
      <c r="D281" s="761">
        <f>INDEX(база!$D$2:$D$89, MATCH(B286,база!$B$2:$B$50,0))</f>
        <v>3</v>
      </c>
      <c r="E281" s="381">
        <f>IF(D281&lt;=3,база!$I$4,
IF(D281=4,база!$I$5,
IF(D281=5,база!$I$6)))</f>
        <v>188.7912</v>
      </c>
      <c r="F281" s="378">
        <v>1</v>
      </c>
      <c r="G281" s="387">
        <f>SUMIFS(Таблица14[часы],Таблица14[коэф],"1",Таблица14[р/р],"2/4",Таблица14[Ф. И. О.],B286)</f>
        <v>0</v>
      </c>
      <c r="H281" s="380">
        <f>ROUND(E281*F281*G281*2,2)</f>
        <v>0</v>
      </c>
      <c r="I281" s="377">
        <f>IF(D281&lt;=3,база!$J$4,
IF(D281=4,база!$J$5,
IF(D281=5,база!$J$6)))</f>
        <v>196.05240000000001</v>
      </c>
      <c r="J281" s="378">
        <v>1</v>
      </c>
      <c r="K281" s="428">
        <f>SUMIFS(Таблица14[часы],Таблица14[коэф],"1",Таблица14[р/р],"2/8",Таблица14[Ф. И. О.],B286)</f>
        <v>0</v>
      </c>
      <c r="L281" s="383">
        <f>ROUND(I281*J281*K281*2,2)</f>
        <v>0</v>
      </c>
      <c r="M281" s="426"/>
      <c r="N281" s="428">
        <v>1</v>
      </c>
      <c r="O281" s="428">
        <f>SUMIFS(Data_Tech!$AM$3:$AM$67,Data_Tech!$E$3:$E$67,"1",Data_Tech!$G$3:$G$67,"3/12",Data_Tech!$F$3:$F$67,B286)</f>
        <v>0</v>
      </c>
      <c r="P281" s="428">
        <f>ROUND(M281*N281*O281,2)</f>
        <v>0</v>
      </c>
      <c r="Q281" s="386">
        <f>IF(D281&lt;=3,база!$L$4,
IF(D281=4,база!$L$5,
IF(D281=5,база!$L$6)))</f>
        <v>210.57480000000001</v>
      </c>
      <c r="R281" s="378">
        <v>1</v>
      </c>
      <c r="S281" s="387">
        <f>SUMIFS(Таблица14[часы],Таблица14[коэф],"1",Таблица14[р/р],"3/16",Таблица14[Ф. И. О.],B286)</f>
        <v>0</v>
      </c>
      <c r="T281" s="548">
        <f>ROUND(Q281*R281*S281*2,2)</f>
        <v>0</v>
      </c>
      <c r="U281" s="471">
        <f>IF(D281&lt;=3,база!$M$4,
IF(D281=4,база!$M$5,
IF(D281=5,база!$M$6)))</f>
        <v>225.09719999999999</v>
      </c>
      <c r="V281" s="378">
        <v>1</v>
      </c>
      <c r="W281" s="430">
        <f>SUMIFS(Таблица14[часы],Таблица14[коэф],"1",Таблица14[р/р],"3/24",Таблица14[Ф. И. О.],B286)</f>
        <v>0</v>
      </c>
      <c r="X281" s="543">
        <f>ROUND(U281*V281*W281*2,2)</f>
        <v>0</v>
      </c>
      <c r="Y281" s="764">
        <f t="shared" ref="Y281" si="134">SUM(G281:G291,K281:K291,O281:O291,S281:S291,W281:W291)</f>
        <v>0</v>
      </c>
      <c r="Z281" s="766">
        <f t="shared" ref="Z281" si="135">IFERROR(SUM(H281:H291,L281:L291,T281:T291,X281:X291),"")</f>
        <v>0</v>
      </c>
      <c r="AA281" s="756"/>
    </row>
    <row r="282" spans="1:29">
      <c r="A282" s="756"/>
      <c r="B282" s="215"/>
      <c r="C282" s="759"/>
      <c r="D282" s="762"/>
      <c r="E282" s="393">
        <f>IF(D281&lt;=3,база!$I$4,
IF(D281=4,база!$I$5,
IF(D281=5,база!$I$6)))</f>
        <v>188.7912</v>
      </c>
      <c r="F282" s="390">
        <v>1</v>
      </c>
      <c r="G282" s="400">
        <f>SUMIFS(Таблица14[часы],Таблица14[коэф],"1",Таблица14[р/р],"3/4",Таблица14[Ф. И. О.],B286)</f>
        <v>0</v>
      </c>
      <c r="H282" s="542">
        <f t="shared" ref="H282:H291" si="136">ROUND(E282*F282*G282*2,2)</f>
        <v>0</v>
      </c>
      <c r="I282" s="389">
        <f>IF(D281&lt;=3,база!$J$4,
IF(D281=4,база!$J$5,
IF(D281=5,база!$J$6)))</f>
        <v>196.05240000000001</v>
      </c>
      <c r="J282" s="390">
        <v>1</v>
      </c>
      <c r="K282" s="434">
        <f>SUMIFS(Таблица14[часы],Таблица14[коэф],"1",Таблица14[р/р],"3/8",Таблица14[Ф. И. О.],B286)</f>
        <v>0</v>
      </c>
      <c r="L282" s="395">
        <f t="shared" ref="L282:L291" si="137">ROUND(I282*J282*K282*2,2)</f>
        <v>0</v>
      </c>
      <c r="M282" s="432"/>
      <c r="N282" s="434">
        <v>1</v>
      </c>
      <c r="O282" s="434">
        <f>SUMIFS(Data_Tech!$AM$3:$AM$67,Data_Tech!$E$3:$E$67,"1",Data_Tech!$G$3:$G$67,"4/12",Data_Tech!$F$3:$F$67,B286)</f>
        <v>0</v>
      </c>
      <c r="P282" s="434">
        <f>ROUND(M282*O282,2)</f>
        <v>0</v>
      </c>
      <c r="Q282" s="399">
        <f>база!$L$5</f>
        <v>231.45480000000001</v>
      </c>
      <c r="R282" s="390">
        <v>1</v>
      </c>
      <c r="S282" s="400">
        <f>SUMIFS(Таблица14[часы],Таблица14[коэф],"1",Таблица14[р/р],"4/16",Таблица14[Ф. И. О.],B286)</f>
        <v>0</v>
      </c>
      <c r="T282" s="544">
        <f t="shared" ref="T282:T291" si="138">ROUND(Q282*R282*S282*2,2)</f>
        <v>0</v>
      </c>
      <c r="U282" s="472">
        <f>база!$M$5</f>
        <v>247.41720000000001</v>
      </c>
      <c r="V282" s="390">
        <v>1</v>
      </c>
      <c r="W282" s="412">
        <f>SUMIFS(Таблица14[часы],Таблица14[коэф],"1",Таблица14[р/р],"4/24",Таблица14[Ф. И. О.],B286)</f>
        <v>0</v>
      </c>
      <c r="X282" s="545">
        <f t="shared" ref="X282:X291" si="139">ROUND(U282*V282*W282*2,2)</f>
        <v>0</v>
      </c>
      <c r="Y282" s="764"/>
      <c r="Z282" s="766"/>
      <c r="AA282" s="756"/>
    </row>
    <row r="283" spans="1:29">
      <c r="A283" s="756"/>
      <c r="B283" s="215"/>
      <c r="C283" s="759"/>
      <c r="D283" s="762"/>
      <c r="E283" s="393"/>
      <c r="F283" s="390"/>
      <c r="G283" s="400"/>
      <c r="H283" s="544">
        <f t="shared" si="136"/>
        <v>0</v>
      </c>
      <c r="I283" s="389"/>
      <c r="J283" s="390"/>
      <c r="K283" s="434"/>
      <c r="L283" s="395">
        <f t="shared" si="137"/>
        <v>0</v>
      </c>
      <c r="M283" s="432"/>
      <c r="N283" s="434"/>
      <c r="O283" s="434"/>
      <c r="P283" s="434"/>
      <c r="Q283" s="399">
        <f>база!$L$6</f>
        <v>261.04640000000001</v>
      </c>
      <c r="R283" s="390">
        <v>1</v>
      </c>
      <c r="S283" s="400">
        <f>SUMIFS(Таблица14[часы],Таблица14[коэф],"1",Таблица14[р/р],"5/16",Таблица14[Ф. И. О.],B286)</f>
        <v>0</v>
      </c>
      <c r="T283" s="544">
        <f t="shared" si="138"/>
        <v>0</v>
      </c>
      <c r="U283" s="472">
        <f>база!$M$6</f>
        <v>279.0496</v>
      </c>
      <c r="V283" s="390">
        <v>1</v>
      </c>
      <c r="W283" s="412">
        <f>SUMIFS(Таблица14[часы],Таблица14[коэф],"1",Таблица14[р/р],"5/24",Таблица14[Ф. И. О.],B286)</f>
        <v>0</v>
      </c>
      <c r="X283" s="545">
        <f t="shared" si="139"/>
        <v>0</v>
      </c>
      <c r="Y283" s="764"/>
      <c r="Z283" s="766"/>
      <c r="AA283" s="756"/>
    </row>
    <row r="284" spans="1:29">
      <c r="A284" s="756"/>
      <c r="B284" s="215"/>
      <c r="C284" s="759"/>
      <c r="D284" s="762"/>
      <c r="E284" s="393"/>
      <c r="F284" s="390"/>
      <c r="G284" s="400"/>
      <c r="H284" s="544">
        <f t="shared" si="136"/>
        <v>0</v>
      </c>
      <c r="I284" s="389">
        <f>база!$J$5</f>
        <v>215.4924</v>
      </c>
      <c r="J284" s="390">
        <v>1.5</v>
      </c>
      <c r="K284" s="434">
        <f>SUMIFS(Таблица14[часы],Таблица14[коэф],"1,5",Таблица14[р/р],"4/8",Таблица14[Ф. И. О.],B286)</f>
        <v>0</v>
      </c>
      <c r="L284" s="395">
        <f t="shared" si="137"/>
        <v>0</v>
      </c>
      <c r="M284" s="432"/>
      <c r="N284" s="434"/>
      <c r="O284" s="434"/>
      <c r="P284" s="434"/>
      <c r="Q284" s="399">
        <f>IF(D281&lt;=3,база!$L$4,
IF(D281=4,база!$L$5,
IF(D281=5,база!$L$6)))</f>
        <v>210.57480000000001</v>
      </c>
      <c r="R284" s="390">
        <v>1.2</v>
      </c>
      <c r="S284" s="400">
        <f>SUMIFS(Таблица14[часы],Таблица14[коэф],"1,2",Таблица14[р/р],"3/16",Таблица14[Ф. И. О.],B286)</f>
        <v>0</v>
      </c>
      <c r="T284" s="544">
        <f t="shared" si="138"/>
        <v>0</v>
      </c>
      <c r="U284" s="472">
        <f>IF(D281&lt;=3,база!$M$4,
IF(D281=4,база!$M$5,
IF(D281=5,база!$M$6)))</f>
        <v>225.09719999999999</v>
      </c>
      <c r="V284" s="390">
        <v>1.2</v>
      </c>
      <c r="W284" s="412">
        <f>SUMIFS(Таблица14[часы],Таблица14[коэф],"1,2",Таблица14[р/р],"3/24",Таблица14[Ф. И. О.],B286)</f>
        <v>0</v>
      </c>
      <c r="X284" s="545">
        <f t="shared" si="139"/>
        <v>0</v>
      </c>
      <c r="Y284" s="764"/>
      <c r="Z284" s="766"/>
      <c r="AA284" s="756"/>
    </row>
    <row r="285" spans="1:29">
      <c r="A285" s="756"/>
      <c r="B285" s="215"/>
      <c r="C285" s="759"/>
      <c r="D285" s="762"/>
      <c r="E285" s="393"/>
      <c r="F285" s="390"/>
      <c r="G285" s="400"/>
      <c r="H285" s="544">
        <f t="shared" si="136"/>
        <v>0</v>
      </c>
      <c r="I285" s="389">
        <f>база!$J$6</f>
        <v>243.04319999999998</v>
      </c>
      <c r="J285" s="390">
        <v>1.5</v>
      </c>
      <c r="K285" s="434">
        <f>SUMIFS(Таблица14[часы],Таблица14[коэф],"1,5",Таблица14[р/р],"5/8",Таблица14[Ф. И. О.],B286)</f>
        <v>0</v>
      </c>
      <c r="L285" s="395">
        <f t="shared" si="137"/>
        <v>0</v>
      </c>
      <c r="M285" s="432"/>
      <c r="N285" s="434"/>
      <c r="O285" s="434"/>
      <c r="P285" s="434"/>
      <c r="Q285" s="399">
        <f>база!$L$5</f>
        <v>231.45480000000001</v>
      </c>
      <c r="R285" s="390">
        <v>1.2</v>
      </c>
      <c r="S285" s="400">
        <f>SUMIFS(Таблица14[часы],Таблица14[коэф],"1,2",Таблица14[р/р],"4/16",Таблица14[Ф. И. О.],B286)</f>
        <v>0</v>
      </c>
      <c r="T285" s="544">
        <f t="shared" si="138"/>
        <v>0</v>
      </c>
      <c r="U285" s="472">
        <f>база!$M$5</f>
        <v>247.41720000000001</v>
      </c>
      <c r="V285" s="390">
        <v>1.2</v>
      </c>
      <c r="W285" s="412">
        <f>SUMIFS(Таблица14[часы],Таблица14[коэф],"1,2",Таблица14[р/р],"4/24",Таблица14[Ф. И. О.],B286)</f>
        <v>0</v>
      </c>
      <c r="X285" s="545">
        <f t="shared" si="139"/>
        <v>0</v>
      </c>
      <c r="Y285" s="764"/>
      <c r="Z285" s="766"/>
      <c r="AA285" s="756"/>
    </row>
    <row r="286" spans="1:29" ht="20.25" customHeight="1">
      <c r="A286" s="756"/>
      <c r="B286" s="215" t="str">
        <f>база!B27</f>
        <v>Зинина Екатерина Олеговна</v>
      </c>
      <c r="C286" s="759"/>
      <c r="D286" s="762"/>
      <c r="E286" s="393"/>
      <c r="F286" s="390"/>
      <c r="G286" s="400"/>
      <c r="H286" s="544">
        <f t="shared" si="136"/>
        <v>0</v>
      </c>
      <c r="I286" s="389"/>
      <c r="J286" s="390"/>
      <c r="K286" s="434"/>
      <c r="L286" s="395">
        <f t="shared" si="137"/>
        <v>0</v>
      </c>
      <c r="M286" s="432"/>
      <c r="N286" s="434"/>
      <c r="O286" s="434"/>
      <c r="P286" s="434"/>
      <c r="Q286" s="399">
        <f>база!$L$6</f>
        <v>261.04640000000001</v>
      </c>
      <c r="R286" s="390">
        <v>1.2</v>
      </c>
      <c r="S286" s="400">
        <f>SUMIFS(Таблица14[часы],Таблица14[коэф],"1,2",Таблица14[р/р],"5/16",Таблица14[Ф. И. О.],B286)</f>
        <v>0</v>
      </c>
      <c r="T286" s="544">
        <f t="shared" si="138"/>
        <v>0</v>
      </c>
      <c r="U286" s="472">
        <f>база!$M$6</f>
        <v>279.0496</v>
      </c>
      <c r="V286" s="390">
        <v>1.2</v>
      </c>
      <c r="W286" s="412">
        <f>SUMIFS(Таблица14[часы],Таблица14[коэф],"1,2",Таблица14[р/р],"5/24",Таблица14[Ф. И. О.],B286)</f>
        <v>0</v>
      </c>
      <c r="X286" s="545">
        <f t="shared" si="139"/>
        <v>0</v>
      </c>
      <c r="Y286" s="764"/>
      <c r="Z286" s="766"/>
      <c r="AA286" s="756"/>
      <c r="AC286" s="752" t="str">
        <f>IF(SUMIFS(Таблица14[Столбец2],Таблица14[Ф. И. О.],B286)-Z281=0,"",SUMIFS(Таблица14[Столбец2],Таблица14[Ф. И. О.],B286)-Z281)</f>
        <v/>
      </c>
    </row>
    <row r="287" spans="1:29">
      <c r="A287" s="756"/>
      <c r="B287" s="215"/>
      <c r="C287" s="759"/>
      <c r="D287" s="762"/>
      <c r="E287" s="393"/>
      <c r="F287" s="390"/>
      <c r="G287" s="400"/>
      <c r="H287" s="544">
        <f t="shared" si="136"/>
        <v>0</v>
      </c>
      <c r="I287" s="389"/>
      <c r="J287" s="390"/>
      <c r="K287" s="434"/>
      <c r="L287" s="395">
        <f t="shared" si="137"/>
        <v>0</v>
      </c>
      <c r="M287" s="432"/>
      <c r="N287" s="434"/>
      <c r="O287" s="434"/>
      <c r="P287" s="434"/>
      <c r="Q287" s="399">
        <f>IF(D281&lt;=3,база!$L$4,
IF(D281=4,база!$L$5,
IF(D281=5,база!$L$6)))</f>
        <v>210.57480000000001</v>
      </c>
      <c r="R287" s="390">
        <v>1.3</v>
      </c>
      <c r="S287" s="400">
        <f>SUMIFS(Таблица14[часы],Таблица14[коэф],"1,3",Таблица14[р/р],"3/16",Таблица14[Ф. И. О.],B286)</f>
        <v>0</v>
      </c>
      <c r="T287" s="544">
        <f t="shared" si="138"/>
        <v>0</v>
      </c>
      <c r="U287" s="472">
        <f>IF(D281&lt;=3,база!$M$4,
IF(D281=4,база!$M$5,
IF(D281=5,база!$M$6)))</f>
        <v>225.09719999999999</v>
      </c>
      <c r="V287" s="390">
        <v>1.3</v>
      </c>
      <c r="W287" s="412">
        <f>SUMIFS(Таблица14[часы],Таблица14[коэф],"1,3",Таблица14[р/р],"3/24",Таблица14[Ф. И. О.],B286)</f>
        <v>0</v>
      </c>
      <c r="X287" s="545">
        <f t="shared" si="139"/>
        <v>0</v>
      </c>
      <c r="Y287" s="764"/>
      <c r="Z287" s="766"/>
      <c r="AA287" s="756"/>
      <c r="AC287" s="752" t="str">
        <f>IF(SUMIFS(Таблица14[часы],Таблица14[Ф. И. О.],B286)-Y281=0,"",SUMIFS(Таблица14[часы],Таблица14[Ф. И. О.],B286)-Y281)</f>
        <v/>
      </c>
    </row>
    <row r="288" spans="1:29">
      <c r="A288" s="756"/>
      <c r="B288" s="215"/>
      <c r="C288" s="759"/>
      <c r="D288" s="762"/>
      <c r="E288" s="393"/>
      <c r="F288" s="390"/>
      <c r="G288" s="400"/>
      <c r="H288" s="544">
        <f t="shared" si="136"/>
        <v>0</v>
      </c>
      <c r="I288" s="389"/>
      <c r="J288" s="390"/>
      <c r="K288" s="434"/>
      <c r="L288" s="395">
        <f t="shared" si="137"/>
        <v>0</v>
      </c>
      <c r="M288" s="432"/>
      <c r="N288" s="434"/>
      <c r="O288" s="434"/>
      <c r="P288" s="434"/>
      <c r="Q288" s="399">
        <f>база!$L$5</f>
        <v>231.45480000000001</v>
      </c>
      <c r="R288" s="390">
        <v>1.3</v>
      </c>
      <c r="S288" s="400">
        <f>SUMIFS(Таблица14[часы],Таблица14[коэф],"1,3",Таблица14[р/р],"4/16",Таблица14[Ф. И. О.],B286)</f>
        <v>0</v>
      </c>
      <c r="T288" s="544">
        <f t="shared" si="138"/>
        <v>0</v>
      </c>
      <c r="U288" s="472">
        <f>база!$M$5</f>
        <v>247.41720000000001</v>
      </c>
      <c r="V288" s="390">
        <v>1.3</v>
      </c>
      <c r="W288" s="412">
        <f>SUMIFS(Таблица14[часы],Таблица14[коэф],"1,3",Таблица14[р/р],"4/24",Таблица14[Ф. И. О.],B286)</f>
        <v>0</v>
      </c>
      <c r="X288" s="545">
        <f t="shared" si="139"/>
        <v>0</v>
      </c>
      <c r="Y288" s="764"/>
      <c r="Z288" s="766"/>
      <c r="AA288" s="756"/>
    </row>
    <row r="289" spans="1:29">
      <c r="A289" s="756"/>
      <c r="B289" s="215"/>
      <c r="C289" s="759"/>
      <c r="D289" s="762"/>
      <c r="E289" s="393"/>
      <c r="F289" s="390"/>
      <c r="G289" s="400"/>
      <c r="H289" s="544">
        <f t="shared" si="136"/>
        <v>0</v>
      </c>
      <c r="I289" s="389"/>
      <c r="J289" s="390"/>
      <c r="K289" s="434"/>
      <c r="L289" s="395">
        <f t="shared" si="137"/>
        <v>0</v>
      </c>
      <c r="M289" s="432"/>
      <c r="N289" s="434"/>
      <c r="O289" s="434"/>
      <c r="P289" s="434"/>
      <c r="Q289" s="399">
        <f>IF(D281&lt;=3,база!$L$4,
IF(D281=4,база!$L$5,
IF(D281=5,база!$L$6)))</f>
        <v>210.57480000000001</v>
      </c>
      <c r="R289" s="390">
        <v>1.4</v>
      </c>
      <c r="S289" s="400">
        <f>SUMIFS(Таблица14[часы],Таблица14[коэф],"1,4",Таблица14[р/р],"3/16",Таблица14[Ф. И. О.],B286)</f>
        <v>0</v>
      </c>
      <c r="T289" s="544">
        <f t="shared" si="138"/>
        <v>0</v>
      </c>
      <c r="U289" s="472">
        <f>IF(D281&lt;=3,база!$M$4,
IF(D281=4,база!$M$5,
IF(D281=5,база!$M$6)))</f>
        <v>225.09719999999999</v>
      </c>
      <c r="V289" s="390">
        <v>1.4</v>
      </c>
      <c r="W289" s="412">
        <f>SUMIFS(Таблица14[часы],Таблица14[коэф],"1,4",Таблица14[р/р],"3/24",Таблица14[Ф. И. О.],B286)</f>
        <v>0</v>
      </c>
      <c r="X289" s="545">
        <f t="shared" si="139"/>
        <v>0</v>
      </c>
      <c r="Y289" s="764"/>
      <c r="Z289" s="766"/>
      <c r="AA289" s="756"/>
    </row>
    <row r="290" spans="1:29">
      <c r="A290" s="756"/>
      <c r="B290" s="215"/>
      <c r="C290" s="759"/>
      <c r="D290" s="762"/>
      <c r="E290" s="393"/>
      <c r="F290" s="390"/>
      <c r="G290" s="400"/>
      <c r="H290" s="544">
        <f t="shared" si="136"/>
        <v>0</v>
      </c>
      <c r="I290" s="389"/>
      <c r="J290" s="390"/>
      <c r="K290" s="434"/>
      <c r="L290" s="395">
        <f t="shared" si="137"/>
        <v>0</v>
      </c>
      <c r="M290" s="432"/>
      <c r="N290" s="434"/>
      <c r="O290" s="434"/>
      <c r="P290" s="434"/>
      <c r="Q290" s="399">
        <f>база!$L$5</f>
        <v>231.45480000000001</v>
      </c>
      <c r="R290" s="390">
        <v>1.4</v>
      </c>
      <c r="S290" s="400">
        <f>SUMIFS(Таблица14[часы],Таблица14[коэф],"1,4",Таблица14[р/р],"4/16",Таблица14[Ф. И. О.],B286)</f>
        <v>0</v>
      </c>
      <c r="T290" s="544">
        <f t="shared" si="138"/>
        <v>0</v>
      </c>
      <c r="U290" s="472">
        <f>база!$M$5</f>
        <v>247.41720000000001</v>
      </c>
      <c r="V290" s="390">
        <v>1.4</v>
      </c>
      <c r="W290" s="412">
        <f>SUMIFS(Таблица14[часы],Таблица14[коэф],"1,4",Таблица14[р/р],"4/24",Таблица14[Ф. И. О.],B286)</f>
        <v>0</v>
      </c>
      <c r="X290" s="545">
        <f t="shared" si="139"/>
        <v>0</v>
      </c>
      <c r="Y290" s="764"/>
      <c r="Z290" s="766"/>
      <c r="AA290" s="756"/>
    </row>
    <row r="291" spans="1:29" ht="21" thickBot="1">
      <c r="A291" s="757"/>
      <c r="B291" s="202"/>
      <c r="C291" s="760"/>
      <c r="D291" s="763"/>
      <c r="E291" s="463"/>
      <c r="F291" s="464"/>
      <c r="G291" s="465"/>
      <c r="H291" s="549">
        <f t="shared" si="136"/>
        <v>0</v>
      </c>
      <c r="I291" s="473"/>
      <c r="J291" s="464"/>
      <c r="K291" s="457"/>
      <c r="L291" s="458">
        <f t="shared" si="137"/>
        <v>0</v>
      </c>
      <c r="M291" s="466"/>
      <c r="N291" s="457"/>
      <c r="O291" s="457"/>
      <c r="P291" s="457"/>
      <c r="Q291" s="467">
        <f>база!$L$6</f>
        <v>261.04640000000001</v>
      </c>
      <c r="R291" s="464">
        <v>1.4</v>
      </c>
      <c r="S291" s="465">
        <f>SUMIFS(Таблица14[часы],Таблица14[коэф],"1,4",Таблица14[р/р],"5/16",Таблица14[Ф. И. О.],B286)</f>
        <v>0</v>
      </c>
      <c r="T291" s="549">
        <f t="shared" si="138"/>
        <v>0</v>
      </c>
      <c r="U291" s="474">
        <f>база!$M$6</f>
        <v>279.0496</v>
      </c>
      <c r="V291" s="464">
        <v>1.4</v>
      </c>
      <c r="W291" s="470">
        <f>SUMIFS(Таблица14[часы],Таблица14[коэф],"1,4",Таблица14[р/р],"5/24",Таблица14[Ф. И. О.],B286)</f>
        <v>0</v>
      </c>
      <c r="X291" s="547">
        <f t="shared" si="139"/>
        <v>0</v>
      </c>
      <c r="Y291" s="765"/>
      <c r="Z291" s="767"/>
      <c r="AA291" s="757"/>
    </row>
    <row r="292" spans="1:29">
      <c r="A292" s="755">
        <v>27</v>
      </c>
      <c r="B292" s="235"/>
      <c r="C292" s="758">
        <f>INDEX(база!$E$2:$E$81, MATCH(B297,база!$B$2:$B$50,0))</f>
        <v>13676</v>
      </c>
      <c r="D292" s="761">
        <f>INDEX(база!$D$2:$D$89, MATCH(B297,база!$B$2:$B$50,0))</f>
        <v>4</v>
      </c>
      <c r="E292" s="381">
        <f>IF(D292&lt;=3,база!$I$4,
IF(D292=4,база!$I$5,
IF(D292=5,база!$I$6)))</f>
        <v>207.5112</v>
      </c>
      <c r="F292" s="378">
        <v>1</v>
      </c>
      <c r="G292" s="387">
        <f>SUMIFS(Таблица14[часы],Таблица14[коэф],"1",Таблица14[р/р],"2/4",Таблица14[Ф. И. О.],B297)</f>
        <v>0</v>
      </c>
      <c r="H292" s="380">
        <f>ROUND(E292*F292*G292*2,2)</f>
        <v>0</v>
      </c>
      <c r="I292" s="377">
        <f>IF(D292&lt;=3,база!$J$4,
IF(D292=4,база!$J$5,
IF(D292=5,база!$J$6)))</f>
        <v>215.4924</v>
      </c>
      <c r="J292" s="378">
        <v>1</v>
      </c>
      <c r="K292" s="428">
        <f>SUMIFS(Таблица14[часы],Таблица14[коэф],"1",Таблица14[р/р],"2/8",Таблица14[Ф. И. О.],B297)</f>
        <v>0</v>
      </c>
      <c r="L292" s="383">
        <f>ROUND(I292*J292*K292*2,2)</f>
        <v>0</v>
      </c>
      <c r="M292" s="426"/>
      <c r="N292" s="428">
        <v>1</v>
      </c>
      <c r="O292" s="428">
        <f>SUMIFS(Data_Tech!$AM$3:$AM$67,Data_Tech!$E$3:$E$67,"1",Data_Tech!$G$3:$G$67,"3/12",Data_Tech!$F$3:$F$67,B297)</f>
        <v>0</v>
      </c>
      <c r="P292" s="428">
        <f>ROUND(M292*N292*O292,2)</f>
        <v>0</v>
      </c>
      <c r="Q292" s="386">
        <f>IF(D292&lt;=3,база!$L$4,
IF(D292=4,база!$L$5,
IF(D292=5,база!$L$6)))</f>
        <v>231.45480000000001</v>
      </c>
      <c r="R292" s="378">
        <v>1</v>
      </c>
      <c r="S292" s="387">
        <f>SUMIFS(Таблица14[часы],Таблица14[коэф],"1",Таблица14[р/р],"3/16",Таблица14[Ф. И. О.],B297)</f>
        <v>0</v>
      </c>
      <c r="T292" s="548">
        <f>ROUND(Q292*R292*S292*2,2)</f>
        <v>0</v>
      </c>
      <c r="U292" s="471">
        <f>IF(D292&lt;=3,база!$M$4,
IF(D292=4,база!$M$5,
IF(D292=5,база!$M$6)))</f>
        <v>247.41720000000001</v>
      </c>
      <c r="V292" s="378">
        <v>1</v>
      </c>
      <c r="W292" s="430">
        <f>SUMIFS(Таблица14[часы],Таблица14[коэф],"1",Таблица14[р/р],"3/24",Таблица14[Ф. И. О.],B297)</f>
        <v>0</v>
      </c>
      <c r="X292" s="543">
        <f>ROUND(U292*V292*W292*2,2)</f>
        <v>0</v>
      </c>
      <c r="Y292" s="764">
        <f t="shared" ref="Y292" si="140">SUM(G292:G302,K292:K302,O292:O302,S292:S302,W292:W302)</f>
        <v>0</v>
      </c>
      <c r="Z292" s="766">
        <f t="shared" ref="Z292" si="141">IFERROR(SUM(H292:H302,L292:L302,T292:T302,X292:X302),"")</f>
        <v>0</v>
      </c>
      <c r="AA292" s="756"/>
    </row>
    <row r="293" spans="1:29">
      <c r="A293" s="756"/>
      <c r="B293" s="215"/>
      <c r="C293" s="759"/>
      <c r="D293" s="762"/>
      <c r="E293" s="393">
        <f>IF(D292&lt;=3,база!$I$4,
IF(D292=4,база!$I$5,
IF(D292=5,база!$I$6)))</f>
        <v>207.5112</v>
      </c>
      <c r="F293" s="390">
        <v>1</v>
      </c>
      <c r="G293" s="400">
        <f>SUMIFS(Таблица14[часы],Таблица14[коэф],"1",Таблица14[р/р],"3/4",Таблица14[Ф. И. О.],B297)</f>
        <v>0</v>
      </c>
      <c r="H293" s="542">
        <f t="shared" ref="H293:H302" si="142">ROUND(E293*F293*G293*2,2)</f>
        <v>0</v>
      </c>
      <c r="I293" s="389">
        <f>IF(D292&lt;=3,база!$J$4,
IF(D292=4,база!$J$5,
IF(D292=5,база!$J$6)))</f>
        <v>215.4924</v>
      </c>
      <c r="J293" s="390">
        <v>1</v>
      </c>
      <c r="K293" s="434">
        <f>SUMIFS(Таблица14[часы],Таблица14[коэф],"1",Таблица14[р/р],"3/8",Таблица14[Ф. И. О.],B297)</f>
        <v>0</v>
      </c>
      <c r="L293" s="395">
        <f t="shared" ref="L293:L302" si="143">ROUND(I293*J293*K293*2,2)</f>
        <v>0</v>
      </c>
      <c r="M293" s="432"/>
      <c r="N293" s="434">
        <v>1</v>
      </c>
      <c r="O293" s="434">
        <f>SUMIFS(Data_Tech!$AM$3:$AM$67,Data_Tech!$E$3:$E$67,"1",Data_Tech!$G$3:$G$67,"4/12",Data_Tech!$F$3:$F$67,B297)</f>
        <v>0</v>
      </c>
      <c r="P293" s="434">
        <f>ROUND(M293*O293,2)</f>
        <v>0</v>
      </c>
      <c r="Q293" s="399">
        <f>база!$L$5</f>
        <v>231.45480000000001</v>
      </c>
      <c r="R293" s="390">
        <v>1</v>
      </c>
      <c r="S293" s="400">
        <f>SUMIFS(Таблица14[часы],Таблица14[коэф],"1",Таблица14[р/р],"4/16",Таблица14[Ф. И. О.],B297)</f>
        <v>0</v>
      </c>
      <c r="T293" s="544">
        <f t="shared" ref="T293:T302" si="144">ROUND(Q293*R293*S293*2,2)</f>
        <v>0</v>
      </c>
      <c r="U293" s="472">
        <f>база!$M$5</f>
        <v>247.41720000000001</v>
      </c>
      <c r="V293" s="390">
        <v>1</v>
      </c>
      <c r="W293" s="412">
        <f>SUMIFS(Таблица14[часы],Таблица14[коэф],"1",Таблица14[р/р],"4/24",Таблица14[Ф. И. О.],B297)</f>
        <v>0</v>
      </c>
      <c r="X293" s="545">
        <f t="shared" ref="X293:X302" si="145">ROUND(U293*V293*W293*2,2)</f>
        <v>0</v>
      </c>
      <c r="Y293" s="764"/>
      <c r="Z293" s="766"/>
      <c r="AA293" s="756"/>
    </row>
    <row r="294" spans="1:29">
      <c r="A294" s="756"/>
      <c r="B294" s="215"/>
      <c r="C294" s="759"/>
      <c r="D294" s="762"/>
      <c r="E294" s="393"/>
      <c r="F294" s="390"/>
      <c r="G294" s="400"/>
      <c r="H294" s="544">
        <f t="shared" si="142"/>
        <v>0</v>
      </c>
      <c r="I294" s="389"/>
      <c r="J294" s="390"/>
      <c r="K294" s="434"/>
      <c r="L294" s="395">
        <f t="shared" si="143"/>
        <v>0</v>
      </c>
      <c r="M294" s="432"/>
      <c r="N294" s="434"/>
      <c r="O294" s="434"/>
      <c r="P294" s="434"/>
      <c r="Q294" s="399">
        <f>база!$L$6</f>
        <v>261.04640000000001</v>
      </c>
      <c r="R294" s="390">
        <v>1</v>
      </c>
      <c r="S294" s="400">
        <f>SUMIFS(Таблица14[часы],Таблица14[коэф],"1",Таблица14[р/р],"5/16",Таблица14[Ф. И. О.],B297)</f>
        <v>0</v>
      </c>
      <c r="T294" s="544">
        <f t="shared" si="144"/>
        <v>0</v>
      </c>
      <c r="U294" s="472">
        <f>база!$M$6</f>
        <v>279.0496</v>
      </c>
      <c r="V294" s="390">
        <v>1</v>
      </c>
      <c r="W294" s="412">
        <f>SUMIFS(Таблица14[часы],Таблица14[коэф],"1",Таблица14[р/р],"5/24",Таблица14[Ф. И. О.],B297)</f>
        <v>0</v>
      </c>
      <c r="X294" s="545">
        <f t="shared" si="145"/>
        <v>0</v>
      </c>
      <c r="Y294" s="764"/>
      <c r="Z294" s="766"/>
      <c r="AA294" s="756"/>
    </row>
    <row r="295" spans="1:29">
      <c r="A295" s="756"/>
      <c r="B295" s="215"/>
      <c r="C295" s="759"/>
      <c r="D295" s="762"/>
      <c r="E295" s="393"/>
      <c r="F295" s="390"/>
      <c r="G295" s="400"/>
      <c r="H295" s="544">
        <f t="shared" si="142"/>
        <v>0</v>
      </c>
      <c r="I295" s="389">
        <f>база!$J$5</f>
        <v>215.4924</v>
      </c>
      <c r="J295" s="390">
        <v>1.5</v>
      </c>
      <c r="K295" s="434">
        <f>SUMIFS(Таблица14[часы],Таблица14[коэф],"1,5",Таблица14[р/р],"4/8",Таблица14[Ф. И. О.],B297)</f>
        <v>0</v>
      </c>
      <c r="L295" s="395">
        <f t="shared" si="143"/>
        <v>0</v>
      </c>
      <c r="M295" s="432"/>
      <c r="N295" s="434"/>
      <c r="O295" s="434"/>
      <c r="P295" s="434"/>
      <c r="Q295" s="399">
        <f>IF(D292&lt;=3,база!$L$4,
IF(D292=4,база!$L$5,
IF(D292=5,база!$L$6)))</f>
        <v>231.45480000000001</v>
      </c>
      <c r="R295" s="390">
        <v>1.2</v>
      </c>
      <c r="S295" s="400">
        <f>SUMIFS(Таблица14[часы],Таблица14[коэф],"1,2",Таблица14[р/р],"3/16",Таблица14[Ф. И. О.],B297)</f>
        <v>0</v>
      </c>
      <c r="T295" s="544">
        <f t="shared" si="144"/>
        <v>0</v>
      </c>
      <c r="U295" s="472">
        <f>IF(D292&lt;=3,база!$M$4,
IF(D292=4,база!$M$5,
IF(D292=5,база!$M$6)))</f>
        <v>247.41720000000001</v>
      </c>
      <c r="V295" s="390">
        <v>1.2</v>
      </c>
      <c r="W295" s="412">
        <f>SUMIFS(Таблица14[часы],Таблица14[коэф],"1,2",Таблица14[р/р],"3/24",Таблица14[Ф. И. О.],B297)</f>
        <v>0</v>
      </c>
      <c r="X295" s="545">
        <f t="shared" si="145"/>
        <v>0</v>
      </c>
      <c r="Y295" s="764"/>
      <c r="Z295" s="766"/>
      <c r="AA295" s="756"/>
    </row>
    <row r="296" spans="1:29">
      <c r="A296" s="756"/>
      <c r="B296" s="215"/>
      <c r="C296" s="759"/>
      <c r="D296" s="762"/>
      <c r="E296" s="393"/>
      <c r="F296" s="390"/>
      <c r="G296" s="400"/>
      <c r="H296" s="544">
        <f t="shared" si="142"/>
        <v>0</v>
      </c>
      <c r="I296" s="389">
        <f>база!$J$6</f>
        <v>243.04319999999998</v>
      </c>
      <c r="J296" s="390">
        <v>1.5</v>
      </c>
      <c r="K296" s="434">
        <f>SUMIFS(Таблица14[часы],Таблица14[коэф],"1,5",Таблица14[р/р],"5/8",Таблица14[Ф. И. О.],B297)</f>
        <v>0</v>
      </c>
      <c r="L296" s="395">
        <f t="shared" si="143"/>
        <v>0</v>
      </c>
      <c r="M296" s="432"/>
      <c r="N296" s="434"/>
      <c r="O296" s="434"/>
      <c r="P296" s="434"/>
      <c r="Q296" s="399">
        <f>база!$L$5</f>
        <v>231.45480000000001</v>
      </c>
      <c r="R296" s="390">
        <v>1.2</v>
      </c>
      <c r="S296" s="400">
        <f>SUMIFS(Таблица14[часы],Таблица14[коэф],"1,2",Таблица14[р/р],"4/16",Таблица14[Ф. И. О.],B297)</f>
        <v>0</v>
      </c>
      <c r="T296" s="544">
        <f t="shared" si="144"/>
        <v>0</v>
      </c>
      <c r="U296" s="472">
        <f>база!$M$5</f>
        <v>247.41720000000001</v>
      </c>
      <c r="V296" s="390">
        <v>1.2</v>
      </c>
      <c r="W296" s="412">
        <f>SUMIFS(Таблица14[часы],Таблица14[коэф],"1,2",Таблица14[р/р],"4/24",Таблица14[Ф. И. О.],B297)</f>
        <v>0</v>
      </c>
      <c r="X296" s="545">
        <f t="shared" si="145"/>
        <v>0</v>
      </c>
      <c r="Y296" s="764"/>
      <c r="Z296" s="766"/>
      <c r="AA296" s="756"/>
      <c r="AC296" s="752" t="str">
        <f>IF(SUMIFS(Таблица14[Столбец2],Таблица14[Ф. И. О.],B297)-Z292=0,"",SUMIFS(Таблица14[Столбец2],Таблица14[Ф. И. О.],B297)-Z292)</f>
        <v/>
      </c>
    </row>
    <row r="297" spans="1:29">
      <c r="A297" s="756"/>
      <c r="B297" s="215" t="str">
        <f>база!B28</f>
        <v>Зоидзе Ирина Сергеевна</v>
      </c>
      <c r="C297" s="759"/>
      <c r="D297" s="762"/>
      <c r="E297" s="393"/>
      <c r="F297" s="390"/>
      <c r="G297" s="400"/>
      <c r="H297" s="544">
        <f t="shared" si="142"/>
        <v>0</v>
      </c>
      <c r="I297" s="389"/>
      <c r="J297" s="390"/>
      <c r="K297" s="434"/>
      <c r="L297" s="395">
        <f t="shared" si="143"/>
        <v>0</v>
      </c>
      <c r="M297" s="432"/>
      <c r="N297" s="434"/>
      <c r="O297" s="434"/>
      <c r="P297" s="434"/>
      <c r="Q297" s="399">
        <f>база!$L$6</f>
        <v>261.04640000000001</v>
      </c>
      <c r="R297" s="390">
        <v>1.2</v>
      </c>
      <c r="S297" s="400">
        <f>SUMIFS(Таблица14[часы],Таблица14[коэф],"1,2",Таблица14[р/р],"5/16",Таблица14[Ф. И. О.],B297)</f>
        <v>0</v>
      </c>
      <c r="T297" s="544">
        <f t="shared" si="144"/>
        <v>0</v>
      </c>
      <c r="U297" s="472">
        <f>база!$M$6</f>
        <v>279.0496</v>
      </c>
      <c r="V297" s="390">
        <v>1.2</v>
      </c>
      <c r="W297" s="412">
        <f>SUMIFS(Таблица14[часы],Таблица14[коэф],"1,2",Таблица14[р/р],"5/24",Таблица14[Ф. И. О.],B297)</f>
        <v>0</v>
      </c>
      <c r="X297" s="545">
        <f t="shared" si="145"/>
        <v>0</v>
      </c>
      <c r="Y297" s="764"/>
      <c r="Z297" s="766"/>
      <c r="AA297" s="756"/>
      <c r="AC297" s="752" t="str">
        <f>IF(SUMIFS(Таблица14[часы],Таблица14[Ф. И. О.],B297)-Y292=0,"",SUMIFS(Таблица14[часы],Таблица14[Ф. И. О.],B297)-Y292)</f>
        <v/>
      </c>
    </row>
    <row r="298" spans="1:29">
      <c r="A298" s="756"/>
      <c r="B298" s="215"/>
      <c r="C298" s="759"/>
      <c r="D298" s="762"/>
      <c r="E298" s="393"/>
      <c r="F298" s="390"/>
      <c r="G298" s="400"/>
      <c r="H298" s="544">
        <f t="shared" si="142"/>
        <v>0</v>
      </c>
      <c r="I298" s="389"/>
      <c r="J298" s="390"/>
      <c r="K298" s="434"/>
      <c r="L298" s="395">
        <f t="shared" si="143"/>
        <v>0</v>
      </c>
      <c r="M298" s="432"/>
      <c r="N298" s="434"/>
      <c r="O298" s="434"/>
      <c r="P298" s="434"/>
      <c r="Q298" s="399">
        <f>IF(D292&lt;=3,база!$L$4,
IF(D292=4,база!$L$5,
IF(D292=5,база!$L$6)))</f>
        <v>231.45480000000001</v>
      </c>
      <c r="R298" s="390">
        <v>1.3</v>
      </c>
      <c r="S298" s="400">
        <f>SUMIFS(Таблица14[часы],Таблица14[коэф],"1,3",Таблица14[р/р],"3/16",Таблица14[Ф. И. О.],B297)</f>
        <v>0</v>
      </c>
      <c r="T298" s="544">
        <f t="shared" si="144"/>
        <v>0</v>
      </c>
      <c r="U298" s="472">
        <f>IF(D292&lt;=3,база!$M$4,
IF(D292=4,база!$M$5,
IF(D292=5,база!$M$6)))</f>
        <v>247.41720000000001</v>
      </c>
      <c r="V298" s="390">
        <v>1.3</v>
      </c>
      <c r="W298" s="412">
        <f>SUMIFS(Таблица14[часы],Таблица14[коэф],"1,3",Таблица14[р/р],"3/24",Таблица14[Ф. И. О.],B297)</f>
        <v>0</v>
      </c>
      <c r="X298" s="545">
        <f t="shared" si="145"/>
        <v>0</v>
      </c>
      <c r="Y298" s="764"/>
      <c r="Z298" s="766"/>
      <c r="AA298" s="756"/>
    </row>
    <row r="299" spans="1:29">
      <c r="A299" s="756"/>
      <c r="B299" s="215"/>
      <c r="C299" s="759"/>
      <c r="D299" s="762"/>
      <c r="E299" s="393"/>
      <c r="F299" s="390"/>
      <c r="G299" s="400"/>
      <c r="H299" s="544">
        <f t="shared" si="142"/>
        <v>0</v>
      </c>
      <c r="I299" s="389"/>
      <c r="J299" s="390"/>
      <c r="K299" s="434"/>
      <c r="L299" s="395">
        <f t="shared" si="143"/>
        <v>0</v>
      </c>
      <c r="M299" s="432"/>
      <c r="N299" s="434"/>
      <c r="O299" s="434"/>
      <c r="P299" s="434"/>
      <c r="Q299" s="399">
        <f>база!$L$5</f>
        <v>231.45480000000001</v>
      </c>
      <c r="R299" s="390">
        <v>1.3</v>
      </c>
      <c r="S299" s="400">
        <f>SUMIFS(Таблица14[часы],Таблица14[коэф],"1,3",Таблица14[р/р],"4/16",Таблица14[Ф. И. О.],B297)</f>
        <v>0</v>
      </c>
      <c r="T299" s="544">
        <f t="shared" si="144"/>
        <v>0</v>
      </c>
      <c r="U299" s="472">
        <f>база!$M$5</f>
        <v>247.41720000000001</v>
      </c>
      <c r="V299" s="390">
        <v>1.3</v>
      </c>
      <c r="W299" s="412">
        <f>SUMIFS(Таблица14[часы],Таблица14[коэф],"1,3",Таблица14[р/р],"4/24",Таблица14[Ф. И. О.],B297)</f>
        <v>0</v>
      </c>
      <c r="X299" s="545">
        <f t="shared" si="145"/>
        <v>0</v>
      </c>
      <c r="Y299" s="764"/>
      <c r="Z299" s="766"/>
      <c r="AA299" s="756"/>
    </row>
    <row r="300" spans="1:29">
      <c r="A300" s="756"/>
      <c r="B300" s="215"/>
      <c r="C300" s="759"/>
      <c r="D300" s="762"/>
      <c r="E300" s="393"/>
      <c r="F300" s="390"/>
      <c r="G300" s="400"/>
      <c r="H300" s="544">
        <f t="shared" si="142"/>
        <v>0</v>
      </c>
      <c r="I300" s="389"/>
      <c r="J300" s="390"/>
      <c r="K300" s="434"/>
      <c r="L300" s="395">
        <f t="shared" si="143"/>
        <v>0</v>
      </c>
      <c r="M300" s="432"/>
      <c r="N300" s="434"/>
      <c r="O300" s="434"/>
      <c r="P300" s="434"/>
      <c r="Q300" s="399">
        <f>IF(D292&lt;=3,база!$L$4,
IF(D292=4,база!$L$5,
IF(D292=5,база!$L$6)))</f>
        <v>231.45480000000001</v>
      </c>
      <c r="R300" s="390">
        <v>1.4</v>
      </c>
      <c r="S300" s="400">
        <f>SUMIFS(Таблица14[часы],Таблица14[коэф],"1,4",Таблица14[р/р],"3/16",Таблица14[Ф. И. О.],B297)</f>
        <v>0</v>
      </c>
      <c r="T300" s="544">
        <f t="shared" si="144"/>
        <v>0</v>
      </c>
      <c r="U300" s="472">
        <f>IF(D292&lt;=3,база!$M$4,
IF(D292=4,база!$M$5,
IF(D292=5,база!$M$6)))</f>
        <v>247.41720000000001</v>
      </c>
      <c r="V300" s="390">
        <v>1.4</v>
      </c>
      <c r="W300" s="412">
        <f>SUMIFS(Таблица14[часы],Таблица14[коэф],"1,4",Таблица14[р/р],"3/24",Таблица14[Ф. И. О.],B297)</f>
        <v>0</v>
      </c>
      <c r="X300" s="545">
        <f t="shared" si="145"/>
        <v>0</v>
      </c>
      <c r="Y300" s="764"/>
      <c r="Z300" s="766"/>
      <c r="AA300" s="756"/>
    </row>
    <row r="301" spans="1:29">
      <c r="A301" s="756"/>
      <c r="B301" s="215"/>
      <c r="C301" s="759"/>
      <c r="D301" s="762"/>
      <c r="E301" s="393"/>
      <c r="F301" s="390"/>
      <c r="G301" s="400"/>
      <c r="H301" s="544">
        <f t="shared" si="142"/>
        <v>0</v>
      </c>
      <c r="I301" s="389"/>
      <c r="J301" s="390"/>
      <c r="K301" s="434"/>
      <c r="L301" s="395">
        <f t="shared" si="143"/>
        <v>0</v>
      </c>
      <c r="M301" s="432"/>
      <c r="N301" s="434"/>
      <c r="O301" s="434"/>
      <c r="P301" s="434"/>
      <c r="Q301" s="399">
        <f>база!$L$5</f>
        <v>231.45480000000001</v>
      </c>
      <c r="R301" s="390">
        <v>1.4</v>
      </c>
      <c r="S301" s="400">
        <f>SUMIFS(Таблица14[часы],Таблица14[коэф],"1,4",Таблица14[р/р],"4/16",Таблица14[Ф. И. О.],B297)</f>
        <v>0</v>
      </c>
      <c r="T301" s="544">
        <f t="shared" si="144"/>
        <v>0</v>
      </c>
      <c r="U301" s="472">
        <f>база!$M$5</f>
        <v>247.41720000000001</v>
      </c>
      <c r="V301" s="390">
        <v>1.4</v>
      </c>
      <c r="W301" s="412">
        <f>SUMIFS(Таблица14[часы],Таблица14[коэф],"1,4",Таблица14[р/р],"4/24",Таблица14[Ф. И. О.],B297)</f>
        <v>0</v>
      </c>
      <c r="X301" s="545">
        <f t="shared" si="145"/>
        <v>0</v>
      </c>
      <c r="Y301" s="764"/>
      <c r="Z301" s="766"/>
      <c r="AA301" s="756"/>
    </row>
    <row r="302" spans="1:29" ht="21" thickBot="1">
      <c r="A302" s="757"/>
      <c r="B302" s="202"/>
      <c r="C302" s="760"/>
      <c r="D302" s="763"/>
      <c r="E302" s="463"/>
      <c r="F302" s="464"/>
      <c r="G302" s="465"/>
      <c r="H302" s="549">
        <f t="shared" si="142"/>
        <v>0</v>
      </c>
      <c r="I302" s="473"/>
      <c r="J302" s="464"/>
      <c r="K302" s="457"/>
      <c r="L302" s="458">
        <f t="shared" si="143"/>
        <v>0</v>
      </c>
      <c r="M302" s="466"/>
      <c r="N302" s="457"/>
      <c r="O302" s="457"/>
      <c r="P302" s="457"/>
      <c r="Q302" s="467">
        <f>база!$L$6</f>
        <v>261.04640000000001</v>
      </c>
      <c r="R302" s="464">
        <v>1.4</v>
      </c>
      <c r="S302" s="465">
        <f>SUMIFS(Таблица14[часы],Таблица14[коэф],"1,4",Таблица14[р/р],"5/16",Таблица14[Ф. И. О.],B297)</f>
        <v>0</v>
      </c>
      <c r="T302" s="549">
        <f t="shared" si="144"/>
        <v>0</v>
      </c>
      <c r="U302" s="474">
        <f>база!$M$6</f>
        <v>279.0496</v>
      </c>
      <c r="V302" s="464">
        <v>1.4</v>
      </c>
      <c r="W302" s="470">
        <f>SUMIFS(Таблица14[часы],Таблица14[коэф],"1,4",Таблица14[р/р],"5/24",Таблица14[Ф. И. О.],B297)</f>
        <v>0</v>
      </c>
      <c r="X302" s="547">
        <f t="shared" si="145"/>
        <v>0</v>
      </c>
      <c r="Y302" s="765"/>
      <c r="Z302" s="767"/>
      <c r="AA302" s="757"/>
    </row>
    <row r="303" spans="1:29">
      <c r="A303" s="755">
        <v>28</v>
      </c>
      <c r="B303" s="235"/>
      <c r="C303" s="758">
        <f>INDEX(база!$E$2:$E$81, MATCH(B308,база!$B$2:$B$50,0))</f>
        <v>17122</v>
      </c>
      <c r="D303" s="761">
        <f>INDEX(база!$D$2:$D$89, MATCH(B308,база!$B$2:$B$50,0))</f>
        <v>3</v>
      </c>
      <c r="E303" s="381">
        <f>IF(D303&lt;=3,база!$I$4,
IF(D303=4,база!$I$5,
IF(D303=5,база!$I$6)))</f>
        <v>188.7912</v>
      </c>
      <c r="F303" s="378">
        <v>1</v>
      </c>
      <c r="G303" s="387">
        <f>SUMIFS(Таблица14[часы],Таблица14[коэф],"1",Таблица14[р/р],"2/4",Таблица14[Ф. И. О.],B308)</f>
        <v>0</v>
      </c>
      <c r="H303" s="380">
        <f>ROUND(E303*F303*G303*2,2)</f>
        <v>0</v>
      </c>
      <c r="I303" s="377">
        <f>IF(D303&lt;=3,база!$J$4,
IF(D303=4,база!$J$5,
IF(D303=5,база!$J$6)))</f>
        <v>196.05240000000001</v>
      </c>
      <c r="J303" s="378">
        <v>1</v>
      </c>
      <c r="K303" s="428">
        <f>SUMIFS(Таблица14[часы],Таблица14[коэф],"1",Таблица14[р/р],"2/8",Таблица14[Ф. И. О.],B308)</f>
        <v>0</v>
      </c>
      <c r="L303" s="383">
        <f>ROUND(I303*J303*K303*2,2)</f>
        <v>0</v>
      </c>
      <c r="M303" s="426"/>
      <c r="N303" s="428">
        <v>1</v>
      </c>
      <c r="O303" s="428">
        <f>SUMIFS(Data_Tech!$AM$3:$AM$67,Data_Tech!$E$3:$E$67,"1",Data_Tech!$G$3:$G$67,"3/12",Data_Tech!$F$3:$F$67,B308)</f>
        <v>0</v>
      </c>
      <c r="P303" s="428">
        <f>ROUND(M303*N303*O303,2)</f>
        <v>0</v>
      </c>
      <c r="Q303" s="386">
        <f>IF(D303&lt;=3,база!$L$4,
IF(D303=4,база!$L$5,
IF(D303=5,база!$L$6)))</f>
        <v>210.57480000000001</v>
      </c>
      <c r="R303" s="378">
        <v>1</v>
      </c>
      <c r="S303" s="387">
        <f>SUMIFS(Таблица14[часы],Таблица14[коэф],"1",Таблица14[р/р],"3/16",Таблица14[Ф. И. О.],B308)</f>
        <v>0</v>
      </c>
      <c r="T303" s="548">
        <f>ROUND(Q303*R303*S303*2,2)</f>
        <v>0</v>
      </c>
      <c r="U303" s="471">
        <f>IF(D303&lt;=3,база!$M$4,
IF(D303=4,база!$M$5,
IF(D303=5,база!$M$6)))</f>
        <v>225.09719999999999</v>
      </c>
      <c r="V303" s="378">
        <v>1</v>
      </c>
      <c r="W303" s="430">
        <f>SUMIFS(Таблица14[часы],Таблица14[коэф],"1",Таблица14[р/р],"3/24",Таблица14[Ф. И. О.],B308)</f>
        <v>0</v>
      </c>
      <c r="X303" s="543">
        <f>ROUND(U303*V303*W303*2,2)</f>
        <v>0</v>
      </c>
      <c r="Y303" s="764">
        <f t="shared" ref="Y303" si="146">SUM(G303:G313,K303:K313,O303:O313,S303:S313,W303:W313)</f>
        <v>0</v>
      </c>
      <c r="Z303" s="766">
        <f t="shared" ref="Z303" si="147">IFERROR(SUM(H303:H313,L303:L313,T303:T313,X303:X313),"")</f>
        <v>0</v>
      </c>
      <c r="AA303" s="756"/>
    </row>
    <row r="304" spans="1:29">
      <c r="A304" s="756"/>
      <c r="B304" s="215"/>
      <c r="C304" s="759"/>
      <c r="D304" s="762"/>
      <c r="E304" s="393">
        <f>IF(D303&lt;=3,база!$I$4,
IF(D303=4,база!$I$5,
IF(D303=5,база!$I$6)))</f>
        <v>188.7912</v>
      </c>
      <c r="F304" s="390">
        <v>1</v>
      </c>
      <c r="G304" s="400">
        <f>SUMIFS(Таблица14[часы],Таблица14[коэф],"1",Таблица14[р/р],"3/4",Таблица14[Ф. И. О.],B308)</f>
        <v>0</v>
      </c>
      <c r="H304" s="542">
        <f t="shared" ref="H304:H313" si="148">ROUND(E304*F304*G304*2,2)</f>
        <v>0</v>
      </c>
      <c r="I304" s="389">
        <f>IF(D303&lt;=3,база!$J$4,
IF(D303=4,база!$J$5,
IF(D303=5,база!$J$6)))</f>
        <v>196.05240000000001</v>
      </c>
      <c r="J304" s="390">
        <v>1</v>
      </c>
      <c r="K304" s="434">
        <f>SUMIFS(Таблица14[часы],Таблица14[коэф],"1",Таблица14[р/р],"3/8",Таблица14[Ф. И. О.],B308)</f>
        <v>0</v>
      </c>
      <c r="L304" s="395">
        <f t="shared" ref="L304:L313" si="149">ROUND(I304*J304*K304*2,2)</f>
        <v>0</v>
      </c>
      <c r="M304" s="432"/>
      <c r="N304" s="434">
        <v>1</v>
      </c>
      <c r="O304" s="434">
        <f>SUMIFS(Data_Tech!$AM$3:$AM$67,Data_Tech!$E$3:$E$67,"1",Data_Tech!$G$3:$G$67,"4/12",Data_Tech!$F$3:$F$67,B308)</f>
        <v>0</v>
      </c>
      <c r="P304" s="434">
        <f>ROUND(M304*O304,2)</f>
        <v>0</v>
      </c>
      <c r="Q304" s="399">
        <f>база!$L$5</f>
        <v>231.45480000000001</v>
      </c>
      <c r="R304" s="390">
        <v>1</v>
      </c>
      <c r="S304" s="400">
        <f>SUMIFS(Таблица14[часы],Таблица14[коэф],"1",Таблица14[р/р],"4/16",Таблица14[Ф. И. О.],B308)</f>
        <v>0</v>
      </c>
      <c r="T304" s="544">
        <f t="shared" ref="T304:T313" si="150">ROUND(Q304*R304*S304*2,2)</f>
        <v>0</v>
      </c>
      <c r="U304" s="472">
        <f>база!$M$5</f>
        <v>247.41720000000001</v>
      </c>
      <c r="V304" s="390">
        <v>1</v>
      </c>
      <c r="W304" s="412">
        <f>SUMIFS(Таблица14[часы],Таблица14[коэф],"1",Таблица14[р/р],"4/24",Таблица14[Ф. И. О.],B308)</f>
        <v>0</v>
      </c>
      <c r="X304" s="545">
        <f t="shared" ref="X304:X313" si="151">ROUND(U304*V304*W304*2,2)</f>
        <v>0</v>
      </c>
      <c r="Y304" s="764"/>
      <c r="Z304" s="766"/>
      <c r="AA304" s="756"/>
    </row>
    <row r="305" spans="1:29">
      <c r="A305" s="756"/>
      <c r="B305" s="215"/>
      <c r="C305" s="759"/>
      <c r="D305" s="762"/>
      <c r="E305" s="393"/>
      <c r="F305" s="390"/>
      <c r="G305" s="400"/>
      <c r="H305" s="544">
        <f t="shared" si="148"/>
        <v>0</v>
      </c>
      <c r="I305" s="389"/>
      <c r="J305" s="390"/>
      <c r="K305" s="434"/>
      <c r="L305" s="395">
        <f t="shared" si="149"/>
        <v>0</v>
      </c>
      <c r="M305" s="432"/>
      <c r="N305" s="434"/>
      <c r="O305" s="434"/>
      <c r="P305" s="434"/>
      <c r="Q305" s="399">
        <f>база!$L$6</f>
        <v>261.04640000000001</v>
      </c>
      <c r="R305" s="390">
        <v>1</v>
      </c>
      <c r="S305" s="400">
        <f>SUMIFS(Таблица14[часы],Таблица14[коэф],"1",Таблица14[р/р],"5/16",Таблица14[Ф. И. О.],B308)</f>
        <v>0</v>
      </c>
      <c r="T305" s="544">
        <f t="shared" si="150"/>
        <v>0</v>
      </c>
      <c r="U305" s="472">
        <f>база!$M$6</f>
        <v>279.0496</v>
      </c>
      <c r="V305" s="390">
        <v>1</v>
      </c>
      <c r="W305" s="412">
        <f>SUMIFS(Таблица14[часы],Таблица14[коэф],"1",Таблица14[р/р],"5/24",Таблица14[Ф. И. О.],B308)</f>
        <v>0</v>
      </c>
      <c r="X305" s="545">
        <f t="shared" si="151"/>
        <v>0</v>
      </c>
      <c r="Y305" s="764"/>
      <c r="Z305" s="766"/>
      <c r="AA305" s="756"/>
    </row>
    <row r="306" spans="1:29">
      <c r="A306" s="756"/>
      <c r="B306" s="215"/>
      <c r="C306" s="759"/>
      <c r="D306" s="762"/>
      <c r="E306" s="393"/>
      <c r="F306" s="390"/>
      <c r="G306" s="400"/>
      <c r="H306" s="544">
        <f t="shared" si="148"/>
        <v>0</v>
      </c>
      <c r="I306" s="389">
        <f>база!$J$5</f>
        <v>215.4924</v>
      </c>
      <c r="J306" s="390">
        <v>1.5</v>
      </c>
      <c r="K306" s="434">
        <f>SUMIFS(Таблица14[часы],Таблица14[коэф],"1,5",Таблица14[р/р],"4/8",Таблица14[Ф. И. О.],B308)</f>
        <v>0</v>
      </c>
      <c r="L306" s="395">
        <f t="shared" si="149"/>
        <v>0</v>
      </c>
      <c r="M306" s="432"/>
      <c r="N306" s="434"/>
      <c r="O306" s="434"/>
      <c r="P306" s="434"/>
      <c r="Q306" s="399">
        <f>IF(D303&lt;=3,база!$L$4,
IF(D303=4,база!$L$5,
IF(D303=5,база!$L$6)))</f>
        <v>210.57480000000001</v>
      </c>
      <c r="R306" s="390">
        <v>1.2</v>
      </c>
      <c r="S306" s="400">
        <f>SUMIFS(Таблица14[часы],Таблица14[коэф],"1,2",Таблица14[р/р],"3/16",Таблица14[Ф. И. О.],B308)</f>
        <v>0</v>
      </c>
      <c r="T306" s="544">
        <f t="shared" si="150"/>
        <v>0</v>
      </c>
      <c r="U306" s="472">
        <f>IF(D303&lt;=3,база!$M$4,
IF(D303=4,база!$M$5,
IF(D303=5,база!$M$6)))</f>
        <v>225.09719999999999</v>
      </c>
      <c r="V306" s="390">
        <v>1.2</v>
      </c>
      <c r="W306" s="412">
        <f>SUMIFS(Таблица14[часы],Таблица14[коэф],"1,2",Таблица14[р/р],"3/24",Таблица14[Ф. И. О.],B308)</f>
        <v>0</v>
      </c>
      <c r="X306" s="545">
        <f t="shared" si="151"/>
        <v>0</v>
      </c>
      <c r="Y306" s="764"/>
      <c r="Z306" s="766"/>
      <c r="AA306" s="756"/>
    </row>
    <row r="307" spans="1:29">
      <c r="A307" s="756"/>
      <c r="B307" s="215"/>
      <c r="C307" s="759"/>
      <c r="D307" s="762"/>
      <c r="E307" s="393"/>
      <c r="F307" s="390"/>
      <c r="G307" s="400"/>
      <c r="H307" s="544">
        <f t="shared" si="148"/>
        <v>0</v>
      </c>
      <c r="I307" s="389">
        <f>база!$J$6</f>
        <v>243.04319999999998</v>
      </c>
      <c r="J307" s="390">
        <v>1.5</v>
      </c>
      <c r="K307" s="434">
        <f>SUMIFS(Таблица14[часы],Таблица14[коэф],"1,5",Таблица14[р/р],"5/8",Таблица14[Ф. И. О.],B308)</f>
        <v>0</v>
      </c>
      <c r="L307" s="395">
        <f t="shared" si="149"/>
        <v>0</v>
      </c>
      <c r="M307" s="432"/>
      <c r="N307" s="434"/>
      <c r="O307" s="434"/>
      <c r="P307" s="434"/>
      <c r="Q307" s="399">
        <f>база!$L$5</f>
        <v>231.45480000000001</v>
      </c>
      <c r="R307" s="390">
        <v>1.2</v>
      </c>
      <c r="S307" s="400">
        <f>SUMIFS(Таблица14[часы],Таблица14[коэф],"1,2",Таблица14[р/р],"4/16",Таблица14[Ф. И. О.],B308)</f>
        <v>0</v>
      </c>
      <c r="T307" s="544">
        <f t="shared" si="150"/>
        <v>0</v>
      </c>
      <c r="U307" s="472">
        <f>база!$M$5</f>
        <v>247.41720000000001</v>
      </c>
      <c r="V307" s="390">
        <v>1.2</v>
      </c>
      <c r="W307" s="412">
        <f>SUMIFS(Таблица14[часы],Таблица14[коэф],"1,2",Таблица14[р/р],"4/24",Таблица14[Ф. И. О.],B308)</f>
        <v>0</v>
      </c>
      <c r="X307" s="545">
        <f t="shared" si="151"/>
        <v>0</v>
      </c>
      <c r="Y307" s="764"/>
      <c r="Z307" s="766"/>
      <c r="AA307" s="756"/>
    </row>
    <row r="308" spans="1:29">
      <c r="A308" s="756"/>
      <c r="B308" s="215" t="str">
        <f>база!B29</f>
        <v>Иванова Екатерина Борисовна</v>
      </c>
      <c r="C308" s="759"/>
      <c r="D308" s="762"/>
      <c r="E308" s="393"/>
      <c r="F308" s="390"/>
      <c r="G308" s="400"/>
      <c r="H308" s="544">
        <f t="shared" si="148"/>
        <v>0</v>
      </c>
      <c r="I308" s="389"/>
      <c r="J308" s="390"/>
      <c r="K308" s="434"/>
      <c r="L308" s="395">
        <f t="shared" si="149"/>
        <v>0</v>
      </c>
      <c r="M308" s="432"/>
      <c r="N308" s="434"/>
      <c r="O308" s="434"/>
      <c r="P308" s="434"/>
      <c r="Q308" s="399">
        <f>база!$L$6</f>
        <v>261.04640000000001</v>
      </c>
      <c r="R308" s="390">
        <v>1.2</v>
      </c>
      <c r="S308" s="400">
        <f>SUMIFS(Таблица14[часы],Таблица14[коэф],"1,2",Таблица14[р/р],"5/16",Таблица14[Ф. И. О.],B308)</f>
        <v>0</v>
      </c>
      <c r="T308" s="544">
        <f t="shared" si="150"/>
        <v>0</v>
      </c>
      <c r="U308" s="472">
        <f>база!$M$6</f>
        <v>279.0496</v>
      </c>
      <c r="V308" s="390">
        <v>1.2</v>
      </c>
      <c r="W308" s="412">
        <f>SUMIFS(Таблица14[часы],Таблица14[коэф],"1,2",Таблица14[р/р],"5/24",Таблица14[Ф. И. О.],B308)</f>
        <v>0</v>
      </c>
      <c r="X308" s="545">
        <f t="shared" si="151"/>
        <v>0</v>
      </c>
      <c r="Y308" s="764"/>
      <c r="Z308" s="766"/>
      <c r="AA308" s="756"/>
      <c r="AC308" s="752" t="str">
        <f>IF(SUMIFS(Таблица14[Столбец2],Таблица14[Ф. И. О.],B308)-Z303=0,"",SUMIFS(Таблица14[Столбец2],Таблица14[Ф. И. О.],B308)-Z303)</f>
        <v/>
      </c>
    </row>
    <row r="309" spans="1:29">
      <c r="A309" s="756"/>
      <c r="B309" s="215"/>
      <c r="C309" s="759"/>
      <c r="D309" s="762"/>
      <c r="E309" s="393"/>
      <c r="F309" s="390"/>
      <c r="G309" s="400"/>
      <c r="H309" s="544">
        <f t="shared" si="148"/>
        <v>0</v>
      </c>
      <c r="I309" s="389"/>
      <c r="J309" s="390"/>
      <c r="K309" s="434"/>
      <c r="L309" s="395">
        <f t="shared" si="149"/>
        <v>0</v>
      </c>
      <c r="M309" s="432"/>
      <c r="N309" s="434"/>
      <c r="O309" s="434"/>
      <c r="P309" s="434"/>
      <c r="Q309" s="399">
        <f>IF(D303&lt;=3,база!$L$4,
IF(D303=4,база!$L$5,
IF(D303=5,база!$L$6)))</f>
        <v>210.57480000000001</v>
      </c>
      <c r="R309" s="390">
        <v>1.3</v>
      </c>
      <c r="S309" s="400">
        <f>SUMIFS(Таблица14[часы],Таблица14[коэф],"1,3",Таблица14[р/р],"3/16",Таблица14[Ф. И. О.],B308)</f>
        <v>0</v>
      </c>
      <c r="T309" s="544">
        <f t="shared" si="150"/>
        <v>0</v>
      </c>
      <c r="U309" s="472">
        <f>IF(D303&lt;=3,база!$M$4,
IF(D303=4,база!$M$5,
IF(D303=5,база!$M$6)))</f>
        <v>225.09719999999999</v>
      </c>
      <c r="V309" s="390">
        <v>1.3</v>
      </c>
      <c r="W309" s="412">
        <f>SUMIFS(Таблица14[часы],Таблица14[коэф],"1,3",Таблица14[р/р],"3/24",Таблица14[Ф. И. О.],B308)</f>
        <v>0</v>
      </c>
      <c r="X309" s="545">
        <f t="shared" si="151"/>
        <v>0</v>
      </c>
      <c r="Y309" s="764"/>
      <c r="Z309" s="766"/>
      <c r="AA309" s="756"/>
      <c r="AC309" s="752" t="str">
        <f>IF(SUMIFS(Таблица14[часы],Таблица14[Ф. И. О.],B308)-Y303=0,"",SUMIFS(Таблица14[часы],Таблица14[Ф. И. О.],B308)-Y303)</f>
        <v/>
      </c>
    </row>
    <row r="310" spans="1:29">
      <c r="A310" s="756"/>
      <c r="B310" s="215"/>
      <c r="C310" s="759"/>
      <c r="D310" s="762"/>
      <c r="E310" s="393"/>
      <c r="F310" s="390"/>
      <c r="G310" s="400"/>
      <c r="H310" s="544">
        <f t="shared" si="148"/>
        <v>0</v>
      </c>
      <c r="I310" s="389"/>
      <c r="J310" s="390"/>
      <c r="K310" s="434"/>
      <c r="L310" s="395">
        <f t="shared" si="149"/>
        <v>0</v>
      </c>
      <c r="M310" s="432"/>
      <c r="N310" s="434"/>
      <c r="O310" s="434"/>
      <c r="P310" s="434"/>
      <c r="Q310" s="399">
        <f>база!$L$5</f>
        <v>231.45480000000001</v>
      </c>
      <c r="R310" s="390">
        <v>1.3</v>
      </c>
      <c r="S310" s="400">
        <f>SUMIFS(Таблица14[часы],Таблица14[коэф],"1,3",Таблица14[р/р],"4/16",Таблица14[Ф. И. О.],B308)</f>
        <v>0</v>
      </c>
      <c r="T310" s="544">
        <f t="shared" si="150"/>
        <v>0</v>
      </c>
      <c r="U310" s="472">
        <f>база!$M$5</f>
        <v>247.41720000000001</v>
      </c>
      <c r="V310" s="390">
        <v>1.3</v>
      </c>
      <c r="W310" s="412">
        <f>SUMIFS(Таблица14[часы],Таблица14[коэф],"1,3",Таблица14[р/р],"4/24",Таблица14[Ф. И. О.],B308)</f>
        <v>0</v>
      </c>
      <c r="X310" s="545">
        <f t="shared" si="151"/>
        <v>0</v>
      </c>
      <c r="Y310" s="764"/>
      <c r="Z310" s="766"/>
      <c r="AA310" s="756"/>
    </row>
    <row r="311" spans="1:29">
      <c r="A311" s="756"/>
      <c r="B311" s="215"/>
      <c r="C311" s="759"/>
      <c r="D311" s="762"/>
      <c r="E311" s="393"/>
      <c r="F311" s="390"/>
      <c r="G311" s="400"/>
      <c r="H311" s="544">
        <f t="shared" si="148"/>
        <v>0</v>
      </c>
      <c r="I311" s="389"/>
      <c r="J311" s="390"/>
      <c r="K311" s="434"/>
      <c r="L311" s="395">
        <f t="shared" si="149"/>
        <v>0</v>
      </c>
      <c r="M311" s="432"/>
      <c r="N311" s="434"/>
      <c r="O311" s="434"/>
      <c r="P311" s="434"/>
      <c r="Q311" s="399">
        <f>IF(D303&lt;=3,база!$L$4,
IF(D303=4,база!$L$5,
IF(D303=5,база!$L$6)))</f>
        <v>210.57480000000001</v>
      </c>
      <c r="R311" s="390">
        <v>1.4</v>
      </c>
      <c r="S311" s="400">
        <f>SUMIFS(Таблица14[часы],Таблица14[коэф],"1,4",Таблица14[р/р],"3/16",Таблица14[Ф. И. О.],B308)</f>
        <v>0</v>
      </c>
      <c r="T311" s="544">
        <f t="shared" si="150"/>
        <v>0</v>
      </c>
      <c r="U311" s="472">
        <f>IF(D303&lt;=3,база!$M$4,
IF(D303=4,база!$M$5,
IF(D303=5,база!$M$6)))</f>
        <v>225.09719999999999</v>
      </c>
      <c r="V311" s="390">
        <v>1.4</v>
      </c>
      <c r="W311" s="412">
        <f>SUMIFS(Таблица14[часы],Таблица14[коэф],"1,4",Таблица14[р/р],"3/24",Таблица14[Ф. И. О.],B308)</f>
        <v>0</v>
      </c>
      <c r="X311" s="545">
        <f t="shared" si="151"/>
        <v>0</v>
      </c>
      <c r="Y311" s="764"/>
      <c r="Z311" s="766"/>
      <c r="AA311" s="756"/>
    </row>
    <row r="312" spans="1:29">
      <c r="A312" s="756"/>
      <c r="B312" s="215"/>
      <c r="C312" s="759"/>
      <c r="D312" s="762"/>
      <c r="E312" s="393"/>
      <c r="F312" s="390"/>
      <c r="G312" s="400"/>
      <c r="H312" s="544">
        <f t="shared" si="148"/>
        <v>0</v>
      </c>
      <c r="I312" s="389"/>
      <c r="J312" s="390"/>
      <c r="K312" s="434"/>
      <c r="L312" s="395">
        <f t="shared" si="149"/>
        <v>0</v>
      </c>
      <c r="M312" s="432"/>
      <c r="N312" s="434"/>
      <c r="O312" s="434"/>
      <c r="P312" s="434"/>
      <c r="Q312" s="399">
        <f>база!$L$5</f>
        <v>231.45480000000001</v>
      </c>
      <c r="R312" s="390">
        <v>1.4</v>
      </c>
      <c r="S312" s="400">
        <f>SUMIFS(Таблица14[часы],Таблица14[коэф],"1,4",Таблица14[р/р],"4/16",Таблица14[Ф. И. О.],B308)</f>
        <v>0</v>
      </c>
      <c r="T312" s="544">
        <f t="shared" si="150"/>
        <v>0</v>
      </c>
      <c r="U312" s="472">
        <f>база!$M$5</f>
        <v>247.41720000000001</v>
      </c>
      <c r="V312" s="390">
        <v>1.4</v>
      </c>
      <c r="W312" s="412">
        <f>SUMIFS(Таблица14[часы],Таблица14[коэф],"1,4",Таблица14[р/р],"4/24",Таблица14[Ф. И. О.],B308)</f>
        <v>0</v>
      </c>
      <c r="X312" s="545">
        <f t="shared" si="151"/>
        <v>0</v>
      </c>
      <c r="Y312" s="764"/>
      <c r="Z312" s="766"/>
      <c r="AA312" s="756"/>
    </row>
    <row r="313" spans="1:29" ht="21" thickBot="1">
      <c r="A313" s="757"/>
      <c r="B313" s="202"/>
      <c r="C313" s="760"/>
      <c r="D313" s="763"/>
      <c r="E313" s="463"/>
      <c r="F313" s="464"/>
      <c r="G313" s="465"/>
      <c r="H313" s="549">
        <f t="shared" si="148"/>
        <v>0</v>
      </c>
      <c r="I313" s="473"/>
      <c r="J313" s="464"/>
      <c r="K313" s="457"/>
      <c r="L313" s="458">
        <f t="shared" si="149"/>
        <v>0</v>
      </c>
      <c r="M313" s="466"/>
      <c r="N313" s="457"/>
      <c r="O313" s="457"/>
      <c r="P313" s="457"/>
      <c r="Q313" s="467">
        <f>база!$L$6</f>
        <v>261.04640000000001</v>
      </c>
      <c r="R313" s="464">
        <v>1.4</v>
      </c>
      <c r="S313" s="465">
        <f>SUMIFS(Таблица14[часы],Таблица14[коэф],"1,4",Таблица14[р/р],"5/16",Таблица14[Ф. И. О.],B308)</f>
        <v>0</v>
      </c>
      <c r="T313" s="549">
        <f t="shared" si="150"/>
        <v>0</v>
      </c>
      <c r="U313" s="474">
        <f>база!$M$6</f>
        <v>279.0496</v>
      </c>
      <c r="V313" s="464">
        <v>1.4</v>
      </c>
      <c r="W313" s="470">
        <f>SUMIFS(Таблица14[часы],Таблица14[коэф],"1,4",Таблица14[р/р],"5/24",Таблица14[Ф. И. О.],B308)</f>
        <v>0</v>
      </c>
      <c r="X313" s="547">
        <f t="shared" si="151"/>
        <v>0</v>
      </c>
      <c r="Y313" s="765"/>
      <c r="Z313" s="767"/>
      <c r="AA313" s="757"/>
    </row>
    <row r="314" spans="1:29">
      <c r="A314" s="755">
        <v>29</v>
      </c>
      <c r="B314" s="235"/>
      <c r="C314" s="758">
        <f>INDEX(база!$E$2:$E$81, MATCH(B319,база!$B$2:$B$50,0))</f>
        <v>17068</v>
      </c>
      <c r="D314" s="761">
        <f>INDEX(база!$D$2:$D$89, MATCH(B319,база!$B$2:$B$50,0))</f>
        <v>3</v>
      </c>
      <c r="E314" s="381">
        <f>IF(D314&lt;=3,база!$I$4,
IF(D314=4,база!$I$5,
IF(D314=5,база!$I$6)))</f>
        <v>188.7912</v>
      </c>
      <c r="F314" s="378">
        <v>1</v>
      </c>
      <c r="G314" s="387">
        <f>SUMIFS(Таблица14[часы],Таблица14[коэф],"1",Таблица14[р/р],"2/4",Таблица14[Ф. И. О.],B319)</f>
        <v>0</v>
      </c>
      <c r="H314" s="380">
        <f>ROUND(E314*F314*G314*2,2)</f>
        <v>0</v>
      </c>
      <c r="I314" s="377">
        <f>IF(D314&lt;=3,база!$J$4,
IF(D314=4,база!$J$5,
IF(D314=5,база!$J$6)))</f>
        <v>196.05240000000001</v>
      </c>
      <c r="J314" s="378">
        <v>1</v>
      </c>
      <c r="K314" s="428">
        <f>SUMIFS(Таблица14[часы],Таблица14[коэф],"1",Таблица14[р/р],"2/8",Таблица14[Ф. И. О.],B319)</f>
        <v>0</v>
      </c>
      <c r="L314" s="383">
        <f>ROUND(I314*J314*K314*2,2)</f>
        <v>0</v>
      </c>
      <c r="M314" s="426"/>
      <c r="N314" s="428">
        <v>1</v>
      </c>
      <c r="O314" s="428">
        <f>SUMIFS(Data_Tech!$AM$3:$AM$67,Data_Tech!$E$3:$E$67,"1",Data_Tech!$G$3:$G$67,"3/12",Data_Tech!$F$3:$F$67,B319)</f>
        <v>0</v>
      </c>
      <c r="P314" s="428">
        <f>ROUND(M314*N314*O314,2)</f>
        <v>0</v>
      </c>
      <c r="Q314" s="386">
        <f>IF(D314&lt;=3,база!$L$4,
IF(D314=4,база!$L$5,
IF(D314=5,база!$L$6)))</f>
        <v>210.57480000000001</v>
      </c>
      <c r="R314" s="378">
        <v>1</v>
      </c>
      <c r="S314" s="387">
        <f>SUMIFS(Таблица14[часы],Таблица14[коэф],"1",Таблица14[р/р],"3/16",Таблица14[Ф. И. О.],B319)</f>
        <v>0</v>
      </c>
      <c r="T314" s="548">
        <f>ROUND(Q314*R314*S314*2,2)</f>
        <v>0</v>
      </c>
      <c r="U314" s="471">
        <f>IF(D314&lt;=3,база!$M$4,
IF(D314=4,база!$M$5,
IF(D314=5,база!$M$6)))</f>
        <v>225.09719999999999</v>
      </c>
      <c r="V314" s="378">
        <v>1</v>
      </c>
      <c r="W314" s="430">
        <f>SUMIFS(Таблица14[часы],Таблица14[коэф],"1",Таблица14[р/р],"3/24",Таблица14[Ф. И. О.],B319)</f>
        <v>0</v>
      </c>
      <c r="X314" s="543">
        <f>ROUND(U314*V314*W314*2,2)</f>
        <v>0</v>
      </c>
      <c r="Y314" s="764">
        <f t="shared" ref="Y314" si="152">SUM(G314:G324,K314:K324,O314:O324,S314:S324,W314:W324)</f>
        <v>0</v>
      </c>
      <c r="Z314" s="766">
        <f t="shared" ref="Z314" si="153">IFERROR(SUM(H314:H324,L314:L324,T314:T324,X314:X324),"")</f>
        <v>0</v>
      </c>
      <c r="AA314" s="756"/>
    </row>
    <row r="315" spans="1:29">
      <c r="A315" s="756"/>
      <c r="B315" s="215"/>
      <c r="C315" s="759"/>
      <c r="D315" s="762"/>
      <c r="E315" s="393">
        <f>IF(D314&lt;=3,база!$I$4,
IF(D314=4,база!$I$5,
IF(D314=5,база!$I$6)))</f>
        <v>188.7912</v>
      </c>
      <c r="F315" s="390">
        <v>1</v>
      </c>
      <c r="G315" s="400">
        <f>SUMIFS(Таблица14[часы],Таблица14[коэф],"1",Таблица14[р/р],"3/4",Таблица14[Ф. И. О.],B319)</f>
        <v>0</v>
      </c>
      <c r="H315" s="542">
        <f t="shared" ref="H315:H324" si="154">ROUND(E315*F315*G315*2,2)</f>
        <v>0</v>
      </c>
      <c r="I315" s="389">
        <f>IF(D314&lt;=3,база!$J$4,
IF(D314=4,база!$J$5,
IF(D314=5,база!$J$6)))</f>
        <v>196.05240000000001</v>
      </c>
      <c r="J315" s="390">
        <v>1</v>
      </c>
      <c r="K315" s="434">
        <f>SUMIFS(Таблица14[часы],Таблица14[коэф],"1",Таблица14[р/р],"3/8",Таблица14[Ф. И. О.],B319)</f>
        <v>0</v>
      </c>
      <c r="L315" s="395">
        <f t="shared" ref="L315:L324" si="155">ROUND(I315*J315*K315*2,2)</f>
        <v>0</v>
      </c>
      <c r="M315" s="432"/>
      <c r="N315" s="434">
        <v>1</v>
      </c>
      <c r="O315" s="434">
        <f>SUMIFS(Data_Tech!$AM$3:$AM$67,Data_Tech!$E$3:$E$67,"1",Data_Tech!$G$3:$G$67,"4/12",Data_Tech!$F$3:$F$67,B319)</f>
        <v>0</v>
      </c>
      <c r="P315" s="434">
        <f>ROUND(M315*O315,2)</f>
        <v>0</v>
      </c>
      <c r="Q315" s="399">
        <f>база!$L$5</f>
        <v>231.45480000000001</v>
      </c>
      <c r="R315" s="390">
        <v>1</v>
      </c>
      <c r="S315" s="400">
        <f>SUMIFS(Таблица14[часы],Таблица14[коэф],"1",Таблица14[р/р],"4/16",Таблица14[Ф. И. О.],B319)</f>
        <v>0</v>
      </c>
      <c r="T315" s="544">
        <f t="shared" ref="T315:T324" si="156">ROUND(Q315*R315*S315*2,2)</f>
        <v>0</v>
      </c>
      <c r="U315" s="472">
        <f>база!$M$5</f>
        <v>247.41720000000001</v>
      </c>
      <c r="V315" s="390">
        <v>1</v>
      </c>
      <c r="W315" s="412">
        <f>SUMIFS(Таблица14[часы],Таблица14[коэф],"1",Таблица14[р/р],"4/24",Таблица14[Ф. И. О.],B319)</f>
        <v>0</v>
      </c>
      <c r="X315" s="545">
        <f t="shared" ref="X315:X324" si="157">ROUND(U315*V315*W315*2,2)</f>
        <v>0</v>
      </c>
      <c r="Y315" s="764"/>
      <c r="Z315" s="766"/>
      <c r="AA315" s="756"/>
    </row>
    <row r="316" spans="1:29">
      <c r="A316" s="756"/>
      <c r="B316" s="215"/>
      <c r="C316" s="759"/>
      <c r="D316" s="762"/>
      <c r="E316" s="393"/>
      <c r="F316" s="390"/>
      <c r="G316" s="400"/>
      <c r="H316" s="544">
        <f t="shared" si="154"/>
        <v>0</v>
      </c>
      <c r="I316" s="389"/>
      <c r="J316" s="390"/>
      <c r="K316" s="434"/>
      <c r="L316" s="395">
        <f t="shared" si="155"/>
        <v>0</v>
      </c>
      <c r="M316" s="432"/>
      <c r="N316" s="434"/>
      <c r="O316" s="434"/>
      <c r="P316" s="434"/>
      <c r="Q316" s="399">
        <f>база!$L$6</f>
        <v>261.04640000000001</v>
      </c>
      <c r="R316" s="390">
        <v>1</v>
      </c>
      <c r="S316" s="400">
        <f>SUMIFS(Таблица14[часы],Таблица14[коэф],"1",Таблица14[р/р],"5/16",Таблица14[Ф. И. О.],B319)</f>
        <v>0</v>
      </c>
      <c r="T316" s="544">
        <f t="shared" si="156"/>
        <v>0</v>
      </c>
      <c r="U316" s="472">
        <f>база!$M$6</f>
        <v>279.0496</v>
      </c>
      <c r="V316" s="390">
        <v>1</v>
      </c>
      <c r="W316" s="412">
        <f>SUMIFS(Таблица14[часы],Таблица14[коэф],"1",Таблица14[р/р],"5/24",Таблица14[Ф. И. О.],B319)</f>
        <v>0</v>
      </c>
      <c r="X316" s="545">
        <f t="shared" si="157"/>
        <v>0</v>
      </c>
      <c r="Y316" s="764"/>
      <c r="Z316" s="766"/>
      <c r="AA316" s="756"/>
    </row>
    <row r="317" spans="1:29">
      <c r="A317" s="756"/>
      <c r="B317" s="215"/>
      <c r="C317" s="759"/>
      <c r="D317" s="762"/>
      <c r="E317" s="393"/>
      <c r="F317" s="390"/>
      <c r="G317" s="400"/>
      <c r="H317" s="544">
        <f t="shared" si="154"/>
        <v>0</v>
      </c>
      <c r="I317" s="389">
        <f>база!$J$5</f>
        <v>215.4924</v>
      </c>
      <c r="J317" s="390">
        <v>1.5</v>
      </c>
      <c r="K317" s="434">
        <f>SUMIFS(Таблица14[часы],Таблица14[коэф],"1,5",Таблица14[р/р],"4/8",Таблица14[Ф. И. О.],B319)</f>
        <v>0</v>
      </c>
      <c r="L317" s="395">
        <f t="shared" si="155"/>
        <v>0</v>
      </c>
      <c r="M317" s="432"/>
      <c r="N317" s="434"/>
      <c r="O317" s="434"/>
      <c r="P317" s="434"/>
      <c r="Q317" s="399">
        <f>IF(D314&lt;=3,база!$L$4,
IF(D314=4,база!$L$5,
IF(D314=5,база!$L$6)))</f>
        <v>210.57480000000001</v>
      </c>
      <c r="R317" s="390">
        <v>1.2</v>
      </c>
      <c r="S317" s="400">
        <f>SUMIFS(Таблица14[часы],Таблица14[коэф],"1,2",Таблица14[р/р],"3/16",Таблица14[Ф. И. О.],B319)</f>
        <v>0</v>
      </c>
      <c r="T317" s="544">
        <f t="shared" si="156"/>
        <v>0</v>
      </c>
      <c r="U317" s="472">
        <f>IF(D314&lt;=3,база!$M$4,
IF(D314=4,база!$M$5,
IF(D314=5,база!$M$6)))</f>
        <v>225.09719999999999</v>
      </c>
      <c r="V317" s="390">
        <v>1.2</v>
      </c>
      <c r="W317" s="412">
        <f>SUMIFS(Таблица14[часы],Таблица14[коэф],"1,2",Таблица14[р/р],"3/24",Таблица14[Ф. И. О.],B319)</f>
        <v>0</v>
      </c>
      <c r="X317" s="545">
        <f t="shared" si="157"/>
        <v>0</v>
      </c>
      <c r="Y317" s="764"/>
      <c r="Z317" s="766"/>
      <c r="AA317" s="756"/>
    </row>
    <row r="318" spans="1:29">
      <c r="A318" s="756"/>
      <c r="B318" s="215"/>
      <c r="C318" s="759"/>
      <c r="D318" s="762"/>
      <c r="E318" s="393"/>
      <c r="F318" s="390"/>
      <c r="G318" s="400"/>
      <c r="H318" s="544">
        <f t="shared" si="154"/>
        <v>0</v>
      </c>
      <c r="I318" s="389">
        <f>база!$J$6</f>
        <v>243.04319999999998</v>
      </c>
      <c r="J318" s="390">
        <v>1.5</v>
      </c>
      <c r="K318" s="434">
        <f>SUMIFS(Таблица14[часы],Таблица14[коэф],"1,5",Таблица14[р/р],"5/8",Таблица14[Ф. И. О.],B319)</f>
        <v>0</v>
      </c>
      <c r="L318" s="395">
        <f t="shared" si="155"/>
        <v>0</v>
      </c>
      <c r="M318" s="432"/>
      <c r="N318" s="434"/>
      <c r="O318" s="434"/>
      <c r="P318" s="434"/>
      <c r="Q318" s="399">
        <f>база!$L$5</f>
        <v>231.45480000000001</v>
      </c>
      <c r="R318" s="390">
        <v>1.2</v>
      </c>
      <c r="S318" s="400">
        <f>SUMIFS(Таблица14[часы],Таблица14[коэф],"1,2",Таблица14[р/р],"4/16",Таблица14[Ф. И. О.],B319)</f>
        <v>0</v>
      </c>
      <c r="T318" s="544">
        <f t="shared" si="156"/>
        <v>0</v>
      </c>
      <c r="U318" s="472">
        <f>база!$M$5</f>
        <v>247.41720000000001</v>
      </c>
      <c r="V318" s="390">
        <v>1.2</v>
      </c>
      <c r="W318" s="412">
        <f>SUMIFS(Таблица14[часы],Таблица14[коэф],"1,2",Таблица14[р/р],"4/24",Таблица14[Ф. И. О.],B319)</f>
        <v>0</v>
      </c>
      <c r="X318" s="545">
        <f t="shared" si="157"/>
        <v>0</v>
      </c>
      <c r="Y318" s="764"/>
      <c r="Z318" s="766"/>
      <c r="AA318" s="756"/>
      <c r="AC318" s="752" t="str">
        <f>IF(SUMIFS(Таблица14[Столбец2],Таблица14[Ф. И. О.],B319)-Z314=0,"",SUMIFS(Таблица14[Столбец2],Таблица14[Ф. И. О.],B319)-Z314)</f>
        <v/>
      </c>
    </row>
    <row r="319" spans="1:29">
      <c r="A319" s="756"/>
      <c r="B319" s="215" t="str">
        <f>база!B30</f>
        <v>Иванова Оксана Михайловна</v>
      </c>
      <c r="C319" s="759"/>
      <c r="D319" s="762"/>
      <c r="E319" s="393"/>
      <c r="F319" s="390"/>
      <c r="G319" s="400"/>
      <c r="H319" s="544">
        <f t="shared" si="154"/>
        <v>0</v>
      </c>
      <c r="I319" s="389"/>
      <c r="J319" s="390"/>
      <c r="K319" s="434"/>
      <c r="L319" s="395">
        <f t="shared" si="155"/>
        <v>0</v>
      </c>
      <c r="M319" s="432"/>
      <c r="N319" s="434"/>
      <c r="O319" s="434"/>
      <c r="P319" s="434"/>
      <c r="Q319" s="399">
        <f>база!$L$6</f>
        <v>261.04640000000001</v>
      </c>
      <c r="R319" s="390">
        <v>1.2</v>
      </c>
      <c r="S319" s="400">
        <f>SUMIFS(Таблица14[часы],Таблица14[коэф],"1,2",Таблица14[р/р],"5/16",Таблица14[Ф. И. О.],B319)</f>
        <v>0</v>
      </c>
      <c r="T319" s="544">
        <f t="shared" si="156"/>
        <v>0</v>
      </c>
      <c r="U319" s="472">
        <f>база!$M$6</f>
        <v>279.0496</v>
      </c>
      <c r="V319" s="390">
        <v>1.2</v>
      </c>
      <c r="W319" s="412">
        <f>SUMIFS(Таблица14[часы],Таблица14[коэф],"1,2",Таблица14[р/р],"5/24",Таблица14[Ф. И. О.],B319)</f>
        <v>0</v>
      </c>
      <c r="X319" s="545">
        <f t="shared" si="157"/>
        <v>0</v>
      </c>
      <c r="Y319" s="764"/>
      <c r="Z319" s="766"/>
      <c r="AA319" s="756"/>
      <c r="AC319" s="752" t="str">
        <f>IF(SUMIFS(Таблица14[часы],Таблица14[Ф. И. О.],B319)-Y314=0,"",SUMIFS(Таблица14[часы],Таблица14[Ф. И. О.],B319)-Y314)</f>
        <v/>
      </c>
    </row>
    <row r="320" spans="1:29">
      <c r="A320" s="756"/>
      <c r="B320" s="215"/>
      <c r="C320" s="759"/>
      <c r="D320" s="762"/>
      <c r="E320" s="393"/>
      <c r="F320" s="390"/>
      <c r="G320" s="400"/>
      <c r="H320" s="544">
        <f t="shared" si="154"/>
        <v>0</v>
      </c>
      <c r="I320" s="389"/>
      <c r="J320" s="390"/>
      <c r="K320" s="434"/>
      <c r="L320" s="395">
        <f t="shared" si="155"/>
        <v>0</v>
      </c>
      <c r="M320" s="432"/>
      <c r="N320" s="434"/>
      <c r="O320" s="434"/>
      <c r="P320" s="434"/>
      <c r="Q320" s="399">
        <f>IF(D314&lt;=3,база!$L$4,
IF(D314=4,база!$L$5,
IF(D314=5,база!$L$6)))</f>
        <v>210.57480000000001</v>
      </c>
      <c r="R320" s="390">
        <v>1.3</v>
      </c>
      <c r="S320" s="400">
        <f>SUMIFS(Таблица14[часы],Таблица14[коэф],"1,3",Таблица14[р/р],"3/16",Таблица14[Ф. И. О.],B319)</f>
        <v>0</v>
      </c>
      <c r="T320" s="544">
        <f t="shared" si="156"/>
        <v>0</v>
      </c>
      <c r="U320" s="472">
        <f>IF(D314&lt;=3,база!$M$4,
IF(D314=4,база!$M$5,
IF(D314=5,база!$M$6)))</f>
        <v>225.09719999999999</v>
      </c>
      <c r="V320" s="390">
        <v>1.3</v>
      </c>
      <c r="W320" s="412">
        <f>SUMIFS(Таблица14[часы],Таблица14[коэф],"1,3",Таблица14[р/р],"3/24",Таблица14[Ф. И. О.],B319)</f>
        <v>0</v>
      </c>
      <c r="X320" s="545">
        <f t="shared" si="157"/>
        <v>0</v>
      </c>
      <c r="Y320" s="764"/>
      <c r="Z320" s="766"/>
      <c r="AA320" s="756"/>
    </row>
    <row r="321" spans="1:29">
      <c r="A321" s="756"/>
      <c r="B321" s="215"/>
      <c r="C321" s="759"/>
      <c r="D321" s="762"/>
      <c r="E321" s="393"/>
      <c r="F321" s="390"/>
      <c r="G321" s="400"/>
      <c r="H321" s="544">
        <f t="shared" si="154"/>
        <v>0</v>
      </c>
      <c r="I321" s="389"/>
      <c r="J321" s="390"/>
      <c r="K321" s="434"/>
      <c r="L321" s="395">
        <f t="shared" si="155"/>
        <v>0</v>
      </c>
      <c r="M321" s="432"/>
      <c r="N321" s="434"/>
      <c r="O321" s="434"/>
      <c r="P321" s="434"/>
      <c r="Q321" s="399">
        <f>база!$L$5</f>
        <v>231.45480000000001</v>
      </c>
      <c r="R321" s="390">
        <v>1.3</v>
      </c>
      <c r="S321" s="400">
        <f>SUMIFS(Таблица14[часы],Таблица14[коэф],"1,3",Таблица14[р/р],"4/16",Таблица14[Ф. И. О.],B319)</f>
        <v>0</v>
      </c>
      <c r="T321" s="544">
        <f t="shared" si="156"/>
        <v>0</v>
      </c>
      <c r="U321" s="472">
        <f>база!$M$5</f>
        <v>247.41720000000001</v>
      </c>
      <c r="V321" s="390">
        <v>1.3</v>
      </c>
      <c r="W321" s="412">
        <f>SUMIFS(Таблица14[часы],Таблица14[коэф],"1,3",Таблица14[р/р],"4/24",Таблица14[Ф. И. О.],B319)</f>
        <v>0</v>
      </c>
      <c r="X321" s="545">
        <f t="shared" si="157"/>
        <v>0</v>
      </c>
      <c r="Y321" s="764"/>
      <c r="Z321" s="766"/>
      <c r="AA321" s="756"/>
    </row>
    <row r="322" spans="1:29">
      <c r="A322" s="756"/>
      <c r="B322" s="215"/>
      <c r="C322" s="759"/>
      <c r="D322" s="762"/>
      <c r="E322" s="393"/>
      <c r="F322" s="390"/>
      <c r="G322" s="400"/>
      <c r="H322" s="544">
        <f t="shared" si="154"/>
        <v>0</v>
      </c>
      <c r="I322" s="389"/>
      <c r="J322" s="390"/>
      <c r="K322" s="434"/>
      <c r="L322" s="395">
        <f t="shared" si="155"/>
        <v>0</v>
      </c>
      <c r="M322" s="432"/>
      <c r="N322" s="434"/>
      <c r="O322" s="434"/>
      <c r="P322" s="434"/>
      <c r="Q322" s="399">
        <f>IF(D314&lt;=3,база!$L$4,
IF(D314=4,база!$L$5,
IF(D314=5,база!$L$6)))</f>
        <v>210.57480000000001</v>
      </c>
      <c r="R322" s="390">
        <v>1.4</v>
      </c>
      <c r="S322" s="400">
        <f>SUMIFS(Таблица14[часы],Таблица14[коэф],"1,4",Таблица14[р/р],"3/16",Таблица14[Ф. И. О.],B319)</f>
        <v>0</v>
      </c>
      <c r="T322" s="544">
        <f t="shared" si="156"/>
        <v>0</v>
      </c>
      <c r="U322" s="472">
        <f>IF(D314&lt;=3,база!$M$4,
IF(D314=4,база!$M$5,
IF(D314=5,база!$M$6)))</f>
        <v>225.09719999999999</v>
      </c>
      <c r="V322" s="390">
        <v>1.4</v>
      </c>
      <c r="W322" s="412">
        <f>SUMIFS(Таблица14[часы],Таблица14[коэф],"1,4",Таблица14[р/р],"3/24",Таблица14[Ф. И. О.],B319)</f>
        <v>0</v>
      </c>
      <c r="X322" s="545">
        <f t="shared" si="157"/>
        <v>0</v>
      </c>
      <c r="Y322" s="764"/>
      <c r="Z322" s="766"/>
      <c r="AA322" s="756"/>
    </row>
    <row r="323" spans="1:29">
      <c r="A323" s="756"/>
      <c r="B323" s="215"/>
      <c r="C323" s="759"/>
      <c r="D323" s="762"/>
      <c r="E323" s="393"/>
      <c r="F323" s="390"/>
      <c r="G323" s="400"/>
      <c r="H323" s="544">
        <f t="shared" si="154"/>
        <v>0</v>
      </c>
      <c r="I323" s="389"/>
      <c r="J323" s="390"/>
      <c r="K323" s="434"/>
      <c r="L323" s="395">
        <f t="shared" si="155"/>
        <v>0</v>
      </c>
      <c r="M323" s="432"/>
      <c r="N323" s="434"/>
      <c r="O323" s="434"/>
      <c r="P323" s="434"/>
      <c r="Q323" s="399">
        <f>база!$L$5</f>
        <v>231.45480000000001</v>
      </c>
      <c r="R323" s="390">
        <v>1.4</v>
      </c>
      <c r="S323" s="400">
        <f>SUMIFS(Таблица14[часы],Таблица14[коэф],"1,4",Таблица14[р/р],"4/16",Таблица14[Ф. И. О.],B319)</f>
        <v>0</v>
      </c>
      <c r="T323" s="544">
        <f t="shared" si="156"/>
        <v>0</v>
      </c>
      <c r="U323" s="472">
        <f>база!$M$5</f>
        <v>247.41720000000001</v>
      </c>
      <c r="V323" s="390">
        <v>1.4</v>
      </c>
      <c r="W323" s="412">
        <f>SUMIFS(Таблица14[часы],Таблица14[коэф],"1,4",Таблица14[р/р],"4/24",Таблица14[Ф. И. О.],B319)</f>
        <v>0</v>
      </c>
      <c r="X323" s="545">
        <f t="shared" si="157"/>
        <v>0</v>
      </c>
      <c r="Y323" s="764"/>
      <c r="Z323" s="766"/>
      <c r="AA323" s="756"/>
    </row>
    <row r="324" spans="1:29" ht="21" thickBot="1">
      <c r="A324" s="757"/>
      <c r="B324" s="202"/>
      <c r="C324" s="760"/>
      <c r="D324" s="763"/>
      <c r="E324" s="463"/>
      <c r="F324" s="464"/>
      <c r="G324" s="465"/>
      <c r="H324" s="549">
        <f t="shared" si="154"/>
        <v>0</v>
      </c>
      <c r="I324" s="473"/>
      <c r="J324" s="464"/>
      <c r="K324" s="457"/>
      <c r="L324" s="458">
        <f t="shared" si="155"/>
        <v>0</v>
      </c>
      <c r="M324" s="466"/>
      <c r="N324" s="457"/>
      <c r="O324" s="457"/>
      <c r="P324" s="457"/>
      <c r="Q324" s="467">
        <f>база!$L$6</f>
        <v>261.04640000000001</v>
      </c>
      <c r="R324" s="464">
        <v>1.4</v>
      </c>
      <c r="S324" s="465">
        <f>SUMIFS(Таблица14[часы],Таблица14[коэф],"1,4",Таблица14[р/р],"5/16",Таблица14[Ф. И. О.],B319)</f>
        <v>0</v>
      </c>
      <c r="T324" s="549">
        <f t="shared" si="156"/>
        <v>0</v>
      </c>
      <c r="U324" s="474">
        <f>база!$M$6</f>
        <v>279.0496</v>
      </c>
      <c r="V324" s="464">
        <v>1.4</v>
      </c>
      <c r="W324" s="470">
        <f>SUMIFS(Таблица14[часы],Таблица14[коэф],"1,4",Таблица14[р/р],"5/24",Таблица14[Ф. И. О.],B319)</f>
        <v>0</v>
      </c>
      <c r="X324" s="547">
        <f t="shared" si="157"/>
        <v>0</v>
      </c>
      <c r="Y324" s="765"/>
      <c r="Z324" s="767"/>
      <c r="AA324" s="757"/>
    </row>
    <row r="325" spans="1:29">
      <c r="A325" s="755">
        <v>30</v>
      </c>
      <c r="B325" s="235"/>
      <c r="C325" s="758">
        <f>INDEX(база!$E$2:$E$81, MATCH(B330,база!$B$2:$B$50,0))</f>
        <v>16799</v>
      </c>
      <c r="D325" s="761">
        <f>INDEX(база!$D$2:$D$89, MATCH(B330,база!$B$2:$B$50,0))</f>
        <v>3</v>
      </c>
      <c r="E325" s="381">
        <f>IF(D325&lt;=3,база!$I$4,
IF(D325=4,база!$I$5,
IF(D325=5,база!$I$6)))</f>
        <v>188.7912</v>
      </c>
      <c r="F325" s="378">
        <v>1</v>
      </c>
      <c r="G325" s="387">
        <f>SUMIFS(Таблица14[часы],Таблица14[коэф],"1",Таблица14[р/р],"2/4",Таблица14[Ф. И. О.],B330)</f>
        <v>0</v>
      </c>
      <c r="H325" s="380">
        <f>ROUND(E325*F325*G325*2,2)</f>
        <v>0</v>
      </c>
      <c r="I325" s="377">
        <f>IF(D325&lt;=3,база!$J$4,
IF(D325=4,база!$J$5,
IF(D325=5,база!$J$6)))</f>
        <v>196.05240000000001</v>
      </c>
      <c r="J325" s="378">
        <v>1</v>
      </c>
      <c r="K325" s="428">
        <f>SUMIFS(Таблица14[часы],Таблица14[коэф],"1",Таблица14[р/р],"2/8",Таблица14[Ф. И. О.],B330)</f>
        <v>0</v>
      </c>
      <c r="L325" s="383">
        <f>ROUND(I325*J325*K325*2,2)</f>
        <v>0</v>
      </c>
      <c r="M325" s="426"/>
      <c r="N325" s="428">
        <v>1</v>
      </c>
      <c r="O325" s="428">
        <f>SUMIFS(Data_Tech!$AM$3:$AM$67,Data_Tech!$E$3:$E$67,"1",Data_Tech!$G$3:$G$67,"3/12",Data_Tech!$F$3:$F$67,B330)</f>
        <v>0</v>
      </c>
      <c r="P325" s="428">
        <f>ROUND(M325*N325*O325,2)</f>
        <v>0</v>
      </c>
      <c r="Q325" s="386">
        <f>IF(D325&lt;=3,база!$L$4,
IF(D325=4,база!$L$5,
IF(D325=5,база!$L$6)))</f>
        <v>210.57480000000001</v>
      </c>
      <c r="R325" s="378">
        <v>1</v>
      </c>
      <c r="S325" s="387">
        <f>SUMIFS(Таблица14[часы],Таблица14[коэф],"1",Таблица14[р/р],"3/16",Таблица14[Ф. И. О.],B330)</f>
        <v>0</v>
      </c>
      <c r="T325" s="548">
        <f>ROUND(Q325*R325*S325*2,2)</f>
        <v>0</v>
      </c>
      <c r="U325" s="471">
        <f>IF(D325&lt;=3,база!$M$4,
IF(D325=4,база!$M$5,
IF(D325=5,база!$M$6)))</f>
        <v>225.09719999999999</v>
      </c>
      <c r="V325" s="378">
        <v>1</v>
      </c>
      <c r="W325" s="430">
        <f>SUMIFS(Таблица14[часы],Таблица14[коэф],"1",Таблица14[р/р],"3/24",Таблица14[Ф. И. О.],B330)</f>
        <v>0</v>
      </c>
      <c r="X325" s="543">
        <f>ROUND(U325*V325*W325*2,2)</f>
        <v>0</v>
      </c>
      <c r="Y325" s="764">
        <f t="shared" ref="Y325" si="158">SUM(G325:G335,K325:K335,O325:O335,S325:S335,W325:W335)</f>
        <v>0</v>
      </c>
      <c r="Z325" s="766">
        <f t="shared" ref="Z325" si="159">IFERROR(SUM(H325:H335,L325:L335,T325:T335,X325:X335),"")</f>
        <v>0</v>
      </c>
      <c r="AA325" s="756"/>
    </row>
    <row r="326" spans="1:29">
      <c r="A326" s="756"/>
      <c r="B326" s="215"/>
      <c r="C326" s="759"/>
      <c r="D326" s="762"/>
      <c r="E326" s="393">
        <f>IF(D325&lt;=3,база!$I$4,
IF(D325=4,база!$I$5,
IF(D325=5,база!$I$6)))</f>
        <v>188.7912</v>
      </c>
      <c r="F326" s="390">
        <v>1</v>
      </c>
      <c r="G326" s="400">
        <f>SUMIFS(Таблица14[часы],Таблица14[коэф],"1",Таблица14[р/р],"3/4",Таблица14[Ф. И. О.],B330)</f>
        <v>0</v>
      </c>
      <c r="H326" s="542">
        <f t="shared" ref="H326:H335" si="160">ROUND(E326*F326*G326*2,2)</f>
        <v>0</v>
      </c>
      <c r="I326" s="389">
        <f>IF(D325&lt;=3,база!$J$4,
IF(D325=4,база!$J$5,
IF(D325=5,база!$J$6)))</f>
        <v>196.05240000000001</v>
      </c>
      <c r="J326" s="390">
        <v>1</v>
      </c>
      <c r="K326" s="434">
        <f>SUMIFS(Таблица14[часы],Таблица14[коэф],"1",Таблица14[р/р],"3/8",Таблица14[Ф. И. О.],B330)</f>
        <v>0</v>
      </c>
      <c r="L326" s="395">
        <f t="shared" ref="L326:L335" si="161">ROUND(I326*J326*K326*2,2)</f>
        <v>0</v>
      </c>
      <c r="M326" s="432"/>
      <c r="N326" s="434">
        <v>1</v>
      </c>
      <c r="O326" s="434">
        <f>SUMIFS(Data_Tech!$AM$3:$AM$67,Data_Tech!$E$3:$E$67,"1",Data_Tech!$G$3:$G$67,"4/12",Data_Tech!$F$3:$F$67,B330)</f>
        <v>0</v>
      </c>
      <c r="P326" s="434">
        <f>ROUND(M326*O326,2)</f>
        <v>0</v>
      </c>
      <c r="Q326" s="399">
        <f>база!$L$5</f>
        <v>231.45480000000001</v>
      </c>
      <c r="R326" s="390">
        <v>1</v>
      </c>
      <c r="S326" s="400">
        <f>SUMIFS(Таблица14[часы],Таблица14[коэф],"1",Таблица14[р/р],"4/16",Таблица14[Ф. И. О.],B330)</f>
        <v>0</v>
      </c>
      <c r="T326" s="544">
        <f t="shared" ref="T326:T335" si="162">ROUND(Q326*R326*S326*2,2)</f>
        <v>0</v>
      </c>
      <c r="U326" s="472">
        <f>база!$M$5</f>
        <v>247.41720000000001</v>
      </c>
      <c r="V326" s="390">
        <v>1</v>
      </c>
      <c r="W326" s="412">
        <f>SUMIFS(Таблица14[часы],Таблица14[коэф],"1",Таблица14[р/р],"4/24",Таблица14[Ф. И. О.],B330)</f>
        <v>0</v>
      </c>
      <c r="X326" s="545">
        <f t="shared" ref="X326:X335" si="163">ROUND(U326*V326*W326*2,2)</f>
        <v>0</v>
      </c>
      <c r="Y326" s="764"/>
      <c r="Z326" s="766"/>
      <c r="AA326" s="756"/>
    </row>
    <row r="327" spans="1:29">
      <c r="A327" s="756"/>
      <c r="B327" s="215"/>
      <c r="C327" s="759"/>
      <c r="D327" s="762"/>
      <c r="E327" s="393"/>
      <c r="F327" s="390"/>
      <c r="G327" s="400"/>
      <c r="H327" s="544">
        <f t="shared" si="160"/>
        <v>0</v>
      </c>
      <c r="I327" s="389"/>
      <c r="J327" s="390"/>
      <c r="K327" s="434"/>
      <c r="L327" s="395">
        <f t="shared" si="161"/>
        <v>0</v>
      </c>
      <c r="M327" s="432"/>
      <c r="N327" s="434"/>
      <c r="O327" s="434"/>
      <c r="P327" s="434"/>
      <c r="Q327" s="399">
        <f>база!$L$6</f>
        <v>261.04640000000001</v>
      </c>
      <c r="R327" s="390">
        <v>1</v>
      </c>
      <c r="S327" s="400">
        <f>SUMIFS(Таблица14[часы],Таблица14[коэф],"1",Таблица14[р/р],"5/16",Таблица14[Ф. И. О.],B330)</f>
        <v>0</v>
      </c>
      <c r="T327" s="544">
        <f t="shared" si="162"/>
        <v>0</v>
      </c>
      <c r="U327" s="472">
        <f>база!$M$6</f>
        <v>279.0496</v>
      </c>
      <c r="V327" s="390">
        <v>1</v>
      </c>
      <c r="W327" s="412">
        <f>SUMIFS(Таблица14[часы],Таблица14[коэф],"1",Таблица14[р/р],"5/24",Таблица14[Ф. И. О.],B330)</f>
        <v>0</v>
      </c>
      <c r="X327" s="545">
        <f t="shared" si="163"/>
        <v>0</v>
      </c>
      <c r="Y327" s="764"/>
      <c r="Z327" s="766"/>
      <c r="AA327" s="756"/>
    </row>
    <row r="328" spans="1:29">
      <c r="A328" s="756"/>
      <c r="B328" s="215"/>
      <c r="C328" s="759"/>
      <c r="D328" s="762"/>
      <c r="E328" s="393"/>
      <c r="F328" s="390"/>
      <c r="G328" s="400"/>
      <c r="H328" s="544">
        <f t="shared" si="160"/>
        <v>0</v>
      </c>
      <c r="I328" s="389">
        <f>база!$J$5</f>
        <v>215.4924</v>
      </c>
      <c r="J328" s="390">
        <v>1.5</v>
      </c>
      <c r="K328" s="434">
        <f>SUMIFS(Таблица14[часы],Таблица14[коэф],"1,5",Таблица14[р/р],"4/8",Таблица14[Ф. И. О.],B330)</f>
        <v>0</v>
      </c>
      <c r="L328" s="395">
        <f t="shared" si="161"/>
        <v>0</v>
      </c>
      <c r="M328" s="432"/>
      <c r="N328" s="434"/>
      <c r="O328" s="434"/>
      <c r="P328" s="434"/>
      <c r="Q328" s="399">
        <f>IF(D325&lt;=3,база!$L$4,
IF(D325=4,база!$L$5,
IF(D325=5,база!$L$6)))</f>
        <v>210.57480000000001</v>
      </c>
      <c r="R328" s="390">
        <v>1.2</v>
      </c>
      <c r="S328" s="400">
        <f>SUMIFS(Таблица14[часы],Таблица14[коэф],"1,2",Таблица14[р/р],"3/16",Таблица14[Ф. И. О.],B330)</f>
        <v>0</v>
      </c>
      <c r="T328" s="544">
        <f t="shared" si="162"/>
        <v>0</v>
      </c>
      <c r="U328" s="472">
        <f>IF(D325&lt;=3,база!$M$4,
IF(D325=4,база!$M$5,
IF(D325=5,база!$M$6)))</f>
        <v>225.09719999999999</v>
      </c>
      <c r="V328" s="390">
        <v>1.2</v>
      </c>
      <c r="W328" s="412">
        <f>SUMIFS(Таблица14[часы],Таблица14[коэф],"1,2",Таблица14[р/р],"3/24",Таблица14[Ф. И. О.],B330)</f>
        <v>0</v>
      </c>
      <c r="X328" s="545">
        <f t="shared" si="163"/>
        <v>0</v>
      </c>
      <c r="Y328" s="764"/>
      <c r="Z328" s="766"/>
      <c r="AA328" s="756"/>
    </row>
    <row r="329" spans="1:29">
      <c r="A329" s="756"/>
      <c r="B329" s="215"/>
      <c r="C329" s="759"/>
      <c r="D329" s="762"/>
      <c r="E329" s="393"/>
      <c r="F329" s="390"/>
      <c r="G329" s="400"/>
      <c r="H329" s="544">
        <f t="shared" si="160"/>
        <v>0</v>
      </c>
      <c r="I329" s="389">
        <f>база!$J$6</f>
        <v>243.04319999999998</v>
      </c>
      <c r="J329" s="390">
        <v>1.5</v>
      </c>
      <c r="K329" s="434">
        <f>SUMIFS(Таблица14[часы],Таблица14[коэф],"1,5",Таблица14[р/р],"5/8",Таблица14[Ф. И. О.],B330)</f>
        <v>0</v>
      </c>
      <c r="L329" s="395">
        <f t="shared" si="161"/>
        <v>0</v>
      </c>
      <c r="M329" s="432"/>
      <c r="N329" s="434"/>
      <c r="O329" s="434"/>
      <c r="P329" s="434"/>
      <c r="Q329" s="399">
        <f>база!$L$5</f>
        <v>231.45480000000001</v>
      </c>
      <c r="R329" s="390">
        <v>1.2</v>
      </c>
      <c r="S329" s="400">
        <f>SUMIFS(Таблица14[часы],Таблица14[коэф],"1,2",Таблица14[р/р],"4/16",Таблица14[Ф. И. О.],B330)</f>
        <v>0</v>
      </c>
      <c r="T329" s="544">
        <f t="shared" si="162"/>
        <v>0</v>
      </c>
      <c r="U329" s="472">
        <f>база!$M$5</f>
        <v>247.41720000000001</v>
      </c>
      <c r="V329" s="390">
        <v>1.2</v>
      </c>
      <c r="W329" s="412">
        <f>SUMIFS(Таблица14[часы],Таблица14[коэф],"1,2",Таблица14[р/р],"4/24",Таблица14[Ф. И. О.],B330)</f>
        <v>0</v>
      </c>
      <c r="X329" s="545">
        <f t="shared" si="163"/>
        <v>0</v>
      </c>
      <c r="Y329" s="764"/>
      <c r="Z329" s="766"/>
      <c r="AA329" s="756"/>
    </row>
    <row r="330" spans="1:29">
      <c r="A330" s="756"/>
      <c r="B330" s="215" t="str">
        <f>база!B31</f>
        <v>Иванченко Ульяна Леонидовна</v>
      </c>
      <c r="C330" s="759"/>
      <c r="D330" s="762"/>
      <c r="E330" s="393"/>
      <c r="F330" s="390"/>
      <c r="G330" s="400"/>
      <c r="H330" s="544">
        <f t="shared" si="160"/>
        <v>0</v>
      </c>
      <c r="I330" s="389"/>
      <c r="J330" s="390"/>
      <c r="K330" s="434"/>
      <c r="L330" s="395">
        <f t="shared" si="161"/>
        <v>0</v>
      </c>
      <c r="M330" s="432"/>
      <c r="N330" s="434"/>
      <c r="O330" s="434"/>
      <c r="P330" s="434"/>
      <c r="Q330" s="399">
        <f>база!$L$6</f>
        <v>261.04640000000001</v>
      </c>
      <c r="R330" s="390">
        <v>1.2</v>
      </c>
      <c r="S330" s="400">
        <f>SUMIFS(Таблица14[часы],Таблица14[коэф],"1,2",Таблица14[р/р],"5/16",Таблица14[Ф. И. О.],B330)</f>
        <v>0</v>
      </c>
      <c r="T330" s="544">
        <f t="shared" si="162"/>
        <v>0</v>
      </c>
      <c r="U330" s="472">
        <f>база!$M$6</f>
        <v>279.0496</v>
      </c>
      <c r="V330" s="390">
        <v>1.2</v>
      </c>
      <c r="W330" s="412">
        <f>SUMIFS(Таблица14[часы],Таблица14[коэф],"1,2",Таблица14[р/р],"5/24",Таблица14[Ф. И. О.],B330)</f>
        <v>0</v>
      </c>
      <c r="X330" s="545">
        <f t="shared" si="163"/>
        <v>0</v>
      </c>
      <c r="Y330" s="764"/>
      <c r="Z330" s="766"/>
      <c r="AA330" s="756"/>
      <c r="AC330" s="752" t="str">
        <f>IF(SUMIFS(Таблица14[Столбец2],Таблица14[Ф. И. О.],B330)-Z325=0,"",SUMIFS(Таблица14[Столбец2],Таблица14[Ф. И. О.],B330)-Z325)</f>
        <v/>
      </c>
    </row>
    <row r="331" spans="1:29">
      <c r="A331" s="756"/>
      <c r="B331" s="215"/>
      <c r="C331" s="759"/>
      <c r="D331" s="762"/>
      <c r="E331" s="393"/>
      <c r="F331" s="390"/>
      <c r="G331" s="400"/>
      <c r="H331" s="544">
        <f t="shared" si="160"/>
        <v>0</v>
      </c>
      <c r="I331" s="389"/>
      <c r="J331" s="390"/>
      <c r="K331" s="434"/>
      <c r="L331" s="395">
        <f t="shared" si="161"/>
        <v>0</v>
      </c>
      <c r="M331" s="432"/>
      <c r="N331" s="434"/>
      <c r="O331" s="434"/>
      <c r="P331" s="434"/>
      <c r="Q331" s="399">
        <f>IF(D325&lt;=3,база!$L$4,
IF(D325=4,база!$L$5,
IF(D325=5,база!$L$6)))</f>
        <v>210.57480000000001</v>
      </c>
      <c r="R331" s="390">
        <v>1.3</v>
      </c>
      <c r="S331" s="400">
        <f>SUMIFS(Таблица14[часы],Таблица14[коэф],"1,3",Таблица14[р/р],"3/16",Таблица14[Ф. И. О.],B330)</f>
        <v>0</v>
      </c>
      <c r="T331" s="544">
        <f t="shared" si="162"/>
        <v>0</v>
      </c>
      <c r="U331" s="472">
        <f>IF(D325&lt;=3,база!$M$4,
IF(D325=4,база!$M$5,
IF(D325=5,база!$M$6)))</f>
        <v>225.09719999999999</v>
      </c>
      <c r="V331" s="390">
        <v>1.3</v>
      </c>
      <c r="W331" s="412">
        <f>SUMIFS(Таблица14[часы],Таблица14[коэф],"1,3",Таблица14[р/р],"3/24",Таблица14[Ф. И. О.],B330)</f>
        <v>0</v>
      </c>
      <c r="X331" s="545">
        <f t="shared" si="163"/>
        <v>0</v>
      </c>
      <c r="Y331" s="764"/>
      <c r="Z331" s="766"/>
      <c r="AA331" s="756"/>
      <c r="AC331" s="752" t="str">
        <f>IF(SUMIFS(Таблица14[часы],Таблица14[Ф. И. О.],B330)-Y325=0,"",SUMIFS(Таблица14[часы],Таблица14[Ф. И. О.],B330)-Y325)</f>
        <v/>
      </c>
    </row>
    <row r="332" spans="1:29">
      <c r="A332" s="756"/>
      <c r="B332" s="215"/>
      <c r="C332" s="759"/>
      <c r="D332" s="762"/>
      <c r="E332" s="393"/>
      <c r="F332" s="390"/>
      <c r="G332" s="400"/>
      <c r="H332" s="544">
        <f t="shared" si="160"/>
        <v>0</v>
      </c>
      <c r="I332" s="389"/>
      <c r="J332" s="390"/>
      <c r="K332" s="434"/>
      <c r="L332" s="395">
        <f t="shared" si="161"/>
        <v>0</v>
      </c>
      <c r="M332" s="432"/>
      <c r="N332" s="434"/>
      <c r="O332" s="434"/>
      <c r="P332" s="434"/>
      <c r="Q332" s="399">
        <f>база!$L$5</f>
        <v>231.45480000000001</v>
      </c>
      <c r="R332" s="390">
        <v>1.3</v>
      </c>
      <c r="S332" s="400">
        <f>SUMIFS(Таблица14[часы],Таблица14[коэф],"1,3",Таблица14[р/р],"4/16",Таблица14[Ф. И. О.],B330)</f>
        <v>0</v>
      </c>
      <c r="T332" s="544">
        <f t="shared" si="162"/>
        <v>0</v>
      </c>
      <c r="U332" s="472">
        <f>база!$M$5</f>
        <v>247.41720000000001</v>
      </c>
      <c r="V332" s="390">
        <v>1.3</v>
      </c>
      <c r="W332" s="412">
        <f>SUMIFS(Таблица14[часы],Таблица14[коэф],"1,3",Таблица14[р/р],"4/24",Таблица14[Ф. И. О.],B330)</f>
        <v>0</v>
      </c>
      <c r="X332" s="545">
        <f t="shared" si="163"/>
        <v>0</v>
      </c>
      <c r="Y332" s="764"/>
      <c r="Z332" s="766"/>
      <c r="AA332" s="756"/>
    </row>
    <row r="333" spans="1:29">
      <c r="A333" s="756"/>
      <c r="B333" s="215"/>
      <c r="C333" s="759"/>
      <c r="D333" s="762"/>
      <c r="E333" s="393"/>
      <c r="F333" s="390"/>
      <c r="G333" s="400"/>
      <c r="H333" s="544">
        <f t="shared" si="160"/>
        <v>0</v>
      </c>
      <c r="I333" s="389"/>
      <c r="J333" s="390"/>
      <c r="K333" s="434"/>
      <c r="L333" s="395">
        <f t="shared" si="161"/>
        <v>0</v>
      </c>
      <c r="M333" s="432"/>
      <c r="N333" s="434"/>
      <c r="O333" s="434"/>
      <c r="P333" s="434"/>
      <c r="Q333" s="399">
        <f>IF(D325&lt;=3,база!$L$4,
IF(D325=4,база!$L$5,
IF(D325=5,база!$L$6)))</f>
        <v>210.57480000000001</v>
      </c>
      <c r="R333" s="390">
        <v>1.4</v>
      </c>
      <c r="S333" s="400">
        <f>SUMIFS(Таблица14[часы],Таблица14[коэф],"1,4",Таблица14[р/р],"3/16",Таблица14[Ф. И. О.],B330)</f>
        <v>0</v>
      </c>
      <c r="T333" s="544">
        <f t="shared" si="162"/>
        <v>0</v>
      </c>
      <c r="U333" s="472">
        <f>IF(D325&lt;=3,база!$M$4,
IF(D325=4,база!$M$5,
IF(D325=5,база!$M$6)))</f>
        <v>225.09719999999999</v>
      </c>
      <c r="V333" s="390">
        <v>1.4</v>
      </c>
      <c r="W333" s="412">
        <f>SUMIFS(Таблица14[часы],Таблица14[коэф],"1,4",Таблица14[р/р],"3/24",Таблица14[Ф. И. О.],B330)</f>
        <v>0</v>
      </c>
      <c r="X333" s="545">
        <f t="shared" si="163"/>
        <v>0</v>
      </c>
      <c r="Y333" s="764"/>
      <c r="Z333" s="766"/>
      <c r="AA333" s="756"/>
    </row>
    <row r="334" spans="1:29">
      <c r="A334" s="756"/>
      <c r="B334" s="215"/>
      <c r="C334" s="759"/>
      <c r="D334" s="762"/>
      <c r="E334" s="393"/>
      <c r="F334" s="390"/>
      <c r="G334" s="400"/>
      <c r="H334" s="544">
        <f t="shared" si="160"/>
        <v>0</v>
      </c>
      <c r="I334" s="389"/>
      <c r="J334" s="390"/>
      <c r="K334" s="434"/>
      <c r="L334" s="395">
        <f t="shared" si="161"/>
        <v>0</v>
      </c>
      <c r="M334" s="432"/>
      <c r="N334" s="434"/>
      <c r="O334" s="434"/>
      <c r="P334" s="434"/>
      <c r="Q334" s="399">
        <f>база!$L$5</f>
        <v>231.45480000000001</v>
      </c>
      <c r="R334" s="390">
        <v>1.4</v>
      </c>
      <c r="S334" s="400">
        <f>SUMIFS(Таблица14[часы],Таблица14[коэф],"1,4",Таблица14[р/р],"4/16",Таблица14[Ф. И. О.],B330)</f>
        <v>0</v>
      </c>
      <c r="T334" s="544">
        <f t="shared" si="162"/>
        <v>0</v>
      </c>
      <c r="U334" s="472">
        <f>база!$M$5</f>
        <v>247.41720000000001</v>
      </c>
      <c r="V334" s="390">
        <v>1.4</v>
      </c>
      <c r="W334" s="412">
        <f>SUMIFS(Таблица14[часы],Таблица14[коэф],"1,4",Таблица14[р/р],"4/24",Таблица14[Ф. И. О.],B330)</f>
        <v>0</v>
      </c>
      <c r="X334" s="545">
        <f t="shared" si="163"/>
        <v>0</v>
      </c>
      <c r="Y334" s="764"/>
      <c r="Z334" s="766"/>
      <c r="AA334" s="756"/>
    </row>
    <row r="335" spans="1:29" ht="21" thickBot="1">
      <c r="A335" s="757"/>
      <c r="B335" s="202"/>
      <c r="C335" s="760"/>
      <c r="D335" s="763"/>
      <c r="E335" s="463"/>
      <c r="F335" s="464"/>
      <c r="G335" s="465"/>
      <c r="H335" s="549">
        <f t="shared" si="160"/>
        <v>0</v>
      </c>
      <c r="I335" s="473"/>
      <c r="J335" s="464"/>
      <c r="K335" s="457"/>
      <c r="L335" s="458">
        <f t="shared" si="161"/>
        <v>0</v>
      </c>
      <c r="M335" s="466"/>
      <c r="N335" s="457"/>
      <c r="O335" s="457"/>
      <c r="P335" s="457"/>
      <c r="Q335" s="467">
        <f>база!$L$6</f>
        <v>261.04640000000001</v>
      </c>
      <c r="R335" s="464">
        <v>1.4</v>
      </c>
      <c r="S335" s="465">
        <f>SUMIFS(Таблица14[часы],Таблица14[коэф],"1,4",Таблица14[р/р],"5/16",Таблица14[Ф. И. О.],B330)</f>
        <v>0</v>
      </c>
      <c r="T335" s="549">
        <f t="shared" si="162"/>
        <v>0</v>
      </c>
      <c r="U335" s="474">
        <f>база!$M$6</f>
        <v>279.0496</v>
      </c>
      <c r="V335" s="464">
        <v>1.4</v>
      </c>
      <c r="W335" s="470">
        <f>SUMIFS(Таблица14[часы],Таблица14[коэф],"1,4",Таблица14[р/р],"5/24",Таблица14[Ф. И. О.],B330)</f>
        <v>0</v>
      </c>
      <c r="X335" s="547">
        <f t="shared" si="163"/>
        <v>0</v>
      </c>
      <c r="Y335" s="765"/>
      <c r="Z335" s="767"/>
      <c r="AA335" s="757"/>
    </row>
    <row r="336" spans="1:29">
      <c r="A336" s="755">
        <v>31</v>
      </c>
      <c r="B336" s="235"/>
      <c r="C336" s="758">
        <f>INDEX(база!$E$2:$E$81, MATCH(B341,база!$B$2:$B$50,0))</f>
        <v>17305</v>
      </c>
      <c r="D336" s="761">
        <f>INDEX(база!$D$2:$D$89, MATCH(B341,база!$B$2:$B$50,0))</f>
        <v>3</v>
      </c>
      <c r="E336" s="381">
        <f>IF(D336&lt;=3,база!$I$4,
IF(D336=4,база!$I$5,
IF(D336=5,база!$I$6)))</f>
        <v>188.7912</v>
      </c>
      <c r="F336" s="378">
        <v>1</v>
      </c>
      <c r="G336" s="387">
        <f>SUMIFS(Таблица14[часы],Таблица14[коэф],"1",Таблица14[р/р],"2/4",Таблица14[Ф. И. О.],B341)</f>
        <v>0</v>
      </c>
      <c r="H336" s="380">
        <f>ROUND(E336*F336*G336*2,2)</f>
        <v>0</v>
      </c>
      <c r="I336" s="377">
        <f>IF(D336&lt;=3,база!$J$4,
IF(D336=4,база!$J$5,
IF(D336=5,база!$J$6)))</f>
        <v>196.05240000000001</v>
      </c>
      <c r="J336" s="378">
        <v>1</v>
      </c>
      <c r="K336" s="428">
        <f>SUMIFS(Таблица14[часы],Таблица14[коэф],"1",Таблица14[р/р],"2/8",Таблица14[Ф. И. О.],B341)</f>
        <v>0</v>
      </c>
      <c r="L336" s="383">
        <f>ROUND(I336*J336*K336*2,2)</f>
        <v>0</v>
      </c>
      <c r="M336" s="426"/>
      <c r="N336" s="428">
        <v>1</v>
      </c>
      <c r="O336" s="428">
        <f>SUMIFS(Data_Tech!$AM$3:$AM$67,Data_Tech!$E$3:$E$67,"1",Data_Tech!$G$3:$G$67,"3/12",Data_Tech!$F$3:$F$67,B341)</f>
        <v>0</v>
      </c>
      <c r="P336" s="428">
        <f>ROUND(M336*N336*O336,2)</f>
        <v>0</v>
      </c>
      <c r="Q336" s="386">
        <f>IF(D336&lt;=3,база!$L$4,
IF(D336=4,база!$L$5,
IF(D336=5,база!$L$6)))</f>
        <v>210.57480000000001</v>
      </c>
      <c r="R336" s="378">
        <v>1</v>
      </c>
      <c r="S336" s="387">
        <f>SUMIFS(Таблица14[часы],Таблица14[коэф],"1",Таблица14[р/р],"3/16",Таблица14[Ф. И. О.],B341)</f>
        <v>0</v>
      </c>
      <c r="T336" s="548">
        <f>ROUND(Q336*R336*S336*2,2)</f>
        <v>0</v>
      </c>
      <c r="U336" s="471">
        <f>IF(D336&lt;=3,база!$M$4,
IF(D336=4,база!$M$5,
IF(D336=5,база!$M$6)))</f>
        <v>225.09719999999999</v>
      </c>
      <c r="V336" s="378">
        <v>1</v>
      </c>
      <c r="W336" s="430">
        <f>SUMIFS(Таблица14[часы],Таблица14[коэф],"1",Таблица14[р/р],"3/24",Таблица14[Ф. И. О.],B341)</f>
        <v>0</v>
      </c>
      <c r="X336" s="543">
        <f>ROUND(U336*V336*W336*2,2)</f>
        <v>0</v>
      </c>
      <c r="Y336" s="764">
        <f t="shared" ref="Y336" si="164">SUM(G336:G346,K336:K346,O336:O346,S336:S346,W336:W346)</f>
        <v>0</v>
      </c>
      <c r="Z336" s="766">
        <f t="shared" ref="Z336" si="165">IFERROR(SUM(H336:H346,L336:L346,T336:T346,X336:X346),"")</f>
        <v>0</v>
      </c>
      <c r="AA336" s="756"/>
    </row>
    <row r="337" spans="1:29">
      <c r="A337" s="756"/>
      <c r="B337" s="215"/>
      <c r="C337" s="759"/>
      <c r="D337" s="762"/>
      <c r="E337" s="393">
        <f>IF(D336&lt;=3,база!$I$4,
IF(D336=4,база!$I$5,
IF(D336=5,база!$I$6)))</f>
        <v>188.7912</v>
      </c>
      <c r="F337" s="390">
        <v>1</v>
      </c>
      <c r="G337" s="400">
        <f>SUMIFS(Таблица14[часы],Таблица14[коэф],"1",Таблица14[р/р],"3/4",Таблица14[Ф. И. О.],B341)</f>
        <v>0</v>
      </c>
      <c r="H337" s="542">
        <f t="shared" ref="H337:H346" si="166">ROUND(E337*F337*G337*2,2)</f>
        <v>0</v>
      </c>
      <c r="I337" s="389">
        <f>IF(D336&lt;=3,база!$J$4,
IF(D336=4,база!$J$5,
IF(D336=5,база!$J$6)))</f>
        <v>196.05240000000001</v>
      </c>
      <c r="J337" s="390">
        <v>1</v>
      </c>
      <c r="K337" s="434">
        <f>SUMIFS(Таблица14[часы],Таблица14[коэф],"1",Таблица14[р/р],"3/8",Таблица14[Ф. И. О.],B341)</f>
        <v>0</v>
      </c>
      <c r="L337" s="395">
        <f t="shared" ref="L337:L346" si="167">ROUND(I337*J337*K337*2,2)</f>
        <v>0</v>
      </c>
      <c r="M337" s="432"/>
      <c r="N337" s="434">
        <v>1</v>
      </c>
      <c r="O337" s="434">
        <f>SUMIFS(Data_Tech!$AM$3:$AM$67,Data_Tech!$E$3:$E$67,"1",Data_Tech!$G$3:$G$67,"4/12",Data_Tech!$F$3:$F$67,B341)</f>
        <v>0</v>
      </c>
      <c r="P337" s="434">
        <f>ROUND(M337*O337,2)</f>
        <v>0</v>
      </c>
      <c r="Q337" s="399">
        <f>база!$L$5</f>
        <v>231.45480000000001</v>
      </c>
      <c r="R337" s="390">
        <v>1</v>
      </c>
      <c r="S337" s="400">
        <f>SUMIFS(Таблица14[часы],Таблица14[коэф],"1",Таблица14[р/р],"4/16",Таблица14[Ф. И. О.],B341)</f>
        <v>0</v>
      </c>
      <c r="T337" s="544">
        <f t="shared" ref="T337:T346" si="168">ROUND(Q337*R337*S337*2,2)</f>
        <v>0</v>
      </c>
      <c r="U337" s="472">
        <f>база!$M$5</f>
        <v>247.41720000000001</v>
      </c>
      <c r="V337" s="390">
        <v>1</v>
      </c>
      <c r="W337" s="412">
        <f>SUMIFS(Таблица14[часы],Таблица14[коэф],"1",Таблица14[р/р],"4/24",Таблица14[Ф. И. О.],B341)</f>
        <v>0</v>
      </c>
      <c r="X337" s="545">
        <f t="shared" ref="X337:X346" si="169">ROUND(U337*V337*W337*2,2)</f>
        <v>0</v>
      </c>
      <c r="Y337" s="764"/>
      <c r="Z337" s="766"/>
      <c r="AA337" s="756"/>
    </row>
    <row r="338" spans="1:29">
      <c r="A338" s="756"/>
      <c r="B338" s="215"/>
      <c r="C338" s="759"/>
      <c r="D338" s="762"/>
      <c r="E338" s="393"/>
      <c r="F338" s="390"/>
      <c r="G338" s="400"/>
      <c r="H338" s="544">
        <f t="shared" si="166"/>
        <v>0</v>
      </c>
      <c r="I338" s="389"/>
      <c r="J338" s="390"/>
      <c r="K338" s="434"/>
      <c r="L338" s="395">
        <f t="shared" si="167"/>
        <v>0</v>
      </c>
      <c r="M338" s="432"/>
      <c r="N338" s="434"/>
      <c r="O338" s="434"/>
      <c r="P338" s="434"/>
      <c r="Q338" s="399">
        <f>база!$L$6</f>
        <v>261.04640000000001</v>
      </c>
      <c r="R338" s="390">
        <v>1</v>
      </c>
      <c r="S338" s="400">
        <f>SUMIFS(Таблица14[часы],Таблица14[коэф],"1",Таблица14[р/р],"5/16",Таблица14[Ф. И. О.],B341)</f>
        <v>0</v>
      </c>
      <c r="T338" s="544">
        <f t="shared" si="168"/>
        <v>0</v>
      </c>
      <c r="U338" s="472">
        <f>база!$M$6</f>
        <v>279.0496</v>
      </c>
      <c r="V338" s="390">
        <v>1</v>
      </c>
      <c r="W338" s="412">
        <f>SUMIFS(Таблица14[часы],Таблица14[коэф],"1",Таблица14[р/р],"5/24",Таблица14[Ф. И. О.],B341)</f>
        <v>0</v>
      </c>
      <c r="X338" s="545">
        <f t="shared" si="169"/>
        <v>0</v>
      </c>
      <c r="Y338" s="764"/>
      <c r="Z338" s="766"/>
      <c r="AA338" s="756"/>
    </row>
    <row r="339" spans="1:29">
      <c r="A339" s="756"/>
      <c r="B339" s="215"/>
      <c r="C339" s="759"/>
      <c r="D339" s="762"/>
      <c r="E339" s="393"/>
      <c r="F339" s="390"/>
      <c r="G339" s="400"/>
      <c r="H339" s="544">
        <f t="shared" si="166"/>
        <v>0</v>
      </c>
      <c r="I339" s="389">
        <f>база!$J$5</f>
        <v>215.4924</v>
      </c>
      <c r="J339" s="390">
        <v>1.5</v>
      </c>
      <c r="K339" s="434">
        <f>SUMIFS(Таблица14[часы],Таблица14[коэф],"1,5",Таблица14[р/р],"4/8",Таблица14[Ф. И. О.],B341)</f>
        <v>0</v>
      </c>
      <c r="L339" s="395">
        <f t="shared" si="167"/>
        <v>0</v>
      </c>
      <c r="M339" s="432"/>
      <c r="N339" s="434"/>
      <c r="O339" s="434"/>
      <c r="P339" s="434"/>
      <c r="Q339" s="399">
        <f>IF(D336&lt;=3,база!$L$4,
IF(D336=4,база!$L$5,
IF(D336=5,база!$L$6)))</f>
        <v>210.57480000000001</v>
      </c>
      <c r="R339" s="390">
        <v>1.2</v>
      </c>
      <c r="S339" s="400">
        <f>SUMIFS(Таблица14[часы],Таблица14[коэф],"1,2",Таблица14[р/р],"3/16",Таблица14[Ф. И. О.],B341)</f>
        <v>0</v>
      </c>
      <c r="T339" s="544">
        <f t="shared" si="168"/>
        <v>0</v>
      </c>
      <c r="U339" s="472">
        <f>IF(D336&lt;=3,база!$M$4,
IF(D336=4,база!$M$5,
IF(D336=5,база!$M$6)))</f>
        <v>225.09719999999999</v>
      </c>
      <c r="V339" s="390">
        <v>1.2</v>
      </c>
      <c r="W339" s="412">
        <f>SUMIFS(Таблица14[часы],Таблица14[коэф],"1,2",Таблица14[р/р],"3/24",Таблица14[Ф. И. О.],B341)</f>
        <v>0</v>
      </c>
      <c r="X339" s="545">
        <f t="shared" si="169"/>
        <v>0</v>
      </c>
      <c r="Y339" s="764"/>
      <c r="Z339" s="766"/>
      <c r="AA339" s="756"/>
    </row>
    <row r="340" spans="1:29">
      <c r="A340" s="756"/>
      <c r="B340" s="215"/>
      <c r="C340" s="759"/>
      <c r="D340" s="762"/>
      <c r="E340" s="393"/>
      <c r="F340" s="390"/>
      <c r="G340" s="400"/>
      <c r="H340" s="544">
        <f t="shared" si="166"/>
        <v>0</v>
      </c>
      <c r="I340" s="389">
        <f>база!$J$6</f>
        <v>243.04319999999998</v>
      </c>
      <c r="J340" s="390">
        <v>1.5</v>
      </c>
      <c r="K340" s="434">
        <f>SUMIFS(Таблица14[часы],Таблица14[коэф],"1,5",Таблица14[р/р],"5/8",Таблица14[Ф. И. О.],B341)</f>
        <v>0</v>
      </c>
      <c r="L340" s="395">
        <f t="shared" si="167"/>
        <v>0</v>
      </c>
      <c r="M340" s="432"/>
      <c r="N340" s="434"/>
      <c r="O340" s="434"/>
      <c r="P340" s="434"/>
      <c r="Q340" s="399">
        <f>база!$L$5</f>
        <v>231.45480000000001</v>
      </c>
      <c r="R340" s="390">
        <v>1.2</v>
      </c>
      <c r="S340" s="400">
        <f>SUMIFS(Таблица14[часы],Таблица14[коэф],"1,2",Таблица14[р/р],"4/16",Таблица14[Ф. И. О.],B341)</f>
        <v>0</v>
      </c>
      <c r="T340" s="544">
        <f t="shared" si="168"/>
        <v>0</v>
      </c>
      <c r="U340" s="472">
        <f>база!$M$5</f>
        <v>247.41720000000001</v>
      </c>
      <c r="V340" s="390">
        <v>1.2</v>
      </c>
      <c r="W340" s="412">
        <f>SUMIFS(Таблица14[часы],Таблица14[коэф],"1,2",Таблица14[р/р],"4/24",Таблица14[Ф. И. О.],B341)</f>
        <v>0</v>
      </c>
      <c r="X340" s="545">
        <f t="shared" si="169"/>
        <v>0</v>
      </c>
      <c r="Y340" s="764"/>
      <c r="Z340" s="766"/>
      <c r="AA340" s="756"/>
      <c r="AC340" s="752" t="str">
        <f>IF(SUMIFS(Таблица14[Столбец2],Таблица14[Ф. И. О.],B341)-Z336=0,"",SUMIFS(Таблица14[Столбец2],Таблица14[Ф. И. О.],B341)-Z336)</f>
        <v/>
      </c>
    </row>
    <row r="341" spans="1:29">
      <c r="A341" s="756"/>
      <c r="B341" s="215" t="str">
        <f>база!B32</f>
        <v>Исаева Инна Игоревна</v>
      </c>
      <c r="C341" s="759"/>
      <c r="D341" s="762"/>
      <c r="E341" s="393"/>
      <c r="F341" s="390"/>
      <c r="G341" s="400"/>
      <c r="H341" s="544">
        <f t="shared" si="166"/>
        <v>0</v>
      </c>
      <c r="I341" s="389"/>
      <c r="J341" s="390"/>
      <c r="K341" s="434"/>
      <c r="L341" s="395">
        <f t="shared" si="167"/>
        <v>0</v>
      </c>
      <c r="M341" s="432"/>
      <c r="N341" s="434"/>
      <c r="O341" s="434"/>
      <c r="P341" s="434"/>
      <c r="Q341" s="399">
        <f>база!$L$6</f>
        <v>261.04640000000001</v>
      </c>
      <c r="R341" s="390">
        <v>1.2</v>
      </c>
      <c r="S341" s="400">
        <f>SUMIFS(Таблица14[часы],Таблица14[коэф],"1,2",Таблица14[р/р],"5/16",Таблица14[Ф. И. О.],B341)</f>
        <v>0</v>
      </c>
      <c r="T341" s="544">
        <f t="shared" si="168"/>
        <v>0</v>
      </c>
      <c r="U341" s="472">
        <f>база!$M$6</f>
        <v>279.0496</v>
      </c>
      <c r="V341" s="390">
        <v>1.2</v>
      </c>
      <c r="W341" s="412">
        <f>SUMIFS(Таблица14[часы],Таблица14[коэф],"1,2",Таблица14[р/р],"5/24",Таблица14[Ф. И. О.],B341)</f>
        <v>0</v>
      </c>
      <c r="X341" s="545">
        <f t="shared" si="169"/>
        <v>0</v>
      </c>
      <c r="Y341" s="764"/>
      <c r="Z341" s="766"/>
      <c r="AA341" s="756"/>
      <c r="AC341" s="752" t="str">
        <f>IF(SUMIFS(Таблица14[часы],Таблица14[Ф. И. О.],B341)-Y336=0,"",SUMIFS(Таблица14[часы],Таблица14[Ф. И. О.],B341)-Y336)</f>
        <v/>
      </c>
    </row>
    <row r="342" spans="1:29">
      <c r="A342" s="756"/>
      <c r="B342" s="215"/>
      <c r="C342" s="759"/>
      <c r="D342" s="762"/>
      <c r="E342" s="393"/>
      <c r="F342" s="390"/>
      <c r="G342" s="400"/>
      <c r="H342" s="544">
        <f t="shared" si="166"/>
        <v>0</v>
      </c>
      <c r="I342" s="389"/>
      <c r="J342" s="390"/>
      <c r="K342" s="434"/>
      <c r="L342" s="395">
        <f t="shared" si="167"/>
        <v>0</v>
      </c>
      <c r="M342" s="432"/>
      <c r="N342" s="434"/>
      <c r="O342" s="434"/>
      <c r="P342" s="434"/>
      <c r="Q342" s="399">
        <f>IF(D336&lt;=3,база!$L$4,
IF(D336=4,база!$L$5,
IF(D336=5,база!$L$6)))</f>
        <v>210.57480000000001</v>
      </c>
      <c r="R342" s="390">
        <v>1.3</v>
      </c>
      <c r="S342" s="400">
        <f>SUMIFS(Таблица14[часы],Таблица14[коэф],"1,3",Таблица14[р/р],"3/16",Таблица14[Ф. И. О.],B341)</f>
        <v>0</v>
      </c>
      <c r="T342" s="544">
        <f t="shared" si="168"/>
        <v>0</v>
      </c>
      <c r="U342" s="472">
        <f>IF(D336&lt;=3,база!$M$4,
IF(D336=4,база!$M$5,
IF(D336=5,база!$M$6)))</f>
        <v>225.09719999999999</v>
      </c>
      <c r="V342" s="390">
        <v>1.3</v>
      </c>
      <c r="W342" s="412">
        <f>SUMIFS(Таблица14[часы],Таблица14[коэф],"1,3",Таблица14[р/р],"3/24",Таблица14[Ф. И. О.],B341)</f>
        <v>0</v>
      </c>
      <c r="X342" s="545">
        <f t="shared" si="169"/>
        <v>0</v>
      </c>
      <c r="Y342" s="764"/>
      <c r="Z342" s="766"/>
      <c r="AA342" s="756"/>
    </row>
    <row r="343" spans="1:29">
      <c r="A343" s="756"/>
      <c r="B343" s="215"/>
      <c r="C343" s="759"/>
      <c r="D343" s="762"/>
      <c r="E343" s="393"/>
      <c r="F343" s="390"/>
      <c r="G343" s="400"/>
      <c r="H343" s="544">
        <f t="shared" si="166"/>
        <v>0</v>
      </c>
      <c r="I343" s="389"/>
      <c r="J343" s="390"/>
      <c r="K343" s="434"/>
      <c r="L343" s="395">
        <f t="shared" si="167"/>
        <v>0</v>
      </c>
      <c r="M343" s="432"/>
      <c r="N343" s="434"/>
      <c r="O343" s="434"/>
      <c r="P343" s="434"/>
      <c r="Q343" s="399">
        <f>база!$L$5</f>
        <v>231.45480000000001</v>
      </c>
      <c r="R343" s="390">
        <v>1.3</v>
      </c>
      <c r="S343" s="400">
        <f>SUMIFS(Таблица14[часы],Таблица14[коэф],"1,3",Таблица14[р/р],"4/16",Таблица14[Ф. И. О.],B341)</f>
        <v>0</v>
      </c>
      <c r="T343" s="544">
        <f t="shared" si="168"/>
        <v>0</v>
      </c>
      <c r="U343" s="472">
        <f>база!$M$5</f>
        <v>247.41720000000001</v>
      </c>
      <c r="V343" s="390">
        <v>1.3</v>
      </c>
      <c r="W343" s="412">
        <f>SUMIFS(Таблица14[часы],Таблица14[коэф],"1,3",Таблица14[р/р],"4/24",Таблица14[Ф. И. О.],B341)</f>
        <v>0</v>
      </c>
      <c r="X343" s="545">
        <f t="shared" si="169"/>
        <v>0</v>
      </c>
      <c r="Y343" s="764"/>
      <c r="Z343" s="766"/>
      <c r="AA343" s="756"/>
    </row>
    <row r="344" spans="1:29">
      <c r="A344" s="756"/>
      <c r="B344" s="215"/>
      <c r="C344" s="759"/>
      <c r="D344" s="762"/>
      <c r="E344" s="393"/>
      <c r="F344" s="390"/>
      <c r="G344" s="400"/>
      <c r="H344" s="544">
        <f t="shared" si="166"/>
        <v>0</v>
      </c>
      <c r="I344" s="389"/>
      <c r="J344" s="390"/>
      <c r="K344" s="434"/>
      <c r="L344" s="395">
        <f t="shared" si="167"/>
        <v>0</v>
      </c>
      <c r="M344" s="432"/>
      <c r="N344" s="434"/>
      <c r="O344" s="434"/>
      <c r="P344" s="434"/>
      <c r="Q344" s="399">
        <f>IF(D336&lt;=3,база!$L$4,
IF(D336=4,база!$L$5,
IF(D336=5,база!$L$6)))</f>
        <v>210.57480000000001</v>
      </c>
      <c r="R344" s="390">
        <v>1.4</v>
      </c>
      <c r="S344" s="400">
        <f>SUMIFS(Таблица14[часы],Таблица14[коэф],"1,4",Таблица14[р/р],"3/16",Таблица14[Ф. И. О.],B341)</f>
        <v>0</v>
      </c>
      <c r="T344" s="544">
        <f t="shared" si="168"/>
        <v>0</v>
      </c>
      <c r="U344" s="472">
        <f>IF(D336&lt;=3,база!$M$4,
IF(D336=4,база!$M$5,
IF(D336=5,база!$M$6)))</f>
        <v>225.09719999999999</v>
      </c>
      <c r="V344" s="390">
        <v>1.4</v>
      </c>
      <c r="W344" s="412">
        <f>SUMIFS(Таблица14[часы],Таблица14[коэф],"1,4",Таблица14[р/р],"3/24",Таблица14[Ф. И. О.],B341)</f>
        <v>0</v>
      </c>
      <c r="X344" s="545">
        <f t="shared" si="169"/>
        <v>0</v>
      </c>
      <c r="Y344" s="764"/>
      <c r="Z344" s="766"/>
      <c r="AA344" s="756"/>
    </row>
    <row r="345" spans="1:29">
      <c r="A345" s="756"/>
      <c r="B345" s="215"/>
      <c r="C345" s="759"/>
      <c r="D345" s="762"/>
      <c r="E345" s="393"/>
      <c r="F345" s="390"/>
      <c r="G345" s="400"/>
      <c r="H345" s="544">
        <f t="shared" si="166"/>
        <v>0</v>
      </c>
      <c r="I345" s="389"/>
      <c r="J345" s="390"/>
      <c r="K345" s="434"/>
      <c r="L345" s="395">
        <f t="shared" si="167"/>
        <v>0</v>
      </c>
      <c r="M345" s="432"/>
      <c r="N345" s="434"/>
      <c r="O345" s="434"/>
      <c r="P345" s="434"/>
      <c r="Q345" s="399">
        <f>база!$L$5</f>
        <v>231.45480000000001</v>
      </c>
      <c r="R345" s="390">
        <v>1.4</v>
      </c>
      <c r="S345" s="400">
        <f>SUMIFS(Таблица14[часы],Таблица14[коэф],"1,4",Таблица14[р/р],"4/16",Таблица14[Ф. И. О.],B341)</f>
        <v>0</v>
      </c>
      <c r="T345" s="544">
        <f t="shared" si="168"/>
        <v>0</v>
      </c>
      <c r="U345" s="472">
        <f>база!$M$5</f>
        <v>247.41720000000001</v>
      </c>
      <c r="V345" s="390">
        <v>1.4</v>
      </c>
      <c r="W345" s="412">
        <f>SUMIFS(Таблица14[часы],Таблица14[коэф],"1,4",Таблица14[р/р],"4/24",Таблица14[Ф. И. О.],B341)</f>
        <v>0</v>
      </c>
      <c r="X345" s="545">
        <f t="shared" si="169"/>
        <v>0</v>
      </c>
      <c r="Y345" s="764"/>
      <c r="Z345" s="766"/>
      <c r="AA345" s="756"/>
    </row>
    <row r="346" spans="1:29" ht="21" thickBot="1">
      <c r="A346" s="757"/>
      <c r="B346" s="202"/>
      <c r="C346" s="760"/>
      <c r="D346" s="763"/>
      <c r="E346" s="463"/>
      <c r="F346" s="464"/>
      <c r="G346" s="465"/>
      <c r="H346" s="549">
        <f t="shared" si="166"/>
        <v>0</v>
      </c>
      <c r="I346" s="473"/>
      <c r="J346" s="464"/>
      <c r="K346" s="457"/>
      <c r="L346" s="458">
        <f t="shared" si="167"/>
        <v>0</v>
      </c>
      <c r="M346" s="466"/>
      <c r="N346" s="457"/>
      <c r="O346" s="457"/>
      <c r="P346" s="457"/>
      <c r="Q346" s="467">
        <f>база!$L$6</f>
        <v>261.04640000000001</v>
      </c>
      <c r="R346" s="464">
        <v>1.4</v>
      </c>
      <c r="S346" s="465">
        <f>SUMIFS(Таблица14[часы],Таблица14[коэф],"1,4",Таблица14[р/р],"5/16",Таблица14[Ф. И. О.],B341)</f>
        <v>0</v>
      </c>
      <c r="T346" s="549">
        <f t="shared" si="168"/>
        <v>0</v>
      </c>
      <c r="U346" s="474">
        <f>база!$M$6</f>
        <v>279.0496</v>
      </c>
      <c r="V346" s="464">
        <v>1.4</v>
      </c>
      <c r="W346" s="470">
        <f>SUMIFS(Таблица14[часы],Таблица14[коэф],"1,4",Таблица14[р/р],"5/24",Таблица14[Ф. И. О.],B341)</f>
        <v>0</v>
      </c>
      <c r="X346" s="547">
        <f t="shared" si="169"/>
        <v>0</v>
      </c>
      <c r="Y346" s="765"/>
      <c r="Z346" s="767"/>
      <c r="AA346" s="757"/>
    </row>
    <row r="347" spans="1:29">
      <c r="A347" s="755">
        <v>32</v>
      </c>
      <c r="B347" s="235"/>
      <c r="C347" s="758">
        <f>INDEX(база!$E$2:$E$81, MATCH(B352,база!$B$2:$B$50,0))</f>
        <v>17270</v>
      </c>
      <c r="D347" s="761">
        <f>INDEX(база!$D$2:$D$89, MATCH(B352,база!$B$2:$B$50,0))</f>
        <v>3</v>
      </c>
      <c r="E347" s="381">
        <f>IF(D347&lt;=3,база!$I$4,
IF(D347=4,база!$I$5,
IF(D347=5,база!$I$6)))</f>
        <v>188.7912</v>
      </c>
      <c r="F347" s="378">
        <v>1</v>
      </c>
      <c r="G347" s="387">
        <f>SUMIFS(Таблица14[часы],Таблица14[коэф],"1",Таблица14[р/р],"2/4",Таблица14[Ф. И. О.],B352)</f>
        <v>0</v>
      </c>
      <c r="H347" s="380">
        <f>ROUND(E347*F347*G347*2,2)</f>
        <v>0</v>
      </c>
      <c r="I347" s="377">
        <f>IF(D347&lt;=3,база!$J$4,
IF(D347=4,база!$J$5,
IF(D347=5,база!$J$6)))</f>
        <v>196.05240000000001</v>
      </c>
      <c r="J347" s="378">
        <v>1</v>
      </c>
      <c r="K347" s="428">
        <f>SUMIFS(Таблица14[часы],Таблица14[коэф],"1",Таблица14[р/р],"2/8",Таблица14[Ф. И. О.],B352)</f>
        <v>0</v>
      </c>
      <c r="L347" s="383">
        <f>ROUND(I347*J347*K347*2,2)</f>
        <v>0</v>
      </c>
      <c r="M347" s="426"/>
      <c r="N347" s="428">
        <v>1</v>
      </c>
      <c r="O347" s="428">
        <f>SUMIFS(Data_Tech!$AM$3:$AM$67,Data_Tech!$E$3:$E$67,"1",Data_Tech!$G$3:$G$67,"3/12",Data_Tech!$F$3:$F$67,B352)</f>
        <v>0</v>
      </c>
      <c r="P347" s="428">
        <f>ROUND(M347*N347*O347,2)</f>
        <v>0</v>
      </c>
      <c r="Q347" s="386">
        <f>IF(D347&lt;=3,база!$L$4,
IF(D347=4,база!$L$5,
IF(D347=5,база!$L$6)))</f>
        <v>210.57480000000001</v>
      </c>
      <c r="R347" s="378">
        <v>1</v>
      </c>
      <c r="S347" s="387">
        <f>SUMIFS(Таблица14[часы],Таблица14[коэф],"1",Таблица14[р/р],"3/16",Таблица14[Ф. И. О.],B352)</f>
        <v>0</v>
      </c>
      <c r="T347" s="548">
        <f>ROUND(Q347*R347*S347*2,2)</f>
        <v>0</v>
      </c>
      <c r="U347" s="471">
        <f>IF(D347&lt;=3,база!$M$4,
IF(D347=4,база!$M$5,
IF(D347=5,база!$M$6)))</f>
        <v>225.09719999999999</v>
      </c>
      <c r="V347" s="378">
        <v>1</v>
      </c>
      <c r="W347" s="430">
        <f>SUMIFS(Таблица14[часы],Таблица14[коэф],"1",Таблица14[р/р],"3/24",Таблица14[Ф. И. О.],B352)</f>
        <v>0</v>
      </c>
      <c r="X347" s="543">
        <f>ROUND(U347*V347*W347*2,2)</f>
        <v>0</v>
      </c>
      <c r="Y347" s="764">
        <f t="shared" ref="Y347" si="170">SUM(G347:G357,K347:K357,O347:O357,S347:S357,W347:W357)</f>
        <v>0</v>
      </c>
      <c r="Z347" s="766">
        <f t="shared" ref="Z347" si="171">IFERROR(SUM(H347:H357,L347:L357,T347:T357,X347:X357),"")</f>
        <v>0</v>
      </c>
      <c r="AA347" s="756"/>
    </row>
    <row r="348" spans="1:29">
      <c r="A348" s="756"/>
      <c r="B348" s="215"/>
      <c r="C348" s="759"/>
      <c r="D348" s="762"/>
      <c r="E348" s="393">
        <f>IF(D347&lt;=3,база!$I$4,
IF(D347=4,база!$I$5,
IF(D347=5,база!$I$6)))</f>
        <v>188.7912</v>
      </c>
      <c r="F348" s="390">
        <v>1</v>
      </c>
      <c r="G348" s="400">
        <f>SUMIFS(Таблица14[часы],Таблица14[коэф],"1",Таблица14[р/р],"3/4",Таблица14[Ф. И. О.],B352)</f>
        <v>0</v>
      </c>
      <c r="H348" s="542">
        <f t="shared" ref="H348:H357" si="172">ROUND(E348*F348*G348*2,2)</f>
        <v>0</v>
      </c>
      <c r="I348" s="389">
        <f>IF(D347&lt;=3,база!$J$4,
IF(D347=4,база!$J$5,
IF(D347=5,база!$J$6)))</f>
        <v>196.05240000000001</v>
      </c>
      <c r="J348" s="390">
        <v>1</v>
      </c>
      <c r="K348" s="434">
        <f>SUMIFS(Таблица14[часы],Таблица14[коэф],"1",Таблица14[р/р],"3/8",Таблица14[Ф. И. О.],B352)</f>
        <v>0</v>
      </c>
      <c r="L348" s="395">
        <f t="shared" ref="L348:L357" si="173">ROUND(I348*J348*K348*2,2)</f>
        <v>0</v>
      </c>
      <c r="M348" s="432"/>
      <c r="N348" s="434">
        <v>1</v>
      </c>
      <c r="O348" s="434">
        <f>SUMIFS(Data_Tech!$AM$3:$AM$67,Data_Tech!$E$3:$E$67,"1",Data_Tech!$G$3:$G$67,"4/12",Data_Tech!$F$3:$F$67,B352)</f>
        <v>0</v>
      </c>
      <c r="P348" s="434">
        <f>ROUND(M348*O348,2)</f>
        <v>0</v>
      </c>
      <c r="Q348" s="399">
        <f>база!$L$5</f>
        <v>231.45480000000001</v>
      </c>
      <c r="R348" s="390">
        <v>1</v>
      </c>
      <c r="S348" s="400">
        <f>SUMIFS(Таблица14[часы],Таблица14[коэф],"1",Таблица14[р/р],"4/16",Таблица14[Ф. И. О.],B352)</f>
        <v>0</v>
      </c>
      <c r="T348" s="544">
        <f t="shared" ref="T348:T357" si="174">ROUND(Q348*R348*S348*2,2)</f>
        <v>0</v>
      </c>
      <c r="U348" s="472">
        <f>база!$M$5</f>
        <v>247.41720000000001</v>
      </c>
      <c r="V348" s="390">
        <v>1</v>
      </c>
      <c r="W348" s="412">
        <f>SUMIFS(Таблица14[часы],Таблица14[коэф],"1",Таблица14[р/р],"4/24",Таблица14[Ф. И. О.],B352)</f>
        <v>0</v>
      </c>
      <c r="X348" s="545">
        <f t="shared" ref="X348:X357" si="175">ROUND(U348*V348*W348*2,2)</f>
        <v>0</v>
      </c>
      <c r="Y348" s="764"/>
      <c r="Z348" s="766"/>
      <c r="AA348" s="756"/>
    </row>
    <row r="349" spans="1:29">
      <c r="A349" s="756"/>
      <c r="B349" s="215"/>
      <c r="C349" s="759"/>
      <c r="D349" s="762"/>
      <c r="E349" s="393"/>
      <c r="F349" s="390"/>
      <c r="G349" s="400"/>
      <c r="H349" s="544">
        <f t="shared" si="172"/>
        <v>0</v>
      </c>
      <c r="I349" s="389"/>
      <c r="J349" s="390"/>
      <c r="K349" s="434"/>
      <c r="L349" s="395">
        <f t="shared" si="173"/>
        <v>0</v>
      </c>
      <c r="M349" s="432"/>
      <c r="N349" s="434"/>
      <c r="O349" s="434"/>
      <c r="P349" s="434"/>
      <c r="Q349" s="399">
        <f>база!$L$6</f>
        <v>261.04640000000001</v>
      </c>
      <c r="R349" s="390">
        <v>1</v>
      </c>
      <c r="S349" s="400">
        <f>SUMIFS(Таблица14[часы],Таблица14[коэф],"1",Таблица14[р/р],"5/16",Таблица14[Ф. И. О.],B352)</f>
        <v>0</v>
      </c>
      <c r="T349" s="544">
        <f t="shared" si="174"/>
        <v>0</v>
      </c>
      <c r="U349" s="472">
        <f>база!$M$6</f>
        <v>279.0496</v>
      </c>
      <c r="V349" s="390">
        <v>1</v>
      </c>
      <c r="W349" s="412">
        <f>SUMIFS(Таблица14[часы],Таблица14[коэф],"1",Таблица14[р/р],"5/24",Таблица14[Ф. И. О.],B352)</f>
        <v>0</v>
      </c>
      <c r="X349" s="545">
        <f t="shared" si="175"/>
        <v>0</v>
      </c>
      <c r="Y349" s="764"/>
      <c r="Z349" s="766"/>
      <c r="AA349" s="756"/>
    </row>
    <row r="350" spans="1:29">
      <c r="A350" s="756"/>
      <c r="B350" s="215"/>
      <c r="C350" s="759"/>
      <c r="D350" s="762"/>
      <c r="E350" s="393"/>
      <c r="F350" s="390"/>
      <c r="G350" s="400"/>
      <c r="H350" s="544">
        <f t="shared" si="172"/>
        <v>0</v>
      </c>
      <c r="I350" s="389">
        <f>база!$J$5</f>
        <v>215.4924</v>
      </c>
      <c r="J350" s="390">
        <v>1.5</v>
      </c>
      <c r="K350" s="434">
        <f>SUMIFS(Таблица14[часы],Таблица14[коэф],"1,5",Таблица14[р/р],"4/8",Таблица14[Ф. И. О.],B352)</f>
        <v>0</v>
      </c>
      <c r="L350" s="395">
        <f t="shared" si="173"/>
        <v>0</v>
      </c>
      <c r="M350" s="432"/>
      <c r="N350" s="434"/>
      <c r="O350" s="434"/>
      <c r="P350" s="434"/>
      <c r="Q350" s="399">
        <f>IF(D347&lt;=3,база!$L$4,
IF(D347=4,база!$L$5,
IF(D347=5,база!$L$6)))</f>
        <v>210.57480000000001</v>
      </c>
      <c r="R350" s="390">
        <v>1.2</v>
      </c>
      <c r="S350" s="400">
        <f>SUMIFS(Таблица14[часы],Таблица14[коэф],"1,2",Таблица14[р/р],"3/16",Таблица14[Ф. И. О.],B352)</f>
        <v>0</v>
      </c>
      <c r="T350" s="544">
        <f t="shared" si="174"/>
        <v>0</v>
      </c>
      <c r="U350" s="472">
        <f>IF(D347&lt;=3,база!$M$4,
IF(D347=4,база!$M$5,
IF(D347=5,база!$M$6)))</f>
        <v>225.09719999999999</v>
      </c>
      <c r="V350" s="390">
        <v>1.2</v>
      </c>
      <c r="W350" s="412">
        <f>SUMIFS(Таблица14[часы],Таблица14[коэф],"1,2",Таблица14[р/р],"3/24",Таблица14[Ф. И. О.],B352)</f>
        <v>0</v>
      </c>
      <c r="X350" s="545">
        <f t="shared" si="175"/>
        <v>0</v>
      </c>
      <c r="Y350" s="764"/>
      <c r="Z350" s="766"/>
      <c r="AA350" s="756"/>
    </row>
    <row r="351" spans="1:29">
      <c r="A351" s="756"/>
      <c r="B351" s="215"/>
      <c r="C351" s="759"/>
      <c r="D351" s="762"/>
      <c r="E351" s="393"/>
      <c r="F351" s="390"/>
      <c r="G351" s="400"/>
      <c r="H351" s="544">
        <f t="shared" si="172"/>
        <v>0</v>
      </c>
      <c r="I351" s="389">
        <f>база!$J$6</f>
        <v>243.04319999999998</v>
      </c>
      <c r="J351" s="390">
        <v>1.5</v>
      </c>
      <c r="K351" s="434">
        <f>SUMIFS(Таблица14[часы],Таблица14[коэф],"1,5",Таблица14[р/р],"5/8",Таблица14[Ф. И. О.],B352)</f>
        <v>0</v>
      </c>
      <c r="L351" s="395">
        <f t="shared" si="173"/>
        <v>0</v>
      </c>
      <c r="M351" s="432"/>
      <c r="N351" s="434"/>
      <c r="O351" s="434"/>
      <c r="P351" s="434"/>
      <c r="Q351" s="399">
        <f>база!$L$5</f>
        <v>231.45480000000001</v>
      </c>
      <c r="R351" s="390">
        <v>1.2</v>
      </c>
      <c r="S351" s="400">
        <f>SUMIFS(Таблица14[часы],Таблица14[коэф],"1,2",Таблица14[р/р],"4/16",Таблица14[Ф. И. О.],B352)</f>
        <v>0</v>
      </c>
      <c r="T351" s="544">
        <f t="shared" si="174"/>
        <v>0</v>
      </c>
      <c r="U351" s="472">
        <f>база!$M$5</f>
        <v>247.41720000000001</v>
      </c>
      <c r="V351" s="390">
        <v>1.2</v>
      </c>
      <c r="W351" s="412">
        <f>SUMIFS(Таблица14[часы],Таблица14[коэф],"1,2",Таблица14[р/р],"4/24",Таблица14[Ф. И. О.],B352)</f>
        <v>0</v>
      </c>
      <c r="X351" s="545">
        <f t="shared" si="175"/>
        <v>0</v>
      </c>
      <c r="Y351" s="764"/>
      <c r="Z351" s="766"/>
      <c r="AA351" s="756"/>
    </row>
    <row r="352" spans="1:29" ht="18" customHeight="1">
      <c r="A352" s="756"/>
      <c r="B352" s="215" t="str">
        <f>база!B33</f>
        <v>Кабакова Алина Дмитриевна</v>
      </c>
      <c r="C352" s="759"/>
      <c r="D352" s="762"/>
      <c r="E352" s="393"/>
      <c r="F352" s="390"/>
      <c r="G352" s="400"/>
      <c r="H352" s="544">
        <f t="shared" si="172"/>
        <v>0</v>
      </c>
      <c r="I352" s="389"/>
      <c r="J352" s="390"/>
      <c r="K352" s="434"/>
      <c r="L352" s="395">
        <f t="shared" si="173"/>
        <v>0</v>
      </c>
      <c r="M352" s="432"/>
      <c r="N352" s="434"/>
      <c r="O352" s="434"/>
      <c r="P352" s="434"/>
      <c r="Q352" s="399">
        <f>база!$L$6</f>
        <v>261.04640000000001</v>
      </c>
      <c r="R352" s="390">
        <v>1.2</v>
      </c>
      <c r="S352" s="400">
        <f>SUMIFS(Таблица14[часы],Таблица14[коэф],"1,2",Таблица14[р/р],"5/16",Таблица14[Ф. И. О.],B352)</f>
        <v>0</v>
      </c>
      <c r="T352" s="544">
        <f t="shared" si="174"/>
        <v>0</v>
      </c>
      <c r="U352" s="472">
        <f>база!$M$6</f>
        <v>279.0496</v>
      </c>
      <c r="V352" s="390">
        <v>1.2</v>
      </c>
      <c r="W352" s="412">
        <f>SUMIFS(Таблица14[часы],Таблица14[коэф],"1,2",Таблица14[р/р],"5/24",Таблица14[Ф. И. О.],B352)</f>
        <v>0</v>
      </c>
      <c r="X352" s="545">
        <f t="shared" si="175"/>
        <v>0</v>
      </c>
      <c r="Y352" s="764"/>
      <c r="Z352" s="766"/>
      <c r="AA352" s="756"/>
      <c r="AC352" s="752" t="str">
        <f>IF(SUMIFS(Таблица14[Столбец2],Таблица14[Ф. И. О.],B352)-Z347=0,"",SUMIFS(Таблица14[Столбец2],Таблица14[Ф. И. О.],B352)-Z347)</f>
        <v/>
      </c>
    </row>
    <row r="353" spans="1:29">
      <c r="A353" s="756"/>
      <c r="B353" s="215"/>
      <c r="C353" s="759"/>
      <c r="D353" s="762"/>
      <c r="E353" s="393"/>
      <c r="F353" s="390"/>
      <c r="G353" s="400"/>
      <c r="H353" s="544">
        <f t="shared" si="172"/>
        <v>0</v>
      </c>
      <c r="I353" s="389"/>
      <c r="J353" s="390"/>
      <c r="K353" s="434"/>
      <c r="L353" s="395">
        <f t="shared" si="173"/>
        <v>0</v>
      </c>
      <c r="M353" s="432"/>
      <c r="N353" s="434"/>
      <c r="O353" s="434"/>
      <c r="P353" s="434"/>
      <c r="Q353" s="399">
        <f>IF(D347&lt;=3,база!$L$4,
IF(D347=4,база!$L$5,
IF(D347=5,база!$L$6)))</f>
        <v>210.57480000000001</v>
      </c>
      <c r="R353" s="390">
        <v>1.3</v>
      </c>
      <c r="S353" s="400">
        <f>SUMIFS(Таблица14[часы],Таблица14[коэф],"1,3",Таблица14[р/р],"3/16",Таблица14[Ф. И. О.],B352)</f>
        <v>0</v>
      </c>
      <c r="T353" s="544">
        <f t="shared" si="174"/>
        <v>0</v>
      </c>
      <c r="U353" s="472">
        <f>IF(D347&lt;=3,база!$M$4,
IF(D347=4,база!$M$5,
IF(D347=5,база!$M$6)))</f>
        <v>225.09719999999999</v>
      </c>
      <c r="V353" s="390">
        <v>1.3</v>
      </c>
      <c r="W353" s="412">
        <f>SUMIFS(Таблица14[часы],Таблица14[коэф],"1,3",Таблица14[р/р],"3/24",Таблица14[Ф. И. О.],B352)</f>
        <v>0</v>
      </c>
      <c r="X353" s="545">
        <f t="shared" si="175"/>
        <v>0</v>
      </c>
      <c r="Y353" s="764"/>
      <c r="Z353" s="766"/>
      <c r="AA353" s="756"/>
      <c r="AC353" s="752" t="str">
        <f>IF(SUMIFS(Таблица14[часы],Таблица14[Ф. И. О.],B352)-Y347=0,"",SUMIFS(Таблица14[часы],Таблица14[Ф. И. О.],B352)-Y347)</f>
        <v/>
      </c>
    </row>
    <row r="354" spans="1:29">
      <c r="A354" s="756"/>
      <c r="B354" s="215"/>
      <c r="C354" s="759"/>
      <c r="D354" s="762"/>
      <c r="E354" s="393"/>
      <c r="F354" s="390"/>
      <c r="G354" s="400"/>
      <c r="H354" s="544">
        <f t="shared" si="172"/>
        <v>0</v>
      </c>
      <c r="I354" s="389"/>
      <c r="J354" s="390"/>
      <c r="K354" s="434"/>
      <c r="L354" s="395">
        <f t="shared" si="173"/>
        <v>0</v>
      </c>
      <c r="M354" s="432"/>
      <c r="N354" s="434"/>
      <c r="O354" s="434"/>
      <c r="P354" s="434"/>
      <c r="Q354" s="399">
        <f>база!$L$5</f>
        <v>231.45480000000001</v>
      </c>
      <c r="R354" s="390">
        <v>1.3</v>
      </c>
      <c r="S354" s="400">
        <f>SUMIFS(Таблица14[часы],Таблица14[коэф],"1,3",Таблица14[р/р],"4/16",Таблица14[Ф. И. О.],B352)</f>
        <v>0</v>
      </c>
      <c r="T354" s="544">
        <f t="shared" si="174"/>
        <v>0</v>
      </c>
      <c r="U354" s="472">
        <f>база!$M$5</f>
        <v>247.41720000000001</v>
      </c>
      <c r="V354" s="390">
        <v>1.3</v>
      </c>
      <c r="W354" s="412">
        <f>SUMIFS(Таблица14[часы],Таблица14[коэф],"1,3",Таблица14[р/р],"4/24",Таблица14[Ф. И. О.],B352)</f>
        <v>0</v>
      </c>
      <c r="X354" s="545">
        <f t="shared" si="175"/>
        <v>0</v>
      </c>
      <c r="Y354" s="764"/>
      <c r="Z354" s="766"/>
      <c r="AA354" s="756"/>
    </row>
    <row r="355" spans="1:29">
      <c r="A355" s="756"/>
      <c r="B355" s="215"/>
      <c r="C355" s="759"/>
      <c r="D355" s="762"/>
      <c r="E355" s="393"/>
      <c r="F355" s="390"/>
      <c r="G355" s="400"/>
      <c r="H355" s="544">
        <f t="shared" si="172"/>
        <v>0</v>
      </c>
      <c r="I355" s="389"/>
      <c r="J355" s="390"/>
      <c r="K355" s="434"/>
      <c r="L355" s="395">
        <f t="shared" si="173"/>
        <v>0</v>
      </c>
      <c r="M355" s="432"/>
      <c r="N355" s="434"/>
      <c r="O355" s="434"/>
      <c r="P355" s="434"/>
      <c r="Q355" s="399">
        <f>IF(D347&lt;=3,база!$L$4,
IF(D347=4,база!$L$5,
IF(D347=5,база!$L$6)))</f>
        <v>210.57480000000001</v>
      </c>
      <c r="R355" s="390">
        <v>1.4</v>
      </c>
      <c r="S355" s="400">
        <f>SUMIFS(Таблица14[часы],Таблица14[коэф],"1,4",Таблица14[р/р],"3/16",Таблица14[Ф. И. О.],B352)</f>
        <v>0</v>
      </c>
      <c r="T355" s="544">
        <f t="shared" si="174"/>
        <v>0</v>
      </c>
      <c r="U355" s="472">
        <f>IF(D347&lt;=3,база!$M$4,
IF(D347=4,база!$M$5,
IF(D347=5,база!$M$6)))</f>
        <v>225.09719999999999</v>
      </c>
      <c r="V355" s="390">
        <v>1.4</v>
      </c>
      <c r="W355" s="412">
        <f>SUMIFS(Таблица14[часы],Таблица14[коэф],"1,4",Таблица14[р/р],"3/24",Таблица14[Ф. И. О.],B352)</f>
        <v>0</v>
      </c>
      <c r="X355" s="545">
        <f t="shared" si="175"/>
        <v>0</v>
      </c>
      <c r="Y355" s="764"/>
      <c r="Z355" s="766"/>
      <c r="AA355" s="756"/>
    </row>
    <row r="356" spans="1:29">
      <c r="A356" s="756"/>
      <c r="B356" s="215"/>
      <c r="C356" s="759"/>
      <c r="D356" s="762"/>
      <c r="E356" s="393"/>
      <c r="F356" s="390"/>
      <c r="G356" s="400"/>
      <c r="H356" s="544">
        <f t="shared" si="172"/>
        <v>0</v>
      </c>
      <c r="I356" s="389"/>
      <c r="J356" s="390"/>
      <c r="K356" s="434"/>
      <c r="L356" s="395">
        <f t="shared" si="173"/>
        <v>0</v>
      </c>
      <c r="M356" s="432"/>
      <c r="N356" s="434"/>
      <c r="O356" s="434"/>
      <c r="P356" s="434"/>
      <c r="Q356" s="399">
        <f>база!$L$5</f>
        <v>231.45480000000001</v>
      </c>
      <c r="R356" s="390">
        <v>1.4</v>
      </c>
      <c r="S356" s="400">
        <f>SUMIFS(Таблица14[часы],Таблица14[коэф],"1,4",Таблица14[р/р],"4/16",Таблица14[Ф. И. О.],B352)</f>
        <v>0</v>
      </c>
      <c r="T356" s="544">
        <f t="shared" si="174"/>
        <v>0</v>
      </c>
      <c r="U356" s="472">
        <f>база!$M$5</f>
        <v>247.41720000000001</v>
      </c>
      <c r="V356" s="390">
        <v>1.4</v>
      </c>
      <c r="W356" s="412">
        <f>SUMIFS(Таблица14[часы],Таблица14[коэф],"1,4",Таблица14[р/р],"4/24",Таблица14[Ф. И. О.],B352)</f>
        <v>0</v>
      </c>
      <c r="X356" s="545">
        <f t="shared" si="175"/>
        <v>0</v>
      </c>
      <c r="Y356" s="764"/>
      <c r="Z356" s="766"/>
      <c r="AA356" s="756"/>
    </row>
    <row r="357" spans="1:29" ht="21" thickBot="1">
      <c r="A357" s="757"/>
      <c r="B357" s="202"/>
      <c r="C357" s="760"/>
      <c r="D357" s="763"/>
      <c r="E357" s="463"/>
      <c r="F357" s="464"/>
      <c r="G357" s="465"/>
      <c r="H357" s="549">
        <f t="shared" si="172"/>
        <v>0</v>
      </c>
      <c r="I357" s="473"/>
      <c r="J357" s="464"/>
      <c r="K357" s="457"/>
      <c r="L357" s="458">
        <f t="shared" si="173"/>
        <v>0</v>
      </c>
      <c r="M357" s="466"/>
      <c r="N357" s="457"/>
      <c r="O357" s="457"/>
      <c r="P357" s="457"/>
      <c r="Q357" s="467">
        <f>база!$L$6</f>
        <v>261.04640000000001</v>
      </c>
      <c r="R357" s="464">
        <v>1.4</v>
      </c>
      <c r="S357" s="465">
        <f>SUMIFS(Таблица14[часы],Таблица14[коэф],"1,4",Таблица14[р/р],"5/16",Таблица14[Ф. И. О.],B352)</f>
        <v>0</v>
      </c>
      <c r="T357" s="549">
        <f t="shared" si="174"/>
        <v>0</v>
      </c>
      <c r="U357" s="474">
        <f>база!$M$6</f>
        <v>279.0496</v>
      </c>
      <c r="V357" s="464">
        <v>1.4</v>
      </c>
      <c r="W357" s="470">
        <f>SUMIFS(Таблица14[часы],Таблица14[коэф],"1,4",Таблица14[р/р],"5/24",Таблица14[Ф. И. О.],B352)</f>
        <v>0</v>
      </c>
      <c r="X357" s="547">
        <f t="shared" si="175"/>
        <v>0</v>
      </c>
      <c r="Y357" s="765"/>
      <c r="Z357" s="767"/>
      <c r="AA357" s="757"/>
    </row>
    <row r="358" spans="1:29">
      <c r="A358" s="755">
        <v>33</v>
      </c>
      <c r="B358" s="235"/>
      <c r="C358" s="758">
        <f>INDEX(база!$E$2:$E$81, MATCH(B363,база!$B$2:$B$50,0))</f>
        <v>16919</v>
      </c>
      <c r="D358" s="761">
        <f>INDEX(база!$D$2:$D$89, MATCH(B363,база!$B$2:$B$50,0))</f>
        <v>3</v>
      </c>
      <c r="E358" s="381">
        <f>IF(D358&lt;=3,база!$I$4,
IF(D358=4,база!$I$5,
IF(D358=5,база!$I$6)))</f>
        <v>188.7912</v>
      </c>
      <c r="F358" s="378">
        <v>1</v>
      </c>
      <c r="G358" s="387">
        <f>SUMIFS(Таблица14[часы],Таблица14[коэф],"1",Таблица14[р/р],"2/4",Таблица14[Ф. И. О.],B363)</f>
        <v>0</v>
      </c>
      <c r="H358" s="380">
        <f>ROUND(E358*F358*G358*2,2)</f>
        <v>0</v>
      </c>
      <c r="I358" s="377">
        <f>IF(D358&lt;=3,база!$J$4,
IF(D358=4,база!$J$5,
IF(D358=5,база!$J$6)))</f>
        <v>196.05240000000001</v>
      </c>
      <c r="J358" s="378">
        <v>1</v>
      </c>
      <c r="K358" s="428">
        <f>SUMIFS(Таблица14[часы],Таблица14[коэф],"1",Таблица14[р/р],"2/8",Таблица14[Ф. И. О.],B363)</f>
        <v>0</v>
      </c>
      <c r="L358" s="383">
        <f>ROUND(I358*J358*K358*2,2)</f>
        <v>0</v>
      </c>
      <c r="M358" s="426"/>
      <c r="N358" s="428">
        <v>1</v>
      </c>
      <c r="O358" s="428">
        <f>SUMIFS(Data_Tech!$AM$3:$AM$67,Data_Tech!$E$3:$E$67,"1",Data_Tech!$G$3:$G$67,"3/12",Data_Tech!$F$3:$F$67,B363)</f>
        <v>0</v>
      </c>
      <c r="P358" s="428">
        <f>ROUND(M358*N358*O358,2)</f>
        <v>0</v>
      </c>
      <c r="Q358" s="386">
        <f>IF(D358&lt;=3,база!$L$4,
IF(D358=4,база!$L$5,
IF(D358=5,база!$L$6)))</f>
        <v>210.57480000000001</v>
      </c>
      <c r="R358" s="378">
        <v>1</v>
      </c>
      <c r="S358" s="387">
        <f>SUMIFS(Таблица14[часы],Таблица14[коэф],"1",Таблица14[р/р],"3/16",Таблица14[Ф. И. О.],B363)</f>
        <v>0</v>
      </c>
      <c r="T358" s="548">
        <f>ROUND(Q358*R358*S358*2,2)</f>
        <v>0</v>
      </c>
      <c r="U358" s="471">
        <f>IF(D358&lt;=3,база!$M$4,
IF(D358=4,база!$M$5,
IF(D358=5,база!$M$6)))</f>
        <v>225.09719999999999</v>
      </c>
      <c r="V358" s="378">
        <v>1</v>
      </c>
      <c r="W358" s="430">
        <f>SUMIFS(Таблица14[часы],Таблица14[коэф],"1",Таблица14[р/р],"3/24",Таблица14[Ф. И. О.],B363)</f>
        <v>0</v>
      </c>
      <c r="X358" s="543">
        <f>ROUND(U358*V358*W358*2,2)</f>
        <v>0</v>
      </c>
      <c r="Y358" s="764">
        <f t="shared" ref="Y358" si="176">SUM(G358:G368,K358:K368,O358:O368,S358:S368,W358:W368)</f>
        <v>0</v>
      </c>
      <c r="Z358" s="766">
        <f t="shared" ref="Z358" si="177">IFERROR(SUM(H358:H368,L358:L368,T358:T368,X358:X368),"")</f>
        <v>0</v>
      </c>
      <c r="AA358" s="756"/>
    </row>
    <row r="359" spans="1:29">
      <c r="A359" s="756"/>
      <c r="B359" s="215"/>
      <c r="C359" s="759"/>
      <c r="D359" s="762"/>
      <c r="E359" s="393">
        <f>IF(D358&lt;=3,база!$I$4,
IF(D358=4,база!$I$5,
IF(D358=5,база!$I$6)))</f>
        <v>188.7912</v>
      </c>
      <c r="F359" s="390">
        <v>1</v>
      </c>
      <c r="G359" s="400">
        <f>SUMIFS(Таблица14[часы],Таблица14[коэф],"1",Таблица14[р/р],"3/4",Таблица14[Ф. И. О.],B363)</f>
        <v>0</v>
      </c>
      <c r="H359" s="542">
        <f t="shared" ref="H359:H368" si="178">ROUND(E359*F359*G359*2,2)</f>
        <v>0</v>
      </c>
      <c r="I359" s="389">
        <f>IF(D358&lt;=3,база!$J$4,
IF(D358=4,база!$J$5,
IF(D358=5,база!$J$6)))</f>
        <v>196.05240000000001</v>
      </c>
      <c r="J359" s="390">
        <v>1</v>
      </c>
      <c r="K359" s="434">
        <f>SUMIFS(Таблица14[часы],Таблица14[коэф],"1",Таблица14[р/р],"3/8",Таблица14[Ф. И. О.],B363)</f>
        <v>0</v>
      </c>
      <c r="L359" s="395">
        <f t="shared" ref="L359:L368" si="179">ROUND(I359*J359*K359*2,2)</f>
        <v>0</v>
      </c>
      <c r="M359" s="432"/>
      <c r="N359" s="434">
        <v>1</v>
      </c>
      <c r="O359" s="434">
        <f>SUMIFS(Data_Tech!$AM$3:$AM$67,Data_Tech!$E$3:$E$67,"1",Data_Tech!$G$3:$G$67,"4/12",Data_Tech!$F$3:$F$67,B363)</f>
        <v>0</v>
      </c>
      <c r="P359" s="434">
        <f>ROUND(M359*O359,2)</f>
        <v>0</v>
      </c>
      <c r="Q359" s="399">
        <f>база!$L$5</f>
        <v>231.45480000000001</v>
      </c>
      <c r="R359" s="390">
        <v>1</v>
      </c>
      <c r="S359" s="400">
        <f>SUMIFS(Таблица14[часы],Таблица14[коэф],"1",Таблица14[р/р],"4/16",Таблица14[Ф. И. О.],B363)</f>
        <v>0</v>
      </c>
      <c r="T359" s="544">
        <f t="shared" ref="T359:T368" si="180">ROUND(Q359*R359*S359*2,2)</f>
        <v>0</v>
      </c>
      <c r="U359" s="472">
        <f>база!$M$5</f>
        <v>247.41720000000001</v>
      </c>
      <c r="V359" s="390">
        <v>1</v>
      </c>
      <c r="W359" s="412">
        <f>SUMIFS(Таблица14[часы],Таблица14[коэф],"1",Таблица14[р/р],"4/24",Таблица14[Ф. И. О.],B363)</f>
        <v>0</v>
      </c>
      <c r="X359" s="545">
        <f t="shared" ref="X359:X368" si="181">ROUND(U359*V359*W359*2,2)</f>
        <v>0</v>
      </c>
      <c r="Y359" s="764"/>
      <c r="Z359" s="766"/>
      <c r="AA359" s="756"/>
    </row>
    <row r="360" spans="1:29">
      <c r="A360" s="756"/>
      <c r="B360" s="215"/>
      <c r="C360" s="759"/>
      <c r="D360" s="762"/>
      <c r="E360" s="393"/>
      <c r="F360" s="390"/>
      <c r="G360" s="400"/>
      <c r="H360" s="544">
        <f t="shared" si="178"/>
        <v>0</v>
      </c>
      <c r="I360" s="389"/>
      <c r="J360" s="390"/>
      <c r="K360" s="434"/>
      <c r="L360" s="395">
        <f t="shared" si="179"/>
        <v>0</v>
      </c>
      <c r="M360" s="432"/>
      <c r="N360" s="434"/>
      <c r="O360" s="434"/>
      <c r="P360" s="434"/>
      <c r="Q360" s="399">
        <f>база!$L$6</f>
        <v>261.04640000000001</v>
      </c>
      <c r="R360" s="390">
        <v>1</v>
      </c>
      <c r="S360" s="400">
        <f>SUMIFS(Таблица14[часы],Таблица14[коэф],"1",Таблица14[р/р],"5/16",Таблица14[Ф. И. О.],B363)</f>
        <v>0</v>
      </c>
      <c r="T360" s="544">
        <f t="shared" si="180"/>
        <v>0</v>
      </c>
      <c r="U360" s="472">
        <f>база!$M$6</f>
        <v>279.0496</v>
      </c>
      <c r="V360" s="390">
        <v>1</v>
      </c>
      <c r="W360" s="412">
        <f>SUMIFS(Таблица14[часы],Таблица14[коэф],"1",Таблица14[р/р],"5/24",Таблица14[Ф. И. О.],B363)</f>
        <v>0</v>
      </c>
      <c r="X360" s="545">
        <f t="shared" si="181"/>
        <v>0</v>
      </c>
      <c r="Y360" s="764"/>
      <c r="Z360" s="766"/>
      <c r="AA360" s="756"/>
    </row>
    <row r="361" spans="1:29">
      <c r="A361" s="756"/>
      <c r="B361" s="215"/>
      <c r="C361" s="759"/>
      <c r="D361" s="762"/>
      <c r="E361" s="393"/>
      <c r="F361" s="390"/>
      <c r="G361" s="400"/>
      <c r="H361" s="544">
        <f t="shared" si="178"/>
        <v>0</v>
      </c>
      <c r="I361" s="389">
        <f>база!$J$5</f>
        <v>215.4924</v>
      </c>
      <c r="J361" s="390">
        <v>1.5</v>
      </c>
      <c r="K361" s="434">
        <f>SUMIFS(Таблица14[часы],Таблица14[коэф],"1,5",Таблица14[р/р],"4/8",Таблица14[Ф. И. О.],B363)</f>
        <v>0</v>
      </c>
      <c r="L361" s="395">
        <f t="shared" si="179"/>
        <v>0</v>
      </c>
      <c r="M361" s="432"/>
      <c r="N361" s="434"/>
      <c r="O361" s="434"/>
      <c r="P361" s="434"/>
      <c r="Q361" s="399">
        <f>IF(D358&lt;=3,база!$L$4,
IF(D358=4,база!$L$5,
IF(D358=5,база!$L$6)))</f>
        <v>210.57480000000001</v>
      </c>
      <c r="R361" s="390">
        <v>1.2</v>
      </c>
      <c r="S361" s="400">
        <f>SUMIFS(Таблица14[часы],Таблица14[коэф],"1,2",Таблица14[р/р],"3/16",Таблица14[Ф. И. О.],B363)</f>
        <v>0</v>
      </c>
      <c r="T361" s="544">
        <f t="shared" si="180"/>
        <v>0</v>
      </c>
      <c r="U361" s="472">
        <f>IF(D358&lt;=3,база!$M$4,
IF(D358=4,база!$M$5,
IF(D358=5,база!$M$6)))</f>
        <v>225.09719999999999</v>
      </c>
      <c r="V361" s="390">
        <v>1.2</v>
      </c>
      <c r="W361" s="412">
        <f>SUMIFS(Таблица14[часы],Таблица14[коэф],"1,2",Таблица14[р/р],"3/24",Таблица14[Ф. И. О.],B363)</f>
        <v>0</v>
      </c>
      <c r="X361" s="545">
        <f t="shared" si="181"/>
        <v>0</v>
      </c>
      <c r="Y361" s="764"/>
      <c r="Z361" s="766"/>
      <c r="AA361" s="756"/>
    </row>
    <row r="362" spans="1:29">
      <c r="A362" s="756"/>
      <c r="B362" s="215"/>
      <c r="C362" s="759"/>
      <c r="D362" s="762"/>
      <c r="E362" s="393"/>
      <c r="F362" s="390"/>
      <c r="G362" s="400"/>
      <c r="H362" s="544">
        <f t="shared" si="178"/>
        <v>0</v>
      </c>
      <c r="I362" s="389">
        <f>база!$J$6</f>
        <v>243.04319999999998</v>
      </c>
      <c r="J362" s="390">
        <v>1.5</v>
      </c>
      <c r="K362" s="434">
        <f>SUMIFS(Таблица14[часы],Таблица14[коэф],"1,5",Таблица14[р/р],"5/8",Таблица14[Ф. И. О.],B363)</f>
        <v>0</v>
      </c>
      <c r="L362" s="395">
        <f t="shared" si="179"/>
        <v>0</v>
      </c>
      <c r="M362" s="432"/>
      <c r="N362" s="434"/>
      <c r="O362" s="434"/>
      <c r="P362" s="434"/>
      <c r="Q362" s="399">
        <f>база!$L$5</f>
        <v>231.45480000000001</v>
      </c>
      <c r="R362" s="390">
        <v>1.2</v>
      </c>
      <c r="S362" s="400">
        <f>SUMIFS(Таблица14[часы],Таблица14[коэф],"1,2",Таблица14[р/р],"4/16",Таблица14[Ф. И. О.],B363)</f>
        <v>0</v>
      </c>
      <c r="T362" s="544">
        <f t="shared" si="180"/>
        <v>0</v>
      </c>
      <c r="U362" s="472">
        <f>база!$M$5</f>
        <v>247.41720000000001</v>
      </c>
      <c r="V362" s="390">
        <v>1.2</v>
      </c>
      <c r="W362" s="412">
        <f>SUMIFS(Таблица14[часы],Таблица14[коэф],"1,2",Таблица14[р/р],"4/24",Таблица14[Ф. И. О.],B363)</f>
        <v>0</v>
      </c>
      <c r="X362" s="545">
        <f t="shared" si="181"/>
        <v>0</v>
      </c>
      <c r="Y362" s="764"/>
      <c r="Z362" s="766"/>
      <c r="AA362" s="756"/>
      <c r="AC362" s="752" t="str">
        <f>IF(SUMIFS(Таблица14[Столбец2],Таблица14[Ф. И. О.],B363)-Z358=0,"",SUMIFS(Таблица14[Столбец2],Таблица14[Ф. И. О.],B363)-Z358)</f>
        <v/>
      </c>
    </row>
    <row r="363" spans="1:29">
      <c r="A363" s="756"/>
      <c r="B363" s="215" t="str">
        <f>база!B34</f>
        <v>Кабанова Анастасия Евгеньевна</v>
      </c>
      <c r="C363" s="759"/>
      <c r="D363" s="762"/>
      <c r="E363" s="393"/>
      <c r="F363" s="390"/>
      <c r="G363" s="400"/>
      <c r="H363" s="544">
        <f t="shared" si="178"/>
        <v>0</v>
      </c>
      <c r="I363" s="389"/>
      <c r="J363" s="390"/>
      <c r="K363" s="434"/>
      <c r="L363" s="395">
        <f t="shared" si="179"/>
        <v>0</v>
      </c>
      <c r="M363" s="432"/>
      <c r="N363" s="434"/>
      <c r="O363" s="434"/>
      <c r="P363" s="434"/>
      <c r="Q363" s="399">
        <f>база!$L$6</f>
        <v>261.04640000000001</v>
      </c>
      <c r="R363" s="390">
        <v>1.2</v>
      </c>
      <c r="S363" s="400">
        <f>SUMIFS(Таблица14[часы],Таблица14[коэф],"1,2",Таблица14[р/р],"5/16",Таблица14[Ф. И. О.],B363)</f>
        <v>0</v>
      </c>
      <c r="T363" s="544">
        <f t="shared" si="180"/>
        <v>0</v>
      </c>
      <c r="U363" s="472">
        <f>база!$M$6</f>
        <v>279.0496</v>
      </c>
      <c r="V363" s="390">
        <v>1.2</v>
      </c>
      <c r="W363" s="412">
        <f>SUMIFS(Таблица14[часы],Таблица14[коэф],"1,2",Таблица14[р/р],"5/24",Таблица14[Ф. И. О.],B363)</f>
        <v>0</v>
      </c>
      <c r="X363" s="545">
        <f t="shared" si="181"/>
        <v>0</v>
      </c>
      <c r="Y363" s="764"/>
      <c r="Z363" s="766"/>
      <c r="AA363" s="756"/>
      <c r="AC363" s="752" t="str">
        <f>IF(SUMIFS(Таблица14[часы],Таблица14[Ф. И. О.],B363)-Y358=0,"",SUMIFS(Таблица14[часы],Таблица14[Ф. И. О.],B363)-Y358)</f>
        <v/>
      </c>
    </row>
    <row r="364" spans="1:29">
      <c r="A364" s="756"/>
      <c r="B364" s="215"/>
      <c r="C364" s="759"/>
      <c r="D364" s="762"/>
      <c r="E364" s="393"/>
      <c r="F364" s="390"/>
      <c r="G364" s="400"/>
      <c r="H364" s="544">
        <f t="shared" si="178"/>
        <v>0</v>
      </c>
      <c r="I364" s="389"/>
      <c r="J364" s="390"/>
      <c r="K364" s="434"/>
      <c r="L364" s="395">
        <f t="shared" si="179"/>
        <v>0</v>
      </c>
      <c r="M364" s="432"/>
      <c r="N364" s="434"/>
      <c r="O364" s="434"/>
      <c r="P364" s="434"/>
      <c r="Q364" s="399">
        <f>IF(D358&lt;=3,база!$L$4,
IF(D358=4,база!$L$5,
IF(D358=5,база!$L$6)))</f>
        <v>210.57480000000001</v>
      </c>
      <c r="R364" s="390">
        <v>1.3</v>
      </c>
      <c r="S364" s="400">
        <f>SUMIFS(Таблица14[часы],Таблица14[коэф],"1,3",Таблица14[р/р],"3/16",Таблица14[Ф. И. О.],B363)</f>
        <v>0</v>
      </c>
      <c r="T364" s="544">
        <f t="shared" si="180"/>
        <v>0</v>
      </c>
      <c r="U364" s="472">
        <f>IF(D358&lt;=3,база!$M$4,
IF(D358=4,база!$M$5,
IF(D358=5,база!$M$6)))</f>
        <v>225.09719999999999</v>
      </c>
      <c r="V364" s="390">
        <v>1.3</v>
      </c>
      <c r="W364" s="412">
        <f>SUMIFS(Таблица14[часы],Таблица14[коэф],"1,3",Таблица14[р/р],"3/24",Таблица14[Ф. И. О.],B363)</f>
        <v>0</v>
      </c>
      <c r="X364" s="545">
        <f t="shared" si="181"/>
        <v>0</v>
      </c>
      <c r="Y364" s="764"/>
      <c r="Z364" s="766"/>
      <c r="AA364" s="756"/>
    </row>
    <row r="365" spans="1:29">
      <c r="A365" s="756"/>
      <c r="B365" s="215"/>
      <c r="C365" s="759"/>
      <c r="D365" s="762"/>
      <c r="E365" s="393"/>
      <c r="F365" s="390"/>
      <c r="G365" s="400"/>
      <c r="H365" s="544">
        <f t="shared" si="178"/>
        <v>0</v>
      </c>
      <c r="I365" s="389"/>
      <c r="J365" s="390"/>
      <c r="K365" s="434"/>
      <c r="L365" s="395">
        <f t="shared" si="179"/>
        <v>0</v>
      </c>
      <c r="M365" s="432"/>
      <c r="N365" s="434"/>
      <c r="O365" s="434"/>
      <c r="P365" s="434"/>
      <c r="Q365" s="399">
        <f>база!$L$5</f>
        <v>231.45480000000001</v>
      </c>
      <c r="R365" s="390">
        <v>1.3</v>
      </c>
      <c r="S365" s="400">
        <f>SUMIFS(Таблица14[часы],Таблица14[коэф],"1,3",Таблица14[р/р],"4/16",Таблица14[Ф. И. О.],B363)</f>
        <v>0</v>
      </c>
      <c r="T365" s="544">
        <f t="shared" si="180"/>
        <v>0</v>
      </c>
      <c r="U365" s="472">
        <f>база!$M$5</f>
        <v>247.41720000000001</v>
      </c>
      <c r="V365" s="390">
        <v>1.3</v>
      </c>
      <c r="W365" s="412">
        <f>SUMIFS(Таблица14[часы],Таблица14[коэф],"1,3",Таблица14[р/р],"4/24",Таблица14[Ф. И. О.],B363)</f>
        <v>0</v>
      </c>
      <c r="X365" s="545">
        <f t="shared" si="181"/>
        <v>0</v>
      </c>
      <c r="Y365" s="764"/>
      <c r="Z365" s="766"/>
      <c r="AA365" s="756"/>
    </row>
    <row r="366" spans="1:29">
      <c r="A366" s="756"/>
      <c r="B366" s="215"/>
      <c r="C366" s="759"/>
      <c r="D366" s="762"/>
      <c r="E366" s="393"/>
      <c r="F366" s="390"/>
      <c r="G366" s="400"/>
      <c r="H366" s="544">
        <f t="shared" si="178"/>
        <v>0</v>
      </c>
      <c r="I366" s="389"/>
      <c r="J366" s="390"/>
      <c r="K366" s="434"/>
      <c r="L366" s="395">
        <f t="shared" si="179"/>
        <v>0</v>
      </c>
      <c r="M366" s="432"/>
      <c r="N366" s="434"/>
      <c r="O366" s="434"/>
      <c r="P366" s="434"/>
      <c r="Q366" s="399">
        <f>IF(D358&lt;=3,база!$L$4,
IF(D358=4,база!$L$5,
IF(D358=5,база!$L$6)))</f>
        <v>210.57480000000001</v>
      </c>
      <c r="R366" s="390">
        <v>1.4</v>
      </c>
      <c r="S366" s="400">
        <f>SUMIFS(Таблица14[часы],Таблица14[коэф],"1,4",Таблица14[р/р],"3/16",Таблица14[Ф. И. О.],B363)</f>
        <v>0</v>
      </c>
      <c r="T366" s="544">
        <f t="shared" si="180"/>
        <v>0</v>
      </c>
      <c r="U366" s="472">
        <f>IF(D358&lt;=3,база!$M$4,
IF(D358=4,база!$M$5,
IF(D358=5,база!$M$6)))</f>
        <v>225.09719999999999</v>
      </c>
      <c r="V366" s="390">
        <v>1.4</v>
      </c>
      <c r="W366" s="412">
        <f>SUMIFS(Таблица14[часы],Таблица14[коэф],"1,4",Таблица14[р/р],"3/24",Таблица14[Ф. И. О.],B363)</f>
        <v>0</v>
      </c>
      <c r="X366" s="545">
        <f t="shared" si="181"/>
        <v>0</v>
      </c>
      <c r="Y366" s="764"/>
      <c r="Z366" s="766"/>
      <c r="AA366" s="756"/>
    </row>
    <row r="367" spans="1:29">
      <c r="A367" s="756"/>
      <c r="B367" s="215"/>
      <c r="C367" s="759"/>
      <c r="D367" s="762"/>
      <c r="E367" s="393"/>
      <c r="F367" s="390"/>
      <c r="G367" s="400"/>
      <c r="H367" s="544">
        <f t="shared" si="178"/>
        <v>0</v>
      </c>
      <c r="I367" s="389"/>
      <c r="J367" s="390"/>
      <c r="K367" s="434"/>
      <c r="L367" s="395">
        <f t="shared" si="179"/>
        <v>0</v>
      </c>
      <c r="M367" s="432"/>
      <c r="N367" s="434"/>
      <c r="O367" s="434"/>
      <c r="P367" s="434"/>
      <c r="Q367" s="399">
        <f>база!$L$5</f>
        <v>231.45480000000001</v>
      </c>
      <c r="R367" s="390">
        <v>1.4</v>
      </c>
      <c r="S367" s="400">
        <f>SUMIFS(Таблица14[часы],Таблица14[коэф],"1,4",Таблица14[р/р],"4/16",Таблица14[Ф. И. О.],B363)</f>
        <v>0</v>
      </c>
      <c r="T367" s="544">
        <f t="shared" si="180"/>
        <v>0</v>
      </c>
      <c r="U367" s="472">
        <f>база!$M$5</f>
        <v>247.41720000000001</v>
      </c>
      <c r="V367" s="390">
        <v>1.4</v>
      </c>
      <c r="W367" s="412">
        <f>SUMIFS(Таблица14[часы],Таблица14[коэф],"1,4",Таблица14[р/р],"4/24",Таблица14[Ф. И. О.],B363)</f>
        <v>0</v>
      </c>
      <c r="X367" s="545">
        <f t="shared" si="181"/>
        <v>0</v>
      </c>
      <c r="Y367" s="764"/>
      <c r="Z367" s="766"/>
      <c r="AA367" s="756"/>
    </row>
    <row r="368" spans="1:29" ht="21" thickBot="1">
      <c r="A368" s="757"/>
      <c r="B368" s="202"/>
      <c r="C368" s="760"/>
      <c r="D368" s="763"/>
      <c r="E368" s="463"/>
      <c r="F368" s="464"/>
      <c r="G368" s="465"/>
      <c r="H368" s="549">
        <f t="shared" si="178"/>
        <v>0</v>
      </c>
      <c r="I368" s="473"/>
      <c r="J368" s="464"/>
      <c r="K368" s="457"/>
      <c r="L368" s="458">
        <f t="shared" si="179"/>
        <v>0</v>
      </c>
      <c r="M368" s="466"/>
      <c r="N368" s="457"/>
      <c r="O368" s="457"/>
      <c r="P368" s="457"/>
      <c r="Q368" s="467">
        <f>база!$L$6</f>
        <v>261.04640000000001</v>
      </c>
      <c r="R368" s="464">
        <v>1.4</v>
      </c>
      <c r="S368" s="465">
        <f>SUMIFS(Таблица14[часы],Таблица14[коэф],"1,4",Таблица14[р/р],"5/16",Таблица14[Ф. И. О.],B363)</f>
        <v>0</v>
      </c>
      <c r="T368" s="549">
        <f t="shared" si="180"/>
        <v>0</v>
      </c>
      <c r="U368" s="474">
        <f>база!$M$6</f>
        <v>279.0496</v>
      </c>
      <c r="V368" s="464">
        <v>1.4</v>
      </c>
      <c r="W368" s="470">
        <f>SUMIFS(Таблица14[часы],Таблица14[коэф],"1,4",Таблица14[р/р],"5/24",Таблица14[Ф. И. О.],B363)</f>
        <v>0</v>
      </c>
      <c r="X368" s="547">
        <f t="shared" si="181"/>
        <v>0</v>
      </c>
      <c r="Y368" s="765"/>
      <c r="Z368" s="767"/>
      <c r="AA368" s="757"/>
    </row>
    <row r="369" spans="1:29">
      <c r="A369" s="755">
        <v>34</v>
      </c>
      <c r="B369" s="235"/>
      <c r="C369" s="758">
        <f>INDEX(база!$E$2:$E$81, MATCH(B374,база!$B$2:$B$50,0))</f>
        <v>17282</v>
      </c>
      <c r="D369" s="761">
        <f>INDEX(база!$D$2:$D$89, MATCH(B374,база!$B$2:$B$50,0))</f>
        <v>3</v>
      </c>
      <c r="E369" s="381">
        <f>IF(D369&lt;=3,база!$I$4,
IF(D369=4,база!$I$5,
IF(D369=5,база!$I$6)))</f>
        <v>188.7912</v>
      </c>
      <c r="F369" s="378">
        <v>1</v>
      </c>
      <c r="G369" s="387">
        <f>SUMIFS(Таблица14[часы],Таблица14[коэф],"1",Таблица14[р/р],"2/4",Таблица14[Ф. И. О.],B374)</f>
        <v>0</v>
      </c>
      <c r="H369" s="380">
        <f>ROUND(E369*F369*G369*2,2)</f>
        <v>0</v>
      </c>
      <c r="I369" s="377">
        <f>IF(D369&lt;=3,база!$J$4,
IF(D369=4,база!$J$5,
IF(D369=5,база!$J$6)))</f>
        <v>196.05240000000001</v>
      </c>
      <c r="J369" s="378">
        <v>1</v>
      </c>
      <c r="K369" s="428">
        <f>SUMIFS(Таблица14[часы],Таблица14[коэф],"1",Таблица14[р/р],"2/8",Таблица14[Ф. И. О.],B374)</f>
        <v>0</v>
      </c>
      <c r="L369" s="383">
        <f>ROUND(I369*J369*K369*2,2)</f>
        <v>0</v>
      </c>
      <c r="M369" s="426"/>
      <c r="N369" s="428">
        <v>1</v>
      </c>
      <c r="O369" s="428">
        <f>SUMIFS(Data_Tech!$AM$3:$AM$67,Data_Tech!$E$3:$E$67,"1",Data_Tech!$G$3:$G$67,"3/12",Data_Tech!$F$3:$F$67,B374)</f>
        <v>0</v>
      </c>
      <c r="P369" s="428">
        <f>ROUND(M369*N369*O369,2)</f>
        <v>0</v>
      </c>
      <c r="Q369" s="386">
        <f>IF(D369&lt;=3,база!$L$4,
IF(D369=4,база!$L$5,
IF(D369=5,база!$L$6)))</f>
        <v>210.57480000000001</v>
      </c>
      <c r="R369" s="378">
        <v>1</v>
      </c>
      <c r="S369" s="387">
        <f>SUMIFS(Таблица14[часы],Таблица14[коэф],"1",Таблица14[р/р],"3/16",Таблица14[Ф. И. О.],B374)</f>
        <v>0</v>
      </c>
      <c r="T369" s="548">
        <f>ROUND(Q369*R369*S369*2,2)</f>
        <v>0</v>
      </c>
      <c r="U369" s="471">
        <f>IF(D369&lt;=3,база!$M$4,
IF(D369=4,база!$M$5,
IF(D369=5,база!$M$6)))</f>
        <v>225.09719999999999</v>
      </c>
      <c r="V369" s="378">
        <v>1</v>
      </c>
      <c r="W369" s="430">
        <f>SUMIFS(Таблица14[часы],Таблица14[коэф],"1",Таблица14[р/р],"3/24",Таблица14[Ф. И. О.],B374)</f>
        <v>0</v>
      </c>
      <c r="X369" s="543">
        <f>ROUND(U369*V369*W369*2,2)</f>
        <v>0</v>
      </c>
      <c r="Y369" s="764">
        <f t="shared" ref="Y369" si="182">SUM(G369:G379,K369:K379,O369:O379,S369:S379,W369:W379)</f>
        <v>0</v>
      </c>
      <c r="Z369" s="766">
        <f t="shared" ref="Z369" si="183">IFERROR(SUM(H369:H379,L369:L379,T369:T379,X369:X379),"")</f>
        <v>0</v>
      </c>
      <c r="AA369" s="756"/>
    </row>
    <row r="370" spans="1:29">
      <c r="A370" s="756"/>
      <c r="B370" s="215"/>
      <c r="C370" s="759"/>
      <c r="D370" s="762"/>
      <c r="E370" s="393">
        <f>IF(D369&lt;=3,база!$I$4,
IF(D369=4,база!$I$5,
IF(D369=5,база!$I$6)))</f>
        <v>188.7912</v>
      </c>
      <c r="F370" s="390">
        <v>1</v>
      </c>
      <c r="G370" s="400">
        <f>SUMIFS(Таблица14[часы],Таблица14[коэф],"1",Таблица14[р/р],"3/4",Таблица14[Ф. И. О.],B374)</f>
        <v>0</v>
      </c>
      <c r="H370" s="542">
        <f t="shared" ref="H370:H379" si="184">ROUND(E370*F370*G370*2,2)</f>
        <v>0</v>
      </c>
      <c r="I370" s="389">
        <f>IF(D369&lt;=3,база!$J$4,
IF(D369=4,база!$J$5,
IF(D369=5,база!$J$6)))</f>
        <v>196.05240000000001</v>
      </c>
      <c r="J370" s="390">
        <v>1</v>
      </c>
      <c r="K370" s="434">
        <f>SUMIFS(Таблица14[часы],Таблица14[коэф],"1",Таблица14[р/р],"3/8",Таблица14[Ф. И. О.],B374)</f>
        <v>0</v>
      </c>
      <c r="L370" s="395">
        <f t="shared" ref="L370:L379" si="185">ROUND(I370*J370*K370*2,2)</f>
        <v>0</v>
      </c>
      <c r="M370" s="432"/>
      <c r="N370" s="434">
        <v>1</v>
      </c>
      <c r="O370" s="434">
        <f>SUMIFS(Data_Tech!$AM$3:$AM$67,Data_Tech!$E$3:$E$67,"1",Data_Tech!$G$3:$G$67,"4/12",Data_Tech!$F$3:$F$67,B374)</f>
        <v>0</v>
      </c>
      <c r="P370" s="434">
        <f>ROUND(M370*O370,2)</f>
        <v>0</v>
      </c>
      <c r="Q370" s="399">
        <f>база!$L$5</f>
        <v>231.45480000000001</v>
      </c>
      <c r="R370" s="390">
        <v>1</v>
      </c>
      <c r="S370" s="400">
        <f>SUMIFS(Таблица14[часы],Таблица14[коэф],"1",Таблица14[р/р],"4/16",Таблица14[Ф. И. О.],B374)</f>
        <v>0</v>
      </c>
      <c r="T370" s="544">
        <f t="shared" ref="T370:T379" si="186">ROUND(Q370*R370*S370*2,2)</f>
        <v>0</v>
      </c>
      <c r="U370" s="472">
        <f>база!$M$5</f>
        <v>247.41720000000001</v>
      </c>
      <c r="V370" s="390">
        <v>1</v>
      </c>
      <c r="W370" s="412">
        <f>SUMIFS(Таблица14[часы],Таблица14[коэф],"1",Таблица14[р/р],"4/24",Таблица14[Ф. И. О.],B374)</f>
        <v>0</v>
      </c>
      <c r="X370" s="545">
        <f t="shared" ref="X370:X379" si="187">ROUND(U370*V370*W370*2,2)</f>
        <v>0</v>
      </c>
      <c r="Y370" s="764"/>
      <c r="Z370" s="766"/>
      <c r="AA370" s="756"/>
    </row>
    <row r="371" spans="1:29">
      <c r="A371" s="756"/>
      <c r="B371" s="215"/>
      <c r="C371" s="759"/>
      <c r="D371" s="762"/>
      <c r="E371" s="393"/>
      <c r="F371" s="390"/>
      <c r="G371" s="400"/>
      <c r="H371" s="544">
        <f t="shared" si="184"/>
        <v>0</v>
      </c>
      <c r="I371" s="389"/>
      <c r="J371" s="390"/>
      <c r="K371" s="434"/>
      <c r="L371" s="395">
        <f t="shared" si="185"/>
        <v>0</v>
      </c>
      <c r="M371" s="432"/>
      <c r="N371" s="434"/>
      <c r="O371" s="434"/>
      <c r="P371" s="434"/>
      <c r="Q371" s="399">
        <f>база!$L$6</f>
        <v>261.04640000000001</v>
      </c>
      <c r="R371" s="390">
        <v>1</v>
      </c>
      <c r="S371" s="400">
        <f>SUMIFS(Таблица14[часы],Таблица14[коэф],"1",Таблица14[р/р],"5/16",Таблица14[Ф. И. О.],B374)</f>
        <v>0</v>
      </c>
      <c r="T371" s="544">
        <f t="shared" si="186"/>
        <v>0</v>
      </c>
      <c r="U371" s="472">
        <f>база!$M$6</f>
        <v>279.0496</v>
      </c>
      <c r="V371" s="390">
        <v>1</v>
      </c>
      <c r="W371" s="412">
        <f>SUMIFS(Таблица14[часы],Таблица14[коэф],"1",Таблица14[р/р],"5/24",Таблица14[Ф. И. О.],B374)</f>
        <v>0</v>
      </c>
      <c r="X371" s="545">
        <f t="shared" si="187"/>
        <v>0</v>
      </c>
      <c r="Y371" s="764"/>
      <c r="Z371" s="766"/>
      <c r="AA371" s="756"/>
    </row>
    <row r="372" spans="1:29">
      <c r="A372" s="756"/>
      <c r="B372" s="215"/>
      <c r="C372" s="759"/>
      <c r="D372" s="762"/>
      <c r="E372" s="393"/>
      <c r="F372" s="390"/>
      <c r="G372" s="400"/>
      <c r="H372" s="544">
        <f t="shared" si="184"/>
        <v>0</v>
      </c>
      <c r="I372" s="389">
        <f>база!$J$5</f>
        <v>215.4924</v>
      </c>
      <c r="J372" s="390">
        <v>1.5</v>
      </c>
      <c r="K372" s="434">
        <f>SUMIFS(Таблица14[часы],Таблица14[коэф],"1,5",Таблица14[р/р],"4/8",Таблица14[Ф. И. О.],B374)</f>
        <v>0</v>
      </c>
      <c r="L372" s="395">
        <f t="shared" si="185"/>
        <v>0</v>
      </c>
      <c r="M372" s="432"/>
      <c r="N372" s="434"/>
      <c r="O372" s="434"/>
      <c r="P372" s="434"/>
      <c r="Q372" s="399">
        <f>IF(D369&lt;=3,база!$L$4,
IF(D369=4,база!$L$5,
IF(D369=5,база!$L$6)))</f>
        <v>210.57480000000001</v>
      </c>
      <c r="R372" s="390">
        <v>1.2</v>
      </c>
      <c r="S372" s="400">
        <f>SUMIFS(Таблица14[часы],Таблица14[коэф],"1,2",Таблица14[р/р],"3/16",Таблица14[Ф. И. О.],B374)</f>
        <v>0</v>
      </c>
      <c r="T372" s="544">
        <f t="shared" si="186"/>
        <v>0</v>
      </c>
      <c r="U372" s="472">
        <f>IF(D369&lt;=3,база!$M$4,
IF(D369=4,база!$M$5,
IF(D369=5,база!$M$6)))</f>
        <v>225.09719999999999</v>
      </c>
      <c r="V372" s="390">
        <v>1.2</v>
      </c>
      <c r="W372" s="412">
        <f>SUMIFS(Таблица14[часы],Таблица14[коэф],"1,2",Таблица14[р/р],"3/24",Таблица14[Ф. И. О.],B374)</f>
        <v>0</v>
      </c>
      <c r="X372" s="545">
        <f t="shared" si="187"/>
        <v>0</v>
      </c>
      <c r="Y372" s="764"/>
      <c r="Z372" s="766"/>
      <c r="AA372" s="756"/>
    </row>
    <row r="373" spans="1:29">
      <c r="A373" s="756"/>
      <c r="B373" s="215"/>
      <c r="C373" s="759"/>
      <c r="D373" s="762"/>
      <c r="E373" s="393"/>
      <c r="F373" s="390"/>
      <c r="G373" s="400"/>
      <c r="H373" s="544">
        <f t="shared" si="184"/>
        <v>0</v>
      </c>
      <c r="I373" s="389">
        <f>база!$J$6</f>
        <v>243.04319999999998</v>
      </c>
      <c r="J373" s="390">
        <v>1.5</v>
      </c>
      <c r="K373" s="434">
        <f>SUMIFS(Таблица14[часы],Таблица14[коэф],"1,5",Таблица14[р/р],"5/8",Таблица14[Ф. И. О.],B374)</f>
        <v>0</v>
      </c>
      <c r="L373" s="395">
        <f t="shared" si="185"/>
        <v>0</v>
      </c>
      <c r="M373" s="432"/>
      <c r="N373" s="434"/>
      <c r="O373" s="434"/>
      <c r="P373" s="434"/>
      <c r="Q373" s="399">
        <f>база!$L$5</f>
        <v>231.45480000000001</v>
      </c>
      <c r="R373" s="390">
        <v>1.2</v>
      </c>
      <c r="S373" s="400">
        <f>SUMIFS(Таблица14[часы],Таблица14[коэф],"1,2",Таблица14[р/р],"4/16",Таблица14[Ф. И. О.],B374)</f>
        <v>0</v>
      </c>
      <c r="T373" s="544">
        <f t="shared" si="186"/>
        <v>0</v>
      </c>
      <c r="U373" s="472">
        <f>база!$M$5</f>
        <v>247.41720000000001</v>
      </c>
      <c r="V373" s="390">
        <v>1.2</v>
      </c>
      <c r="W373" s="412">
        <f>SUMIFS(Таблица14[часы],Таблица14[коэф],"1,2",Таблица14[р/р],"4/24",Таблица14[Ф. И. О.],B374)</f>
        <v>0</v>
      </c>
      <c r="X373" s="545">
        <f t="shared" si="187"/>
        <v>0</v>
      </c>
      <c r="Y373" s="764"/>
      <c r="Z373" s="766"/>
      <c r="AA373" s="756"/>
    </row>
    <row r="374" spans="1:29" ht="24" customHeight="1">
      <c r="A374" s="756"/>
      <c r="B374" s="215" t="str">
        <f>база!B35</f>
        <v>Кириллова Надежда Вячеславовна</v>
      </c>
      <c r="C374" s="759"/>
      <c r="D374" s="762"/>
      <c r="E374" s="393"/>
      <c r="F374" s="390"/>
      <c r="G374" s="400"/>
      <c r="H374" s="544">
        <f t="shared" si="184"/>
        <v>0</v>
      </c>
      <c r="I374" s="389"/>
      <c r="J374" s="390"/>
      <c r="K374" s="434"/>
      <c r="L374" s="395">
        <f t="shared" si="185"/>
        <v>0</v>
      </c>
      <c r="M374" s="432"/>
      <c r="N374" s="434"/>
      <c r="O374" s="434"/>
      <c r="P374" s="434"/>
      <c r="Q374" s="399">
        <f>база!$L$6</f>
        <v>261.04640000000001</v>
      </c>
      <c r="R374" s="390">
        <v>1.2</v>
      </c>
      <c r="S374" s="400">
        <f>SUMIFS(Таблица14[часы],Таблица14[коэф],"1,2",Таблица14[р/р],"5/16",Таблица14[Ф. И. О.],B374)</f>
        <v>0</v>
      </c>
      <c r="T374" s="544">
        <f t="shared" si="186"/>
        <v>0</v>
      </c>
      <c r="U374" s="472">
        <f>база!$M$6</f>
        <v>279.0496</v>
      </c>
      <c r="V374" s="390">
        <v>1.2</v>
      </c>
      <c r="W374" s="412">
        <f>SUMIFS(Таблица14[часы],Таблица14[коэф],"1,2",Таблица14[р/р],"5/24",Таблица14[Ф. И. О.],B374)</f>
        <v>0</v>
      </c>
      <c r="X374" s="545">
        <f t="shared" si="187"/>
        <v>0</v>
      </c>
      <c r="Y374" s="764"/>
      <c r="Z374" s="766"/>
      <c r="AA374" s="756"/>
      <c r="AC374" s="752" t="str">
        <f>IF(SUMIFS(Таблица14[Столбец2],Таблица14[Ф. И. О.],B374)-Z369=0,"",SUMIFS(Таблица14[Столбец2],Таблица14[Ф. И. О.],B374)-Z369)</f>
        <v/>
      </c>
    </row>
    <row r="375" spans="1:29">
      <c r="A375" s="756"/>
      <c r="B375" s="215"/>
      <c r="C375" s="759"/>
      <c r="D375" s="762"/>
      <c r="E375" s="393"/>
      <c r="F375" s="390"/>
      <c r="G375" s="400"/>
      <c r="H375" s="544">
        <f t="shared" si="184"/>
        <v>0</v>
      </c>
      <c r="I375" s="389"/>
      <c r="J375" s="390"/>
      <c r="K375" s="434"/>
      <c r="L375" s="395">
        <f t="shared" si="185"/>
        <v>0</v>
      </c>
      <c r="M375" s="432"/>
      <c r="N375" s="434"/>
      <c r="O375" s="434"/>
      <c r="P375" s="434"/>
      <c r="Q375" s="399">
        <f>IF(D369&lt;=3,база!$L$4,
IF(D369=4,база!$L$5,
IF(D369=5,база!$L$6)))</f>
        <v>210.57480000000001</v>
      </c>
      <c r="R375" s="390">
        <v>1.3</v>
      </c>
      <c r="S375" s="400">
        <f>SUMIFS(Таблица14[часы],Таблица14[коэф],"1,3",Таблица14[р/р],"3/16",Таблица14[Ф. И. О.],B374)</f>
        <v>0</v>
      </c>
      <c r="T375" s="544">
        <f t="shared" si="186"/>
        <v>0</v>
      </c>
      <c r="U375" s="472">
        <f>IF(D369&lt;=3,база!$M$4,
IF(D369=4,база!$M$5,
IF(D369=5,база!$M$6)))</f>
        <v>225.09719999999999</v>
      </c>
      <c r="V375" s="390">
        <v>1.3</v>
      </c>
      <c r="W375" s="412">
        <f>SUMIFS(Таблица14[часы],Таблица14[коэф],"1,3",Таблица14[р/р],"3/24",Таблица14[Ф. И. О.],B374)</f>
        <v>0</v>
      </c>
      <c r="X375" s="545">
        <f t="shared" si="187"/>
        <v>0</v>
      </c>
      <c r="Y375" s="764"/>
      <c r="Z375" s="766"/>
      <c r="AA375" s="756"/>
      <c r="AC375" s="752" t="str">
        <f>IF(SUMIFS(Таблица14[часы],Таблица14[Ф. И. О.],B374)-Y369=0,"",SUMIFS(Таблица14[часы],Таблица14[Ф. И. О.],B374)-Y369)</f>
        <v/>
      </c>
    </row>
    <row r="376" spans="1:29">
      <c r="A376" s="756"/>
      <c r="B376" s="215"/>
      <c r="C376" s="759"/>
      <c r="D376" s="762"/>
      <c r="E376" s="393"/>
      <c r="F376" s="390"/>
      <c r="G376" s="400"/>
      <c r="H376" s="544">
        <f t="shared" si="184"/>
        <v>0</v>
      </c>
      <c r="I376" s="389"/>
      <c r="J376" s="390"/>
      <c r="K376" s="434"/>
      <c r="L376" s="395">
        <f t="shared" si="185"/>
        <v>0</v>
      </c>
      <c r="M376" s="432"/>
      <c r="N376" s="434"/>
      <c r="O376" s="434"/>
      <c r="P376" s="434"/>
      <c r="Q376" s="399">
        <f>база!$L$5</f>
        <v>231.45480000000001</v>
      </c>
      <c r="R376" s="390">
        <v>1.3</v>
      </c>
      <c r="S376" s="400">
        <f>SUMIFS(Таблица14[часы],Таблица14[коэф],"1,3",Таблица14[р/р],"4/16",Таблица14[Ф. И. О.],B374)</f>
        <v>0</v>
      </c>
      <c r="T376" s="544">
        <f t="shared" si="186"/>
        <v>0</v>
      </c>
      <c r="U376" s="472">
        <f>база!$M$5</f>
        <v>247.41720000000001</v>
      </c>
      <c r="V376" s="390">
        <v>1.3</v>
      </c>
      <c r="W376" s="412">
        <f>SUMIFS(Таблица14[часы],Таблица14[коэф],"1,3",Таблица14[р/р],"4/24",Таблица14[Ф. И. О.],B374)</f>
        <v>0</v>
      </c>
      <c r="X376" s="545">
        <f t="shared" si="187"/>
        <v>0</v>
      </c>
      <c r="Y376" s="764"/>
      <c r="Z376" s="766"/>
      <c r="AA376" s="756"/>
    </row>
    <row r="377" spans="1:29">
      <c r="A377" s="756"/>
      <c r="B377" s="215"/>
      <c r="C377" s="759"/>
      <c r="D377" s="762"/>
      <c r="E377" s="393"/>
      <c r="F377" s="390"/>
      <c r="G377" s="400"/>
      <c r="H377" s="544">
        <f t="shared" si="184"/>
        <v>0</v>
      </c>
      <c r="I377" s="389"/>
      <c r="J377" s="390"/>
      <c r="K377" s="434"/>
      <c r="L377" s="395">
        <f t="shared" si="185"/>
        <v>0</v>
      </c>
      <c r="M377" s="432"/>
      <c r="N377" s="434"/>
      <c r="O377" s="434"/>
      <c r="P377" s="434"/>
      <c r="Q377" s="399">
        <f>IF(D369&lt;=3,база!$L$4,
IF(D369=4,база!$L$5,
IF(D369=5,база!$L$6)))</f>
        <v>210.57480000000001</v>
      </c>
      <c r="R377" s="390">
        <v>1.4</v>
      </c>
      <c r="S377" s="400">
        <f>SUMIFS(Таблица14[часы],Таблица14[коэф],"1,4",Таблица14[р/р],"3/16",Таблица14[Ф. И. О.],B374)</f>
        <v>0</v>
      </c>
      <c r="T377" s="544">
        <f t="shared" si="186"/>
        <v>0</v>
      </c>
      <c r="U377" s="472">
        <f>IF(D369&lt;=3,база!$M$4,
IF(D369=4,база!$M$5,
IF(D369=5,база!$M$6)))</f>
        <v>225.09719999999999</v>
      </c>
      <c r="V377" s="390">
        <v>1.4</v>
      </c>
      <c r="W377" s="412">
        <f>SUMIFS(Таблица14[часы],Таблица14[коэф],"1,4",Таблица14[р/р],"3/24",Таблица14[Ф. И. О.],B374)</f>
        <v>0</v>
      </c>
      <c r="X377" s="545">
        <f t="shared" si="187"/>
        <v>0</v>
      </c>
      <c r="Y377" s="764"/>
      <c r="Z377" s="766"/>
      <c r="AA377" s="756"/>
    </row>
    <row r="378" spans="1:29">
      <c r="A378" s="756"/>
      <c r="B378" s="215"/>
      <c r="C378" s="759"/>
      <c r="D378" s="762"/>
      <c r="E378" s="393"/>
      <c r="F378" s="390"/>
      <c r="G378" s="400"/>
      <c r="H378" s="544">
        <f t="shared" si="184"/>
        <v>0</v>
      </c>
      <c r="I378" s="389"/>
      <c r="J378" s="390"/>
      <c r="K378" s="434"/>
      <c r="L378" s="395">
        <f t="shared" si="185"/>
        <v>0</v>
      </c>
      <c r="M378" s="432"/>
      <c r="N378" s="434"/>
      <c r="O378" s="434"/>
      <c r="P378" s="434"/>
      <c r="Q378" s="399">
        <f>база!$L$5</f>
        <v>231.45480000000001</v>
      </c>
      <c r="R378" s="390">
        <v>1.4</v>
      </c>
      <c r="S378" s="400">
        <f>SUMIFS(Таблица14[часы],Таблица14[коэф],"1,4",Таблица14[р/р],"4/16",Таблица14[Ф. И. О.],B374)</f>
        <v>0</v>
      </c>
      <c r="T378" s="544">
        <f t="shared" si="186"/>
        <v>0</v>
      </c>
      <c r="U378" s="472">
        <f>база!$M$5</f>
        <v>247.41720000000001</v>
      </c>
      <c r="V378" s="390">
        <v>1.4</v>
      </c>
      <c r="W378" s="412">
        <f>SUMIFS(Таблица14[часы],Таблица14[коэф],"1,4",Таблица14[р/р],"4/24",Таблица14[Ф. И. О.],B374)</f>
        <v>0</v>
      </c>
      <c r="X378" s="545">
        <f t="shared" si="187"/>
        <v>0</v>
      </c>
      <c r="Y378" s="764"/>
      <c r="Z378" s="766"/>
      <c r="AA378" s="756"/>
    </row>
    <row r="379" spans="1:29" ht="21" thickBot="1">
      <c r="A379" s="757"/>
      <c r="B379" s="202"/>
      <c r="C379" s="760"/>
      <c r="D379" s="763"/>
      <c r="E379" s="463"/>
      <c r="F379" s="464"/>
      <c r="G379" s="465"/>
      <c r="H379" s="549">
        <f t="shared" si="184"/>
        <v>0</v>
      </c>
      <c r="I379" s="473"/>
      <c r="J379" s="464"/>
      <c r="K379" s="457"/>
      <c r="L379" s="458">
        <f t="shared" si="185"/>
        <v>0</v>
      </c>
      <c r="M379" s="466"/>
      <c r="N379" s="457"/>
      <c r="O379" s="457"/>
      <c r="P379" s="457"/>
      <c r="Q379" s="467">
        <f>база!$L$6</f>
        <v>261.04640000000001</v>
      </c>
      <c r="R379" s="464">
        <v>1.4</v>
      </c>
      <c r="S379" s="465">
        <f>SUMIFS(Таблица14[часы],Таблица14[коэф],"1,4",Таблица14[р/р],"5/16",Таблица14[Ф. И. О.],B374)</f>
        <v>0</v>
      </c>
      <c r="T379" s="549">
        <f t="shared" si="186"/>
        <v>0</v>
      </c>
      <c r="U379" s="474">
        <f>база!$M$6</f>
        <v>279.0496</v>
      </c>
      <c r="V379" s="464">
        <v>1.4</v>
      </c>
      <c r="W379" s="470">
        <f>SUMIFS(Таблица14[часы],Таблица14[коэф],"1,4",Таблица14[р/р],"5/24",Таблица14[Ф. И. О.],B374)</f>
        <v>0</v>
      </c>
      <c r="X379" s="547">
        <f t="shared" si="187"/>
        <v>0</v>
      </c>
      <c r="Y379" s="765"/>
      <c r="Z379" s="767"/>
      <c r="AA379" s="757"/>
    </row>
    <row r="380" spans="1:29">
      <c r="A380" s="755">
        <v>35</v>
      </c>
      <c r="B380" s="235"/>
      <c r="C380" s="758">
        <f>INDEX(база!$E$2:$E$81, MATCH(B385,база!$B$2:$B$50,0))</f>
        <v>15575</v>
      </c>
      <c r="D380" s="761">
        <f>INDEX(база!$D$2:$D$89, MATCH(B385,база!$B$2:$B$50,0))</f>
        <v>3</v>
      </c>
      <c r="E380" s="381">
        <f>IF(D380&lt;=3,база!$I$4,
IF(D380=4,база!$I$5,
IF(D380=5,база!$I$6)))</f>
        <v>188.7912</v>
      </c>
      <c r="F380" s="378">
        <v>1</v>
      </c>
      <c r="G380" s="387">
        <f>SUMIFS(Таблица14[часы],Таблица14[коэф],"1",Таблица14[р/р],"2/4",Таблица14[Ф. И. О.],B385)</f>
        <v>0</v>
      </c>
      <c r="H380" s="380">
        <f>ROUND(E380*F380*G380*2,2)</f>
        <v>0</v>
      </c>
      <c r="I380" s="377">
        <f>IF(D380&lt;=3,база!$J$4,
IF(D380=4,база!$J$5,
IF(D380=5,база!$J$6)))</f>
        <v>196.05240000000001</v>
      </c>
      <c r="J380" s="378">
        <v>1</v>
      </c>
      <c r="K380" s="428">
        <f>SUMIFS(Таблица14[часы],Таблица14[коэф],"1",Таблица14[р/р],"2/8",Таблица14[Ф. И. О.],B385)</f>
        <v>0</v>
      </c>
      <c r="L380" s="383">
        <f>ROUND(I380*J380*K380*2,2)</f>
        <v>0</v>
      </c>
      <c r="M380" s="426"/>
      <c r="N380" s="428">
        <v>1</v>
      </c>
      <c r="O380" s="428">
        <f>SUMIFS(Data_Tech!$AM$3:$AM$67,Data_Tech!$E$3:$E$67,"1",Data_Tech!$G$3:$G$67,"3/12",Data_Tech!$F$3:$F$67,B385)</f>
        <v>0</v>
      </c>
      <c r="P380" s="428">
        <f>ROUND(M380*N380*O380,2)</f>
        <v>0</v>
      </c>
      <c r="Q380" s="386">
        <f>IF(D380&lt;=3,база!$L$4,
IF(D380=4,база!$L$5,
IF(D380=5,база!$L$6)))</f>
        <v>210.57480000000001</v>
      </c>
      <c r="R380" s="378">
        <v>1</v>
      </c>
      <c r="S380" s="387">
        <f>SUMIFS(Таблица14[часы],Таблица14[коэф],"1",Таблица14[р/р],"3/16",Таблица14[Ф. И. О.],B385)</f>
        <v>0</v>
      </c>
      <c r="T380" s="548">
        <f>ROUND(Q380*R380*S380*2,2)</f>
        <v>0</v>
      </c>
      <c r="U380" s="471">
        <f>IF(D380&lt;=3,база!$M$4,
IF(D380=4,база!$M$5,
IF(D380=5,база!$M$6)))</f>
        <v>225.09719999999999</v>
      </c>
      <c r="V380" s="378">
        <v>1</v>
      </c>
      <c r="W380" s="430">
        <f>SUMIFS(Таблица14[часы],Таблица14[коэф],"1",Таблица14[р/р],"3/24",Таблица14[Ф. И. О.],B385)</f>
        <v>0</v>
      </c>
      <c r="X380" s="543">
        <f>ROUND(U380*V380*W380*2,2)</f>
        <v>0</v>
      </c>
      <c r="Y380" s="764">
        <f t="shared" ref="Y380" si="188">SUM(G380:G390,K380:K390,O380:O390,S380:S390,W380:W390)</f>
        <v>0</v>
      </c>
      <c r="Z380" s="766">
        <f t="shared" ref="Z380" si="189">IFERROR(SUM(H380:H390,L380:L390,T380:T390,X380:X390),"")</f>
        <v>0</v>
      </c>
      <c r="AA380" s="756"/>
    </row>
    <row r="381" spans="1:29">
      <c r="A381" s="756"/>
      <c r="B381" s="215"/>
      <c r="C381" s="759"/>
      <c r="D381" s="762"/>
      <c r="E381" s="393">
        <f>IF(D380&lt;=3,база!$I$4,
IF(D380=4,база!$I$5,
IF(D380=5,база!$I$6)))</f>
        <v>188.7912</v>
      </c>
      <c r="F381" s="390">
        <v>1</v>
      </c>
      <c r="G381" s="400">
        <f>SUMIFS(Таблица14[часы],Таблица14[коэф],"1",Таблица14[р/р],"3/4",Таблица14[Ф. И. О.],B385)</f>
        <v>0</v>
      </c>
      <c r="H381" s="542">
        <f t="shared" ref="H381:H390" si="190">ROUND(E381*F381*G381*2,2)</f>
        <v>0</v>
      </c>
      <c r="I381" s="389">
        <f>IF(D380&lt;=3,база!$J$4,
IF(D380=4,база!$J$5,
IF(D380=5,база!$J$6)))</f>
        <v>196.05240000000001</v>
      </c>
      <c r="J381" s="390">
        <v>1</v>
      </c>
      <c r="K381" s="434">
        <f>SUMIFS(Таблица14[часы],Таблица14[коэф],"1",Таблица14[р/р],"3/8",Таблица14[Ф. И. О.],B385)</f>
        <v>0</v>
      </c>
      <c r="L381" s="395">
        <f t="shared" ref="L381:L390" si="191">ROUND(I381*J381*K381*2,2)</f>
        <v>0</v>
      </c>
      <c r="M381" s="432"/>
      <c r="N381" s="434">
        <v>1</v>
      </c>
      <c r="O381" s="434">
        <f>SUMIFS(Data_Tech!$AM$3:$AM$67,Data_Tech!$E$3:$E$67,"1",Data_Tech!$G$3:$G$67,"4/12",Data_Tech!$F$3:$F$67,B385)</f>
        <v>0</v>
      </c>
      <c r="P381" s="434">
        <f>ROUND(M381*O381,2)</f>
        <v>0</v>
      </c>
      <c r="Q381" s="399">
        <f>база!$L$5</f>
        <v>231.45480000000001</v>
      </c>
      <c r="R381" s="390">
        <v>1</v>
      </c>
      <c r="S381" s="400">
        <f>SUMIFS(Таблица14[часы],Таблица14[коэф],"1",Таблица14[р/р],"4/16",Таблица14[Ф. И. О.],B385)</f>
        <v>0</v>
      </c>
      <c r="T381" s="544">
        <f t="shared" ref="T381:T390" si="192">ROUND(Q381*R381*S381*2,2)</f>
        <v>0</v>
      </c>
      <c r="U381" s="472">
        <f>база!$M$5</f>
        <v>247.41720000000001</v>
      </c>
      <c r="V381" s="390">
        <v>1</v>
      </c>
      <c r="W381" s="412">
        <f>SUMIFS(Таблица14[часы],Таблица14[коэф],"1",Таблица14[р/р],"4/24",Таблица14[Ф. И. О.],B385)</f>
        <v>0</v>
      </c>
      <c r="X381" s="545">
        <f t="shared" ref="X381:X390" si="193">ROUND(U381*V381*W381*2,2)</f>
        <v>0</v>
      </c>
      <c r="Y381" s="764"/>
      <c r="Z381" s="766"/>
      <c r="AA381" s="756"/>
    </row>
    <row r="382" spans="1:29">
      <c r="A382" s="756"/>
      <c r="B382" s="215"/>
      <c r="C382" s="759"/>
      <c r="D382" s="762"/>
      <c r="E382" s="393"/>
      <c r="F382" s="390"/>
      <c r="G382" s="400"/>
      <c r="H382" s="544">
        <f t="shared" si="190"/>
        <v>0</v>
      </c>
      <c r="I382" s="389"/>
      <c r="J382" s="390"/>
      <c r="K382" s="434"/>
      <c r="L382" s="395">
        <f t="shared" si="191"/>
        <v>0</v>
      </c>
      <c r="M382" s="432"/>
      <c r="N382" s="434"/>
      <c r="O382" s="434"/>
      <c r="P382" s="434"/>
      <c r="Q382" s="399">
        <f>база!$L$6</f>
        <v>261.04640000000001</v>
      </c>
      <c r="R382" s="390">
        <v>1</v>
      </c>
      <c r="S382" s="400">
        <f>SUMIFS(Таблица14[часы],Таблица14[коэф],"1",Таблица14[р/р],"5/16",Таблица14[Ф. И. О.],B385)</f>
        <v>0</v>
      </c>
      <c r="T382" s="544">
        <f t="shared" si="192"/>
        <v>0</v>
      </c>
      <c r="U382" s="472">
        <f>база!$M$6</f>
        <v>279.0496</v>
      </c>
      <c r="V382" s="390">
        <v>1</v>
      </c>
      <c r="W382" s="412">
        <f>SUMIFS(Таблица14[часы],Таблица14[коэф],"1",Таблица14[р/р],"5/24",Таблица14[Ф. И. О.],B385)</f>
        <v>0</v>
      </c>
      <c r="X382" s="545">
        <f t="shared" si="193"/>
        <v>0</v>
      </c>
      <c r="Y382" s="764"/>
      <c r="Z382" s="766"/>
      <c r="AA382" s="756"/>
    </row>
    <row r="383" spans="1:29">
      <c r="A383" s="756"/>
      <c r="B383" s="215"/>
      <c r="C383" s="759"/>
      <c r="D383" s="762"/>
      <c r="E383" s="393"/>
      <c r="F383" s="390"/>
      <c r="G383" s="400"/>
      <c r="H383" s="544">
        <f t="shared" si="190"/>
        <v>0</v>
      </c>
      <c r="I383" s="389">
        <f>база!$J$5</f>
        <v>215.4924</v>
      </c>
      <c r="J383" s="390">
        <v>1.5</v>
      </c>
      <c r="K383" s="434">
        <f>SUMIFS(Таблица14[часы],Таблица14[коэф],"1,5",Таблица14[р/р],"4/8",Таблица14[Ф. И. О.],B385)</f>
        <v>0</v>
      </c>
      <c r="L383" s="395">
        <f t="shared" si="191"/>
        <v>0</v>
      </c>
      <c r="M383" s="432"/>
      <c r="N383" s="434"/>
      <c r="O383" s="434"/>
      <c r="P383" s="434"/>
      <c r="Q383" s="399">
        <f>IF(D380&lt;=3,база!$L$4,
IF(D380=4,база!$L$5,
IF(D380=5,база!$L$6)))</f>
        <v>210.57480000000001</v>
      </c>
      <c r="R383" s="390">
        <v>1.2</v>
      </c>
      <c r="S383" s="400">
        <f>SUMIFS(Таблица14[часы],Таблица14[коэф],"1,2",Таблица14[р/р],"3/16",Таблица14[Ф. И. О.],B385)</f>
        <v>0</v>
      </c>
      <c r="T383" s="544">
        <f t="shared" si="192"/>
        <v>0</v>
      </c>
      <c r="U383" s="472">
        <f>IF(D380&lt;=3,база!$M$4,
IF(D380=4,база!$M$5,
IF(D380=5,база!$M$6)))</f>
        <v>225.09719999999999</v>
      </c>
      <c r="V383" s="390">
        <v>1.2</v>
      </c>
      <c r="W383" s="412">
        <f>SUMIFS(Таблица14[часы],Таблица14[коэф],"1,2",Таблица14[р/р],"3/24",Таблица14[Ф. И. О.],B385)</f>
        <v>0</v>
      </c>
      <c r="X383" s="545">
        <f t="shared" si="193"/>
        <v>0</v>
      </c>
      <c r="Y383" s="764"/>
      <c r="Z383" s="766"/>
      <c r="AA383" s="756"/>
    </row>
    <row r="384" spans="1:29">
      <c r="A384" s="756"/>
      <c r="B384" s="215"/>
      <c r="C384" s="759"/>
      <c r="D384" s="762"/>
      <c r="E384" s="393"/>
      <c r="F384" s="390"/>
      <c r="G384" s="400"/>
      <c r="H384" s="544">
        <f t="shared" si="190"/>
        <v>0</v>
      </c>
      <c r="I384" s="389">
        <f>база!$J$6</f>
        <v>243.04319999999998</v>
      </c>
      <c r="J384" s="390">
        <v>1.5</v>
      </c>
      <c r="K384" s="434">
        <f>SUMIFS(Таблица14[часы],Таблица14[коэф],"1,5",Таблица14[р/р],"5/8",Таблица14[Ф. И. О.],B385)</f>
        <v>0</v>
      </c>
      <c r="L384" s="395">
        <f t="shared" si="191"/>
        <v>0</v>
      </c>
      <c r="M384" s="432"/>
      <c r="N384" s="434"/>
      <c r="O384" s="434"/>
      <c r="P384" s="434"/>
      <c r="Q384" s="399">
        <f>база!$L$5</f>
        <v>231.45480000000001</v>
      </c>
      <c r="R384" s="390">
        <v>1.2</v>
      </c>
      <c r="S384" s="400">
        <f>SUMIFS(Таблица14[часы],Таблица14[коэф],"1,2",Таблица14[р/р],"4/16",Таблица14[Ф. И. О.],B385)</f>
        <v>0</v>
      </c>
      <c r="T384" s="544">
        <f t="shared" si="192"/>
        <v>0</v>
      </c>
      <c r="U384" s="472">
        <f>база!$M$5</f>
        <v>247.41720000000001</v>
      </c>
      <c r="V384" s="390">
        <v>1.2</v>
      </c>
      <c r="W384" s="412">
        <f>SUMIFS(Таблица14[часы],Таблица14[коэф],"1,2",Таблица14[р/р],"4/24",Таблица14[Ф. И. О.],B385)</f>
        <v>0</v>
      </c>
      <c r="X384" s="545">
        <f t="shared" si="193"/>
        <v>0</v>
      </c>
      <c r="Y384" s="764"/>
      <c r="Z384" s="766"/>
      <c r="AA384" s="756"/>
      <c r="AC384" s="752" t="str">
        <f>IF(SUMIFS(Таблица14[Столбец2],Таблица14[Ф. И. О.],B385)-Z380=0,"",SUMIFS(Таблица14[Столбец2],Таблица14[Ф. И. О.],B385)-Z380)</f>
        <v/>
      </c>
    </row>
    <row r="385" spans="1:29">
      <c r="A385" s="756"/>
      <c r="B385" s="215" t="str">
        <f>база!B36</f>
        <v>Киселёва Надежда Игоревна</v>
      </c>
      <c r="C385" s="759"/>
      <c r="D385" s="762"/>
      <c r="E385" s="393"/>
      <c r="F385" s="390"/>
      <c r="G385" s="400"/>
      <c r="H385" s="544">
        <f t="shared" si="190"/>
        <v>0</v>
      </c>
      <c r="I385" s="389"/>
      <c r="J385" s="390"/>
      <c r="K385" s="434"/>
      <c r="L385" s="395">
        <f t="shared" si="191"/>
        <v>0</v>
      </c>
      <c r="M385" s="432"/>
      <c r="N385" s="434"/>
      <c r="O385" s="434"/>
      <c r="P385" s="434"/>
      <c r="Q385" s="399">
        <f>база!$L$6</f>
        <v>261.04640000000001</v>
      </c>
      <c r="R385" s="390">
        <v>1.2</v>
      </c>
      <c r="S385" s="400">
        <f>SUMIFS(Таблица14[часы],Таблица14[коэф],"1,2",Таблица14[р/р],"5/16",Таблица14[Ф. И. О.],B385)</f>
        <v>0</v>
      </c>
      <c r="T385" s="544">
        <f t="shared" si="192"/>
        <v>0</v>
      </c>
      <c r="U385" s="472">
        <f>база!$M$6</f>
        <v>279.0496</v>
      </c>
      <c r="V385" s="390">
        <v>1.2</v>
      </c>
      <c r="W385" s="412">
        <f>SUMIFS(Таблица14[часы],Таблица14[коэф],"1,2",Таблица14[р/р],"5/24",Таблица14[Ф. И. О.],B385)</f>
        <v>0</v>
      </c>
      <c r="X385" s="545">
        <f t="shared" si="193"/>
        <v>0</v>
      </c>
      <c r="Y385" s="764"/>
      <c r="Z385" s="766"/>
      <c r="AA385" s="756"/>
      <c r="AC385" s="752" t="str">
        <f>IF(SUMIFS(Таблица14[часы],Таблица14[Ф. И. О.],B385)-Y380=0,"",SUMIFS(Таблица14[часы],Таблица14[Ф. И. О.],B385)-Y380)</f>
        <v/>
      </c>
    </row>
    <row r="386" spans="1:29">
      <c r="A386" s="756"/>
      <c r="B386" s="215"/>
      <c r="C386" s="759"/>
      <c r="D386" s="762"/>
      <c r="E386" s="393"/>
      <c r="F386" s="390"/>
      <c r="G386" s="400"/>
      <c r="H386" s="544">
        <f t="shared" si="190"/>
        <v>0</v>
      </c>
      <c r="I386" s="389"/>
      <c r="J386" s="390"/>
      <c r="K386" s="434"/>
      <c r="L386" s="395">
        <f t="shared" si="191"/>
        <v>0</v>
      </c>
      <c r="M386" s="432"/>
      <c r="N386" s="434"/>
      <c r="O386" s="434"/>
      <c r="P386" s="434"/>
      <c r="Q386" s="399">
        <f>IF(D380&lt;=3,база!$L$4,
IF(D380=4,база!$L$5,
IF(D380=5,база!$L$6)))</f>
        <v>210.57480000000001</v>
      </c>
      <c r="R386" s="390">
        <v>1.3</v>
      </c>
      <c r="S386" s="400">
        <f>SUMIFS(Таблица14[часы],Таблица14[коэф],"1,3",Таблица14[р/р],"3/16",Таблица14[Ф. И. О.],B385)</f>
        <v>0</v>
      </c>
      <c r="T386" s="544">
        <f t="shared" si="192"/>
        <v>0</v>
      </c>
      <c r="U386" s="472">
        <f>IF(D380&lt;=3,база!$M$4,
IF(D380=4,база!$M$5,
IF(D380=5,база!$M$6)))</f>
        <v>225.09719999999999</v>
      </c>
      <c r="V386" s="390">
        <v>1.3</v>
      </c>
      <c r="W386" s="412">
        <f>SUMIFS(Таблица14[часы],Таблица14[коэф],"1,3",Таблица14[р/р],"3/24",Таблица14[Ф. И. О.],B385)</f>
        <v>0</v>
      </c>
      <c r="X386" s="545">
        <f t="shared" si="193"/>
        <v>0</v>
      </c>
      <c r="Y386" s="764"/>
      <c r="Z386" s="766"/>
      <c r="AA386" s="756"/>
    </row>
    <row r="387" spans="1:29">
      <c r="A387" s="756"/>
      <c r="B387" s="215"/>
      <c r="C387" s="759"/>
      <c r="D387" s="762"/>
      <c r="E387" s="393"/>
      <c r="F387" s="390"/>
      <c r="G387" s="400"/>
      <c r="H387" s="544">
        <f t="shared" si="190"/>
        <v>0</v>
      </c>
      <c r="I387" s="389"/>
      <c r="J387" s="390"/>
      <c r="K387" s="434"/>
      <c r="L387" s="395">
        <f t="shared" si="191"/>
        <v>0</v>
      </c>
      <c r="M387" s="432"/>
      <c r="N387" s="434"/>
      <c r="O387" s="434"/>
      <c r="P387" s="434"/>
      <c r="Q387" s="399">
        <f>база!$L$5</f>
        <v>231.45480000000001</v>
      </c>
      <c r="R387" s="390">
        <v>1.3</v>
      </c>
      <c r="S387" s="400">
        <f>SUMIFS(Таблица14[часы],Таблица14[коэф],"1,3",Таблица14[р/р],"4/16",Таблица14[Ф. И. О.],B385)</f>
        <v>0</v>
      </c>
      <c r="T387" s="544">
        <f t="shared" si="192"/>
        <v>0</v>
      </c>
      <c r="U387" s="472">
        <f>база!$M$5</f>
        <v>247.41720000000001</v>
      </c>
      <c r="V387" s="390">
        <v>1.3</v>
      </c>
      <c r="W387" s="412">
        <f>SUMIFS(Таблица14[часы],Таблица14[коэф],"1,3",Таблица14[р/р],"4/24",Таблица14[Ф. И. О.],B385)</f>
        <v>0</v>
      </c>
      <c r="X387" s="545">
        <f t="shared" si="193"/>
        <v>0</v>
      </c>
      <c r="Y387" s="764"/>
      <c r="Z387" s="766"/>
      <c r="AA387" s="756"/>
    </row>
    <row r="388" spans="1:29">
      <c r="A388" s="756"/>
      <c r="B388" s="215"/>
      <c r="C388" s="759"/>
      <c r="D388" s="762"/>
      <c r="E388" s="393"/>
      <c r="F388" s="390"/>
      <c r="G388" s="400"/>
      <c r="H388" s="544">
        <f t="shared" si="190"/>
        <v>0</v>
      </c>
      <c r="I388" s="389"/>
      <c r="J388" s="390"/>
      <c r="K388" s="434"/>
      <c r="L388" s="395">
        <f t="shared" si="191"/>
        <v>0</v>
      </c>
      <c r="M388" s="432"/>
      <c r="N388" s="434"/>
      <c r="O388" s="434"/>
      <c r="P388" s="434"/>
      <c r="Q388" s="399">
        <f>IF(D380&lt;=3,база!$L$4,
IF(D380=4,база!$L$5,
IF(D380=5,база!$L$6)))</f>
        <v>210.57480000000001</v>
      </c>
      <c r="R388" s="390">
        <v>1.4</v>
      </c>
      <c r="S388" s="400">
        <f>SUMIFS(Таблица14[часы],Таблица14[коэф],"1,4",Таблица14[р/р],"3/16",Таблица14[Ф. И. О.],B385)</f>
        <v>0</v>
      </c>
      <c r="T388" s="544">
        <f t="shared" si="192"/>
        <v>0</v>
      </c>
      <c r="U388" s="472">
        <f>IF(D380&lt;=3,база!$M$4,
IF(D380=4,база!$M$5,
IF(D380=5,база!$M$6)))</f>
        <v>225.09719999999999</v>
      </c>
      <c r="V388" s="390">
        <v>1.4</v>
      </c>
      <c r="W388" s="412">
        <f>SUMIFS(Таблица14[часы],Таблица14[коэф],"1,4",Таблица14[р/р],"3/24",Таблица14[Ф. И. О.],B385)</f>
        <v>0</v>
      </c>
      <c r="X388" s="545">
        <f t="shared" si="193"/>
        <v>0</v>
      </c>
      <c r="Y388" s="764"/>
      <c r="Z388" s="766"/>
      <c r="AA388" s="756"/>
    </row>
    <row r="389" spans="1:29">
      <c r="A389" s="756"/>
      <c r="B389" s="215"/>
      <c r="C389" s="759"/>
      <c r="D389" s="762"/>
      <c r="E389" s="393"/>
      <c r="F389" s="390"/>
      <c r="G389" s="400"/>
      <c r="H389" s="544">
        <f t="shared" si="190"/>
        <v>0</v>
      </c>
      <c r="I389" s="389"/>
      <c r="J389" s="390"/>
      <c r="K389" s="434"/>
      <c r="L389" s="395">
        <f t="shared" si="191"/>
        <v>0</v>
      </c>
      <c r="M389" s="432"/>
      <c r="N389" s="434"/>
      <c r="O389" s="434"/>
      <c r="P389" s="434"/>
      <c r="Q389" s="399">
        <f>база!$L$5</f>
        <v>231.45480000000001</v>
      </c>
      <c r="R389" s="390">
        <v>1.4</v>
      </c>
      <c r="S389" s="400">
        <f>SUMIFS(Таблица14[часы],Таблица14[коэф],"1,4",Таблица14[р/р],"4/16",Таблица14[Ф. И. О.],B385)</f>
        <v>0</v>
      </c>
      <c r="T389" s="544">
        <f t="shared" si="192"/>
        <v>0</v>
      </c>
      <c r="U389" s="472">
        <f>база!$M$5</f>
        <v>247.41720000000001</v>
      </c>
      <c r="V389" s="390">
        <v>1.4</v>
      </c>
      <c r="W389" s="412">
        <f>SUMIFS(Таблица14[часы],Таблица14[коэф],"1,4",Таблица14[р/р],"4/24",Таблица14[Ф. И. О.],B385)</f>
        <v>0</v>
      </c>
      <c r="X389" s="545">
        <f t="shared" si="193"/>
        <v>0</v>
      </c>
      <c r="Y389" s="764"/>
      <c r="Z389" s="766"/>
      <c r="AA389" s="756"/>
    </row>
    <row r="390" spans="1:29" ht="21" thickBot="1">
      <c r="A390" s="757"/>
      <c r="B390" s="202"/>
      <c r="C390" s="760"/>
      <c r="D390" s="763"/>
      <c r="E390" s="463"/>
      <c r="F390" s="464"/>
      <c r="G390" s="465"/>
      <c r="H390" s="549">
        <f t="shared" si="190"/>
        <v>0</v>
      </c>
      <c r="I390" s="473"/>
      <c r="J390" s="464"/>
      <c r="K390" s="457"/>
      <c r="L390" s="458">
        <f t="shared" si="191"/>
        <v>0</v>
      </c>
      <c r="M390" s="466"/>
      <c r="N390" s="457"/>
      <c r="O390" s="457"/>
      <c r="P390" s="457"/>
      <c r="Q390" s="467">
        <f>база!$L$6</f>
        <v>261.04640000000001</v>
      </c>
      <c r="R390" s="464">
        <v>1.4</v>
      </c>
      <c r="S390" s="465">
        <f>SUMIFS(Таблица14[часы],Таблица14[коэф],"1,4",Таблица14[р/р],"5/16",Таблица14[Ф. И. О.],B385)</f>
        <v>0</v>
      </c>
      <c r="T390" s="549">
        <f t="shared" si="192"/>
        <v>0</v>
      </c>
      <c r="U390" s="474">
        <f>база!$M$6</f>
        <v>279.0496</v>
      </c>
      <c r="V390" s="464">
        <v>1.4</v>
      </c>
      <c r="W390" s="470">
        <f>SUMIFS(Таблица14[часы],Таблица14[коэф],"1,4",Таблица14[р/р],"5/24",Таблица14[Ф. И. О.],B385)</f>
        <v>0</v>
      </c>
      <c r="X390" s="547">
        <f t="shared" si="193"/>
        <v>0</v>
      </c>
      <c r="Y390" s="765"/>
      <c r="Z390" s="767"/>
      <c r="AA390" s="757"/>
    </row>
    <row r="391" spans="1:29">
      <c r="A391" s="755">
        <v>36</v>
      </c>
      <c r="B391" s="235"/>
      <c r="C391" s="758">
        <f>INDEX(база!$E$2:$E$81, MATCH(B396,база!$B$2:$B$50,0))</f>
        <v>17188</v>
      </c>
      <c r="D391" s="761">
        <f>INDEX(база!$D$2:$D$89, MATCH(B396,база!$B$2:$B$50,0))</f>
        <v>3</v>
      </c>
      <c r="E391" s="381">
        <f>IF(D391&lt;=3,база!$I$4,
IF(D391=4,база!$I$5,
IF(D391=5,база!$I$6)))</f>
        <v>188.7912</v>
      </c>
      <c r="F391" s="378">
        <v>1</v>
      </c>
      <c r="G391" s="387">
        <f>SUMIFS(Таблица14[часы],Таблица14[коэф],"1",Таблица14[р/р],"2/4",Таблица14[Ф. И. О.],B396)</f>
        <v>0</v>
      </c>
      <c r="H391" s="380">
        <f>ROUND(E391*F391*G391*2,2)</f>
        <v>0</v>
      </c>
      <c r="I391" s="377">
        <f>IF(D391&lt;=3,база!$J$4,
IF(D391=4,база!$J$5,
IF(D391=5,база!$J$6)))</f>
        <v>196.05240000000001</v>
      </c>
      <c r="J391" s="378">
        <v>1</v>
      </c>
      <c r="K391" s="428">
        <f>SUMIFS(Таблица14[часы],Таблица14[коэф],"1",Таблица14[р/р],"2/8",Таблица14[Ф. И. О.],B396)</f>
        <v>0</v>
      </c>
      <c r="L391" s="383">
        <f>ROUND(I391*J391*K391*2,2)</f>
        <v>0</v>
      </c>
      <c r="M391" s="426"/>
      <c r="N391" s="428">
        <v>1</v>
      </c>
      <c r="O391" s="428">
        <f>SUMIFS(Data_Tech!$AM$3:$AM$67,Data_Tech!$E$3:$E$67,"1",Data_Tech!$G$3:$G$67,"3/12",Data_Tech!$F$3:$F$67,B396)</f>
        <v>0</v>
      </c>
      <c r="P391" s="428">
        <f>ROUND(M391*N391*O391,2)</f>
        <v>0</v>
      </c>
      <c r="Q391" s="386">
        <f>IF(D391&lt;=3,база!$L$4,
IF(D391=4,база!$L$5,
IF(D391=5,база!$L$6)))</f>
        <v>210.57480000000001</v>
      </c>
      <c r="R391" s="378">
        <v>1</v>
      </c>
      <c r="S391" s="387">
        <f>SUMIFS(Таблица14[часы],Таблица14[коэф],"1",Таблица14[р/р],"3/16",Таблица14[Ф. И. О.],B396)</f>
        <v>0</v>
      </c>
      <c r="T391" s="548">
        <f>ROUND(Q391*R391*S391*2,2)</f>
        <v>0</v>
      </c>
      <c r="U391" s="471">
        <f>IF(D391&lt;=3,база!$M$4,
IF(D391=4,база!$M$5,
IF(D391=5,база!$M$6)))</f>
        <v>225.09719999999999</v>
      </c>
      <c r="V391" s="378">
        <v>1</v>
      </c>
      <c r="W391" s="430">
        <f>SUMIFS(Таблица14[часы],Таблица14[коэф],"1",Таблица14[р/р],"3/24",Таблица14[Ф. И. О.],B396)</f>
        <v>0</v>
      </c>
      <c r="X391" s="543">
        <f>ROUND(U391*V391*W391*2,2)</f>
        <v>0</v>
      </c>
      <c r="Y391" s="764">
        <f t="shared" ref="Y391" si="194">SUM(G391:G401,K391:K401,O391:O401,S391:S401,W391:W401)</f>
        <v>0</v>
      </c>
      <c r="Z391" s="766">
        <f t="shared" ref="Z391" si="195">IFERROR(SUM(H391:H401,L391:L401,T391:T401,X391:X401),"")</f>
        <v>0</v>
      </c>
      <c r="AA391" s="756"/>
    </row>
    <row r="392" spans="1:29">
      <c r="A392" s="756"/>
      <c r="B392" s="215"/>
      <c r="C392" s="759"/>
      <c r="D392" s="762"/>
      <c r="E392" s="393">
        <f>IF(D391&lt;=3,база!$I$4,
IF(D391=4,база!$I$5,
IF(D391=5,база!$I$6)))</f>
        <v>188.7912</v>
      </c>
      <c r="F392" s="390">
        <v>1</v>
      </c>
      <c r="G392" s="400">
        <f>SUMIFS(Таблица14[часы],Таблица14[коэф],"1",Таблица14[р/р],"3/4",Таблица14[Ф. И. О.],B396)</f>
        <v>0</v>
      </c>
      <c r="H392" s="542">
        <f t="shared" ref="H392:H401" si="196">ROUND(E392*F392*G392*2,2)</f>
        <v>0</v>
      </c>
      <c r="I392" s="389">
        <f>IF(D391&lt;=3,база!$J$4,
IF(D391=4,база!$J$5,
IF(D391=5,база!$J$6)))</f>
        <v>196.05240000000001</v>
      </c>
      <c r="J392" s="390">
        <v>1</v>
      </c>
      <c r="K392" s="434">
        <f>SUMIFS(Таблица14[часы],Таблица14[коэф],"1",Таблица14[р/р],"3/8",Таблица14[Ф. И. О.],B396)</f>
        <v>0</v>
      </c>
      <c r="L392" s="395">
        <f t="shared" ref="L392:L401" si="197">ROUND(I392*J392*K392*2,2)</f>
        <v>0</v>
      </c>
      <c r="M392" s="432"/>
      <c r="N392" s="434">
        <v>1</v>
      </c>
      <c r="O392" s="434">
        <f>SUMIFS(Data_Tech!$AM$3:$AM$67,Data_Tech!$E$3:$E$67,"1",Data_Tech!$G$3:$G$67,"4/12",Data_Tech!$F$3:$F$67,B396)</f>
        <v>0</v>
      </c>
      <c r="P392" s="434">
        <f>ROUND(M392*O392,2)</f>
        <v>0</v>
      </c>
      <c r="Q392" s="399">
        <f>база!$L$5</f>
        <v>231.45480000000001</v>
      </c>
      <c r="R392" s="390">
        <v>1</v>
      </c>
      <c r="S392" s="400">
        <f>SUMIFS(Таблица14[часы],Таблица14[коэф],"1",Таблица14[р/р],"4/16",Таблица14[Ф. И. О.],B396)</f>
        <v>0</v>
      </c>
      <c r="T392" s="544">
        <f t="shared" ref="T392:T401" si="198">ROUND(Q392*R392*S392*2,2)</f>
        <v>0</v>
      </c>
      <c r="U392" s="472">
        <f>база!$M$5</f>
        <v>247.41720000000001</v>
      </c>
      <c r="V392" s="390">
        <v>1</v>
      </c>
      <c r="W392" s="412">
        <f>SUMIFS(Таблица14[часы],Таблица14[коэф],"1",Таблица14[р/р],"4/24",Таблица14[Ф. И. О.],B396)</f>
        <v>0</v>
      </c>
      <c r="X392" s="545">
        <f t="shared" ref="X392:X401" si="199">ROUND(U392*V392*W392*2,2)</f>
        <v>0</v>
      </c>
      <c r="Y392" s="764"/>
      <c r="Z392" s="766"/>
      <c r="AA392" s="756"/>
    </row>
    <row r="393" spans="1:29">
      <c r="A393" s="756"/>
      <c r="B393" s="215"/>
      <c r="C393" s="759"/>
      <c r="D393" s="762"/>
      <c r="E393" s="393"/>
      <c r="F393" s="390"/>
      <c r="G393" s="400"/>
      <c r="H393" s="544">
        <f t="shared" si="196"/>
        <v>0</v>
      </c>
      <c r="I393" s="389"/>
      <c r="J393" s="390"/>
      <c r="K393" s="434"/>
      <c r="L393" s="395">
        <f t="shared" si="197"/>
        <v>0</v>
      </c>
      <c r="M393" s="432"/>
      <c r="N393" s="434"/>
      <c r="O393" s="434"/>
      <c r="P393" s="434"/>
      <c r="Q393" s="399">
        <f>база!$L$6</f>
        <v>261.04640000000001</v>
      </c>
      <c r="R393" s="390">
        <v>1</v>
      </c>
      <c r="S393" s="400">
        <f>SUMIFS(Таблица14[часы],Таблица14[коэф],"1",Таблица14[р/р],"5/16",Таблица14[Ф. И. О.],B396)</f>
        <v>0</v>
      </c>
      <c r="T393" s="544">
        <f t="shared" si="198"/>
        <v>0</v>
      </c>
      <c r="U393" s="472">
        <f>база!$M$6</f>
        <v>279.0496</v>
      </c>
      <c r="V393" s="390">
        <v>1</v>
      </c>
      <c r="W393" s="412">
        <f>SUMIFS(Таблица14[часы],Таблица14[коэф],"1",Таблица14[р/р],"5/24",Таблица14[Ф. И. О.],B396)</f>
        <v>0</v>
      </c>
      <c r="X393" s="545">
        <f t="shared" si="199"/>
        <v>0</v>
      </c>
      <c r="Y393" s="764"/>
      <c r="Z393" s="766"/>
      <c r="AA393" s="756"/>
    </row>
    <row r="394" spans="1:29">
      <c r="A394" s="756"/>
      <c r="B394" s="215"/>
      <c r="C394" s="759"/>
      <c r="D394" s="762"/>
      <c r="E394" s="393"/>
      <c r="F394" s="390"/>
      <c r="G394" s="400"/>
      <c r="H394" s="544">
        <f t="shared" si="196"/>
        <v>0</v>
      </c>
      <c r="I394" s="389">
        <f>база!$J$5</f>
        <v>215.4924</v>
      </c>
      <c r="J394" s="390">
        <v>1.5</v>
      </c>
      <c r="K394" s="434">
        <f>SUMIFS(Таблица14[часы],Таблица14[коэф],"1,5",Таблица14[р/р],"4/8",Таблица14[Ф. И. О.],B396)</f>
        <v>0</v>
      </c>
      <c r="L394" s="395">
        <f t="shared" si="197"/>
        <v>0</v>
      </c>
      <c r="M394" s="432"/>
      <c r="N394" s="434"/>
      <c r="O394" s="434"/>
      <c r="P394" s="434"/>
      <c r="Q394" s="399">
        <f>IF(D391&lt;=3,база!$L$4,
IF(D391=4,база!$L$5,
IF(D391=5,база!$L$6)))</f>
        <v>210.57480000000001</v>
      </c>
      <c r="R394" s="390">
        <v>1.2</v>
      </c>
      <c r="S394" s="400">
        <f>SUMIFS(Таблица14[часы],Таблица14[коэф],"1,2",Таблица14[р/р],"3/16",Таблица14[Ф. И. О.],B396)</f>
        <v>0</v>
      </c>
      <c r="T394" s="544">
        <f t="shared" si="198"/>
        <v>0</v>
      </c>
      <c r="U394" s="472">
        <f>IF(D391&lt;=3,база!$M$4,
IF(D391=4,база!$M$5,
IF(D391=5,база!$M$6)))</f>
        <v>225.09719999999999</v>
      </c>
      <c r="V394" s="390">
        <v>1.2</v>
      </c>
      <c r="W394" s="412">
        <f>SUMIFS(Таблица14[часы],Таблица14[коэф],"1,2",Таблица14[р/р],"3/24",Таблица14[Ф. И. О.],B396)</f>
        <v>0</v>
      </c>
      <c r="X394" s="545">
        <f t="shared" si="199"/>
        <v>0</v>
      </c>
      <c r="Y394" s="764"/>
      <c r="Z394" s="766"/>
      <c r="AA394" s="756"/>
    </row>
    <row r="395" spans="1:29">
      <c r="A395" s="756"/>
      <c r="B395" s="215"/>
      <c r="C395" s="759"/>
      <c r="D395" s="762"/>
      <c r="E395" s="393"/>
      <c r="F395" s="390"/>
      <c r="G395" s="400"/>
      <c r="H395" s="544">
        <f t="shared" si="196"/>
        <v>0</v>
      </c>
      <c r="I395" s="389">
        <f>база!$J$6</f>
        <v>243.04319999999998</v>
      </c>
      <c r="J395" s="390">
        <v>1.5</v>
      </c>
      <c r="K395" s="434">
        <f>SUMIFS(Таблица14[часы],Таблица14[коэф],"1,5",Таблица14[р/р],"5/8",Таблица14[Ф. И. О.],B396)</f>
        <v>0</v>
      </c>
      <c r="L395" s="395">
        <f t="shared" si="197"/>
        <v>0</v>
      </c>
      <c r="M395" s="432"/>
      <c r="N395" s="434"/>
      <c r="O395" s="434"/>
      <c r="P395" s="434"/>
      <c r="Q395" s="399">
        <f>база!$L$5</f>
        <v>231.45480000000001</v>
      </c>
      <c r="R395" s="390">
        <v>1.2</v>
      </c>
      <c r="S395" s="400">
        <f>SUMIFS(Таблица14[часы],Таблица14[коэф],"1,2",Таблица14[р/р],"4/16",Таблица14[Ф. И. О.],B396)</f>
        <v>0</v>
      </c>
      <c r="T395" s="544">
        <f t="shared" si="198"/>
        <v>0</v>
      </c>
      <c r="U395" s="472">
        <f>база!$M$5</f>
        <v>247.41720000000001</v>
      </c>
      <c r="V395" s="390">
        <v>1.2</v>
      </c>
      <c r="W395" s="412">
        <f>SUMIFS(Таблица14[часы],Таблица14[коэф],"1,2",Таблица14[р/р],"4/24",Таблица14[Ф. И. О.],B396)</f>
        <v>0</v>
      </c>
      <c r="X395" s="545">
        <f t="shared" si="199"/>
        <v>0</v>
      </c>
      <c r="Y395" s="764"/>
      <c r="Z395" s="766"/>
      <c r="AA395" s="756"/>
    </row>
    <row r="396" spans="1:29">
      <c r="A396" s="756"/>
      <c r="B396" s="215" t="str">
        <f>база!B37</f>
        <v>Климонтович Янина Анатольевна</v>
      </c>
      <c r="C396" s="759"/>
      <c r="D396" s="762"/>
      <c r="E396" s="393"/>
      <c r="F396" s="390"/>
      <c r="G396" s="400"/>
      <c r="H396" s="544">
        <f t="shared" si="196"/>
        <v>0</v>
      </c>
      <c r="I396" s="389"/>
      <c r="J396" s="390"/>
      <c r="K396" s="434"/>
      <c r="L396" s="395">
        <f t="shared" si="197"/>
        <v>0</v>
      </c>
      <c r="M396" s="432"/>
      <c r="N396" s="434"/>
      <c r="O396" s="434"/>
      <c r="P396" s="434"/>
      <c r="Q396" s="399">
        <f>база!$L$6</f>
        <v>261.04640000000001</v>
      </c>
      <c r="R396" s="390">
        <v>1.2</v>
      </c>
      <c r="S396" s="400">
        <f>SUMIFS(Таблица14[часы],Таблица14[коэф],"1,2",Таблица14[р/р],"5/16",Таблица14[Ф. И. О.],B396)</f>
        <v>0</v>
      </c>
      <c r="T396" s="544">
        <f t="shared" si="198"/>
        <v>0</v>
      </c>
      <c r="U396" s="472">
        <f>база!$M$6</f>
        <v>279.0496</v>
      </c>
      <c r="V396" s="390">
        <v>1.2</v>
      </c>
      <c r="W396" s="412">
        <f>SUMIFS(Таблица14[часы],Таблица14[коэф],"1,2",Таблица14[р/р],"5/24",Таблица14[Ф. И. О.],B396)</f>
        <v>0</v>
      </c>
      <c r="X396" s="545">
        <f t="shared" si="199"/>
        <v>0</v>
      </c>
      <c r="Y396" s="764"/>
      <c r="Z396" s="766"/>
      <c r="AA396" s="756"/>
      <c r="AC396" s="752" t="str">
        <f>IF(SUMIFS(Таблица14[Столбец2],Таблица14[Ф. И. О.],B396)-Z391=0,"",SUMIFS(Таблица14[Столбец2],Таблица14[Ф. И. О.],B396)-Z391)</f>
        <v/>
      </c>
    </row>
    <row r="397" spans="1:29">
      <c r="A397" s="756"/>
      <c r="B397" s="215"/>
      <c r="C397" s="759"/>
      <c r="D397" s="762"/>
      <c r="E397" s="393"/>
      <c r="F397" s="390"/>
      <c r="G397" s="400"/>
      <c r="H397" s="544">
        <f t="shared" si="196"/>
        <v>0</v>
      </c>
      <c r="I397" s="389"/>
      <c r="J397" s="390"/>
      <c r="K397" s="434"/>
      <c r="L397" s="395">
        <f t="shared" si="197"/>
        <v>0</v>
      </c>
      <c r="M397" s="432"/>
      <c r="N397" s="434"/>
      <c r="O397" s="434"/>
      <c r="P397" s="434"/>
      <c r="Q397" s="399">
        <f>IF(D391&lt;=3,база!$L$4,
IF(D391=4,база!$L$5,
IF(D391=5,база!$L$6)))</f>
        <v>210.57480000000001</v>
      </c>
      <c r="R397" s="390">
        <v>1.3</v>
      </c>
      <c r="S397" s="400">
        <f>SUMIFS(Таблица14[часы],Таблица14[коэф],"1,3",Таблица14[р/р],"3/16",Таблица14[Ф. И. О.],B396)</f>
        <v>0</v>
      </c>
      <c r="T397" s="544">
        <f t="shared" si="198"/>
        <v>0</v>
      </c>
      <c r="U397" s="472">
        <f>IF(D391&lt;=3,база!$M$4,
IF(D391=4,база!$M$5,
IF(D391=5,база!$M$6)))</f>
        <v>225.09719999999999</v>
      </c>
      <c r="V397" s="390">
        <v>1.3</v>
      </c>
      <c r="W397" s="412">
        <f>SUMIFS(Таблица14[часы],Таблица14[коэф],"1,3",Таблица14[р/р],"3/24",Таблица14[Ф. И. О.],B396)</f>
        <v>0</v>
      </c>
      <c r="X397" s="545">
        <f t="shared" si="199"/>
        <v>0</v>
      </c>
      <c r="Y397" s="764"/>
      <c r="Z397" s="766"/>
      <c r="AA397" s="756"/>
      <c r="AC397" s="752" t="str">
        <f>IF(SUMIFS(Таблица14[часы],Таблица14[Ф. И. О.],B396)-Y391=0,"",SUMIFS(Таблица14[часы],Таблица14[Ф. И. О.],B396)-Y391)</f>
        <v/>
      </c>
    </row>
    <row r="398" spans="1:29">
      <c r="A398" s="756"/>
      <c r="B398" s="215"/>
      <c r="C398" s="759"/>
      <c r="D398" s="762"/>
      <c r="E398" s="393"/>
      <c r="F398" s="390"/>
      <c r="G398" s="400"/>
      <c r="H398" s="544">
        <f t="shared" si="196"/>
        <v>0</v>
      </c>
      <c r="I398" s="389"/>
      <c r="J398" s="390"/>
      <c r="K398" s="434"/>
      <c r="L398" s="395">
        <f t="shared" si="197"/>
        <v>0</v>
      </c>
      <c r="M398" s="432"/>
      <c r="N398" s="434"/>
      <c r="O398" s="434"/>
      <c r="P398" s="434"/>
      <c r="Q398" s="399">
        <f>база!$L$5</f>
        <v>231.45480000000001</v>
      </c>
      <c r="R398" s="390">
        <v>1.3</v>
      </c>
      <c r="S398" s="400">
        <f>SUMIFS(Таблица14[часы],Таблица14[коэф],"1,3",Таблица14[р/р],"4/16",Таблица14[Ф. И. О.],B396)</f>
        <v>0</v>
      </c>
      <c r="T398" s="544">
        <f t="shared" si="198"/>
        <v>0</v>
      </c>
      <c r="U398" s="472">
        <f>база!$M$5</f>
        <v>247.41720000000001</v>
      </c>
      <c r="V398" s="390">
        <v>1.3</v>
      </c>
      <c r="W398" s="412">
        <f>SUMIFS(Таблица14[часы],Таблица14[коэф],"1,3",Таблица14[р/р],"4/24",Таблица14[Ф. И. О.],B396)</f>
        <v>0</v>
      </c>
      <c r="X398" s="545">
        <f t="shared" si="199"/>
        <v>0</v>
      </c>
      <c r="Y398" s="764"/>
      <c r="Z398" s="766"/>
      <c r="AA398" s="756"/>
    </row>
    <row r="399" spans="1:29">
      <c r="A399" s="756"/>
      <c r="B399" s="215"/>
      <c r="C399" s="759"/>
      <c r="D399" s="762"/>
      <c r="E399" s="393"/>
      <c r="F399" s="390"/>
      <c r="G399" s="400"/>
      <c r="H399" s="544">
        <f t="shared" si="196"/>
        <v>0</v>
      </c>
      <c r="I399" s="389"/>
      <c r="J399" s="390"/>
      <c r="K399" s="434"/>
      <c r="L399" s="395">
        <f t="shared" si="197"/>
        <v>0</v>
      </c>
      <c r="M399" s="432"/>
      <c r="N399" s="434"/>
      <c r="O399" s="434"/>
      <c r="P399" s="434"/>
      <c r="Q399" s="399">
        <f>IF(D391&lt;=3,база!$L$4,
IF(D391=4,база!$L$5,
IF(D391=5,база!$L$6)))</f>
        <v>210.57480000000001</v>
      </c>
      <c r="R399" s="390">
        <v>1.4</v>
      </c>
      <c r="S399" s="400">
        <f>SUMIFS(Таблица14[часы],Таблица14[коэф],"1,4",Таблица14[р/р],"3/16",Таблица14[Ф. И. О.],B396)</f>
        <v>0</v>
      </c>
      <c r="T399" s="544">
        <f t="shared" si="198"/>
        <v>0</v>
      </c>
      <c r="U399" s="472">
        <f>IF(D391&lt;=3,база!$M$4,
IF(D391=4,база!$M$5,
IF(D391=5,база!$M$6)))</f>
        <v>225.09719999999999</v>
      </c>
      <c r="V399" s="390">
        <v>1.4</v>
      </c>
      <c r="W399" s="412">
        <f>SUMIFS(Таблица14[часы],Таблица14[коэф],"1,4",Таблица14[р/р],"3/24",Таблица14[Ф. И. О.],B396)</f>
        <v>0</v>
      </c>
      <c r="X399" s="545">
        <f t="shared" si="199"/>
        <v>0</v>
      </c>
      <c r="Y399" s="764"/>
      <c r="Z399" s="766"/>
      <c r="AA399" s="756"/>
    </row>
    <row r="400" spans="1:29">
      <c r="A400" s="756"/>
      <c r="B400" s="215"/>
      <c r="C400" s="759"/>
      <c r="D400" s="762"/>
      <c r="E400" s="393"/>
      <c r="F400" s="390"/>
      <c r="G400" s="400"/>
      <c r="H400" s="544">
        <f t="shared" si="196"/>
        <v>0</v>
      </c>
      <c r="I400" s="389"/>
      <c r="J400" s="390"/>
      <c r="K400" s="434"/>
      <c r="L400" s="395">
        <f t="shared" si="197"/>
        <v>0</v>
      </c>
      <c r="M400" s="432"/>
      <c r="N400" s="434"/>
      <c r="O400" s="434"/>
      <c r="P400" s="434"/>
      <c r="Q400" s="399">
        <f>база!$L$5</f>
        <v>231.45480000000001</v>
      </c>
      <c r="R400" s="390">
        <v>1.4</v>
      </c>
      <c r="S400" s="400">
        <f>SUMIFS(Таблица14[часы],Таблица14[коэф],"1,4",Таблица14[р/р],"4/16",Таблица14[Ф. И. О.],B396)</f>
        <v>0</v>
      </c>
      <c r="T400" s="544">
        <f t="shared" si="198"/>
        <v>0</v>
      </c>
      <c r="U400" s="472">
        <f>база!$M$5</f>
        <v>247.41720000000001</v>
      </c>
      <c r="V400" s="390">
        <v>1.4</v>
      </c>
      <c r="W400" s="412">
        <f>SUMIFS(Таблица14[часы],Таблица14[коэф],"1,4",Таблица14[р/р],"4/24",Таблица14[Ф. И. О.],B396)</f>
        <v>0</v>
      </c>
      <c r="X400" s="545">
        <f t="shared" si="199"/>
        <v>0</v>
      </c>
      <c r="Y400" s="764"/>
      <c r="Z400" s="766"/>
      <c r="AA400" s="756"/>
    </row>
    <row r="401" spans="1:29" ht="21" thickBot="1">
      <c r="A401" s="757"/>
      <c r="B401" s="202"/>
      <c r="C401" s="760"/>
      <c r="D401" s="763"/>
      <c r="E401" s="463"/>
      <c r="F401" s="464"/>
      <c r="G401" s="465"/>
      <c r="H401" s="549">
        <f t="shared" si="196"/>
        <v>0</v>
      </c>
      <c r="I401" s="473"/>
      <c r="J401" s="464"/>
      <c r="K401" s="457"/>
      <c r="L401" s="458">
        <f t="shared" si="197"/>
        <v>0</v>
      </c>
      <c r="M401" s="466"/>
      <c r="N401" s="457"/>
      <c r="O401" s="457"/>
      <c r="P401" s="457"/>
      <c r="Q401" s="467">
        <f>база!$L$6</f>
        <v>261.04640000000001</v>
      </c>
      <c r="R401" s="464">
        <v>1.4</v>
      </c>
      <c r="S401" s="465">
        <f>SUMIFS(Таблица14[часы],Таблица14[коэф],"1,4",Таблица14[р/р],"5/16",Таблица14[Ф. И. О.],B396)</f>
        <v>0</v>
      </c>
      <c r="T401" s="549">
        <f t="shared" si="198"/>
        <v>0</v>
      </c>
      <c r="U401" s="474">
        <f>база!$M$6</f>
        <v>279.0496</v>
      </c>
      <c r="V401" s="464">
        <v>1.4</v>
      </c>
      <c r="W401" s="470">
        <f>SUMIFS(Таблица14[часы],Таблица14[коэф],"1,4",Таблица14[р/р],"5/24",Таблица14[Ф. И. О.],B396)</f>
        <v>0</v>
      </c>
      <c r="X401" s="547">
        <f t="shared" si="199"/>
        <v>0</v>
      </c>
      <c r="Y401" s="765"/>
      <c r="Z401" s="767"/>
      <c r="AA401" s="757"/>
    </row>
    <row r="402" spans="1:29">
      <c r="A402" s="755">
        <v>37</v>
      </c>
      <c r="B402" s="235"/>
      <c r="C402" s="758">
        <f>INDEX(база!$E$2:$E$81, MATCH(B407,база!$B$2:$B$50,0))</f>
        <v>15888</v>
      </c>
      <c r="D402" s="761">
        <f>INDEX(база!$D$2:$D$89, MATCH(B407,база!$B$2:$B$50,0))</f>
        <v>3</v>
      </c>
      <c r="E402" s="381">
        <f>IF(D402&lt;=3,база!$I$4,
IF(D402=4,база!$I$5,
IF(D402=5,база!$I$6)))</f>
        <v>188.7912</v>
      </c>
      <c r="F402" s="378">
        <v>1</v>
      </c>
      <c r="G402" s="387">
        <f>SUMIFS(Таблица14[часы],Таблица14[коэф],"1",Таблица14[р/р],"2/4",Таблица14[Ф. И. О.],B407)</f>
        <v>0</v>
      </c>
      <c r="H402" s="380">
        <f>ROUND(E402*F402*G402*2,2)</f>
        <v>0</v>
      </c>
      <c r="I402" s="377">
        <f>IF(D402&lt;=3,база!$J$4,
IF(D402=4,база!$J$5,
IF(D402=5,база!$J$6)))</f>
        <v>196.05240000000001</v>
      </c>
      <c r="J402" s="378">
        <v>1</v>
      </c>
      <c r="K402" s="428">
        <f>SUMIFS(Таблица14[часы],Таблица14[коэф],"1",Таблица14[р/р],"2/8",Таблица14[Ф. И. О.],B407)</f>
        <v>0</v>
      </c>
      <c r="L402" s="383">
        <f>ROUND(I402*J402*K402*2,2)</f>
        <v>0</v>
      </c>
      <c r="M402" s="426"/>
      <c r="N402" s="428">
        <v>1</v>
      </c>
      <c r="O402" s="428">
        <f>SUMIFS(Data_Tech!$AM$3:$AM$67,Data_Tech!$E$3:$E$67,"1",Data_Tech!$G$3:$G$67,"3/12",Data_Tech!$F$3:$F$67,B407)</f>
        <v>0</v>
      </c>
      <c r="P402" s="428">
        <f>ROUND(M402*N402*O402,2)</f>
        <v>0</v>
      </c>
      <c r="Q402" s="386">
        <f>IF(D402&lt;=3,база!$L$4,
IF(D402=4,база!$L$5,
IF(D402=5,база!$L$6)))</f>
        <v>210.57480000000001</v>
      </c>
      <c r="R402" s="378">
        <v>1</v>
      </c>
      <c r="S402" s="387">
        <f>SUMIFS(Таблица14[часы],Таблица14[коэф],"1",Таблица14[р/р],"3/16",Таблица14[Ф. И. О.],B407)</f>
        <v>0</v>
      </c>
      <c r="T402" s="548">
        <f>ROUND(Q402*R402*S402*2,2)</f>
        <v>0</v>
      </c>
      <c r="U402" s="471">
        <f>IF(D402&lt;=3,база!$M$4,
IF(D402=4,база!$M$5,
IF(D402=5,база!$M$6)))</f>
        <v>225.09719999999999</v>
      </c>
      <c r="V402" s="378">
        <v>1</v>
      </c>
      <c r="W402" s="430">
        <f>SUMIFS(Таблица14[часы],Таблица14[коэф],"1",Таблица14[р/р],"3/24",Таблица14[Ф. И. О.],B407)</f>
        <v>0</v>
      </c>
      <c r="X402" s="543">
        <f>ROUND(U402*V402*W402*2,2)</f>
        <v>0</v>
      </c>
      <c r="Y402" s="764">
        <f t="shared" ref="Y402" si="200">SUM(G402:G412,K402:K412,O402:O412,S402:S412,W402:W412)</f>
        <v>0</v>
      </c>
      <c r="Z402" s="766">
        <f t="shared" ref="Z402" si="201">IFERROR(SUM(H402:H412,L402:L412,T402:T412,X402:X412),"")</f>
        <v>0</v>
      </c>
      <c r="AA402" s="756"/>
    </row>
    <row r="403" spans="1:29">
      <c r="A403" s="756"/>
      <c r="B403" s="215"/>
      <c r="C403" s="759"/>
      <c r="D403" s="762"/>
      <c r="E403" s="393">
        <f>IF(D402&lt;=3,база!$I$4,
IF(D402=4,база!$I$5,
IF(D402=5,база!$I$6)))</f>
        <v>188.7912</v>
      </c>
      <c r="F403" s="390">
        <v>1</v>
      </c>
      <c r="G403" s="400">
        <f>SUMIFS(Таблица14[часы],Таблица14[коэф],"1",Таблица14[р/р],"3/4",Таблица14[Ф. И. О.],B407)</f>
        <v>0</v>
      </c>
      <c r="H403" s="542">
        <f t="shared" ref="H403:H412" si="202">ROUND(E403*F403*G403*2,2)</f>
        <v>0</v>
      </c>
      <c r="I403" s="389">
        <f>IF(D402&lt;=3,база!$J$4,
IF(D402=4,база!$J$5,
IF(D402=5,база!$J$6)))</f>
        <v>196.05240000000001</v>
      </c>
      <c r="J403" s="390">
        <v>1</v>
      </c>
      <c r="K403" s="434">
        <f>SUMIFS(Таблица14[часы],Таблица14[коэф],"1",Таблица14[р/р],"3/8",Таблица14[Ф. И. О.],B407)</f>
        <v>0</v>
      </c>
      <c r="L403" s="395">
        <f t="shared" ref="L403:L412" si="203">ROUND(I403*J403*K403*2,2)</f>
        <v>0</v>
      </c>
      <c r="M403" s="432"/>
      <c r="N403" s="434">
        <v>1</v>
      </c>
      <c r="O403" s="434">
        <f>SUMIFS(Data_Tech!$AM$3:$AM$67,Data_Tech!$E$3:$E$67,"1",Data_Tech!$G$3:$G$67,"4/12",Data_Tech!$F$3:$F$67,B407)</f>
        <v>0</v>
      </c>
      <c r="P403" s="434">
        <f>ROUND(M403*O403,2)</f>
        <v>0</v>
      </c>
      <c r="Q403" s="399">
        <f>база!$L$5</f>
        <v>231.45480000000001</v>
      </c>
      <c r="R403" s="390">
        <v>1</v>
      </c>
      <c r="S403" s="400">
        <f>SUMIFS(Таблица14[часы],Таблица14[коэф],"1",Таблица14[р/р],"4/16",Таблица14[Ф. И. О.],B407)</f>
        <v>0</v>
      </c>
      <c r="T403" s="544">
        <f t="shared" ref="T403:T412" si="204">ROUND(Q403*R403*S403*2,2)</f>
        <v>0</v>
      </c>
      <c r="U403" s="472">
        <f>база!$M$5</f>
        <v>247.41720000000001</v>
      </c>
      <c r="V403" s="390">
        <v>1</v>
      </c>
      <c r="W403" s="412">
        <f>SUMIFS(Таблица14[часы],Таблица14[коэф],"1",Таблица14[р/р],"4/24",Таблица14[Ф. И. О.],B407)</f>
        <v>0</v>
      </c>
      <c r="X403" s="545">
        <f t="shared" ref="X403:X412" si="205">ROUND(U403*V403*W403*2,2)</f>
        <v>0</v>
      </c>
      <c r="Y403" s="764"/>
      <c r="Z403" s="766"/>
      <c r="AA403" s="756"/>
    </row>
    <row r="404" spans="1:29">
      <c r="A404" s="756"/>
      <c r="B404" s="215"/>
      <c r="C404" s="759"/>
      <c r="D404" s="762"/>
      <c r="E404" s="393"/>
      <c r="F404" s="390"/>
      <c r="G404" s="400"/>
      <c r="H404" s="544">
        <f t="shared" si="202"/>
        <v>0</v>
      </c>
      <c r="I404" s="389"/>
      <c r="J404" s="390"/>
      <c r="K404" s="434"/>
      <c r="L404" s="395">
        <f t="shared" si="203"/>
        <v>0</v>
      </c>
      <c r="M404" s="432"/>
      <c r="N404" s="434"/>
      <c r="O404" s="434"/>
      <c r="P404" s="434"/>
      <c r="Q404" s="399">
        <f>база!$L$6</f>
        <v>261.04640000000001</v>
      </c>
      <c r="R404" s="390">
        <v>1</v>
      </c>
      <c r="S404" s="400">
        <f>SUMIFS(Таблица14[часы],Таблица14[коэф],"1",Таблица14[р/р],"5/16",Таблица14[Ф. И. О.],B407)</f>
        <v>0</v>
      </c>
      <c r="T404" s="544">
        <f t="shared" si="204"/>
        <v>0</v>
      </c>
      <c r="U404" s="472">
        <f>база!$M$6</f>
        <v>279.0496</v>
      </c>
      <c r="V404" s="390">
        <v>1</v>
      </c>
      <c r="W404" s="412">
        <f>SUMIFS(Таблица14[часы],Таблица14[коэф],"1",Таблица14[р/р],"5/24",Таблица14[Ф. И. О.],B407)</f>
        <v>0</v>
      </c>
      <c r="X404" s="545">
        <f t="shared" si="205"/>
        <v>0</v>
      </c>
      <c r="Y404" s="764"/>
      <c r="Z404" s="766"/>
      <c r="AA404" s="756"/>
    </row>
    <row r="405" spans="1:29">
      <c r="A405" s="756"/>
      <c r="B405" s="215"/>
      <c r="C405" s="759"/>
      <c r="D405" s="762"/>
      <c r="E405" s="393"/>
      <c r="F405" s="390"/>
      <c r="G405" s="400"/>
      <c r="H405" s="544">
        <f t="shared" si="202"/>
        <v>0</v>
      </c>
      <c r="I405" s="389">
        <f>база!$J$5</f>
        <v>215.4924</v>
      </c>
      <c r="J405" s="390">
        <v>1.5</v>
      </c>
      <c r="K405" s="434">
        <f>SUMIFS(Таблица14[часы],Таблица14[коэф],"1,5",Таблица14[р/р],"4/8",Таблица14[Ф. И. О.],B407)</f>
        <v>0</v>
      </c>
      <c r="L405" s="395">
        <f t="shared" si="203"/>
        <v>0</v>
      </c>
      <c r="M405" s="432"/>
      <c r="N405" s="434"/>
      <c r="O405" s="434"/>
      <c r="P405" s="434"/>
      <c r="Q405" s="399">
        <f>IF(D402&lt;=3,база!$L$4,
IF(D402=4,база!$L$5,
IF(D402=5,база!$L$6)))</f>
        <v>210.57480000000001</v>
      </c>
      <c r="R405" s="390">
        <v>1.2</v>
      </c>
      <c r="S405" s="400">
        <f>SUMIFS(Таблица14[часы],Таблица14[коэф],"1,2",Таблица14[р/р],"3/16",Таблица14[Ф. И. О.],B407)</f>
        <v>0</v>
      </c>
      <c r="T405" s="544">
        <f t="shared" si="204"/>
        <v>0</v>
      </c>
      <c r="U405" s="472">
        <f>IF(D402&lt;=3,база!$M$4,
IF(D402=4,база!$M$5,
IF(D402=5,база!$M$6)))</f>
        <v>225.09719999999999</v>
      </c>
      <c r="V405" s="390">
        <v>1.2</v>
      </c>
      <c r="W405" s="412">
        <f>SUMIFS(Таблица14[часы],Таблица14[коэф],"1,2",Таблица14[р/р],"3/24",Таблица14[Ф. И. О.],B407)</f>
        <v>0</v>
      </c>
      <c r="X405" s="545">
        <f t="shared" si="205"/>
        <v>0</v>
      </c>
      <c r="Y405" s="764"/>
      <c r="Z405" s="766"/>
      <c r="AA405" s="756"/>
    </row>
    <row r="406" spans="1:29">
      <c r="A406" s="756"/>
      <c r="B406" s="215"/>
      <c r="C406" s="759"/>
      <c r="D406" s="762"/>
      <c r="E406" s="393"/>
      <c r="F406" s="390"/>
      <c r="G406" s="400"/>
      <c r="H406" s="544">
        <f t="shared" si="202"/>
        <v>0</v>
      </c>
      <c r="I406" s="389">
        <f>база!$J$6</f>
        <v>243.04319999999998</v>
      </c>
      <c r="J406" s="390">
        <v>1.5</v>
      </c>
      <c r="K406" s="434">
        <f>SUMIFS(Таблица14[часы],Таблица14[коэф],"1,5",Таблица14[р/р],"5/8",Таблица14[Ф. И. О.],B407)</f>
        <v>0</v>
      </c>
      <c r="L406" s="395">
        <f t="shared" si="203"/>
        <v>0</v>
      </c>
      <c r="M406" s="432"/>
      <c r="N406" s="434"/>
      <c r="O406" s="434"/>
      <c r="P406" s="434"/>
      <c r="Q406" s="399">
        <f>база!$L$5</f>
        <v>231.45480000000001</v>
      </c>
      <c r="R406" s="390">
        <v>1.2</v>
      </c>
      <c r="S406" s="400">
        <f>SUMIFS(Таблица14[часы],Таблица14[коэф],"1,2",Таблица14[р/р],"4/16",Таблица14[Ф. И. О.],B407)</f>
        <v>0</v>
      </c>
      <c r="T406" s="544">
        <f t="shared" si="204"/>
        <v>0</v>
      </c>
      <c r="U406" s="472">
        <f>база!$M$5</f>
        <v>247.41720000000001</v>
      </c>
      <c r="V406" s="390">
        <v>1.2</v>
      </c>
      <c r="W406" s="412">
        <f>SUMIFS(Таблица14[часы],Таблица14[коэф],"1,2",Таблица14[р/р],"4/24",Таблица14[Ф. И. О.],B407)</f>
        <v>0</v>
      </c>
      <c r="X406" s="545">
        <f t="shared" si="205"/>
        <v>0</v>
      </c>
      <c r="Y406" s="764"/>
      <c r="Z406" s="766"/>
      <c r="AA406" s="756"/>
      <c r="AC406" s="752" t="str">
        <f>IF(SUMIFS(Таблица14[Столбец2],Таблица14[Ф. И. О.],B407)-Z402=0,"",SUMIFS(Таблица14[Столбец2],Таблица14[Ф. И. О.],B407)-Z402)</f>
        <v/>
      </c>
    </row>
    <row r="407" spans="1:29">
      <c r="A407" s="756"/>
      <c r="B407" s="215" t="str">
        <f>база!B38</f>
        <v>Коричева Юлия Владимировна</v>
      </c>
      <c r="C407" s="759"/>
      <c r="D407" s="762"/>
      <c r="E407" s="393"/>
      <c r="F407" s="390"/>
      <c r="G407" s="400"/>
      <c r="H407" s="544">
        <f t="shared" si="202"/>
        <v>0</v>
      </c>
      <c r="I407" s="389"/>
      <c r="J407" s="390"/>
      <c r="K407" s="434"/>
      <c r="L407" s="395">
        <f t="shared" si="203"/>
        <v>0</v>
      </c>
      <c r="M407" s="432"/>
      <c r="N407" s="434"/>
      <c r="O407" s="434"/>
      <c r="P407" s="434"/>
      <c r="Q407" s="399">
        <f>база!$L$6</f>
        <v>261.04640000000001</v>
      </c>
      <c r="R407" s="390">
        <v>1.2</v>
      </c>
      <c r="S407" s="400">
        <f>SUMIFS(Таблица14[часы],Таблица14[коэф],"1,2",Таблица14[р/р],"5/16",Таблица14[Ф. И. О.],B407)</f>
        <v>0</v>
      </c>
      <c r="T407" s="544">
        <f t="shared" si="204"/>
        <v>0</v>
      </c>
      <c r="U407" s="472">
        <f>база!$M$6</f>
        <v>279.0496</v>
      </c>
      <c r="V407" s="390">
        <v>1.2</v>
      </c>
      <c r="W407" s="412">
        <f>SUMIFS(Таблица14[часы],Таблица14[коэф],"1,2",Таблица14[р/р],"5/24",Таблица14[Ф. И. О.],B407)</f>
        <v>0</v>
      </c>
      <c r="X407" s="545">
        <f t="shared" si="205"/>
        <v>0</v>
      </c>
      <c r="Y407" s="764"/>
      <c r="Z407" s="766"/>
      <c r="AA407" s="756"/>
      <c r="AC407" s="752" t="str">
        <f>IF(SUMIFS(Таблица14[часы],Таблица14[Ф. И. О.],B407)-Y402=0,"",SUMIFS(Таблица14[часы],Таблица14[Ф. И. О.],B407)-Y402)</f>
        <v/>
      </c>
    </row>
    <row r="408" spans="1:29">
      <c r="A408" s="756"/>
      <c r="B408" s="215"/>
      <c r="C408" s="759"/>
      <c r="D408" s="762"/>
      <c r="E408" s="393"/>
      <c r="F408" s="390"/>
      <c r="G408" s="400"/>
      <c r="H408" s="544">
        <f t="shared" si="202"/>
        <v>0</v>
      </c>
      <c r="I408" s="389"/>
      <c r="J408" s="390"/>
      <c r="K408" s="434"/>
      <c r="L408" s="395">
        <f t="shared" si="203"/>
        <v>0</v>
      </c>
      <c r="M408" s="432"/>
      <c r="N408" s="434"/>
      <c r="O408" s="434"/>
      <c r="P408" s="434"/>
      <c r="Q408" s="399">
        <f>IF(D402&lt;=3,база!$L$4,
IF(D402=4,база!$L$5,
IF(D402=5,база!$L$6)))</f>
        <v>210.57480000000001</v>
      </c>
      <c r="R408" s="390">
        <v>1.3</v>
      </c>
      <c r="S408" s="400">
        <f>SUMIFS(Таблица14[часы],Таблица14[коэф],"1,3",Таблица14[р/р],"3/16",Таблица14[Ф. И. О.],B407)</f>
        <v>0</v>
      </c>
      <c r="T408" s="544">
        <f t="shared" si="204"/>
        <v>0</v>
      </c>
      <c r="U408" s="472">
        <f>IF(D402&lt;=3,база!$M$4,
IF(D402=4,база!$M$5,
IF(D402=5,база!$M$6)))</f>
        <v>225.09719999999999</v>
      </c>
      <c r="V408" s="390">
        <v>1.3</v>
      </c>
      <c r="W408" s="412">
        <f>SUMIFS(Таблица14[часы],Таблица14[коэф],"1,3",Таблица14[р/р],"3/24",Таблица14[Ф. И. О.],B407)</f>
        <v>0</v>
      </c>
      <c r="X408" s="545">
        <f t="shared" si="205"/>
        <v>0</v>
      </c>
      <c r="Y408" s="764"/>
      <c r="Z408" s="766"/>
      <c r="AA408" s="756"/>
    </row>
    <row r="409" spans="1:29">
      <c r="A409" s="756"/>
      <c r="B409" s="215"/>
      <c r="C409" s="759"/>
      <c r="D409" s="762"/>
      <c r="E409" s="393"/>
      <c r="F409" s="390"/>
      <c r="G409" s="400"/>
      <c r="H409" s="544">
        <f t="shared" si="202"/>
        <v>0</v>
      </c>
      <c r="I409" s="389"/>
      <c r="J409" s="390"/>
      <c r="K409" s="434"/>
      <c r="L409" s="395">
        <f t="shared" si="203"/>
        <v>0</v>
      </c>
      <c r="M409" s="432"/>
      <c r="N409" s="434"/>
      <c r="O409" s="434"/>
      <c r="P409" s="434"/>
      <c r="Q409" s="399">
        <f>база!$L$5</f>
        <v>231.45480000000001</v>
      </c>
      <c r="R409" s="390">
        <v>1.3</v>
      </c>
      <c r="S409" s="400">
        <f>SUMIFS(Таблица14[часы],Таблица14[коэф],"1,3",Таблица14[р/р],"4/16",Таблица14[Ф. И. О.],B407)</f>
        <v>0</v>
      </c>
      <c r="T409" s="544">
        <f t="shared" si="204"/>
        <v>0</v>
      </c>
      <c r="U409" s="472">
        <f>база!$M$5</f>
        <v>247.41720000000001</v>
      </c>
      <c r="V409" s="390">
        <v>1.3</v>
      </c>
      <c r="W409" s="412">
        <f>SUMIFS(Таблица14[часы],Таблица14[коэф],"1,3",Таблица14[р/р],"4/24",Таблица14[Ф. И. О.],B407)</f>
        <v>0</v>
      </c>
      <c r="X409" s="545">
        <f t="shared" si="205"/>
        <v>0</v>
      </c>
      <c r="Y409" s="764"/>
      <c r="Z409" s="766"/>
      <c r="AA409" s="756"/>
    </row>
    <row r="410" spans="1:29">
      <c r="A410" s="756"/>
      <c r="B410" s="215"/>
      <c r="C410" s="759"/>
      <c r="D410" s="762"/>
      <c r="E410" s="393"/>
      <c r="F410" s="390"/>
      <c r="G410" s="400"/>
      <c r="H410" s="544">
        <f t="shared" si="202"/>
        <v>0</v>
      </c>
      <c r="I410" s="389"/>
      <c r="J410" s="390"/>
      <c r="K410" s="434"/>
      <c r="L410" s="395">
        <f t="shared" si="203"/>
        <v>0</v>
      </c>
      <c r="M410" s="432"/>
      <c r="N410" s="434"/>
      <c r="O410" s="434"/>
      <c r="P410" s="434"/>
      <c r="Q410" s="399">
        <f>IF(D402&lt;=3,база!$L$4,
IF(D402=4,база!$L$5,
IF(D402=5,база!$L$6)))</f>
        <v>210.57480000000001</v>
      </c>
      <c r="R410" s="390">
        <v>1.4</v>
      </c>
      <c r="S410" s="400">
        <f>SUMIFS(Таблица14[часы],Таблица14[коэф],"1,4",Таблица14[р/р],"3/16",Таблица14[Ф. И. О.],B407)</f>
        <v>0</v>
      </c>
      <c r="T410" s="544">
        <f t="shared" si="204"/>
        <v>0</v>
      </c>
      <c r="U410" s="472">
        <f>IF(D402&lt;=3,база!$M$4,
IF(D402=4,база!$M$5,
IF(D402=5,база!$M$6)))</f>
        <v>225.09719999999999</v>
      </c>
      <c r="V410" s="390">
        <v>1.4</v>
      </c>
      <c r="W410" s="412">
        <f>SUMIFS(Таблица14[часы],Таблица14[коэф],"1,4",Таблица14[р/р],"3/24",Таблица14[Ф. И. О.],B407)</f>
        <v>0</v>
      </c>
      <c r="X410" s="545">
        <f t="shared" si="205"/>
        <v>0</v>
      </c>
      <c r="Y410" s="764"/>
      <c r="Z410" s="766"/>
      <c r="AA410" s="756"/>
    </row>
    <row r="411" spans="1:29">
      <c r="A411" s="756"/>
      <c r="B411" s="215"/>
      <c r="C411" s="759"/>
      <c r="D411" s="762"/>
      <c r="E411" s="393"/>
      <c r="F411" s="390"/>
      <c r="G411" s="400"/>
      <c r="H411" s="544">
        <f t="shared" si="202"/>
        <v>0</v>
      </c>
      <c r="I411" s="389"/>
      <c r="J411" s="390"/>
      <c r="K411" s="434"/>
      <c r="L411" s="395">
        <f t="shared" si="203"/>
        <v>0</v>
      </c>
      <c r="M411" s="432"/>
      <c r="N411" s="434"/>
      <c r="O411" s="434"/>
      <c r="P411" s="434"/>
      <c r="Q411" s="399">
        <f>база!$L$5</f>
        <v>231.45480000000001</v>
      </c>
      <c r="R411" s="390">
        <v>1.4</v>
      </c>
      <c r="S411" s="400">
        <f>SUMIFS(Таблица14[часы],Таблица14[коэф],"1,4",Таблица14[р/р],"4/16",Таблица14[Ф. И. О.],B407)</f>
        <v>0</v>
      </c>
      <c r="T411" s="544">
        <f t="shared" si="204"/>
        <v>0</v>
      </c>
      <c r="U411" s="472">
        <f>база!$M$5</f>
        <v>247.41720000000001</v>
      </c>
      <c r="V411" s="390">
        <v>1.4</v>
      </c>
      <c r="W411" s="412">
        <f>SUMIFS(Таблица14[часы],Таблица14[коэф],"1,4",Таблица14[р/р],"4/24",Таблица14[Ф. И. О.],B407)</f>
        <v>0</v>
      </c>
      <c r="X411" s="545">
        <f t="shared" si="205"/>
        <v>0</v>
      </c>
      <c r="Y411" s="764"/>
      <c r="Z411" s="766"/>
      <c r="AA411" s="756"/>
    </row>
    <row r="412" spans="1:29" ht="21" thickBot="1">
      <c r="A412" s="757"/>
      <c r="B412" s="202"/>
      <c r="C412" s="760"/>
      <c r="D412" s="763"/>
      <c r="E412" s="463"/>
      <c r="F412" s="464"/>
      <c r="G412" s="465"/>
      <c r="H412" s="549">
        <f t="shared" si="202"/>
        <v>0</v>
      </c>
      <c r="I412" s="473"/>
      <c r="J412" s="464"/>
      <c r="K412" s="457"/>
      <c r="L412" s="458">
        <f t="shared" si="203"/>
        <v>0</v>
      </c>
      <c r="M412" s="466"/>
      <c r="N412" s="457"/>
      <c r="O412" s="457"/>
      <c r="P412" s="457"/>
      <c r="Q412" s="467">
        <f>база!$L$6</f>
        <v>261.04640000000001</v>
      </c>
      <c r="R412" s="464">
        <v>1.4</v>
      </c>
      <c r="S412" s="465">
        <f>SUMIFS(Таблица14[часы],Таблица14[коэф],"1,4",Таблица14[р/р],"5/16",Таблица14[Ф. И. О.],B407)</f>
        <v>0</v>
      </c>
      <c r="T412" s="549">
        <f t="shared" si="204"/>
        <v>0</v>
      </c>
      <c r="U412" s="474">
        <f>база!$M$6</f>
        <v>279.0496</v>
      </c>
      <c r="V412" s="464">
        <v>1.4</v>
      </c>
      <c r="W412" s="470">
        <f>SUMIFS(Таблица14[часы],Таблица14[коэф],"1,4",Таблица14[р/р],"5/24",Таблица14[Ф. И. О.],B407)</f>
        <v>0</v>
      </c>
      <c r="X412" s="547">
        <f t="shared" si="205"/>
        <v>0</v>
      </c>
      <c r="Y412" s="765"/>
      <c r="Z412" s="767"/>
      <c r="AA412" s="757"/>
    </row>
    <row r="413" spans="1:29">
      <c r="A413" s="755">
        <v>38</v>
      </c>
      <c r="B413" s="235"/>
      <c r="C413" s="758">
        <f>INDEX(база!$E$2:$E$81, MATCH(B418,база!$B$2:$B$50,0))</f>
        <v>17271</v>
      </c>
      <c r="D413" s="761">
        <f>INDEX(база!$D$2:$D$89, MATCH(B418,база!$B$2:$B$50,0))</f>
        <v>3</v>
      </c>
      <c r="E413" s="381">
        <f>IF(D413&lt;=3,база!$I$4,
IF(D413=4,база!$I$5,
IF(D413=5,база!$I$6)))</f>
        <v>188.7912</v>
      </c>
      <c r="F413" s="378">
        <v>1</v>
      </c>
      <c r="G413" s="387">
        <f>SUMIFS(Таблица14[часы],Таблица14[коэф],"1",Таблица14[р/р],"2/4",Таблица14[Ф. И. О.],B418)</f>
        <v>0</v>
      </c>
      <c r="H413" s="380">
        <f>ROUND(E413*F413*G413*2,2)</f>
        <v>0</v>
      </c>
      <c r="I413" s="377">
        <f>IF(D413&lt;=3,база!$J$4,
IF(D413=4,база!$J$5,
IF(D413=5,база!$J$6)))</f>
        <v>196.05240000000001</v>
      </c>
      <c r="J413" s="378">
        <v>1</v>
      </c>
      <c r="K413" s="428">
        <f>SUMIFS(Таблица14[часы],Таблица14[коэф],"1",Таблица14[р/р],"2/8",Таблица14[Ф. И. О.],B418)</f>
        <v>0</v>
      </c>
      <c r="L413" s="383">
        <f>ROUND(I413*J413*K413*2,2)</f>
        <v>0</v>
      </c>
      <c r="M413" s="426"/>
      <c r="N413" s="428">
        <v>1</v>
      </c>
      <c r="O413" s="428">
        <f>SUMIFS(Data_Tech!$AM$3:$AM$67,Data_Tech!$E$3:$E$67,"1",Data_Tech!$G$3:$G$67,"3/12",Data_Tech!$F$3:$F$67,B418)</f>
        <v>0</v>
      </c>
      <c r="P413" s="428">
        <f>ROUND(M413*N413*O413,2)</f>
        <v>0</v>
      </c>
      <c r="Q413" s="386">
        <f>IF(D413&lt;=3,база!$L$4,
IF(D413=4,база!$L$5,
IF(D413=5,база!$L$6)))</f>
        <v>210.57480000000001</v>
      </c>
      <c r="R413" s="378">
        <v>1</v>
      </c>
      <c r="S413" s="387">
        <f>SUMIFS(Таблица14[часы],Таблица14[коэф],"1",Таблица14[р/р],"3/16",Таблица14[Ф. И. О.],B418)</f>
        <v>0</v>
      </c>
      <c r="T413" s="548">
        <f>ROUND(Q413*R413*S413*2,2)</f>
        <v>0</v>
      </c>
      <c r="U413" s="471">
        <f>IF(D413&lt;=3,база!$M$4,
IF(D413=4,база!$M$5,
IF(D413=5,база!$M$6)))</f>
        <v>225.09719999999999</v>
      </c>
      <c r="V413" s="378">
        <v>1</v>
      </c>
      <c r="W413" s="430">
        <f>SUMIFS(Таблица14[часы],Таблица14[коэф],"1",Таблица14[р/р],"3/24",Таблица14[Ф. И. О.],B418)</f>
        <v>0</v>
      </c>
      <c r="X413" s="543">
        <f>ROUND(U413*V413*W413*2,2)</f>
        <v>0</v>
      </c>
      <c r="Y413" s="764">
        <f t="shared" ref="Y413" si="206">SUM(G413:G423,K413:K423,O413:O423,S413:S423,W413:W423)</f>
        <v>0</v>
      </c>
      <c r="Z413" s="766">
        <f t="shared" ref="Z413" si="207">IFERROR(SUM(H413:H423,L413:L423,T413:T423,X413:X423),"")</f>
        <v>0</v>
      </c>
      <c r="AA413" s="756"/>
    </row>
    <row r="414" spans="1:29">
      <c r="A414" s="756"/>
      <c r="B414" s="215"/>
      <c r="C414" s="759"/>
      <c r="D414" s="762"/>
      <c r="E414" s="393">
        <f>IF(D413&lt;=3,база!$I$4,
IF(D413=4,база!$I$5,
IF(D413=5,база!$I$6)))</f>
        <v>188.7912</v>
      </c>
      <c r="F414" s="390">
        <v>1</v>
      </c>
      <c r="G414" s="400">
        <f>SUMIFS(Таблица14[часы],Таблица14[коэф],"1",Таблица14[р/р],"3/4",Таблица14[Ф. И. О.],B418)</f>
        <v>0</v>
      </c>
      <c r="H414" s="542">
        <f t="shared" ref="H414:H423" si="208">ROUND(E414*F414*G414*2,2)</f>
        <v>0</v>
      </c>
      <c r="I414" s="389">
        <f>IF(D413&lt;=3,база!$J$4,
IF(D413=4,база!$J$5,
IF(D413=5,база!$J$6)))</f>
        <v>196.05240000000001</v>
      </c>
      <c r="J414" s="390">
        <v>1</v>
      </c>
      <c r="K414" s="434">
        <f>SUMIFS(Таблица14[часы],Таблица14[коэф],"1",Таблица14[р/р],"3/8",Таблица14[Ф. И. О.],B418)</f>
        <v>0</v>
      </c>
      <c r="L414" s="395">
        <f t="shared" ref="L414:L423" si="209">ROUND(I414*J414*K414*2,2)</f>
        <v>0</v>
      </c>
      <c r="M414" s="432"/>
      <c r="N414" s="434">
        <v>1</v>
      </c>
      <c r="O414" s="434">
        <f>SUMIFS(Data_Tech!$AM$3:$AM$67,Data_Tech!$E$3:$E$67,"1",Data_Tech!$G$3:$G$67,"4/12",Data_Tech!$F$3:$F$67,B418)</f>
        <v>0</v>
      </c>
      <c r="P414" s="434">
        <f>ROUND(M414*O414,2)</f>
        <v>0</v>
      </c>
      <c r="Q414" s="399">
        <f>база!$L$5</f>
        <v>231.45480000000001</v>
      </c>
      <c r="R414" s="390">
        <v>1</v>
      </c>
      <c r="S414" s="400">
        <f>SUMIFS(Таблица14[часы],Таблица14[коэф],"1",Таблица14[р/р],"4/16",Таблица14[Ф. И. О.],B418)</f>
        <v>0</v>
      </c>
      <c r="T414" s="544">
        <f t="shared" ref="T414:T423" si="210">ROUND(Q414*R414*S414*2,2)</f>
        <v>0</v>
      </c>
      <c r="U414" s="472">
        <f>база!$M$5</f>
        <v>247.41720000000001</v>
      </c>
      <c r="V414" s="390">
        <v>1</v>
      </c>
      <c r="W414" s="412">
        <f>SUMIFS(Таблица14[часы],Таблица14[коэф],"1",Таблица14[р/р],"4/24",Таблица14[Ф. И. О.],B418)</f>
        <v>0</v>
      </c>
      <c r="X414" s="545">
        <f t="shared" ref="X414:X423" si="211">ROUND(U414*V414*W414*2,2)</f>
        <v>0</v>
      </c>
      <c r="Y414" s="764"/>
      <c r="Z414" s="766"/>
      <c r="AA414" s="756"/>
    </row>
    <row r="415" spans="1:29">
      <c r="A415" s="756"/>
      <c r="B415" s="215"/>
      <c r="C415" s="759"/>
      <c r="D415" s="762"/>
      <c r="E415" s="393"/>
      <c r="F415" s="390"/>
      <c r="G415" s="400"/>
      <c r="H415" s="544">
        <f t="shared" si="208"/>
        <v>0</v>
      </c>
      <c r="I415" s="389"/>
      <c r="J415" s="390"/>
      <c r="K415" s="434"/>
      <c r="L415" s="395">
        <f t="shared" si="209"/>
        <v>0</v>
      </c>
      <c r="M415" s="432"/>
      <c r="N415" s="434"/>
      <c r="O415" s="434"/>
      <c r="P415" s="434"/>
      <c r="Q415" s="399">
        <f>база!$L$6</f>
        <v>261.04640000000001</v>
      </c>
      <c r="R415" s="390">
        <v>1</v>
      </c>
      <c r="S415" s="400">
        <f>SUMIFS(Таблица14[часы],Таблица14[коэф],"1",Таблица14[р/р],"5/16",Таблица14[Ф. И. О.],B418)</f>
        <v>0</v>
      </c>
      <c r="T415" s="544">
        <f t="shared" si="210"/>
        <v>0</v>
      </c>
      <c r="U415" s="472">
        <f>база!$M$6</f>
        <v>279.0496</v>
      </c>
      <c r="V415" s="390">
        <v>1</v>
      </c>
      <c r="W415" s="412">
        <f>SUMIFS(Таблица14[часы],Таблица14[коэф],"1",Таблица14[р/р],"5/24",Таблица14[Ф. И. О.],B418)</f>
        <v>0</v>
      </c>
      <c r="X415" s="545">
        <f t="shared" si="211"/>
        <v>0</v>
      </c>
      <c r="Y415" s="764"/>
      <c r="Z415" s="766"/>
      <c r="AA415" s="756"/>
    </row>
    <row r="416" spans="1:29">
      <c r="A416" s="756"/>
      <c r="B416" s="215"/>
      <c r="C416" s="759"/>
      <c r="D416" s="762"/>
      <c r="E416" s="393"/>
      <c r="F416" s="390"/>
      <c r="G416" s="400"/>
      <c r="H416" s="544">
        <f t="shared" si="208"/>
        <v>0</v>
      </c>
      <c r="I416" s="389">
        <f>база!$J$5</f>
        <v>215.4924</v>
      </c>
      <c r="J416" s="390">
        <v>1.5</v>
      </c>
      <c r="K416" s="434">
        <f>SUMIFS(Таблица14[часы],Таблица14[коэф],"1,5",Таблица14[р/р],"4/8",Таблица14[Ф. И. О.],B418)</f>
        <v>0</v>
      </c>
      <c r="L416" s="395">
        <f t="shared" si="209"/>
        <v>0</v>
      </c>
      <c r="M416" s="432"/>
      <c r="N416" s="434"/>
      <c r="O416" s="434"/>
      <c r="P416" s="434"/>
      <c r="Q416" s="399">
        <f>IF(D413&lt;=3,база!$L$4,
IF(D413=4,база!$L$5,
IF(D413=5,база!$L$6)))</f>
        <v>210.57480000000001</v>
      </c>
      <c r="R416" s="390">
        <v>1.2</v>
      </c>
      <c r="S416" s="400">
        <f>SUMIFS(Таблица14[часы],Таблица14[коэф],"1,2",Таблица14[р/р],"3/16",Таблица14[Ф. И. О.],B418)</f>
        <v>0</v>
      </c>
      <c r="T416" s="544">
        <f t="shared" si="210"/>
        <v>0</v>
      </c>
      <c r="U416" s="472">
        <f>IF(D413&lt;=3,база!$M$4,
IF(D413=4,база!$M$5,
IF(D413=5,база!$M$6)))</f>
        <v>225.09719999999999</v>
      </c>
      <c r="V416" s="390">
        <v>1.2</v>
      </c>
      <c r="W416" s="412">
        <f>SUMIFS(Таблица14[часы],Таблица14[коэф],"1,2",Таблица14[р/р],"3/24",Таблица14[Ф. И. О.],B418)</f>
        <v>0</v>
      </c>
      <c r="X416" s="545">
        <f t="shared" si="211"/>
        <v>0</v>
      </c>
      <c r="Y416" s="764"/>
      <c r="Z416" s="766"/>
      <c r="AA416" s="756"/>
    </row>
    <row r="417" spans="1:29">
      <c r="A417" s="756"/>
      <c r="B417" s="215"/>
      <c r="C417" s="759"/>
      <c r="D417" s="762"/>
      <c r="E417" s="393"/>
      <c r="F417" s="390"/>
      <c r="G417" s="400"/>
      <c r="H417" s="544">
        <f t="shared" si="208"/>
        <v>0</v>
      </c>
      <c r="I417" s="389">
        <f>база!$J$6</f>
        <v>243.04319999999998</v>
      </c>
      <c r="J417" s="390">
        <v>1.5</v>
      </c>
      <c r="K417" s="434">
        <f>SUMIFS(Таблица14[часы],Таблица14[коэф],"1,5",Таблица14[р/р],"5/8",Таблица14[Ф. И. О.],B418)</f>
        <v>0</v>
      </c>
      <c r="L417" s="395">
        <f t="shared" si="209"/>
        <v>0</v>
      </c>
      <c r="M417" s="432"/>
      <c r="N417" s="434"/>
      <c r="O417" s="434"/>
      <c r="P417" s="434"/>
      <c r="Q417" s="399">
        <f>база!$L$5</f>
        <v>231.45480000000001</v>
      </c>
      <c r="R417" s="390">
        <v>1.2</v>
      </c>
      <c r="S417" s="400">
        <f>SUMIFS(Таблица14[часы],Таблица14[коэф],"1,2",Таблица14[р/р],"4/16",Таблица14[Ф. И. О.],B418)</f>
        <v>0</v>
      </c>
      <c r="T417" s="544">
        <f t="shared" si="210"/>
        <v>0</v>
      </c>
      <c r="U417" s="472">
        <f>база!$M$5</f>
        <v>247.41720000000001</v>
      </c>
      <c r="V417" s="390">
        <v>1.2</v>
      </c>
      <c r="W417" s="412">
        <f>SUMIFS(Таблица14[часы],Таблица14[коэф],"1,2",Таблица14[р/р],"4/24",Таблица14[Ф. И. О.],B418)</f>
        <v>0</v>
      </c>
      <c r="X417" s="545">
        <f t="shared" si="211"/>
        <v>0</v>
      </c>
      <c r="Y417" s="764"/>
      <c r="Z417" s="766"/>
      <c r="AA417" s="756"/>
    </row>
    <row r="418" spans="1:29">
      <c r="A418" s="756"/>
      <c r="B418" s="215" t="str">
        <f>база!B39</f>
        <v>Кочеткова Мария Андреевна</v>
      </c>
      <c r="C418" s="759"/>
      <c r="D418" s="762"/>
      <c r="E418" s="393"/>
      <c r="F418" s="390"/>
      <c r="G418" s="400"/>
      <c r="H418" s="544">
        <f t="shared" si="208"/>
        <v>0</v>
      </c>
      <c r="I418" s="389"/>
      <c r="J418" s="390"/>
      <c r="K418" s="434"/>
      <c r="L418" s="395">
        <f t="shared" si="209"/>
        <v>0</v>
      </c>
      <c r="M418" s="432"/>
      <c r="N418" s="434"/>
      <c r="O418" s="434"/>
      <c r="P418" s="434"/>
      <c r="Q418" s="399">
        <f>база!$L$6</f>
        <v>261.04640000000001</v>
      </c>
      <c r="R418" s="390">
        <v>1.2</v>
      </c>
      <c r="S418" s="400">
        <f>SUMIFS(Таблица14[часы],Таблица14[коэф],"1,2",Таблица14[р/р],"5/16",Таблица14[Ф. И. О.],B418)</f>
        <v>0</v>
      </c>
      <c r="T418" s="544">
        <f t="shared" si="210"/>
        <v>0</v>
      </c>
      <c r="U418" s="472">
        <f>база!$M$6</f>
        <v>279.0496</v>
      </c>
      <c r="V418" s="390">
        <v>1.2</v>
      </c>
      <c r="W418" s="412">
        <f>SUMIFS(Таблица14[часы],Таблица14[коэф],"1,2",Таблица14[р/р],"5/24",Таблица14[Ф. И. О.],B418)</f>
        <v>0</v>
      </c>
      <c r="X418" s="545">
        <f t="shared" si="211"/>
        <v>0</v>
      </c>
      <c r="Y418" s="764"/>
      <c r="Z418" s="766"/>
      <c r="AA418" s="756"/>
      <c r="AC418" s="752" t="str">
        <f>IF(SUMIFS(Таблица14[Столбец2],Таблица14[Ф. И. О.],B418)-Z413=0,"",SUMIFS(Таблица14[Столбец2],Таблица14[Ф. И. О.],B418)-Z413)</f>
        <v/>
      </c>
    </row>
    <row r="419" spans="1:29">
      <c r="A419" s="756"/>
      <c r="B419" s="215"/>
      <c r="C419" s="759"/>
      <c r="D419" s="762"/>
      <c r="E419" s="393"/>
      <c r="F419" s="390"/>
      <c r="G419" s="400"/>
      <c r="H419" s="544">
        <f t="shared" si="208"/>
        <v>0</v>
      </c>
      <c r="I419" s="389"/>
      <c r="J419" s="390"/>
      <c r="K419" s="434"/>
      <c r="L419" s="395">
        <f t="shared" si="209"/>
        <v>0</v>
      </c>
      <c r="M419" s="432"/>
      <c r="N419" s="434"/>
      <c r="O419" s="434"/>
      <c r="P419" s="434"/>
      <c r="Q419" s="399">
        <f>IF(D413&lt;=3,база!$L$4,
IF(D413=4,база!$L$5,
IF(D413=5,база!$L$6)))</f>
        <v>210.57480000000001</v>
      </c>
      <c r="R419" s="390">
        <v>1.3</v>
      </c>
      <c r="S419" s="400">
        <f>SUMIFS(Таблица14[часы],Таблица14[коэф],"1,3",Таблица14[р/р],"3/16",Таблица14[Ф. И. О.],B418)</f>
        <v>0</v>
      </c>
      <c r="T419" s="544">
        <f t="shared" si="210"/>
        <v>0</v>
      </c>
      <c r="U419" s="472">
        <f>IF(D413&lt;=3,база!$M$4,
IF(D413=4,база!$M$5,
IF(D413=5,база!$M$6)))</f>
        <v>225.09719999999999</v>
      </c>
      <c r="V419" s="390">
        <v>1.3</v>
      </c>
      <c r="W419" s="412">
        <f>SUMIFS(Таблица14[часы],Таблица14[коэф],"1,3",Таблица14[р/р],"3/24",Таблица14[Ф. И. О.],B418)</f>
        <v>0</v>
      </c>
      <c r="X419" s="545">
        <f t="shared" si="211"/>
        <v>0</v>
      </c>
      <c r="Y419" s="764"/>
      <c r="Z419" s="766"/>
      <c r="AA419" s="756"/>
      <c r="AC419" s="752" t="str">
        <f>IF(SUMIFS(Таблица14[часы],Таблица14[Ф. И. О.],B418)-Y413=0,"",SUMIFS(Таблица14[часы],Таблица14[Ф. И. О.],B418)-Y413)</f>
        <v/>
      </c>
    </row>
    <row r="420" spans="1:29">
      <c r="A420" s="756"/>
      <c r="B420" s="215"/>
      <c r="C420" s="759"/>
      <c r="D420" s="762"/>
      <c r="E420" s="393"/>
      <c r="F420" s="390"/>
      <c r="G420" s="400"/>
      <c r="H420" s="544">
        <f t="shared" si="208"/>
        <v>0</v>
      </c>
      <c r="I420" s="389"/>
      <c r="J420" s="390"/>
      <c r="K420" s="434"/>
      <c r="L420" s="395">
        <f t="shared" si="209"/>
        <v>0</v>
      </c>
      <c r="M420" s="432"/>
      <c r="N420" s="434"/>
      <c r="O420" s="434"/>
      <c r="P420" s="434"/>
      <c r="Q420" s="399">
        <f>база!$L$5</f>
        <v>231.45480000000001</v>
      </c>
      <c r="R420" s="390">
        <v>1.3</v>
      </c>
      <c r="S420" s="400">
        <f>SUMIFS(Таблица14[часы],Таблица14[коэф],"1,3",Таблица14[р/р],"4/16",Таблица14[Ф. И. О.],B418)</f>
        <v>0</v>
      </c>
      <c r="T420" s="544">
        <f t="shared" si="210"/>
        <v>0</v>
      </c>
      <c r="U420" s="472">
        <f>база!$M$5</f>
        <v>247.41720000000001</v>
      </c>
      <c r="V420" s="390">
        <v>1.3</v>
      </c>
      <c r="W420" s="412">
        <f>SUMIFS(Таблица14[часы],Таблица14[коэф],"1,3",Таблица14[р/р],"4/24",Таблица14[Ф. И. О.],B418)</f>
        <v>0</v>
      </c>
      <c r="X420" s="545">
        <f t="shared" si="211"/>
        <v>0</v>
      </c>
      <c r="Y420" s="764"/>
      <c r="Z420" s="766"/>
      <c r="AA420" s="756"/>
    </row>
    <row r="421" spans="1:29">
      <c r="A421" s="756"/>
      <c r="B421" s="215"/>
      <c r="C421" s="759"/>
      <c r="D421" s="762"/>
      <c r="E421" s="393"/>
      <c r="F421" s="390"/>
      <c r="G421" s="400"/>
      <c r="H421" s="544">
        <f t="shared" si="208"/>
        <v>0</v>
      </c>
      <c r="I421" s="389"/>
      <c r="J421" s="390"/>
      <c r="K421" s="434"/>
      <c r="L421" s="395">
        <f t="shared" si="209"/>
        <v>0</v>
      </c>
      <c r="M421" s="432"/>
      <c r="N421" s="434"/>
      <c r="O421" s="434"/>
      <c r="P421" s="434"/>
      <c r="Q421" s="399">
        <f>IF(D413&lt;=3,база!$L$4,
IF(D413=4,база!$L$5,
IF(D413=5,база!$L$6)))</f>
        <v>210.57480000000001</v>
      </c>
      <c r="R421" s="390">
        <v>1.4</v>
      </c>
      <c r="S421" s="400">
        <f>SUMIFS(Таблица14[часы],Таблица14[коэф],"1,4",Таблица14[р/р],"3/16",Таблица14[Ф. И. О.],B418)</f>
        <v>0</v>
      </c>
      <c r="T421" s="544">
        <f t="shared" si="210"/>
        <v>0</v>
      </c>
      <c r="U421" s="472">
        <f>IF(D413&lt;=3,база!$M$4,
IF(D413=4,база!$M$5,
IF(D413=5,база!$M$6)))</f>
        <v>225.09719999999999</v>
      </c>
      <c r="V421" s="390">
        <v>1.4</v>
      </c>
      <c r="W421" s="412">
        <f>SUMIFS(Таблица14[часы],Таблица14[коэф],"1,4",Таблица14[р/р],"3/24",Таблица14[Ф. И. О.],B418)</f>
        <v>0</v>
      </c>
      <c r="X421" s="545">
        <f t="shared" si="211"/>
        <v>0</v>
      </c>
      <c r="Y421" s="764"/>
      <c r="Z421" s="766"/>
      <c r="AA421" s="756"/>
    </row>
    <row r="422" spans="1:29">
      <c r="A422" s="756"/>
      <c r="B422" s="215"/>
      <c r="C422" s="759"/>
      <c r="D422" s="762"/>
      <c r="E422" s="393"/>
      <c r="F422" s="390"/>
      <c r="G422" s="400"/>
      <c r="H422" s="544">
        <f t="shared" si="208"/>
        <v>0</v>
      </c>
      <c r="I422" s="389"/>
      <c r="J422" s="390"/>
      <c r="K422" s="434"/>
      <c r="L422" s="395">
        <f t="shared" si="209"/>
        <v>0</v>
      </c>
      <c r="M422" s="432"/>
      <c r="N422" s="434"/>
      <c r="O422" s="434"/>
      <c r="P422" s="434"/>
      <c r="Q422" s="399">
        <f>база!$L$5</f>
        <v>231.45480000000001</v>
      </c>
      <c r="R422" s="390">
        <v>1.4</v>
      </c>
      <c r="S422" s="400">
        <f>SUMIFS(Таблица14[часы],Таблица14[коэф],"1,4",Таблица14[р/р],"4/16",Таблица14[Ф. И. О.],B418)</f>
        <v>0</v>
      </c>
      <c r="T422" s="544">
        <f t="shared" si="210"/>
        <v>0</v>
      </c>
      <c r="U422" s="472">
        <f>база!$M$5</f>
        <v>247.41720000000001</v>
      </c>
      <c r="V422" s="390">
        <v>1.4</v>
      </c>
      <c r="W422" s="412">
        <f>SUMIFS(Таблица14[часы],Таблица14[коэф],"1,4",Таблица14[р/р],"4/24",Таблица14[Ф. И. О.],B418)</f>
        <v>0</v>
      </c>
      <c r="X422" s="545">
        <f t="shared" si="211"/>
        <v>0</v>
      </c>
      <c r="Y422" s="764"/>
      <c r="Z422" s="766"/>
      <c r="AA422" s="756"/>
    </row>
    <row r="423" spans="1:29" ht="21" thickBot="1">
      <c r="A423" s="757"/>
      <c r="B423" s="202"/>
      <c r="C423" s="760"/>
      <c r="D423" s="763"/>
      <c r="E423" s="463"/>
      <c r="F423" s="464"/>
      <c r="G423" s="465"/>
      <c r="H423" s="549">
        <f t="shared" si="208"/>
        <v>0</v>
      </c>
      <c r="I423" s="473"/>
      <c r="J423" s="464"/>
      <c r="K423" s="457"/>
      <c r="L423" s="458">
        <f t="shared" si="209"/>
        <v>0</v>
      </c>
      <c r="M423" s="466"/>
      <c r="N423" s="457"/>
      <c r="O423" s="457"/>
      <c r="P423" s="457"/>
      <c r="Q423" s="467">
        <f>база!$L$6</f>
        <v>261.04640000000001</v>
      </c>
      <c r="R423" s="464">
        <v>1.4</v>
      </c>
      <c r="S423" s="465">
        <f>SUMIFS(Таблица14[часы],Таблица14[коэф],"1,4",Таблица14[р/р],"5/16",Таблица14[Ф. И. О.],B418)</f>
        <v>0</v>
      </c>
      <c r="T423" s="549">
        <f t="shared" si="210"/>
        <v>0</v>
      </c>
      <c r="U423" s="474">
        <f>база!$M$6</f>
        <v>279.0496</v>
      </c>
      <c r="V423" s="464">
        <v>1.4</v>
      </c>
      <c r="W423" s="470">
        <f>SUMIFS(Таблица14[часы],Таблица14[коэф],"1,4",Таблица14[р/р],"5/24",Таблица14[Ф. И. О.],B418)</f>
        <v>0</v>
      </c>
      <c r="X423" s="547">
        <f t="shared" si="211"/>
        <v>0</v>
      </c>
      <c r="Y423" s="765"/>
      <c r="Z423" s="767"/>
      <c r="AA423" s="757"/>
    </row>
    <row r="424" spans="1:29">
      <c r="A424" s="755">
        <v>39</v>
      </c>
      <c r="B424" s="215"/>
      <c r="C424" s="758">
        <f>INDEX(база!$E$2:$E$81, MATCH(B429,база!$B$2:$B$50,0))</f>
        <v>16944</v>
      </c>
      <c r="D424" s="761">
        <f>INDEX(база!$D$2:$D$89, MATCH(B429,база!$B$2:$B$50,0))</f>
        <v>3</v>
      </c>
      <c r="E424" s="377">
        <f>IF(D424&lt;=3,база!$I$4,
IF(D424=4,база!$I$5,
IF(D424=5,база!$I$6)))</f>
        <v>188.7912</v>
      </c>
      <c r="F424" s="378">
        <v>1</v>
      </c>
      <c r="G424" s="387">
        <f>SUMIFS(Таблица14[часы],Таблица14[коэф],"1",Таблица14[р/р],"2/4",Таблица14[Ф. И. О.],B429)</f>
        <v>0</v>
      </c>
      <c r="H424" s="380">
        <f>ROUND(E424*F424*G424*2,2)</f>
        <v>0</v>
      </c>
      <c r="I424" s="451">
        <f>IF(D424&lt;=3,база!$J$4,
IF(D424=4,база!$J$5,
IF(D424=5,база!$J$6)))</f>
        <v>196.05240000000001</v>
      </c>
      <c r="J424" s="417">
        <v>1</v>
      </c>
      <c r="K424" s="453">
        <f>SUMIFS(Таблица14[часы],Таблица14[коэф],"1",Таблица14[р/р],"2/8",Таблица14[Ф. И. О.],B429)</f>
        <v>0</v>
      </c>
      <c r="L424" s="453">
        <f>ROUND(I424*J424*K424*2,2)</f>
        <v>0</v>
      </c>
      <c r="M424" s="453"/>
      <c r="N424" s="453">
        <v>1</v>
      </c>
      <c r="O424" s="453">
        <f>SUMIFS(Data_Tech!$AM$3:$AM$67,Data_Tech!$E$3:$E$67,"1",Data_Tech!$G$3:$G$67,"3/12",Data_Tech!$F$3:$F$67,B429)</f>
        <v>0</v>
      </c>
      <c r="P424" s="398">
        <f>ROUND(M424*N424*O424,2)</f>
        <v>0</v>
      </c>
      <c r="Q424" s="377">
        <f>IF(D424&lt;=3,база!$L$4,
IF(D424=4,база!$L$5,
IF(D424=5,база!$L$6)))</f>
        <v>210.57480000000001</v>
      </c>
      <c r="R424" s="378">
        <v>1</v>
      </c>
      <c r="S424" s="387">
        <f>SUMIFS(Таблица14[часы],Таблица14[коэф],"1",Таблица14[р/р],"3/16",Таблица14[Ф. И. О.],B429)</f>
        <v>0</v>
      </c>
      <c r="T424" s="380">
        <f>ROUND(Q424*R424*S424*2,2)</f>
        <v>0</v>
      </c>
      <c r="U424" s="454">
        <f>IF(D424&lt;=3,база!$M$4,
IF(D424=4,база!$M$5,
IF(D424=5,база!$M$6)))</f>
        <v>225.09719999999999</v>
      </c>
      <c r="V424" s="417">
        <v>1</v>
      </c>
      <c r="W424" s="455">
        <f>SUMIFS(Таблица14[часы],Таблица14[коэф],"1",Таблица14[р/р],"3/24",Таблица14[Ф. И. О.],B429)</f>
        <v>0</v>
      </c>
      <c r="X424" s="543">
        <f>ROUND(U424*V424*W424*2,2)</f>
        <v>0</v>
      </c>
      <c r="Y424" s="764">
        <f t="shared" ref="Y424" si="212">SUM(G424:G434,K424:K434,O424:O434,S424:S434,W424:W434)</f>
        <v>0</v>
      </c>
      <c r="Z424" s="766">
        <f t="shared" ref="Z424" si="213">IFERROR(SUM(H424:H434,L424:L434,T424:T434,X424:X434),"")</f>
        <v>0</v>
      </c>
      <c r="AA424" s="756"/>
    </row>
    <row r="425" spans="1:29">
      <c r="A425" s="756"/>
      <c r="B425" s="215"/>
      <c r="C425" s="759"/>
      <c r="D425" s="762"/>
      <c r="E425" s="389">
        <f>IF(D424&lt;=3,база!$I$4,
IF(D424=4,база!$I$5,
IF(D424=5,база!$I$6)))</f>
        <v>188.7912</v>
      </c>
      <c r="F425" s="390">
        <v>1</v>
      </c>
      <c r="G425" s="400">
        <f>SUMIFS(Таблица14[часы],Таблица14[коэф],"1",Таблица14[р/р],"3/4",Таблица14[Ф. И. О.],B429)</f>
        <v>0</v>
      </c>
      <c r="H425" s="542">
        <f t="shared" ref="H425:H434" si="214">ROUND(E425*F425*G425*2,2)</f>
        <v>0</v>
      </c>
      <c r="I425" s="389">
        <f>IF(D424&lt;=3,база!$J$4,
IF(D424=4,база!$J$5,
IF(D424=5,база!$J$6)))</f>
        <v>196.05240000000001</v>
      </c>
      <c r="J425" s="390">
        <v>1</v>
      </c>
      <c r="K425" s="434">
        <f>SUMIFS(Таблица14[часы],Таблица14[коэф],"1",Таблица14[р/р],"3/8",Таблица14[Ф. И. О.],B429)</f>
        <v>0</v>
      </c>
      <c r="L425" s="434">
        <f t="shared" ref="L425:L434" si="215">ROUND(I425*J425*K425*2,2)</f>
        <v>0</v>
      </c>
      <c r="M425" s="434"/>
      <c r="N425" s="434">
        <v>1</v>
      </c>
      <c r="O425" s="434">
        <f>SUMIFS(Data_Tech!$AM$3:$AM$67,Data_Tech!$E$3:$E$67,"1",Data_Tech!$G$3:$G$67,"4/12",Data_Tech!$F$3:$F$67,B429)</f>
        <v>0</v>
      </c>
      <c r="P425" s="406">
        <f>ROUND(M425*O425,2)</f>
        <v>0</v>
      </c>
      <c r="Q425" s="389">
        <f>база!$L$5</f>
        <v>231.45480000000001</v>
      </c>
      <c r="R425" s="390">
        <v>1</v>
      </c>
      <c r="S425" s="400">
        <f>SUMIFS(Таблица14[часы],Таблица14[коэф],"1",Таблица14[р/р],"4/16",Таблица14[Ф. И. О.],B429)</f>
        <v>0</v>
      </c>
      <c r="T425" s="392">
        <f t="shared" ref="T425:T434" si="216">ROUND(Q425*R425*S425*2,2)</f>
        <v>0</v>
      </c>
      <c r="U425" s="410">
        <f>база!$M$5</f>
        <v>247.41720000000001</v>
      </c>
      <c r="V425" s="390">
        <v>1</v>
      </c>
      <c r="W425" s="412">
        <f>SUMIFS(Таблица14[часы],Таблица14[коэф],"1",Таблица14[р/р],"4/24",Таблица14[Ф. И. О.],B429)</f>
        <v>0</v>
      </c>
      <c r="X425" s="545">
        <f t="shared" ref="X425:X434" si="217">ROUND(U425*V425*W425*2,2)</f>
        <v>0</v>
      </c>
      <c r="Y425" s="764"/>
      <c r="Z425" s="766"/>
      <c r="AA425" s="756"/>
    </row>
    <row r="426" spans="1:29">
      <c r="A426" s="756"/>
      <c r="B426" s="215"/>
      <c r="C426" s="759"/>
      <c r="D426" s="762"/>
      <c r="E426" s="389"/>
      <c r="F426" s="390"/>
      <c r="G426" s="400"/>
      <c r="H426" s="392">
        <f t="shared" si="214"/>
        <v>0</v>
      </c>
      <c r="I426" s="393"/>
      <c r="J426" s="390"/>
      <c r="K426" s="434"/>
      <c r="L426" s="434">
        <f t="shared" si="215"/>
        <v>0</v>
      </c>
      <c r="M426" s="434"/>
      <c r="N426" s="434"/>
      <c r="O426" s="434"/>
      <c r="P426" s="406"/>
      <c r="Q426" s="389">
        <f>база!$L$6</f>
        <v>261.04640000000001</v>
      </c>
      <c r="R426" s="390">
        <v>1</v>
      </c>
      <c r="S426" s="400">
        <f>SUMIFS(Таблица14[часы],Таблица14[коэф],"1",Таблица14[р/р],"5/16",Таблица14[Ф. И. О.],B429)</f>
        <v>0</v>
      </c>
      <c r="T426" s="392">
        <f t="shared" si="216"/>
        <v>0</v>
      </c>
      <c r="U426" s="410">
        <f>база!$M$6</f>
        <v>279.0496</v>
      </c>
      <c r="V426" s="390">
        <v>1</v>
      </c>
      <c r="W426" s="412">
        <f>SUMIFS(Таблица14[часы],Таблица14[коэф],"1",Таблица14[р/р],"5/24",Таблица14[Ф. И. О.],B429)</f>
        <v>0</v>
      </c>
      <c r="X426" s="545">
        <f t="shared" si="217"/>
        <v>0</v>
      </c>
      <c r="Y426" s="764"/>
      <c r="Z426" s="766"/>
      <c r="AA426" s="756"/>
    </row>
    <row r="427" spans="1:29">
      <c r="A427" s="756"/>
      <c r="B427" s="215"/>
      <c r="C427" s="759"/>
      <c r="D427" s="762"/>
      <c r="E427" s="389"/>
      <c r="F427" s="390"/>
      <c r="G427" s="400"/>
      <c r="H427" s="392">
        <f t="shared" si="214"/>
        <v>0</v>
      </c>
      <c r="I427" s="393">
        <f>база!$J$5</f>
        <v>215.4924</v>
      </c>
      <c r="J427" s="390">
        <v>1.5</v>
      </c>
      <c r="K427" s="434">
        <f>SUMIFS(Таблица14[часы],Таблица14[коэф],"1,5",Таблица14[р/р],"4/8",Таблица14[Ф. И. О.],B429)</f>
        <v>0</v>
      </c>
      <c r="L427" s="434">
        <f t="shared" si="215"/>
        <v>0</v>
      </c>
      <c r="M427" s="434"/>
      <c r="N427" s="434"/>
      <c r="O427" s="434"/>
      <c r="P427" s="406"/>
      <c r="Q427" s="389">
        <f>IF(D424&lt;=3,база!$L$4,
IF(D424=4,база!$L$5,
IF(D424=5,база!$L$6)))</f>
        <v>210.57480000000001</v>
      </c>
      <c r="R427" s="390">
        <v>1.2</v>
      </c>
      <c r="S427" s="400">
        <f>SUMIFS(Таблица14[часы],Таблица14[коэф],"1,2",Таблица14[р/р],"3/16",Таблица14[Ф. И. О.],B429)</f>
        <v>0</v>
      </c>
      <c r="T427" s="392">
        <f t="shared" si="216"/>
        <v>0</v>
      </c>
      <c r="U427" s="410">
        <f>IF(D424&lt;=3,база!$M$4,
IF(D424=4,база!$M$5,
IF(D424=5,база!$M$6)))</f>
        <v>225.09719999999999</v>
      </c>
      <c r="V427" s="390">
        <v>1.2</v>
      </c>
      <c r="W427" s="412">
        <f>SUMIFS(Таблица14[часы],Таблица14[коэф],"1,2",Таблица14[р/р],"3/24",Таблица14[Ф. И. О.],B429)</f>
        <v>0</v>
      </c>
      <c r="X427" s="545">
        <f t="shared" si="217"/>
        <v>0</v>
      </c>
      <c r="Y427" s="764"/>
      <c r="Z427" s="766"/>
      <c r="AA427" s="756"/>
    </row>
    <row r="428" spans="1:29">
      <c r="A428" s="756"/>
      <c r="B428" s="215"/>
      <c r="C428" s="759"/>
      <c r="D428" s="762"/>
      <c r="E428" s="389"/>
      <c r="F428" s="390"/>
      <c r="G428" s="400"/>
      <c r="H428" s="392">
        <f t="shared" si="214"/>
        <v>0</v>
      </c>
      <c r="I428" s="393">
        <f>база!$J$6</f>
        <v>243.04319999999998</v>
      </c>
      <c r="J428" s="390">
        <v>1.5</v>
      </c>
      <c r="K428" s="434">
        <f>SUMIFS(Таблица14[часы],Таблица14[коэф],"1,5",Таблица14[р/р],"5/8",Таблица14[Ф. И. О.],B429)</f>
        <v>0</v>
      </c>
      <c r="L428" s="434">
        <f t="shared" si="215"/>
        <v>0</v>
      </c>
      <c r="M428" s="434"/>
      <c r="N428" s="434"/>
      <c r="O428" s="434"/>
      <c r="P428" s="406"/>
      <c r="Q428" s="389">
        <f>база!$L$5</f>
        <v>231.45480000000001</v>
      </c>
      <c r="R428" s="390">
        <v>1.2</v>
      </c>
      <c r="S428" s="400">
        <f>SUMIFS(Таблица14[часы],Таблица14[коэф],"1,2",Таблица14[р/р],"4/16",Таблица14[Ф. И. О.],B429)</f>
        <v>0</v>
      </c>
      <c r="T428" s="392">
        <f t="shared" si="216"/>
        <v>0</v>
      </c>
      <c r="U428" s="410">
        <f>база!$M$5</f>
        <v>247.41720000000001</v>
      </c>
      <c r="V428" s="390">
        <v>1.2</v>
      </c>
      <c r="W428" s="412">
        <f>SUMIFS(Таблица14[часы],Таблица14[коэф],"1,2",Таблица14[р/р],"4/24",Таблица14[Ф. И. О.],B429)</f>
        <v>0</v>
      </c>
      <c r="X428" s="545">
        <f t="shared" si="217"/>
        <v>0</v>
      </c>
      <c r="Y428" s="764"/>
      <c r="Z428" s="766"/>
      <c r="AA428" s="756"/>
      <c r="AC428" s="752" t="str">
        <f>IF(SUMIFS(Таблица14[Столбец2],Таблица14[Ф. И. О.],B429)-Z424=0,"",SUMIFS(Таблица14[Столбец2],Таблица14[Ф. И. О.],B429)-Z424)</f>
        <v/>
      </c>
    </row>
    <row r="429" spans="1:29">
      <c r="A429" s="756"/>
      <c r="B429" s="215" t="str">
        <f>база!B40</f>
        <v>Кравченко Светлана Александровна</v>
      </c>
      <c r="C429" s="759"/>
      <c r="D429" s="762"/>
      <c r="E429" s="389"/>
      <c r="F429" s="390"/>
      <c r="G429" s="400"/>
      <c r="H429" s="392">
        <f t="shared" si="214"/>
        <v>0</v>
      </c>
      <c r="I429" s="393"/>
      <c r="J429" s="390"/>
      <c r="K429" s="434"/>
      <c r="L429" s="434">
        <f t="shared" si="215"/>
        <v>0</v>
      </c>
      <c r="M429" s="434"/>
      <c r="N429" s="434"/>
      <c r="O429" s="434"/>
      <c r="P429" s="406"/>
      <c r="Q429" s="389">
        <f>база!$L$6</f>
        <v>261.04640000000001</v>
      </c>
      <c r="R429" s="390">
        <v>1.2</v>
      </c>
      <c r="S429" s="400">
        <f>SUMIFS(Таблица14[часы],Таблица14[коэф],"1,2",Таблица14[р/р],"5/16",Таблица14[Ф. И. О.],B429)</f>
        <v>0</v>
      </c>
      <c r="T429" s="392">
        <f t="shared" si="216"/>
        <v>0</v>
      </c>
      <c r="U429" s="410">
        <f>база!$M$6</f>
        <v>279.0496</v>
      </c>
      <c r="V429" s="390">
        <v>1.2</v>
      </c>
      <c r="W429" s="412">
        <f>SUMIFS(Таблица14[часы],Таблица14[коэф],"1,2",Таблица14[р/р],"5/24",Таблица14[Ф. И. О.],B429)</f>
        <v>0</v>
      </c>
      <c r="X429" s="545">
        <f t="shared" si="217"/>
        <v>0</v>
      </c>
      <c r="Y429" s="764"/>
      <c r="Z429" s="766"/>
      <c r="AA429" s="756"/>
      <c r="AC429" s="752" t="str">
        <f>IF(SUMIFS(Таблица14[часы],Таблица14[Ф. И. О.],B429)-Y424=0,"",SUMIFS(Таблица14[часы],Таблица14[Ф. И. О.],B429)-Y424)</f>
        <v/>
      </c>
    </row>
    <row r="430" spans="1:29">
      <c r="A430" s="756"/>
      <c r="B430" s="215"/>
      <c r="C430" s="759"/>
      <c r="D430" s="762"/>
      <c r="E430" s="389"/>
      <c r="F430" s="390"/>
      <c r="G430" s="400"/>
      <c r="H430" s="392">
        <f t="shared" si="214"/>
        <v>0</v>
      </c>
      <c r="I430" s="393"/>
      <c r="J430" s="390"/>
      <c r="K430" s="434"/>
      <c r="L430" s="434">
        <f t="shared" si="215"/>
        <v>0</v>
      </c>
      <c r="M430" s="434"/>
      <c r="N430" s="434"/>
      <c r="O430" s="434"/>
      <c r="P430" s="406"/>
      <c r="Q430" s="389">
        <f>IF(D424&lt;=3,база!$L$4,
IF(D424=4,база!$L$5,
IF(D424=5,база!$L$6)))</f>
        <v>210.57480000000001</v>
      </c>
      <c r="R430" s="390">
        <v>1.3</v>
      </c>
      <c r="S430" s="400">
        <f>SUMIFS(Таблица14[часы],Таблица14[коэф],"1,3",Таблица14[р/р],"3/16",Таблица14[Ф. И. О.],B429)</f>
        <v>0</v>
      </c>
      <c r="T430" s="392">
        <f t="shared" si="216"/>
        <v>0</v>
      </c>
      <c r="U430" s="410">
        <f>IF(D424&lt;=3,база!$M$4,
IF(D424=4,база!$M$5,
IF(D424=5,база!$M$6)))</f>
        <v>225.09719999999999</v>
      </c>
      <c r="V430" s="390">
        <v>1.3</v>
      </c>
      <c r="W430" s="412">
        <f>SUMIFS(Таблица14[часы],Таблица14[коэф],"1,3",Таблица14[р/р],"3/24",Таблица14[Ф. И. О.],B429)</f>
        <v>0</v>
      </c>
      <c r="X430" s="545">
        <f t="shared" si="217"/>
        <v>0</v>
      </c>
      <c r="Y430" s="764"/>
      <c r="Z430" s="766"/>
      <c r="AA430" s="756"/>
    </row>
    <row r="431" spans="1:29">
      <c r="A431" s="756"/>
      <c r="B431" s="215"/>
      <c r="C431" s="759"/>
      <c r="D431" s="762"/>
      <c r="E431" s="389"/>
      <c r="F431" s="390"/>
      <c r="G431" s="400"/>
      <c r="H431" s="392">
        <f t="shared" si="214"/>
        <v>0</v>
      </c>
      <c r="I431" s="393"/>
      <c r="J431" s="390"/>
      <c r="K431" s="434"/>
      <c r="L431" s="434">
        <f t="shared" si="215"/>
        <v>0</v>
      </c>
      <c r="M431" s="434"/>
      <c r="N431" s="434"/>
      <c r="O431" s="434"/>
      <c r="P431" s="406"/>
      <c r="Q431" s="389">
        <f>база!$L$5</f>
        <v>231.45480000000001</v>
      </c>
      <c r="R431" s="390">
        <v>1.3</v>
      </c>
      <c r="S431" s="400">
        <f>SUMIFS(Таблица14[часы],Таблица14[коэф],"1,3",Таблица14[р/р],"4/16",Таблица14[Ф. И. О.],B429)</f>
        <v>0</v>
      </c>
      <c r="T431" s="392">
        <f t="shared" si="216"/>
        <v>0</v>
      </c>
      <c r="U431" s="410">
        <f>база!$M$5</f>
        <v>247.41720000000001</v>
      </c>
      <c r="V431" s="390">
        <v>1.3</v>
      </c>
      <c r="W431" s="412">
        <f>SUMIFS(Таблица14[часы],Таблица14[коэф],"1,3",Таблица14[р/р],"4/24",Таблица14[Ф. И. О.],B429)</f>
        <v>0</v>
      </c>
      <c r="X431" s="545">
        <f t="shared" si="217"/>
        <v>0</v>
      </c>
      <c r="Y431" s="764"/>
      <c r="Z431" s="766"/>
      <c r="AA431" s="756"/>
    </row>
    <row r="432" spans="1:29">
      <c r="A432" s="756"/>
      <c r="B432" s="215"/>
      <c r="C432" s="759"/>
      <c r="D432" s="762"/>
      <c r="E432" s="389"/>
      <c r="F432" s="390"/>
      <c r="G432" s="400"/>
      <c r="H432" s="392">
        <f t="shared" si="214"/>
        <v>0</v>
      </c>
      <c r="I432" s="393"/>
      <c r="J432" s="390"/>
      <c r="K432" s="434"/>
      <c r="L432" s="434">
        <f t="shared" si="215"/>
        <v>0</v>
      </c>
      <c r="M432" s="434"/>
      <c r="N432" s="434"/>
      <c r="O432" s="434"/>
      <c r="P432" s="406"/>
      <c r="Q432" s="389">
        <f>IF(D424&lt;=3,база!$L$4,
IF(D424=4,база!$L$5,
IF(D424=5,база!$L$6)))</f>
        <v>210.57480000000001</v>
      </c>
      <c r="R432" s="390">
        <v>1.4</v>
      </c>
      <c r="S432" s="400">
        <f>SUMIFS(Таблица14[часы],Таблица14[коэф],"1,4",Таблица14[р/р],"3/16",Таблица14[Ф. И. О.],B429)</f>
        <v>0</v>
      </c>
      <c r="T432" s="392">
        <f t="shared" si="216"/>
        <v>0</v>
      </c>
      <c r="U432" s="410">
        <f>IF(D424&lt;=3,база!$M$4,
IF(D424=4,база!$M$5,
IF(D424=5,база!$M$6)))</f>
        <v>225.09719999999999</v>
      </c>
      <c r="V432" s="390">
        <v>1.4</v>
      </c>
      <c r="W432" s="412">
        <f>SUMIFS(Таблица14[часы],Таблица14[коэф],"1,4",Таблица14[р/р],"3/24",Таблица14[Ф. И. О.],B429)</f>
        <v>0</v>
      </c>
      <c r="X432" s="545">
        <f t="shared" si="217"/>
        <v>0</v>
      </c>
      <c r="Y432" s="764"/>
      <c r="Z432" s="766"/>
      <c r="AA432" s="756"/>
    </row>
    <row r="433" spans="1:29">
      <c r="A433" s="756"/>
      <c r="B433" s="215"/>
      <c r="C433" s="759"/>
      <c r="D433" s="762"/>
      <c r="E433" s="389"/>
      <c r="F433" s="390"/>
      <c r="G433" s="400"/>
      <c r="H433" s="392">
        <f t="shared" si="214"/>
        <v>0</v>
      </c>
      <c r="I433" s="393"/>
      <c r="J433" s="390"/>
      <c r="K433" s="434"/>
      <c r="L433" s="434">
        <f t="shared" si="215"/>
        <v>0</v>
      </c>
      <c r="M433" s="434"/>
      <c r="N433" s="434"/>
      <c r="O433" s="434"/>
      <c r="P433" s="406"/>
      <c r="Q433" s="389">
        <f>база!$L$5</f>
        <v>231.45480000000001</v>
      </c>
      <c r="R433" s="390">
        <v>1.4</v>
      </c>
      <c r="S433" s="400">
        <f>SUMIFS(Таблица14[часы],Таблица14[коэф],"1,4",Таблица14[р/р],"4/16",Таблица14[Ф. И. О.],B429)</f>
        <v>0</v>
      </c>
      <c r="T433" s="392">
        <f t="shared" si="216"/>
        <v>0</v>
      </c>
      <c r="U433" s="410">
        <f>база!$M$5</f>
        <v>247.41720000000001</v>
      </c>
      <c r="V433" s="390">
        <v>1.4</v>
      </c>
      <c r="W433" s="412">
        <f>SUMIFS(Таблица14[часы],Таблица14[коэф],"1,4",Таблица14[р/р],"4/24",Таблица14[Ф. И. О.],B429)</f>
        <v>0</v>
      </c>
      <c r="X433" s="545">
        <f t="shared" si="217"/>
        <v>0</v>
      </c>
      <c r="Y433" s="764"/>
      <c r="Z433" s="766"/>
      <c r="AA433" s="756"/>
    </row>
    <row r="434" spans="1:29" ht="21" thickBot="1">
      <c r="A434" s="757"/>
      <c r="B434" s="215"/>
      <c r="C434" s="760"/>
      <c r="D434" s="763"/>
      <c r="E434" s="420"/>
      <c r="F434" s="403"/>
      <c r="G434" s="408"/>
      <c r="H434" s="409">
        <f t="shared" si="214"/>
        <v>0</v>
      </c>
      <c r="I434" s="422"/>
      <c r="J434" s="403"/>
      <c r="K434" s="460"/>
      <c r="L434" s="460">
        <f t="shared" si="215"/>
        <v>0</v>
      </c>
      <c r="M434" s="460"/>
      <c r="N434" s="460"/>
      <c r="O434" s="460"/>
      <c r="P434" s="479"/>
      <c r="Q434" s="420">
        <f>база!$L$6</f>
        <v>261.04640000000001</v>
      </c>
      <c r="R434" s="403">
        <v>1.4</v>
      </c>
      <c r="S434" s="408">
        <f>SUMIFS(Таблица14[часы],Таблица14[коэф],"1,4",Таблица14[р/р],"5/16",Таблица14[Ф. И. О.],B429)</f>
        <v>0</v>
      </c>
      <c r="T434" s="409">
        <f t="shared" si="216"/>
        <v>0</v>
      </c>
      <c r="U434" s="461">
        <f>база!$M$6</f>
        <v>279.0496</v>
      </c>
      <c r="V434" s="403">
        <v>1.4</v>
      </c>
      <c r="W434" s="527">
        <f>SUMIFS(Таблица14[часы],Таблица14[коэф],"1,4",Таблица14[р/р],"5/24",Таблица14[Ф. И. О.],B429)</f>
        <v>0</v>
      </c>
      <c r="X434" s="550">
        <f t="shared" si="217"/>
        <v>0</v>
      </c>
      <c r="Y434" s="765"/>
      <c r="Z434" s="767"/>
      <c r="AA434" s="757"/>
    </row>
    <row r="435" spans="1:29">
      <c r="A435" s="755">
        <v>40</v>
      </c>
      <c r="B435" s="235"/>
      <c r="C435" s="758">
        <f>INDEX(база!$E$2:$E$81, MATCH(B440,база!$B$2:$B$50,0))</f>
        <v>17281</v>
      </c>
      <c r="D435" s="761">
        <f>INDEX(база!$D$2:$D$89, MATCH(B440,база!$B$2:$B$50,0))</f>
        <v>3</v>
      </c>
      <c r="E435" s="377">
        <f>IF(D435&lt;=3,база!$I$4,
IF(D435=4,база!$I$5,
IF(D435=5,база!$I$6)))</f>
        <v>188.7912</v>
      </c>
      <c r="F435" s="378">
        <v>1</v>
      </c>
      <c r="G435" s="387">
        <f>SUMIFS(Таблица14[часы],Таблица14[коэф],"1",Таблица14[р/р],"2/4",Таблица14[Ф. И. О.],B440)</f>
        <v>0</v>
      </c>
      <c r="H435" s="380">
        <f>SUMIFS(Таблица14[Столбец2],Таблица14[коэф],"1",Таблица14[р/р],"2/4",Таблица14[Ф. И. О.],B440)</f>
        <v>0</v>
      </c>
      <c r="I435" s="426">
        <f>IF(D435&lt;=3,база!$J$4,
IF(D435=4,база!$J$5,
IF(D435=5,база!$J$6)))</f>
        <v>196.05240000000001</v>
      </c>
      <c r="J435" s="427">
        <v>1</v>
      </c>
      <c r="K435" s="428">
        <f>SUMIFS(Таблица14[часы],Таблица14[коэф],"1",Таблица14[р/р],"2/8",Таблица14[Ф. И. О.],B440)</f>
        <v>0</v>
      </c>
      <c r="L435" s="428">
        <f>SUMIFS(Таблица14[Столбец2],Таблица14[коэф],"1",Таблица14[р/р],"2/8",Таблица14[Ф. И. О.],B440)</f>
        <v>0</v>
      </c>
      <c r="M435" s="428"/>
      <c r="N435" s="428">
        <v>1</v>
      </c>
      <c r="O435" s="428">
        <f>SUMIFS(Data_Tech!$AM$3:$AM$67,Data_Tech!$E$3:$E$67,"1",Data_Tech!$G$3:$G$67,"3/12",Data_Tech!$F$3:$F$67,B440)</f>
        <v>0</v>
      </c>
      <c r="P435" s="385">
        <f>ROUND(M435*N435*O435,2)</f>
        <v>0</v>
      </c>
      <c r="Q435" s="377">
        <f>IF(D435&lt;=3,база!$L$4,
IF(D435=4,база!$L$5,
IF(D435=5,база!$L$6)))</f>
        <v>210.57480000000001</v>
      </c>
      <c r="R435" s="378">
        <v>1</v>
      </c>
      <c r="S435" s="387">
        <f>SUMIFS(Таблица14[часы],Таблица14[коэф],"1",Таблица14[р/р],"3/16",Таблица14[Ф. И. О.],B440)</f>
        <v>0</v>
      </c>
      <c r="T435" s="380">
        <f>SUMIFS(Таблица14[Столбец2],Таблица14[коэф],"1",Таблица14[р/р],"3/16",Таблица14[Ф. И. О.],B440)</f>
        <v>0</v>
      </c>
      <c r="U435" s="477">
        <f>IF(D435&lt;=3,база!$M$4,
IF(D435=4,база!$M$5,
IF(D435=5,база!$M$6)))</f>
        <v>225.09719999999999</v>
      </c>
      <c r="V435" s="378">
        <v>1</v>
      </c>
      <c r="W435" s="430">
        <f>SUMIFS(Таблица14[часы],Таблица14[коэф],"1",Таблица14[р/р],"3/24",Таблица14[Ф. И. О.],B440)</f>
        <v>0</v>
      </c>
      <c r="X435" s="543">
        <f>SUMIFS(Таблица14[Столбец2],Таблица14[коэф],"1",Таблица14[р/р],"3/24",Таблица14[Ф. И. О.],B440)</f>
        <v>0</v>
      </c>
      <c r="Y435" s="764">
        <f t="shared" ref="Y435" si="218">SUM(G435:G445,K435:K445,O435:O445,S435:S445,W435:W445)</f>
        <v>0</v>
      </c>
      <c r="Z435" s="766">
        <f t="shared" ref="Z435" si="219">IFERROR(SUM(H435:H445,L435:L445,T435:T445,X435:X445),"")</f>
        <v>0</v>
      </c>
      <c r="AA435" s="756"/>
    </row>
    <row r="436" spans="1:29">
      <c r="A436" s="756"/>
      <c r="B436" s="215"/>
      <c r="C436" s="759"/>
      <c r="D436" s="762"/>
      <c r="E436" s="389">
        <f>IF(D435&lt;=3,база!$I$4,
IF(D435=4,база!$I$5,
IF(D435=5,база!$I$6)))</f>
        <v>188.7912</v>
      </c>
      <c r="F436" s="390">
        <v>1</v>
      </c>
      <c r="G436" s="400">
        <f>SUMIFS(Таблица14[часы],Таблица14[коэф],"1",Таблица14[р/р],"3/4",Таблица14[Ф. И. О.],B440)</f>
        <v>0</v>
      </c>
      <c r="H436" s="392">
        <f>SUMIFS(Таблица14[Столбец2],Таблица14[коэф],"1",Таблица14[р/р],"3/4",Таблица14[Ф. И. О.],B440)</f>
        <v>0</v>
      </c>
      <c r="I436" s="432">
        <f>IF(D435&lt;=3,база!$J$4,
IF(D435=4,база!$J$5,
IF(D435=5,база!$J$6)))</f>
        <v>196.05240000000001</v>
      </c>
      <c r="J436" s="433">
        <v>1</v>
      </c>
      <c r="K436" s="434">
        <f>SUMIFS(Таблица14[часы],Таблица14[коэф],"1",Таблица14[р/р],"3/8",Таблица14[Ф. И. О.],B440)</f>
        <v>0</v>
      </c>
      <c r="L436" s="434">
        <f>SUMIFS(Таблица14[Столбец2],Таблица14[коэф],"1",Таблица14[р/р],"3/8",Таблица14[Ф. И. О.],B440)</f>
        <v>0</v>
      </c>
      <c r="M436" s="434"/>
      <c r="N436" s="434">
        <v>1</v>
      </c>
      <c r="O436" s="434">
        <f>SUMIFS(Data_Tech!$AM$3:$AM$67,Data_Tech!$E$3:$E$67,"1",Data_Tech!$G$3:$G$67,"4/12",Data_Tech!$F$3:$F$67,B440)</f>
        <v>0</v>
      </c>
      <c r="P436" s="406">
        <f>ROUND(M436*O436,2)</f>
        <v>0</v>
      </c>
      <c r="Q436" s="389">
        <f>база!$L$5</f>
        <v>231.45480000000001</v>
      </c>
      <c r="R436" s="390">
        <v>1</v>
      </c>
      <c r="S436" s="400">
        <f>SUMIFS(Таблица14[часы],Таблица14[коэф],"1",Таблица14[р/р],"4/16",Таблица14[Ф. И. О.],B440)</f>
        <v>0</v>
      </c>
      <c r="T436" s="392">
        <f>SUMIFS(Таблица14[Столбец2],Таблица14[коэф],"1",Таблица14[р/р],"4/16",Таблица14[Ф. И. О.],B440)</f>
        <v>0</v>
      </c>
      <c r="U436" s="478">
        <f>база!$M$5</f>
        <v>247.41720000000001</v>
      </c>
      <c r="V436" s="390">
        <v>1</v>
      </c>
      <c r="W436" s="412">
        <f>SUMIFS(Таблица14[часы],Таблица14[коэф],"1",Таблица14[р/р],"4/24",Таблица14[Ф. И. О.],B440)</f>
        <v>0</v>
      </c>
      <c r="X436" s="545">
        <f>SUMIFS(Таблица14[Столбец2],Таблица14[коэф],"1",Таблица14[р/р],"4/24",Таблица14[Ф. И. О.],B440)</f>
        <v>0</v>
      </c>
      <c r="Y436" s="764"/>
      <c r="Z436" s="766"/>
      <c r="AA436" s="756"/>
    </row>
    <row r="437" spans="1:29">
      <c r="A437" s="756"/>
      <c r="B437" s="215"/>
      <c r="C437" s="759"/>
      <c r="D437" s="762"/>
      <c r="E437" s="389"/>
      <c r="F437" s="390"/>
      <c r="G437" s="400"/>
      <c r="H437" s="392"/>
      <c r="I437" s="432"/>
      <c r="J437" s="433"/>
      <c r="K437" s="434"/>
      <c r="L437" s="434"/>
      <c r="M437" s="434"/>
      <c r="N437" s="434"/>
      <c r="O437" s="434"/>
      <c r="P437" s="406"/>
      <c r="Q437" s="389">
        <f>база!$L$6</f>
        <v>261.04640000000001</v>
      </c>
      <c r="R437" s="390">
        <v>1</v>
      </c>
      <c r="S437" s="400">
        <f>SUMIFS(Таблица14[часы],Таблица14[коэф],"1",Таблица14[р/р],"5/16",Таблица14[Ф. И. О.],B440)</f>
        <v>0</v>
      </c>
      <c r="T437" s="392">
        <f>SUMIFS(Таблица14[Столбец2],Таблица14[коэф],"1",Таблица14[р/р],"5/16",Таблица14[Ф. И. О.],B440)</f>
        <v>0</v>
      </c>
      <c r="U437" s="478">
        <f>база!$M$6</f>
        <v>279.0496</v>
      </c>
      <c r="V437" s="390">
        <v>1</v>
      </c>
      <c r="W437" s="412">
        <f>SUMIFS(Таблица14[часы],Таблица14[коэф],"1",Таблица14[р/р],"5/24",Таблица14[Ф. И. О.],B440)</f>
        <v>0</v>
      </c>
      <c r="X437" s="545">
        <f>SUMIFS(Таблица14[Столбец2],Таблица14[коэф],"1",Таблица14[р/р],"5/24",Таблица14[Ф. И. О.],B440)</f>
        <v>0</v>
      </c>
      <c r="Y437" s="764"/>
      <c r="Z437" s="766"/>
      <c r="AA437" s="756"/>
    </row>
    <row r="438" spans="1:29">
      <c r="A438" s="756"/>
      <c r="B438" s="215"/>
      <c r="C438" s="759"/>
      <c r="D438" s="762"/>
      <c r="E438" s="389"/>
      <c r="F438" s="390"/>
      <c r="G438" s="400"/>
      <c r="H438" s="392"/>
      <c r="I438" s="432">
        <f>база!$J$5</f>
        <v>215.4924</v>
      </c>
      <c r="J438" s="433">
        <v>1.5</v>
      </c>
      <c r="K438" s="434">
        <f>SUMIFS(Таблица14[часы],Таблица14[коэф],"1,5",Таблица14[р/р],"4/8",Таблица14[Ф. И. О.],B440)</f>
        <v>0</v>
      </c>
      <c r="L438" s="434">
        <f>SUMIFS(Таблица14[Столбец2],Таблица14[коэф],"1,5",Таблица14[р/р],"4/8",Таблица14[Ф. И. О.],B440)</f>
        <v>0</v>
      </c>
      <c r="M438" s="434"/>
      <c r="N438" s="434"/>
      <c r="O438" s="434"/>
      <c r="P438" s="406"/>
      <c r="Q438" s="389">
        <f>IF(D435&lt;=3,база!$L$4,
IF(D435=4,база!$L$5,
IF(D435=5,база!$L$6)))</f>
        <v>210.57480000000001</v>
      </c>
      <c r="R438" s="390">
        <v>1.2</v>
      </c>
      <c r="S438" s="400">
        <f>SUMIFS(Таблица14[часы],Таблица14[коэф],"1,2",Таблица14[р/р],"3/16",Таблица14[Ф. И. О.],B440)</f>
        <v>0</v>
      </c>
      <c r="T438" s="392">
        <f>SUMIFS(Таблица14[Столбец2],Таблица14[коэф],"1,2",Таблица14[р/р],"3/16",Таблица14[Ф. И. О.],B440)</f>
        <v>0</v>
      </c>
      <c r="U438" s="478">
        <f>IF(D435&lt;=3,база!$M$4,
IF(D435=4,база!$M$5,
IF(D435=5,база!$M$6)))</f>
        <v>225.09719999999999</v>
      </c>
      <c r="V438" s="390">
        <v>1.2</v>
      </c>
      <c r="W438" s="412">
        <f>SUMIFS(Таблица14[часы],Таблица14[коэф],"1,2",Таблица14[р/р],"3/24",Таблица14[Ф. И. О.],B440)</f>
        <v>0</v>
      </c>
      <c r="X438" s="545">
        <f>SUMIFS(Таблица14[Столбец2],Таблица14[коэф],"1,2",Таблица14[р/р],"3/24",Таблица14[Ф. И. О.],B440)</f>
        <v>0</v>
      </c>
      <c r="Y438" s="764"/>
      <c r="Z438" s="766"/>
      <c r="AA438" s="756"/>
    </row>
    <row r="439" spans="1:29">
      <c r="A439" s="756"/>
      <c r="B439" s="215"/>
      <c r="C439" s="759"/>
      <c r="D439" s="762"/>
      <c r="E439" s="389"/>
      <c r="F439" s="390"/>
      <c r="G439" s="400"/>
      <c r="H439" s="392"/>
      <c r="I439" s="432">
        <f>база!$J$6</f>
        <v>243.04319999999998</v>
      </c>
      <c r="J439" s="433">
        <v>1.5</v>
      </c>
      <c r="K439" s="434">
        <f>SUMIFS(Таблица14[часы],Таблица14[коэф],"1,5",Таблица14[р/р],"5/8",Таблица14[Ф. И. О.],B440)</f>
        <v>0</v>
      </c>
      <c r="L439" s="434">
        <f>SUMIFS(Таблица14[Столбец2],Таблица14[коэф],"1,5",Таблица14[р/р],"5/8",Таблица14[Ф. И. О.],B440)</f>
        <v>0</v>
      </c>
      <c r="M439" s="434"/>
      <c r="N439" s="434"/>
      <c r="O439" s="434"/>
      <c r="P439" s="406"/>
      <c r="Q439" s="389">
        <f>база!$L$5</f>
        <v>231.45480000000001</v>
      </c>
      <c r="R439" s="390">
        <v>1.2</v>
      </c>
      <c r="S439" s="400">
        <f>SUMIFS(Таблица14[часы],Таблица14[коэф],"1,2",Таблица14[р/р],"4/16",Таблица14[Ф. И. О.],B440)</f>
        <v>0</v>
      </c>
      <c r="T439" s="392">
        <f>SUMIFS(Таблица14[Столбец2],Таблица14[коэф],"1,2",Таблица14[р/р],"4/16",Таблица14[Ф. И. О.],B440)</f>
        <v>0</v>
      </c>
      <c r="U439" s="478">
        <f>база!$M$5</f>
        <v>247.41720000000001</v>
      </c>
      <c r="V439" s="390">
        <v>1.2</v>
      </c>
      <c r="W439" s="412">
        <f>SUMIFS(Таблица14[часы],Таблица14[коэф],"1,2",Таблица14[р/р],"4/24",Таблица14[Ф. И. О.],B440)</f>
        <v>0</v>
      </c>
      <c r="X439" s="545">
        <f>SUMIFS(Таблица14[Столбец2],Таблица14[коэф],"1,2",Таблица14[р/р],"4/24",Таблица14[Ф. И. О.],B440)</f>
        <v>0</v>
      </c>
      <c r="Y439" s="764"/>
      <c r="Z439" s="766"/>
      <c r="AA439" s="756"/>
    </row>
    <row r="440" spans="1:29">
      <c r="A440" s="756"/>
      <c r="B440" s="215" t="str">
        <f>база!B41</f>
        <v>Лапина Елена Сергеевна</v>
      </c>
      <c r="C440" s="759"/>
      <c r="D440" s="762"/>
      <c r="E440" s="389"/>
      <c r="F440" s="390"/>
      <c r="G440" s="400"/>
      <c r="H440" s="392"/>
      <c r="I440" s="432"/>
      <c r="J440" s="433"/>
      <c r="K440" s="434"/>
      <c r="L440" s="434"/>
      <c r="M440" s="434"/>
      <c r="N440" s="434"/>
      <c r="O440" s="434"/>
      <c r="P440" s="406"/>
      <c r="Q440" s="389">
        <f>база!$L$6</f>
        <v>261.04640000000001</v>
      </c>
      <c r="R440" s="390">
        <v>1.2</v>
      </c>
      <c r="S440" s="400">
        <f>SUMIFS(Таблица14[часы],Таблица14[коэф],"1,2",Таблица14[р/р],"5/16",Таблица14[Ф. И. О.],B440)</f>
        <v>0</v>
      </c>
      <c r="T440" s="392">
        <f>SUMIFS(Таблица14[Столбец2],Таблица14[коэф],"1,2",Таблица14[р/р],"5/16",Таблица14[Ф. И. О.],B440)</f>
        <v>0</v>
      </c>
      <c r="U440" s="478">
        <f>база!$M$6</f>
        <v>279.0496</v>
      </c>
      <c r="V440" s="390">
        <v>1.2</v>
      </c>
      <c r="W440" s="412">
        <f>SUMIFS(Таблица14[часы],Таблица14[коэф],"1,2",Таблица14[р/р],"5/24",Таблица14[Ф. И. О.],B440)</f>
        <v>0</v>
      </c>
      <c r="X440" s="545">
        <f>SUMIFS(Таблица14[Столбец2],Таблица14[коэф],"1,2",Таблица14[р/р],"5/24",Таблица14[Ф. И. О.],B440)</f>
        <v>0</v>
      </c>
      <c r="Y440" s="764"/>
      <c r="Z440" s="766"/>
      <c r="AA440" s="756"/>
      <c r="AC440" s="752" t="str">
        <f>IF(SUMIFS(Таблица14[Столбец2],Таблица14[Ф. И. О.],B440)-Z435=0,"",SUMIFS(Таблица14[Столбец2],Таблица14[Ф. И. О.],B440)-Z435)</f>
        <v/>
      </c>
    </row>
    <row r="441" spans="1:29">
      <c r="A441" s="756"/>
      <c r="B441" s="215"/>
      <c r="C441" s="759"/>
      <c r="D441" s="762"/>
      <c r="E441" s="389"/>
      <c r="F441" s="390"/>
      <c r="G441" s="400"/>
      <c r="H441" s="392"/>
      <c r="I441" s="432"/>
      <c r="J441" s="433"/>
      <c r="K441" s="434"/>
      <c r="L441" s="434"/>
      <c r="M441" s="434"/>
      <c r="N441" s="434"/>
      <c r="O441" s="434"/>
      <c r="P441" s="406"/>
      <c r="Q441" s="389">
        <f>IF($D$6&lt;=3,база!$L$4,
IF($D$6=4,база!$L$5,
IF($D$6=5,база!$L$6)))</f>
        <v>231.45480000000001</v>
      </c>
      <c r="R441" s="390">
        <v>1.3</v>
      </c>
      <c r="S441" s="400">
        <f>SUMIFS(Таблица14[часы],Таблица14[коэф],"1,3",Таблица14[р/р],"3/16",Таблица14[Ф. И. О.],B440)</f>
        <v>0</v>
      </c>
      <c r="T441" s="392">
        <f>SUMIFS(Таблица14[Столбец2],Таблица14[коэф],"1,3",Таблица14[р/р],"3/16",Таблица14[Ф. И. О.],B440)</f>
        <v>0</v>
      </c>
      <c r="U441" s="478">
        <f>IF(D435&lt;=3,база!$M$4,
IF(D435=4,база!$M$5,
IF(D435=5,база!$M$6)))</f>
        <v>225.09719999999999</v>
      </c>
      <c r="V441" s="390">
        <v>1.3</v>
      </c>
      <c r="W441" s="412">
        <f>SUMIFS(Таблица14[часы],Таблица14[коэф],"1,3",Таблица14[р/р],"3/24",Таблица14[Ф. И. О.],B440)</f>
        <v>0</v>
      </c>
      <c r="X441" s="545">
        <f>SUMIFS(Таблица14[Столбец2],Таблица14[коэф],"1,3",Таблица14[р/р],"3/24",Таблица14[Ф. И. О.],B440)</f>
        <v>0</v>
      </c>
      <c r="Y441" s="764"/>
      <c r="Z441" s="766"/>
      <c r="AA441" s="756"/>
      <c r="AC441" s="752" t="str">
        <f>IF(SUMIFS(Таблица14[часы],Таблица14[Ф. И. О.],B440)-Y435=0,"",SUMIFS(Таблица14[часы],Таблица14[Ф. И. О.],B440)-Y435)</f>
        <v/>
      </c>
    </row>
    <row r="442" spans="1:29">
      <c r="A442" s="756"/>
      <c r="B442" s="215"/>
      <c r="C442" s="759"/>
      <c r="D442" s="762"/>
      <c r="E442" s="389"/>
      <c r="F442" s="390"/>
      <c r="G442" s="400"/>
      <c r="H442" s="392"/>
      <c r="I442" s="432"/>
      <c r="J442" s="433"/>
      <c r="K442" s="434"/>
      <c r="L442" s="434"/>
      <c r="M442" s="434"/>
      <c r="N442" s="434"/>
      <c r="O442" s="434"/>
      <c r="P442" s="406"/>
      <c r="Q442" s="389">
        <f>база!$L$5</f>
        <v>231.45480000000001</v>
      </c>
      <c r="R442" s="390">
        <v>1.3</v>
      </c>
      <c r="S442" s="400">
        <f>SUMIFS(Таблица14[часы],Таблица14[коэф],"1,3",Таблица14[р/р],"4/16",Таблица14[Ф. И. О.],B440)</f>
        <v>0</v>
      </c>
      <c r="T442" s="392">
        <f>SUMIFS(Таблица14[Столбец2],Таблица14[коэф],"1,3",Таблица14[р/р],"4/16",Таблица14[Ф. И. О.],B440)</f>
        <v>0</v>
      </c>
      <c r="U442" s="478">
        <f>база!$M$5</f>
        <v>247.41720000000001</v>
      </c>
      <c r="V442" s="390">
        <v>1.3</v>
      </c>
      <c r="W442" s="412">
        <f>SUMIFS(Таблица14[часы],Таблица14[коэф],"1,3",Таблица14[р/р],"4/24",Таблица14[Ф. И. О.],B440)</f>
        <v>0</v>
      </c>
      <c r="X442" s="545">
        <f>SUMIFS(Таблица14[Столбец2],Таблица14[коэф],"1,3",Таблица14[р/р],"4/24",Таблица14[Ф. И. О.],B440)</f>
        <v>0</v>
      </c>
      <c r="Y442" s="764"/>
      <c r="Z442" s="766"/>
      <c r="AA442" s="756"/>
    </row>
    <row r="443" spans="1:29">
      <c r="A443" s="756"/>
      <c r="B443" s="215"/>
      <c r="C443" s="759"/>
      <c r="D443" s="762"/>
      <c r="E443" s="389"/>
      <c r="F443" s="390"/>
      <c r="G443" s="400"/>
      <c r="H443" s="392"/>
      <c r="I443" s="432"/>
      <c r="J443" s="433"/>
      <c r="K443" s="434"/>
      <c r="L443" s="434"/>
      <c r="M443" s="434"/>
      <c r="N443" s="434"/>
      <c r="O443" s="434"/>
      <c r="P443" s="406"/>
      <c r="Q443" s="389">
        <f>IF(D435&lt;=3,база!$L$4,
IF(D435=4,база!$L$5,
IF(D435=5,база!$L$6)))</f>
        <v>210.57480000000001</v>
      </c>
      <c r="R443" s="390">
        <v>1.4</v>
      </c>
      <c r="S443" s="400">
        <f>SUMIFS(Таблица14[часы],Таблица14[коэф],"1,4",Таблица14[р/р],"3/16",Таблица14[Ф. И. О.],B440)</f>
        <v>0</v>
      </c>
      <c r="T443" s="392">
        <f>SUMIFS(Таблица14[Столбец2],Таблица14[коэф],"1,4",Таблица14[р/р],"3/16",Таблица14[Ф. И. О.],B440)</f>
        <v>0</v>
      </c>
      <c r="U443" s="478">
        <f>IF(D435&lt;=3,база!$M$4,
IF(D435=4,база!$M$5,
IF(D435=5,база!$M$6)))</f>
        <v>225.09719999999999</v>
      </c>
      <c r="V443" s="390">
        <v>1.4</v>
      </c>
      <c r="W443" s="412">
        <f>SUMIFS(Таблица14[часы],Таблица14[коэф],"1,4",Таблица14[р/р],"3/24",Таблица14[Ф. И. О.],B440)</f>
        <v>0</v>
      </c>
      <c r="X443" s="545">
        <f>SUMIFS(Таблица14[Столбец2],Таблица14[коэф],"1,4",Таблица14[р/р],"3/24",Таблица14[Ф. И. О.],B440)</f>
        <v>0</v>
      </c>
      <c r="Y443" s="764"/>
      <c r="Z443" s="766"/>
      <c r="AA443" s="756"/>
    </row>
    <row r="444" spans="1:29">
      <c r="A444" s="756"/>
      <c r="B444" s="215"/>
      <c r="C444" s="759"/>
      <c r="D444" s="762"/>
      <c r="E444" s="389"/>
      <c r="F444" s="390"/>
      <c r="G444" s="400"/>
      <c r="H444" s="392"/>
      <c r="I444" s="432"/>
      <c r="J444" s="433"/>
      <c r="K444" s="434"/>
      <c r="L444" s="434"/>
      <c r="M444" s="434"/>
      <c r="N444" s="434"/>
      <c r="O444" s="434"/>
      <c r="P444" s="406"/>
      <c r="Q444" s="389">
        <f>база!$L$5</f>
        <v>231.45480000000001</v>
      </c>
      <c r="R444" s="390">
        <v>1.4</v>
      </c>
      <c r="S444" s="400">
        <f>SUMIFS(Таблица14[часы],Таблица14[коэф],"1,4",Таблица14[р/р],"4/16",Таблица14[Ф. И. О.],B440)</f>
        <v>0</v>
      </c>
      <c r="T444" s="392">
        <f>SUMIFS(Таблица14[Столбец2],Таблица14[коэф],"1,4",Таблица14[р/р],"4/16",Таблица14[Ф. И. О.],B440)</f>
        <v>0</v>
      </c>
      <c r="U444" s="478">
        <f>база!$M$5</f>
        <v>247.41720000000001</v>
      </c>
      <c r="V444" s="390">
        <v>1.4</v>
      </c>
      <c r="W444" s="412">
        <f>SUMIFS(Таблица14[часы],Таблица14[коэф],"1,4",Таблица14[р/р],"4/24",Таблица14[Ф. И. О.],B440)</f>
        <v>0</v>
      </c>
      <c r="X444" s="545">
        <f>SUMIFS(Таблица14[Столбец2],Таблица14[коэф],"1,4",Таблица14[р/р],"4/24",Таблица14[Ф. И. О.],B440)</f>
        <v>0</v>
      </c>
      <c r="Y444" s="764"/>
      <c r="Z444" s="766"/>
      <c r="AA444" s="756"/>
    </row>
    <row r="445" spans="1:29" ht="21" thickBot="1">
      <c r="A445" s="757"/>
      <c r="B445" s="202"/>
      <c r="C445" s="760"/>
      <c r="D445" s="763"/>
      <c r="E445" s="473"/>
      <c r="F445" s="464"/>
      <c r="G445" s="465"/>
      <c r="H445" s="468"/>
      <c r="I445" s="466"/>
      <c r="J445" s="456"/>
      <c r="K445" s="457"/>
      <c r="L445" s="457"/>
      <c r="M445" s="457"/>
      <c r="N445" s="457"/>
      <c r="O445" s="457"/>
      <c r="P445" s="476"/>
      <c r="Q445" s="473">
        <f>база!$L$6</f>
        <v>261.04640000000001</v>
      </c>
      <c r="R445" s="464">
        <v>1.4</v>
      </c>
      <c r="S445" s="465">
        <f>SUMIFS(Таблица14[часы],Таблица14[коэф],"1,4",Таблица14[р/р],"5/16",Таблица14[Ф. И. О.],B440)</f>
        <v>0</v>
      </c>
      <c r="T445" s="468">
        <f>SUMIFS(Таблица14[Столбец2],Таблица14[коэф],"1,4",Таблица14[р/р],"5/16",Таблица14[Ф. И. О.],B440)</f>
        <v>0</v>
      </c>
      <c r="U445" s="480">
        <f>база!$M$6</f>
        <v>279.0496</v>
      </c>
      <c r="V445" s="464">
        <v>1.4</v>
      </c>
      <c r="W445" s="470">
        <f>SUMIFS(Таблица14[часы],Таблица14[коэф],"1,4",Таблица14[р/р],"5/24",Таблица14[Ф. И. О.],B440)</f>
        <v>0</v>
      </c>
      <c r="X445" s="547">
        <f>SUMIFS(Таблица14[Столбец2],Таблица14[коэф],"1,4",Таблица14[р/р],"5/24",Таблица14[Ф. И. О.],B440)</f>
        <v>0</v>
      </c>
      <c r="Y445" s="765"/>
      <c r="Z445" s="767"/>
      <c r="AA445" s="757"/>
    </row>
    <row r="446" spans="1:29" ht="20.25" customHeight="1">
      <c r="A446" s="755">
        <v>41</v>
      </c>
      <c r="B446" s="235"/>
      <c r="C446" s="758">
        <f>INDEX(база!$E$2:$E$81, MATCH(B451,база!$B$2:$B$50,0))</f>
        <v>17303</v>
      </c>
      <c r="D446" s="761">
        <f>INDEX(база!$D$2:$D$89, MATCH(B451,база!$B$2:$B$50,0))</f>
        <v>3</v>
      </c>
      <c r="E446" s="605">
        <f>IF(D446&lt;=3,база!$I$4,
IF(D446=4,база!$I$5,
IF(D446=5,база!$I$6)))</f>
        <v>188.7912</v>
      </c>
      <c r="F446" s="606">
        <v>1</v>
      </c>
      <c r="G446" s="607">
        <f>SUMIFS(Таблица14[часы],Таблица14[коэф],"1",Таблица14[р/р],"2/4",Таблица14[Ф. И. О.],B451)</f>
        <v>0</v>
      </c>
      <c r="H446" s="518">
        <f>SUMIFS(Таблица14[Столбец2],Таблица14[коэф],"1",Таблица14[р/р],"2/4",Таблица14[Ф. И. О.],B451)</f>
        <v>0</v>
      </c>
      <c r="I446" s="608">
        <f>IF(D446&lt;=3,база!$J$4,
IF(D446=4,база!$J$5,
IF(D446=5,база!$J$6)))</f>
        <v>196.05240000000001</v>
      </c>
      <c r="J446" s="609">
        <v>1</v>
      </c>
      <c r="K446" s="610">
        <f>SUMIFS(Таблица14[часы],Таблица14[коэф],"1",Таблица14[р/р],"2/8",Таблица14[Ф. И. О.],B451)</f>
        <v>0</v>
      </c>
      <c r="L446" s="610">
        <f>SUMIFS(Таблица14[Столбец2],Таблица14[коэф],"1",Таблица14[р/р],"2/8",Таблица14[Ф. И. О.],B451)</f>
        <v>0</v>
      </c>
      <c r="M446" s="610"/>
      <c r="N446" s="610">
        <v>1</v>
      </c>
      <c r="O446" s="610">
        <f>SUMIFS(Data_Tech!$AM$3:$AM$67,Data_Tech!$E$3:$E$67,"1",Data_Tech!$G$3:$G$67,"3/12",Data_Tech!$F$3:$F$67,B451)</f>
        <v>0</v>
      </c>
      <c r="P446" s="611">
        <f>ROUND(M446*N446*O446,2)</f>
        <v>0</v>
      </c>
      <c r="Q446" s="605">
        <f>IF(D446&lt;=3,база!$L$4,
IF(D446=4,база!$L$5,
IF(D446=5,база!$L$6)))</f>
        <v>210.57480000000001</v>
      </c>
      <c r="R446" s="606">
        <v>1</v>
      </c>
      <c r="S446" s="607">
        <f>SUMIFS(Таблица14[часы],Таблица14[коэф],"1",Таблица14[р/р],"3/16",Таблица14[Ф. И. О.],B451)</f>
        <v>0</v>
      </c>
      <c r="T446" s="518">
        <f>SUMIFS(Таблица14[Столбец2],Таблица14[коэф],"1",Таблица14[р/р],"3/16",Таблица14[Ф. И. О.],B451)</f>
        <v>0</v>
      </c>
      <c r="U446" s="612">
        <f>IF(D446&lt;=3,база!$M$4,
IF(D446=4,база!$M$5,
IF(D446=5,база!$M$6)))</f>
        <v>225.09719999999999</v>
      </c>
      <c r="V446" s="606">
        <v>1</v>
      </c>
      <c r="W446" s="613">
        <f>SUMIFS(Таблица14[часы],Таблица14[коэф],"1",Таблица14[р/р],"3/24",Таблица14[Ф. И. О.],B451)</f>
        <v>0</v>
      </c>
      <c r="X446" s="614">
        <f>SUMIFS(Таблица14[Столбец2],Таблица14[коэф],"1",Таблица14[р/р],"3/24",Таблица14[Ф. И. О.],B451)</f>
        <v>0</v>
      </c>
      <c r="Y446" s="769">
        <f t="shared" ref="Y446" si="220">SUM(G446:G456,K446:K456,O446:O456,S446:S456,W446:W456)</f>
        <v>0</v>
      </c>
      <c r="Z446" s="768">
        <f t="shared" ref="Z446" si="221">IFERROR(SUM(H446:H456,L446:L456,T446:T456,X446:X456),"")</f>
        <v>0</v>
      </c>
      <c r="AA446" s="755"/>
    </row>
    <row r="447" spans="1:29">
      <c r="A447" s="756"/>
      <c r="B447" s="215"/>
      <c r="C447" s="759"/>
      <c r="D447" s="762"/>
      <c r="E447" s="437">
        <f>IF(D446&lt;=3,база!$I$4,
IF(D446=4,база!$I$5,
IF(D446=5,база!$I$6)))</f>
        <v>188.7912</v>
      </c>
      <c r="F447" s="390">
        <v>1</v>
      </c>
      <c r="G447" s="400">
        <f>SUMIFS(Таблица14[часы],Таблица14[коэф],"1",Таблица14[р/р],"3/4",Таблица14[Ф. И. О.],B451)</f>
        <v>0</v>
      </c>
      <c r="H447" s="440">
        <f>SUMIFS(Таблица14[Столбец2],Таблица14[коэф],"1",Таблица14[р/р],"3/4",Таблица14[Ф. И. О.],B451)</f>
        <v>0</v>
      </c>
      <c r="I447" s="441">
        <f>IF(D446&lt;=3,база!$J$4,
IF(D446=4,база!$J$5,
IF(D446=5,база!$J$6)))</f>
        <v>196.05240000000001</v>
      </c>
      <c r="J447" s="602">
        <v>1</v>
      </c>
      <c r="K447" s="442">
        <f>SUMIFS(Таблица14[часы],Таблица14[коэф],"1",Таблица14[р/р],"3/8",Таблица14[Ф. И. О.],B451)</f>
        <v>0</v>
      </c>
      <c r="L447" s="442">
        <f>SUMIFS(Таблица14[Столбец2],Таблица14[коэф],"1",Таблица14[р/р],"3/8",Таблица14[Ф. И. О.],B451)</f>
        <v>0</v>
      </c>
      <c r="M447" s="442"/>
      <c r="N447" s="442">
        <v>1</v>
      </c>
      <c r="O447" s="442">
        <f>SUMIFS(Data_Tech!$AM$3:$AM$67,Data_Tech!$E$3:$E$67,"1",Data_Tech!$G$3:$G$67,"4/12",Data_Tech!$F$3:$F$67,B451)</f>
        <v>0</v>
      </c>
      <c r="P447" s="415">
        <f>ROUND(M447*O447,2)</f>
        <v>0</v>
      </c>
      <c r="Q447" s="437">
        <f>база!$L$5</f>
        <v>231.45480000000001</v>
      </c>
      <c r="R447" s="438">
        <v>1</v>
      </c>
      <c r="S447" s="439">
        <f>SUMIFS(Таблица14[часы],Таблица14[коэф],"1",Таблица14[р/р],"4/16",Таблица14[Ф. И. О.],B451)</f>
        <v>0</v>
      </c>
      <c r="T447" s="440">
        <f>SUMIFS(Таблица14[Столбец2],Таблица14[коэф],"1",Таблица14[р/р],"4/16",Таблица14[Ф. И. О.],B451)</f>
        <v>0</v>
      </c>
      <c r="U447" s="603">
        <f>база!$M$5</f>
        <v>247.41720000000001</v>
      </c>
      <c r="V447" s="438">
        <v>1</v>
      </c>
      <c r="W447" s="533">
        <f>SUMIFS(Таблица14[часы],Таблица14[коэф],"1",Таблица14[р/р],"4/24",Таблица14[Ф. И. О.],B451)</f>
        <v>0</v>
      </c>
      <c r="X447" s="604">
        <f>SUMIFS(Таблица14[Столбец2],Таблица14[коэф],"1",Таблица14[р/р],"4/24",Таблица14[Ф. И. О.],B451)</f>
        <v>0</v>
      </c>
      <c r="Y447" s="770"/>
      <c r="Z447" s="766"/>
      <c r="AA447" s="756"/>
    </row>
    <row r="448" spans="1:29">
      <c r="A448" s="756"/>
      <c r="B448" s="215"/>
      <c r="C448" s="759"/>
      <c r="D448" s="762"/>
      <c r="E448" s="437"/>
      <c r="F448" s="390"/>
      <c r="G448" s="400"/>
      <c r="H448" s="440"/>
      <c r="I448" s="441"/>
      <c r="J448" s="602"/>
      <c r="K448" s="442"/>
      <c r="L448" s="442"/>
      <c r="M448" s="442"/>
      <c r="N448" s="442"/>
      <c r="O448" s="442"/>
      <c r="P448" s="415"/>
      <c r="Q448" s="437">
        <f>база!$L$6</f>
        <v>261.04640000000001</v>
      </c>
      <c r="R448" s="438">
        <v>1</v>
      </c>
      <c r="S448" s="439">
        <f>SUMIFS(Таблица14[часы],Таблица14[коэф],"1",Таблица14[р/р],"5/16",Таблица14[Ф. И. О.],B451)</f>
        <v>0</v>
      </c>
      <c r="T448" s="440">
        <f>SUMIFS(Таблица14[Столбец2],Таблица14[коэф],"1",Таблица14[р/р],"5/16",Таблица14[Ф. И. О.],B451)</f>
        <v>0</v>
      </c>
      <c r="U448" s="603">
        <f>база!$M$6</f>
        <v>279.0496</v>
      </c>
      <c r="V448" s="438">
        <v>1</v>
      </c>
      <c r="W448" s="533">
        <f>SUMIFS(Таблица14[часы],Таблица14[коэф],"1",Таблица14[р/р],"5/24",Таблица14[Ф. И. О.],B451)</f>
        <v>0</v>
      </c>
      <c r="X448" s="604">
        <f>SUMIFS(Таблица14[Столбец2],Таблица14[коэф],"1",Таблица14[р/р],"5/24",Таблица14[Ф. И. О.],B451)</f>
        <v>0</v>
      </c>
      <c r="Y448" s="770"/>
      <c r="Z448" s="766"/>
      <c r="AA448" s="756"/>
    </row>
    <row r="449" spans="1:29">
      <c r="A449" s="756"/>
      <c r="B449" s="215"/>
      <c r="C449" s="759"/>
      <c r="D449" s="762"/>
      <c r="E449" s="437"/>
      <c r="F449" s="390"/>
      <c r="G449" s="400"/>
      <c r="H449" s="440"/>
      <c r="I449" s="441">
        <f>база!$J$5</f>
        <v>215.4924</v>
      </c>
      <c r="J449" s="602">
        <v>1.5</v>
      </c>
      <c r="K449" s="442">
        <f>SUMIFS(Таблица14[часы],Таблица14[коэф],"1,5",Таблица14[р/р],"4/8",Таблица14[Ф. И. О.],B451)</f>
        <v>0</v>
      </c>
      <c r="L449" s="442">
        <f>SUMIFS(Таблица14[Столбец2],Таблица14[коэф],"1,5",Таблица14[р/р],"4/8",Таблица14[Ф. И. О.],B451)</f>
        <v>0</v>
      </c>
      <c r="M449" s="442"/>
      <c r="N449" s="442"/>
      <c r="O449" s="442"/>
      <c r="P449" s="415"/>
      <c r="Q449" s="437">
        <f>IF(D446&lt;=3,база!$L$4,
IF(D446=4,база!$L$5,
IF(D446=5,база!$L$6)))</f>
        <v>210.57480000000001</v>
      </c>
      <c r="R449" s="438">
        <v>1.2</v>
      </c>
      <c r="S449" s="439">
        <f>SUMIFS(Таблица14[часы],Таблица14[коэф],"1,2",Таблица14[р/р],"3/16",Таблица14[Ф. И. О.],B451)</f>
        <v>0</v>
      </c>
      <c r="T449" s="440">
        <f>SUMIFS(Таблица14[Столбец2],Таблица14[коэф],"1,2",Таблица14[р/р],"3/16",Таблица14[Ф. И. О.],B451)</f>
        <v>0</v>
      </c>
      <c r="U449" s="603">
        <f>IF(D446&lt;=3,база!$M$4,
IF(D446=4,база!$M$5,
IF(D446=5,база!$M$6)))</f>
        <v>225.09719999999999</v>
      </c>
      <c r="V449" s="438">
        <v>1.2</v>
      </c>
      <c r="W449" s="533">
        <f>SUMIFS(Таблица14[часы],Таблица14[коэф],"1,2",Таблица14[р/р],"3/24",Таблица14[Ф. И. О.],B451)</f>
        <v>0</v>
      </c>
      <c r="X449" s="604">
        <f>SUMIFS(Таблица14[Столбец2],Таблица14[коэф],"1,2",Таблица14[р/р],"3/24",Таблица14[Ф. И. О.],B451)</f>
        <v>0</v>
      </c>
      <c r="Y449" s="770"/>
      <c r="Z449" s="766"/>
      <c r="AA449" s="756"/>
    </row>
    <row r="450" spans="1:29">
      <c r="A450" s="756"/>
      <c r="B450" s="215"/>
      <c r="C450" s="759"/>
      <c r="D450" s="762"/>
      <c r="E450" s="437"/>
      <c r="F450" s="390"/>
      <c r="G450" s="400"/>
      <c r="H450" s="440"/>
      <c r="I450" s="441">
        <f>база!$J$6</f>
        <v>243.04319999999998</v>
      </c>
      <c r="J450" s="602">
        <v>1.5</v>
      </c>
      <c r="K450" s="442">
        <f>SUMIFS(Таблица14[часы],Таблица14[коэф],"1,5",Таблица14[р/р],"5/8",Таблица14[Ф. И. О.],B451)</f>
        <v>0</v>
      </c>
      <c r="L450" s="442">
        <f>SUMIFS(Таблица14[Столбец2],Таблица14[коэф],"1,5",Таблица14[р/р],"5/8",Таблица14[Ф. И. О.],B451)</f>
        <v>0</v>
      </c>
      <c r="M450" s="442"/>
      <c r="N450" s="442"/>
      <c r="O450" s="442"/>
      <c r="P450" s="415"/>
      <c r="Q450" s="437">
        <f>база!$L$5</f>
        <v>231.45480000000001</v>
      </c>
      <c r="R450" s="438">
        <v>1.2</v>
      </c>
      <c r="S450" s="439">
        <f>SUMIFS(Таблица14[часы],Таблица14[коэф],"1,2",Таблица14[р/р],"4/16",Таблица14[Ф. И. О.],B451)</f>
        <v>0</v>
      </c>
      <c r="T450" s="440">
        <f>SUMIFS(Таблица14[Столбец2],Таблица14[коэф],"1,2",Таблица14[р/р],"4/16",Таблица14[Ф. И. О.],B451)</f>
        <v>0</v>
      </c>
      <c r="U450" s="603">
        <f>база!$M$5</f>
        <v>247.41720000000001</v>
      </c>
      <c r="V450" s="438">
        <v>1.2</v>
      </c>
      <c r="W450" s="533">
        <f>SUMIFS(Таблица14[часы],Таблица14[коэф],"1,2",Таблица14[р/р],"4/24",Таблица14[Ф. И. О.],B451)</f>
        <v>0</v>
      </c>
      <c r="X450" s="604">
        <f>SUMIFS(Таблица14[Столбец2],Таблица14[коэф],"1,2",Таблица14[р/р],"4/24",Таблица14[Ф. И. О.],B451)</f>
        <v>0</v>
      </c>
      <c r="Y450" s="770"/>
      <c r="Z450" s="766"/>
      <c r="AA450" s="756"/>
    </row>
    <row r="451" spans="1:29">
      <c r="A451" s="756"/>
      <c r="B451" s="215" t="str">
        <f>база!B42</f>
        <v>Лезина Анастасия Юрьевна</v>
      </c>
      <c r="C451" s="759"/>
      <c r="D451" s="762"/>
      <c r="E451" s="437"/>
      <c r="F451" s="390"/>
      <c r="G451" s="400"/>
      <c r="H451" s="440"/>
      <c r="I451" s="441"/>
      <c r="J451" s="602"/>
      <c r="K451" s="442"/>
      <c r="L451" s="442"/>
      <c r="M451" s="442"/>
      <c r="N451" s="442"/>
      <c r="O451" s="442"/>
      <c r="P451" s="415"/>
      <c r="Q451" s="437">
        <f>база!$L$6</f>
        <v>261.04640000000001</v>
      </c>
      <c r="R451" s="438">
        <v>1.2</v>
      </c>
      <c r="S451" s="439">
        <f>SUMIFS(Таблица14[часы],Таблица14[коэф],"1,2",Таблица14[р/р],"5/16",Таблица14[Ф. И. О.],B451)</f>
        <v>0</v>
      </c>
      <c r="T451" s="440">
        <f>SUMIFS(Таблица14[Столбец2],Таблица14[коэф],"1,2",Таблица14[р/р],"5/16",Таблица14[Ф. И. О.],B451)</f>
        <v>0</v>
      </c>
      <c r="U451" s="603">
        <f>база!$M$6</f>
        <v>279.0496</v>
      </c>
      <c r="V451" s="438">
        <v>1.2</v>
      </c>
      <c r="W451" s="533">
        <f>SUMIFS(Таблица14[часы],Таблица14[коэф],"1,2",Таблица14[р/р],"5/24",Таблица14[Ф. И. О.],B451)</f>
        <v>0</v>
      </c>
      <c r="X451" s="604">
        <f>SUMIFS(Таблица14[Столбец2],Таблица14[коэф],"1,2",Таблица14[р/р],"5/24",Таблица14[Ф. И. О.],B451)</f>
        <v>0</v>
      </c>
      <c r="Y451" s="770"/>
      <c r="Z451" s="766"/>
      <c r="AA451" s="756"/>
      <c r="AC451" s="752" t="str">
        <f>IF(SUMIFS(Таблица14[Столбец2],Таблица14[Ф. И. О.],B451)-Z446=0,"",SUMIFS(Таблица14[Столбец2],Таблица14[Ф. И. О.],B451)-Z446)</f>
        <v/>
      </c>
    </row>
    <row r="452" spans="1:29">
      <c r="A452" s="756"/>
      <c r="B452" s="215"/>
      <c r="C452" s="759"/>
      <c r="D452" s="762"/>
      <c r="E452" s="437"/>
      <c r="F452" s="390"/>
      <c r="G452" s="400"/>
      <c r="H452" s="440"/>
      <c r="I452" s="441"/>
      <c r="J452" s="602"/>
      <c r="K452" s="442"/>
      <c r="L452" s="442"/>
      <c r="M452" s="442"/>
      <c r="N452" s="442"/>
      <c r="O452" s="442"/>
      <c r="P452" s="415"/>
      <c r="Q452" s="437">
        <f>IF($D$6&lt;=3,база!$L$4,
IF($D$6=4,база!$L$5,
IF($D$6=5,база!$L$6)))</f>
        <v>231.45480000000001</v>
      </c>
      <c r="R452" s="438">
        <v>1.3</v>
      </c>
      <c r="S452" s="439">
        <f>SUMIFS(Таблица14[часы],Таблица14[коэф],"1,3",Таблица14[р/р],"3/16",Таблица14[Ф. И. О.],B451)</f>
        <v>0</v>
      </c>
      <c r="T452" s="440">
        <f>SUMIFS(Таблица14[Столбец2],Таблица14[коэф],"1,3",Таблица14[р/р],"3/16",Таблица14[Ф. И. О.],B451)</f>
        <v>0</v>
      </c>
      <c r="U452" s="603">
        <f>IF(D446&lt;=3,база!$M$4,
IF(D446=4,база!$M$5,
IF(D446=5,база!$M$6)))</f>
        <v>225.09719999999999</v>
      </c>
      <c r="V452" s="438">
        <v>1.3</v>
      </c>
      <c r="W452" s="533">
        <f>SUMIFS(Таблица14[часы],Таблица14[коэф],"1,3",Таблица14[р/р],"3/24",Таблица14[Ф. И. О.],B451)</f>
        <v>0</v>
      </c>
      <c r="X452" s="604">
        <f>SUMIFS(Таблица14[Столбец2],Таблица14[коэф],"1,3",Таблица14[р/р],"3/24",Таблица14[Ф. И. О.],B451)</f>
        <v>0</v>
      </c>
      <c r="Y452" s="770"/>
      <c r="Z452" s="766"/>
      <c r="AA452" s="756"/>
      <c r="AC452" s="752" t="str">
        <f>IF(SUMIFS(Таблица14[часы],Таблица14[Ф. И. О.],B451)-Y446=0,"",SUMIFS(Таблица14[часы],Таблица14[Ф. И. О.],B451)-Y446)</f>
        <v/>
      </c>
    </row>
    <row r="453" spans="1:29">
      <c r="A453" s="756"/>
      <c r="B453" s="215"/>
      <c r="C453" s="759"/>
      <c r="D453" s="762"/>
      <c r="E453" s="437"/>
      <c r="F453" s="390"/>
      <c r="G453" s="400"/>
      <c r="H453" s="440"/>
      <c r="I453" s="441"/>
      <c r="J453" s="602"/>
      <c r="K453" s="442"/>
      <c r="L453" s="442"/>
      <c r="M453" s="442"/>
      <c r="N453" s="442"/>
      <c r="O453" s="442"/>
      <c r="P453" s="415"/>
      <c r="Q453" s="437">
        <f>база!$L$5</f>
        <v>231.45480000000001</v>
      </c>
      <c r="R453" s="438">
        <v>1.3</v>
      </c>
      <c r="S453" s="439">
        <f>SUMIFS(Таблица14[часы],Таблица14[коэф],"1,3",Таблица14[р/р],"4/16",Таблица14[Ф. И. О.],B451)</f>
        <v>0</v>
      </c>
      <c r="T453" s="440">
        <f>SUMIFS(Таблица14[Столбец2],Таблица14[коэф],"1,3",Таблица14[р/р],"4/16",Таблица14[Ф. И. О.],B451)</f>
        <v>0</v>
      </c>
      <c r="U453" s="603">
        <f>база!$M$5</f>
        <v>247.41720000000001</v>
      </c>
      <c r="V453" s="438">
        <v>1.3</v>
      </c>
      <c r="W453" s="533">
        <f>SUMIFS(Таблица14[часы],Таблица14[коэф],"1,3",Таблица14[р/р],"4/24",Таблица14[Ф. И. О.],B451)</f>
        <v>0</v>
      </c>
      <c r="X453" s="604">
        <f>SUMIFS(Таблица14[Столбец2],Таблица14[коэф],"1,3",Таблица14[р/р],"4/24",Таблица14[Ф. И. О.],B451)</f>
        <v>0</v>
      </c>
      <c r="Y453" s="770"/>
      <c r="Z453" s="766"/>
      <c r="AA453" s="756"/>
    </row>
    <row r="454" spans="1:29">
      <c r="A454" s="756"/>
      <c r="B454" s="215"/>
      <c r="C454" s="759"/>
      <c r="D454" s="762"/>
      <c r="E454" s="437"/>
      <c r="F454" s="390"/>
      <c r="G454" s="400"/>
      <c r="H454" s="440"/>
      <c r="I454" s="441"/>
      <c r="J454" s="602"/>
      <c r="K454" s="442"/>
      <c r="L454" s="442"/>
      <c r="M454" s="442"/>
      <c r="N454" s="442"/>
      <c r="O454" s="442"/>
      <c r="P454" s="415"/>
      <c r="Q454" s="437">
        <f>IF(D446&lt;=3,база!$L$4,
IF(D446=4,база!$L$5,
IF(D446=5,база!$L$6)))</f>
        <v>210.57480000000001</v>
      </c>
      <c r="R454" s="438">
        <v>1.4</v>
      </c>
      <c r="S454" s="439">
        <f>SUMIFS(Таблица14[часы],Таблица14[коэф],"1,4",Таблица14[р/р],"3/16",Таблица14[Ф. И. О.],B451)</f>
        <v>0</v>
      </c>
      <c r="T454" s="440">
        <f>SUMIFS(Таблица14[Столбец2],Таблица14[коэф],"1,4",Таблица14[р/р],"3/16",Таблица14[Ф. И. О.],B451)</f>
        <v>0</v>
      </c>
      <c r="U454" s="603">
        <f>IF(D446&lt;=3,база!$M$4,
IF(D446=4,база!$M$5,
IF(D446=5,база!$M$6)))</f>
        <v>225.09719999999999</v>
      </c>
      <c r="V454" s="438">
        <v>1.4</v>
      </c>
      <c r="W454" s="533">
        <f>SUMIFS(Таблица14[часы],Таблица14[коэф],"1,4",Таблица14[р/р],"3/24",Таблица14[Ф. И. О.],B451)</f>
        <v>0</v>
      </c>
      <c r="X454" s="604">
        <f>SUMIFS(Таблица14[Столбец2],Таблица14[коэф],"1,4",Таблица14[р/р],"3/24",Таблица14[Ф. И. О.],B451)</f>
        <v>0</v>
      </c>
      <c r="Y454" s="770"/>
      <c r="Z454" s="766"/>
      <c r="AA454" s="756"/>
    </row>
    <row r="455" spans="1:29">
      <c r="A455" s="756"/>
      <c r="B455" s="215"/>
      <c r="C455" s="759"/>
      <c r="D455" s="762"/>
      <c r="E455" s="481"/>
      <c r="F455" s="390"/>
      <c r="G455" s="400"/>
      <c r="H455" s="402"/>
      <c r="I455" s="452"/>
      <c r="J455" s="475"/>
      <c r="K455" s="453"/>
      <c r="L455" s="453"/>
      <c r="M455" s="453"/>
      <c r="N455" s="453"/>
      <c r="O455" s="453"/>
      <c r="P455" s="398"/>
      <c r="Q455" s="481">
        <f>база!$L$5</f>
        <v>231.45480000000001</v>
      </c>
      <c r="R455" s="417">
        <v>1.4</v>
      </c>
      <c r="S455" s="418">
        <f>SUMIFS(Таблица14[часы],Таблица14[коэф],"1,4",Таблица14[р/р],"4/16",Таблица14[Ф. И. О.],B451)</f>
        <v>0</v>
      </c>
      <c r="T455" s="402">
        <f>SUMIFS(Таблица14[Столбец2],Таблица14[коэф],"1,4",Таблица14[р/р],"4/16",Таблица14[Ф. И. О.],B451)</f>
        <v>0</v>
      </c>
      <c r="U455" s="483">
        <f>база!$M$5</f>
        <v>247.41720000000001</v>
      </c>
      <c r="V455" s="417">
        <v>1.4</v>
      </c>
      <c r="W455" s="455">
        <f>SUMIFS(Таблица14[часы],Таблица14[коэф],"1,4",Таблица14[р/р],"4/24",Таблица14[Ф. И. О.],B451)</f>
        <v>0</v>
      </c>
      <c r="X455" s="552">
        <f>SUMIFS(Таблица14[Столбец2],Таблица14[коэф],"1,4",Таблица14[р/р],"4/24",Таблица14[Ф. И. О.],B451)</f>
        <v>0</v>
      </c>
      <c r="Y455" s="770"/>
      <c r="Z455" s="766"/>
      <c r="AA455" s="756"/>
    </row>
    <row r="456" spans="1:29" ht="21" thickBot="1">
      <c r="A456" s="757"/>
      <c r="B456" s="202"/>
      <c r="C456" s="760"/>
      <c r="D456" s="763"/>
      <c r="E456" s="445"/>
      <c r="F456" s="446"/>
      <c r="G456" s="447"/>
      <c r="H456" s="535"/>
      <c r="I456" s="448"/>
      <c r="J456" s="615"/>
      <c r="K456" s="449"/>
      <c r="L456" s="449"/>
      <c r="M456" s="449"/>
      <c r="N456" s="449"/>
      <c r="O456" s="449"/>
      <c r="P456" s="538"/>
      <c r="Q456" s="445">
        <f>база!$L$6</f>
        <v>261.04640000000001</v>
      </c>
      <c r="R456" s="446">
        <v>1.4</v>
      </c>
      <c r="S456" s="447">
        <f>SUMIFS(Таблица14[часы],Таблица14[коэф],"1,4",Таблица14[р/р],"5/16",Таблица14[Ф. И. О.],B451)</f>
        <v>0</v>
      </c>
      <c r="T456" s="535">
        <f>SUMIFS(Таблица14[Столбец2],Таблица14[коэф],"1,4",Таблица14[р/р],"5/16",Таблица14[Ф. И. О.],B451)</f>
        <v>0</v>
      </c>
      <c r="U456" s="616">
        <f>база!$M$6</f>
        <v>279.0496</v>
      </c>
      <c r="V456" s="446">
        <v>1.4</v>
      </c>
      <c r="W456" s="540">
        <f>SUMIFS(Таблица14[часы],Таблица14[коэф],"1,4",Таблица14[р/р],"5/24",Таблица14[Ф. И. О.],B451)</f>
        <v>0</v>
      </c>
      <c r="X456" s="617">
        <f>SUMIFS(Таблица14[Столбец2],Таблица14[коэф],"1,4",Таблица14[р/р],"5/24",Таблица14[Ф. И. О.],B451)</f>
        <v>0</v>
      </c>
      <c r="Y456" s="771"/>
      <c r="Z456" s="767"/>
      <c r="AA456" s="757"/>
    </row>
    <row r="457" spans="1:29" ht="20.25" customHeight="1">
      <c r="A457" s="755">
        <v>42</v>
      </c>
      <c r="B457" s="235"/>
      <c r="C457" s="758">
        <f>INDEX(база!$E$2:$E$81, MATCH(B462,база!$B$2:$B$50,0))</f>
        <v>17321</v>
      </c>
      <c r="D457" s="761">
        <f>INDEX(база!$D$2:$D$89, MATCH(B462,база!$B$2:$B$50,0))</f>
        <v>3</v>
      </c>
      <c r="E457" s="605">
        <f>IF(D457&lt;=3,база!$I$4,
IF(D457=4,база!$I$5,
IF(D457=5,база!$I$6)))</f>
        <v>188.7912</v>
      </c>
      <c r="F457" s="606">
        <v>1</v>
      </c>
      <c r="G457" s="607">
        <f>SUMIFS(Таблица14[часы],Таблица14[коэф],"1",Таблица14[р/р],"2/4",Таблица14[Ф. И. О.],B462)</f>
        <v>0</v>
      </c>
      <c r="H457" s="518">
        <f>SUMIFS(Таблица14[Столбец2],Таблица14[коэф],"1",Таблица14[р/р],"2/4",Таблица14[Ф. И. О.],B462)</f>
        <v>0</v>
      </c>
      <c r="I457" s="608">
        <f>IF(D457&lt;=3,база!$J$4,
IF(D457=4,база!$J$5,
IF(D457=5,база!$J$6)))</f>
        <v>196.05240000000001</v>
      </c>
      <c r="J457" s="609">
        <v>1</v>
      </c>
      <c r="K457" s="610">
        <f>SUMIFS(Таблица14[часы],Таблица14[коэф],"1",Таблица14[р/р],"2/8",Таблица14[Ф. И. О.],B462)</f>
        <v>0</v>
      </c>
      <c r="L457" s="610">
        <f>SUMIFS(Таблица14[Столбец2],Таблица14[коэф],"1",Таблица14[р/р],"2/8",Таблица14[Ф. И. О.],B462)</f>
        <v>0</v>
      </c>
      <c r="M457" s="610"/>
      <c r="N457" s="610">
        <v>1</v>
      </c>
      <c r="O457" s="610">
        <f>SUMIFS(Data_Tech!$AM$3:$AM$67,Data_Tech!$E$3:$E$67,"1",Data_Tech!$G$3:$G$67,"3/12",Data_Tech!$F$3:$F$67,B462)</f>
        <v>0</v>
      </c>
      <c r="P457" s="611">
        <f>ROUND(M457*N457*O457,2)</f>
        <v>0</v>
      </c>
      <c r="Q457" s="605">
        <f>IF(D457&lt;=3,база!$L$4,
IF(D457=4,база!$L$5,
IF(D457=5,база!$L$6)))</f>
        <v>210.57480000000001</v>
      </c>
      <c r="R457" s="606">
        <v>1</v>
      </c>
      <c r="S457" s="607">
        <f>SUMIFS(Таблица14[часы],Таблица14[коэф],"1",Таблица14[р/р],"3/16",Таблица14[Ф. И. О.],B462)</f>
        <v>0</v>
      </c>
      <c r="T457" s="518">
        <f>SUMIFS(Таблица14[Столбец2],Таблица14[коэф],"1",Таблица14[р/р],"3/16",Таблица14[Ф. И. О.],B462)</f>
        <v>0</v>
      </c>
      <c r="U457" s="612">
        <f>IF(D457&lt;=3,база!$M$4,
IF(D457=4,база!$M$5,
IF(D457=5,база!$M$6)))</f>
        <v>225.09719999999999</v>
      </c>
      <c r="V457" s="606">
        <v>1</v>
      </c>
      <c r="W457" s="613">
        <f>SUMIFS(Таблица14[часы],Таблица14[коэф],"1",Таблица14[р/р],"3/24",Таблица14[Ф. И. О.],B462)</f>
        <v>0</v>
      </c>
      <c r="X457" s="614">
        <f>SUMIFS(Таблица14[Столбец2],Таблица14[коэф],"1",Таблица14[р/р],"3/24",Таблица14[Ф. И. О.],B462)</f>
        <v>0</v>
      </c>
      <c r="Y457" s="769">
        <f t="shared" ref="Y457" si="222">SUM(G457:G467,K457:K467,O457:O467,S457:S467,W457:W467)</f>
        <v>0</v>
      </c>
      <c r="Z457" s="768">
        <f t="shared" ref="Z457" si="223">IFERROR(SUM(H457:H467,L457:L467,T457:T467,X457:X467),"")</f>
        <v>0</v>
      </c>
      <c r="AA457" s="755"/>
    </row>
    <row r="458" spans="1:29">
      <c r="A458" s="756"/>
      <c r="B458" s="215"/>
      <c r="C458" s="759"/>
      <c r="D458" s="762"/>
      <c r="E458" s="437">
        <f>IF(D457&lt;=3,база!$I$4,
IF(D457=4,база!$I$5,
IF(D457=5,база!$I$6)))</f>
        <v>188.7912</v>
      </c>
      <c r="F458" s="438">
        <v>1</v>
      </c>
      <c r="G458" s="439">
        <f>SUMIFS(Таблица14[часы],Таблица14[коэф],"1",Таблица14[р/р],"3/4",Таблица14[Ф. И. О.],B462)</f>
        <v>0</v>
      </c>
      <c r="H458" s="440">
        <f>SUMIFS(Таблица14[Столбец2],Таблица14[коэф],"1",Таблица14[р/р],"3/4",Таблица14[Ф. И. О.],B462)</f>
        <v>0</v>
      </c>
      <c r="I458" s="441">
        <f>IF(D457&lt;=3,база!$J$4,
IF(D457=4,база!$J$5,
IF(D457=5,база!$J$6)))</f>
        <v>196.05240000000001</v>
      </c>
      <c r="J458" s="602">
        <v>1</v>
      </c>
      <c r="K458" s="442">
        <f>SUMIFS(Таблица14[часы],Таблица14[коэф],"1",Таблица14[р/р],"3/8",Таблица14[Ф. И. О.],B462)</f>
        <v>0</v>
      </c>
      <c r="L458" s="442">
        <f>SUMIFS(Таблица14[Столбец2],Таблица14[коэф],"1",Таблица14[р/р],"3/8",Таблица14[Ф. И. О.],B462)</f>
        <v>0</v>
      </c>
      <c r="M458" s="442"/>
      <c r="N458" s="442">
        <v>1</v>
      </c>
      <c r="O458" s="442">
        <f>SUMIFS(Data_Tech!$AM$3:$AM$67,Data_Tech!$E$3:$E$67,"1",Data_Tech!$G$3:$G$67,"4/12",Data_Tech!$F$3:$F$67,B462)</f>
        <v>0</v>
      </c>
      <c r="P458" s="415">
        <f>ROUND(M458*O458,2)</f>
        <v>0</v>
      </c>
      <c r="Q458" s="437">
        <f>база!$L$5</f>
        <v>231.45480000000001</v>
      </c>
      <c r="R458" s="438">
        <v>1</v>
      </c>
      <c r="S458" s="439">
        <f>SUMIFS(Таблица14[часы],Таблица14[коэф],"1",Таблица14[р/р],"4/16",Таблица14[Ф. И. О.],B462)</f>
        <v>0</v>
      </c>
      <c r="T458" s="440">
        <f>SUMIFS(Таблица14[Столбец2],Таблица14[коэф],"1",Таблица14[р/р],"4/16",Таблица14[Ф. И. О.],B462)</f>
        <v>0</v>
      </c>
      <c r="U458" s="603">
        <f>база!$M$5</f>
        <v>247.41720000000001</v>
      </c>
      <c r="V458" s="438">
        <v>1</v>
      </c>
      <c r="W458" s="533">
        <f>SUMIFS(Таблица14[часы],Таблица14[коэф],"1",Таблица14[р/р],"4/24",Таблица14[Ф. И. О.],B462)</f>
        <v>0</v>
      </c>
      <c r="X458" s="604">
        <f>SUMIFS(Таблица14[Столбец2],Таблица14[коэф],"1",Таблица14[р/р],"4/24",Таблица14[Ф. И. О.],B462)</f>
        <v>0</v>
      </c>
      <c r="Y458" s="770"/>
      <c r="Z458" s="766"/>
      <c r="AA458" s="756"/>
    </row>
    <row r="459" spans="1:29">
      <c r="A459" s="756"/>
      <c r="B459" s="215"/>
      <c r="C459" s="759"/>
      <c r="D459" s="762"/>
      <c r="E459" s="437"/>
      <c r="F459" s="438"/>
      <c r="G459" s="439"/>
      <c r="H459" s="440"/>
      <c r="I459" s="441"/>
      <c r="J459" s="602"/>
      <c r="K459" s="442"/>
      <c r="L459" s="442"/>
      <c r="M459" s="442"/>
      <c r="N459" s="442"/>
      <c r="O459" s="442"/>
      <c r="P459" s="415"/>
      <c r="Q459" s="437">
        <f>база!$L$6</f>
        <v>261.04640000000001</v>
      </c>
      <c r="R459" s="438">
        <v>1</v>
      </c>
      <c r="S459" s="439">
        <f>SUMIFS(Таблица14[часы],Таблица14[коэф],"1",Таблица14[р/р],"5/16",Таблица14[Ф. И. О.],B462)</f>
        <v>0</v>
      </c>
      <c r="T459" s="440">
        <f>SUMIFS(Таблица14[Столбец2],Таблица14[коэф],"1",Таблица14[р/р],"5/16",Таблица14[Ф. И. О.],B462)</f>
        <v>0</v>
      </c>
      <c r="U459" s="603">
        <f>база!$M$6</f>
        <v>279.0496</v>
      </c>
      <c r="V459" s="438">
        <v>1</v>
      </c>
      <c r="W459" s="533">
        <f>SUMIFS(Таблица14[часы],Таблица14[коэф],"1",Таблица14[р/р],"5/24",Таблица14[Ф. И. О.],B462)</f>
        <v>0</v>
      </c>
      <c r="X459" s="604">
        <f>SUMIFS(Таблица14[Столбец2],Таблица14[коэф],"1",Таблица14[р/р],"5/24",Таблица14[Ф. И. О.],B462)</f>
        <v>0</v>
      </c>
      <c r="Y459" s="770"/>
      <c r="Z459" s="766"/>
      <c r="AA459" s="756"/>
    </row>
    <row r="460" spans="1:29">
      <c r="A460" s="756"/>
      <c r="B460" s="215"/>
      <c r="C460" s="759"/>
      <c r="D460" s="762"/>
      <c r="E460" s="437"/>
      <c r="F460" s="438"/>
      <c r="G460" s="439"/>
      <c r="H460" s="440"/>
      <c r="I460" s="441">
        <f>база!$J$5</f>
        <v>215.4924</v>
      </c>
      <c r="J460" s="602">
        <v>1.5</v>
      </c>
      <c r="K460" s="442">
        <f>SUMIFS(Таблица14[часы],Таблица14[коэф],"1,5",Таблица14[р/р],"4/8",Таблица14[Ф. И. О.],B462)</f>
        <v>0</v>
      </c>
      <c r="L460" s="442">
        <f>SUMIFS(Таблица14[Столбец2],Таблица14[коэф],"1,5",Таблица14[р/р],"4/8",Таблица14[Ф. И. О.],B462)</f>
        <v>0</v>
      </c>
      <c r="M460" s="442"/>
      <c r="N460" s="442"/>
      <c r="O460" s="442"/>
      <c r="P460" s="415"/>
      <c r="Q460" s="437">
        <f>IF(D457&lt;=3,база!$L$4,
IF(D457=4,база!$L$5,
IF(D457=5,база!$L$6)))</f>
        <v>210.57480000000001</v>
      </c>
      <c r="R460" s="438">
        <v>1.2</v>
      </c>
      <c r="S460" s="439">
        <f>SUMIFS(Таблица14[часы],Таблица14[коэф],"1,2",Таблица14[р/р],"3/16",Таблица14[Ф. И. О.],B462)</f>
        <v>0</v>
      </c>
      <c r="T460" s="440">
        <f>SUMIFS(Таблица14[Столбец2],Таблица14[коэф],"1,2",Таблица14[р/р],"3/16",Таблица14[Ф. И. О.],B462)</f>
        <v>0</v>
      </c>
      <c r="U460" s="603">
        <f>IF(D457&lt;=3,база!$M$4,
IF(D457=4,база!$M$5,
IF(D457=5,база!$M$6)))</f>
        <v>225.09719999999999</v>
      </c>
      <c r="V460" s="438">
        <v>1.2</v>
      </c>
      <c r="W460" s="533">
        <f>SUMIFS(Таблица14[часы],Таблица14[коэф],"1,2",Таблица14[р/р],"3/24",Таблица14[Ф. И. О.],B462)</f>
        <v>0</v>
      </c>
      <c r="X460" s="604">
        <f>SUMIFS(Таблица14[Столбец2],Таблица14[коэф],"1,2",Таблица14[р/р],"3/24",Таблица14[Ф. И. О.],B462)</f>
        <v>0</v>
      </c>
      <c r="Y460" s="770"/>
      <c r="Z460" s="766"/>
      <c r="AA460" s="756"/>
    </row>
    <row r="461" spans="1:29">
      <c r="A461" s="756"/>
      <c r="B461" s="215"/>
      <c r="C461" s="759"/>
      <c r="D461" s="762"/>
      <c r="E461" s="437"/>
      <c r="F461" s="438"/>
      <c r="G461" s="439"/>
      <c r="H461" s="440"/>
      <c r="I461" s="441">
        <f>база!$J$6</f>
        <v>243.04319999999998</v>
      </c>
      <c r="J461" s="602">
        <v>1.5</v>
      </c>
      <c r="K461" s="442">
        <f>SUMIFS(Таблица14[часы],Таблица14[коэф],"1,5",Таблица14[р/р],"5/8",Таблица14[Ф. И. О.],B462)</f>
        <v>0</v>
      </c>
      <c r="L461" s="442">
        <f>SUMIFS(Таблица14[Столбец2],Таблица14[коэф],"1,5",Таблица14[р/р],"5/8",Таблица14[Ф. И. О.],B462)</f>
        <v>0</v>
      </c>
      <c r="M461" s="442"/>
      <c r="N461" s="442"/>
      <c r="O461" s="442"/>
      <c r="P461" s="415"/>
      <c r="Q461" s="437">
        <f>база!$L$5</f>
        <v>231.45480000000001</v>
      </c>
      <c r="R461" s="438">
        <v>1.2</v>
      </c>
      <c r="S461" s="439">
        <f>SUMIFS(Таблица14[часы],Таблица14[коэф],"1,2",Таблица14[р/р],"4/16",Таблица14[Ф. И. О.],B462)</f>
        <v>0</v>
      </c>
      <c r="T461" s="440">
        <f>SUMIFS(Таблица14[Столбец2],Таблица14[коэф],"1,2",Таблица14[р/р],"4/16",Таблица14[Ф. И. О.],B462)</f>
        <v>0</v>
      </c>
      <c r="U461" s="603">
        <f>база!$M$5</f>
        <v>247.41720000000001</v>
      </c>
      <c r="V461" s="438">
        <v>1.2</v>
      </c>
      <c r="W461" s="533">
        <f>SUMIFS(Таблица14[часы],Таблица14[коэф],"1,2",Таблица14[р/р],"4/24",Таблица14[Ф. И. О.],B462)</f>
        <v>0</v>
      </c>
      <c r="X461" s="604">
        <f>SUMIFS(Таблица14[Столбец2],Таблица14[коэф],"1,2",Таблица14[р/р],"4/24",Таблица14[Ф. И. О.],B462)</f>
        <v>0</v>
      </c>
      <c r="Y461" s="770"/>
      <c r="Z461" s="766"/>
      <c r="AA461" s="756"/>
      <c r="AC461" s="752" t="str">
        <f>IF(SUMIFS(Таблица14[Столбец2],Таблица14[Ф. И. О.],B462)-Z457=0,"",SUMIFS(Таблица14[Столбец2],Таблица14[Ф. И. О.],B462)-Z457)</f>
        <v/>
      </c>
    </row>
    <row r="462" spans="1:29">
      <c r="A462" s="756"/>
      <c r="B462" s="215" t="str">
        <f>база!B43</f>
        <v>Малышева Анна Евгеньевна</v>
      </c>
      <c r="C462" s="759"/>
      <c r="D462" s="762"/>
      <c r="E462" s="437"/>
      <c r="F462" s="438"/>
      <c r="G462" s="439"/>
      <c r="H462" s="440"/>
      <c r="I462" s="441"/>
      <c r="J462" s="602"/>
      <c r="K462" s="442"/>
      <c r="L462" s="442"/>
      <c r="M462" s="442"/>
      <c r="N462" s="442"/>
      <c r="O462" s="442"/>
      <c r="P462" s="415"/>
      <c r="Q462" s="437">
        <f>база!$L$6</f>
        <v>261.04640000000001</v>
      </c>
      <c r="R462" s="438">
        <v>1.2</v>
      </c>
      <c r="S462" s="439">
        <f>SUMIFS(Таблица14[часы],Таблица14[коэф],"1,2",Таблица14[р/р],"5/16",Таблица14[Ф. И. О.],B462)</f>
        <v>0</v>
      </c>
      <c r="T462" s="440">
        <f>SUMIFS(Таблица14[Столбец2],Таблица14[коэф],"1,2",Таблица14[р/р],"5/16",Таблица14[Ф. И. О.],B462)</f>
        <v>0</v>
      </c>
      <c r="U462" s="603">
        <f>база!$M$6</f>
        <v>279.0496</v>
      </c>
      <c r="V462" s="438">
        <v>1.2</v>
      </c>
      <c r="W462" s="533">
        <f>SUMIFS(Таблица14[часы],Таблица14[коэф],"1,2",Таблица14[р/р],"5/24",Таблица14[Ф. И. О.],B462)</f>
        <v>0</v>
      </c>
      <c r="X462" s="604">
        <f>SUMIFS(Таблица14[Столбец2],Таблица14[коэф],"1,2",Таблица14[р/р],"5/24",Таблица14[Ф. И. О.],B462)</f>
        <v>0</v>
      </c>
      <c r="Y462" s="770"/>
      <c r="Z462" s="766"/>
      <c r="AA462" s="756"/>
      <c r="AC462" s="752" t="str">
        <f>IF(SUMIFS(Таблица14[часы],Таблица14[Ф. И. О.],B462)-Y457=0,"",SUMIFS(Таблица14[часы],Таблица14[Ф. И. О.],B462)-Y457)</f>
        <v/>
      </c>
    </row>
    <row r="463" spans="1:29">
      <c r="A463" s="756"/>
      <c r="B463" s="215"/>
      <c r="C463" s="759"/>
      <c r="D463" s="762"/>
      <c r="E463" s="437"/>
      <c r="F463" s="438"/>
      <c r="G463" s="439"/>
      <c r="H463" s="440"/>
      <c r="I463" s="441"/>
      <c r="J463" s="602"/>
      <c r="K463" s="442"/>
      <c r="L463" s="442"/>
      <c r="M463" s="442"/>
      <c r="N463" s="442"/>
      <c r="O463" s="442"/>
      <c r="P463" s="415"/>
      <c r="Q463" s="437">
        <f>IF($D$6&lt;=3,база!$L$4,
IF($D$6=4,база!$L$5,
IF($D$6=5,база!$L$6)))</f>
        <v>231.45480000000001</v>
      </c>
      <c r="R463" s="438">
        <v>1.3</v>
      </c>
      <c r="S463" s="439">
        <f>SUMIFS(Таблица14[часы],Таблица14[коэф],"1,3",Таблица14[р/р],"3/16",Таблица14[Ф. И. О.],B462)</f>
        <v>0</v>
      </c>
      <c r="T463" s="440">
        <f>SUMIFS(Таблица14[Столбец2],Таблица14[коэф],"1,3",Таблица14[р/р],"3/16",Таблица14[Ф. И. О.],B462)</f>
        <v>0</v>
      </c>
      <c r="U463" s="603">
        <f>IF(D457&lt;=3,база!$M$4,
IF(D457=4,база!$M$5,
IF(D457=5,база!$M$6)))</f>
        <v>225.09719999999999</v>
      </c>
      <c r="V463" s="438">
        <v>1.3</v>
      </c>
      <c r="W463" s="533">
        <f>SUMIFS(Таблица14[часы],Таблица14[коэф],"1,3",Таблица14[р/р],"3/24",Таблица14[Ф. И. О.],B462)</f>
        <v>0</v>
      </c>
      <c r="X463" s="604">
        <f>SUMIFS(Таблица14[Столбец2],Таблица14[коэф],"1,3",Таблица14[р/р],"3/24",Таблица14[Ф. И. О.],B462)</f>
        <v>0</v>
      </c>
      <c r="Y463" s="770"/>
      <c r="Z463" s="766"/>
      <c r="AA463" s="756"/>
    </row>
    <row r="464" spans="1:29">
      <c r="A464" s="756"/>
      <c r="B464" s="215"/>
      <c r="C464" s="759"/>
      <c r="D464" s="762"/>
      <c r="E464" s="437"/>
      <c r="F464" s="438"/>
      <c r="G464" s="439"/>
      <c r="H464" s="440"/>
      <c r="I464" s="441"/>
      <c r="J464" s="602"/>
      <c r="K464" s="442"/>
      <c r="L464" s="442"/>
      <c r="M464" s="442"/>
      <c r="N464" s="442"/>
      <c r="O464" s="442"/>
      <c r="P464" s="415"/>
      <c r="Q464" s="437">
        <f>база!$L$5</f>
        <v>231.45480000000001</v>
      </c>
      <c r="R464" s="438">
        <v>1.3</v>
      </c>
      <c r="S464" s="439">
        <f>SUMIFS(Таблица14[часы],Таблица14[коэф],"1,3",Таблица14[р/р],"4/16",Таблица14[Ф. И. О.],B462)</f>
        <v>0</v>
      </c>
      <c r="T464" s="440">
        <f>SUMIFS(Таблица14[Столбец2],Таблица14[коэф],"1,3",Таблица14[р/р],"4/16",Таблица14[Ф. И. О.],B462)</f>
        <v>0</v>
      </c>
      <c r="U464" s="603">
        <f>база!$M$5</f>
        <v>247.41720000000001</v>
      </c>
      <c r="V464" s="438">
        <v>1.3</v>
      </c>
      <c r="W464" s="533">
        <f>SUMIFS(Таблица14[часы],Таблица14[коэф],"1,3",Таблица14[р/р],"4/24",Таблица14[Ф. И. О.],B462)</f>
        <v>0</v>
      </c>
      <c r="X464" s="604">
        <f>SUMIFS(Таблица14[Столбец2],Таблица14[коэф],"1,3",Таблица14[р/р],"4/24",Таблица14[Ф. И. О.],B462)</f>
        <v>0</v>
      </c>
      <c r="Y464" s="770"/>
      <c r="Z464" s="766"/>
      <c r="AA464" s="756"/>
    </row>
    <row r="465" spans="1:29">
      <c r="A465" s="756"/>
      <c r="B465" s="215"/>
      <c r="C465" s="759"/>
      <c r="D465" s="762"/>
      <c r="E465" s="437"/>
      <c r="F465" s="438"/>
      <c r="G465" s="439"/>
      <c r="H465" s="440"/>
      <c r="I465" s="441"/>
      <c r="J465" s="602"/>
      <c r="K465" s="442"/>
      <c r="L465" s="442"/>
      <c r="M465" s="442"/>
      <c r="N465" s="442"/>
      <c r="O465" s="442"/>
      <c r="P465" s="415"/>
      <c r="Q465" s="437">
        <f>IF(D457&lt;=3,база!$L$4,
IF(D457=4,база!$L$5,
IF(D457=5,база!$L$6)))</f>
        <v>210.57480000000001</v>
      </c>
      <c r="R465" s="438">
        <v>1.4</v>
      </c>
      <c r="S465" s="439">
        <f>SUMIFS(Таблица14[часы],Таблица14[коэф],"1,4",Таблица14[р/р],"3/16",Таблица14[Ф. И. О.],B462)</f>
        <v>0</v>
      </c>
      <c r="T465" s="440">
        <f>SUMIFS(Таблица14[Столбец2],Таблица14[коэф],"1,4",Таблица14[р/р],"3/16",Таблица14[Ф. И. О.],B462)</f>
        <v>0</v>
      </c>
      <c r="U465" s="603">
        <f>IF(D457&lt;=3,база!$M$4,
IF(D457=4,база!$M$5,
IF(D457=5,база!$M$6)))</f>
        <v>225.09719999999999</v>
      </c>
      <c r="V465" s="438">
        <v>1.4</v>
      </c>
      <c r="W465" s="533">
        <f>SUMIFS(Таблица14[часы],Таблица14[коэф],"1,4",Таблица14[р/р],"3/24",Таблица14[Ф. И. О.],B462)</f>
        <v>0</v>
      </c>
      <c r="X465" s="604">
        <f>SUMIFS(Таблица14[Столбец2],Таблица14[коэф],"1,4",Таблица14[р/р],"3/24",Таблица14[Ф. И. О.],B462)</f>
        <v>0</v>
      </c>
      <c r="Y465" s="770"/>
      <c r="Z465" s="766"/>
      <c r="AA465" s="756"/>
    </row>
    <row r="466" spans="1:29">
      <c r="A466" s="756"/>
      <c r="B466" s="215"/>
      <c r="C466" s="759"/>
      <c r="D466" s="762"/>
      <c r="E466" s="437"/>
      <c r="F466" s="438"/>
      <c r="G466" s="439"/>
      <c r="H466" s="440"/>
      <c r="I466" s="441"/>
      <c r="J466" s="602"/>
      <c r="K466" s="442"/>
      <c r="L466" s="442"/>
      <c r="M466" s="442"/>
      <c r="N466" s="442"/>
      <c r="O466" s="442"/>
      <c r="P466" s="415"/>
      <c r="Q466" s="437">
        <f>база!$L$5</f>
        <v>231.45480000000001</v>
      </c>
      <c r="R466" s="438">
        <v>1.4</v>
      </c>
      <c r="S466" s="439">
        <f>SUMIFS(Таблица14[часы],Таблица14[коэф],"1,4",Таблица14[р/р],"4/16",Таблица14[Ф. И. О.],B462)</f>
        <v>0</v>
      </c>
      <c r="T466" s="440">
        <f>SUMIFS(Таблица14[Столбец2],Таблица14[коэф],"1,4",Таблица14[р/р],"4/16",Таблица14[Ф. И. О.],B462)</f>
        <v>0</v>
      </c>
      <c r="U466" s="603">
        <f>база!$M$5</f>
        <v>247.41720000000001</v>
      </c>
      <c r="V466" s="438">
        <v>1.4</v>
      </c>
      <c r="W466" s="533">
        <f>SUMIFS(Таблица14[часы],Таблица14[коэф],"1,4",Таблица14[р/р],"4/24",Таблица14[Ф. И. О.],B462)</f>
        <v>0</v>
      </c>
      <c r="X466" s="604">
        <f>SUMIFS(Таблица14[Столбец2],Таблица14[коэф],"1,4",Таблица14[р/р],"4/24",Таблица14[Ф. И. О.],B462)</f>
        <v>0</v>
      </c>
      <c r="Y466" s="770"/>
      <c r="Z466" s="766"/>
      <c r="AA466" s="756"/>
    </row>
    <row r="467" spans="1:29" ht="21" thickBot="1">
      <c r="A467" s="757"/>
      <c r="B467" s="202"/>
      <c r="C467" s="760"/>
      <c r="D467" s="763"/>
      <c r="E467" s="445"/>
      <c r="F467" s="446"/>
      <c r="G467" s="447"/>
      <c r="H467" s="535"/>
      <c r="I467" s="448"/>
      <c r="J467" s="615"/>
      <c r="K467" s="449"/>
      <c r="L467" s="449"/>
      <c r="M467" s="449"/>
      <c r="N467" s="449"/>
      <c r="O467" s="449"/>
      <c r="P467" s="538"/>
      <c r="Q467" s="445">
        <f>база!$L$6</f>
        <v>261.04640000000001</v>
      </c>
      <c r="R467" s="446">
        <v>1.4</v>
      </c>
      <c r="S467" s="447">
        <f>SUMIFS(Таблица14[часы],Таблица14[коэф],"1,4",Таблица14[р/р],"5/16",Таблица14[Ф. И. О.],B462)</f>
        <v>0</v>
      </c>
      <c r="T467" s="535">
        <f>SUMIFS(Таблица14[Столбец2],Таблица14[коэф],"1,4",Таблица14[р/р],"5/16",Таблица14[Ф. И. О.],B462)</f>
        <v>0</v>
      </c>
      <c r="U467" s="616">
        <f>база!$M$6</f>
        <v>279.0496</v>
      </c>
      <c r="V467" s="446">
        <v>1.4</v>
      </c>
      <c r="W467" s="540">
        <f>SUMIFS(Таблица14[часы],Таблица14[коэф],"1,4",Таблица14[р/р],"5/24",Таблица14[Ф. И. О.],B462)</f>
        <v>0</v>
      </c>
      <c r="X467" s="617">
        <f>SUMIFS(Таблица14[Столбец2],Таблица14[коэф],"1,4",Таблица14[р/р],"5/24",Таблица14[Ф. И. О.],B462)</f>
        <v>0</v>
      </c>
      <c r="Y467" s="771"/>
      <c r="Z467" s="767"/>
      <c r="AA467" s="757"/>
    </row>
    <row r="468" spans="1:29" ht="20.25" customHeight="1">
      <c r="A468" s="755">
        <v>43</v>
      </c>
      <c r="B468" s="215"/>
      <c r="C468" s="758">
        <f>INDEX(база!$E$2:$E$81, MATCH(B473,база!$B$2:$B$50,0))</f>
        <v>17136</v>
      </c>
      <c r="D468" s="761">
        <f>INDEX(база!$D$2:$D$89, MATCH(B473,база!$B$2:$B$50,0))</f>
        <v>3</v>
      </c>
      <c r="E468" s="437">
        <f>IF(D468&lt;=3,база!$I$4,
IF(D468=4,база!$I$5,
IF(D468=5,база!$I$6)))</f>
        <v>188.7912</v>
      </c>
      <c r="F468" s="438">
        <v>1</v>
      </c>
      <c r="G468" s="439">
        <f>SUMIFS(Таблица14[часы],Таблица14[коэф],"1",Таблица14[р/р],"2/4",Таблица14[Ф. И. О.],B473)</f>
        <v>0</v>
      </c>
      <c r="H468" s="440">
        <f>SUMIFS(Таблица14[Столбец2],Таблица14[коэф],"1",Таблица14[р/р],"2/4",Таблица14[Ф. И. О.],B473)</f>
        <v>0</v>
      </c>
      <c r="I468" s="441">
        <f>IF(D468&lt;=3,база!$J$4,
IF(D468=4,база!$J$5,
IF(D468=5,база!$J$6)))</f>
        <v>196.05240000000001</v>
      </c>
      <c r="J468" s="602">
        <v>1</v>
      </c>
      <c r="K468" s="442">
        <f>SUMIFS(Таблица14[часы],Таблица14[коэф],"1",Таблица14[р/р],"2/8",Таблица14[Ф. И. О.],B473)</f>
        <v>0</v>
      </c>
      <c r="L468" s="442">
        <f>SUMIFS(Таблица14[Столбец2],Таблица14[коэф],"1",Таблица14[р/р],"2/8",Таблица14[Ф. И. О.],B473)</f>
        <v>0</v>
      </c>
      <c r="M468" s="442"/>
      <c r="N468" s="442">
        <v>1</v>
      </c>
      <c r="O468" s="442">
        <f>SUMIFS(Data_Tech!$AM$3:$AM$67,Data_Tech!$E$3:$E$67,"1",Data_Tech!$G$3:$G$67,"3/12",Data_Tech!$F$3:$F$67,B473)</f>
        <v>0</v>
      </c>
      <c r="P468" s="415">
        <f>ROUND(M468*N468*O468,2)</f>
        <v>0</v>
      </c>
      <c r="Q468" s="437">
        <f>IF(D468&lt;=3,база!$L$4,
IF(D468=4,база!$L$5,
IF(D468=5,база!$L$6)))</f>
        <v>210.57480000000001</v>
      </c>
      <c r="R468" s="438">
        <v>1</v>
      </c>
      <c r="S468" s="439">
        <f>SUMIFS(Таблица14[часы],Таблица14[коэф],"1",Таблица14[р/р],"3/16",Таблица14[Ф. И. О.],B473)</f>
        <v>0</v>
      </c>
      <c r="T468" s="440">
        <f>SUMIFS(Таблица14[Столбец2],Таблица14[коэф],"1",Таблица14[р/р],"3/16",Таблица14[Ф. И. О.],B473)</f>
        <v>0</v>
      </c>
      <c r="U468" s="603">
        <f>IF(D468&lt;=3,база!$M$4,
IF(D468=4,база!$M$5,
IF(D468=5,база!$M$6)))</f>
        <v>225.09719999999999</v>
      </c>
      <c r="V468" s="438">
        <v>1</v>
      </c>
      <c r="W468" s="533">
        <f>SUMIFS(Таблица14[часы],Таблица14[коэф],"1",Таблица14[р/р],"3/24",Таблица14[Ф. И. О.],B473)</f>
        <v>0</v>
      </c>
      <c r="X468" s="604">
        <f>SUMIFS(Таблица14[Столбец2],Таблица14[коэф],"1",Таблица14[р/р],"3/24",Таблица14[Ф. И. О.],B473)</f>
        <v>0</v>
      </c>
      <c r="Y468" s="769">
        <f t="shared" ref="Y468" si="224">SUM(G468:G478,K468:K478,O468:O478,S468:S478,W468:W478)</f>
        <v>0</v>
      </c>
      <c r="Z468" s="768">
        <f t="shared" ref="Z468" si="225">IFERROR(SUM(H468:H478,L468:L478,T468:T478,X468:X478),"")</f>
        <v>0</v>
      </c>
      <c r="AA468" s="755"/>
    </row>
    <row r="469" spans="1:29">
      <c r="A469" s="756"/>
      <c r="B469" s="215"/>
      <c r="C469" s="759"/>
      <c r="D469" s="762"/>
      <c r="E469" s="437">
        <f>IF(D468&lt;=3,база!$I$4,
IF(D468=4,база!$I$5,
IF(D468=5,база!$I$6)))</f>
        <v>188.7912</v>
      </c>
      <c r="F469" s="438">
        <v>1</v>
      </c>
      <c r="G469" s="439">
        <f>SUMIFS(Таблица14[часы],Таблица14[коэф],"1",Таблица14[р/р],"3/4",Таблица14[Ф. И. О.],B473)</f>
        <v>0</v>
      </c>
      <c r="H469" s="440">
        <f>SUMIFS(Таблица14[Столбец2],Таблица14[коэф],"1",Таблица14[р/р],"3/4",Таблица14[Ф. И. О.],B473)</f>
        <v>0</v>
      </c>
      <c r="I469" s="441">
        <f>IF(D468&lt;=3,база!$J$4,
IF(D468=4,база!$J$5,
IF(D468=5,база!$J$6)))</f>
        <v>196.05240000000001</v>
      </c>
      <c r="J469" s="602">
        <v>1</v>
      </c>
      <c r="K469" s="442">
        <f>SUMIFS(Таблица14[часы],Таблица14[коэф],"1",Таблица14[р/р],"3/8",Таблица14[Ф. И. О.],B473)</f>
        <v>0</v>
      </c>
      <c r="L469" s="442">
        <f>SUMIFS(Таблица14[Столбец2],Таблица14[коэф],"1",Таблица14[р/р],"3/8",Таблица14[Ф. И. О.],B473)</f>
        <v>0</v>
      </c>
      <c r="M469" s="442"/>
      <c r="N469" s="442">
        <v>1</v>
      </c>
      <c r="O469" s="442">
        <f>SUMIFS(Data_Tech!$AM$3:$AM$67,Data_Tech!$E$3:$E$67,"1",Data_Tech!$G$3:$G$67,"4/12",Data_Tech!$F$3:$F$67,B473)</f>
        <v>0</v>
      </c>
      <c r="P469" s="415">
        <f>ROUND(M469*O469,2)</f>
        <v>0</v>
      </c>
      <c r="Q469" s="437">
        <f>база!$L$5</f>
        <v>231.45480000000001</v>
      </c>
      <c r="R469" s="438">
        <v>1</v>
      </c>
      <c r="S469" s="439">
        <f>SUMIFS(Таблица14[часы],Таблица14[коэф],"1",Таблица14[р/р],"4/16",Таблица14[Ф. И. О.],B473)</f>
        <v>0</v>
      </c>
      <c r="T469" s="440">
        <f>SUMIFS(Таблица14[Столбец2],Таблица14[коэф],"1",Таблица14[р/р],"4/16",Таблица14[Ф. И. О.],B473)</f>
        <v>0</v>
      </c>
      <c r="U469" s="603">
        <f>база!$M$5</f>
        <v>247.41720000000001</v>
      </c>
      <c r="V469" s="438">
        <v>1</v>
      </c>
      <c r="W469" s="533">
        <f>SUMIFS(Таблица14[часы],Таблица14[коэф],"1",Таблица14[р/р],"4/24",Таблица14[Ф. И. О.],B473)</f>
        <v>0</v>
      </c>
      <c r="X469" s="604">
        <f>SUMIFS(Таблица14[Столбец2],Таблица14[коэф],"1",Таблица14[р/р],"4/24",Таблица14[Ф. И. О.],B473)</f>
        <v>0</v>
      </c>
      <c r="Y469" s="770"/>
      <c r="Z469" s="766"/>
      <c r="AA469" s="756"/>
    </row>
    <row r="470" spans="1:29">
      <c r="A470" s="756"/>
      <c r="B470" s="215"/>
      <c r="C470" s="759"/>
      <c r="D470" s="762"/>
      <c r="E470" s="437"/>
      <c r="F470" s="438"/>
      <c r="G470" s="439"/>
      <c r="H470" s="440"/>
      <c r="I470" s="441"/>
      <c r="J470" s="602"/>
      <c r="K470" s="442"/>
      <c r="L470" s="442"/>
      <c r="M470" s="442"/>
      <c r="N470" s="442"/>
      <c r="O470" s="442"/>
      <c r="P470" s="415"/>
      <c r="Q470" s="437">
        <f>база!$L$6</f>
        <v>261.04640000000001</v>
      </c>
      <c r="R470" s="438">
        <v>1</v>
      </c>
      <c r="S470" s="439">
        <f>SUMIFS(Таблица14[часы],Таблица14[коэф],"1",Таблица14[р/р],"5/16",Таблица14[Ф. И. О.],B473)</f>
        <v>0</v>
      </c>
      <c r="T470" s="440">
        <f>SUMIFS(Таблица14[Столбец2],Таблица14[коэф],"1",Таблица14[р/р],"5/16",Таблица14[Ф. И. О.],B473)</f>
        <v>0</v>
      </c>
      <c r="U470" s="603">
        <f>база!$M$6</f>
        <v>279.0496</v>
      </c>
      <c r="V470" s="438">
        <v>1</v>
      </c>
      <c r="W470" s="533">
        <f>SUMIFS(Таблица14[часы],Таблица14[коэф],"1",Таблица14[р/р],"5/24",Таблица14[Ф. И. О.],B473)</f>
        <v>0</v>
      </c>
      <c r="X470" s="604">
        <f>SUMIFS(Таблица14[Столбец2],Таблица14[коэф],"1",Таблица14[р/р],"5/24",Таблица14[Ф. И. О.],B473)</f>
        <v>0</v>
      </c>
      <c r="Y470" s="770"/>
      <c r="Z470" s="766"/>
      <c r="AA470" s="756"/>
    </row>
    <row r="471" spans="1:29">
      <c r="A471" s="756"/>
      <c r="B471" s="215"/>
      <c r="C471" s="759"/>
      <c r="D471" s="762"/>
      <c r="E471" s="437"/>
      <c r="F471" s="438"/>
      <c r="G471" s="439"/>
      <c r="H471" s="440"/>
      <c r="I471" s="441">
        <f>база!$J$5</f>
        <v>215.4924</v>
      </c>
      <c r="J471" s="602">
        <v>1.5</v>
      </c>
      <c r="K471" s="442">
        <f>SUMIFS(Таблица14[часы],Таблица14[коэф],"1,5",Таблица14[р/р],"4/8",Таблица14[Ф. И. О.],B473)</f>
        <v>0</v>
      </c>
      <c r="L471" s="442">
        <f>SUMIFS(Таблица14[Столбец2],Таблица14[коэф],"1,5",Таблица14[р/р],"4/8",Таблица14[Ф. И. О.],B473)</f>
        <v>0</v>
      </c>
      <c r="M471" s="442"/>
      <c r="N471" s="442"/>
      <c r="O471" s="442"/>
      <c r="P471" s="415"/>
      <c r="Q471" s="437">
        <f>IF(D468&lt;=3,база!$L$4,
IF(D468=4,база!$L$5,
IF(D468=5,база!$L$6)))</f>
        <v>210.57480000000001</v>
      </c>
      <c r="R471" s="438">
        <v>1.2</v>
      </c>
      <c r="S471" s="439">
        <f>SUMIFS(Таблица14[часы],Таблица14[коэф],"1,2",Таблица14[р/р],"3/16",Таблица14[Ф. И. О.],B473)</f>
        <v>0</v>
      </c>
      <c r="T471" s="440">
        <f>SUMIFS(Таблица14[Столбец2],Таблица14[коэф],"1,2",Таблица14[р/р],"3/16",Таблица14[Ф. И. О.],B473)</f>
        <v>0</v>
      </c>
      <c r="U471" s="603">
        <f>IF(D468&lt;=3,база!$M$4,
IF(D468=4,база!$M$5,
IF(D468=5,база!$M$6)))</f>
        <v>225.09719999999999</v>
      </c>
      <c r="V471" s="438">
        <v>1.2</v>
      </c>
      <c r="W471" s="533">
        <f>SUMIFS(Таблица14[часы],Таблица14[коэф],"1,2",Таблица14[р/р],"3/24",Таблица14[Ф. И. О.],B473)</f>
        <v>0</v>
      </c>
      <c r="X471" s="604">
        <f>SUMIFS(Таблица14[Столбец2],Таблица14[коэф],"1,2",Таблица14[р/р],"3/24",Таблица14[Ф. И. О.],B473)</f>
        <v>0</v>
      </c>
      <c r="Y471" s="770"/>
      <c r="Z471" s="766"/>
      <c r="AA471" s="756"/>
    </row>
    <row r="472" spans="1:29">
      <c r="A472" s="756"/>
      <c r="B472" s="215"/>
      <c r="C472" s="759"/>
      <c r="D472" s="762"/>
      <c r="E472" s="437"/>
      <c r="F472" s="438"/>
      <c r="G472" s="439"/>
      <c r="H472" s="440"/>
      <c r="I472" s="441">
        <f>база!$J$6</f>
        <v>243.04319999999998</v>
      </c>
      <c r="J472" s="602">
        <v>1.5</v>
      </c>
      <c r="K472" s="442">
        <f>SUMIFS(Таблица14[часы],Таблица14[коэф],"1,5",Таблица14[р/р],"5/8",Таблица14[Ф. И. О.],B473)</f>
        <v>0</v>
      </c>
      <c r="L472" s="442">
        <f>SUMIFS(Таблица14[Столбец2],Таблица14[коэф],"1,5",Таблица14[р/р],"5/8",Таблица14[Ф. И. О.],B473)</f>
        <v>0</v>
      </c>
      <c r="M472" s="442"/>
      <c r="N472" s="442"/>
      <c r="O472" s="442"/>
      <c r="P472" s="415"/>
      <c r="Q472" s="437">
        <f>база!$L$5</f>
        <v>231.45480000000001</v>
      </c>
      <c r="R472" s="438">
        <v>1.2</v>
      </c>
      <c r="S472" s="439">
        <f>SUMIFS(Таблица14[часы],Таблица14[коэф],"1,2",Таблица14[р/р],"4/16",Таблица14[Ф. И. О.],B473)</f>
        <v>0</v>
      </c>
      <c r="T472" s="440">
        <f>SUMIFS(Таблица14[Столбец2],Таблица14[коэф],"1,2",Таблица14[р/р],"4/16",Таблица14[Ф. И. О.],B473)</f>
        <v>0</v>
      </c>
      <c r="U472" s="603">
        <f>база!$M$5</f>
        <v>247.41720000000001</v>
      </c>
      <c r="V472" s="438">
        <v>1.2</v>
      </c>
      <c r="W472" s="533">
        <f>SUMIFS(Таблица14[часы],Таблица14[коэф],"1,2",Таблица14[р/р],"4/24",Таблица14[Ф. И. О.],B473)</f>
        <v>0</v>
      </c>
      <c r="X472" s="604">
        <f>SUMIFS(Таблица14[Столбец2],Таблица14[коэф],"1,2",Таблица14[р/р],"4/24",Таблица14[Ф. И. О.],B473)</f>
        <v>0</v>
      </c>
      <c r="Y472" s="770"/>
      <c r="Z472" s="766"/>
      <c r="AA472" s="756"/>
    </row>
    <row r="473" spans="1:29">
      <c r="A473" s="756"/>
      <c r="B473" s="215" t="str">
        <f>база!B44</f>
        <v>Маргиева Фатима Александровна</v>
      </c>
      <c r="C473" s="759"/>
      <c r="D473" s="762"/>
      <c r="E473" s="437"/>
      <c r="F473" s="438"/>
      <c r="G473" s="439"/>
      <c r="H473" s="440"/>
      <c r="I473" s="441"/>
      <c r="J473" s="602"/>
      <c r="K473" s="442"/>
      <c r="L473" s="442"/>
      <c r="M473" s="442"/>
      <c r="N473" s="442"/>
      <c r="O473" s="442"/>
      <c r="P473" s="415"/>
      <c r="Q473" s="437">
        <f>база!$L$6</f>
        <v>261.04640000000001</v>
      </c>
      <c r="R473" s="438">
        <v>1.2</v>
      </c>
      <c r="S473" s="439">
        <f>SUMIFS(Таблица14[часы],Таблица14[коэф],"1,2",Таблица14[р/р],"5/16",Таблица14[Ф. И. О.],B473)</f>
        <v>0</v>
      </c>
      <c r="T473" s="440">
        <f>SUMIFS(Таблица14[Столбец2],Таблица14[коэф],"1,2",Таблица14[р/р],"5/16",Таблица14[Ф. И. О.],B473)</f>
        <v>0</v>
      </c>
      <c r="U473" s="603">
        <f>база!$M$6</f>
        <v>279.0496</v>
      </c>
      <c r="V473" s="438">
        <v>1.2</v>
      </c>
      <c r="W473" s="533">
        <f>SUMIFS(Таблица14[часы],Таблица14[коэф],"1,2",Таблица14[р/р],"5/24",Таблица14[Ф. И. О.],B473)</f>
        <v>0</v>
      </c>
      <c r="X473" s="604">
        <f>SUMIFS(Таблица14[Столбец2],Таблица14[коэф],"1,2",Таблица14[р/р],"5/24",Таблица14[Ф. И. О.],B473)</f>
        <v>0</v>
      </c>
      <c r="Y473" s="770"/>
      <c r="Z473" s="766"/>
      <c r="AA473" s="756"/>
      <c r="AC473" s="752" t="str">
        <f>IF(SUMIFS(Таблица14[Столбец2],Таблица14[Ф. И. О.],B473)-Z468=0,"",SUMIFS(Таблица14[Столбец2],Таблица14[Ф. И. О.],B473)-Z468)</f>
        <v/>
      </c>
    </row>
    <row r="474" spans="1:29">
      <c r="A474" s="756"/>
      <c r="B474" s="215"/>
      <c r="C474" s="759"/>
      <c r="D474" s="762"/>
      <c r="E474" s="437"/>
      <c r="F474" s="438"/>
      <c r="G474" s="439"/>
      <c r="H474" s="440"/>
      <c r="I474" s="441"/>
      <c r="J474" s="602"/>
      <c r="K474" s="442"/>
      <c r="L474" s="442"/>
      <c r="M474" s="442"/>
      <c r="N474" s="442"/>
      <c r="O474" s="442"/>
      <c r="P474" s="415"/>
      <c r="Q474" s="437">
        <f>IF($D$6&lt;=3,база!$L$4,
IF($D$6=4,база!$L$5,
IF($D$6=5,база!$L$6)))</f>
        <v>231.45480000000001</v>
      </c>
      <c r="R474" s="438">
        <v>1.3</v>
      </c>
      <c r="S474" s="439">
        <f>SUMIFS(Таблица14[часы],Таблица14[коэф],"1,3",Таблица14[р/р],"3/16",Таблица14[Ф. И. О.],B473)</f>
        <v>0</v>
      </c>
      <c r="T474" s="440">
        <f>SUMIFS(Таблица14[Столбец2],Таблица14[коэф],"1,3",Таблица14[р/р],"3/16",Таблица14[Ф. И. О.],B473)</f>
        <v>0</v>
      </c>
      <c r="U474" s="603">
        <f>IF(D468&lt;=3,база!$M$4,
IF(D468=4,база!$M$5,
IF(D468=5,база!$M$6)))</f>
        <v>225.09719999999999</v>
      </c>
      <c r="V474" s="438">
        <v>1.3</v>
      </c>
      <c r="W474" s="533">
        <f>SUMIFS(Таблица14[часы],Таблица14[коэф],"1,3",Таблица14[р/р],"3/24",Таблица14[Ф. И. О.],B473)</f>
        <v>0</v>
      </c>
      <c r="X474" s="604">
        <f>SUMIFS(Таблица14[Столбец2],Таблица14[коэф],"1,3",Таблица14[р/р],"3/24",Таблица14[Ф. И. О.],B473)</f>
        <v>0</v>
      </c>
      <c r="Y474" s="770"/>
      <c r="Z474" s="766"/>
      <c r="AA474" s="756"/>
      <c r="AC474" s="752" t="str">
        <f>IF(SUMIFS(Таблица14[часы],Таблица14[Ф. И. О.],B473)-Y468=0,"",SUMIFS(Таблица14[часы],Таблица14[Ф. И. О.],B473)-Y468)</f>
        <v/>
      </c>
    </row>
    <row r="475" spans="1:29">
      <c r="A475" s="756"/>
      <c r="B475" s="215"/>
      <c r="C475" s="759"/>
      <c r="D475" s="762"/>
      <c r="E475" s="437"/>
      <c r="F475" s="438"/>
      <c r="G475" s="439"/>
      <c r="H475" s="440"/>
      <c r="I475" s="441"/>
      <c r="J475" s="602"/>
      <c r="K475" s="442"/>
      <c r="L475" s="442"/>
      <c r="M475" s="442"/>
      <c r="N475" s="442"/>
      <c r="O475" s="442"/>
      <c r="P475" s="415"/>
      <c r="Q475" s="437">
        <f>база!$L$5</f>
        <v>231.45480000000001</v>
      </c>
      <c r="R475" s="438">
        <v>1.3</v>
      </c>
      <c r="S475" s="439">
        <f>SUMIFS(Таблица14[часы],Таблица14[коэф],"1,3",Таблица14[р/р],"4/16",Таблица14[Ф. И. О.],B473)</f>
        <v>0</v>
      </c>
      <c r="T475" s="440">
        <f>SUMIFS(Таблица14[Столбец2],Таблица14[коэф],"1,3",Таблица14[р/р],"4/16",Таблица14[Ф. И. О.],B473)</f>
        <v>0</v>
      </c>
      <c r="U475" s="603">
        <f>база!$M$5</f>
        <v>247.41720000000001</v>
      </c>
      <c r="V475" s="438">
        <v>1.3</v>
      </c>
      <c r="W475" s="533">
        <f>SUMIFS(Таблица14[часы],Таблица14[коэф],"1,3",Таблица14[р/р],"4/24",Таблица14[Ф. И. О.],B473)</f>
        <v>0</v>
      </c>
      <c r="X475" s="604">
        <f>SUMIFS(Таблица14[Столбец2],Таблица14[коэф],"1,3",Таблица14[р/р],"4/24",Таблица14[Ф. И. О.],B473)</f>
        <v>0</v>
      </c>
      <c r="Y475" s="770"/>
      <c r="Z475" s="766"/>
      <c r="AA475" s="756"/>
    </row>
    <row r="476" spans="1:29">
      <c r="A476" s="756"/>
      <c r="B476" s="215"/>
      <c r="C476" s="759"/>
      <c r="D476" s="762"/>
      <c r="E476" s="437"/>
      <c r="F476" s="438"/>
      <c r="G476" s="439"/>
      <c r="H476" s="440"/>
      <c r="I476" s="441"/>
      <c r="J476" s="602"/>
      <c r="K476" s="442"/>
      <c r="L476" s="442"/>
      <c r="M476" s="442"/>
      <c r="N476" s="442"/>
      <c r="O476" s="442"/>
      <c r="P476" s="415"/>
      <c r="Q476" s="437">
        <f>IF(D468&lt;=3,база!$L$4,
IF(D468=4,база!$L$5,
IF(D468=5,база!$L$6)))</f>
        <v>210.57480000000001</v>
      </c>
      <c r="R476" s="438">
        <v>1.4</v>
      </c>
      <c r="S476" s="439">
        <f>SUMIFS(Таблица14[часы],Таблица14[коэф],"1,4",Таблица14[р/р],"3/16",Таблица14[Ф. И. О.],B473)</f>
        <v>0</v>
      </c>
      <c r="T476" s="440">
        <f>SUMIFS(Таблица14[Столбец2],Таблица14[коэф],"1,4",Таблица14[р/р],"3/16",Таблица14[Ф. И. О.],B473)</f>
        <v>0</v>
      </c>
      <c r="U476" s="603">
        <f>IF(D468&lt;=3,база!$M$4,
IF(D468=4,база!$M$5,
IF(D468=5,база!$M$6)))</f>
        <v>225.09719999999999</v>
      </c>
      <c r="V476" s="438">
        <v>1.4</v>
      </c>
      <c r="W476" s="533">
        <f>SUMIFS(Таблица14[часы],Таблица14[коэф],"1,4",Таблица14[р/р],"3/24",Таблица14[Ф. И. О.],B473)</f>
        <v>0</v>
      </c>
      <c r="X476" s="604">
        <f>SUMIFS(Таблица14[Столбец2],Таблица14[коэф],"1,4",Таблица14[р/р],"3/24",Таблица14[Ф. И. О.],B473)</f>
        <v>0</v>
      </c>
      <c r="Y476" s="770"/>
      <c r="Z476" s="766"/>
      <c r="AA476" s="756"/>
    </row>
    <row r="477" spans="1:29">
      <c r="A477" s="756"/>
      <c r="B477" s="215"/>
      <c r="C477" s="759"/>
      <c r="D477" s="762"/>
      <c r="E477" s="437"/>
      <c r="F477" s="438"/>
      <c r="G477" s="439"/>
      <c r="H477" s="440"/>
      <c r="I477" s="441"/>
      <c r="J477" s="602"/>
      <c r="K477" s="442"/>
      <c r="L477" s="442"/>
      <c r="M477" s="442"/>
      <c r="N477" s="442"/>
      <c r="O477" s="442"/>
      <c r="P477" s="415"/>
      <c r="Q477" s="437">
        <f>база!$L$5</f>
        <v>231.45480000000001</v>
      </c>
      <c r="R477" s="438">
        <v>1.4</v>
      </c>
      <c r="S477" s="439">
        <f>SUMIFS(Таблица14[часы],Таблица14[коэф],"1,4",Таблица14[р/р],"4/16",Таблица14[Ф. И. О.],B473)</f>
        <v>0</v>
      </c>
      <c r="T477" s="440">
        <f>SUMIFS(Таблица14[Столбец2],Таблица14[коэф],"1,4",Таблица14[р/р],"4/16",Таблица14[Ф. И. О.],B473)</f>
        <v>0</v>
      </c>
      <c r="U477" s="603">
        <f>база!$M$5</f>
        <v>247.41720000000001</v>
      </c>
      <c r="V477" s="438">
        <v>1.4</v>
      </c>
      <c r="W477" s="533">
        <f>SUMIFS(Таблица14[часы],Таблица14[коэф],"1,4",Таблица14[р/р],"4/24",Таблица14[Ф. И. О.],B473)</f>
        <v>0</v>
      </c>
      <c r="X477" s="604">
        <f>SUMIFS(Таблица14[Столбец2],Таблица14[коэф],"1,4",Таблица14[р/р],"4/24",Таблица14[Ф. И. О.],B473)</f>
        <v>0</v>
      </c>
      <c r="Y477" s="770"/>
      <c r="Z477" s="766"/>
      <c r="AA477" s="756"/>
    </row>
    <row r="478" spans="1:29" ht="21" thickBot="1">
      <c r="A478" s="757"/>
      <c r="B478" s="202"/>
      <c r="C478" s="760"/>
      <c r="D478" s="763"/>
      <c r="E478" s="445"/>
      <c r="F478" s="446"/>
      <c r="G478" s="447"/>
      <c r="H478" s="535"/>
      <c r="I478" s="448"/>
      <c r="J478" s="615"/>
      <c r="K478" s="449"/>
      <c r="L478" s="449"/>
      <c r="M478" s="449"/>
      <c r="N478" s="449"/>
      <c r="O478" s="449"/>
      <c r="P478" s="538"/>
      <c r="Q478" s="445">
        <f>база!$L$6</f>
        <v>261.04640000000001</v>
      </c>
      <c r="R478" s="446">
        <v>1.4</v>
      </c>
      <c r="S478" s="447">
        <f>SUMIFS(Таблица14[часы],Таблица14[коэф],"1,4",Таблица14[р/р],"5/16",Таблица14[Ф. И. О.],B473)</f>
        <v>0</v>
      </c>
      <c r="T478" s="535">
        <f>SUMIFS(Таблица14[Столбец2],Таблица14[коэф],"1,4",Таблица14[р/р],"5/16",Таблица14[Ф. И. О.],B473)</f>
        <v>0</v>
      </c>
      <c r="U478" s="616">
        <f>база!$M$6</f>
        <v>279.0496</v>
      </c>
      <c r="V478" s="446">
        <v>1.4</v>
      </c>
      <c r="W478" s="540">
        <f>SUMIFS(Таблица14[часы],Таблица14[коэф],"1,4",Таблица14[р/р],"5/24",Таблица14[Ф. И. О.],B473)</f>
        <v>0</v>
      </c>
      <c r="X478" s="617">
        <f>SUMIFS(Таблица14[Столбец2],Таблица14[коэф],"1,4",Таблица14[р/р],"5/24",Таблица14[Ф. И. О.],B473)</f>
        <v>0</v>
      </c>
      <c r="Y478" s="771"/>
      <c r="Z478" s="767"/>
      <c r="AA478" s="757"/>
    </row>
    <row r="479" spans="1:29" ht="20.25" customHeight="1">
      <c r="A479" s="755">
        <v>44</v>
      </c>
      <c r="B479" s="235"/>
      <c r="C479" s="758">
        <f>INDEX(база!$E$2:$E$81, MATCH(B484,база!$B$2:$B$50,0))</f>
        <v>16779</v>
      </c>
      <c r="D479" s="761">
        <f>INDEX(база!$D$2:$D$89, MATCH(B484,база!$B$2:$B$50,0))</f>
        <v>3</v>
      </c>
      <c r="E479" s="605">
        <f>IF(D479&lt;=3,база!$I$4,
IF(D479=4,база!$I$5,
IF(D479=5,база!$I$6)))</f>
        <v>188.7912</v>
      </c>
      <c r="F479" s="606">
        <v>1</v>
      </c>
      <c r="G479" s="607">
        <f>SUMIFS(Таблица14[часы],Таблица14[коэф],"1",Таблица14[р/р],"2/4",Таблица14[Ф. И. О.],B484)</f>
        <v>0</v>
      </c>
      <c r="H479" s="518">
        <f>SUMIFS(Таблица14[Столбец2],Таблица14[коэф],"1",Таблица14[р/р],"2/4",Таблица14[Ф. И. О.],B484)</f>
        <v>0</v>
      </c>
      <c r="I479" s="608">
        <f>IF(D479&lt;=3,база!$J$4,
IF(D479=4,база!$J$5,
IF(D479=5,база!$J$6)))</f>
        <v>196.05240000000001</v>
      </c>
      <c r="J479" s="609">
        <v>1</v>
      </c>
      <c r="K479" s="610">
        <f>SUMIFS(Таблица14[часы],Таблица14[коэф],"1",Таблица14[р/р],"2/8",Таблица14[Ф. И. О.],B484)</f>
        <v>0</v>
      </c>
      <c r="L479" s="610">
        <f>SUMIFS(Таблица14[Столбец2],Таблица14[коэф],"1",Таблица14[р/р],"2/8",Таблица14[Ф. И. О.],B484)</f>
        <v>0</v>
      </c>
      <c r="M479" s="610"/>
      <c r="N479" s="610">
        <v>1</v>
      </c>
      <c r="O479" s="610">
        <f>SUMIFS(Data_Tech!$AM$3:$AM$67,Data_Tech!$E$3:$E$67,"1",Data_Tech!$G$3:$G$67,"3/12",Data_Tech!$F$3:$F$67,B484)</f>
        <v>0</v>
      </c>
      <c r="P479" s="611">
        <f>ROUND(M479*N479*O479,2)</f>
        <v>0</v>
      </c>
      <c r="Q479" s="605">
        <f>IF(D479&lt;=3,база!$L$4,
IF(D479=4,база!$L$5,
IF(D479=5,база!$L$6)))</f>
        <v>210.57480000000001</v>
      </c>
      <c r="R479" s="606">
        <v>1</v>
      </c>
      <c r="S479" s="607">
        <f>SUMIFS(Таблица14[часы],Таблица14[коэф],"1",Таблица14[р/р],"3/16",Таблица14[Ф. И. О.],B484)</f>
        <v>0</v>
      </c>
      <c r="T479" s="518">
        <f>SUMIFS(Таблица14[Столбец2],Таблица14[коэф],"1",Таблица14[р/р],"3/16",Таблица14[Ф. И. О.],B484)</f>
        <v>0</v>
      </c>
      <c r="U479" s="612">
        <f>IF(D479&lt;=3,база!$M$4,
IF(D479=4,база!$M$5,
IF(D479=5,база!$M$6)))</f>
        <v>225.09719999999999</v>
      </c>
      <c r="V479" s="606">
        <v>1</v>
      </c>
      <c r="W479" s="613">
        <f>SUMIFS(Таблица14[часы],Таблица14[коэф],"1",Таблица14[р/р],"3/24",Таблица14[Ф. И. О.],B484)</f>
        <v>0</v>
      </c>
      <c r="X479" s="614">
        <f>SUMIFS(Таблица14[Столбец2],Таблица14[коэф],"1",Таблица14[р/р],"3/24",Таблица14[Ф. И. О.],B484)</f>
        <v>0</v>
      </c>
      <c r="Y479" s="769">
        <f t="shared" ref="Y479" si="226">SUM(G479:G489,K479:K489,O479:O489,S479:S489,W479:W489)</f>
        <v>0</v>
      </c>
      <c r="Z479" s="768">
        <f t="shared" ref="Z479" si="227">IFERROR(SUM(H479:H489,L479:L489,T479:T489,X479:X489),"")</f>
        <v>0</v>
      </c>
      <c r="AA479" s="755"/>
    </row>
    <row r="480" spans="1:29">
      <c r="A480" s="756"/>
      <c r="B480" s="215"/>
      <c r="C480" s="759"/>
      <c r="D480" s="762"/>
      <c r="E480" s="437">
        <f>IF(D479&lt;=3,база!$I$4,
IF(D479=4,база!$I$5,
IF(D479=5,база!$I$6)))</f>
        <v>188.7912</v>
      </c>
      <c r="F480" s="438">
        <v>1</v>
      </c>
      <c r="G480" s="439">
        <f>SUMIFS(Таблица14[часы],Таблица14[коэф],"1",Таблица14[р/р],"3/4",Таблица14[Ф. И. О.],B484)</f>
        <v>0</v>
      </c>
      <c r="H480" s="440">
        <f>SUMIFS(Таблица14[Столбец2],Таблица14[коэф],"1",Таблица14[р/р],"3/4",Таблица14[Ф. И. О.],B484)</f>
        <v>0</v>
      </c>
      <c r="I480" s="441">
        <f>IF(D479&lt;=3,база!$J$4,
IF(D479=4,база!$J$5,
IF(D479=5,база!$J$6)))</f>
        <v>196.05240000000001</v>
      </c>
      <c r="J480" s="602">
        <v>1</v>
      </c>
      <c r="K480" s="442">
        <f>SUMIFS(Таблица14[часы],Таблица14[коэф],"1",Таблица14[р/р],"3/8",Таблица14[Ф. И. О.],B484)</f>
        <v>0</v>
      </c>
      <c r="L480" s="442">
        <f>SUMIFS(Таблица14[Столбец2],Таблица14[коэф],"1",Таблица14[р/р],"3/8",Таблица14[Ф. И. О.],B484)</f>
        <v>0</v>
      </c>
      <c r="M480" s="442"/>
      <c r="N480" s="442">
        <v>1</v>
      </c>
      <c r="O480" s="442">
        <f>SUMIFS(Data_Tech!$AM$3:$AM$67,Data_Tech!$E$3:$E$67,"1",Data_Tech!$G$3:$G$67,"4/12",Data_Tech!$F$3:$F$67,B484)</f>
        <v>0</v>
      </c>
      <c r="P480" s="415">
        <f>ROUND(M480*O480,2)</f>
        <v>0</v>
      </c>
      <c r="Q480" s="437">
        <f>база!$L$5</f>
        <v>231.45480000000001</v>
      </c>
      <c r="R480" s="438">
        <v>1</v>
      </c>
      <c r="S480" s="439">
        <f>SUMIFS(Таблица14[часы],Таблица14[коэф],"1",Таблица14[р/р],"4/16",Таблица14[Ф. И. О.],B484)</f>
        <v>0</v>
      </c>
      <c r="T480" s="440">
        <f>SUMIFS(Таблица14[Столбец2],Таблица14[коэф],"1",Таблица14[р/р],"4/16",Таблица14[Ф. И. О.],B484)</f>
        <v>0</v>
      </c>
      <c r="U480" s="603">
        <f>база!$M$5</f>
        <v>247.41720000000001</v>
      </c>
      <c r="V480" s="438">
        <v>1</v>
      </c>
      <c r="W480" s="533">
        <f>SUMIFS(Таблица14[часы],Таблица14[коэф],"1",Таблица14[р/р],"4/24",Таблица14[Ф. И. О.],B484)</f>
        <v>0</v>
      </c>
      <c r="X480" s="604">
        <f>SUMIFS(Таблица14[Столбец2],Таблица14[коэф],"1",Таблица14[р/р],"4/24",Таблица14[Ф. И. О.],B484)</f>
        <v>0</v>
      </c>
      <c r="Y480" s="770"/>
      <c r="Z480" s="766"/>
      <c r="AA480" s="756"/>
    </row>
    <row r="481" spans="1:29">
      <c r="A481" s="756"/>
      <c r="B481" s="215"/>
      <c r="C481" s="759"/>
      <c r="D481" s="762"/>
      <c r="E481" s="437"/>
      <c r="F481" s="438"/>
      <c r="G481" s="439"/>
      <c r="H481" s="440"/>
      <c r="I481" s="441"/>
      <c r="J481" s="602"/>
      <c r="K481" s="442"/>
      <c r="L481" s="442"/>
      <c r="M481" s="442"/>
      <c r="N481" s="442"/>
      <c r="O481" s="442"/>
      <c r="P481" s="415"/>
      <c r="Q481" s="437">
        <f>база!$L$6</f>
        <v>261.04640000000001</v>
      </c>
      <c r="R481" s="438">
        <v>1</v>
      </c>
      <c r="S481" s="439">
        <f>SUMIFS(Таблица14[часы],Таблица14[коэф],"1",Таблица14[р/р],"5/16",Таблица14[Ф. И. О.],B484)</f>
        <v>0</v>
      </c>
      <c r="T481" s="440">
        <f>SUMIFS(Таблица14[Столбец2],Таблица14[коэф],"1",Таблица14[р/р],"5/16",Таблица14[Ф. И. О.],B484)</f>
        <v>0</v>
      </c>
      <c r="U481" s="603">
        <f>база!$M$6</f>
        <v>279.0496</v>
      </c>
      <c r="V481" s="438">
        <v>1</v>
      </c>
      <c r="W481" s="533">
        <f>SUMIFS(Таблица14[часы],Таблица14[коэф],"1",Таблица14[р/р],"5/24",Таблица14[Ф. И. О.],B484)</f>
        <v>0</v>
      </c>
      <c r="X481" s="604">
        <f>SUMIFS(Таблица14[Столбец2],Таблица14[коэф],"1",Таблица14[р/р],"5/24",Таблица14[Ф. И. О.],B484)</f>
        <v>0</v>
      </c>
      <c r="Y481" s="770"/>
      <c r="Z481" s="766"/>
      <c r="AA481" s="756"/>
    </row>
    <row r="482" spans="1:29">
      <c r="A482" s="756"/>
      <c r="B482" s="215"/>
      <c r="C482" s="759"/>
      <c r="D482" s="762"/>
      <c r="E482" s="437"/>
      <c r="F482" s="438"/>
      <c r="G482" s="439"/>
      <c r="H482" s="440"/>
      <c r="I482" s="441">
        <f>база!$J$5</f>
        <v>215.4924</v>
      </c>
      <c r="J482" s="602">
        <v>1.5</v>
      </c>
      <c r="K482" s="442">
        <f>SUMIFS(Таблица14[часы],Таблица14[коэф],"1,5",Таблица14[р/р],"4/8",Таблица14[Ф. И. О.],B484)</f>
        <v>0</v>
      </c>
      <c r="L482" s="442">
        <f>SUMIFS(Таблица14[Столбец2],Таблица14[коэф],"1,5",Таблица14[р/р],"4/8",Таблица14[Ф. И. О.],B484)</f>
        <v>0</v>
      </c>
      <c r="M482" s="442"/>
      <c r="N482" s="442"/>
      <c r="O482" s="442"/>
      <c r="P482" s="415"/>
      <c r="Q482" s="437">
        <f>IF(D479&lt;=3,база!$L$4,
IF(D479=4,база!$L$5,
IF(D479=5,база!$L$6)))</f>
        <v>210.57480000000001</v>
      </c>
      <c r="R482" s="438">
        <v>1.2</v>
      </c>
      <c r="S482" s="439">
        <f>SUMIFS(Таблица14[часы],Таблица14[коэф],"1,2",Таблица14[р/р],"3/16",Таблица14[Ф. И. О.],B484)</f>
        <v>0</v>
      </c>
      <c r="T482" s="440">
        <f>SUMIFS(Таблица14[Столбец2],Таблица14[коэф],"1,2",Таблица14[р/р],"3/16",Таблица14[Ф. И. О.],B484)</f>
        <v>0</v>
      </c>
      <c r="U482" s="603">
        <f>IF(D479&lt;=3,база!$M$4,
IF(D479=4,база!$M$5,
IF(D479=5,база!$M$6)))</f>
        <v>225.09719999999999</v>
      </c>
      <c r="V482" s="438">
        <v>1.2</v>
      </c>
      <c r="W482" s="533">
        <f>SUMIFS(Таблица14[часы],Таблица14[коэф],"1,2",Таблица14[р/р],"3/24",Таблица14[Ф. И. О.],B484)</f>
        <v>0</v>
      </c>
      <c r="X482" s="604">
        <f>SUMIFS(Таблица14[Столбец2],Таблица14[коэф],"1,2",Таблица14[р/р],"3/24",Таблица14[Ф. И. О.],B484)</f>
        <v>0</v>
      </c>
      <c r="Y482" s="770"/>
      <c r="Z482" s="766"/>
      <c r="AA482" s="756"/>
    </row>
    <row r="483" spans="1:29">
      <c r="A483" s="756"/>
      <c r="B483" s="215"/>
      <c r="C483" s="759"/>
      <c r="D483" s="762"/>
      <c r="E483" s="437"/>
      <c r="F483" s="438"/>
      <c r="G483" s="439"/>
      <c r="H483" s="440"/>
      <c r="I483" s="441">
        <f>база!$J$6</f>
        <v>243.04319999999998</v>
      </c>
      <c r="J483" s="602">
        <v>1.5</v>
      </c>
      <c r="K483" s="442">
        <f>SUMIFS(Таблица14[часы],Таблица14[коэф],"1,5",Таблица14[р/р],"5/8",Таблица14[Ф. И. О.],B484)</f>
        <v>0</v>
      </c>
      <c r="L483" s="442">
        <f>SUMIFS(Таблица14[Столбец2],Таблица14[коэф],"1,5",Таблица14[р/р],"5/8",Таблица14[Ф. И. О.],B484)</f>
        <v>0</v>
      </c>
      <c r="M483" s="442"/>
      <c r="N483" s="442"/>
      <c r="O483" s="442"/>
      <c r="P483" s="415"/>
      <c r="Q483" s="437">
        <f>база!$L$5</f>
        <v>231.45480000000001</v>
      </c>
      <c r="R483" s="438">
        <v>1.2</v>
      </c>
      <c r="S483" s="439">
        <f>SUMIFS(Таблица14[часы],Таблица14[коэф],"1,2",Таблица14[р/р],"4/16",Таблица14[Ф. И. О.],B484)</f>
        <v>0</v>
      </c>
      <c r="T483" s="440">
        <f>SUMIFS(Таблица14[Столбец2],Таблица14[коэф],"1,2",Таблица14[р/р],"4/16",Таблица14[Ф. И. О.],B484)</f>
        <v>0</v>
      </c>
      <c r="U483" s="603">
        <f>база!$M$5</f>
        <v>247.41720000000001</v>
      </c>
      <c r="V483" s="438">
        <v>1.2</v>
      </c>
      <c r="W483" s="533">
        <f>SUMIFS(Таблица14[часы],Таблица14[коэф],"1,2",Таблица14[р/р],"4/24",Таблица14[Ф. И. О.],B484)</f>
        <v>0</v>
      </c>
      <c r="X483" s="604">
        <f>SUMIFS(Таблица14[Столбец2],Таблица14[коэф],"1,2",Таблица14[р/р],"4/24",Таблица14[Ф. И. О.],B484)</f>
        <v>0</v>
      </c>
      <c r="Y483" s="770"/>
      <c r="Z483" s="766"/>
      <c r="AA483" s="756"/>
      <c r="AC483" s="752" t="str">
        <f>IF(SUMIFS(Таблица14[Столбец2],Таблица14[Ф. И. О.],B484)-Z479=0,"",SUMIFS(Таблица14[Столбец2],Таблица14[Ф. И. О.],B484)-Z479)</f>
        <v/>
      </c>
    </row>
    <row r="484" spans="1:29">
      <c r="A484" s="756"/>
      <c r="B484" s="215" t="str">
        <f>база!B45</f>
        <v>Маркова Ольга Евгеньевна</v>
      </c>
      <c r="C484" s="759"/>
      <c r="D484" s="762"/>
      <c r="E484" s="437"/>
      <c r="F484" s="438"/>
      <c r="G484" s="439"/>
      <c r="H484" s="440"/>
      <c r="I484" s="441"/>
      <c r="J484" s="602"/>
      <c r="K484" s="442"/>
      <c r="L484" s="442"/>
      <c r="M484" s="442"/>
      <c r="N484" s="442"/>
      <c r="O484" s="442"/>
      <c r="P484" s="415"/>
      <c r="Q484" s="437">
        <f>база!$L$6</f>
        <v>261.04640000000001</v>
      </c>
      <c r="R484" s="438">
        <v>1.2</v>
      </c>
      <c r="S484" s="439">
        <f>SUMIFS(Таблица14[часы],Таблица14[коэф],"1,2",Таблица14[р/р],"5/16",Таблица14[Ф. И. О.],B484)</f>
        <v>0</v>
      </c>
      <c r="T484" s="440">
        <f>SUMIFS(Таблица14[Столбец2],Таблица14[коэф],"1,2",Таблица14[р/р],"5/16",Таблица14[Ф. И. О.],B484)</f>
        <v>0</v>
      </c>
      <c r="U484" s="603">
        <f>база!$M$6</f>
        <v>279.0496</v>
      </c>
      <c r="V484" s="438">
        <v>1.2</v>
      </c>
      <c r="W484" s="533">
        <f>SUMIFS(Таблица14[часы],Таблица14[коэф],"1,2",Таблица14[р/р],"5/24",Таблица14[Ф. И. О.],B484)</f>
        <v>0</v>
      </c>
      <c r="X484" s="604">
        <f>SUMIFS(Таблица14[Столбец2],Таблица14[коэф],"1,2",Таблица14[р/р],"5/24",Таблица14[Ф. И. О.],B484)</f>
        <v>0</v>
      </c>
      <c r="Y484" s="770"/>
      <c r="Z484" s="766"/>
      <c r="AA484" s="756"/>
      <c r="AC484" s="752" t="str">
        <f>IF(SUMIFS(Таблица14[часы],Таблица14[Ф. И. О.],B484)-Y479=0,"",SUMIFS(Таблица14[часы],Таблица14[Ф. И. О.],B484)-Y479)</f>
        <v/>
      </c>
    </row>
    <row r="485" spans="1:29">
      <c r="A485" s="756"/>
      <c r="B485" s="215"/>
      <c r="C485" s="759"/>
      <c r="D485" s="762"/>
      <c r="E485" s="437"/>
      <c r="F485" s="438"/>
      <c r="G485" s="439"/>
      <c r="H485" s="440"/>
      <c r="I485" s="441"/>
      <c r="J485" s="602"/>
      <c r="K485" s="442"/>
      <c r="L485" s="442"/>
      <c r="M485" s="442"/>
      <c r="N485" s="442"/>
      <c r="O485" s="442"/>
      <c r="P485" s="415"/>
      <c r="Q485" s="437">
        <f>IF($D$6&lt;=3,база!$L$4,
IF($D$6=4,база!$L$5,
IF($D$6=5,база!$L$6)))</f>
        <v>231.45480000000001</v>
      </c>
      <c r="R485" s="438">
        <v>1.3</v>
      </c>
      <c r="S485" s="439">
        <f>SUMIFS(Таблица14[часы],Таблица14[коэф],"1,3",Таблица14[р/р],"3/16",Таблица14[Ф. И. О.],B484)</f>
        <v>0</v>
      </c>
      <c r="T485" s="440">
        <f>SUMIFS(Таблица14[Столбец2],Таблица14[коэф],"1,3",Таблица14[р/р],"3/16",Таблица14[Ф. И. О.],B484)</f>
        <v>0</v>
      </c>
      <c r="U485" s="603">
        <f>IF(D479&lt;=3,база!$M$4,
IF(D479=4,база!$M$5,
IF(D479=5,база!$M$6)))</f>
        <v>225.09719999999999</v>
      </c>
      <c r="V485" s="438">
        <v>1.3</v>
      </c>
      <c r="W485" s="533">
        <f>SUMIFS(Таблица14[часы],Таблица14[коэф],"1,3",Таблица14[р/р],"3/24",Таблица14[Ф. И. О.],B484)</f>
        <v>0</v>
      </c>
      <c r="X485" s="604">
        <f>SUMIFS(Таблица14[Столбец2],Таблица14[коэф],"1,3",Таблица14[р/р],"3/24",Таблица14[Ф. И. О.],B484)</f>
        <v>0</v>
      </c>
      <c r="Y485" s="770"/>
      <c r="Z485" s="766"/>
      <c r="AA485" s="756"/>
    </row>
    <row r="486" spans="1:29">
      <c r="A486" s="756"/>
      <c r="B486" s="215"/>
      <c r="C486" s="759"/>
      <c r="D486" s="762"/>
      <c r="E486" s="437"/>
      <c r="F486" s="438"/>
      <c r="G486" s="439"/>
      <c r="H486" s="440"/>
      <c r="I486" s="441"/>
      <c r="J486" s="602"/>
      <c r="K486" s="442"/>
      <c r="L486" s="442"/>
      <c r="M486" s="442"/>
      <c r="N486" s="442"/>
      <c r="O486" s="442"/>
      <c r="P486" s="415"/>
      <c r="Q486" s="437">
        <f>база!$L$5</f>
        <v>231.45480000000001</v>
      </c>
      <c r="R486" s="438">
        <v>1.3</v>
      </c>
      <c r="S486" s="439">
        <f>SUMIFS(Таблица14[часы],Таблица14[коэф],"1,3",Таблица14[р/р],"4/16",Таблица14[Ф. И. О.],B484)</f>
        <v>0</v>
      </c>
      <c r="T486" s="440">
        <f>SUMIFS(Таблица14[Столбец2],Таблица14[коэф],"1,3",Таблица14[р/р],"4/16",Таблица14[Ф. И. О.],B484)</f>
        <v>0</v>
      </c>
      <c r="U486" s="603">
        <f>база!$M$5</f>
        <v>247.41720000000001</v>
      </c>
      <c r="V486" s="438">
        <v>1.3</v>
      </c>
      <c r="W486" s="533">
        <f>SUMIFS(Таблица14[часы],Таблица14[коэф],"1,3",Таблица14[р/р],"4/24",Таблица14[Ф. И. О.],B484)</f>
        <v>0</v>
      </c>
      <c r="X486" s="604">
        <f>SUMIFS(Таблица14[Столбец2],Таблица14[коэф],"1,3",Таблица14[р/р],"4/24",Таблица14[Ф. И. О.],B484)</f>
        <v>0</v>
      </c>
      <c r="Y486" s="770"/>
      <c r="Z486" s="766"/>
      <c r="AA486" s="756"/>
    </row>
    <row r="487" spans="1:29">
      <c r="A487" s="756"/>
      <c r="B487" s="215"/>
      <c r="C487" s="759"/>
      <c r="D487" s="762"/>
      <c r="E487" s="437"/>
      <c r="F487" s="438"/>
      <c r="G487" s="439"/>
      <c r="H487" s="440"/>
      <c r="I487" s="441"/>
      <c r="J487" s="602"/>
      <c r="K487" s="442"/>
      <c r="L487" s="442"/>
      <c r="M487" s="442"/>
      <c r="N487" s="442"/>
      <c r="O487" s="442"/>
      <c r="P487" s="415"/>
      <c r="Q487" s="437">
        <f>IF(D479&lt;=3,база!$L$4,
IF(D479=4,база!$L$5,
IF(D479=5,база!$L$6)))</f>
        <v>210.57480000000001</v>
      </c>
      <c r="R487" s="438">
        <v>1.4</v>
      </c>
      <c r="S487" s="439">
        <f>SUMIFS(Таблица14[часы],Таблица14[коэф],"1,4",Таблица14[р/р],"3/16",Таблица14[Ф. И. О.],B484)</f>
        <v>0</v>
      </c>
      <c r="T487" s="440">
        <f>SUMIFS(Таблица14[Столбец2],Таблица14[коэф],"1,4",Таблица14[р/р],"3/16",Таблица14[Ф. И. О.],B484)</f>
        <v>0</v>
      </c>
      <c r="U487" s="603">
        <f>IF(D479&lt;=3,база!$M$4,
IF(D479=4,база!$M$5,
IF(D479=5,база!$M$6)))</f>
        <v>225.09719999999999</v>
      </c>
      <c r="V487" s="438">
        <v>1.4</v>
      </c>
      <c r="W487" s="533">
        <f>SUMIFS(Таблица14[часы],Таблица14[коэф],"1,4",Таблица14[р/р],"3/24",Таблица14[Ф. И. О.],B484)</f>
        <v>0</v>
      </c>
      <c r="X487" s="604">
        <f>SUMIFS(Таблица14[Столбец2],Таблица14[коэф],"1,4",Таблица14[р/р],"3/24",Таблица14[Ф. И. О.],B484)</f>
        <v>0</v>
      </c>
      <c r="Y487" s="770"/>
      <c r="Z487" s="766"/>
      <c r="AA487" s="756"/>
    </row>
    <row r="488" spans="1:29">
      <c r="A488" s="756"/>
      <c r="B488" s="215"/>
      <c r="C488" s="759"/>
      <c r="D488" s="762"/>
      <c r="E488" s="437"/>
      <c r="F488" s="438"/>
      <c r="G488" s="439"/>
      <c r="H488" s="440"/>
      <c r="I488" s="441"/>
      <c r="J488" s="602"/>
      <c r="K488" s="442"/>
      <c r="L488" s="442"/>
      <c r="M488" s="442"/>
      <c r="N488" s="442"/>
      <c r="O488" s="442"/>
      <c r="P488" s="415"/>
      <c r="Q488" s="437">
        <f>база!$L$5</f>
        <v>231.45480000000001</v>
      </c>
      <c r="R488" s="438">
        <v>1.4</v>
      </c>
      <c r="S488" s="439">
        <f>SUMIFS(Таблица14[часы],Таблица14[коэф],"1,4",Таблица14[р/р],"4/16",Таблица14[Ф. И. О.],B484)</f>
        <v>0</v>
      </c>
      <c r="T488" s="440">
        <f>SUMIFS(Таблица14[Столбец2],Таблица14[коэф],"1,4",Таблица14[р/р],"4/16",Таблица14[Ф. И. О.],B484)</f>
        <v>0</v>
      </c>
      <c r="U488" s="603">
        <f>база!$M$5</f>
        <v>247.41720000000001</v>
      </c>
      <c r="V488" s="438">
        <v>1.4</v>
      </c>
      <c r="W488" s="533">
        <f>SUMIFS(Таблица14[часы],Таблица14[коэф],"1,4",Таблица14[р/р],"4/24",Таблица14[Ф. И. О.],B484)</f>
        <v>0</v>
      </c>
      <c r="X488" s="604">
        <f>SUMIFS(Таблица14[Столбец2],Таблица14[коэф],"1,4",Таблица14[р/р],"4/24",Таблица14[Ф. И. О.],B484)</f>
        <v>0</v>
      </c>
      <c r="Y488" s="770"/>
      <c r="Z488" s="766"/>
      <c r="AA488" s="756"/>
    </row>
    <row r="489" spans="1:29" ht="21" thickBot="1">
      <c r="A489" s="757"/>
      <c r="B489" s="202"/>
      <c r="C489" s="760"/>
      <c r="D489" s="763"/>
      <c r="E489" s="445"/>
      <c r="F489" s="446"/>
      <c r="G489" s="447"/>
      <c r="H489" s="535"/>
      <c r="I489" s="448"/>
      <c r="J489" s="615"/>
      <c r="K489" s="449"/>
      <c r="L489" s="449"/>
      <c r="M489" s="449"/>
      <c r="N489" s="449"/>
      <c r="O489" s="449"/>
      <c r="P489" s="538"/>
      <c r="Q489" s="445">
        <f>база!$L$6</f>
        <v>261.04640000000001</v>
      </c>
      <c r="R489" s="446">
        <v>1.4</v>
      </c>
      <c r="S489" s="447">
        <f>SUMIFS(Таблица14[часы],Таблица14[коэф],"1,4",Таблица14[р/р],"5/16",Таблица14[Ф. И. О.],B484)</f>
        <v>0</v>
      </c>
      <c r="T489" s="535">
        <f>SUMIFS(Таблица14[Столбец2],Таблица14[коэф],"1,4",Таблица14[р/р],"5/16",Таблица14[Ф. И. О.],B484)</f>
        <v>0</v>
      </c>
      <c r="U489" s="616">
        <f>база!$M$6</f>
        <v>279.0496</v>
      </c>
      <c r="V489" s="446">
        <v>1.4</v>
      </c>
      <c r="W489" s="540">
        <f>SUMIFS(Таблица14[часы],Таблица14[коэф],"1,4",Таблица14[р/р],"5/24",Таблица14[Ф. И. О.],B484)</f>
        <v>0</v>
      </c>
      <c r="X489" s="617">
        <f>SUMIFS(Таблица14[Столбец2],Таблица14[коэф],"1,4",Таблица14[р/р],"5/24",Таблица14[Ф. И. О.],B484)</f>
        <v>0</v>
      </c>
      <c r="Y489" s="771"/>
      <c r="Z489" s="767"/>
      <c r="AA489" s="757"/>
    </row>
    <row r="490" spans="1:29" ht="20.25" customHeight="1">
      <c r="A490" s="755">
        <v>45</v>
      </c>
      <c r="B490" s="215"/>
      <c r="C490" s="758">
        <f>INDEX(база!$E$2:$E$98, MATCH(B495,база!$B$2:$B$100,0))</f>
        <v>16872</v>
      </c>
      <c r="D490" s="761">
        <f>INDEX(база!$D$2:$D$121, MATCH(B495,база!$B$2:$B$100,0))</f>
        <v>3</v>
      </c>
      <c r="E490" s="437">
        <f>IF(D490&lt;=3,база!$I$4,
IF(D490=4,база!$I$5,
IF(D490=5,база!$I$6)))</f>
        <v>188.7912</v>
      </c>
      <c r="F490" s="438">
        <v>1</v>
      </c>
      <c r="G490" s="439">
        <f>SUMIFS(Таблица14[часы],Таблица14[коэф],"1",Таблица14[р/р],"2/4",Таблица14[Ф. И. О.],B495)</f>
        <v>0</v>
      </c>
      <c r="H490" s="440">
        <f>SUMIFS(Таблица14[Столбец2],Таблица14[коэф],"1",Таблица14[р/р],"2/4",Таблица14[Ф. И. О.],B495)</f>
        <v>0</v>
      </c>
      <c r="I490" s="441">
        <f>IF(D490&lt;=3,база!$J$4,
IF(D490=4,база!$J$5,
IF(D490=5,база!$J$6)))</f>
        <v>196.05240000000001</v>
      </c>
      <c r="J490" s="602">
        <v>1</v>
      </c>
      <c r="K490" s="442">
        <f>SUMIFS(Таблица14[часы],Таблица14[коэф],"1",Таблица14[р/р],"2/8",Таблица14[Ф. И. О.],B495)</f>
        <v>0</v>
      </c>
      <c r="L490" s="442">
        <f>SUMIFS(Таблица14[Столбец2],Таблица14[коэф],"1",Таблица14[р/р],"2/8",Таблица14[Ф. И. О.],B495)</f>
        <v>0</v>
      </c>
      <c r="M490" s="442"/>
      <c r="N490" s="442">
        <v>1</v>
      </c>
      <c r="O490" s="442">
        <f>SUMIFS(Data_Tech!$AM$3:$AM$67,Data_Tech!$E$3:$E$67,"1",Data_Tech!$G$3:$G$67,"3/12",Data_Tech!$F$3:$F$67,B495)</f>
        <v>0</v>
      </c>
      <c r="P490" s="415">
        <f>ROUND(M490*N490*O490,2)</f>
        <v>0</v>
      </c>
      <c r="Q490" s="437">
        <f>IF(D490&lt;=3,база!$L$4,
IF(D490=4,база!$L$5,
IF(D490=5,база!$L$6)))</f>
        <v>210.57480000000001</v>
      </c>
      <c r="R490" s="438">
        <v>1</v>
      </c>
      <c r="S490" s="439">
        <f>SUMIFS(Таблица14[часы],Таблица14[коэф],"1",Таблица14[р/р],"3/16",Таблица14[Ф. И. О.],B495)</f>
        <v>0</v>
      </c>
      <c r="T490" s="440">
        <f>SUMIFS(Таблица14[Столбец2],Таблица14[коэф],"1",Таблица14[р/р],"3/16",Таблица14[Ф. И. О.],B495)</f>
        <v>0</v>
      </c>
      <c r="U490" s="603">
        <f>IF(D490&lt;=3,база!$M$4,
IF(D490=4,база!$M$5,
IF(D490=5,база!$M$6)))</f>
        <v>225.09719999999999</v>
      </c>
      <c r="V490" s="438">
        <v>1</v>
      </c>
      <c r="W490" s="533">
        <f>SUMIFS(Таблица14[часы],Таблица14[коэф],"1",Таблица14[р/р],"3/24",Таблица14[Ф. И. О.],B495)</f>
        <v>0</v>
      </c>
      <c r="X490" s="604">
        <f>SUMIFS(Таблица14[Столбец2],Таблица14[коэф],"1",Таблица14[р/р],"3/24",Таблица14[Ф. И. О.],B495)</f>
        <v>0</v>
      </c>
      <c r="Y490" s="769">
        <f t="shared" ref="Y490" si="228">SUM(G490:G500,K490:K500,O490:O500,S490:S500,W490:W500)</f>
        <v>0</v>
      </c>
      <c r="Z490" s="768">
        <f t="shared" ref="Z490" si="229">IFERROR(SUM(H490:H500,L490:L500,T490:T500,X490:X500),"")</f>
        <v>0</v>
      </c>
      <c r="AA490" s="755"/>
    </row>
    <row r="491" spans="1:29">
      <c r="A491" s="756"/>
      <c r="B491" s="215"/>
      <c r="C491" s="759"/>
      <c r="D491" s="762"/>
      <c r="E491" s="437">
        <f>IF(D490&lt;=3,база!$I$4,
IF(D490=4,база!$I$5,
IF(D490=5,база!$I$6)))</f>
        <v>188.7912</v>
      </c>
      <c r="F491" s="438">
        <v>1</v>
      </c>
      <c r="G491" s="439">
        <f>SUMIFS(Таблица14[часы],Таблица14[коэф],"1",Таблица14[р/р],"3/4",Таблица14[Ф. И. О.],B495)</f>
        <v>0</v>
      </c>
      <c r="H491" s="440">
        <f>SUMIFS(Таблица14[Столбец2],Таблица14[коэф],"1",Таблица14[р/р],"3/4",Таблица14[Ф. И. О.],B495)</f>
        <v>0</v>
      </c>
      <c r="I491" s="441">
        <f>IF(D490&lt;=3,база!$J$4,
IF(D490=4,база!$J$5,
IF(D490=5,база!$J$6)))</f>
        <v>196.05240000000001</v>
      </c>
      <c r="J491" s="602">
        <v>1</v>
      </c>
      <c r="K491" s="442">
        <f>SUMIFS(Таблица14[часы],Таблица14[коэф],"1",Таблица14[р/р],"3/8",Таблица14[Ф. И. О.],B495)</f>
        <v>0</v>
      </c>
      <c r="L491" s="442">
        <f>SUMIFS(Таблица14[Столбец2],Таблица14[коэф],"1",Таблица14[р/р],"3/8",Таблица14[Ф. И. О.],B495)</f>
        <v>0</v>
      </c>
      <c r="M491" s="442"/>
      <c r="N491" s="442">
        <v>1</v>
      </c>
      <c r="O491" s="442">
        <f>SUMIFS(Data_Tech!$AM$3:$AM$67,Data_Tech!$E$3:$E$67,"1",Data_Tech!$G$3:$G$67,"4/12",Data_Tech!$F$3:$F$67,B495)</f>
        <v>0</v>
      </c>
      <c r="P491" s="415">
        <f>ROUND(M491*O491,2)</f>
        <v>0</v>
      </c>
      <c r="Q491" s="437">
        <f>база!$L$5</f>
        <v>231.45480000000001</v>
      </c>
      <c r="R491" s="438">
        <v>1</v>
      </c>
      <c r="S491" s="439">
        <f>SUMIFS(Таблица14[часы],Таблица14[коэф],"1",Таблица14[р/р],"4/16",Таблица14[Ф. И. О.],B495)</f>
        <v>0</v>
      </c>
      <c r="T491" s="440">
        <f>SUMIFS(Таблица14[Столбец2],Таблица14[коэф],"1",Таблица14[р/р],"4/16",Таблица14[Ф. И. О.],B495)</f>
        <v>0</v>
      </c>
      <c r="U491" s="603">
        <f>база!$M$5</f>
        <v>247.41720000000001</v>
      </c>
      <c r="V491" s="438">
        <v>1</v>
      </c>
      <c r="W491" s="533">
        <f>SUMIFS(Таблица14[часы],Таблица14[коэф],"1",Таблица14[р/р],"4/24",Таблица14[Ф. И. О.],B495)</f>
        <v>0</v>
      </c>
      <c r="X491" s="604">
        <f>SUMIFS(Таблица14[Столбец2],Таблица14[коэф],"1",Таблица14[р/р],"4/24",Таблица14[Ф. И. О.],B495)</f>
        <v>0</v>
      </c>
      <c r="Y491" s="770"/>
      <c r="Z491" s="766"/>
      <c r="AA491" s="756"/>
    </row>
    <row r="492" spans="1:29">
      <c r="A492" s="756"/>
      <c r="B492" s="215"/>
      <c r="C492" s="759"/>
      <c r="D492" s="762"/>
      <c r="E492" s="437"/>
      <c r="F492" s="438"/>
      <c r="G492" s="439"/>
      <c r="H492" s="440"/>
      <c r="I492" s="441"/>
      <c r="J492" s="602"/>
      <c r="K492" s="442"/>
      <c r="L492" s="442"/>
      <c r="M492" s="442"/>
      <c r="N492" s="442"/>
      <c r="O492" s="442"/>
      <c r="P492" s="415"/>
      <c r="Q492" s="437">
        <f>база!$L$6</f>
        <v>261.04640000000001</v>
      </c>
      <c r="R492" s="438">
        <v>1</v>
      </c>
      <c r="S492" s="439">
        <f>SUMIFS(Таблица14[часы],Таблица14[коэф],"1",Таблица14[р/р],"5/16",Таблица14[Ф. И. О.],B495)</f>
        <v>0</v>
      </c>
      <c r="T492" s="440">
        <f>SUMIFS(Таблица14[Столбец2],Таблица14[коэф],"1",Таблица14[р/р],"5/16",Таблица14[Ф. И. О.],B495)</f>
        <v>0</v>
      </c>
      <c r="U492" s="603">
        <f>база!$M$6</f>
        <v>279.0496</v>
      </c>
      <c r="V492" s="438">
        <v>1</v>
      </c>
      <c r="W492" s="533">
        <f>SUMIFS(Таблица14[часы],Таблица14[коэф],"1",Таблица14[р/р],"5/24",Таблица14[Ф. И. О.],B495)</f>
        <v>0</v>
      </c>
      <c r="X492" s="604">
        <f>SUMIFS(Таблица14[Столбец2],Таблица14[коэф],"1",Таблица14[р/р],"5/24",Таблица14[Ф. И. О.],B495)</f>
        <v>0</v>
      </c>
      <c r="Y492" s="770"/>
      <c r="Z492" s="766"/>
      <c r="AA492" s="756"/>
    </row>
    <row r="493" spans="1:29">
      <c r="A493" s="756"/>
      <c r="B493" s="215"/>
      <c r="C493" s="759"/>
      <c r="D493" s="762"/>
      <c r="E493" s="437"/>
      <c r="F493" s="438"/>
      <c r="G493" s="439"/>
      <c r="H493" s="440"/>
      <c r="I493" s="441">
        <f>база!$J$5</f>
        <v>215.4924</v>
      </c>
      <c r="J493" s="602">
        <v>1.5</v>
      </c>
      <c r="K493" s="442">
        <f>SUMIFS(Таблица14[часы],Таблица14[коэф],"1,5",Таблица14[р/р],"4/8",Таблица14[Ф. И. О.],B495)</f>
        <v>0</v>
      </c>
      <c r="L493" s="442">
        <f>SUMIFS(Таблица14[Столбец2],Таблица14[коэф],"1,5",Таблица14[р/р],"4/8",Таблица14[Ф. И. О.],B495)</f>
        <v>0</v>
      </c>
      <c r="M493" s="442"/>
      <c r="N493" s="442"/>
      <c r="O493" s="442"/>
      <c r="P493" s="415"/>
      <c r="Q493" s="437">
        <f>IF(D490&lt;=3,база!$L$4,
IF(D490=4,база!$L$5,
IF(D490=5,база!$L$6)))</f>
        <v>210.57480000000001</v>
      </c>
      <c r="R493" s="438">
        <v>1.2</v>
      </c>
      <c r="S493" s="439">
        <f>SUMIFS(Таблица14[часы],Таблица14[коэф],"1,2",Таблица14[р/р],"3/16",Таблица14[Ф. И. О.],B495)</f>
        <v>0</v>
      </c>
      <c r="T493" s="440">
        <f>SUMIFS(Таблица14[Столбец2],Таблица14[коэф],"1,2",Таблица14[р/р],"3/16",Таблица14[Ф. И. О.],B495)</f>
        <v>0</v>
      </c>
      <c r="U493" s="603">
        <f>IF(D490&lt;=3,база!$M$4,
IF(D490=4,база!$M$5,
IF(D490=5,база!$M$6)))</f>
        <v>225.09719999999999</v>
      </c>
      <c r="V493" s="438">
        <v>1.2</v>
      </c>
      <c r="W493" s="533">
        <f>SUMIFS(Таблица14[часы],Таблица14[коэф],"1,2",Таблица14[р/р],"3/24",Таблица14[Ф. И. О.],B495)</f>
        <v>0</v>
      </c>
      <c r="X493" s="604">
        <f>SUMIFS(Таблица14[Столбец2],Таблица14[коэф],"1,2",Таблица14[р/р],"3/24",Таблица14[Ф. И. О.],B495)</f>
        <v>0</v>
      </c>
      <c r="Y493" s="770"/>
      <c r="Z493" s="766"/>
      <c r="AA493" s="756"/>
    </row>
    <row r="494" spans="1:29">
      <c r="A494" s="756"/>
      <c r="B494" s="215"/>
      <c r="C494" s="759"/>
      <c r="D494" s="762"/>
      <c r="E494" s="437"/>
      <c r="F494" s="438"/>
      <c r="G494" s="439"/>
      <c r="H494" s="440"/>
      <c r="I494" s="441">
        <f>база!$J$6</f>
        <v>243.04319999999998</v>
      </c>
      <c r="J494" s="602">
        <v>1.5</v>
      </c>
      <c r="K494" s="442">
        <f>SUMIFS(Таблица14[часы],Таблица14[коэф],"1,5",Таблица14[р/р],"5/8",Таблица14[Ф. И. О.],B495)</f>
        <v>0</v>
      </c>
      <c r="L494" s="442">
        <f>SUMIFS(Таблица14[Столбец2],Таблица14[коэф],"1,5",Таблица14[р/р],"5/8",Таблица14[Ф. И. О.],B495)</f>
        <v>0</v>
      </c>
      <c r="M494" s="442"/>
      <c r="N494" s="442"/>
      <c r="O494" s="442"/>
      <c r="P494" s="415"/>
      <c r="Q494" s="437">
        <f>база!$L$5</f>
        <v>231.45480000000001</v>
      </c>
      <c r="R494" s="438">
        <v>1.2</v>
      </c>
      <c r="S494" s="439">
        <f>SUMIFS(Таблица14[часы],Таблица14[коэф],"1,2",Таблица14[р/р],"4/16",Таблица14[Ф. И. О.],B495)</f>
        <v>0</v>
      </c>
      <c r="T494" s="440">
        <f>SUMIFS(Таблица14[Столбец2],Таблица14[коэф],"1,2",Таблица14[р/р],"4/16",Таблица14[Ф. И. О.],B495)</f>
        <v>0</v>
      </c>
      <c r="U494" s="603">
        <f>база!$M$5</f>
        <v>247.41720000000001</v>
      </c>
      <c r="V494" s="438">
        <v>1.2</v>
      </c>
      <c r="W494" s="533">
        <f>SUMIFS(Таблица14[часы],Таблица14[коэф],"1,2",Таблица14[р/р],"4/24",Таблица14[Ф. И. О.],B495)</f>
        <v>0</v>
      </c>
      <c r="X494" s="604">
        <f>SUMIFS(Таблица14[Столбец2],Таблица14[коэф],"1,2",Таблица14[р/р],"4/24",Таблица14[Ф. И. О.],B495)</f>
        <v>0</v>
      </c>
      <c r="Y494" s="770"/>
      <c r="Z494" s="766"/>
      <c r="AA494" s="756"/>
    </row>
    <row r="495" spans="1:29">
      <c r="A495" s="756"/>
      <c r="B495" s="215" t="str">
        <f>база!B46</f>
        <v>Марченко Ирина Вячеславовна</v>
      </c>
      <c r="C495" s="759"/>
      <c r="D495" s="762"/>
      <c r="E495" s="437"/>
      <c r="F495" s="438"/>
      <c r="G495" s="439"/>
      <c r="H495" s="440"/>
      <c r="I495" s="441"/>
      <c r="J495" s="602"/>
      <c r="K495" s="442"/>
      <c r="L495" s="442"/>
      <c r="M495" s="442"/>
      <c r="N495" s="442"/>
      <c r="O495" s="442"/>
      <c r="P495" s="415"/>
      <c r="Q495" s="437">
        <f>база!$L$6</f>
        <v>261.04640000000001</v>
      </c>
      <c r="R495" s="438">
        <v>1.2</v>
      </c>
      <c r="S495" s="439">
        <f>SUMIFS(Таблица14[часы],Таблица14[коэф],"1,2",Таблица14[р/р],"5/16",Таблица14[Ф. И. О.],B495)</f>
        <v>0</v>
      </c>
      <c r="T495" s="440">
        <f>SUMIFS(Таблица14[Столбец2],Таблица14[коэф],"1,2",Таблица14[р/р],"5/16",Таблица14[Ф. И. О.],B495)</f>
        <v>0</v>
      </c>
      <c r="U495" s="603">
        <f>база!$M$6</f>
        <v>279.0496</v>
      </c>
      <c r="V495" s="438">
        <v>1.2</v>
      </c>
      <c r="W495" s="533">
        <f>SUMIFS(Таблица14[часы],Таблица14[коэф],"1,2",Таблица14[р/р],"5/24",Таблица14[Ф. И. О.],B495)</f>
        <v>0</v>
      </c>
      <c r="X495" s="604">
        <f>SUMIFS(Таблица14[Столбец2],Таблица14[коэф],"1,2",Таблица14[р/р],"5/24",Таблица14[Ф. И. О.],B495)</f>
        <v>0</v>
      </c>
      <c r="Y495" s="770"/>
      <c r="Z495" s="766"/>
      <c r="AA495" s="756"/>
      <c r="AC495" s="752" t="str">
        <f>IF(SUMIFS(Таблица14[Столбец2],Таблица14[Ф. И. О.],B495)-Z490=0,"",SUMIFS(Таблица14[Столбец2],Таблица14[Ф. И. О.],B495)-Z490)</f>
        <v/>
      </c>
    </row>
    <row r="496" spans="1:29">
      <c r="A496" s="756"/>
      <c r="B496" s="215"/>
      <c r="C496" s="759"/>
      <c r="D496" s="762"/>
      <c r="E496" s="437"/>
      <c r="F496" s="438"/>
      <c r="G496" s="439"/>
      <c r="H496" s="440"/>
      <c r="I496" s="441"/>
      <c r="J496" s="602"/>
      <c r="K496" s="442"/>
      <c r="L496" s="442"/>
      <c r="M496" s="442"/>
      <c r="N496" s="442"/>
      <c r="O496" s="442"/>
      <c r="P496" s="415"/>
      <c r="Q496" s="437">
        <f>IF($D$6&lt;=3,база!$L$4,
IF($D$6=4,база!$L$5,
IF($D$6=5,база!$L$6)))</f>
        <v>231.45480000000001</v>
      </c>
      <c r="R496" s="438">
        <v>1.3</v>
      </c>
      <c r="S496" s="439">
        <f>SUMIFS(Таблица14[часы],Таблица14[коэф],"1,3",Таблица14[р/р],"3/16",Таблица14[Ф. И. О.],B495)</f>
        <v>0</v>
      </c>
      <c r="T496" s="440">
        <f>SUMIFS(Таблица14[Столбец2],Таблица14[коэф],"1,3",Таблица14[р/р],"3/16",Таблица14[Ф. И. О.],B495)</f>
        <v>0</v>
      </c>
      <c r="U496" s="603">
        <f>IF(D490&lt;=3,база!$M$4,
IF(D490=4,база!$M$5,
IF(D490=5,база!$M$6)))</f>
        <v>225.09719999999999</v>
      </c>
      <c r="V496" s="438">
        <v>1.3</v>
      </c>
      <c r="W496" s="533">
        <f>SUMIFS(Таблица14[часы],Таблица14[коэф],"1,3",Таблица14[р/р],"3/24",Таблица14[Ф. И. О.],B495)</f>
        <v>0</v>
      </c>
      <c r="X496" s="604">
        <f>SUMIFS(Таблица14[Столбец2],Таблица14[коэф],"1,3",Таблица14[р/р],"3/24",Таблица14[Ф. И. О.],B495)</f>
        <v>0</v>
      </c>
      <c r="Y496" s="770"/>
      <c r="Z496" s="766"/>
      <c r="AA496" s="756"/>
      <c r="AC496" s="752" t="str">
        <f>IF(SUMIFS(Таблица14[часы],Таблица14[Ф. И. О.],B495)-Y490=0,"",SUMIFS(Таблица14[часы],Таблица14[Ф. И. О.],B495)-Y490)</f>
        <v/>
      </c>
    </row>
    <row r="497" spans="1:29">
      <c r="A497" s="756"/>
      <c r="B497" s="215"/>
      <c r="C497" s="759"/>
      <c r="D497" s="762"/>
      <c r="E497" s="437"/>
      <c r="F497" s="438"/>
      <c r="G497" s="439"/>
      <c r="H497" s="440"/>
      <c r="I497" s="441"/>
      <c r="J497" s="602"/>
      <c r="K497" s="442"/>
      <c r="L497" s="442"/>
      <c r="M497" s="442"/>
      <c r="N497" s="442"/>
      <c r="O497" s="442"/>
      <c r="P497" s="415"/>
      <c r="Q497" s="437">
        <f>база!$L$5</f>
        <v>231.45480000000001</v>
      </c>
      <c r="R497" s="438">
        <v>1.3</v>
      </c>
      <c r="S497" s="439">
        <f>SUMIFS(Таблица14[часы],Таблица14[коэф],"1,3",Таблица14[р/р],"4/16",Таблица14[Ф. И. О.],B495)</f>
        <v>0</v>
      </c>
      <c r="T497" s="440">
        <f>SUMIFS(Таблица14[Столбец2],Таблица14[коэф],"1,3",Таблица14[р/р],"4/16",Таблица14[Ф. И. О.],B495)</f>
        <v>0</v>
      </c>
      <c r="U497" s="603">
        <f>база!$M$5</f>
        <v>247.41720000000001</v>
      </c>
      <c r="V497" s="438">
        <v>1.3</v>
      </c>
      <c r="W497" s="533">
        <f>SUMIFS(Таблица14[часы],Таблица14[коэф],"1,3",Таблица14[р/р],"4/24",Таблица14[Ф. И. О.],B495)</f>
        <v>0</v>
      </c>
      <c r="X497" s="604">
        <f>SUMIFS(Таблица14[Столбец2],Таблица14[коэф],"1,3",Таблица14[р/р],"4/24",Таблица14[Ф. И. О.],B495)</f>
        <v>0</v>
      </c>
      <c r="Y497" s="770"/>
      <c r="Z497" s="766"/>
      <c r="AA497" s="756"/>
    </row>
    <row r="498" spans="1:29">
      <c r="A498" s="756"/>
      <c r="B498" s="215"/>
      <c r="C498" s="759"/>
      <c r="D498" s="762"/>
      <c r="E498" s="437"/>
      <c r="F498" s="438"/>
      <c r="G498" s="439"/>
      <c r="H498" s="440"/>
      <c r="I498" s="441"/>
      <c r="J498" s="602"/>
      <c r="K498" s="442"/>
      <c r="L498" s="442"/>
      <c r="M498" s="442"/>
      <c r="N498" s="442"/>
      <c r="O498" s="442"/>
      <c r="P498" s="415"/>
      <c r="Q498" s="437">
        <f>IF(D490&lt;=3,база!$L$4,
IF(D490=4,база!$L$5,
IF(D490=5,база!$L$6)))</f>
        <v>210.57480000000001</v>
      </c>
      <c r="R498" s="438">
        <v>1.4</v>
      </c>
      <c r="S498" s="439">
        <f>SUMIFS(Таблица14[часы],Таблица14[коэф],"1,4",Таблица14[р/р],"3/16",Таблица14[Ф. И. О.],B495)</f>
        <v>0</v>
      </c>
      <c r="T498" s="440">
        <f>SUMIFS(Таблица14[Столбец2],Таблица14[коэф],"1,4",Таблица14[р/р],"3/16",Таблица14[Ф. И. О.],B495)</f>
        <v>0</v>
      </c>
      <c r="U498" s="603">
        <f>IF(D490&lt;=3,база!$M$4,
IF(D490=4,база!$M$5,
IF(D490=5,база!$M$6)))</f>
        <v>225.09719999999999</v>
      </c>
      <c r="V498" s="438">
        <v>1.4</v>
      </c>
      <c r="W498" s="533">
        <f>SUMIFS(Таблица14[часы],Таблица14[коэф],"1,4",Таблица14[р/р],"3/24",Таблица14[Ф. И. О.],B495)</f>
        <v>0</v>
      </c>
      <c r="X498" s="604">
        <f>SUMIFS(Таблица14[Столбец2],Таблица14[коэф],"1,4",Таблица14[р/р],"3/24",Таблица14[Ф. И. О.],B495)</f>
        <v>0</v>
      </c>
      <c r="Y498" s="770"/>
      <c r="Z498" s="766"/>
      <c r="AA498" s="756"/>
    </row>
    <row r="499" spans="1:29">
      <c r="A499" s="756"/>
      <c r="B499" s="215"/>
      <c r="C499" s="759"/>
      <c r="D499" s="762"/>
      <c r="E499" s="437"/>
      <c r="F499" s="438"/>
      <c r="G499" s="439"/>
      <c r="H499" s="440"/>
      <c r="I499" s="441"/>
      <c r="J499" s="602"/>
      <c r="K499" s="442"/>
      <c r="L499" s="442"/>
      <c r="M499" s="442"/>
      <c r="N499" s="442"/>
      <c r="O499" s="442"/>
      <c r="P499" s="415"/>
      <c r="Q499" s="437">
        <f>база!$L$5</f>
        <v>231.45480000000001</v>
      </c>
      <c r="R499" s="438">
        <v>1.4</v>
      </c>
      <c r="S499" s="439">
        <f>SUMIFS(Таблица14[часы],Таблица14[коэф],"1,4",Таблица14[р/р],"4/16",Таблица14[Ф. И. О.],B495)</f>
        <v>0</v>
      </c>
      <c r="T499" s="440">
        <f>SUMIFS(Таблица14[Столбец2],Таблица14[коэф],"1,4",Таблица14[р/р],"4/16",Таблица14[Ф. И. О.],B495)</f>
        <v>0</v>
      </c>
      <c r="U499" s="603">
        <f>база!$M$5</f>
        <v>247.41720000000001</v>
      </c>
      <c r="V499" s="438">
        <v>1.4</v>
      </c>
      <c r="W499" s="533">
        <f>SUMIFS(Таблица14[часы],Таблица14[коэф],"1,4",Таблица14[р/р],"4/24",Таблица14[Ф. И. О.],B495)</f>
        <v>0</v>
      </c>
      <c r="X499" s="604">
        <f>SUMIFS(Таблица14[Столбец2],Таблица14[коэф],"1,4",Таблица14[р/р],"4/24",Таблица14[Ф. И. О.],B495)</f>
        <v>0</v>
      </c>
      <c r="Y499" s="770"/>
      <c r="Z499" s="766"/>
      <c r="AA499" s="756"/>
    </row>
    <row r="500" spans="1:29" ht="21" thickBot="1">
      <c r="A500" s="757"/>
      <c r="B500" s="202"/>
      <c r="C500" s="760"/>
      <c r="D500" s="763"/>
      <c r="E500" s="445"/>
      <c r="F500" s="446"/>
      <c r="G500" s="447"/>
      <c r="H500" s="535"/>
      <c r="I500" s="448"/>
      <c r="J500" s="615"/>
      <c r="K500" s="449"/>
      <c r="L500" s="449"/>
      <c r="M500" s="449"/>
      <c r="N500" s="449"/>
      <c r="O500" s="449"/>
      <c r="P500" s="538"/>
      <c r="Q500" s="445">
        <f>база!$L$6</f>
        <v>261.04640000000001</v>
      </c>
      <c r="R500" s="446">
        <v>1.4</v>
      </c>
      <c r="S500" s="447">
        <f>SUMIFS(Таблица14[часы],Таблица14[коэф],"1,4",Таблица14[р/р],"5/16",Таблица14[Ф. И. О.],B495)</f>
        <v>0</v>
      </c>
      <c r="T500" s="535">
        <f>SUMIFS(Таблица14[Столбец2],Таблица14[коэф],"1,4",Таблица14[р/р],"5/16",Таблица14[Ф. И. О.],B495)</f>
        <v>0</v>
      </c>
      <c r="U500" s="616">
        <f>база!$M$6</f>
        <v>279.0496</v>
      </c>
      <c r="V500" s="446">
        <v>1.4</v>
      </c>
      <c r="W500" s="540">
        <f>SUMIFS(Таблица14[часы],Таблица14[коэф],"1,4",Таблица14[р/р],"5/24",Таблица14[Ф. И. О.],B495)</f>
        <v>0</v>
      </c>
      <c r="X500" s="617">
        <f>SUMIFS(Таблица14[Столбец2],Таблица14[коэф],"1,4",Таблица14[р/р],"5/24",Таблица14[Ф. И. О.],B495)</f>
        <v>0</v>
      </c>
      <c r="Y500" s="771"/>
      <c r="Z500" s="767"/>
      <c r="AA500" s="757"/>
    </row>
    <row r="501" spans="1:29" ht="20.25" customHeight="1">
      <c r="A501" s="755">
        <v>46</v>
      </c>
      <c r="B501" s="215"/>
      <c r="C501" s="758">
        <f>INDEX(база!$E$2:$E$98, MATCH(B506,база!$B$2:$B$100,0))</f>
        <v>15082</v>
      </c>
      <c r="D501" s="761">
        <f>INDEX(база!$D$2:$D$121, MATCH(B506,база!$B$2:$B$100,0))</f>
        <v>3</v>
      </c>
      <c r="E501" s="437">
        <f>IF(D501&lt;=3,база!$I$4,
IF(D501=4,база!$I$5,
IF(D501=5,база!$I$6)))</f>
        <v>188.7912</v>
      </c>
      <c r="F501" s="438">
        <v>1</v>
      </c>
      <c r="G501" s="439">
        <f>SUMIFS(Таблица14[часы],Таблица14[коэф],"1",Таблица14[р/р],"2/4",Таблица14[Ф. И. О.],B506)</f>
        <v>0</v>
      </c>
      <c r="H501" s="440">
        <f>SUMIFS(Таблица14[Столбец2],Таблица14[коэф],"1",Таблица14[р/р],"2/4",Таблица14[Ф. И. О.],B506)</f>
        <v>0</v>
      </c>
      <c r="I501" s="441">
        <f>IF(D501&lt;=3,база!$J$4,
IF(D501=4,база!$J$5,
IF(D501=5,база!$J$6)))</f>
        <v>196.05240000000001</v>
      </c>
      <c r="J501" s="602">
        <v>1</v>
      </c>
      <c r="K501" s="442">
        <f>SUMIFS(Таблица14[часы],Таблица14[коэф],"1",Таблица14[р/р],"2/8",Таблица14[Ф. И. О.],B506)</f>
        <v>0</v>
      </c>
      <c r="L501" s="442">
        <f>SUMIFS(Таблица14[Столбец2],Таблица14[коэф],"1",Таблица14[р/р],"2/8",Таблица14[Ф. И. О.],B506)</f>
        <v>0</v>
      </c>
      <c r="M501" s="442"/>
      <c r="N501" s="442">
        <v>1</v>
      </c>
      <c r="O501" s="442">
        <f>SUMIFS(Data_Tech!$AM$3:$AM$67,Data_Tech!$E$3:$E$67,"1",Data_Tech!$G$3:$G$67,"3/12",Data_Tech!$F$3:$F$67,B506)</f>
        <v>0</v>
      </c>
      <c r="P501" s="415">
        <f>ROUND(M501*N501*O501,2)</f>
        <v>0</v>
      </c>
      <c r="Q501" s="437">
        <f>IF(D501&lt;=3,база!$L$4,
IF(D501=4,база!$L$5,
IF(D501=5,база!$L$6)))</f>
        <v>210.57480000000001</v>
      </c>
      <c r="R501" s="438">
        <v>1</v>
      </c>
      <c r="S501" s="439">
        <f>SUMIFS(Таблица14[часы],Таблица14[коэф],"1",Таблица14[р/р],"3/16",Таблица14[Ф. И. О.],B506)</f>
        <v>0</v>
      </c>
      <c r="T501" s="440">
        <f>SUMIFS(Таблица14[Столбец2],Таблица14[коэф],"1",Таблица14[р/р],"3/16",Таблица14[Ф. И. О.],B506)</f>
        <v>0</v>
      </c>
      <c r="U501" s="603">
        <f>IF(D501&lt;=3,база!$M$4,
IF(D501=4,база!$M$5,
IF(D501=5,база!$M$6)))</f>
        <v>225.09719999999999</v>
      </c>
      <c r="V501" s="438">
        <v>1</v>
      </c>
      <c r="W501" s="533">
        <f>SUMIFS(Таблица14[часы],Таблица14[коэф],"1",Таблица14[р/р],"3/24",Таблица14[Ф. И. О.],B506)</f>
        <v>0</v>
      </c>
      <c r="X501" s="604">
        <f>SUMIFS(Таблица14[Столбец2],Таблица14[коэф],"1",Таблица14[р/р],"3/24",Таблица14[Ф. И. О.],B506)</f>
        <v>0</v>
      </c>
      <c r="Y501" s="769">
        <f t="shared" ref="Y501" si="230">SUM(G501:G511,K501:K511,O501:O511,S501:S511,W501:W511)</f>
        <v>0</v>
      </c>
      <c r="Z501" s="768">
        <f t="shared" ref="Z501" si="231">IFERROR(SUM(H501:H511,L501:L511,T501:T511,X501:X511),"")</f>
        <v>0</v>
      </c>
      <c r="AA501" s="755"/>
    </row>
    <row r="502" spans="1:29">
      <c r="A502" s="756"/>
      <c r="B502" s="215"/>
      <c r="C502" s="759"/>
      <c r="D502" s="762"/>
      <c r="E502" s="437">
        <f>IF(D501&lt;=3,база!$I$4,
IF(D501=4,база!$I$5,
IF(D501=5,база!$I$6)))</f>
        <v>188.7912</v>
      </c>
      <c r="F502" s="438">
        <v>1</v>
      </c>
      <c r="G502" s="439">
        <f>SUMIFS(Таблица14[часы],Таблица14[коэф],"1",Таблица14[р/р],"3/4",Таблица14[Ф. И. О.],B506)</f>
        <v>0</v>
      </c>
      <c r="H502" s="440">
        <f>SUMIFS(Таблица14[Столбец2],Таблица14[коэф],"1",Таблица14[р/р],"3/4",Таблица14[Ф. И. О.],B506)</f>
        <v>0</v>
      </c>
      <c r="I502" s="441">
        <f>IF(D501&lt;=3,база!$J$4,
IF(D501=4,база!$J$5,
IF(D501=5,база!$J$6)))</f>
        <v>196.05240000000001</v>
      </c>
      <c r="J502" s="602">
        <v>1</v>
      </c>
      <c r="K502" s="442">
        <f>SUMIFS(Таблица14[часы],Таблица14[коэф],"1",Таблица14[р/р],"3/8",Таблица14[Ф. И. О.],B506)</f>
        <v>0</v>
      </c>
      <c r="L502" s="442">
        <f>SUMIFS(Таблица14[Столбец2],Таблица14[коэф],"1",Таблица14[р/р],"3/8",Таблица14[Ф. И. О.],B506)</f>
        <v>0</v>
      </c>
      <c r="M502" s="442"/>
      <c r="N502" s="442">
        <v>1</v>
      </c>
      <c r="O502" s="442">
        <f>SUMIFS(Data_Tech!$AM$3:$AM$67,Data_Tech!$E$3:$E$67,"1",Data_Tech!$G$3:$G$67,"4/12",Data_Tech!$F$3:$F$67,B506)</f>
        <v>0</v>
      </c>
      <c r="P502" s="415">
        <f>ROUND(M502*O502,2)</f>
        <v>0</v>
      </c>
      <c r="Q502" s="437">
        <f>база!$L$5</f>
        <v>231.45480000000001</v>
      </c>
      <c r="R502" s="438">
        <v>1</v>
      </c>
      <c r="S502" s="439">
        <f>SUMIFS(Таблица14[часы],Таблица14[коэф],"1",Таблица14[р/р],"4/16",Таблица14[Ф. И. О.],B506)</f>
        <v>0</v>
      </c>
      <c r="T502" s="440">
        <f>SUMIFS(Таблица14[Столбец2],Таблица14[коэф],"1",Таблица14[р/р],"4/16",Таблица14[Ф. И. О.],B506)</f>
        <v>0</v>
      </c>
      <c r="U502" s="603">
        <f>база!$M$5</f>
        <v>247.41720000000001</v>
      </c>
      <c r="V502" s="438">
        <v>1</v>
      </c>
      <c r="W502" s="533">
        <f>SUMIFS(Таблица14[часы],Таблица14[коэф],"1",Таблица14[р/р],"4/24",Таблица14[Ф. И. О.],B506)</f>
        <v>0</v>
      </c>
      <c r="X502" s="604">
        <f>SUMIFS(Таблица14[Столбец2],Таблица14[коэф],"1",Таблица14[р/р],"4/24",Таблица14[Ф. И. О.],B506)</f>
        <v>0</v>
      </c>
      <c r="Y502" s="770"/>
      <c r="Z502" s="766"/>
      <c r="AA502" s="756"/>
    </row>
    <row r="503" spans="1:29">
      <c r="A503" s="756"/>
      <c r="B503" s="215"/>
      <c r="C503" s="759"/>
      <c r="D503" s="762"/>
      <c r="E503" s="437"/>
      <c r="F503" s="438"/>
      <c r="G503" s="439"/>
      <c r="H503" s="440"/>
      <c r="I503" s="441"/>
      <c r="J503" s="602"/>
      <c r="K503" s="442"/>
      <c r="L503" s="442"/>
      <c r="M503" s="442"/>
      <c r="N503" s="442"/>
      <c r="O503" s="442"/>
      <c r="P503" s="415"/>
      <c r="Q503" s="437">
        <f>база!$L$6</f>
        <v>261.04640000000001</v>
      </c>
      <c r="R503" s="438">
        <v>1</v>
      </c>
      <c r="S503" s="439">
        <f>SUMIFS(Таблица14[часы],Таблица14[коэф],"1",Таблица14[р/р],"5/16",Таблица14[Ф. И. О.],B506)</f>
        <v>0</v>
      </c>
      <c r="T503" s="440">
        <f>SUMIFS(Таблица14[Столбец2],Таблица14[коэф],"1",Таблица14[р/р],"5/16",Таблица14[Ф. И. О.],B506)</f>
        <v>0</v>
      </c>
      <c r="U503" s="603">
        <f>база!$M$6</f>
        <v>279.0496</v>
      </c>
      <c r="V503" s="438">
        <v>1</v>
      </c>
      <c r="W503" s="533">
        <f>SUMIFS(Таблица14[часы],Таблица14[коэф],"1",Таблица14[р/р],"5/24",Таблица14[Ф. И. О.],B506)</f>
        <v>0</v>
      </c>
      <c r="X503" s="604">
        <f>SUMIFS(Таблица14[Столбец2],Таблица14[коэф],"1",Таблица14[р/р],"5/24",Таблица14[Ф. И. О.],B506)</f>
        <v>0</v>
      </c>
      <c r="Y503" s="770"/>
      <c r="Z503" s="766"/>
      <c r="AA503" s="756"/>
    </row>
    <row r="504" spans="1:29">
      <c r="A504" s="756"/>
      <c r="B504" s="215"/>
      <c r="C504" s="759"/>
      <c r="D504" s="762"/>
      <c r="E504" s="437"/>
      <c r="F504" s="438"/>
      <c r="G504" s="439"/>
      <c r="H504" s="440"/>
      <c r="I504" s="441">
        <f>база!$J$5</f>
        <v>215.4924</v>
      </c>
      <c r="J504" s="602">
        <v>1.5</v>
      </c>
      <c r="K504" s="442">
        <f>SUMIFS(Таблица14[часы],Таблица14[коэф],"1,5",Таблица14[р/р],"4/8",Таблица14[Ф. И. О.],B506)</f>
        <v>0</v>
      </c>
      <c r="L504" s="442">
        <f>SUMIFS(Таблица14[Столбец2],Таблица14[коэф],"1,5",Таблица14[р/р],"4/8",Таблица14[Ф. И. О.],B506)</f>
        <v>0</v>
      </c>
      <c r="M504" s="442"/>
      <c r="N504" s="442"/>
      <c r="O504" s="442"/>
      <c r="P504" s="415"/>
      <c r="Q504" s="437">
        <f>IF(D501&lt;=3,база!$L$4,
IF(D501=4,база!$L$5,
IF(D501=5,база!$L$6)))</f>
        <v>210.57480000000001</v>
      </c>
      <c r="R504" s="438">
        <v>1.2</v>
      </c>
      <c r="S504" s="439">
        <f>SUMIFS(Таблица14[часы],Таблица14[коэф],"1,2",Таблица14[р/р],"3/16",Таблица14[Ф. И. О.],B506)</f>
        <v>0</v>
      </c>
      <c r="T504" s="440">
        <f>SUMIFS(Таблица14[Столбец2],Таблица14[коэф],"1,2",Таблица14[р/р],"3/16",Таблица14[Ф. И. О.],B506)</f>
        <v>0</v>
      </c>
      <c r="U504" s="603">
        <f>IF(D501&lt;=3,база!$M$4,
IF(D501=4,база!$M$5,
IF(D501=5,база!$M$6)))</f>
        <v>225.09719999999999</v>
      </c>
      <c r="V504" s="438">
        <v>1.2</v>
      </c>
      <c r="W504" s="533">
        <f>SUMIFS(Таблица14[часы],Таблица14[коэф],"1,2",Таблица14[р/р],"3/24",Таблица14[Ф. И. О.],B506)</f>
        <v>0</v>
      </c>
      <c r="X504" s="604">
        <f>SUMIFS(Таблица14[Столбец2],Таблица14[коэф],"1,2",Таблица14[р/р],"3/24",Таблица14[Ф. И. О.],B506)</f>
        <v>0</v>
      </c>
      <c r="Y504" s="770"/>
      <c r="Z504" s="766"/>
      <c r="AA504" s="756"/>
    </row>
    <row r="505" spans="1:29">
      <c r="A505" s="756"/>
      <c r="B505" s="215"/>
      <c r="C505" s="759"/>
      <c r="D505" s="762"/>
      <c r="E505" s="437"/>
      <c r="F505" s="438"/>
      <c r="G505" s="439"/>
      <c r="H505" s="440"/>
      <c r="I505" s="441">
        <f>база!$J$6</f>
        <v>243.04319999999998</v>
      </c>
      <c r="J505" s="602">
        <v>1.5</v>
      </c>
      <c r="K505" s="442">
        <f>SUMIFS(Таблица14[часы],Таблица14[коэф],"1,5",Таблица14[р/р],"5/8",Таблица14[Ф. И. О.],B506)</f>
        <v>0</v>
      </c>
      <c r="L505" s="442">
        <f>SUMIFS(Таблица14[Столбец2],Таблица14[коэф],"1,5",Таблица14[р/р],"5/8",Таблица14[Ф. И. О.],B506)</f>
        <v>0</v>
      </c>
      <c r="M505" s="442"/>
      <c r="N505" s="442"/>
      <c r="O505" s="442"/>
      <c r="P505" s="415"/>
      <c r="Q505" s="437">
        <f>база!$L$5</f>
        <v>231.45480000000001</v>
      </c>
      <c r="R505" s="438">
        <v>1.2</v>
      </c>
      <c r="S505" s="439">
        <f>SUMIFS(Таблица14[часы],Таблица14[коэф],"1,2",Таблица14[р/р],"4/16",Таблица14[Ф. И. О.],B506)</f>
        <v>0</v>
      </c>
      <c r="T505" s="440">
        <f>SUMIFS(Таблица14[Столбец2],Таблица14[коэф],"1,2",Таблица14[р/р],"4/16",Таблица14[Ф. И. О.],B506)</f>
        <v>0</v>
      </c>
      <c r="U505" s="603">
        <f>база!$M$5</f>
        <v>247.41720000000001</v>
      </c>
      <c r="V505" s="438">
        <v>1.2</v>
      </c>
      <c r="W505" s="533">
        <f>SUMIFS(Таблица14[часы],Таблица14[коэф],"1,2",Таблица14[р/р],"4/24",Таблица14[Ф. И. О.],B506)</f>
        <v>0</v>
      </c>
      <c r="X505" s="604">
        <f>SUMIFS(Таблица14[Столбец2],Таблица14[коэф],"1,2",Таблица14[р/р],"4/24",Таблица14[Ф. И. О.],B506)</f>
        <v>0</v>
      </c>
      <c r="Y505" s="770"/>
      <c r="Z505" s="766"/>
      <c r="AA505" s="756"/>
      <c r="AC505" s="752" t="str">
        <f>IF(SUMIFS(Таблица14[Столбец2],Таблица14[Ф. И. О.],B506)-Z501=0,"",SUMIFS(Таблица14[Столбец2],Таблица14[Ф. И. О.],B506)-Z501)</f>
        <v/>
      </c>
    </row>
    <row r="506" spans="1:29">
      <c r="A506" s="756"/>
      <c r="B506" s="215" t="str">
        <f>база!B47</f>
        <v>Матыгулина Наталья Энвировна</v>
      </c>
      <c r="C506" s="759"/>
      <c r="D506" s="762"/>
      <c r="E506" s="437"/>
      <c r="F506" s="438"/>
      <c r="G506" s="439"/>
      <c r="H506" s="440"/>
      <c r="I506" s="441"/>
      <c r="J506" s="602"/>
      <c r="K506" s="442"/>
      <c r="L506" s="442"/>
      <c r="M506" s="442"/>
      <c r="N506" s="442"/>
      <c r="O506" s="442"/>
      <c r="P506" s="415"/>
      <c r="Q506" s="437">
        <f>база!$L$6</f>
        <v>261.04640000000001</v>
      </c>
      <c r="R506" s="438">
        <v>1.2</v>
      </c>
      <c r="S506" s="439">
        <f>SUMIFS(Таблица14[часы],Таблица14[коэф],"1,2",Таблица14[р/р],"5/16",Таблица14[Ф. И. О.],B506)</f>
        <v>0</v>
      </c>
      <c r="T506" s="440">
        <f>SUMIFS(Таблица14[Столбец2],Таблица14[коэф],"1,2",Таблица14[р/р],"5/16",Таблица14[Ф. И. О.],B506)</f>
        <v>0</v>
      </c>
      <c r="U506" s="603">
        <f>база!$M$6</f>
        <v>279.0496</v>
      </c>
      <c r="V506" s="438">
        <v>1.2</v>
      </c>
      <c r="W506" s="533">
        <f>SUMIFS(Таблица14[часы],Таблица14[коэф],"1,2",Таблица14[р/р],"5/24",Таблица14[Ф. И. О.],B506)</f>
        <v>0</v>
      </c>
      <c r="X506" s="604">
        <f>SUMIFS(Таблица14[Столбец2],Таблица14[коэф],"1,2",Таблица14[р/р],"5/24",Таблица14[Ф. И. О.],B506)</f>
        <v>0</v>
      </c>
      <c r="Y506" s="770"/>
      <c r="Z506" s="766"/>
      <c r="AA506" s="756"/>
      <c r="AC506" s="752" t="str">
        <f>IF(SUMIFS(Таблица14[часы],Таблица14[Ф. И. О.],B506)-Y501=0,"",SUMIFS(Таблица14[часы],Таблица14[Ф. И. О.],B506)-Y501)</f>
        <v/>
      </c>
    </row>
    <row r="507" spans="1:29">
      <c r="A507" s="756"/>
      <c r="B507" s="215"/>
      <c r="C507" s="759"/>
      <c r="D507" s="762"/>
      <c r="E507" s="437"/>
      <c r="F507" s="438"/>
      <c r="G507" s="439"/>
      <c r="H507" s="440"/>
      <c r="I507" s="441"/>
      <c r="J507" s="602"/>
      <c r="K507" s="442"/>
      <c r="L507" s="442"/>
      <c r="M507" s="442"/>
      <c r="N507" s="442"/>
      <c r="O507" s="442"/>
      <c r="P507" s="415"/>
      <c r="Q507" s="437">
        <f>IF($D$6&lt;=3,база!$L$4,
IF($D$6=4,база!$L$5,
IF($D$6=5,база!$L$6)))</f>
        <v>231.45480000000001</v>
      </c>
      <c r="R507" s="438">
        <v>1.3</v>
      </c>
      <c r="S507" s="439">
        <f>SUMIFS(Таблица14[часы],Таблица14[коэф],"1,3",Таблица14[р/р],"3/16",Таблица14[Ф. И. О.],B506)</f>
        <v>0</v>
      </c>
      <c r="T507" s="440">
        <f>SUMIFS(Таблица14[Столбец2],Таблица14[коэф],"1,3",Таблица14[р/р],"3/16",Таблица14[Ф. И. О.],B506)</f>
        <v>0</v>
      </c>
      <c r="U507" s="603">
        <f>IF(D501&lt;=3,база!$M$4,
IF(D501=4,база!$M$5,
IF(D501=5,база!$M$6)))</f>
        <v>225.09719999999999</v>
      </c>
      <c r="V507" s="438">
        <v>1.3</v>
      </c>
      <c r="W507" s="533">
        <f>SUMIFS(Таблица14[часы],Таблица14[коэф],"1,3",Таблица14[р/р],"3/24",Таблица14[Ф. И. О.],B506)</f>
        <v>0</v>
      </c>
      <c r="X507" s="604">
        <f>SUMIFS(Таблица14[Столбец2],Таблица14[коэф],"1,3",Таблица14[р/р],"3/24",Таблица14[Ф. И. О.],B506)</f>
        <v>0</v>
      </c>
      <c r="Y507" s="770"/>
      <c r="Z507" s="766"/>
      <c r="AA507" s="756"/>
    </row>
    <row r="508" spans="1:29">
      <c r="A508" s="756"/>
      <c r="B508" s="215"/>
      <c r="C508" s="759"/>
      <c r="D508" s="762"/>
      <c r="E508" s="437"/>
      <c r="F508" s="438"/>
      <c r="G508" s="439"/>
      <c r="H508" s="440"/>
      <c r="I508" s="441"/>
      <c r="J508" s="602"/>
      <c r="K508" s="442"/>
      <c r="L508" s="442"/>
      <c r="M508" s="442"/>
      <c r="N508" s="442"/>
      <c r="O508" s="442"/>
      <c r="P508" s="415"/>
      <c r="Q508" s="437">
        <f>база!$L$5</f>
        <v>231.45480000000001</v>
      </c>
      <c r="R508" s="438">
        <v>1.3</v>
      </c>
      <c r="S508" s="439">
        <f>SUMIFS(Таблица14[часы],Таблица14[коэф],"1,3",Таблица14[р/р],"4/16",Таблица14[Ф. И. О.],B506)</f>
        <v>0</v>
      </c>
      <c r="T508" s="440">
        <f>SUMIFS(Таблица14[Столбец2],Таблица14[коэф],"1,3",Таблица14[р/р],"4/16",Таблица14[Ф. И. О.],B506)</f>
        <v>0</v>
      </c>
      <c r="U508" s="603">
        <f>база!$M$5</f>
        <v>247.41720000000001</v>
      </c>
      <c r="V508" s="438">
        <v>1.3</v>
      </c>
      <c r="W508" s="533">
        <f>SUMIFS(Таблица14[часы],Таблица14[коэф],"1,3",Таблица14[р/р],"4/24",Таблица14[Ф. И. О.],B506)</f>
        <v>0</v>
      </c>
      <c r="X508" s="604">
        <f>SUMIFS(Таблица14[Столбец2],Таблица14[коэф],"1,3",Таблица14[р/р],"4/24",Таблица14[Ф. И. О.],B506)</f>
        <v>0</v>
      </c>
      <c r="Y508" s="770"/>
      <c r="Z508" s="766"/>
      <c r="AA508" s="756"/>
    </row>
    <row r="509" spans="1:29">
      <c r="A509" s="756"/>
      <c r="B509" s="215"/>
      <c r="C509" s="759"/>
      <c r="D509" s="762"/>
      <c r="E509" s="437"/>
      <c r="F509" s="438"/>
      <c r="G509" s="439"/>
      <c r="H509" s="440"/>
      <c r="I509" s="441"/>
      <c r="J509" s="602"/>
      <c r="K509" s="442"/>
      <c r="L509" s="442"/>
      <c r="M509" s="442"/>
      <c r="N509" s="442"/>
      <c r="O509" s="442"/>
      <c r="P509" s="415"/>
      <c r="Q509" s="437">
        <f>IF(D501&lt;=3,база!$L$4,
IF(D501=4,база!$L$5,
IF(D501=5,база!$L$6)))</f>
        <v>210.57480000000001</v>
      </c>
      <c r="R509" s="438">
        <v>1.4</v>
      </c>
      <c r="S509" s="439">
        <f>SUMIFS(Таблица14[часы],Таблица14[коэф],"1,4",Таблица14[р/р],"3/16",Таблица14[Ф. И. О.],B506)</f>
        <v>0</v>
      </c>
      <c r="T509" s="440">
        <f>SUMIFS(Таблица14[Столбец2],Таблица14[коэф],"1,4",Таблица14[р/р],"3/16",Таблица14[Ф. И. О.],B506)</f>
        <v>0</v>
      </c>
      <c r="U509" s="603">
        <f>IF(D501&lt;=3,база!$M$4,
IF(D501=4,база!$M$5,
IF(D501=5,база!$M$6)))</f>
        <v>225.09719999999999</v>
      </c>
      <c r="V509" s="438">
        <v>1.4</v>
      </c>
      <c r="W509" s="533">
        <f>SUMIFS(Таблица14[часы],Таблица14[коэф],"1,4",Таблица14[р/р],"3/24",Таблица14[Ф. И. О.],B506)</f>
        <v>0</v>
      </c>
      <c r="X509" s="604">
        <f>SUMIFS(Таблица14[Столбец2],Таблица14[коэф],"1,4",Таблица14[р/р],"3/24",Таблица14[Ф. И. О.],B506)</f>
        <v>0</v>
      </c>
      <c r="Y509" s="770"/>
      <c r="Z509" s="766"/>
      <c r="AA509" s="756"/>
    </row>
    <row r="510" spans="1:29">
      <c r="A510" s="756"/>
      <c r="B510" s="215"/>
      <c r="C510" s="759"/>
      <c r="D510" s="762"/>
      <c r="E510" s="437"/>
      <c r="F510" s="438"/>
      <c r="G510" s="439"/>
      <c r="H510" s="440"/>
      <c r="I510" s="441"/>
      <c r="J510" s="602"/>
      <c r="K510" s="442"/>
      <c r="L510" s="442"/>
      <c r="M510" s="442"/>
      <c r="N510" s="442"/>
      <c r="O510" s="442"/>
      <c r="P510" s="415"/>
      <c r="Q510" s="437">
        <f>база!$L$5</f>
        <v>231.45480000000001</v>
      </c>
      <c r="R510" s="438">
        <v>1.4</v>
      </c>
      <c r="S510" s="439">
        <f>SUMIFS(Таблица14[часы],Таблица14[коэф],"1,4",Таблица14[р/р],"4/16",Таблица14[Ф. И. О.],B506)</f>
        <v>0</v>
      </c>
      <c r="T510" s="440">
        <f>SUMIFS(Таблица14[Столбец2],Таблица14[коэф],"1,4",Таблица14[р/р],"4/16",Таблица14[Ф. И. О.],B506)</f>
        <v>0</v>
      </c>
      <c r="U510" s="603">
        <f>база!$M$5</f>
        <v>247.41720000000001</v>
      </c>
      <c r="V510" s="438">
        <v>1.4</v>
      </c>
      <c r="W510" s="533">
        <f>SUMIFS(Таблица14[часы],Таблица14[коэф],"1,4",Таблица14[р/р],"4/24",Таблица14[Ф. И. О.],B506)</f>
        <v>0</v>
      </c>
      <c r="X510" s="604">
        <f>SUMIFS(Таблица14[Столбец2],Таблица14[коэф],"1,4",Таблица14[р/р],"4/24",Таблица14[Ф. И. О.],B506)</f>
        <v>0</v>
      </c>
      <c r="Y510" s="770"/>
      <c r="Z510" s="766"/>
      <c r="AA510" s="756"/>
    </row>
    <row r="511" spans="1:29" ht="21" thickBot="1">
      <c r="A511" s="757"/>
      <c r="B511" s="202"/>
      <c r="C511" s="760"/>
      <c r="D511" s="763"/>
      <c r="E511" s="445"/>
      <c r="F511" s="446"/>
      <c r="G511" s="447"/>
      <c r="H511" s="535"/>
      <c r="I511" s="448"/>
      <c r="J511" s="615"/>
      <c r="K511" s="449"/>
      <c r="L511" s="449"/>
      <c r="M511" s="449"/>
      <c r="N511" s="449"/>
      <c r="O511" s="449"/>
      <c r="P511" s="538"/>
      <c r="Q511" s="445">
        <f>база!$L$6</f>
        <v>261.04640000000001</v>
      </c>
      <c r="R511" s="446">
        <v>1.4</v>
      </c>
      <c r="S511" s="447">
        <f>SUMIFS(Таблица14[часы],Таблица14[коэф],"1,4",Таблица14[р/р],"5/16",Таблица14[Ф. И. О.],B506)</f>
        <v>0</v>
      </c>
      <c r="T511" s="535">
        <f>SUMIFS(Таблица14[Столбец2],Таблица14[коэф],"1,4",Таблица14[р/р],"5/16",Таблица14[Ф. И. О.],B506)</f>
        <v>0</v>
      </c>
      <c r="U511" s="616">
        <f>база!$M$6</f>
        <v>279.0496</v>
      </c>
      <c r="V511" s="446">
        <v>1.4</v>
      </c>
      <c r="W511" s="540">
        <f>SUMIFS(Таблица14[часы],Таблица14[коэф],"1,4",Таблица14[р/р],"5/24",Таблица14[Ф. И. О.],B506)</f>
        <v>0</v>
      </c>
      <c r="X511" s="617">
        <f>SUMIFS(Таблица14[Столбец2],Таблица14[коэф],"1,4",Таблица14[р/р],"5/24",Таблица14[Ф. И. О.],B506)</f>
        <v>0</v>
      </c>
      <c r="Y511" s="771"/>
      <c r="Z511" s="767"/>
      <c r="AA511" s="757"/>
    </row>
    <row r="512" spans="1:29">
      <c r="A512" s="756">
        <v>47</v>
      </c>
      <c r="B512" s="215"/>
      <c r="C512" s="758">
        <f>INDEX(база!$E$2:$E$98, MATCH(B517,база!$B$2:$B$100,0))</f>
        <v>17341</v>
      </c>
      <c r="D512" s="761">
        <f>INDEX(база!$D$2:$D$121, MATCH(B517,база!$B$2:$B$100,0))</f>
        <v>3</v>
      </c>
      <c r="E512" s="481">
        <f>IF(D512&lt;=3,база!$I$4,
IF(D512=4,база!$I$5,
IF(D512=5,база!$I$6)))</f>
        <v>188.7912</v>
      </c>
      <c r="F512" s="417">
        <v>1</v>
      </c>
      <c r="G512" s="418">
        <f>SUMIFS(Таблица14[часы],Таблица14[коэф],"1",Таблица14[р/р],"2/4",Таблица14[Ф. И. О.],B517)</f>
        <v>0</v>
      </c>
      <c r="H512" s="402">
        <f>SUMIFS(Таблица14[Столбец2],Таблица14[коэф],"1",Таблица14[р/р],"2/4",Таблица14[Ф. И. О.],B517)</f>
        <v>0</v>
      </c>
      <c r="I512" s="452">
        <f>IF(D512&lt;=3,база!$J$4,
IF(D512=4,база!$J$5,
IF(D512=5,база!$J$6)))</f>
        <v>196.05240000000001</v>
      </c>
      <c r="J512" s="475">
        <v>1</v>
      </c>
      <c r="K512" s="453">
        <f>SUMIFS(Таблица14[часы],Таблица14[коэф],"1",Таблица14[р/р],"2/8",Таблица14[Ф. И. О.],B517)</f>
        <v>0</v>
      </c>
      <c r="L512" s="453">
        <f>SUMIFS(Таблица14[Столбец2],Таблица14[коэф],"1",Таблица14[р/р],"2/8",Таблица14[Ф. И. О.],B517)</f>
        <v>0</v>
      </c>
      <c r="M512" s="453"/>
      <c r="N512" s="453">
        <v>1</v>
      </c>
      <c r="O512" s="453">
        <f>SUMIFS(Data_Tech!$AM$3:$AM$67,Data_Tech!$E$3:$E$67,"1",Data_Tech!$G$3:$G$67,"3/12",Data_Tech!$F$3:$F$67,B517)</f>
        <v>0</v>
      </c>
      <c r="P512" s="398">
        <f>ROUND(M512*N512*O512,2)</f>
        <v>0</v>
      </c>
      <c r="Q512" s="481">
        <f>IF(D512&lt;=3,база!$L$4,
IF(D512=4,база!$L$5,
IF(D512=5,база!$L$6)))</f>
        <v>210.57480000000001</v>
      </c>
      <c r="R512" s="417">
        <v>1</v>
      </c>
      <c r="S512" s="418">
        <f>SUMIFS(Таблица14[часы],Таблица14[коэф],"1",Таблица14[р/р],"3/16",Таблица14[Ф. И. О.],B517)</f>
        <v>0</v>
      </c>
      <c r="T512" s="402">
        <f>SUMIFS(Таблица14[Столбец2],Таблица14[коэф],"1",Таблица14[р/р],"3/16",Таблица14[Ф. И. О.],B517)</f>
        <v>0</v>
      </c>
      <c r="U512" s="483">
        <f>IF(D512&lt;=3,база!$M$4,
IF(D512=4,база!$M$5,
IF(D512=5,база!$M$6)))</f>
        <v>225.09719999999999</v>
      </c>
      <c r="V512" s="417">
        <v>1</v>
      </c>
      <c r="W512" s="455">
        <f>SUMIFS(Таблица14[часы],Таблица14[коэф],"1",Таблица14[р/р],"3/24",Таблица14[Ф. И. О.],B517)</f>
        <v>0</v>
      </c>
      <c r="X512" s="552">
        <f>SUMIFS(Таблица14[Столбец2],Таблица14[коэф],"1",Таблица14[р/р],"3/24",Таблица14[Ф. И. О.],B517)</f>
        <v>0</v>
      </c>
      <c r="Y512" s="764">
        <f t="shared" ref="Y512" si="232">SUM(G512:G522,K512:K522,O512:O522,S512:S522,W512:W522)</f>
        <v>0</v>
      </c>
      <c r="Z512" s="766">
        <f t="shared" ref="Z512" si="233">IFERROR(SUM(H512:H522,L512:L522,T512:T522,X512:X522),"")</f>
        <v>0</v>
      </c>
      <c r="AA512" s="756"/>
    </row>
    <row r="513" spans="1:29">
      <c r="A513" s="756"/>
      <c r="B513" s="215"/>
      <c r="C513" s="759"/>
      <c r="D513" s="762"/>
      <c r="E513" s="389">
        <f>IF(D512&lt;=3,база!$I$4,
IF(D512=4,база!$I$5,
IF(D512=5,база!$I$6)))</f>
        <v>188.7912</v>
      </c>
      <c r="F513" s="390">
        <v>1</v>
      </c>
      <c r="G513" s="400">
        <f>SUMIFS(Таблица14[часы],Таблица14[коэф],"1",Таблица14[р/р],"3/4",Таблица14[Ф. И. О.],B517)</f>
        <v>0</v>
      </c>
      <c r="H513" s="392">
        <f>SUMIFS(Таблица14[Столбец2],Таблица14[коэф],"1",Таблица14[р/р],"3/4",Таблица14[Ф. И. О.],B517)</f>
        <v>0</v>
      </c>
      <c r="I513" s="432">
        <f>IF(D512&lt;=3,база!$J$4,
IF(D512=4,база!$J$5,
IF(D512=5,база!$J$6)))</f>
        <v>196.05240000000001</v>
      </c>
      <c r="J513" s="433">
        <v>1</v>
      </c>
      <c r="K513" s="434">
        <f>SUMIFS(Таблица14[часы],Таблица14[коэф],"1",Таблица14[р/р],"3/8",Таблица14[Ф. И. О.],B517)</f>
        <v>0</v>
      </c>
      <c r="L513" s="434">
        <f>SUMIFS(Таблица14[Столбец2],Таблица14[коэф],"1",Таблица14[р/р],"3/8",Таблица14[Ф. И. О.],B517)</f>
        <v>0</v>
      </c>
      <c r="M513" s="434"/>
      <c r="N513" s="434">
        <v>1</v>
      </c>
      <c r="O513" s="434">
        <f>SUMIFS(Data_Tech!$AM$3:$AM$67,Data_Tech!$E$3:$E$67,"1",Data_Tech!$G$3:$G$67,"4/12",Data_Tech!$F$3:$F$67,B517)</f>
        <v>0</v>
      </c>
      <c r="P513" s="406">
        <f>ROUND(M513*O513,2)</f>
        <v>0</v>
      </c>
      <c r="Q513" s="389">
        <f>база!$L$5</f>
        <v>231.45480000000001</v>
      </c>
      <c r="R513" s="390">
        <v>1</v>
      </c>
      <c r="S513" s="400">
        <f>SUMIFS(Таблица14[часы],Таблица14[коэф],"1",Таблица14[р/р],"4/16",Таблица14[Ф. И. О.],B517)</f>
        <v>0</v>
      </c>
      <c r="T513" s="392">
        <f>SUMIFS(Таблица14[Столбец2],Таблица14[коэф],"1",Таблица14[р/р],"4/16",Таблица14[Ф. И. О.],B517)</f>
        <v>0</v>
      </c>
      <c r="U513" s="478">
        <f>база!$M$5</f>
        <v>247.41720000000001</v>
      </c>
      <c r="V513" s="390">
        <v>1</v>
      </c>
      <c r="W513" s="412">
        <f>SUMIFS(Таблица14[часы],Таблица14[коэф],"1",Таблица14[р/р],"4/24",Таблица14[Ф. И. О.],B517)</f>
        <v>0</v>
      </c>
      <c r="X513" s="545">
        <f>SUMIFS(Таблица14[Столбец2],Таблица14[коэф],"1",Таблица14[р/р],"4/24",Таблица14[Ф. И. О.],B517)</f>
        <v>0</v>
      </c>
      <c r="Y513" s="764"/>
      <c r="Z513" s="766"/>
      <c r="AA513" s="756"/>
    </row>
    <row r="514" spans="1:29">
      <c r="A514" s="756"/>
      <c r="B514" s="215"/>
      <c r="C514" s="759"/>
      <c r="D514" s="762"/>
      <c r="E514" s="389"/>
      <c r="F514" s="390"/>
      <c r="G514" s="400"/>
      <c r="H514" s="392"/>
      <c r="I514" s="432"/>
      <c r="J514" s="433"/>
      <c r="K514" s="434"/>
      <c r="L514" s="434"/>
      <c r="M514" s="434"/>
      <c r="N514" s="434"/>
      <c r="O514" s="434"/>
      <c r="P514" s="406"/>
      <c r="Q514" s="389">
        <f>база!$L$6</f>
        <v>261.04640000000001</v>
      </c>
      <c r="R514" s="390">
        <v>1</v>
      </c>
      <c r="S514" s="400">
        <f>SUMIFS(Таблица14[часы],Таблица14[коэф],"1",Таблица14[р/р],"5/16",Таблица14[Ф. И. О.],B517)</f>
        <v>0</v>
      </c>
      <c r="T514" s="392">
        <f>SUMIFS(Таблица14[Столбец2],Таблица14[коэф],"1",Таблица14[р/р],"5/16",Таблица14[Ф. И. О.],B517)</f>
        <v>0</v>
      </c>
      <c r="U514" s="478">
        <f>база!$M$6</f>
        <v>279.0496</v>
      </c>
      <c r="V514" s="390">
        <v>1</v>
      </c>
      <c r="W514" s="412">
        <f>SUMIFS(Таблица14[часы],Таблица14[коэф],"1",Таблица14[р/р],"5/24",Таблица14[Ф. И. О.],B517)</f>
        <v>0</v>
      </c>
      <c r="X514" s="545">
        <f>SUMIFS(Таблица14[Столбец2],Таблица14[коэф],"1",Таблица14[р/р],"5/24",Таблица14[Ф. И. О.],B517)</f>
        <v>0</v>
      </c>
      <c r="Y514" s="764"/>
      <c r="Z514" s="766"/>
      <c r="AA514" s="756"/>
    </row>
    <row r="515" spans="1:29">
      <c r="A515" s="756"/>
      <c r="B515" s="215"/>
      <c r="C515" s="759"/>
      <c r="D515" s="762"/>
      <c r="E515" s="389"/>
      <c r="F515" s="390"/>
      <c r="G515" s="400"/>
      <c r="H515" s="392"/>
      <c r="I515" s="432">
        <f>база!$J$5</f>
        <v>215.4924</v>
      </c>
      <c r="J515" s="433">
        <v>1.5</v>
      </c>
      <c r="K515" s="434">
        <f>SUMIFS(Таблица14[часы],Таблица14[коэф],"1,5",Таблица14[р/р],"4/8",Таблица14[Ф. И. О.],B517)</f>
        <v>0</v>
      </c>
      <c r="L515" s="434">
        <f>SUMIFS(Таблица14[Столбец2],Таблица14[коэф],"1,5",Таблица14[р/р],"4/8",Таблица14[Ф. И. О.],B517)</f>
        <v>0</v>
      </c>
      <c r="M515" s="434"/>
      <c r="N515" s="434"/>
      <c r="O515" s="434"/>
      <c r="P515" s="406"/>
      <c r="Q515" s="389">
        <f>IF(D512&lt;=3,база!$L$4,
IF(D512=4,база!$L$5,
IF(D512=5,база!$L$6)))</f>
        <v>210.57480000000001</v>
      </c>
      <c r="R515" s="390">
        <v>1.2</v>
      </c>
      <c r="S515" s="400">
        <f>SUMIFS(Таблица14[часы],Таблица14[коэф],"1,2",Таблица14[р/р],"3/16",Таблица14[Ф. И. О.],B517)</f>
        <v>0</v>
      </c>
      <c r="T515" s="392">
        <f>SUMIFS(Таблица14[Столбец2],Таблица14[коэф],"1,2",Таблица14[р/р],"3/16",Таблица14[Ф. И. О.],B517)</f>
        <v>0</v>
      </c>
      <c r="U515" s="478">
        <f>IF(D512&lt;=3,база!$M$4,
IF(D512=4,база!$M$5,
IF(D512=5,база!$M$6)))</f>
        <v>225.09719999999999</v>
      </c>
      <c r="V515" s="390">
        <v>1.2</v>
      </c>
      <c r="W515" s="412">
        <f>SUMIFS(Таблица14[часы],Таблица14[коэф],"1,2",Таблица14[р/р],"3/24",Таблица14[Ф. И. О.],B517)</f>
        <v>0</v>
      </c>
      <c r="X515" s="545">
        <f>SUMIFS(Таблица14[Столбец2],Таблица14[коэф],"1,2",Таблица14[р/р],"3/24",Таблица14[Ф. И. О.],B517)</f>
        <v>0</v>
      </c>
      <c r="Y515" s="764"/>
      <c r="Z515" s="766"/>
      <c r="AA515" s="756"/>
    </row>
    <row r="516" spans="1:29">
      <c r="A516" s="756"/>
      <c r="B516" s="215"/>
      <c r="C516" s="759"/>
      <c r="D516" s="762"/>
      <c r="E516" s="389"/>
      <c r="F516" s="390"/>
      <c r="G516" s="400"/>
      <c r="H516" s="392"/>
      <c r="I516" s="432">
        <f>база!$J$6</f>
        <v>243.04319999999998</v>
      </c>
      <c r="J516" s="433">
        <v>1.5</v>
      </c>
      <c r="K516" s="434">
        <f>SUMIFS(Таблица14[часы],Таблица14[коэф],"1,5",Таблица14[р/р],"5/8",Таблица14[Ф. И. О.],B517)</f>
        <v>0</v>
      </c>
      <c r="L516" s="434">
        <f>SUMIFS(Таблица14[Столбец2],Таблица14[коэф],"1,5",Таблица14[р/р],"5/8",Таблица14[Ф. И. О.],B517)</f>
        <v>0</v>
      </c>
      <c r="M516" s="434"/>
      <c r="N516" s="434"/>
      <c r="O516" s="434"/>
      <c r="P516" s="406"/>
      <c r="Q516" s="389">
        <f>база!$L$5</f>
        <v>231.45480000000001</v>
      </c>
      <c r="R516" s="390">
        <v>1.2</v>
      </c>
      <c r="S516" s="400">
        <f>SUMIFS(Таблица14[часы],Таблица14[коэф],"1,2",Таблица14[р/р],"4/16",Таблица14[Ф. И. О.],B517)</f>
        <v>0</v>
      </c>
      <c r="T516" s="392">
        <f>SUMIFS(Таблица14[Столбец2],Таблица14[коэф],"1,2",Таблица14[р/р],"4/16",Таблица14[Ф. И. О.],B517)</f>
        <v>0</v>
      </c>
      <c r="U516" s="478">
        <f>база!$M$5</f>
        <v>247.41720000000001</v>
      </c>
      <c r="V516" s="390">
        <v>1.2</v>
      </c>
      <c r="W516" s="412">
        <f>SUMIFS(Таблица14[часы],Таблица14[коэф],"1,2",Таблица14[р/р],"4/24",Таблица14[Ф. И. О.],B517)</f>
        <v>0</v>
      </c>
      <c r="X516" s="545">
        <f>SUMIFS(Таблица14[Столбец2],Таблица14[коэф],"1,2",Таблица14[р/р],"4/24",Таблица14[Ф. И. О.],B517)</f>
        <v>0</v>
      </c>
      <c r="Y516" s="764"/>
      <c r="Z516" s="766"/>
      <c r="AA516" s="756"/>
    </row>
    <row r="517" spans="1:29">
      <c r="A517" s="756"/>
      <c r="B517" s="215" t="str">
        <f>база!B48</f>
        <v>Машталяр Анна Сергеевна</v>
      </c>
      <c r="C517" s="759"/>
      <c r="D517" s="762"/>
      <c r="E517" s="389"/>
      <c r="F517" s="390"/>
      <c r="G517" s="400"/>
      <c r="H517" s="392"/>
      <c r="I517" s="432"/>
      <c r="J517" s="433"/>
      <c r="K517" s="434"/>
      <c r="L517" s="434"/>
      <c r="M517" s="434"/>
      <c r="N517" s="434"/>
      <c r="O517" s="434"/>
      <c r="P517" s="406"/>
      <c r="Q517" s="389">
        <f>база!$L$6</f>
        <v>261.04640000000001</v>
      </c>
      <c r="R517" s="390">
        <v>1.2</v>
      </c>
      <c r="S517" s="400">
        <f>SUMIFS(Таблица14[часы],Таблица14[коэф],"1,2",Таблица14[р/р],"5/16",Таблица14[Ф. И. О.],B517)</f>
        <v>0</v>
      </c>
      <c r="T517" s="392">
        <f>SUMIFS(Таблица14[Столбец2],Таблица14[коэф],"1,2",Таблица14[р/р],"5/16",Таблица14[Ф. И. О.],B517)</f>
        <v>0</v>
      </c>
      <c r="U517" s="478">
        <f>база!$M$6</f>
        <v>279.0496</v>
      </c>
      <c r="V517" s="390">
        <v>1.2</v>
      </c>
      <c r="W517" s="412">
        <f>SUMIFS(Таблица14[часы],Таблица14[коэф],"1,2",Таблица14[р/р],"5/24",Таблица14[Ф. И. О.],B517)</f>
        <v>0</v>
      </c>
      <c r="X517" s="545">
        <f>SUMIFS(Таблица14[Столбец2],Таблица14[коэф],"1,2",Таблица14[р/р],"5/24",Таблица14[Ф. И. О.],B517)</f>
        <v>0</v>
      </c>
      <c r="Y517" s="764"/>
      <c r="Z517" s="766"/>
      <c r="AA517" s="756"/>
      <c r="AC517" s="752" t="str">
        <f>IF(SUMIFS(Таблица14[Столбец2],Таблица14[Ф. И. О.],B517)-Z512=0,"",SUMIFS(Таблица14[Столбец2],Таблица14[Ф. И. О.],B517)-Z512)</f>
        <v/>
      </c>
    </row>
    <row r="518" spans="1:29">
      <c r="A518" s="756"/>
      <c r="B518" s="215"/>
      <c r="C518" s="759"/>
      <c r="D518" s="762"/>
      <c r="E518" s="389"/>
      <c r="F518" s="390"/>
      <c r="G518" s="400"/>
      <c r="H518" s="392"/>
      <c r="I518" s="432"/>
      <c r="J518" s="433"/>
      <c r="K518" s="434"/>
      <c r="L518" s="434"/>
      <c r="M518" s="434"/>
      <c r="N518" s="434"/>
      <c r="O518" s="434"/>
      <c r="P518" s="406"/>
      <c r="Q518" s="389">
        <f>IF($D$6&lt;=3,база!$L$4,
IF($D$6=4,база!$L$5,
IF($D$6=5,база!$L$6)))</f>
        <v>231.45480000000001</v>
      </c>
      <c r="R518" s="390">
        <v>1.3</v>
      </c>
      <c r="S518" s="400">
        <f>SUMIFS(Таблица14[часы],Таблица14[коэф],"1,3",Таблица14[р/р],"3/16",Таблица14[Ф. И. О.],B517)</f>
        <v>0</v>
      </c>
      <c r="T518" s="392">
        <f>SUMIFS(Таблица14[Столбец2],Таблица14[коэф],"1,3",Таблица14[р/р],"3/16",Таблица14[Ф. И. О.],B517)</f>
        <v>0</v>
      </c>
      <c r="U518" s="478">
        <f>IF(D512&lt;=3,база!$M$4,
IF(D512=4,база!$M$5,
IF(D512=5,база!$M$6)))</f>
        <v>225.09719999999999</v>
      </c>
      <c r="V518" s="390">
        <v>1.3</v>
      </c>
      <c r="W518" s="412">
        <f>SUMIFS(Таблица14[часы],Таблица14[коэф],"1,3",Таблица14[р/р],"3/24",Таблица14[Ф. И. О.],B517)</f>
        <v>0</v>
      </c>
      <c r="X518" s="545">
        <f>SUMIFS(Таблица14[Столбец2],Таблица14[коэф],"1,3",Таблица14[р/р],"3/24",Таблица14[Ф. И. О.],B517)</f>
        <v>0</v>
      </c>
      <c r="Y518" s="764"/>
      <c r="Z518" s="766"/>
      <c r="AA518" s="756"/>
      <c r="AC518" s="752" t="str">
        <f>IF(SUMIFS(Таблица14[часы],Таблица14[Ф. И. О.],B517)-Y512=0,"",SUMIFS(Таблица14[часы],Таблица14[Ф. И. О.],B517)-Y512)</f>
        <v/>
      </c>
    </row>
    <row r="519" spans="1:29">
      <c r="A519" s="756"/>
      <c r="B519" s="215"/>
      <c r="C519" s="759"/>
      <c r="D519" s="762"/>
      <c r="E519" s="389"/>
      <c r="F519" s="390"/>
      <c r="G519" s="400"/>
      <c r="H519" s="392"/>
      <c r="I519" s="432"/>
      <c r="J519" s="433"/>
      <c r="K519" s="434"/>
      <c r="L519" s="434"/>
      <c r="M519" s="434"/>
      <c r="N519" s="434"/>
      <c r="O519" s="434"/>
      <c r="P519" s="406"/>
      <c r="Q519" s="389">
        <f>база!$L$5</f>
        <v>231.45480000000001</v>
      </c>
      <c r="R519" s="390">
        <v>1.3</v>
      </c>
      <c r="S519" s="400">
        <f>SUMIFS(Таблица14[часы],Таблица14[коэф],"1,3",Таблица14[р/р],"4/16",Таблица14[Ф. И. О.],B517)</f>
        <v>0</v>
      </c>
      <c r="T519" s="392">
        <f>SUMIFS(Таблица14[Столбец2],Таблица14[коэф],"1,3",Таблица14[р/р],"4/16",Таблица14[Ф. И. О.],B517)</f>
        <v>0</v>
      </c>
      <c r="U519" s="478">
        <f>база!$M$5</f>
        <v>247.41720000000001</v>
      </c>
      <c r="V519" s="390">
        <v>1.3</v>
      </c>
      <c r="W519" s="412">
        <f>SUMIFS(Таблица14[часы],Таблица14[коэф],"1,3",Таблица14[р/р],"4/24",Таблица14[Ф. И. О.],B517)</f>
        <v>0</v>
      </c>
      <c r="X519" s="545">
        <f>SUMIFS(Таблица14[Столбец2],Таблица14[коэф],"1,3",Таблица14[р/р],"4/24",Таблица14[Ф. И. О.],B517)</f>
        <v>0</v>
      </c>
      <c r="Y519" s="764"/>
      <c r="Z519" s="766"/>
      <c r="AA519" s="756"/>
    </row>
    <row r="520" spans="1:29">
      <c r="A520" s="756"/>
      <c r="B520" s="215"/>
      <c r="C520" s="759"/>
      <c r="D520" s="762"/>
      <c r="E520" s="389"/>
      <c r="F520" s="390"/>
      <c r="G520" s="400"/>
      <c r="H520" s="392"/>
      <c r="I520" s="432"/>
      <c r="J520" s="433"/>
      <c r="K520" s="434"/>
      <c r="L520" s="434"/>
      <c r="M520" s="434"/>
      <c r="N520" s="434"/>
      <c r="O520" s="434"/>
      <c r="P520" s="406"/>
      <c r="Q520" s="389">
        <f>IF(D512&lt;=3,база!$L$4,
IF(D512=4,база!$L$5,
IF(D512=5,база!$L$6)))</f>
        <v>210.57480000000001</v>
      </c>
      <c r="R520" s="390">
        <v>1.4</v>
      </c>
      <c r="S520" s="400">
        <f>SUMIFS(Таблица14[часы],Таблица14[коэф],"1,4",Таблица14[р/р],"3/16",Таблица14[Ф. И. О.],B517)</f>
        <v>0</v>
      </c>
      <c r="T520" s="392">
        <f>SUMIFS(Таблица14[Столбец2],Таблица14[коэф],"1,4",Таблица14[р/р],"3/16",Таблица14[Ф. И. О.],B517)</f>
        <v>0</v>
      </c>
      <c r="U520" s="478">
        <f>IF(D512&lt;=3,база!$M$4,
IF(D512=4,база!$M$5,
IF(D512=5,база!$M$6)))</f>
        <v>225.09719999999999</v>
      </c>
      <c r="V520" s="390">
        <v>1.4</v>
      </c>
      <c r="W520" s="412">
        <f>SUMIFS(Таблица14[часы],Таблица14[коэф],"1,4",Таблица14[р/р],"3/24",Таблица14[Ф. И. О.],B517)</f>
        <v>0</v>
      </c>
      <c r="X520" s="545">
        <f>SUMIFS(Таблица14[Столбец2],Таблица14[коэф],"1,4",Таблица14[р/р],"3/24",Таблица14[Ф. И. О.],B517)</f>
        <v>0</v>
      </c>
      <c r="Y520" s="764"/>
      <c r="Z520" s="766"/>
      <c r="AA520" s="756"/>
    </row>
    <row r="521" spans="1:29">
      <c r="A521" s="756"/>
      <c r="B521" s="215"/>
      <c r="C521" s="759"/>
      <c r="D521" s="762"/>
      <c r="E521" s="389"/>
      <c r="F521" s="390"/>
      <c r="G521" s="400"/>
      <c r="H521" s="392"/>
      <c r="I521" s="432"/>
      <c r="J521" s="433"/>
      <c r="K521" s="434"/>
      <c r="L521" s="434"/>
      <c r="M521" s="434"/>
      <c r="N521" s="434"/>
      <c r="O521" s="434"/>
      <c r="P521" s="406"/>
      <c r="Q521" s="389">
        <f>база!$L$5</f>
        <v>231.45480000000001</v>
      </c>
      <c r="R521" s="390">
        <v>1.4</v>
      </c>
      <c r="S521" s="400">
        <f>SUMIFS(Таблица14[часы],Таблица14[коэф],"1,4",Таблица14[р/р],"4/16",Таблица14[Ф. И. О.],B517)</f>
        <v>0</v>
      </c>
      <c r="T521" s="392">
        <f>SUMIFS(Таблица14[Столбец2],Таблица14[коэф],"1,4",Таблица14[р/р],"4/16",Таблица14[Ф. И. О.],B517)</f>
        <v>0</v>
      </c>
      <c r="U521" s="478">
        <f>база!$M$5</f>
        <v>247.41720000000001</v>
      </c>
      <c r="V521" s="390">
        <v>1.4</v>
      </c>
      <c r="W521" s="412">
        <f>SUMIFS(Таблица14[часы],Таблица14[коэф],"1,4",Таблица14[р/р],"4/24",Таблица14[Ф. И. О.],B517)</f>
        <v>0</v>
      </c>
      <c r="X521" s="545">
        <f>SUMIFS(Таблица14[Столбец2],Таблица14[коэф],"1,4",Таблица14[р/р],"4/24",Таблица14[Ф. И. О.],B517)</f>
        <v>0</v>
      </c>
      <c r="Y521" s="764"/>
      <c r="Z521" s="766"/>
      <c r="AA521" s="756"/>
    </row>
    <row r="522" spans="1:29" ht="21" thickBot="1">
      <c r="A522" s="757"/>
      <c r="B522" s="352"/>
      <c r="C522" s="760"/>
      <c r="D522" s="763"/>
      <c r="E522" s="473"/>
      <c r="F522" s="464"/>
      <c r="G522" s="651"/>
      <c r="H522" s="468"/>
      <c r="I522" s="645"/>
      <c r="J522" s="456"/>
      <c r="K522" s="646"/>
      <c r="L522" s="457"/>
      <c r="M522" s="645"/>
      <c r="N522" s="646"/>
      <c r="O522" s="646"/>
      <c r="P522" s="476"/>
      <c r="Q522" s="652">
        <f>база!$L$6</f>
        <v>261.04640000000001</v>
      </c>
      <c r="R522" s="464">
        <v>1.4</v>
      </c>
      <c r="S522" s="465">
        <f>SUMIFS(Таблица14[часы],Таблица14[коэф],"1,4",Таблица14[р/р],"5/16",Таблица14[Ф. И. О.],B517)</f>
        <v>0</v>
      </c>
      <c r="T522" s="468">
        <f>SUMIFS(Таблица14[Столбец2],Таблица14[коэф],"1,4",Таблица14[р/р],"5/16",Таблица14[Ф. И. О.],B517)</f>
        <v>0</v>
      </c>
      <c r="U522" s="463">
        <f>база!$M$6</f>
        <v>279.0496</v>
      </c>
      <c r="V522" s="464">
        <v>1.4</v>
      </c>
      <c r="W522" s="465">
        <f>SUMIFS(Таблица14[часы],Таблица14[коэф],"1,4",Таблица14[р/р],"5/24",Таблица14[Ф. И. О.],B517)</f>
        <v>0</v>
      </c>
      <c r="X522" s="468">
        <f>SUMIFS(Таблица14[Столбец2],Таблица14[коэф],"1,4",Таблица14[р/р],"5/24",Таблица14[Ф. И. О.],B517)</f>
        <v>0</v>
      </c>
      <c r="Y522" s="765"/>
      <c r="Z522" s="767"/>
      <c r="AA522" s="757"/>
    </row>
    <row r="523" spans="1:29">
      <c r="A523" s="756">
        <v>48</v>
      </c>
      <c r="B523" s="215"/>
      <c r="C523" s="758">
        <f>INDEX(база!$E$2:$E$98, MATCH(B528,база!$B$2:$B$100,0))</f>
        <v>17121</v>
      </c>
      <c r="D523" s="761">
        <f>INDEX(база!$D$2:$D$121, MATCH(B528,база!$B$2:$B$100,0))</f>
        <v>3</v>
      </c>
      <c r="E523" s="481">
        <f>IF(D523&lt;=3,база!$I$4,
IF(D523=4,база!$I$5,
IF(D523=5,база!$I$6)))</f>
        <v>188.7912</v>
      </c>
      <c r="F523" s="417">
        <v>1</v>
      </c>
      <c r="G523" s="418">
        <f>SUMIFS(Таблица14[часы],Таблица14[коэф],"1",Таблица14[р/р],"2/4",Таблица14[Ф. И. О.],B528)</f>
        <v>0</v>
      </c>
      <c r="H523" s="402">
        <f>SUMIFS(Таблица14[Столбец2],Таблица14[коэф],"1",Таблица14[р/р],"2/4",Таблица14[Ф. И. О.],B528)</f>
        <v>0</v>
      </c>
      <c r="I523" s="452">
        <f>IF(D523&lt;=3,база!$J$4,
IF(D523=4,база!$J$5,
IF(D523=5,база!$J$6)))</f>
        <v>196.05240000000001</v>
      </c>
      <c r="J523" s="475">
        <v>1</v>
      </c>
      <c r="K523" s="453">
        <f>SUMIFS(Таблица14[часы],Таблица14[коэф],"1",Таблица14[р/р],"2/8",Таблица14[Ф. И. О.],B528)</f>
        <v>0</v>
      </c>
      <c r="L523" s="453">
        <f>SUMIFS(Таблица14[Столбец2],Таблица14[коэф],"1",Таблица14[р/р],"2/8",Таблица14[Ф. И. О.],B528)</f>
        <v>0</v>
      </c>
      <c r="M523" s="453"/>
      <c r="N523" s="453">
        <v>1</v>
      </c>
      <c r="O523" s="453">
        <f>SUMIFS(Data_Tech!$AM$3:$AM$67,Data_Tech!$E$3:$E$67,"1",Data_Tech!$G$3:$G$67,"3/12",Data_Tech!$F$3:$F$67,B528)</f>
        <v>0</v>
      </c>
      <c r="P523" s="398">
        <f>ROUND(M523*N523*O523,2)</f>
        <v>0</v>
      </c>
      <c r="Q523" s="481">
        <f>IF(D523&lt;=3,база!$L$4,
IF(D523=4,база!$L$5,
IF(D523=5,база!$L$6)))</f>
        <v>210.57480000000001</v>
      </c>
      <c r="R523" s="417">
        <v>1</v>
      </c>
      <c r="S523" s="418">
        <f>SUMIFS(Таблица14[часы],Таблица14[коэф],"1",Таблица14[р/р],"3/16",Таблица14[Ф. И. О.],B528)</f>
        <v>0</v>
      </c>
      <c r="T523" s="402">
        <f>SUMIFS(Таблица14[Столбец2],Таблица14[коэф],"1",Таблица14[р/р],"3/16",Таблица14[Ф. И. О.],B528)</f>
        <v>0</v>
      </c>
      <c r="U523" s="483">
        <f>IF(D523&lt;=3,база!$M$4,
IF(D523=4,база!$M$5,
IF(D523=5,база!$M$6)))</f>
        <v>225.09719999999999</v>
      </c>
      <c r="V523" s="417">
        <v>1</v>
      </c>
      <c r="W523" s="455">
        <f>SUMIFS(Таблица14[часы],Таблица14[коэф],"1",Таблица14[р/р],"3/24",Таблица14[Ф. И. О.],B528)</f>
        <v>0</v>
      </c>
      <c r="X523" s="552">
        <f>SUMIFS(Таблица14[Столбец2],Таблица14[коэф],"1",Таблица14[р/р],"3/24",Таблица14[Ф. И. О.],B528)</f>
        <v>0</v>
      </c>
      <c r="Y523" s="764">
        <f t="shared" ref="Y523" si="234">SUM(G523:G533,K523:K533,O523:O533,S523:S533,W523:W533)</f>
        <v>0</v>
      </c>
      <c r="Z523" s="766">
        <f t="shared" ref="Z523" si="235">IFERROR(SUM(H523:H533,L523:L533,T523:T533,X523:X533),"")</f>
        <v>0</v>
      </c>
      <c r="AA523" s="756"/>
    </row>
    <row r="524" spans="1:29">
      <c r="A524" s="756"/>
      <c r="B524" s="215"/>
      <c r="C524" s="759"/>
      <c r="D524" s="762"/>
      <c r="E524" s="389">
        <f>IF(D523&lt;=3,база!$I$4,
IF(D523=4,база!$I$5,
IF(D523=5,база!$I$6)))</f>
        <v>188.7912</v>
      </c>
      <c r="F524" s="390">
        <v>1</v>
      </c>
      <c r="G524" s="400">
        <f>SUMIFS(Таблица14[часы],Таблица14[коэф],"1",Таблица14[р/р],"3/4",Таблица14[Ф. И. О.],B528)</f>
        <v>0</v>
      </c>
      <c r="H524" s="392">
        <f>SUMIFS(Таблица14[Столбец2],Таблица14[коэф],"1",Таблица14[р/р],"3/4",Таблица14[Ф. И. О.],B528)</f>
        <v>0</v>
      </c>
      <c r="I524" s="432">
        <f>IF(D523&lt;=3,база!$J$4,
IF(D523=4,база!$J$5,
IF(D523=5,база!$J$6)))</f>
        <v>196.05240000000001</v>
      </c>
      <c r="J524" s="433">
        <v>1</v>
      </c>
      <c r="K524" s="434">
        <f>SUMIFS(Таблица14[часы],Таблица14[коэф],"1",Таблица14[р/р],"3/8",Таблица14[Ф. И. О.],B528)</f>
        <v>0</v>
      </c>
      <c r="L524" s="434">
        <f>SUMIFS(Таблица14[Столбец2],Таблица14[коэф],"1",Таблица14[р/р],"3/8",Таблица14[Ф. И. О.],B528)</f>
        <v>0</v>
      </c>
      <c r="M524" s="434"/>
      <c r="N524" s="434">
        <v>1</v>
      </c>
      <c r="O524" s="434">
        <f>SUMIFS(Data_Tech!$AM$3:$AM$67,Data_Tech!$E$3:$E$67,"1",Data_Tech!$G$3:$G$67,"4/12",Data_Tech!$F$3:$F$67,B528)</f>
        <v>0</v>
      </c>
      <c r="P524" s="406">
        <f>ROUND(M524*O524,2)</f>
        <v>0</v>
      </c>
      <c r="Q524" s="389">
        <f>база!$L$5</f>
        <v>231.45480000000001</v>
      </c>
      <c r="R524" s="390">
        <v>1</v>
      </c>
      <c r="S524" s="400">
        <f>SUMIFS(Таблица14[часы],Таблица14[коэф],"1",Таблица14[р/р],"4/16",Таблица14[Ф. И. О.],B528)</f>
        <v>0</v>
      </c>
      <c r="T524" s="392">
        <f>SUMIFS(Таблица14[Столбец2],Таблица14[коэф],"1",Таблица14[р/р],"4/16",Таблица14[Ф. И. О.],B528)</f>
        <v>0</v>
      </c>
      <c r="U524" s="478">
        <f>база!$M$5</f>
        <v>247.41720000000001</v>
      </c>
      <c r="V524" s="390">
        <v>1</v>
      </c>
      <c r="W524" s="412">
        <f>SUMIFS(Таблица14[часы],Таблица14[коэф],"1",Таблица14[р/р],"4/24",Таблица14[Ф. И. О.],B528)</f>
        <v>0</v>
      </c>
      <c r="X524" s="545">
        <f>SUMIFS(Таблица14[Столбец2],Таблица14[коэф],"1",Таблица14[р/р],"4/24",Таблица14[Ф. И. О.],B528)</f>
        <v>0</v>
      </c>
      <c r="Y524" s="764"/>
      <c r="Z524" s="766"/>
      <c r="AA524" s="756"/>
    </row>
    <row r="525" spans="1:29">
      <c r="A525" s="756"/>
      <c r="B525" s="215"/>
      <c r="C525" s="759"/>
      <c r="D525" s="762"/>
      <c r="E525" s="389"/>
      <c r="F525" s="390"/>
      <c r="G525" s="400"/>
      <c r="H525" s="392"/>
      <c r="I525" s="432"/>
      <c r="J525" s="433"/>
      <c r="K525" s="434"/>
      <c r="L525" s="434"/>
      <c r="M525" s="434"/>
      <c r="N525" s="434"/>
      <c r="O525" s="434"/>
      <c r="P525" s="406"/>
      <c r="Q525" s="389">
        <f>база!$L$6</f>
        <v>261.04640000000001</v>
      </c>
      <c r="R525" s="390">
        <v>1</v>
      </c>
      <c r="S525" s="400">
        <f>SUMIFS(Таблица14[часы],Таблица14[коэф],"1",Таблица14[р/р],"5/16",Таблица14[Ф. И. О.],B528)</f>
        <v>0</v>
      </c>
      <c r="T525" s="392">
        <f>SUMIFS(Таблица14[Столбец2],Таблица14[коэф],"1",Таблица14[р/р],"5/16",Таблица14[Ф. И. О.],B528)</f>
        <v>0</v>
      </c>
      <c r="U525" s="478">
        <f>база!$M$6</f>
        <v>279.0496</v>
      </c>
      <c r="V525" s="390">
        <v>1</v>
      </c>
      <c r="W525" s="412">
        <f>SUMIFS(Таблица14[часы],Таблица14[коэф],"1",Таблица14[р/р],"5/24",Таблица14[Ф. И. О.],B528)</f>
        <v>0</v>
      </c>
      <c r="X525" s="545">
        <f>SUMIFS(Таблица14[Столбец2],Таблица14[коэф],"1",Таблица14[р/р],"5/24",Таблица14[Ф. И. О.],B528)</f>
        <v>0</v>
      </c>
      <c r="Y525" s="764"/>
      <c r="Z525" s="766"/>
      <c r="AA525" s="756"/>
    </row>
    <row r="526" spans="1:29">
      <c r="A526" s="756"/>
      <c r="B526" s="215"/>
      <c r="C526" s="759"/>
      <c r="D526" s="762"/>
      <c r="E526" s="389"/>
      <c r="F526" s="390"/>
      <c r="G526" s="400"/>
      <c r="H526" s="392"/>
      <c r="I526" s="432">
        <f>база!$J$5</f>
        <v>215.4924</v>
      </c>
      <c r="J526" s="433">
        <v>1.5</v>
      </c>
      <c r="K526" s="434">
        <f>SUMIFS(Таблица14[часы],Таблица14[коэф],"1,5",Таблица14[р/р],"4/8",Таблица14[Ф. И. О.],B528)</f>
        <v>0</v>
      </c>
      <c r="L526" s="434">
        <f>SUMIFS(Таблица14[Столбец2],Таблица14[коэф],"1,5",Таблица14[р/р],"4/8",Таблица14[Ф. И. О.],B528)</f>
        <v>0</v>
      </c>
      <c r="M526" s="434"/>
      <c r="N526" s="434"/>
      <c r="O526" s="434"/>
      <c r="P526" s="406"/>
      <c r="Q526" s="389">
        <f>IF(D523&lt;=3,база!$L$4,
IF(D523=4,база!$L$5,
IF(D523=5,база!$L$6)))</f>
        <v>210.57480000000001</v>
      </c>
      <c r="R526" s="390">
        <v>1.2</v>
      </c>
      <c r="S526" s="400">
        <f>SUMIFS(Таблица14[часы],Таблица14[коэф],"1,2",Таблица14[р/р],"3/16",Таблица14[Ф. И. О.],B528)</f>
        <v>0</v>
      </c>
      <c r="T526" s="392">
        <f>SUMIFS(Таблица14[Столбец2],Таблица14[коэф],"1,2",Таблица14[р/р],"3/16",Таблица14[Ф. И. О.],B528)</f>
        <v>0</v>
      </c>
      <c r="U526" s="478">
        <f>IF(D523&lt;=3,база!$M$4,
IF(D523=4,база!$M$5,
IF(D523=5,база!$M$6)))</f>
        <v>225.09719999999999</v>
      </c>
      <c r="V526" s="390">
        <v>1.2</v>
      </c>
      <c r="W526" s="412">
        <f>SUMIFS(Таблица14[часы],Таблица14[коэф],"1,2",Таблица14[р/р],"3/24",Таблица14[Ф. И. О.],B528)</f>
        <v>0</v>
      </c>
      <c r="X526" s="545">
        <f>SUMIFS(Таблица14[Столбец2],Таблица14[коэф],"1,2",Таблица14[р/р],"3/24",Таблица14[Ф. И. О.],B528)</f>
        <v>0</v>
      </c>
      <c r="Y526" s="764"/>
      <c r="Z526" s="766"/>
      <c r="AA526" s="756"/>
    </row>
    <row r="527" spans="1:29">
      <c r="A527" s="756"/>
      <c r="B527" s="215"/>
      <c r="C527" s="759"/>
      <c r="D527" s="762"/>
      <c r="E527" s="389"/>
      <c r="F527" s="390"/>
      <c r="G527" s="400"/>
      <c r="H527" s="392"/>
      <c r="I527" s="432">
        <f>база!$J$6</f>
        <v>243.04319999999998</v>
      </c>
      <c r="J527" s="433">
        <v>1.5</v>
      </c>
      <c r="K527" s="434">
        <f>SUMIFS(Таблица14[часы],Таблица14[коэф],"1,5",Таблица14[р/р],"5/8",Таблица14[Ф. И. О.],B528)</f>
        <v>0</v>
      </c>
      <c r="L527" s="434">
        <f>SUMIFS(Таблица14[Столбец2],Таблица14[коэф],"1,5",Таблица14[р/р],"5/8",Таблица14[Ф. И. О.],B528)</f>
        <v>0</v>
      </c>
      <c r="M527" s="434"/>
      <c r="N527" s="434"/>
      <c r="O527" s="434"/>
      <c r="P527" s="406"/>
      <c r="Q527" s="389">
        <f>база!$L$5</f>
        <v>231.45480000000001</v>
      </c>
      <c r="R527" s="390">
        <v>1.2</v>
      </c>
      <c r="S527" s="400">
        <f>SUMIFS(Таблица14[часы],Таблица14[коэф],"1,2",Таблица14[р/р],"4/16",Таблица14[Ф. И. О.],B528)</f>
        <v>0</v>
      </c>
      <c r="T527" s="392">
        <f>SUMIFS(Таблица14[Столбец2],Таблица14[коэф],"1,2",Таблица14[р/р],"4/16",Таблица14[Ф. И. О.],B528)</f>
        <v>0</v>
      </c>
      <c r="U527" s="478">
        <f>база!$M$5</f>
        <v>247.41720000000001</v>
      </c>
      <c r="V527" s="390">
        <v>1.2</v>
      </c>
      <c r="W527" s="412">
        <f>SUMIFS(Таблица14[часы],Таблица14[коэф],"1,2",Таблица14[р/р],"4/24",Таблица14[Ф. И. О.],B528)</f>
        <v>0</v>
      </c>
      <c r="X527" s="545">
        <f>SUMIFS(Таблица14[Столбец2],Таблица14[коэф],"1,2",Таблица14[р/р],"4/24",Таблица14[Ф. И. О.],B528)</f>
        <v>0</v>
      </c>
      <c r="Y527" s="764"/>
      <c r="Z527" s="766"/>
      <c r="AA527" s="756"/>
      <c r="AC527" s="752" t="str">
        <f>IF(SUMIFS(Таблица14[Столбец2],Таблица14[Ф. И. О.],B528)-Z523=0,"",SUMIFS(Таблица14[Столбец2],Таблица14[Ф. И. О.],B528)-Z523)</f>
        <v/>
      </c>
    </row>
    <row r="528" spans="1:29">
      <c r="A528" s="756"/>
      <c r="B528" s="215" t="str">
        <f>база!B49</f>
        <v>Мельникова Анна Юрьевна</v>
      </c>
      <c r="C528" s="759"/>
      <c r="D528" s="762"/>
      <c r="E528" s="389"/>
      <c r="F528" s="390"/>
      <c r="G528" s="400"/>
      <c r="H528" s="392"/>
      <c r="I528" s="432"/>
      <c r="J528" s="433"/>
      <c r="K528" s="434"/>
      <c r="L528" s="434"/>
      <c r="M528" s="434"/>
      <c r="N528" s="434"/>
      <c r="O528" s="434"/>
      <c r="P528" s="406"/>
      <c r="Q528" s="389">
        <f>база!$L$6</f>
        <v>261.04640000000001</v>
      </c>
      <c r="R528" s="390">
        <v>1.2</v>
      </c>
      <c r="S528" s="400">
        <f>SUMIFS(Таблица14[часы],Таблица14[коэф],"1,2",Таблица14[р/р],"5/16",Таблица14[Ф. И. О.],B528)</f>
        <v>0</v>
      </c>
      <c r="T528" s="392">
        <f>SUMIFS(Таблица14[Столбец2],Таблица14[коэф],"1,2",Таблица14[р/р],"5/16",Таблица14[Ф. И. О.],B528)</f>
        <v>0</v>
      </c>
      <c r="U528" s="478">
        <f>база!$M$6</f>
        <v>279.0496</v>
      </c>
      <c r="V528" s="390">
        <v>1.2</v>
      </c>
      <c r="W528" s="412">
        <f>SUMIFS(Таблица14[часы],Таблица14[коэф],"1,2",Таблица14[р/р],"5/24",Таблица14[Ф. И. О.],B528)</f>
        <v>0</v>
      </c>
      <c r="X528" s="545">
        <f>SUMIFS(Таблица14[Столбец2],Таблица14[коэф],"1,2",Таблица14[р/р],"5/24",Таблица14[Ф. И. О.],B528)</f>
        <v>0</v>
      </c>
      <c r="Y528" s="764"/>
      <c r="Z528" s="766"/>
      <c r="AA528" s="756"/>
      <c r="AC528" s="752" t="str">
        <f>IF(SUMIFS(Таблица14[часы],Таблица14[Ф. И. О.],B528)-Y523=0,"",SUMIFS(Таблица14[часы],Таблица14[Ф. И. О.],B528)-Y523)</f>
        <v/>
      </c>
    </row>
    <row r="529" spans="1:29">
      <c r="A529" s="756"/>
      <c r="B529" s="215"/>
      <c r="C529" s="759"/>
      <c r="D529" s="762"/>
      <c r="E529" s="389"/>
      <c r="F529" s="390"/>
      <c r="G529" s="400"/>
      <c r="H529" s="392"/>
      <c r="I529" s="432"/>
      <c r="J529" s="433"/>
      <c r="K529" s="434"/>
      <c r="L529" s="434"/>
      <c r="M529" s="434"/>
      <c r="N529" s="434"/>
      <c r="O529" s="434"/>
      <c r="P529" s="406"/>
      <c r="Q529" s="389">
        <f>IF($D$6&lt;=3,база!$L$4,
IF($D$6=4,база!$L$5,
IF($D$6=5,база!$L$6)))</f>
        <v>231.45480000000001</v>
      </c>
      <c r="R529" s="390">
        <v>1.3</v>
      </c>
      <c r="S529" s="400">
        <f>SUMIFS(Таблица14[часы],Таблица14[коэф],"1,3",Таблица14[р/р],"3/16",Таблица14[Ф. И. О.],B528)</f>
        <v>0</v>
      </c>
      <c r="T529" s="392">
        <f>SUMIFS(Таблица14[Столбец2],Таблица14[коэф],"1,3",Таблица14[р/р],"3/16",Таблица14[Ф. И. О.],B528)</f>
        <v>0</v>
      </c>
      <c r="U529" s="478">
        <f>IF(D523&lt;=3,база!$M$4,
IF(D523=4,база!$M$5,
IF(D523=5,база!$M$6)))</f>
        <v>225.09719999999999</v>
      </c>
      <c r="V529" s="390">
        <v>1.3</v>
      </c>
      <c r="W529" s="412">
        <f>SUMIFS(Таблица14[часы],Таблица14[коэф],"1,3",Таблица14[р/р],"3/24",Таблица14[Ф. И. О.],B528)</f>
        <v>0</v>
      </c>
      <c r="X529" s="545">
        <f>SUMIFS(Таблица14[Столбец2],Таблица14[коэф],"1,3",Таблица14[р/р],"3/24",Таблица14[Ф. И. О.],B528)</f>
        <v>0</v>
      </c>
      <c r="Y529" s="764"/>
      <c r="Z529" s="766"/>
      <c r="AA529" s="756"/>
    </row>
    <row r="530" spans="1:29">
      <c r="A530" s="756"/>
      <c r="B530" s="215"/>
      <c r="C530" s="759"/>
      <c r="D530" s="762"/>
      <c r="E530" s="389"/>
      <c r="F530" s="390"/>
      <c r="G530" s="400"/>
      <c r="H530" s="392"/>
      <c r="I530" s="432"/>
      <c r="J530" s="433"/>
      <c r="K530" s="434"/>
      <c r="L530" s="434"/>
      <c r="M530" s="434"/>
      <c r="N530" s="434"/>
      <c r="O530" s="434"/>
      <c r="P530" s="406"/>
      <c r="Q530" s="389">
        <f>база!$L$5</f>
        <v>231.45480000000001</v>
      </c>
      <c r="R530" s="390">
        <v>1.3</v>
      </c>
      <c r="S530" s="400">
        <f>SUMIFS(Таблица14[часы],Таблица14[коэф],"1,3",Таблица14[р/р],"4/16",Таблица14[Ф. И. О.],B528)</f>
        <v>0</v>
      </c>
      <c r="T530" s="392">
        <f>SUMIFS(Таблица14[Столбец2],Таблица14[коэф],"1,3",Таблица14[р/р],"4/16",Таблица14[Ф. И. О.],B528)</f>
        <v>0</v>
      </c>
      <c r="U530" s="478">
        <f>база!$M$5</f>
        <v>247.41720000000001</v>
      </c>
      <c r="V530" s="390">
        <v>1.3</v>
      </c>
      <c r="W530" s="412">
        <f>SUMIFS(Таблица14[часы],Таблица14[коэф],"1,3",Таблица14[р/р],"4/24",Таблица14[Ф. И. О.],B528)</f>
        <v>0</v>
      </c>
      <c r="X530" s="545">
        <f>SUMIFS(Таблица14[Столбец2],Таблица14[коэф],"1,3",Таблица14[р/р],"4/24",Таблица14[Ф. И. О.],B528)</f>
        <v>0</v>
      </c>
      <c r="Y530" s="764"/>
      <c r="Z530" s="766"/>
      <c r="AA530" s="756"/>
    </row>
    <row r="531" spans="1:29">
      <c r="A531" s="756"/>
      <c r="B531" s="215"/>
      <c r="C531" s="759"/>
      <c r="D531" s="762"/>
      <c r="E531" s="389"/>
      <c r="F531" s="390"/>
      <c r="G531" s="400"/>
      <c r="H531" s="392"/>
      <c r="I531" s="432"/>
      <c r="J531" s="433"/>
      <c r="K531" s="434"/>
      <c r="L531" s="434"/>
      <c r="M531" s="434"/>
      <c r="N531" s="434"/>
      <c r="O531" s="434"/>
      <c r="P531" s="406"/>
      <c r="Q531" s="389">
        <f>IF(D523&lt;=3,база!$L$4,
IF(D523=4,база!$L$5,
IF(D523=5,база!$L$6)))</f>
        <v>210.57480000000001</v>
      </c>
      <c r="R531" s="390">
        <v>1.4</v>
      </c>
      <c r="S531" s="400">
        <f>SUMIFS(Таблица14[часы],Таблица14[коэф],"1,4",Таблица14[р/р],"3/16",Таблица14[Ф. И. О.],B528)</f>
        <v>0</v>
      </c>
      <c r="T531" s="392">
        <f>SUMIFS(Таблица14[Столбец2],Таблица14[коэф],"1,4",Таблица14[р/р],"3/16",Таблица14[Ф. И. О.],B528)</f>
        <v>0</v>
      </c>
      <c r="U531" s="478">
        <f>IF(D523&lt;=3,база!$M$4,
IF(D523=4,база!$M$5,
IF(D523=5,база!$M$6)))</f>
        <v>225.09719999999999</v>
      </c>
      <c r="V531" s="390">
        <v>1.4</v>
      </c>
      <c r="W531" s="412">
        <f>SUMIFS(Таблица14[часы],Таблица14[коэф],"1,4",Таблица14[р/р],"3/24",Таблица14[Ф. И. О.],B528)</f>
        <v>0</v>
      </c>
      <c r="X531" s="545">
        <f>SUMIFS(Таблица14[Столбец2],Таблица14[коэф],"1,4",Таблица14[р/р],"3/24",Таблица14[Ф. И. О.],B528)</f>
        <v>0</v>
      </c>
      <c r="Y531" s="764"/>
      <c r="Z531" s="766"/>
      <c r="AA531" s="756"/>
    </row>
    <row r="532" spans="1:29">
      <c r="A532" s="756"/>
      <c r="B532" s="215"/>
      <c r="C532" s="759"/>
      <c r="D532" s="762"/>
      <c r="E532" s="389"/>
      <c r="F532" s="390"/>
      <c r="G532" s="400"/>
      <c r="H532" s="392"/>
      <c r="I532" s="432"/>
      <c r="J532" s="433"/>
      <c r="K532" s="434"/>
      <c r="L532" s="434"/>
      <c r="M532" s="434"/>
      <c r="N532" s="434"/>
      <c r="O532" s="434"/>
      <c r="P532" s="406"/>
      <c r="Q532" s="389">
        <f>база!$L$5</f>
        <v>231.45480000000001</v>
      </c>
      <c r="R532" s="390">
        <v>1.4</v>
      </c>
      <c r="S532" s="400">
        <f>SUMIFS(Таблица14[часы],Таблица14[коэф],"1,4",Таблица14[р/р],"4/16",Таблица14[Ф. И. О.],B528)</f>
        <v>0</v>
      </c>
      <c r="T532" s="392">
        <f>SUMIFS(Таблица14[Столбец2],Таблица14[коэф],"1,4",Таблица14[р/р],"4/16",Таблица14[Ф. И. О.],B528)</f>
        <v>0</v>
      </c>
      <c r="U532" s="478">
        <f>база!$M$5</f>
        <v>247.41720000000001</v>
      </c>
      <c r="V532" s="390">
        <v>1.4</v>
      </c>
      <c r="W532" s="412">
        <f>SUMIFS(Таблица14[часы],Таблица14[коэф],"1,4",Таблица14[р/р],"4/24",Таблица14[Ф. И. О.],B528)</f>
        <v>0</v>
      </c>
      <c r="X532" s="545">
        <f>SUMIFS(Таблица14[Столбец2],Таблица14[коэф],"1,4",Таблица14[р/р],"4/24",Таблица14[Ф. И. О.],B528)</f>
        <v>0</v>
      </c>
      <c r="Y532" s="764"/>
      <c r="Z532" s="766"/>
      <c r="AA532" s="756"/>
    </row>
    <row r="533" spans="1:29" ht="21" thickBot="1">
      <c r="A533" s="757"/>
      <c r="B533" s="352"/>
      <c r="C533" s="760"/>
      <c r="D533" s="763"/>
      <c r="E533" s="473"/>
      <c r="F533" s="464"/>
      <c r="G533" s="651"/>
      <c r="H533" s="468"/>
      <c r="I533" s="645"/>
      <c r="J533" s="456"/>
      <c r="K533" s="646"/>
      <c r="L533" s="457"/>
      <c r="M533" s="645"/>
      <c r="N533" s="646"/>
      <c r="O533" s="646"/>
      <c r="P533" s="476"/>
      <c r="Q533" s="652">
        <f>база!$L$6</f>
        <v>261.04640000000001</v>
      </c>
      <c r="R533" s="464">
        <v>1.4</v>
      </c>
      <c r="S533" s="465">
        <f>SUMIFS(Таблица14[часы],Таблица14[коэф],"1,4",Таблица14[р/р],"5/16",Таблица14[Ф. И. О.],B528)</f>
        <v>0</v>
      </c>
      <c r="T533" s="468">
        <f>SUMIFS(Таблица14[Столбец2],Таблица14[коэф],"1,4",Таблица14[р/р],"5/16",Таблица14[Ф. И. О.],B528)</f>
        <v>0</v>
      </c>
      <c r="U533" s="463">
        <f>база!$M$6</f>
        <v>279.0496</v>
      </c>
      <c r="V533" s="464">
        <v>1.4</v>
      </c>
      <c r="W533" s="465">
        <f>SUMIFS(Таблица14[часы],Таблица14[коэф],"1,4",Таблица14[р/р],"5/24",Таблица14[Ф. И. О.],B528)</f>
        <v>0</v>
      </c>
      <c r="X533" s="468">
        <f>SUMIFS(Таблица14[Столбец2],Таблица14[коэф],"1,4",Таблица14[р/р],"5/24",Таблица14[Ф. И. О.],B528)</f>
        <v>0</v>
      </c>
      <c r="Y533" s="765"/>
      <c r="Z533" s="767"/>
      <c r="AA533" s="757"/>
    </row>
    <row r="534" spans="1:29">
      <c r="A534" s="756">
        <v>49</v>
      </c>
      <c r="B534" s="215"/>
      <c r="C534" s="758">
        <f>INDEX(база!$E$2:$E$98, MATCH(B539,база!$B$2:$B$100,0))</f>
        <v>14883</v>
      </c>
      <c r="D534" s="761">
        <f>INDEX(база!$D$2:$D$121, MATCH(B539,база!$B$2:$B$100,0))</f>
        <v>4</v>
      </c>
      <c r="E534" s="481">
        <f>IF(D534&lt;=3,база!$I$4,
IF(D534=4,база!$I$5,
IF(D534=5,база!$I$6)))</f>
        <v>207.5112</v>
      </c>
      <c r="F534" s="417">
        <v>1</v>
      </c>
      <c r="G534" s="418">
        <f>SUMIFS(Таблица14[часы],Таблица14[коэф],"1",Таблица14[р/р],"2/4",Таблица14[Ф. И. О.],B539)</f>
        <v>0</v>
      </c>
      <c r="H534" s="402">
        <f>SUMIFS(Таблица14[Столбец2],Таблица14[коэф],"1",Таблица14[р/р],"2/4",Таблица14[Ф. И. О.],B539)</f>
        <v>0</v>
      </c>
      <c r="I534" s="452">
        <f>IF(D534&lt;=3,база!$J$4,
IF(D534=4,база!$J$5,
IF(D534=5,база!$J$6)))</f>
        <v>215.4924</v>
      </c>
      <c r="J534" s="475">
        <v>1</v>
      </c>
      <c r="K534" s="453">
        <f>SUMIFS(Таблица14[часы],Таблица14[коэф],"1",Таблица14[р/р],"2/8",Таблица14[Ф. И. О.],B539)</f>
        <v>0</v>
      </c>
      <c r="L534" s="453">
        <f>SUMIFS(Таблица14[Столбец2],Таблица14[коэф],"1",Таблица14[р/р],"2/8",Таблица14[Ф. И. О.],B539)</f>
        <v>0</v>
      </c>
      <c r="M534" s="453"/>
      <c r="N534" s="453">
        <v>1</v>
      </c>
      <c r="O534" s="453">
        <f>SUMIFS(Data_Tech!$AM$3:$AM$67,Data_Tech!$E$3:$E$67,"1",Data_Tech!$G$3:$G$67,"3/12",Data_Tech!$F$3:$F$67,B539)</f>
        <v>0</v>
      </c>
      <c r="P534" s="398">
        <f>ROUND(M534*N534*O534,2)</f>
        <v>0</v>
      </c>
      <c r="Q534" s="481">
        <f>IF(D534&lt;=3,база!$L$4,
IF(D534=4,база!$L$5,
IF(D534=5,база!$L$6)))</f>
        <v>231.45480000000001</v>
      </c>
      <c r="R534" s="417">
        <v>1</v>
      </c>
      <c r="S534" s="418">
        <f>SUMIFS(Таблица14[часы],Таблица14[коэф],"1",Таблица14[р/р],"3/16",Таблица14[Ф. И. О.],B539)</f>
        <v>0</v>
      </c>
      <c r="T534" s="402">
        <f>SUMIFS(Таблица14[Столбец2],Таблица14[коэф],"1",Таблица14[р/р],"3/16",Таблица14[Ф. И. О.],B539)</f>
        <v>0</v>
      </c>
      <c r="U534" s="483">
        <f>IF(D534&lt;=3,база!$M$4,
IF(D534=4,база!$M$5,
IF(D534=5,база!$M$6)))</f>
        <v>247.41720000000001</v>
      </c>
      <c r="V534" s="417">
        <v>1</v>
      </c>
      <c r="W534" s="455">
        <f>SUMIFS(Таблица14[часы],Таблица14[коэф],"1",Таблица14[р/р],"3/24",Таблица14[Ф. И. О.],B539)</f>
        <v>0</v>
      </c>
      <c r="X534" s="552">
        <f>SUMIFS(Таблица14[Столбец2],Таблица14[коэф],"1",Таблица14[р/р],"3/24",Таблица14[Ф. И. О.],B539)</f>
        <v>0</v>
      </c>
      <c r="Y534" s="770">
        <f t="shared" ref="Y534" si="236">SUM(G534:G544,K534:K544,O534:O544,S534:S544,W534:W544)</f>
        <v>0</v>
      </c>
      <c r="Z534" s="766">
        <f t="shared" ref="Z534" si="237">IFERROR(SUM(H534:H544,L534:L544,T534:T544,X534:X544),"")</f>
        <v>0</v>
      </c>
      <c r="AA534" s="756"/>
    </row>
    <row r="535" spans="1:29">
      <c r="A535" s="756"/>
      <c r="B535" s="215"/>
      <c r="C535" s="759"/>
      <c r="D535" s="762"/>
      <c r="E535" s="389">
        <f>IF(D534&lt;=3,база!$I$4,
IF(D534=4,база!$I$5,
IF(D534=5,база!$I$6)))</f>
        <v>207.5112</v>
      </c>
      <c r="F535" s="390">
        <v>1</v>
      </c>
      <c r="G535" s="400">
        <f>SUMIFS(Таблица14[часы],Таблица14[коэф],"1",Таблица14[р/р],"3/4",Таблица14[Ф. И. О.],B539)</f>
        <v>0</v>
      </c>
      <c r="H535" s="392">
        <f>SUMIFS(Таблица14[Столбец2],Таблица14[коэф],"1",Таблица14[р/р],"3/4",Таблица14[Ф. И. О.],B539)</f>
        <v>0</v>
      </c>
      <c r="I535" s="432">
        <f>IF(D534&lt;=3,база!$J$4,
IF(D534=4,база!$J$5,
IF(D534=5,база!$J$6)))</f>
        <v>215.4924</v>
      </c>
      <c r="J535" s="433">
        <v>1</v>
      </c>
      <c r="K535" s="434">
        <f>SUMIFS(Таблица14[часы],Таблица14[коэф],"1",Таблица14[р/р],"3/8",Таблица14[Ф. И. О.],B539)</f>
        <v>0</v>
      </c>
      <c r="L535" s="434">
        <f>SUMIFS(Таблица14[Столбец2],Таблица14[коэф],"1",Таблица14[р/р],"3/8",Таблица14[Ф. И. О.],B539)</f>
        <v>0</v>
      </c>
      <c r="M535" s="434"/>
      <c r="N535" s="434">
        <v>1</v>
      </c>
      <c r="O535" s="434">
        <f>SUMIFS(Data_Tech!$AM$3:$AM$67,Data_Tech!$E$3:$E$67,"1",Data_Tech!$G$3:$G$67,"4/12",Data_Tech!$F$3:$F$67,B539)</f>
        <v>0</v>
      </c>
      <c r="P535" s="406">
        <f>ROUND(M535*O535,2)</f>
        <v>0</v>
      </c>
      <c r="Q535" s="389">
        <f>база!$L$5</f>
        <v>231.45480000000001</v>
      </c>
      <c r="R535" s="390">
        <v>1</v>
      </c>
      <c r="S535" s="400">
        <f>SUMIFS(Таблица14[часы],Таблица14[коэф],"1",Таблица14[р/р],"4/16",Таблица14[Ф. И. О.],B539)</f>
        <v>0</v>
      </c>
      <c r="T535" s="392">
        <f>SUMIFS(Таблица14[Столбец2],Таблица14[коэф],"1",Таблица14[р/р],"4/16",Таблица14[Ф. И. О.],B539)</f>
        <v>0</v>
      </c>
      <c r="U535" s="478">
        <f>база!$M$5</f>
        <v>247.41720000000001</v>
      </c>
      <c r="V535" s="390">
        <v>1</v>
      </c>
      <c r="W535" s="412">
        <f>SUMIFS(Таблица14[часы],Таблица14[коэф],"1",Таблица14[р/р],"4/24",Таблица14[Ф. И. О.],B539)</f>
        <v>0</v>
      </c>
      <c r="X535" s="545">
        <f>SUMIFS(Таблица14[Столбец2],Таблица14[коэф],"1",Таблица14[р/р],"4/24",Таблица14[Ф. И. О.],B539)</f>
        <v>0</v>
      </c>
      <c r="Y535" s="770"/>
      <c r="Z535" s="766"/>
      <c r="AA535" s="756"/>
    </row>
    <row r="536" spans="1:29">
      <c r="A536" s="756"/>
      <c r="B536" s="215"/>
      <c r="C536" s="759"/>
      <c r="D536" s="762"/>
      <c r="E536" s="389"/>
      <c r="F536" s="390"/>
      <c r="G536" s="400"/>
      <c r="H536" s="392"/>
      <c r="I536" s="432"/>
      <c r="J536" s="433"/>
      <c r="K536" s="434"/>
      <c r="L536" s="434"/>
      <c r="M536" s="434"/>
      <c r="N536" s="434"/>
      <c r="O536" s="434"/>
      <c r="P536" s="406"/>
      <c r="Q536" s="389">
        <f>база!$L$6</f>
        <v>261.04640000000001</v>
      </c>
      <c r="R536" s="390">
        <v>1</v>
      </c>
      <c r="S536" s="400">
        <f>SUMIFS(Таблица14[часы],Таблица14[коэф],"1",Таблица14[р/р],"5/16",Таблица14[Ф. И. О.],B539)</f>
        <v>0</v>
      </c>
      <c r="T536" s="392">
        <f>SUMIFS(Таблица14[Столбец2],Таблица14[коэф],"1",Таблица14[р/р],"5/16",Таблица14[Ф. И. О.],B539)</f>
        <v>0</v>
      </c>
      <c r="U536" s="478">
        <f>база!$M$6</f>
        <v>279.0496</v>
      </c>
      <c r="V536" s="390">
        <v>1</v>
      </c>
      <c r="W536" s="412">
        <f>SUMIFS(Таблица14[часы],Таблица14[коэф],"1",Таблица14[р/р],"5/24",Таблица14[Ф. И. О.],B539)</f>
        <v>0</v>
      </c>
      <c r="X536" s="545">
        <f>SUMIFS(Таблица14[Столбец2],Таблица14[коэф],"1",Таблица14[р/р],"5/24",Таблица14[Ф. И. О.],B539)</f>
        <v>0</v>
      </c>
      <c r="Y536" s="770"/>
      <c r="Z536" s="766"/>
      <c r="AA536" s="756"/>
    </row>
    <row r="537" spans="1:29">
      <c r="A537" s="756"/>
      <c r="B537" s="215"/>
      <c r="C537" s="759"/>
      <c r="D537" s="762"/>
      <c r="E537" s="389"/>
      <c r="F537" s="390"/>
      <c r="G537" s="400"/>
      <c r="H537" s="392"/>
      <c r="I537" s="432">
        <f>база!$J$5</f>
        <v>215.4924</v>
      </c>
      <c r="J537" s="433">
        <v>1.5</v>
      </c>
      <c r="K537" s="434">
        <f>SUMIFS(Таблица14[часы],Таблица14[коэф],"1,5",Таблица14[р/р],"4/8",Таблица14[Ф. И. О.],B539)</f>
        <v>0</v>
      </c>
      <c r="L537" s="434">
        <f>SUMIFS(Таблица14[Столбец2],Таблица14[коэф],"1,5",Таблица14[р/р],"4/8",Таблица14[Ф. И. О.],B539)</f>
        <v>0</v>
      </c>
      <c r="M537" s="434"/>
      <c r="N537" s="434"/>
      <c r="O537" s="434"/>
      <c r="P537" s="406"/>
      <c r="Q537" s="389">
        <f>IF(D534&lt;=3,база!$L$4,
IF(D534=4,база!$L$5,
IF(D534=5,база!$L$6)))</f>
        <v>231.45480000000001</v>
      </c>
      <c r="R537" s="390">
        <v>1.2</v>
      </c>
      <c r="S537" s="400">
        <f>SUMIFS(Таблица14[часы],Таблица14[коэф],"1,2",Таблица14[р/р],"3/16",Таблица14[Ф. И. О.],B539)</f>
        <v>0</v>
      </c>
      <c r="T537" s="392">
        <f>SUMIFS(Таблица14[Столбец2],Таблица14[коэф],"1,2",Таблица14[р/р],"3/16",Таблица14[Ф. И. О.],B539)</f>
        <v>0</v>
      </c>
      <c r="U537" s="478">
        <f>IF(D534&lt;=3,база!$M$4,
IF(D534=4,база!$M$5,
IF(D534=5,база!$M$6)))</f>
        <v>247.41720000000001</v>
      </c>
      <c r="V537" s="390">
        <v>1.2</v>
      </c>
      <c r="W537" s="412">
        <f>SUMIFS(Таблица14[часы],Таблица14[коэф],"1,2",Таблица14[р/р],"3/24",Таблица14[Ф. И. О.],B539)</f>
        <v>0</v>
      </c>
      <c r="X537" s="545">
        <f>SUMIFS(Таблица14[Столбец2],Таблица14[коэф],"1,2",Таблица14[р/р],"3/24",Таблица14[Ф. И. О.],B539)</f>
        <v>0</v>
      </c>
      <c r="Y537" s="770"/>
      <c r="Z537" s="766"/>
      <c r="AA537" s="756"/>
    </row>
    <row r="538" spans="1:29">
      <c r="A538" s="756"/>
      <c r="B538" s="215"/>
      <c r="C538" s="759"/>
      <c r="D538" s="762"/>
      <c r="E538" s="389"/>
      <c r="F538" s="390"/>
      <c r="G538" s="400"/>
      <c r="H538" s="392"/>
      <c r="I538" s="432">
        <f>база!$J$6</f>
        <v>243.04319999999998</v>
      </c>
      <c r="J538" s="433">
        <v>1.5</v>
      </c>
      <c r="K538" s="434">
        <f>SUMIFS(Таблица14[часы],Таблица14[коэф],"1,5",Таблица14[р/р],"5/8",Таблица14[Ф. И. О.],B539)</f>
        <v>0</v>
      </c>
      <c r="L538" s="434">
        <f>SUMIFS(Таблица14[Столбец2],Таблица14[коэф],"1,5",Таблица14[р/р],"5/8",Таблица14[Ф. И. О.],B539)</f>
        <v>0</v>
      </c>
      <c r="M538" s="434"/>
      <c r="N538" s="434"/>
      <c r="O538" s="434"/>
      <c r="P538" s="406"/>
      <c r="Q538" s="389">
        <f>база!$L$5</f>
        <v>231.45480000000001</v>
      </c>
      <c r="R538" s="390">
        <v>1.2</v>
      </c>
      <c r="S538" s="400">
        <f>SUMIFS(Таблица14[часы],Таблица14[коэф],"1,2",Таблица14[р/р],"4/16",Таблица14[Ф. И. О.],B539)</f>
        <v>0</v>
      </c>
      <c r="T538" s="392">
        <f>SUMIFS(Таблица14[Столбец2],Таблица14[коэф],"1,2",Таблица14[р/р],"4/16",Таблица14[Ф. И. О.],B539)</f>
        <v>0</v>
      </c>
      <c r="U538" s="478">
        <f>база!$M$5</f>
        <v>247.41720000000001</v>
      </c>
      <c r="V538" s="390">
        <v>1.2</v>
      </c>
      <c r="W538" s="412">
        <f>SUMIFS(Таблица14[часы],Таблица14[коэф],"1,2",Таблица14[р/р],"4/24",Таблица14[Ф. И. О.],B539)</f>
        <v>0</v>
      </c>
      <c r="X538" s="545">
        <f>SUMIFS(Таблица14[Столбец2],Таблица14[коэф],"1,2",Таблица14[р/р],"4/24",Таблица14[Ф. И. О.],B539)</f>
        <v>0</v>
      </c>
      <c r="Y538" s="770"/>
      <c r="Z538" s="766"/>
      <c r="AA538" s="756"/>
    </row>
    <row r="539" spans="1:29">
      <c r="A539" s="756"/>
      <c r="B539" s="215" t="str">
        <f>база!B50</f>
        <v>Минко Елена Анатольевна</v>
      </c>
      <c r="C539" s="759"/>
      <c r="D539" s="762"/>
      <c r="E539" s="389"/>
      <c r="F539" s="390"/>
      <c r="G539" s="400"/>
      <c r="H539" s="392"/>
      <c r="I539" s="432"/>
      <c r="J539" s="433"/>
      <c r="K539" s="434"/>
      <c r="L539" s="434"/>
      <c r="M539" s="434"/>
      <c r="N539" s="434"/>
      <c r="O539" s="434"/>
      <c r="P539" s="406"/>
      <c r="Q539" s="389">
        <f>база!$L$6</f>
        <v>261.04640000000001</v>
      </c>
      <c r="R539" s="390">
        <v>1.2</v>
      </c>
      <c r="S539" s="400">
        <f>SUMIFS(Таблица14[часы],Таблица14[коэф],"1,2",Таблица14[р/р],"5/16",Таблица14[Ф. И. О.],B539)</f>
        <v>0</v>
      </c>
      <c r="T539" s="392">
        <f>SUMIFS(Таблица14[Столбец2],Таблица14[коэф],"1,2",Таблица14[р/р],"5/16",Таблица14[Ф. И. О.],B539)</f>
        <v>0</v>
      </c>
      <c r="U539" s="478">
        <f>база!$M$6</f>
        <v>279.0496</v>
      </c>
      <c r="V539" s="390">
        <v>1.2</v>
      </c>
      <c r="W539" s="412">
        <f>SUMIFS(Таблица14[часы],Таблица14[коэф],"1,2",Таблица14[р/р],"5/24",Таблица14[Ф. И. О.],B539)</f>
        <v>0</v>
      </c>
      <c r="X539" s="545">
        <f>SUMIFS(Таблица14[Столбец2],Таблица14[коэф],"1,2",Таблица14[р/р],"5/24",Таблица14[Ф. И. О.],B539)</f>
        <v>0</v>
      </c>
      <c r="Y539" s="770"/>
      <c r="Z539" s="766"/>
      <c r="AA539" s="756"/>
      <c r="AC539" s="752" t="str">
        <f>IF(SUMIFS(Таблица14[Столбец2],Таблица14[Ф. И. О.],B539)-Z534=0,"",SUMIFS(Таблица14[Столбец2],Таблица14[Ф. И. О.],B539)-Z534)</f>
        <v/>
      </c>
    </row>
    <row r="540" spans="1:29">
      <c r="A540" s="756"/>
      <c r="B540" s="215"/>
      <c r="C540" s="759"/>
      <c r="D540" s="762"/>
      <c r="E540" s="389"/>
      <c r="F540" s="390"/>
      <c r="G540" s="400"/>
      <c r="H540" s="392"/>
      <c r="I540" s="432"/>
      <c r="J540" s="433"/>
      <c r="K540" s="434"/>
      <c r="L540" s="434"/>
      <c r="M540" s="434"/>
      <c r="N540" s="434"/>
      <c r="O540" s="434"/>
      <c r="P540" s="406"/>
      <c r="Q540" s="389">
        <f>IF($D$6&lt;=3,база!$L$4,
IF($D$6=4,база!$L$5,
IF($D$6=5,база!$L$6)))</f>
        <v>231.45480000000001</v>
      </c>
      <c r="R540" s="390">
        <v>1.3</v>
      </c>
      <c r="S540" s="400">
        <f>SUMIFS(Таблица14[часы],Таблица14[коэф],"1,3",Таблица14[р/р],"3/16",Таблица14[Ф. И. О.],B539)</f>
        <v>0</v>
      </c>
      <c r="T540" s="392">
        <f>SUMIFS(Таблица14[Столбец2],Таблица14[коэф],"1,3",Таблица14[р/р],"3/16",Таблица14[Ф. И. О.],B539)</f>
        <v>0</v>
      </c>
      <c r="U540" s="478">
        <f>IF(D534&lt;=3,база!$M$4,
IF(D534=4,база!$M$5,
IF(D534=5,база!$M$6)))</f>
        <v>247.41720000000001</v>
      </c>
      <c r="V540" s="390">
        <v>1.3</v>
      </c>
      <c r="W540" s="412">
        <f>SUMIFS(Таблица14[часы],Таблица14[коэф],"1,3",Таблица14[р/р],"3/24",Таблица14[Ф. И. О.],B539)</f>
        <v>0</v>
      </c>
      <c r="X540" s="545">
        <f>SUMIFS(Таблица14[Столбец2],Таблица14[коэф],"1,3",Таблица14[р/р],"3/24",Таблица14[Ф. И. О.],B539)</f>
        <v>0</v>
      </c>
      <c r="Y540" s="770"/>
      <c r="Z540" s="766"/>
      <c r="AA540" s="756"/>
      <c r="AC540" s="752" t="str">
        <f>IF(SUMIFS(Таблица14[часы],Таблица14[Ф. И. О.],B539)-Y534=0,"",SUMIFS(Таблица14[часы],Таблица14[Ф. И. О.],B539)-Y534)</f>
        <v/>
      </c>
    </row>
    <row r="541" spans="1:29">
      <c r="A541" s="756"/>
      <c r="B541" s="215"/>
      <c r="C541" s="759"/>
      <c r="D541" s="762"/>
      <c r="E541" s="389"/>
      <c r="F541" s="390"/>
      <c r="G541" s="400"/>
      <c r="H541" s="392"/>
      <c r="I541" s="432"/>
      <c r="J541" s="433"/>
      <c r="K541" s="434"/>
      <c r="L541" s="434"/>
      <c r="M541" s="434"/>
      <c r="N541" s="434"/>
      <c r="O541" s="434"/>
      <c r="P541" s="406"/>
      <c r="Q541" s="389">
        <f>база!$L$5</f>
        <v>231.45480000000001</v>
      </c>
      <c r="R541" s="390">
        <v>1.3</v>
      </c>
      <c r="S541" s="400">
        <f>SUMIFS(Таблица14[часы],Таблица14[коэф],"1,3",Таблица14[р/р],"4/16",Таблица14[Ф. И. О.],B539)</f>
        <v>0</v>
      </c>
      <c r="T541" s="392">
        <f>SUMIFS(Таблица14[Столбец2],Таблица14[коэф],"1,3",Таблица14[р/р],"4/16",Таблица14[Ф. И. О.],B539)</f>
        <v>0</v>
      </c>
      <c r="U541" s="478">
        <f>база!$M$5</f>
        <v>247.41720000000001</v>
      </c>
      <c r="V541" s="390">
        <v>1.3</v>
      </c>
      <c r="W541" s="412">
        <f>SUMIFS(Таблица14[часы],Таблица14[коэф],"1,3",Таблица14[р/р],"4/24",Таблица14[Ф. И. О.],B539)</f>
        <v>0</v>
      </c>
      <c r="X541" s="545">
        <f>SUMIFS(Таблица14[Столбец2],Таблица14[коэф],"1,3",Таблица14[р/р],"4/24",Таблица14[Ф. И. О.],B539)</f>
        <v>0</v>
      </c>
      <c r="Y541" s="770"/>
      <c r="Z541" s="766"/>
      <c r="AA541" s="756"/>
    </row>
    <row r="542" spans="1:29">
      <c r="A542" s="756"/>
      <c r="B542" s="215"/>
      <c r="C542" s="759"/>
      <c r="D542" s="762"/>
      <c r="E542" s="389"/>
      <c r="F542" s="390"/>
      <c r="G542" s="400"/>
      <c r="H542" s="392"/>
      <c r="I542" s="432"/>
      <c r="J542" s="433"/>
      <c r="K542" s="434"/>
      <c r="L542" s="434"/>
      <c r="M542" s="434"/>
      <c r="N542" s="434"/>
      <c r="O542" s="434"/>
      <c r="P542" s="406"/>
      <c r="Q542" s="389">
        <f>IF(D534&lt;=3,база!$L$4,
IF(D534=4,база!$L$5,
IF(D534=5,база!$L$6)))</f>
        <v>231.45480000000001</v>
      </c>
      <c r="R542" s="390">
        <v>1.4</v>
      </c>
      <c r="S542" s="400">
        <f>SUMIFS(Таблица14[часы],Таблица14[коэф],"1,4",Таблица14[р/р],"3/16",Таблица14[Ф. И. О.],B539)</f>
        <v>0</v>
      </c>
      <c r="T542" s="392">
        <f>SUMIFS(Таблица14[Столбец2],Таблица14[коэф],"1,4",Таблица14[р/р],"3/16",Таблица14[Ф. И. О.],B539)</f>
        <v>0</v>
      </c>
      <c r="U542" s="478">
        <f>IF(D534&lt;=3,база!$M$4,
IF(D534=4,база!$M$5,
IF(D534=5,база!$M$6)))</f>
        <v>247.41720000000001</v>
      </c>
      <c r="V542" s="390">
        <v>1.4</v>
      </c>
      <c r="W542" s="412">
        <f>SUMIFS(Таблица14[часы],Таблица14[коэф],"1,4",Таблица14[р/р],"3/24",Таблица14[Ф. И. О.],B539)</f>
        <v>0</v>
      </c>
      <c r="X542" s="545">
        <f>SUMIFS(Таблица14[Столбец2],Таблица14[коэф],"1,4",Таблица14[р/р],"3/24",Таблица14[Ф. И. О.],B539)</f>
        <v>0</v>
      </c>
      <c r="Y542" s="770"/>
      <c r="Z542" s="766"/>
      <c r="AA542" s="756"/>
    </row>
    <row r="543" spans="1:29">
      <c r="A543" s="756"/>
      <c r="B543" s="215"/>
      <c r="C543" s="759"/>
      <c r="D543" s="762"/>
      <c r="E543" s="389"/>
      <c r="F543" s="390"/>
      <c r="G543" s="400"/>
      <c r="H543" s="392"/>
      <c r="I543" s="432"/>
      <c r="J543" s="433"/>
      <c r="K543" s="434"/>
      <c r="L543" s="434"/>
      <c r="M543" s="434"/>
      <c r="N543" s="434"/>
      <c r="O543" s="434"/>
      <c r="P543" s="406"/>
      <c r="Q543" s="389">
        <f>база!$L$5</f>
        <v>231.45480000000001</v>
      </c>
      <c r="R543" s="390">
        <v>1.4</v>
      </c>
      <c r="S543" s="400">
        <f>SUMIFS(Таблица14[часы],Таблица14[коэф],"1,4",Таблица14[р/р],"4/16",Таблица14[Ф. И. О.],B539)</f>
        <v>0</v>
      </c>
      <c r="T543" s="392">
        <f>SUMIFS(Таблица14[Столбец2],Таблица14[коэф],"1,4",Таблица14[р/р],"4/16",Таблица14[Ф. И. О.],B539)</f>
        <v>0</v>
      </c>
      <c r="U543" s="478">
        <f>база!$M$5</f>
        <v>247.41720000000001</v>
      </c>
      <c r="V543" s="390">
        <v>1.4</v>
      </c>
      <c r="W543" s="412">
        <f>SUMIFS(Таблица14[часы],Таблица14[коэф],"1,4",Таблица14[р/р],"4/24",Таблица14[Ф. И. О.],B539)</f>
        <v>0</v>
      </c>
      <c r="X543" s="545">
        <f>SUMIFS(Таблица14[Столбец2],Таблица14[коэф],"1,4",Таблица14[р/р],"4/24",Таблица14[Ф. И. О.],B539)</f>
        <v>0</v>
      </c>
      <c r="Y543" s="770"/>
      <c r="Z543" s="766"/>
      <c r="AA543" s="756"/>
    </row>
    <row r="544" spans="1:29" ht="21" thickBot="1">
      <c r="A544" s="757"/>
      <c r="B544" s="352"/>
      <c r="C544" s="760"/>
      <c r="D544" s="763"/>
      <c r="E544" s="445"/>
      <c r="F544" s="446"/>
      <c r="G544" s="647"/>
      <c r="H544" s="535"/>
      <c r="I544" s="648"/>
      <c r="J544" s="615"/>
      <c r="K544" s="649"/>
      <c r="L544" s="457"/>
      <c r="M544" s="648"/>
      <c r="N544" s="649"/>
      <c r="O544" s="649"/>
      <c r="P544" s="538"/>
      <c r="Q544" s="650">
        <f>база!$L$6</f>
        <v>261.04640000000001</v>
      </c>
      <c r="R544" s="446">
        <v>1.4</v>
      </c>
      <c r="S544" s="447">
        <f>SUMIFS(Таблица14[часы],Таблица14[коэф],"1,4",Таблица14[р/р],"5/16",Таблица14[Ф. И. О.],B539)</f>
        <v>0</v>
      </c>
      <c r="T544" s="535">
        <f>SUMIFS(Таблица14[Столбец2],Таблица14[коэф],"1,4",Таблица14[р/р],"5/16",Таблица14[Ф. И. О.],B539)</f>
        <v>0</v>
      </c>
      <c r="U544" s="536">
        <f>база!$M$6</f>
        <v>279.0496</v>
      </c>
      <c r="V544" s="464">
        <v>1.4</v>
      </c>
      <c r="W544" s="447">
        <f>SUMIFS(Таблица14[часы],Таблица14[коэф],"1,4",Таблица14[р/р],"5/24",Таблица14[Ф. И. О.],B539)</f>
        <v>0</v>
      </c>
      <c r="X544" s="535">
        <f>SUMIFS(Таблица14[Столбец2],Таблица14[коэф],"1,4",Таблица14[р/р],"5/24",Таблица14[Ф. И. О.],B539)</f>
        <v>0</v>
      </c>
      <c r="Y544" s="771"/>
      <c r="Z544" s="767"/>
      <c r="AA544" s="757"/>
    </row>
    <row r="545" spans="1:29">
      <c r="A545" s="756">
        <v>50</v>
      </c>
      <c r="B545" s="215"/>
      <c r="C545" s="758">
        <f>INDEX(база!$E$2:$E$98, MATCH(B550,база!$B$2:$B$100,0))</f>
        <v>17312</v>
      </c>
      <c r="D545" s="761">
        <f>INDEX(база!$D$2:$D$121, MATCH(B550,база!$B$2:$B$100,0))</f>
        <v>3</v>
      </c>
      <c r="E545" s="481">
        <f>IF(D545&lt;=3,база!$I$4,
IF(D545=4,база!$I$5,
IF(D545=5,база!$I$6)))</f>
        <v>188.7912</v>
      </c>
      <c r="F545" s="417">
        <v>1</v>
      </c>
      <c r="G545" s="418">
        <f>SUMIFS(Таблица14[часы],Таблица14[коэф],"1",Таблица14[р/р],"2/4",Таблица14[Ф. И. О.],B550)</f>
        <v>0</v>
      </c>
      <c r="H545" s="402">
        <f>SUMIFS(Таблица14[Столбец2],Таблица14[коэф],"1",Таблица14[р/р],"2/4",Таблица14[Ф. И. О.],B550)</f>
        <v>0</v>
      </c>
      <c r="I545" s="452">
        <f>IF(D545&lt;=3,база!$J$4,
IF(D545=4,база!$J$5,
IF(D545=5,база!$J$6)))</f>
        <v>196.05240000000001</v>
      </c>
      <c r="J545" s="475">
        <v>1</v>
      </c>
      <c r="K545" s="453">
        <f>SUMIFS(Таблица14[часы],Таблица14[коэф],"1",Таблица14[р/р],"2/8",Таблица14[Ф. И. О.],B550)</f>
        <v>0</v>
      </c>
      <c r="L545" s="453">
        <f>SUMIFS(Таблица14[Столбец2],Таблица14[коэф],"1",Таблица14[р/р],"2/8",Таблица14[Ф. И. О.],B550)</f>
        <v>0</v>
      </c>
      <c r="M545" s="453"/>
      <c r="N545" s="453">
        <v>1</v>
      </c>
      <c r="O545" s="453">
        <f>SUMIFS(Data_Tech!$AM$3:$AM$67,Data_Tech!$E$3:$E$67,"1",Data_Tech!$G$3:$G$67,"3/12",Data_Tech!$F$3:$F$67,B550)</f>
        <v>0</v>
      </c>
      <c r="P545" s="398">
        <f>ROUND(M545*N545*O545,2)</f>
        <v>0</v>
      </c>
      <c r="Q545" s="481">
        <f>IF(D545&lt;=3,база!$L$4,
IF(D545=4,база!$L$5,
IF(D545=5,база!$L$6)))</f>
        <v>210.57480000000001</v>
      </c>
      <c r="R545" s="417">
        <v>1</v>
      </c>
      <c r="S545" s="418">
        <f>SUMIFS(Таблица14[часы],Таблица14[коэф],"1",Таблица14[р/р],"3/16",Таблица14[Ф. И. О.],B550)</f>
        <v>0</v>
      </c>
      <c r="T545" s="402">
        <f>SUMIFS(Таблица14[Столбец2],Таблица14[коэф],"1",Таблица14[р/р],"3/16",Таблица14[Ф. И. О.],B550)</f>
        <v>0</v>
      </c>
      <c r="U545" s="483">
        <f>IF(D545&lt;=3,база!$M$4,
IF(D545=4,база!$M$5,
IF(D545=5,база!$M$6)))</f>
        <v>225.09719999999999</v>
      </c>
      <c r="V545" s="417">
        <v>1</v>
      </c>
      <c r="W545" s="455">
        <f>SUMIFS(Таблица14[часы],Таблица14[коэф],"1",Таблица14[р/р],"3/24",Таблица14[Ф. И. О.],B550)</f>
        <v>0</v>
      </c>
      <c r="X545" s="552">
        <f>SUMIFS(Таблица14[Столбец2],Таблица14[коэф],"1",Таблица14[р/р],"3/24",Таблица14[Ф. И. О.],B550)</f>
        <v>0</v>
      </c>
      <c r="Y545" s="764">
        <f t="shared" ref="Y545" si="238">SUM(G545:G555,K545:K555,O545:O555,S545:S555,W545:W555)</f>
        <v>0</v>
      </c>
      <c r="Z545" s="766">
        <f t="shared" ref="Z545" si="239">IFERROR(SUM(H545:H555,L545:L555,T545:T555,X545:X555),"")</f>
        <v>0</v>
      </c>
      <c r="AA545" s="756"/>
    </row>
    <row r="546" spans="1:29">
      <c r="A546" s="756"/>
      <c r="B546" s="215"/>
      <c r="C546" s="759"/>
      <c r="D546" s="762"/>
      <c r="E546" s="389">
        <f>IF(D545&lt;=3,база!$I$4,
IF(D545=4,база!$I$5,
IF(D545=5,база!$I$6)))</f>
        <v>188.7912</v>
      </c>
      <c r="F546" s="390">
        <v>1</v>
      </c>
      <c r="G546" s="400">
        <f>SUMIFS(Таблица14[часы],Таблица14[коэф],"1",Таблица14[р/р],"3/4",Таблица14[Ф. И. О.],B550)</f>
        <v>0</v>
      </c>
      <c r="H546" s="392">
        <f>SUMIFS(Таблица14[Столбец2],Таблица14[коэф],"1",Таблица14[р/р],"3/4",Таблица14[Ф. И. О.],B550)</f>
        <v>0</v>
      </c>
      <c r="I546" s="432">
        <f>IF(D545&lt;=3,база!$J$4,
IF(D545=4,база!$J$5,
IF(D545=5,база!$J$6)))</f>
        <v>196.05240000000001</v>
      </c>
      <c r="J546" s="433">
        <v>1</v>
      </c>
      <c r="K546" s="434">
        <f>SUMIFS(Таблица14[часы],Таблица14[коэф],"1",Таблица14[р/р],"3/8",Таблица14[Ф. И. О.],B550)</f>
        <v>0</v>
      </c>
      <c r="L546" s="434">
        <f>SUMIFS(Таблица14[Столбец2],Таблица14[коэф],"1",Таблица14[р/р],"3/8",Таблица14[Ф. И. О.],B550)</f>
        <v>0</v>
      </c>
      <c r="M546" s="434"/>
      <c r="N546" s="434">
        <v>1</v>
      </c>
      <c r="O546" s="434">
        <f>SUMIFS(Data_Tech!$AM$3:$AM$67,Data_Tech!$E$3:$E$67,"1",Data_Tech!$G$3:$G$67,"4/12",Data_Tech!$F$3:$F$67,B550)</f>
        <v>0</v>
      </c>
      <c r="P546" s="406">
        <f>ROUND(M546*O546,2)</f>
        <v>0</v>
      </c>
      <c r="Q546" s="389">
        <f>база!$L$5</f>
        <v>231.45480000000001</v>
      </c>
      <c r="R546" s="390">
        <v>1</v>
      </c>
      <c r="S546" s="400">
        <f>SUMIFS(Таблица14[часы],Таблица14[коэф],"1",Таблица14[р/р],"4/16",Таблица14[Ф. И. О.],B550)</f>
        <v>0</v>
      </c>
      <c r="T546" s="392">
        <f>SUMIFS(Таблица14[Столбец2],Таблица14[коэф],"1",Таблица14[р/р],"4/16",Таблица14[Ф. И. О.],B550)</f>
        <v>0</v>
      </c>
      <c r="U546" s="478">
        <f>база!$M$5</f>
        <v>247.41720000000001</v>
      </c>
      <c r="V546" s="390">
        <v>1</v>
      </c>
      <c r="W546" s="412">
        <f>SUMIFS(Таблица14[часы],Таблица14[коэф],"1",Таблица14[р/р],"4/24",Таблица14[Ф. И. О.],B550)</f>
        <v>0</v>
      </c>
      <c r="X546" s="545">
        <f>SUMIFS(Таблица14[Столбец2],Таблица14[коэф],"1",Таблица14[р/р],"4/24",Таблица14[Ф. И. О.],B550)</f>
        <v>0</v>
      </c>
      <c r="Y546" s="764"/>
      <c r="Z546" s="766"/>
      <c r="AA546" s="756"/>
    </row>
    <row r="547" spans="1:29">
      <c r="A547" s="756"/>
      <c r="B547" s="215"/>
      <c r="C547" s="759"/>
      <c r="D547" s="762"/>
      <c r="E547" s="389"/>
      <c r="F547" s="390"/>
      <c r="G547" s="400"/>
      <c r="H547" s="392"/>
      <c r="I547" s="432"/>
      <c r="J547" s="433"/>
      <c r="K547" s="434"/>
      <c r="L547" s="434"/>
      <c r="M547" s="434"/>
      <c r="N547" s="434"/>
      <c r="O547" s="434"/>
      <c r="P547" s="406"/>
      <c r="Q547" s="389">
        <f>база!$L$6</f>
        <v>261.04640000000001</v>
      </c>
      <c r="R547" s="390">
        <v>1</v>
      </c>
      <c r="S547" s="400">
        <f>SUMIFS(Таблица14[часы],Таблица14[коэф],"1",Таблица14[р/р],"5/16",Таблица14[Ф. И. О.],B550)</f>
        <v>0</v>
      </c>
      <c r="T547" s="392">
        <f>SUMIFS(Таблица14[Столбец2],Таблица14[коэф],"1",Таблица14[р/р],"5/16",Таблица14[Ф. И. О.],B550)</f>
        <v>0</v>
      </c>
      <c r="U547" s="478">
        <f>база!$M$6</f>
        <v>279.0496</v>
      </c>
      <c r="V547" s="390">
        <v>1</v>
      </c>
      <c r="W547" s="412">
        <f>SUMIFS(Таблица14[часы],Таблица14[коэф],"1",Таблица14[р/р],"5/24",Таблица14[Ф. И. О.],B550)</f>
        <v>0</v>
      </c>
      <c r="X547" s="545">
        <f>SUMIFS(Таблица14[Столбец2],Таблица14[коэф],"1",Таблица14[р/р],"5/24",Таблица14[Ф. И. О.],B550)</f>
        <v>0</v>
      </c>
      <c r="Y547" s="764"/>
      <c r="Z547" s="766"/>
      <c r="AA547" s="756"/>
    </row>
    <row r="548" spans="1:29">
      <c r="A548" s="756"/>
      <c r="B548" s="215"/>
      <c r="C548" s="759"/>
      <c r="D548" s="762"/>
      <c r="E548" s="389"/>
      <c r="F548" s="390"/>
      <c r="G548" s="400"/>
      <c r="H548" s="392"/>
      <c r="I548" s="432">
        <f>база!$J$5</f>
        <v>215.4924</v>
      </c>
      <c r="J548" s="433">
        <v>1.5</v>
      </c>
      <c r="K548" s="434">
        <f>SUMIFS(Таблица14[часы],Таблица14[коэф],"1,5",Таблица14[р/р],"4/8",Таблица14[Ф. И. О.],B550)</f>
        <v>0</v>
      </c>
      <c r="L548" s="434">
        <f>SUMIFS(Таблица14[Столбец2],Таблица14[коэф],"1,5",Таблица14[р/р],"4/8",Таблица14[Ф. И. О.],B550)</f>
        <v>0</v>
      </c>
      <c r="M548" s="434"/>
      <c r="N548" s="434"/>
      <c r="O548" s="434"/>
      <c r="P548" s="406"/>
      <c r="Q548" s="389">
        <f>IF(D545&lt;=3,база!$L$4,
IF(D545=4,база!$L$5,
IF(D545=5,база!$L$6)))</f>
        <v>210.57480000000001</v>
      </c>
      <c r="R548" s="390">
        <v>1.2</v>
      </c>
      <c r="S548" s="400">
        <f>SUMIFS(Таблица14[часы],Таблица14[коэф],"1,2",Таблица14[р/р],"3/16",Таблица14[Ф. И. О.],B550)</f>
        <v>0</v>
      </c>
      <c r="T548" s="392">
        <f>SUMIFS(Таблица14[Столбец2],Таблица14[коэф],"1,2",Таблица14[р/р],"3/16",Таблица14[Ф. И. О.],B550)</f>
        <v>0</v>
      </c>
      <c r="U548" s="478">
        <f>IF(D545&lt;=3,база!$M$4,
IF(D545=4,база!$M$5,
IF(D545=5,база!$M$6)))</f>
        <v>225.09719999999999</v>
      </c>
      <c r="V548" s="390">
        <v>1.2</v>
      </c>
      <c r="W548" s="412">
        <f>SUMIFS(Таблица14[часы],Таблица14[коэф],"1,2",Таблица14[р/р],"3/24",Таблица14[Ф. И. О.],B550)</f>
        <v>0</v>
      </c>
      <c r="X548" s="545">
        <f>SUMIFS(Таблица14[Столбец2],Таблица14[коэф],"1,2",Таблица14[р/р],"3/24",Таблица14[Ф. И. О.],B550)</f>
        <v>0</v>
      </c>
      <c r="Y548" s="764"/>
      <c r="Z548" s="766"/>
      <c r="AA548" s="756"/>
    </row>
    <row r="549" spans="1:29">
      <c r="A549" s="756"/>
      <c r="B549" s="215"/>
      <c r="C549" s="759"/>
      <c r="D549" s="762"/>
      <c r="E549" s="389"/>
      <c r="F549" s="390"/>
      <c r="G549" s="400"/>
      <c r="H549" s="392"/>
      <c r="I549" s="432">
        <f>база!$J$6</f>
        <v>243.04319999999998</v>
      </c>
      <c r="J549" s="433">
        <v>1.5</v>
      </c>
      <c r="K549" s="434">
        <f>SUMIFS(Таблица14[часы],Таблица14[коэф],"1,5",Таблица14[р/р],"5/8",Таблица14[Ф. И. О.],B550)</f>
        <v>0</v>
      </c>
      <c r="L549" s="434">
        <f>SUMIFS(Таблица14[Столбец2],Таблица14[коэф],"1,5",Таблица14[р/р],"5/8",Таблица14[Ф. И. О.],B550)</f>
        <v>0</v>
      </c>
      <c r="M549" s="434"/>
      <c r="N549" s="434"/>
      <c r="O549" s="434"/>
      <c r="P549" s="406"/>
      <c r="Q549" s="389">
        <f>база!$L$5</f>
        <v>231.45480000000001</v>
      </c>
      <c r="R549" s="390">
        <v>1.2</v>
      </c>
      <c r="S549" s="400">
        <f>SUMIFS(Таблица14[часы],Таблица14[коэф],"1,2",Таблица14[р/р],"4/16",Таблица14[Ф. И. О.],B550)</f>
        <v>0</v>
      </c>
      <c r="T549" s="392">
        <f>SUMIFS(Таблица14[Столбец2],Таблица14[коэф],"1,2",Таблица14[р/р],"4/16",Таблица14[Ф. И. О.],B550)</f>
        <v>0</v>
      </c>
      <c r="U549" s="478">
        <f>база!$M$5</f>
        <v>247.41720000000001</v>
      </c>
      <c r="V549" s="390">
        <v>1.2</v>
      </c>
      <c r="W549" s="412">
        <f>SUMIFS(Таблица14[часы],Таблица14[коэф],"1,2",Таблица14[р/р],"4/24",Таблица14[Ф. И. О.],B550)</f>
        <v>0</v>
      </c>
      <c r="X549" s="545">
        <f>SUMIFS(Таблица14[Столбец2],Таблица14[коэф],"1,2",Таблица14[р/р],"4/24",Таблица14[Ф. И. О.],B550)</f>
        <v>0</v>
      </c>
      <c r="Y549" s="764"/>
      <c r="Z549" s="766"/>
      <c r="AA549" s="756"/>
      <c r="AC549" s="752" t="str">
        <f>IF(SUMIFS(Таблица14[Столбец2],Таблица14[Ф. И. О.],B550)-Z545=0,"",SUMIFS(Таблица14[Столбец2],Таблица14[Ф. И. О.],B550)-Z545)</f>
        <v/>
      </c>
    </row>
    <row r="550" spans="1:29">
      <c r="A550" s="756"/>
      <c r="B550" s="215" t="str">
        <f>база!B51</f>
        <v>Михалочкина Наталья Ивановна</v>
      </c>
      <c r="C550" s="759"/>
      <c r="D550" s="762"/>
      <c r="E550" s="389"/>
      <c r="F550" s="390"/>
      <c r="G550" s="400"/>
      <c r="H550" s="392"/>
      <c r="I550" s="432"/>
      <c r="J550" s="433"/>
      <c r="K550" s="434"/>
      <c r="L550" s="434"/>
      <c r="M550" s="434"/>
      <c r="N550" s="434"/>
      <c r="O550" s="434"/>
      <c r="P550" s="406"/>
      <c r="Q550" s="389">
        <f>база!$L$6</f>
        <v>261.04640000000001</v>
      </c>
      <c r="R550" s="390">
        <v>1.2</v>
      </c>
      <c r="S550" s="400">
        <f>SUMIFS(Таблица14[часы],Таблица14[коэф],"1,2",Таблица14[р/р],"5/16",Таблица14[Ф. И. О.],B550)</f>
        <v>0</v>
      </c>
      <c r="T550" s="392">
        <f>SUMIFS(Таблица14[Столбец2],Таблица14[коэф],"1,2",Таблица14[р/р],"5/16",Таблица14[Ф. И. О.],B550)</f>
        <v>0</v>
      </c>
      <c r="U550" s="478">
        <f>база!$M$6</f>
        <v>279.0496</v>
      </c>
      <c r="V550" s="390">
        <v>1.2</v>
      </c>
      <c r="W550" s="412">
        <f>SUMIFS(Таблица14[часы],Таблица14[коэф],"1,2",Таблица14[р/р],"5/24",Таблица14[Ф. И. О.],B550)</f>
        <v>0</v>
      </c>
      <c r="X550" s="545">
        <f>SUMIFS(Таблица14[Столбец2],Таблица14[коэф],"1,2",Таблица14[р/р],"5/24",Таблица14[Ф. И. О.],B550)</f>
        <v>0</v>
      </c>
      <c r="Y550" s="764"/>
      <c r="Z550" s="766"/>
      <c r="AA550" s="756"/>
      <c r="AC550" s="752" t="str">
        <f>IF(SUMIFS(Таблица14[часы],Таблица14[Ф. И. О.],B550)-Y545=0,"",SUMIFS(Таблица14[часы],Таблица14[Ф. И. О.],B550)-Y545)</f>
        <v/>
      </c>
    </row>
    <row r="551" spans="1:29">
      <c r="A551" s="756"/>
      <c r="B551" s="215"/>
      <c r="C551" s="759"/>
      <c r="D551" s="762"/>
      <c r="E551" s="389"/>
      <c r="F551" s="390"/>
      <c r="G551" s="400"/>
      <c r="H551" s="392"/>
      <c r="I551" s="432"/>
      <c r="J551" s="433"/>
      <c r="K551" s="434"/>
      <c r="L551" s="434"/>
      <c r="M551" s="434"/>
      <c r="N551" s="434"/>
      <c r="O551" s="434"/>
      <c r="P551" s="406"/>
      <c r="Q551" s="389">
        <f>IF($D$6&lt;=3,база!$L$4,
IF($D$6=4,база!$L$5,
IF($D$6=5,база!$L$6)))</f>
        <v>231.45480000000001</v>
      </c>
      <c r="R551" s="390">
        <v>1.3</v>
      </c>
      <c r="S551" s="400">
        <f>SUMIFS(Таблица14[часы],Таблица14[коэф],"1,3",Таблица14[р/р],"3/16",Таблица14[Ф. И. О.],B550)</f>
        <v>0</v>
      </c>
      <c r="T551" s="392">
        <f>SUMIFS(Таблица14[Столбец2],Таблица14[коэф],"1,3",Таблица14[р/р],"3/16",Таблица14[Ф. И. О.],B550)</f>
        <v>0</v>
      </c>
      <c r="U551" s="478">
        <f>IF(D545&lt;=3,база!$M$4,
IF(D545=4,база!$M$5,
IF(D545=5,база!$M$6)))</f>
        <v>225.09719999999999</v>
      </c>
      <c r="V551" s="390">
        <v>1.3</v>
      </c>
      <c r="W551" s="412">
        <f>SUMIFS(Таблица14[часы],Таблица14[коэф],"1,3",Таблица14[р/р],"3/24",Таблица14[Ф. И. О.],B550)</f>
        <v>0</v>
      </c>
      <c r="X551" s="545">
        <f>SUMIFS(Таблица14[Столбец2],Таблица14[коэф],"1,3",Таблица14[р/р],"3/24",Таблица14[Ф. И. О.],B550)</f>
        <v>0</v>
      </c>
      <c r="Y551" s="764"/>
      <c r="Z551" s="766"/>
      <c r="AA551" s="756"/>
    </row>
    <row r="552" spans="1:29">
      <c r="A552" s="756"/>
      <c r="B552" s="215"/>
      <c r="C552" s="759"/>
      <c r="D552" s="762"/>
      <c r="E552" s="389"/>
      <c r="F552" s="390"/>
      <c r="G552" s="400"/>
      <c r="H552" s="392"/>
      <c r="I552" s="432"/>
      <c r="J552" s="433"/>
      <c r="K552" s="434"/>
      <c r="L552" s="434"/>
      <c r="M552" s="434"/>
      <c r="N552" s="434"/>
      <c r="O552" s="434"/>
      <c r="P552" s="406"/>
      <c r="Q552" s="389">
        <f>база!$L$5</f>
        <v>231.45480000000001</v>
      </c>
      <c r="R552" s="390">
        <v>1.3</v>
      </c>
      <c r="S552" s="400">
        <f>SUMIFS(Таблица14[часы],Таблица14[коэф],"1,3",Таблица14[р/р],"4/16",Таблица14[Ф. И. О.],B550)</f>
        <v>0</v>
      </c>
      <c r="T552" s="392">
        <f>SUMIFS(Таблица14[Столбец2],Таблица14[коэф],"1,3",Таблица14[р/р],"4/16",Таблица14[Ф. И. О.],B550)</f>
        <v>0</v>
      </c>
      <c r="U552" s="478">
        <f>база!$M$5</f>
        <v>247.41720000000001</v>
      </c>
      <c r="V552" s="390">
        <v>1.3</v>
      </c>
      <c r="W552" s="412">
        <f>SUMIFS(Таблица14[часы],Таблица14[коэф],"1,3",Таблица14[р/р],"4/24",Таблица14[Ф. И. О.],B550)</f>
        <v>0</v>
      </c>
      <c r="X552" s="545">
        <f>SUMIFS(Таблица14[Столбец2],Таблица14[коэф],"1,3",Таблица14[р/р],"4/24",Таблица14[Ф. И. О.],B550)</f>
        <v>0</v>
      </c>
      <c r="Y552" s="764"/>
      <c r="Z552" s="766"/>
      <c r="AA552" s="756"/>
    </row>
    <row r="553" spans="1:29">
      <c r="A553" s="756"/>
      <c r="B553" s="215"/>
      <c r="C553" s="759"/>
      <c r="D553" s="762"/>
      <c r="E553" s="389"/>
      <c r="F553" s="390"/>
      <c r="G553" s="400"/>
      <c r="H553" s="392"/>
      <c r="I553" s="432"/>
      <c r="J553" s="433"/>
      <c r="K553" s="434"/>
      <c r="L553" s="434"/>
      <c r="M553" s="434"/>
      <c r="N553" s="434"/>
      <c r="O553" s="434"/>
      <c r="P553" s="406"/>
      <c r="Q553" s="389">
        <f>IF(D545&lt;=3,база!$L$4,
IF(D545=4,база!$L$5,
IF(D545=5,база!$L$6)))</f>
        <v>210.57480000000001</v>
      </c>
      <c r="R553" s="390">
        <v>1.4</v>
      </c>
      <c r="S553" s="400">
        <f>SUMIFS(Таблица14[часы],Таблица14[коэф],"1,4",Таблица14[р/р],"3/16",Таблица14[Ф. И. О.],B550)</f>
        <v>0</v>
      </c>
      <c r="T553" s="392">
        <f>SUMIFS(Таблица14[Столбец2],Таблица14[коэф],"1,4",Таблица14[р/р],"3/16",Таблица14[Ф. И. О.],B550)</f>
        <v>0</v>
      </c>
      <c r="U553" s="478">
        <f>IF(D545&lt;=3,база!$M$4,
IF(D545=4,база!$M$5,
IF(D545=5,база!$M$6)))</f>
        <v>225.09719999999999</v>
      </c>
      <c r="V553" s="390">
        <v>1.4</v>
      </c>
      <c r="W553" s="412">
        <f>SUMIFS(Таблица14[часы],Таблица14[коэф],"1,4",Таблица14[р/р],"3/24",Таблица14[Ф. И. О.],B550)</f>
        <v>0</v>
      </c>
      <c r="X553" s="545">
        <f>SUMIFS(Таблица14[Столбец2],Таблица14[коэф],"1,4",Таблица14[р/р],"3/24",Таблица14[Ф. И. О.],B550)</f>
        <v>0</v>
      </c>
      <c r="Y553" s="764"/>
      <c r="Z553" s="766"/>
      <c r="AA553" s="756"/>
    </row>
    <row r="554" spans="1:29">
      <c r="A554" s="756"/>
      <c r="B554" s="215"/>
      <c r="C554" s="759"/>
      <c r="D554" s="762"/>
      <c r="E554" s="389"/>
      <c r="F554" s="390"/>
      <c r="G554" s="400"/>
      <c r="H554" s="392"/>
      <c r="I554" s="432"/>
      <c r="J554" s="433"/>
      <c r="K554" s="434"/>
      <c r="L554" s="434"/>
      <c r="M554" s="434"/>
      <c r="N554" s="434"/>
      <c r="O554" s="434"/>
      <c r="P554" s="406"/>
      <c r="Q554" s="389">
        <f>база!$L$5</f>
        <v>231.45480000000001</v>
      </c>
      <c r="R554" s="390">
        <v>1.4</v>
      </c>
      <c r="S554" s="400">
        <f>SUMIFS(Таблица14[часы],Таблица14[коэф],"1,4",Таблица14[р/р],"4/16",Таблица14[Ф. И. О.],B550)</f>
        <v>0</v>
      </c>
      <c r="T554" s="392">
        <f>SUMIFS(Таблица14[Столбец2],Таблица14[коэф],"1,4",Таблица14[р/р],"4/16",Таблица14[Ф. И. О.],B550)</f>
        <v>0</v>
      </c>
      <c r="U554" s="478">
        <f>база!$M$5</f>
        <v>247.41720000000001</v>
      </c>
      <c r="V554" s="390">
        <v>1.4</v>
      </c>
      <c r="W554" s="412">
        <f>SUMIFS(Таблица14[часы],Таблица14[коэф],"1,4",Таблица14[р/р],"4/24",Таблица14[Ф. И. О.],B550)</f>
        <v>0</v>
      </c>
      <c r="X554" s="545">
        <f>SUMIFS(Таблица14[Столбец2],Таблица14[коэф],"1,4",Таблица14[р/р],"4/24",Таблица14[Ф. И. О.],B550)</f>
        <v>0</v>
      </c>
      <c r="Y554" s="764"/>
      <c r="Z554" s="766"/>
      <c r="AA554" s="756"/>
    </row>
    <row r="555" spans="1:29" ht="21" thickBot="1">
      <c r="A555" s="757"/>
      <c r="B555" s="352"/>
      <c r="C555" s="760"/>
      <c r="D555" s="763"/>
      <c r="E555" s="473"/>
      <c r="F555" s="464"/>
      <c r="G555" s="651"/>
      <c r="H555" s="468"/>
      <c r="I555" s="645"/>
      <c r="J555" s="456"/>
      <c r="K555" s="646"/>
      <c r="L555" s="457"/>
      <c r="M555" s="645"/>
      <c r="N555" s="646"/>
      <c r="O555" s="646"/>
      <c r="P555" s="476"/>
      <c r="Q555" s="652">
        <f>база!$L$6</f>
        <v>261.04640000000001</v>
      </c>
      <c r="R555" s="464">
        <v>1.4</v>
      </c>
      <c r="S555" s="465">
        <f>SUMIFS(Таблица14[часы],Таблица14[коэф],"1,4",Таблица14[р/р],"5/16",Таблица14[Ф. И. О.],B550)</f>
        <v>0</v>
      </c>
      <c r="T555" s="468">
        <f>SUMIFS(Таблица14[Столбец2],Таблица14[коэф],"1,4",Таблица14[р/р],"5/16",Таблица14[Ф. И. О.],B550)</f>
        <v>0</v>
      </c>
      <c r="U555" s="463">
        <f>база!$M$6</f>
        <v>279.0496</v>
      </c>
      <c r="V555" s="464">
        <v>1.4</v>
      </c>
      <c r="W555" s="465">
        <f>SUMIFS(Таблица14[часы],Таблица14[коэф],"1,4",Таблица14[р/р],"5/24",Таблица14[Ф. И. О.],B550)</f>
        <v>0</v>
      </c>
      <c r="X555" s="468">
        <f>SUMIFS(Таблица14[Столбец2],Таблица14[коэф],"1,4",Таблица14[р/р],"5/24",Таблица14[Ф. И. О.],B550)</f>
        <v>0</v>
      </c>
      <c r="Y555" s="765"/>
      <c r="Z555" s="767"/>
      <c r="AA555" s="757"/>
    </row>
    <row r="556" spans="1:29">
      <c r="A556" s="756">
        <v>51</v>
      </c>
      <c r="B556" s="215"/>
      <c r="C556" s="758">
        <f>INDEX(база!$E$2:$E$98, MATCH(B561,база!$B$2:$B$100,0))</f>
        <v>15239</v>
      </c>
      <c r="D556" s="761">
        <f>INDEX(база!$D$2:$D$121, MATCH(B561,база!$B$2:$B$100,0))</f>
        <v>3</v>
      </c>
      <c r="E556" s="481">
        <f>IF(D556&lt;=3,база!$I$4,
IF(D556=4,база!$I$5,
IF(D556=5,база!$I$6)))</f>
        <v>188.7912</v>
      </c>
      <c r="F556" s="417">
        <v>1</v>
      </c>
      <c r="G556" s="418">
        <f>SUMIFS(Таблица14[часы],Таблица14[коэф],"1",Таблица14[р/р],"2/4",Таблица14[Ф. И. О.],B561)</f>
        <v>0</v>
      </c>
      <c r="H556" s="402">
        <f>SUMIFS(Таблица14[Столбец2],Таблица14[коэф],"1",Таблица14[р/р],"2/4",Таблица14[Ф. И. О.],B561)</f>
        <v>0</v>
      </c>
      <c r="I556" s="452">
        <f>IF(D556&lt;=3,база!$J$4,
IF(D556=4,база!$J$5,
IF(D556=5,база!$J$6)))</f>
        <v>196.05240000000001</v>
      </c>
      <c r="J556" s="475">
        <v>1</v>
      </c>
      <c r="K556" s="453">
        <f>SUMIFS(Таблица14[часы],Таблица14[коэф],"1",Таблица14[р/р],"2/8",Таблица14[Ф. И. О.],B561)</f>
        <v>0</v>
      </c>
      <c r="L556" s="453">
        <f>SUMIFS(Таблица14[Столбец2],Таблица14[коэф],"1",Таблица14[р/р],"2/8",Таблица14[Ф. И. О.],B561)</f>
        <v>0</v>
      </c>
      <c r="M556" s="453"/>
      <c r="N556" s="453">
        <v>1</v>
      </c>
      <c r="O556" s="453">
        <f>SUMIFS(Data_Tech!$AM$3:$AM$67,Data_Tech!$E$3:$E$67,"1",Data_Tech!$G$3:$G$67,"3/12",Data_Tech!$F$3:$F$67,B561)</f>
        <v>0</v>
      </c>
      <c r="P556" s="398">
        <f>ROUND(M556*N556*O556,2)</f>
        <v>0</v>
      </c>
      <c r="Q556" s="481">
        <f>IF(D556&lt;=3,база!$L$4,
IF(D556=4,база!$L$5,
IF(D556=5,база!$L$6)))</f>
        <v>210.57480000000001</v>
      </c>
      <c r="R556" s="417">
        <v>1</v>
      </c>
      <c r="S556" s="418">
        <f>SUMIFS(Таблица14[часы],Таблица14[коэф],"1",Таблица14[р/р],"3/16",Таблица14[Ф. И. О.],B561)</f>
        <v>0</v>
      </c>
      <c r="T556" s="402">
        <f>SUMIFS(Таблица14[Столбец2],Таблица14[коэф],"1",Таблица14[р/р],"3/16",Таблица14[Ф. И. О.],B561)</f>
        <v>0</v>
      </c>
      <c r="U556" s="483">
        <f>IF(D556&lt;=3,база!$M$4,
IF(D556=4,база!$M$5,
IF(D556=5,база!$M$6)))</f>
        <v>225.09719999999999</v>
      </c>
      <c r="V556" s="417">
        <v>1</v>
      </c>
      <c r="W556" s="455">
        <f>SUMIFS(Таблица14[часы],Таблица14[коэф],"1",Таблица14[р/р],"3/24",Таблица14[Ф. И. О.],B561)</f>
        <v>0</v>
      </c>
      <c r="X556" s="552">
        <f>SUMIFS(Таблица14[Столбец2],Таблица14[коэф],"1",Таблица14[р/р],"3/24",Таблица14[Ф. И. О.],B561)</f>
        <v>0</v>
      </c>
      <c r="Y556" s="764">
        <f t="shared" ref="Y556" si="240">SUM(G556:G566,K556:K566,O556:O566,S556:S566,W556:W566)</f>
        <v>0</v>
      </c>
      <c r="Z556" s="766">
        <f t="shared" ref="Z556" si="241">IFERROR(SUM(H556:H566,L556:L566,T556:T566,X556:X566),"")</f>
        <v>0</v>
      </c>
      <c r="AA556" s="756"/>
    </row>
    <row r="557" spans="1:29">
      <c r="A557" s="756"/>
      <c r="B557" s="215"/>
      <c r="C557" s="759"/>
      <c r="D557" s="762"/>
      <c r="E557" s="389">
        <f>IF(D556&lt;=3,база!$I$4,
IF(D556=4,база!$I$5,
IF(D556=5,база!$I$6)))</f>
        <v>188.7912</v>
      </c>
      <c r="F557" s="390">
        <v>1</v>
      </c>
      <c r="G557" s="400">
        <f>SUMIFS(Таблица14[часы],Таблица14[коэф],"1",Таблица14[р/р],"3/4",Таблица14[Ф. И. О.],B561)</f>
        <v>0</v>
      </c>
      <c r="H557" s="392">
        <f>SUMIFS(Таблица14[Столбец2],Таблица14[коэф],"1",Таблица14[р/р],"3/4",Таблица14[Ф. И. О.],B561)</f>
        <v>0</v>
      </c>
      <c r="I557" s="432">
        <f>IF(D556&lt;=3,база!$J$4,
IF(D556=4,база!$J$5,
IF(D556=5,база!$J$6)))</f>
        <v>196.05240000000001</v>
      </c>
      <c r="J557" s="433">
        <v>1</v>
      </c>
      <c r="K557" s="434">
        <f>SUMIFS(Таблица14[часы],Таблица14[коэф],"1",Таблица14[р/р],"3/8",Таблица14[Ф. И. О.],B561)</f>
        <v>0</v>
      </c>
      <c r="L557" s="434">
        <f>SUMIFS(Таблица14[Столбец2],Таблица14[коэф],"1",Таблица14[р/р],"3/8",Таблица14[Ф. И. О.],B561)</f>
        <v>0</v>
      </c>
      <c r="M557" s="434"/>
      <c r="N557" s="434">
        <v>1</v>
      </c>
      <c r="O557" s="434">
        <f>SUMIFS(Data_Tech!$AM$3:$AM$67,Data_Tech!$E$3:$E$67,"1",Data_Tech!$G$3:$G$67,"4/12",Data_Tech!$F$3:$F$67,B561)</f>
        <v>0</v>
      </c>
      <c r="P557" s="406">
        <f>ROUND(M557*O557,2)</f>
        <v>0</v>
      </c>
      <c r="Q557" s="389">
        <f>база!$L$5</f>
        <v>231.45480000000001</v>
      </c>
      <c r="R557" s="390">
        <v>1</v>
      </c>
      <c r="S557" s="400">
        <f>SUMIFS(Таблица14[часы],Таблица14[коэф],"1",Таблица14[р/р],"4/16",Таблица14[Ф. И. О.],B561)</f>
        <v>0</v>
      </c>
      <c r="T557" s="392">
        <f>SUMIFS(Таблица14[Столбец2],Таблица14[коэф],"1",Таблица14[р/р],"4/16",Таблица14[Ф. И. О.],B561)</f>
        <v>0</v>
      </c>
      <c r="U557" s="478">
        <f>база!$M$5</f>
        <v>247.41720000000001</v>
      </c>
      <c r="V557" s="390">
        <v>1</v>
      </c>
      <c r="W557" s="412">
        <f>SUMIFS(Таблица14[часы],Таблица14[коэф],"1",Таблица14[р/р],"4/24",Таблица14[Ф. И. О.],B561)</f>
        <v>0</v>
      </c>
      <c r="X557" s="545">
        <f>SUMIFS(Таблица14[Столбец2],Таблица14[коэф],"1",Таблица14[р/р],"4/24",Таблица14[Ф. И. О.],B561)</f>
        <v>0</v>
      </c>
      <c r="Y557" s="764"/>
      <c r="Z557" s="766"/>
      <c r="AA557" s="756"/>
    </row>
    <row r="558" spans="1:29">
      <c r="A558" s="756"/>
      <c r="B558" s="215"/>
      <c r="C558" s="759"/>
      <c r="D558" s="762"/>
      <c r="E558" s="389"/>
      <c r="F558" s="390"/>
      <c r="G558" s="400"/>
      <c r="H558" s="392"/>
      <c r="I558" s="432"/>
      <c r="J558" s="433"/>
      <c r="K558" s="434"/>
      <c r="L558" s="434"/>
      <c r="M558" s="434"/>
      <c r="N558" s="434"/>
      <c r="O558" s="434"/>
      <c r="P558" s="406"/>
      <c r="Q558" s="389">
        <f>база!$L$6</f>
        <v>261.04640000000001</v>
      </c>
      <c r="R558" s="390">
        <v>1</v>
      </c>
      <c r="S558" s="400">
        <f>SUMIFS(Таблица14[часы],Таблица14[коэф],"1",Таблица14[р/р],"5/16",Таблица14[Ф. И. О.],B561)</f>
        <v>0</v>
      </c>
      <c r="T558" s="392">
        <f>SUMIFS(Таблица14[Столбец2],Таблица14[коэф],"1",Таблица14[р/р],"5/16",Таблица14[Ф. И. О.],B561)</f>
        <v>0</v>
      </c>
      <c r="U558" s="478">
        <f>база!$M$6</f>
        <v>279.0496</v>
      </c>
      <c r="V558" s="390">
        <v>1</v>
      </c>
      <c r="W558" s="412">
        <f>SUMIFS(Таблица14[часы],Таблица14[коэф],"1",Таблица14[р/р],"5/24",Таблица14[Ф. И. О.],B561)</f>
        <v>0</v>
      </c>
      <c r="X558" s="545">
        <f>SUMIFS(Таблица14[Столбец2],Таблица14[коэф],"1",Таблица14[р/р],"5/24",Таблица14[Ф. И. О.],B561)</f>
        <v>0</v>
      </c>
      <c r="Y558" s="764"/>
      <c r="Z558" s="766"/>
      <c r="AA558" s="756"/>
    </row>
    <row r="559" spans="1:29">
      <c r="A559" s="756"/>
      <c r="B559" s="215"/>
      <c r="C559" s="759"/>
      <c r="D559" s="762"/>
      <c r="E559" s="389"/>
      <c r="F559" s="390"/>
      <c r="G559" s="400"/>
      <c r="H559" s="392"/>
      <c r="I559" s="432">
        <f>база!$J$5</f>
        <v>215.4924</v>
      </c>
      <c r="J559" s="433">
        <v>1.5</v>
      </c>
      <c r="K559" s="434">
        <f>SUMIFS(Таблица14[часы],Таблица14[коэф],"1,5",Таблица14[р/р],"4/8",Таблица14[Ф. И. О.],B561)</f>
        <v>0</v>
      </c>
      <c r="L559" s="434">
        <f>SUMIFS(Таблица14[Столбец2],Таблица14[коэф],"1,5",Таблица14[р/р],"4/8",Таблица14[Ф. И. О.],B561)</f>
        <v>0</v>
      </c>
      <c r="M559" s="434"/>
      <c r="N559" s="434"/>
      <c r="O559" s="434"/>
      <c r="P559" s="406"/>
      <c r="Q559" s="389">
        <f>IF(D556&lt;=3,база!$L$4,
IF(D556=4,база!$L$5,
IF(D556=5,база!$L$6)))</f>
        <v>210.57480000000001</v>
      </c>
      <c r="R559" s="390">
        <v>1.2</v>
      </c>
      <c r="S559" s="400">
        <f>SUMIFS(Таблица14[часы],Таблица14[коэф],"1,2",Таблица14[р/р],"3/16",Таблица14[Ф. И. О.],B561)</f>
        <v>0</v>
      </c>
      <c r="T559" s="392">
        <f>SUMIFS(Таблица14[Столбец2],Таблица14[коэф],"1,2",Таблица14[р/р],"3/16",Таблица14[Ф. И. О.],B561)</f>
        <v>0</v>
      </c>
      <c r="U559" s="478">
        <f>IF(D556&lt;=3,база!$M$4,
IF(D556=4,база!$M$5,
IF(D556=5,база!$M$6)))</f>
        <v>225.09719999999999</v>
      </c>
      <c r="V559" s="390">
        <v>1.2</v>
      </c>
      <c r="W559" s="412">
        <f>SUMIFS(Таблица14[часы],Таблица14[коэф],"1,2",Таблица14[р/р],"3/24",Таблица14[Ф. И. О.],B561)</f>
        <v>0</v>
      </c>
      <c r="X559" s="545">
        <f>SUMIFS(Таблица14[Столбец2],Таблица14[коэф],"1,2",Таблица14[р/р],"3/24",Таблица14[Ф. И. О.],B561)</f>
        <v>0</v>
      </c>
      <c r="Y559" s="764"/>
      <c r="Z559" s="766"/>
      <c r="AA559" s="756"/>
    </row>
    <row r="560" spans="1:29">
      <c r="A560" s="756"/>
      <c r="B560" s="215"/>
      <c r="C560" s="759"/>
      <c r="D560" s="762"/>
      <c r="E560" s="389"/>
      <c r="F560" s="390"/>
      <c r="G560" s="400"/>
      <c r="H560" s="392"/>
      <c r="I560" s="432">
        <f>база!$J$6</f>
        <v>243.04319999999998</v>
      </c>
      <c r="J560" s="433">
        <v>1.5</v>
      </c>
      <c r="K560" s="434">
        <f>SUMIFS(Таблица14[часы],Таблица14[коэф],"1,5",Таблица14[р/р],"5/8",Таблица14[Ф. И. О.],B561)</f>
        <v>0</v>
      </c>
      <c r="L560" s="434">
        <f>SUMIFS(Таблица14[Столбец2],Таблица14[коэф],"1,5",Таблица14[р/р],"5/8",Таблица14[Ф. И. О.],B561)</f>
        <v>0</v>
      </c>
      <c r="M560" s="434"/>
      <c r="N560" s="434"/>
      <c r="O560" s="434"/>
      <c r="P560" s="406"/>
      <c r="Q560" s="389">
        <f>база!$L$5</f>
        <v>231.45480000000001</v>
      </c>
      <c r="R560" s="390">
        <v>1.2</v>
      </c>
      <c r="S560" s="400">
        <f>SUMIFS(Таблица14[часы],Таблица14[коэф],"1,2",Таблица14[р/р],"4/16",Таблица14[Ф. И. О.],B561)</f>
        <v>0</v>
      </c>
      <c r="T560" s="392">
        <f>SUMIFS(Таблица14[Столбец2],Таблица14[коэф],"1,2",Таблица14[р/р],"4/16",Таблица14[Ф. И. О.],B561)</f>
        <v>0</v>
      </c>
      <c r="U560" s="478">
        <f>база!$M$5</f>
        <v>247.41720000000001</v>
      </c>
      <c r="V560" s="390">
        <v>1.2</v>
      </c>
      <c r="W560" s="412">
        <f>SUMIFS(Таблица14[часы],Таблица14[коэф],"1,2",Таблица14[р/р],"4/24",Таблица14[Ф. И. О.],B561)</f>
        <v>0</v>
      </c>
      <c r="X560" s="545">
        <f>SUMIFS(Таблица14[Столбец2],Таблица14[коэф],"1,2",Таблица14[р/р],"4/24",Таблица14[Ф. И. О.],B561)</f>
        <v>0</v>
      </c>
      <c r="Y560" s="764"/>
      <c r="Z560" s="766"/>
      <c r="AA560" s="756"/>
    </row>
    <row r="561" spans="1:29">
      <c r="A561" s="756"/>
      <c r="B561" s="215" t="str">
        <f>база!B52</f>
        <v>Михно Татьяна Николаевна</v>
      </c>
      <c r="C561" s="759"/>
      <c r="D561" s="762"/>
      <c r="E561" s="389"/>
      <c r="F561" s="390"/>
      <c r="G561" s="400"/>
      <c r="H561" s="392"/>
      <c r="I561" s="432"/>
      <c r="J561" s="433"/>
      <c r="K561" s="434"/>
      <c r="L561" s="434"/>
      <c r="M561" s="434"/>
      <c r="N561" s="434"/>
      <c r="O561" s="434"/>
      <c r="P561" s="406"/>
      <c r="Q561" s="389">
        <f>база!$L$6</f>
        <v>261.04640000000001</v>
      </c>
      <c r="R561" s="390">
        <v>1.2</v>
      </c>
      <c r="S561" s="400">
        <f>SUMIFS(Таблица14[часы],Таблица14[коэф],"1,2",Таблица14[р/р],"5/16",Таблица14[Ф. И. О.],B561)</f>
        <v>0</v>
      </c>
      <c r="T561" s="392">
        <f>SUMIFS(Таблица14[Столбец2],Таблица14[коэф],"1,2",Таблица14[р/р],"5/16",Таблица14[Ф. И. О.],B561)</f>
        <v>0</v>
      </c>
      <c r="U561" s="478">
        <f>база!$M$6</f>
        <v>279.0496</v>
      </c>
      <c r="V561" s="390">
        <v>1.2</v>
      </c>
      <c r="W561" s="412">
        <f>SUMIFS(Таблица14[часы],Таблица14[коэф],"1,2",Таблица14[р/р],"5/24",Таблица14[Ф. И. О.],B561)</f>
        <v>0</v>
      </c>
      <c r="X561" s="545">
        <f>SUMIFS(Таблица14[Столбец2],Таблица14[коэф],"1,2",Таблица14[р/р],"5/24",Таблица14[Ф. И. О.],B561)</f>
        <v>0</v>
      </c>
      <c r="Y561" s="764"/>
      <c r="Z561" s="766"/>
      <c r="AA561" s="756"/>
      <c r="AC561" s="752" t="str">
        <f>IF(SUMIFS(Таблица14[Столбец2],Таблица14[Ф. И. О.],B561)-Z556=0,"",SUMIFS(Таблица14[Столбец2],Таблица14[Ф. И. О.],B561)-Z556)</f>
        <v/>
      </c>
    </row>
    <row r="562" spans="1:29">
      <c r="A562" s="756"/>
      <c r="B562" s="215"/>
      <c r="C562" s="759"/>
      <c r="D562" s="762"/>
      <c r="E562" s="389"/>
      <c r="F562" s="390"/>
      <c r="G562" s="400"/>
      <c r="H562" s="392"/>
      <c r="I562" s="432"/>
      <c r="J562" s="433"/>
      <c r="K562" s="434"/>
      <c r="L562" s="434"/>
      <c r="M562" s="434"/>
      <c r="N562" s="434"/>
      <c r="O562" s="434"/>
      <c r="P562" s="406"/>
      <c r="Q562" s="389">
        <f>IF($D$6&lt;=3,база!$L$4,
IF($D$6=4,база!$L$5,
IF($D$6=5,база!$L$6)))</f>
        <v>231.45480000000001</v>
      </c>
      <c r="R562" s="390">
        <v>1.3</v>
      </c>
      <c r="S562" s="400">
        <f>SUMIFS(Таблица14[часы],Таблица14[коэф],"1,3",Таблица14[р/р],"3/16",Таблица14[Ф. И. О.],B561)</f>
        <v>0</v>
      </c>
      <c r="T562" s="392">
        <f>SUMIFS(Таблица14[Столбец2],Таблица14[коэф],"1,3",Таблица14[р/р],"3/16",Таблица14[Ф. И. О.],B561)</f>
        <v>0</v>
      </c>
      <c r="U562" s="478">
        <f>IF(D556&lt;=3,база!$M$4,
IF(D556=4,база!$M$5,
IF(D556=5,база!$M$6)))</f>
        <v>225.09719999999999</v>
      </c>
      <c r="V562" s="390">
        <v>1.3</v>
      </c>
      <c r="W562" s="412">
        <f>SUMIFS(Таблица14[часы],Таблица14[коэф],"1,3",Таблица14[р/р],"3/24",Таблица14[Ф. И. О.],B561)</f>
        <v>0</v>
      </c>
      <c r="X562" s="545">
        <f>SUMIFS(Таблица14[Столбец2],Таблица14[коэф],"1,3",Таблица14[р/р],"3/24",Таблица14[Ф. И. О.],B561)</f>
        <v>0</v>
      </c>
      <c r="Y562" s="764"/>
      <c r="Z562" s="766"/>
      <c r="AA562" s="756"/>
      <c r="AC562" s="752" t="str">
        <f>IF(SUMIFS(Таблица14[часы],Таблица14[Ф. И. О.],B561)-Y556=0,"",SUMIFS(Таблица14[часы],Таблица14[Ф. И. О.],B561)-Y556)</f>
        <v/>
      </c>
    </row>
    <row r="563" spans="1:29">
      <c r="A563" s="756"/>
      <c r="B563" s="215"/>
      <c r="C563" s="759"/>
      <c r="D563" s="762"/>
      <c r="E563" s="389"/>
      <c r="F563" s="390"/>
      <c r="G563" s="400"/>
      <c r="H563" s="392"/>
      <c r="I563" s="432"/>
      <c r="J563" s="433"/>
      <c r="K563" s="434"/>
      <c r="L563" s="434"/>
      <c r="M563" s="434"/>
      <c r="N563" s="434"/>
      <c r="O563" s="434"/>
      <c r="P563" s="406"/>
      <c r="Q563" s="389">
        <f>база!$L$5</f>
        <v>231.45480000000001</v>
      </c>
      <c r="R563" s="390">
        <v>1.3</v>
      </c>
      <c r="S563" s="400">
        <f>SUMIFS(Таблица14[часы],Таблица14[коэф],"1,3",Таблица14[р/р],"4/16",Таблица14[Ф. И. О.],B561)</f>
        <v>0</v>
      </c>
      <c r="T563" s="392">
        <f>SUMIFS(Таблица14[Столбец2],Таблица14[коэф],"1,3",Таблица14[р/р],"4/16",Таблица14[Ф. И. О.],B561)</f>
        <v>0</v>
      </c>
      <c r="U563" s="478">
        <f>база!$M$5</f>
        <v>247.41720000000001</v>
      </c>
      <c r="V563" s="390">
        <v>1.3</v>
      </c>
      <c r="W563" s="412">
        <f>SUMIFS(Таблица14[часы],Таблица14[коэф],"1,3",Таблица14[р/р],"4/24",Таблица14[Ф. И. О.],B561)</f>
        <v>0</v>
      </c>
      <c r="X563" s="545">
        <f>SUMIFS(Таблица14[Столбец2],Таблица14[коэф],"1,3",Таблица14[р/р],"4/24",Таблица14[Ф. И. О.],B561)</f>
        <v>0</v>
      </c>
      <c r="Y563" s="764"/>
      <c r="Z563" s="766"/>
      <c r="AA563" s="756"/>
    </row>
    <row r="564" spans="1:29">
      <c r="A564" s="756"/>
      <c r="B564" s="215"/>
      <c r="C564" s="759"/>
      <c r="D564" s="762"/>
      <c r="E564" s="389"/>
      <c r="F564" s="390"/>
      <c r="G564" s="400"/>
      <c r="H564" s="392"/>
      <c r="I564" s="432"/>
      <c r="J564" s="433"/>
      <c r="K564" s="434"/>
      <c r="L564" s="434"/>
      <c r="M564" s="434"/>
      <c r="N564" s="434"/>
      <c r="O564" s="434"/>
      <c r="P564" s="406"/>
      <c r="Q564" s="389">
        <f>IF(D556&lt;=3,база!$L$4,
IF(D556=4,база!$L$5,
IF(D556=5,база!$L$6)))</f>
        <v>210.57480000000001</v>
      </c>
      <c r="R564" s="390">
        <v>1.4</v>
      </c>
      <c r="S564" s="400">
        <f>SUMIFS(Таблица14[часы],Таблица14[коэф],"1,4",Таблица14[р/р],"3/16",Таблица14[Ф. И. О.],B561)</f>
        <v>0</v>
      </c>
      <c r="T564" s="392">
        <f>SUMIFS(Таблица14[Столбец2],Таблица14[коэф],"1,4",Таблица14[р/р],"3/16",Таблица14[Ф. И. О.],B561)</f>
        <v>0</v>
      </c>
      <c r="U564" s="478">
        <f>IF(D556&lt;=3,база!$M$4,
IF(D556=4,база!$M$5,
IF(D556=5,база!$M$6)))</f>
        <v>225.09719999999999</v>
      </c>
      <c r="V564" s="390">
        <v>1.4</v>
      </c>
      <c r="W564" s="412">
        <f>SUMIFS(Таблица14[часы],Таблица14[коэф],"1,4",Таблица14[р/р],"3/24",Таблица14[Ф. И. О.],B561)</f>
        <v>0</v>
      </c>
      <c r="X564" s="545">
        <f>SUMIFS(Таблица14[Столбец2],Таблица14[коэф],"1,4",Таблица14[р/р],"3/24",Таблица14[Ф. И. О.],B561)</f>
        <v>0</v>
      </c>
      <c r="Y564" s="764"/>
      <c r="Z564" s="766"/>
      <c r="AA564" s="756"/>
    </row>
    <row r="565" spans="1:29">
      <c r="A565" s="756"/>
      <c r="B565" s="215"/>
      <c r="C565" s="759"/>
      <c r="D565" s="762"/>
      <c r="E565" s="389"/>
      <c r="F565" s="390"/>
      <c r="G565" s="400"/>
      <c r="H565" s="392"/>
      <c r="I565" s="432"/>
      <c r="J565" s="433"/>
      <c r="K565" s="434"/>
      <c r="L565" s="434"/>
      <c r="M565" s="434"/>
      <c r="N565" s="434"/>
      <c r="O565" s="434"/>
      <c r="P565" s="406"/>
      <c r="Q565" s="389">
        <f>база!$L$5</f>
        <v>231.45480000000001</v>
      </c>
      <c r="R565" s="390">
        <v>1.4</v>
      </c>
      <c r="S565" s="400">
        <f>SUMIFS(Таблица14[часы],Таблица14[коэф],"1,4",Таблица14[р/р],"4/16",Таблица14[Ф. И. О.],B561)</f>
        <v>0</v>
      </c>
      <c r="T565" s="392">
        <f>SUMIFS(Таблица14[Столбец2],Таблица14[коэф],"1,4",Таблица14[р/р],"4/16",Таблица14[Ф. И. О.],B561)</f>
        <v>0</v>
      </c>
      <c r="U565" s="478">
        <f>база!$M$5</f>
        <v>247.41720000000001</v>
      </c>
      <c r="V565" s="390">
        <v>1.4</v>
      </c>
      <c r="W565" s="412">
        <f>SUMIFS(Таблица14[часы],Таблица14[коэф],"1,4",Таблица14[р/р],"4/24",Таблица14[Ф. И. О.],B561)</f>
        <v>0</v>
      </c>
      <c r="X565" s="545">
        <f>SUMIFS(Таблица14[Столбец2],Таблица14[коэф],"1,4",Таблица14[р/р],"4/24",Таблица14[Ф. И. О.],B561)</f>
        <v>0</v>
      </c>
      <c r="Y565" s="764"/>
      <c r="Z565" s="766"/>
      <c r="AA565" s="756"/>
    </row>
    <row r="566" spans="1:29" ht="21" thickBot="1">
      <c r="A566" s="757"/>
      <c r="B566" s="352"/>
      <c r="C566" s="760"/>
      <c r="D566" s="763"/>
      <c r="E566" s="473"/>
      <c r="F566" s="464"/>
      <c r="G566" s="651"/>
      <c r="H566" s="468"/>
      <c r="I566" s="645"/>
      <c r="J566" s="456"/>
      <c r="K566" s="646"/>
      <c r="L566" s="457"/>
      <c r="M566" s="645"/>
      <c r="N566" s="646"/>
      <c r="O566" s="646"/>
      <c r="P566" s="476"/>
      <c r="Q566" s="652">
        <f>база!$L$6</f>
        <v>261.04640000000001</v>
      </c>
      <c r="R566" s="464">
        <v>1.4</v>
      </c>
      <c r="S566" s="465">
        <f>SUMIFS(Таблица14[часы],Таблица14[коэф],"1,4",Таблица14[р/р],"5/16",Таблица14[Ф. И. О.],B561)</f>
        <v>0</v>
      </c>
      <c r="T566" s="468">
        <f>SUMIFS(Таблица14[Столбец2],Таблица14[коэф],"1,4",Таблица14[р/р],"5/16",Таблица14[Ф. И. О.],B561)</f>
        <v>0</v>
      </c>
      <c r="U566" s="463">
        <f>база!$M$6</f>
        <v>279.0496</v>
      </c>
      <c r="V566" s="464">
        <v>1.4</v>
      </c>
      <c r="W566" s="465">
        <f>SUMIFS(Таблица14[часы],Таблица14[коэф],"1,4",Таблица14[р/р],"5/24",Таблица14[Ф. И. О.],B561)</f>
        <v>0</v>
      </c>
      <c r="X566" s="468">
        <f>SUMIFS(Таблица14[Столбец2],Таблица14[коэф],"1,4",Таблица14[р/р],"5/24",Таблица14[Ф. И. О.],B561)</f>
        <v>0</v>
      </c>
      <c r="Y566" s="765"/>
      <c r="Z566" s="767"/>
      <c r="AA566" s="757"/>
    </row>
    <row r="567" spans="1:29">
      <c r="A567" s="756">
        <v>52</v>
      </c>
      <c r="B567" s="215"/>
      <c r="C567" s="758">
        <f>INDEX(база!$E$2:$E$98, MATCH(B572,база!$B$2:$B$100,0))</f>
        <v>15041</v>
      </c>
      <c r="D567" s="761">
        <f>INDEX(база!$D$2:$D$121, MATCH(B572,база!$B$2:$B$100,0))</f>
        <v>3</v>
      </c>
      <c r="E567" s="481">
        <f>IF(D567&lt;=3,база!$I$4,
IF(D567=4,база!$I$5,
IF(D567=5,база!$I$6)))</f>
        <v>188.7912</v>
      </c>
      <c r="F567" s="417">
        <v>1</v>
      </c>
      <c r="G567" s="418">
        <f>SUMIFS(Таблица14[часы],Таблица14[коэф],"1",Таблица14[р/р],"2/4",Таблица14[Ф. И. О.],B572)</f>
        <v>0</v>
      </c>
      <c r="H567" s="402">
        <f>SUMIFS(Таблица14[Столбец2],Таблица14[коэф],"1",Таблица14[р/р],"2/4",Таблица14[Ф. И. О.],B572)</f>
        <v>0</v>
      </c>
      <c r="I567" s="452">
        <f>IF(D567&lt;=3,база!$J$4,
IF(D567=4,база!$J$5,
IF(D567=5,база!$J$6)))</f>
        <v>196.05240000000001</v>
      </c>
      <c r="J567" s="475">
        <v>1</v>
      </c>
      <c r="K567" s="453">
        <f>SUMIFS(Таблица14[часы],Таблица14[коэф],"1",Таблица14[р/р],"2/8",Таблица14[Ф. И. О.],B572)</f>
        <v>0</v>
      </c>
      <c r="L567" s="453">
        <f>SUMIFS(Таблица14[Столбец2],Таблица14[коэф],"1",Таблица14[р/р],"2/8",Таблица14[Ф. И. О.],B572)</f>
        <v>0</v>
      </c>
      <c r="M567" s="453"/>
      <c r="N567" s="453">
        <v>1</v>
      </c>
      <c r="O567" s="453">
        <f>SUMIFS(Data_Tech!$AM$3:$AM$67,Data_Tech!$E$3:$E$67,"1",Data_Tech!$G$3:$G$67,"3/12",Data_Tech!$F$3:$F$67,B572)</f>
        <v>0</v>
      </c>
      <c r="P567" s="398">
        <f>ROUND(M567*N567*O567,2)</f>
        <v>0</v>
      </c>
      <c r="Q567" s="481">
        <f>IF(D567&lt;=3,база!$L$4,
IF(D567=4,база!$L$5,
IF(D567=5,база!$L$6)))</f>
        <v>210.57480000000001</v>
      </c>
      <c r="R567" s="417">
        <v>1</v>
      </c>
      <c r="S567" s="418">
        <f>SUMIFS(Таблица14[часы],Таблица14[коэф],"1",Таблица14[р/р],"3/16",Таблица14[Ф. И. О.],B572)</f>
        <v>0</v>
      </c>
      <c r="T567" s="402">
        <f>SUMIFS(Таблица14[Столбец2],Таблица14[коэф],"1",Таблица14[р/р],"3/16",Таблица14[Ф. И. О.],B572)</f>
        <v>0</v>
      </c>
      <c r="U567" s="483">
        <f>IF(D567&lt;=3,база!$M$4,
IF(D567=4,база!$M$5,
IF(D567=5,база!$M$6)))</f>
        <v>225.09719999999999</v>
      </c>
      <c r="V567" s="417">
        <v>1</v>
      </c>
      <c r="W567" s="455">
        <f>SUMIFS(Таблица14[часы],Таблица14[коэф],"1",Таблица14[р/р],"3/24",Таблица14[Ф. И. О.],B572)</f>
        <v>0</v>
      </c>
      <c r="X567" s="552">
        <f>SUMIFS(Таблица14[Столбец2],Таблица14[коэф],"1",Таблица14[р/р],"3/24",Таблица14[Ф. И. О.],B572)</f>
        <v>0</v>
      </c>
      <c r="Y567" s="764">
        <f t="shared" ref="Y567" si="242">SUM(G567:G577,K567:K577,O567:O577,S567:S577,W567:W577)</f>
        <v>0</v>
      </c>
      <c r="Z567" s="766">
        <f t="shared" ref="Z567" si="243">IFERROR(SUM(H567:H577,L567:L577,T567:T577,X567:X577),"")</f>
        <v>0</v>
      </c>
      <c r="AA567" s="756"/>
    </row>
    <row r="568" spans="1:29">
      <c r="A568" s="756"/>
      <c r="B568" s="215"/>
      <c r="C568" s="759"/>
      <c r="D568" s="762"/>
      <c r="E568" s="389">
        <f>IF(D567&lt;=3,база!$I$4,
IF(D567=4,база!$I$5,
IF(D567=5,база!$I$6)))</f>
        <v>188.7912</v>
      </c>
      <c r="F568" s="390">
        <v>1</v>
      </c>
      <c r="G568" s="400">
        <f>SUMIFS(Таблица14[часы],Таблица14[коэф],"1",Таблица14[р/р],"3/4",Таблица14[Ф. И. О.],B572)</f>
        <v>0</v>
      </c>
      <c r="H568" s="392">
        <f>SUMIFS(Таблица14[Столбец2],Таблица14[коэф],"1",Таблица14[р/р],"3/4",Таблица14[Ф. И. О.],B572)</f>
        <v>0</v>
      </c>
      <c r="I568" s="432">
        <f>IF(D567&lt;=3,база!$J$4,
IF(D567=4,база!$J$5,
IF(D567=5,база!$J$6)))</f>
        <v>196.05240000000001</v>
      </c>
      <c r="J568" s="433">
        <v>1</v>
      </c>
      <c r="K568" s="434">
        <f>SUMIFS(Таблица14[часы],Таблица14[коэф],"1",Таблица14[р/р],"3/8",Таблица14[Ф. И. О.],B572)</f>
        <v>0</v>
      </c>
      <c r="L568" s="434">
        <f>SUMIFS(Таблица14[Столбец2],Таблица14[коэф],"1",Таблица14[р/р],"3/8",Таблица14[Ф. И. О.],B572)</f>
        <v>0</v>
      </c>
      <c r="M568" s="434"/>
      <c r="N568" s="434">
        <v>1</v>
      </c>
      <c r="O568" s="434">
        <f>SUMIFS(Data_Tech!$AM$3:$AM$67,Data_Tech!$E$3:$E$67,"1",Data_Tech!$G$3:$G$67,"4/12",Data_Tech!$F$3:$F$67,B572)</f>
        <v>0</v>
      </c>
      <c r="P568" s="406">
        <f>ROUND(M568*O568,2)</f>
        <v>0</v>
      </c>
      <c r="Q568" s="389">
        <f>база!$L$5</f>
        <v>231.45480000000001</v>
      </c>
      <c r="R568" s="390">
        <v>1</v>
      </c>
      <c r="S568" s="400">
        <f>SUMIFS(Таблица14[часы],Таблица14[коэф],"1",Таблица14[р/р],"4/16",Таблица14[Ф. И. О.],B572)</f>
        <v>0</v>
      </c>
      <c r="T568" s="392">
        <f>SUMIFS(Таблица14[Столбец2],Таблица14[коэф],"1",Таблица14[р/р],"4/16",Таблица14[Ф. И. О.],B572)</f>
        <v>0</v>
      </c>
      <c r="U568" s="478">
        <f>база!$M$5</f>
        <v>247.41720000000001</v>
      </c>
      <c r="V568" s="390">
        <v>1</v>
      </c>
      <c r="W568" s="412">
        <f>SUMIFS(Таблица14[часы],Таблица14[коэф],"1",Таблица14[р/р],"4/24",Таблица14[Ф. И. О.],B572)</f>
        <v>0</v>
      </c>
      <c r="X568" s="545">
        <f>SUMIFS(Таблица14[Столбец2],Таблица14[коэф],"1",Таблица14[р/р],"4/24",Таблица14[Ф. И. О.],B572)</f>
        <v>0</v>
      </c>
      <c r="Y568" s="764"/>
      <c r="Z568" s="766"/>
      <c r="AA568" s="756"/>
    </row>
    <row r="569" spans="1:29">
      <c r="A569" s="756"/>
      <c r="B569" s="215"/>
      <c r="C569" s="759"/>
      <c r="D569" s="762"/>
      <c r="E569" s="389"/>
      <c r="F569" s="390"/>
      <c r="G569" s="400"/>
      <c r="H569" s="392"/>
      <c r="I569" s="432"/>
      <c r="J569" s="433"/>
      <c r="K569" s="434"/>
      <c r="L569" s="434"/>
      <c r="M569" s="434"/>
      <c r="N569" s="434"/>
      <c r="O569" s="434"/>
      <c r="P569" s="406"/>
      <c r="Q569" s="389">
        <f>база!$L$6</f>
        <v>261.04640000000001</v>
      </c>
      <c r="R569" s="390">
        <v>1</v>
      </c>
      <c r="S569" s="400">
        <f>SUMIFS(Таблица14[часы],Таблица14[коэф],"1",Таблица14[р/р],"5/16",Таблица14[Ф. И. О.],B572)</f>
        <v>0</v>
      </c>
      <c r="T569" s="392">
        <f>SUMIFS(Таблица14[Столбец2],Таблица14[коэф],"1",Таблица14[р/р],"5/16",Таблица14[Ф. И. О.],B572)</f>
        <v>0</v>
      </c>
      <c r="U569" s="478">
        <f>база!$M$6</f>
        <v>279.0496</v>
      </c>
      <c r="V569" s="390">
        <v>1</v>
      </c>
      <c r="W569" s="412">
        <f>SUMIFS(Таблица14[часы],Таблица14[коэф],"1",Таблица14[р/р],"5/24",Таблица14[Ф. И. О.],B572)</f>
        <v>0</v>
      </c>
      <c r="X569" s="545">
        <f>SUMIFS(Таблица14[Столбец2],Таблица14[коэф],"1",Таблица14[р/р],"5/24",Таблица14[Ф. И. О.],B572)</f>
        <v>0</v>
      </c>
      <c r="Y569" s="764"/>
      <c r="Z569" s="766"/>
      <c r="AA569" s="756"/>
    </row>
    <row r="570" spans="1:29">
      <c r="A570" s="756"/>
      <c r="B570" s="215"/>
      <c r="C570" s="759"/>
      <c r="D570" s="762"/>
      <c r="E570" s="389"/>
      <c r="F570" s="390"/>
      <c r="G570" s="400"/>
      <c r="H570" s="392"/>
      <c r="I570" s="432">
        <f>база!$J$5</f>
        <v>215.4924</v>
      </c>
      <c r="J570" s="433">
        <v>1.5</v>
      </c>
      <c r="K570" s="434">
        <f>SUMIFS(Таблица14[часы],Таблица14[коэф],"1,5",Таблица14[р/р],"4/8",Таблица14[Ф. И. О.],B572)</f>
        <v>0</v>
      </c>
      <c r="L570" s="434">
        <f>SUMIFS(Таблица14[Столбец2],Таблица14[коэф],"1,5",Таблица14[р/р],"4/8",Таблица14[Ф. И. О.],B572)</f>
        <v>0</v>
      </c>
      <c r="M570" s="434"/>
      <c r="N570" s="434"/>
      <c r="O570" s="434"/>
      <c r="P570" s="406"/>
      <c r="Q570" s="389">
        <f>IF(D567&lt;=3,база!$L$4,
IF(D567=4,база!$L$5,
IF(D567=5,база!$L$6)))</f>
        <v>210.57480000000001</v>
      </c>
      <c r="R570" s="390">
        <v>1.2</v>
      </c>
      <c r="S570" s="400">
        <f>SUMIFS(Таблица14[часы],Таблица14[коэф],"1,2",Таблица14[р/р],"3/16",Таблица14[Ф. И. О.],B572)</f>
        <v>0</v>
      </c>
      <c r="T570" s="392">
        <f>SUMIFS(Таблица14[Столбец2],Таблица14[коэф],"1,2",Таблица14[р/р],"3/16",Таблица14[Ф. И. О.],B572)</f>
        <v>0</v>
      </c>
      <c r="U570" s="478">
        <f>IF(D567&lt;=3,база!$M$4,
IF(D567=4,база!$M$5,
IF(D567=5,база!$M$6)))</f>
        <v>225.09719999999999</v>
      </c>
      <c r="V570" s="390">
        <v>1.2</v>
      </c>
      <c r="W570" s="412">
        <f>SUMIFS(Таблица14[часы],Таблица14[коэф],"1,2",Таблица14[р/р],"3/24",Таблица14[Ф. И. О.],B572)</f>
        <v>0</v>
      </c>
      <c r="X570" s="545">
        <f>SUMIFS(Таблица14[Столбец2],Таблица14[коэф],"1,2",Таблица14[р/р],"3/24",Таблица14[Ф. И. О.],B572)</f>
        <v>0</v>
      </c>
      <c r="Y570" s="764"/>
      <c r="Z570" s="766"/>
      <c r="AA570" s="756"/>
    </row>
    <row r="571" spans="1:29">
      <c r="A571" s="756"/>
      <c r="B571" s="215"/>
      <c r="C571" s="759"/>
      <c r="D571" s="762"/>
      <c r="E571" s="389"/>
      <c r="F571" s="390"/>
      <c r="G571" s="400"/>
      <c r="H571" s="392"/>
      <c r="I571" s="432">
        <f>база!$J$6</f>
        <v>243.04319999999998</v>
      </c>
      <c r="J571" s="433">
        <v>1.5</v>
      </c>
      <c r="K571" s="434">
        <f>SUMIFS(Таблица14[часы],Таблица14[коэф],"1,5",Таблица14[р/р],"5/8",Таблица14[Ф. И. О.],B572)</f>
        <v>0</v>
      </c>
      <c r="L571" s="434">
        <f>SUMIFS(Таблица14[Столбец2],Таблица14[коэф],"1,5",Таблица14[р/р],"5/8",Таблица14[Ф. И. О.],B572)</f>
        <v>0</v>
      </c>
      <c r="M571" s="434"/>
      <c r="N571" s="434"/>
      <c r="O571" s="434"/>
      <c r="P571" s="406"/>
      <c r="Q571" s="389">
        <f>база!$L$5</f>
        <v>231.45480000000001</v>
      </c>
      <c r="R571" s="390">
        <v>1.2</v>
      </c>
      <c r="S571" s="400">
        <f>SUMIFS(Таблица14[часы],Таблица14[коэф],"1,2",Таблица14[р/р],"4/16",Таблица14[Ф. И. О.],B572)</f>
        <v>0</v>
      </c>
      <c r="T571" s="392">
        <f>SUMIFS(Таблица14[Столбец2],Таблица14[коэф],"1,2",Таблица14[р/р],"4/16",Таблица14[Ф. И. О.],B572)</f>
        <v>0</v>
      </c>
      <c r="U571" s="478">
        <f>база!$M$5</f>
        <v>247.41720000000001</v>
      </c>
      <c r="V571" s="390">
        <v>1.2</v>
      </c>
      <c r="W571" s="412">
        <f>SUMIFS(Таблица14[часы],Таблица14[коэф],"1,2",Таблица14[р/р],"4/24",Таблица14[Ф. И. О.],B572)</f>
        <v>0</v>
      </c>
      <c r="X571" s="545">
        <f>SUMIFS(Таблица14[Столбец2],Таблица14[коэф],"1,2",Таблица14[р/р],"4/24",Таблица14[Ф. И. О.],B572)</f>
        <v>0</v>
      </c>
      <c r="Y571" s="764"/>
      <c r="Z571" s="766"/>
      <c r="AA571" s="756"/>
      <c r="AC571" s="752" t="str">
        <f>IF(SUMIFS(Таблица14[Столбец2],Таблица14[Ф. И. О.],B572)-Z567=0,"",SUMIFS(Таблица14[Столбец2],Таблица14[Ф. И. О.],B572)-Z567)</f>
        <v/>
      </c>
    </row>
    <row r="572" spans="1:29">
      <c r="A572" s="756"/>
      <c r="B572" s="215" t="str">
        <f>база!B53</f>
        <v>Набойченко Седа Хамидовна</v>
      </c>
      <c r="C572" s="759"/>
      <c r="D572" s="762"/>
      <c r="E572" s="389"/>
      <c r="F572" s="390"/>
      <c r="G572" s="400"/>
      <c r="H572" s="392"/>
      <c r="I572" s="432"/>
      <c r="J572" s="433"/>
      <c r="K572" s="434"/>
      <c r="L572" s="434"/>
      <c r="M572" s="434"/>
      <c r="N572" s="434"/>
      <c r="O572" s="434"/>
      <c r="P572" s="406"/>
      <c r="Q572" s="389">
        <f>база!$L$6</f>
        <v>261.04640000000001</v>
      </c>
      <c r="R572" s="390">
        <v>1.2</v>
      </c>
      <c r="S572" s="400">
        <f>SUMIFS(Таблица14[часы],Таблица14[коэф],"1,2",Таблица14[р/р],"5/16",Таблица14[Ф. И. О.],B572)</f>
        <v>0</v>
      </c>
      <c r="T572" s="392">
        <f>SUMIFS(Таблица14[Столбец2],Таблица14[коэф],"1,2",Таблица14[р/р],"5/16",Таблица14[Ф. И. О.],B572)</f>
        <v>0</v>
      </c>
      <c r="U572" s="478">
        <f>база!$M$6</f>
        <v>279.0496</v>
      </c>
      <c r="V572" s="390">
        <v>1.2</v>
      </c>
      <c r="W572" s="412">
        <f>SUMIFS(Таблица14[часы],Таблица14[коэф],"1,2",Таблица14[р/р],"5/24",Таблица14[Ф. И. О.],B572)</f>
        <v>0</v>
      </c>
      <c r="X572" s="545">
        <f>SUMIFS(Таблица14[Столбец2],Таблица14[коэф],"1,2",Таблица14[р/р],"5/24",Таблица14[Ф. И. О.],B572)</f>
        <v>0</v>
      </c>
      <c r="Y572" s="764"/>
      <c r="Z572" s="766"/>
      <c r="AA572" s="756"/>
      <c r="AC572" s="752" t="str">
        <f>IF(SUMIFS(Таблица14[часы],Таблица14[Ф. И. О.],B572)-Y567=0,"",SUMIFS(Таблица14[часы],Таблица14[Ф. И. О.],B572)-Y567)</f>
        <v/>
      </c>
    </row>
    <row r="573" spans="1:29">
      <c r="A573" s="756"/>
      <c r="B573" s="215"/>
      <c r="C573" s="759"/>
      <c r="D573" s="762"/>
      <c r="E573" s="389"/>
      <c r="F573" s="390"/>
      <c r="G573" s="400"/>
      <c r="H573" s="392"/>
      <c r="I573" s="432"/>
      <c r="J573" s="433"/>
      <c r="K573" s="434"/>
      <c r="L573" s="434"/>
      <c r="M573" s="434"/>
      <c r="N573" s="434"/>
      <c r="O573" s="434"/>
      <c r="P573" s="406"/>
      <c r="Q573" s="389">
        <f>IF($D$6&lt;=3,база!$L$4,
IF($D$6=4,база!$L$5,
IF($D$6=5,база!$L$6)))</f>
        <v>231.45480000000001</v>
      </c>
      <c r="R573" s="390">
        <v>1.3</v>
      </c>
      <c r="S573" s="400">
        <f>SUMIFS(Таблица14[часы],Таблица14[коэф],"1,3",Таблица14[р/р],"3/16",Таблица14[Ф. И. О.],B572)</f>
        <v>0</v>
      </c>
      <c r="T573" s="392">
        <f>SUMIFS(Таблица14[Столбец2],Таблица14[коэф],"1,3",Таблица14[р/р],"3/16",Таблица14[Ф. И. О.],B572)</f>
        <v>0</v>
      </c>
      <c r="U573" s="478">
        <f>IF(D567&lt;=3,база!$M$4,
IF(D567=4,база!$M$5,
IF(D567=5,база!$M$6)))</f>
        <v>225.09719999999999</v>
      </c>
      <c r="V573" s="390">
        <v>1.3</v>
      </c>
      <c r="W573" s="412">
        <f>SUMIFS(Таблица14[часы],Таблица14[коэф],"1,3",Таблица14[р/р],"3/24",Таблица14[Ф. И. О.],B572)</f>
        <v>0</v>
      </c>
      <c r="X573" s="545">
        <f>SUMIFS(Таблица14[Столбец2],Таблица14[коэф],"1,3",Таблица14[р/р],"3/24",Таблица14[Ф. И. О.],B572)</f>
        <v>0</v>
      </c>
      <c r="Y573" s="764"/>
      <c r="Z573" s="766"/>
      <c r="AA573" s="756"/>
    </row>
    <row r="574" spans="1:29">
      <c r="A574" s="756"/>
      <c r="B574" s="215"/>
      <c r="C574" s="759"/>
      <c r="D574" s="762"/>
      <c r="E574" s="389"/>
      <c r="F574" s="390"/>
      <c r="G574" s="400"/>
      <c r="H574" s="392"/>
      <c r="I574" s="432"/>
      <c r="J574" s="433"/>
      <c r="K574" s="434"/>
      <c r="L574" s="434"/>
      <c r="M574" s="434"/>
      <c r="N574" s="434"/>
      <c r="O574" s="434"/>
      <c r="P574" s="406"/>
      <c r="Q574" s="389">
        <f>база!$L$5</f>
        <v>231.45480000000001</v>
      </c>
      <c r="R574" s="390">
        <v>1.3</v>
      </c>
      <c r="S574" s="400">
        <f>SUMIFS(Таблица14[часы],Таблица14[коэф],"1,3",Таблица14[р/р],"4/16",Таблица14[Ф. И. О.],B572)</f>
        <v>0</v>
      </c>
      <c r="T574" s="392">
        <f>SUMIFS(Таблица14[Столбец2],Таблица14[коэф],"1,3",Таблица14[р/р],"4/16",Таблица14[Ф. И. О.],B572)</f>
        <v>0</v>
      </c>
      <c r="U574" s="478">
        <f>база!$M$5</f>
        <v>247.41720000000001</v>
      </c>
      <c r="V574" s="390">
        <v>1.3</v>
      </c>
      <c r="W574" s="412">
        <f>SUMIFS(Таблица14[часы],Таблица14[коэф],"1,3",Таблица14[р/р],"4/24",Таблица14[Ф. И. О.],B572)</f>
        <v>0</v>
      </c>
      <c r="X574" s="545">
        <f>SUMIFS(Таблица14[Столбец2],Таблица14[коэф],"1,3",Таблица14[р/р],"4/24",Таблица14[Ф. И. О.],B572)</f>
        <v>0</v>
      </c>
      <c r="Y574" s="764"/>
      <c r="Z574" s="766"/>
      <c r="AA574" s="756"/>
    </row>
    <row r="575" spans="1:29">
      <c r="A575" s="756"/>
      <c r="B575" s="215"/>
      <c r="C575" s="759"/>
      <c r="D575" s="762"/>
      <c r="E575" s="389"/>
      <c r="F575" s="390"/>
      <c r="G575" s="400"/>
      <c r="H575" s="392"/>
      <c r="I575" s="432"/>
      <c r="J575" s="433"/>
      <c r="K575" s="434"/>
      <c r="L575" s="434"/>
      <c r="M575" s="434"/>
      <c r="N575" s="434"/>
      <c r="O575" s="434"/>
      <c r="P575" s="406"/>
      <c r="Q575" s="389">
        <f>IF(D567&lt;=3,база!$L$4,
IF(D567=4,база!$L$5,
IF(D567=5,база!$L$6)))</f>
        <v>210.57480000000001</v>
      </c>
      <c r="R575" s="390">
        <v>1.4</v>
      </c>
      <c r="S575" s="400">
        <f>SUMIFS(Таблица14[часы],Таблица14[коэф],"1,4",Таблица14[р/р],"3/16",Таблица14[Ф. И. О.],B572)</f>
        <v>0</v>
      </c>
      <c r="T575" s="392">
        <f>SUMIFS(Таблица14[Столбец2],Таблица14[коэф],"1,4",Таблица14[р/р],"3/16",Таблица14[Ф. И. О.],B572)</f>
        <v>0</v>
      </c>
      <c r="U575" s="478">
        <f>IF(D567&lt;=3,база!$M$4,
IF(D567=4,база!$M$5,
IF(D567=5,база!$M$6)))</f>
        <v>225.09719999999999</v>
      </c>
      <c r="V575" s="390">
        <v>1.4</v>
      </c>
      <c r="W575" s="412">
        <f>SUMIFS(Таблица14[часы],Таблица14[коэф],"1,4",Таблица14[р/р],"3/24",Таблица14[Ф. И. О.],B572)</f>
        <v>0</v>
      </c>
      <c r="X575" s="545">
        <f>SUMIFS(Таблица14[Столбец2],Таблица14[коэф],"1,4",Таблица14[р/р],"3/24",Таблица14[Ф. И. О.],B572)</f>
        <v>0</v>
      </c>
      <c r="Y575" s="764"/>
      <c r="Z575" s="766"/>
      <c r="AA575" s="756"/>
    </row>
    <row r="576" spans="1:29">
      <c r="A576" s="756"/>
      <c r="B576" s="215"/>
      <c r="C576" s="759"/>
      <c r="D576" s="762"/>
      <c r="E576" s="389"/>
      <c r="F576" s="390"/>
      <c r="G576" s="400"/>
      <c r="H576" s="392"/>
      <c r="I576" s="432"/>
      <c r="J576" s="433"/>
      <c r="K576" s="434"/>
      <c r="L576" s="434"/>
      <c r="M576" s="434"/>
      <c r="N576" s="434"/>
      <c r="O576" s="434"/>
      <c r="P576" s="406"/>
      <c r="Q576" s="389">
        <f>база!$L$5</f>
        <v>231.45480000000001</v>
      </c>
      <c r="R576" s="390">
        <v>1.4</v>
      </c>
      <c r="S576" s="400">
        <f>SUMIFS(Таблица14[часы],Таблица14[коэф],"1,4",Таблица14[р/р],"4/16",Таблица14[Ф. И. О.],B572)</f>
        <v>0</v>
      </c>
      <c r="T576" s="392">
        <f>SUMIFS(Таблица14[Столбец2],Таблица14[коэф],"1,4",Таблица14[р/р],"4/16",Таблица14[Ф. И. О.],B572)</f>
        <v>0</v>
      </c>
      <c r="U576" s="478">
        <f>база!$M$5</f>
        <v>247.41720000000001</v>
      </c>
      <c r="V576" s="390">
        <v>1.4</v>
      </c>
      <c r="W576" s="412">
        <f>SUMIFS(Таблица14[часы],Таблица14[коэф],"1,4",Таблица14[р/р],"4/24",Таблица14[Ф. И. О.],B572)</f>
        <v>0</v>
      </c>
      <c r="X576" s="545">
        <f>SUMIFS(Таблица14[Столбец2],Таблица14[коэф],"1,4",Таблица14[р/р],"4/24",Таблица14[Ф. И. О.],B572)</f>
        <v>0</v>
      </c>
      <c r="Y576" s="764"/>
      <c r="Z576" s="766"/>
      <c r="AA576" s="756"/>
    </row>
    <row r="577" spans="1:29" ht="21" thickBot="1">
      <c r="A577" s="757"/>
      <c r="B577" s="352"/>
      <c r="C577" s="760"/>
      <c r="D577" s="763"/>
      <c r="E577" s="473"/>
      <c r="F577" s="464"/>
      <c r="G577" s="651"/>
      <c r="H577" s="468"/>
      <c r="I577" s="645"/>
      <c r="J577" s="456"/>
      <c r="K577" s="646"/>
      <c r="L577" s="457"/>
      <c r="M577" s="645"/>
      <c r="N577" s="646"/>
      <c r="O577" s="646"/>
      <c r="P577" s="476"/>
      <c r="Q577" s="652">
        <f>база!$L$6</f>
        <v>261.04640000000001</v>
      </c>
      <c r="R577" s="464">
        <v>1.4</v>
      </c>
      <c r="S577" s="465">
        <f>SUMIFS(Таблица14[часы],Таблица14[коэф],"1,4",Таблица14[р/р],"5/16",Таблица14[Ф. И. О.],B572)</f>
        <v>0</v>
      </c>
      <c r="T577" s="468">
        <f>SUMIFS(Таблица14[Столбец2],Таблица14[коэф],"1,4",Таблица14[р/р],"5/16",Таблица14[Ф. И. О.],B572)</f>
        <v>0</v>
      </c>
      <c r="U577" s="463">
        <f>база!$M$6</f>
        <v>279.0496</v>
      </c>
      <c r="V577" s="464">
        <v>1.4</v>
      </c>
      <c r="W577" s="465">
        <f>SUMIFS(Таблица14[часы],Таблица14[коэф],"1,4",Таблица14[р/р],"5/24",Таблица14[Ф. И. О.],B572)</f>
        <v>0</v>
      </c>
      <c r="X577" s="468">
        <f>SUMIFS(Таблица14[Столбец2],Таблица14[коэф],"1,4",Таблица14[р/р],"5/24",Таблица14[Ф. И. О.],B572)</f>
        <v>0</v>
      </c>
      <c r="Y577" s="765"/>
      <c r="Z577" s="767"/>
      <c r="AA577" s="757"/>
    </row>
    <row r="578" spans="1:29">
      <c r="A578" s="756">
        <v>53</v>
      </c>
      <c r="B578" s="215"/>
      <c r="C578" s="758">
        <f>INDEX(база!$E$2:$E$98, MATCH(B583,база!$B$2:$B$100,0))</f>
        <v>16303</v>
      </c>
      <c r="D578" s="761">
        <f>INDEX(база!$D$2:$D$121, MATCH(B583,база!$B$2:$B$100,0))</f>
        <v>3</v>
      </c>
      <c r="E578" s="481">
        <f>IF(D578&lt;=3,база!$I$4,
IF(D578=4,база!$I$5,
IF(D578=5,база!$I$6)))</f>
        <v>188.7912</v>
      </c>
      <c r="F578" s="417">
        <v>1</v>
      </c>
      <c r="G578" s="418">
        <f>SUMIFS(Таблица14[часы],Таблица14[коэф],"1",Таблица14[р/р],"2/4",Таблица14[Ф. И. О.],B583)</f>
        <v>0</v>
      </c>
      <c r="H578" s="402">
        <f>SUMIFS(Таблица14[Столбец2],Таблица14[коэф],"1",Таблица14[р/р],"2/4",Таблица14[Ф. И. О.],B583)</f>
        <v>0</v>
      </c>
      <c r="I578" s="452">
        <f>IF(D578&lt;=3,база!$J$4,
IF(D578=4,база!$J$5,
IF(D578=5,база!$J$6)))</f>
        <v>196.05240000000001</v>
      </c>
      <c r="J578" s="475">
        <v>1</v>
      </c>
      <c r="K578" s="453">
        <f>SUMIFS(Таблица14[часы],Таблица14[коэф],"1",Таблица14[р/р],"2/8",Таблица14[Ф. И. О.],B583)</f>
        <v>0</v>
      </c>
      <c r="L578" s="453">
        <f>SUMIFS(Таблица14[Столбец2],Таблица14[коэф],"1",Таблица14[р/р],"2/8",Таблица14[Ф. И. О.],B583)</f>
        <v>0</v>
      </c>
      <c r="M578" s="453"/>
      <c r="N578" s="453">
        <v>1</v>
      </c>
      <c r="O578" s="453">
        <f>SUMIFS(Data_Tech!$AM$3:$AM$67,Data_Tech!$E$3:$E$67,"1",Data_Tech!$G$3:$G$67,"3/12",Data_Tech!$F$3:$F$67,B583)</f>
        <v>0</v>
      </c>
      <c r="P578" s="398">
        <f>ROUND(M578*N578*O578,2)</f>
        <v>0</v>
      </c>
      <c r="Q578" s="481">
        <f>IF(D578&lt;=3,база!$L$4,
IF(D578=4,база!$L$5,
IF(D578=5,база!$L$6)))</f>
        <v>210.57480000000001</v>
      </c>
      <c r="R578" s="417">
        <v>1</v>
      </c>
      <c r="S578" s="418">
        <f>SUMIFS(Таблица14[часы],Таблица14[коэф],"1",Таблица14[р/р],"3/16",Таблица14[Ф. И. О.],B583)</f>
        <v>0</v>
      </c>
      <c r="T578" s="402">
        <f>SUMIFS(Таблица14[Столбец2],Таблица14[коэф],"1",Таблица14[р/р],"3/16",Таблица14[Ф. И. О.],B583)</f>
        <v>0</v>
      </c>
      <c r="U578" s="483">
        <f>IF(D578&lt;=3,база!$M$4,
IF(D578=4,база!$M$5,
IF(D578=5,база!$M$6)))</f>
        <v>225.09719999999999</v>
      </c>
      <c r="V578" s="417">
        <v>1</v>
      </c>
      <c r="W578" s="455">
        <f>SUMIFS(Таблица14[часы],Таблица14[коэф],"1",Таблица14[р/р],"3/24",Таблица14[Ф. И. О.],B583)</f>
        <v>0</v>
      </c>
      <c r="X578" s="552">
        <f>SUMIFS(Таблица14[Столбец2],Таблица14[коэф],"1",Таблица14[р/р],"3/24",Таблица14[Ф. И. О.],B583)</f>
        <v>0</v>
      </c>
      <c r="Y578" s="764">
        <f t="shared" ref="Y578" si="244">SUM(G578:G588,K578:K588,O578:O588,S578:S588,W578:W588)</f>
        <v>0</v>
      </c>
      <c r="Z578" s="766">
        <f t="shared" ref="Z578" si="245">IFERROR(SUM(H578:H588,L578:L588,T578:T588,X578:X588),"")</f>
        <v>0</v>
      </c>
      <c r="AA578" s="756"/>
    </row>
    <row r="579" spans="1:29">
      <c r="A579" s="756"/>
      <c r="B579" s="215"/>
      <c r="C579" s="759"/>
      <c r="D579" s="762"/>
      <c r="E579" s="389">
        <f>IF(D578&lt;=3,база!$I$4,
IF(D578=4,база!$I$5,
IF(D578=5,база!$I$6)))</f>
        <v>188.7912</v>
      </c>
      <c r="F579" s="390">
        <v>1</v>
      </c>
      <c r="G579" s="400">
        <f>SUMIFS(Таблица14[часы],Таблица14[коэф],"1",Таблица14[р/р],"3/4",Таблица14[Ф. И. О.],B583)</f>
        <v>0</v>
      </c>
      <c r="H579" s="392">
        <f>SUMIFS(Таблица14[Столбец2],Таблица14[коэф],"1",Таблица14[р/р],"3/4",Таблица14[Ф. И. О.],B583)</f>
        <v>0</v>
      </c>
      <c r="I579" s="432">
        <f>IF(D578&lt;=3,база!$J$4,
IF(D578=4,база!$J$5,
IF(D578=5,база!$J$6)))</f>
        <v>196.05240000000001</v>
      </c>
      <c r="J579" s="433">
        <v>1</v>
      </c>
      <c r="K579" s="434">
        <f>SUMIFS(Таблица14[часы],Таблица14[коэф],"1",Таблица14[р/р],"3/8",Таблица14[Ф. И. О.],B583)</f>
        <v>0</v>
      </c>
      <c r="L579" s="434">
        <f>SUMIFS(Таблица14[Столбец2],Таблица14[коэф],"1",Таблица14[р/р],"3/8",Таблица14[Ф. И. О.],B583)</f>
        <v>0</v>
      </c>
      <c r="M579" s="434"/>
      <c r="N579" s="434">
        <v>1</v>
      </c>
      <c r="O579" s="434">
        <f>SUMIFS(Data_Tech!$AM$3:$AM$67,Data_Tech!$E$3:$E$67,"1",Data_Tech!$G$3:$G$67,"4/12",Data_Tech!$F$3:$F$67,B583)</f>
        <v>0</v>
      </c>
      <c r="P579" s="406">
        <f>ROUND(M579*O579,2)</f>
        <v>0</v>
      </c>
      <c r="Q579" s="389">
        <f>база!$L$5</f>
        <v>231.45480000000001</v>
      </c>
      <c r="R579" s="390">
        <v>1</v>
      </c>
      <c r="S579" s="400">
        <f>SUMIFS(Таблица14[часы],Таблица14[коэф],"1",Таблица14[р/р],"4/16",Таблица14[Ф. И. О.],B583)</f>
        <v>0</v>
      </c>
      <c r="T579" s="392">
        <f>SUMIFS(Таблица14[Столбец2],Таблица14[коэф],"1",Таблица14[р/р],"4/16",Таблица14[Ф. И. О.],B583)</f>
        <v>0</v>
      </c>
      <c r="U579" s="478">
        <f>база!$M$5</f>
        <v>247.41720000000001</v>
      </c>
      <c r="V579" s="390">
        <v>1</v>
      </c>
      <c r="W579" s="412">
        <f>SUMIFS(Таблица14[часы],Таблица14[коэф],"1",Таблица14[р/р],"4/24",Таблица14[Ф. И. О.],B583)</f>
        <v>0</v>
      </c>
      <c r="X579" s="545">
        <f>SUMIFS(Таблица14[Столбец2],Таблица14[коэф],"1",Таблица14[р/р],"4/24",Таблица14[Ф. И. О.],B583)</f>
        <v>0</v>
      </c>
      <c r="Y579" s="764"/>
      <c r="Z579" s="766"/>
      <c r="AA579" s="756"/>
    </row>
    <row r="580" spans="1:29">
      <c r="A580" s="756"/>
      <c r="B580" s="215"/>
      <c r="C580" s="759"/>
      <c r="D580" s="762"/>
      <c r="E580" s="389"/>
      <c r="F580" s="390"/>
      <c r="G580" s="400"/>
      <c r="H580" s="392"/>
      <c r="I580" s="432"/>
      <c r="J580" s="433"/>
      <c r="K580" s="434"/>
      <c r="L580" s="434"/>
      <c r="M580" s="434"/>
      <c r="N580" s="434"/>
      <c r="O580" s="434"/>
      <c r="P580" s="406"/>
      <c r="Q580" s="389">
        <f>база!$L$6</f>
        <v>261.04640000000001</v>
      </c>
      <c r="R580" s="390">
        <v>1</v>
      </c>
      <c r="S580" s="400">
        <f>SUMIFS(Таблица14[часы],Таблица14[коэф],"1",Таблица14[р/р],"5/16",Таблица14[Ф. И. О.],B583)</f>
        <v>0</v>
      </c>
      <c r="T580" s="392">
        <f>SUMIFS(Таблица14[Столбец2],Таблица14[коэф],"1",Таблица14[р/р],"5/16",Таблица14[Ф. И. О.],B583)</f>
        <v>0</v>
      </c>
      <c r="U580" s="478">
        <f>база!$M$6</f>
        <v>279.0496</v>
      </c>
      <c r="V580" s="390">
        <v>1</v>
      </c>
      <c r="W580" s="412">
        <f>SUMIFS(Таблица14[часы],Таблица14[коэф],"1",Таблица14[р/р],"5/24",Таблица14[Ф. И. О.],B583)</f>
        <v>0</v>
      </c>
      <c r="X580" s="545">
        <f>SUMIFS(Таблица14[Столбец2],Таблица14[коэф],"1",Таблица14[р/р],"5/24",Таблица14[Ф. И. О.],B583)</f>
        <v>0</v>
      </c>
      <c r="Y580" s="764"/>
      <c r="Z580" s="766"/>
      <c r="AA580" s="756"/>
    </row>
    <row r="581" spans="1:29">
      <c r="A581" s="756"/>
      <c r="B581" s="215"/>
      <c r="C581" s="759"/>
      <c r="D581" s="762"/>
      <c r="E581" s="389"/>
      <c r="F581" s="390"/>
      <c r="G581" s="400"/>
      <c r="H581" s="392"/>
      <c r="I581" s="432">
        <f>база!$J$5</f>
        <v>215.4924</v>
      </c>
      <c r="J581" s="433">
        <v>1.5</v>
      </c>
      <c r="K581" s="434">
        <f>SUMIFS(Таблица14[часы],Таблица14[коэф],"1,5",Таблица14[р/р],"4/8",Таблица14[Ф. И. О.],B583)</f>
        <v>0</v>
      </c>
      <c r="L581" s="434">
        <f>SUMIFS(Таблица14[Столбец2],Таблица14[коэф],"1,5",Таблица14[р/р],"4/8",Таблица14[Ф. И. О.],B583)</f>
        <v>0</v>
      </c>
      <c r="M581" s="434"/>
      <c r="N581" s="434"/>
      <c r="O581" s="434"/>
      <c r="P581" s="406"/>
      <c r="Q581" s="389">
        <f>IF(D578&lt;=3,база!$L$4,
IF(D578=4,база!$L$5,
IF(D578=5,база!$L$6)))</f>
        <v>210.57480000000001</v>
      </c>
      <c r="R581" s="390">
        <v>1.2</v>
      </c>
      <c r="S581" s="400">
        <f>SUMIFS(Таблица14[часы],Таблица14[коэф],"1,2",Таблица14[р/р],"3/16",Таблица14[Ф. И. О.],B583)</f>
        <v>0</v>
      </c>
      <c r="T581" s="392">
        <f>SUMIFS(Таблица14[Столбец2],Таблица14[коэф],"1,2",Таблица14[р/р],"3/16",Таблица14[Ф. И. О.],B583)</f>
        <v>0</v>
      </c>
      <c r="U581" s="478">
        <f>IF(D578&lt;=3,база!$M$4,
IF(D578=4,база!$M$5,
IF(D578=5,база!$M$6)))</f>
        <v>225.09719999999999</v>
      </c>
      <c r="V581" s="390">
        <v>1.2</v>
      </c>
      <c r="W581" s="412">
        <f>SUMIFS(Таблица14[часы],Таблица14[коэф],"1,2",Таблица14[р/р],"3/24",Таблица14[Ф. И. О.],B583)</f>
        <v>0</v>
      </c>
      <c r="X581" s="545">
        <f>SUMIFS(Таблица14[Столбец2],Таблица14[коэф],"1,2",Таблица14[р/р],"3/24",Таблица14[Ф. И. О.],B583)</f>
        <v>0</v>
      </c>
      <c r="Y581" s="764"/>
      <c r="Z581" s="766"/>
      <c r="AA581" s="756"/>
    </row>
    <row r="582" spans="1:29">
      <c r="A582" s="756"/>
      <c r="B582" s="215"/>
      <c r="C582" s="759"/>
      <c r="D582" s="762"/>
      <c r="E582" s="389"/>
      <c r="F582" s="390"/>
      <c r="G582" s="400"/>
      <c r="H582" s="392"/>
      <c r="I582" s="432">
        <f>база!$J$6</f>
        <v>243.04319999999998</v>
      </c>
      <c r="J582" s="433">
        <v>1.5</v>
      </c>
      <c r="K582" s="434">
        <f>SUMIFS(Таблица14[часы],Таблица14[коэф],"1,5",Таблица14[р/р],"5/8",Таблица14[Ф. И. О.],B583)</f>
        <v>0</v>
      </c>
      <c r="L582" s="434">
        <f>SUMIFS(Таблица14[Столбец2],Таблица14[коэф],"1,5",Таблица14[р/р],"5/8",Таблица14[Ф. И. О.],B583)</f>
        <v>0</v>
      </c>
      <c r="M582" s="434"/>
      <c r="N582" s="434"/>
      <c r="O582" s="434"/>
      <c r="P582" s="406"/>
      <c r="Q582" s="389">
        <f>база!$L$5</f>
        <v>231.45480000000001</v>
      </c>
      <c r="R582" s="390">
        <v>1.2</v>
      </c>
      <c r="S582" s="400">
        <f>SUMIFS(Таблица14[часы],Таблица14[коэф],"1,2",Таблица14[р/р],"4/16",Таблица14[Ф. И. О.],B583)</f>
        <v>0</v>
      </c>
      <c r="T582" s="392">
        <f>SUMIFS(Таблица14[Столбец2],Таблица14[коэф],"1,2",Таблица14[р/р],"4/16",Таблица14[Ф. И. О.],B583)</f>
        <v>0</v>
      </c>
      <c r="U582" s="478">
        <f>база!$M$5</f>
        <v>247.41720000000001</v>
      </c>
      <c r="V582" s="390">
        <v>1.2</v>
      </c>
      <c r="W582" s="412">
        <f>SUMIFS(Таблица14[часы],Таблица14[коэф],"1,2",Таблица14[р/р],"4/24",Таблица14[Ф. И. О.],B583)</f>
        <v>0</v>
      </c>
      <c r="X582" s="545">
        <f>SUMIFS(Таблица14[Столбец2],Таблица14[коэф],"1,2",Таблица14[р/р],"4/24",Таблица14[Ф. И. О.],B583)</f>
        <v>0</v>
      </c>
      <c r="Y582" s="764"/>
      <c r="Z582" s="766"/>
      <c r="AA582" s="756"/>
    </row>
    <row r="583" spans="1:29">
      <c r="A583" s="756"/>
      <c r="B583" s="215" t="str">
        <f>база!B54</f>
        <v>Нагловская Наталья Анатольевна</v>
      </c>
      <c r="C583" s="759"/>
      <c r="D583" s="762"/>
      <c r="E583" s="389"/>
      <c r="F583" s="390"/>
      <c r="G583" s="400"/>
      <c r="H583" s="392"/>
      <c r="I583" s="432"/>
      <c r="J583" s="433"/>
      <c r="K583" s="434"/>
      <c r="L583" s="434"/>
      <c r="M583" s="434"/>
      <c r="N583" s="434"/>
      <c r="O583" s="434"/>
      <c r="P583" s="406"/>
      <c r="Q583" s="389">
        <f>база!$L$6</f>
        <v>261.04640000000001</v>
      </c>
      <c r="R583" s="390">
        <v>1.2</v>
      </c>
      <c r="S583" s="400">
        <f>SUMIFS(Таблица14[часы],Таблица14[коэф],"1,2",Таблица14[р/р],"5/16",Таблица14[Ф. И. О.],B583)</f>
        <v>0</v>
      </c>
      <c r="T583" s="392">
        <f>SUMIFS(Таблица14[Столбец2],Таблица14[коэф],"1,2",Таблица14[р/р],"5/16",Таблица14[Ф. И. О.],B583)</f>
        <v>0</v>
      </c>
      <c r="U583" s="478">
        <f>база!$M$6</f>
        <v>279.0496</v>
      </c>
      <c r="V583" s="390">
        <v>1.2</v>
      </c>
      <c r="W583" s="412">
        <f>SUMIFS(Таблица14[часы],Таблица14[коэф],"1,2",Таблица14[р/р],"5/24",Таблица14[Ф. И. О.],B583)</f>
        <v>0</v>
      </c>
      <c r="X583" s="545">
        <f>SUMIFS(Таблица14[Столбец2],Таблица14[коэф],"1,2",Таблица14[р/р],"5/24",Таблица14[Ф. И. О.],B583)</f>
        <v>0</v>
      </c>
      <c r="Y583" s="764"/>
      <c r="Z583" s="766"/>
      <c r="AA583" s="756"/>
      <c r="AC583" s="752" t="str">
        <f>IF(SUMIFS(Таблица14[Столбец2],Таблица14[Ф. И. О.],B583)-Z578=0,"",SUMIFS(Таблица14[Столбец2],Таблица14[Ф. И. О.],B583)-Z578)</f>
        <v/>
      </c>
    </row>
    <row r="584" spans="1:29">
      <c r="A584" s="756"/>
      <c r="B584" s="215"/>
      <c r="C584" s="759"/>
      <c r="D584" s="762"/>
      <c r="E584" s="389"/>
      <c r="F584" s="390"/>
      <c r="G584" s="400"/>
      <c r="H584" s="392"/>
      <c r="I584" s="432"/>
      <c r="J584" s="433"/>
      <c r="K584" s="434"/>
      <c r="L584" s="434"/>
      <c r="M584" s="434"/>
      <c r="N584" s="434"/>
      <c r="O584" s="434"/>
      <c r="P584" s="406"/>
      <c r="Q584" s="389">
        <f>IF($D$6&lt;=3,база!$L$4,
IF($D$6=4,база!$L$5,
IF($D$6=5,база!$L$6)))</f>
        <v>231.45480000000001</v>
      </c>
      <c r="R584" s="390">
        <v>1.3</v>
      </c>
      <c r="S584" s="400">
        <f>SUMIFS(Таблица14[часы],Таблица14[коэф],"1,3",Таблица14[р/р],"3/16",Таблица14[Ф. И. О.],B583)</f>
        <v>0</v>
      </c>
      <c r="T584" s="392">
        <f>SUMIFS(Таблица14[Столбец2],Таблица14[коэф],"1,3",Таблица14[р/р],"3/16",Таблица14[Ф. И. О.],B583)</f>
        <v>0</v>
      </c>
      <c r="U584" s="478">
        <f>IF(D578&lt;=3,база!$M$4,
IF(D578=4,база!$M$5,
IF(D578=5,база!$M$6)))</f>
        <v>225.09719999999999</v>
      </c>
      <c r="V584" s="390">
        <v>1.3</v>
      </c>
      <c r="W584" s="412">
        <f>SUMIFS(Таблица14[часы],Таблица14[коэф],"1,3",Таблица14[р/р],"3/24",Таблица14[Ф. И. О.],B583)</f>
        <v>0</v>
      </c>
      <c r="X584" s="545">
        <f>SUMIFS(Таблица14[Столбец2],Таблица14[коэф],"1,3",Таблица14[р/р],"3/24",Таблица14[Ф. И. О.],B583)</f>
        <v>0</v>
      </c>
      <c r="Y584" s="764"/>
      <c r="Z584" s="766"/>
      <c r="AA584" s="756"/>
      <c r="AC584" s="752" t="str">
        <f>IF(SUMIFS(Таблица14[часы],Таблица14[Ф. И. О.],B583)-Y578=0,"",SUMIFS(Таблица14[часы],Таблица14[Ф. И. О.],B583)-Y578)</f>
        <v/>
      </c>
    </row>
    <row r="585" spans="1:29">
      <c r="A585" s="756"/>
      <c r="B585" s="215"/>
      <c r="C585" s="759"/>
      <c r="D585" s="762"/>
      <c r="E585" s="389"/>
      <c r="F585" s="390"/>
      <c r="G585" s="400"/>
      <c r="H585" s="392"/>
      <c r="I585" s="432"/>
      <c r="J585" s="433"/>
      <c r="K585" s="434"/>
      <c r="L585" s="434"/>
      <c r="M585" s="434"/>
      <c r="N585" s="434"/>
      <c r="O585" s="434"/>
      <c r="P585" s="406"/>
      <c r="Q585" s="389">
        <f>база!$L$5</f>
        <v>231.45480000000001</v>
      </c>
      <c r="R585" s="390">
        <v>1.3</v>
      </c>
      <c r="S585" s="400">
        <f>SUMIFS(Таблица14[часы],Таблица14[коэф],"1,3",Таблица14[р/р],"4/16",Таблица14[Ф. И. О.],B583)</f>
        <v>0</v>
      </c>
      <c r="T585" s="392">
        <f>SUMIFS(Таблица14[Столбец2],Таблица14[коэф],"1,3",Таблица14[р/р],"4/16",Таблица14[Ф. И. О.],B583)</f>
        <v>0</v>
      </c>
      <c r="U585" s="478">
        <f>база!$M$5</f>
        <v>247.41720000000001</v>
      </c>
      <c r="V585" s="390">
        <v>1.3</v>
      </c>
      <c r="W585" s="412">
        <f>SUMIFS(Таблица14[часы],Таблица14[коэф],"1,3",Таблица14[р/р],"4/24",Таблица14[Ф. И. О.],B583)</f>
        <v>0</v>
      </c>
      <c r="X585" s="545">
        <f>SUMIFS(Таблица14[Столбец2],Таблица14[коэф],"1,3",Таблица14[р/р],"4/24",Таблица14[Ф. И. О.],B583)</f>
        <v>0</v>
      </c>
      <c r="Y585" s="764"/>
      <c r="Z585" s="766"/>
      <c r="AA585" s="756"/>
    </row>
    <row r="586" spans="1:29">
      <c r="A586" s="756"/>
      <c r="B586" s="215"/>
      <c r="C586" s="759"/>
      <c r="D586" s="762"/>
      <c r="E586" s="389"/>
      <c r="F586" s="390"/>
      <c r="G586" s="400"/>
      <c r="H586" s="392"/>
      <c r="I586" s="432"/>
      <c r="J586" s="433"/>
      <c r="K586" s="434"/>
      <c r="L586" s="434"/>
      <c r="M586" s="434"/>
      <c r="N586" s="434"/>
      <c r="O586" s="434"/>
      <c r="P586" s="406"/>
      <c r="Q586" s="389">
        <f>IF(D578&lt;=3,база!$L$4,
IF(D578=4,база!$L$5,
IF(D578=5,база!$L$6)))</f>
        <v>210.57480000000001</v>
      </c>
      <c r="R586" s="390">
        <v>1.4</v>
      </c>
      <c r="S586" s="400">
        <f>SUMIFS(Таблица14[часы],Таблица14[коэф],"1,4",Таблица14[р/р],"3/16",Таблица14[Ф. И. О.],B583)</f>
        <v>0</v>
      </c>
      <c r="T586" s="392">
        <f>SUMIFS(Таблица14[Столбец2],Таблица14[коэф],"1,4",Таблица14[р/р],"3/16",Таблица14[Ф. И. О.],B583)</f>
        <v>0</v>
      </c>
      <c r="U586" s="478">
        <f>IF(D578&lt;=3,база!$M$4,
IF(D578=4,база!$M$5,
IF(D578=5,база!$M$6)))</f>
        <v>225.09719999999999</v>
      </c>
      <c r="V586" s="390">
        <v>1.4</v>
      </c>
      <c r="W586" s="412">
        <f>SUMIFS(Таблица14[часы],Таблица14[коэф],"1,4",Таблица14[р/р],"3/24",Таблица14[Ф. И. О.],B583)</f>
        <v>0</v>
      </c>
      <c r="X586" s="545">
        <f>SUMIFS(Таблица14[Столбец2],Таблица14[коэф],"1,4",Таблица14[р/р],"3/24",Таблица14[Ф. И. О.],B583)</f>
        <v>0</v>
      </c>
      <c r="Y586" s="764"/>
      <c r="Z586" s="766"/>
      <c r="AA586" s="756"/>
    </row>
    <row r="587" spans="1:29">
      <c r="A587" s="756"/>
      <c r="B587" s="215"/>
      <c r="C587" s="759"/>
      <c r="D587" s="762"/>
      <c r="E587" s="389"/>
      <c r="F587" s="390"/>
      <c r="G587" s="400"/>
      <c r="H587" s="392"/>
      <c r="I587" s="432"/>
      <c r="J587" s="433"/>
      <c r="K587" s="434"/>
      <c r="L587" s="434"/>
      <c r="M587" s="434"/>
      <c r="N587" s="434"/>
      <c r="O587" s="434"/>
      <c r="P587" s="406"/>
      <c r="Q587" s="389">
        <f>база!$L$5</f>
        <v>231.45480000000001</v>
      </c>
      <c r="R587" s="390">
        <v>1.4</v>
      </c>
      <c r="S587" s="400">
        <f>SUMIFS(Таблица14[часы],Таблица14[коэф],"1,4",Таблица14[р/р],"4/16",Таблица14[Ф. И. О.],B583)</f>
        <v>0</v>
      </c>
      <c r="T587" s="392">
        <f>SUMIFS(Таблица14[Столбец2],Таблица14[коэф],"1,4",Таблица14[р/р],"4/16",Таблица14[Ф. И. О.],B583)</f>
        <v>0</v>
      </c>
      <c r="U587" s="478">
        <f>база!$M$5</f>
        <v>247.41720000000001</v>
      </c>
      <c r="V587" s="390">
        <v>1.4</v>
      </c>
      <c r="W587" s="412">
        <f>SUMIFS(Таблица14[часы],Таблица14[коэф],"1,4",Таблица14[р/р],"4/24",Таблица14[Ф. И. О.],B583)</f>
        <v>0</v>
      </c>
      <c r="X587" s="545">
        <f>SUMIFS(Таблица14[Столбец2],Таблица14[коэф],"1,4",Таблица14[р/р],"4/24",Таблица14[Ф. И. О.],B583)</f>
        <v>0</v>
      </c>
      <c r="Y587" s="764"/>
      <c r="Z587" s="766"/>
      <c r="AA587" s="756"/>
    </row>
    <row r="588" spans="1:29" ht="21" thickBot="1">
      <c r="A588" s="757"/>
      <c r="B588" s="352"/>
      <c r="C588" s="760"/>
      <c r="D588" s="763"/>
      <c r="E588" s="473"/>
      <c r="F588" s="464"/>
      <c r="G588" s="651"/>
      <c r="H588" s="468"/>
      <c r="I588" s="645"/>
      <c r="J588" s="456"/>
      <c r="K588" s="646"/>
      <c r="L588" s="457"/>
      <c r="M588" s="645"/>
      <c r="N588" s="646"/>
      <c r="O588" s="646"/>
      <c r="P588" s="476"/>
      <c r="Q588" s="652">
        <f>база!$L$6</f>
        <v>261.04640000000001</v>
      </c>
      <c r="R588" s="464">
        <v>1.4</v>
      </c>
      <c r="S588" s="465">
        <f>SUMIFS(Таблица14[часы],Таблица14[коэф],"1,4",Таблица14[р/р],"5/16",Таблица14[Ф. И. О.],B583)</f>
        <v>0</v>
      </c>
      <c r="T588" s="468">
        <f>SUMIFS(Таблица14[Столбец2],Таблица14[коэф],"1,4",Таблица14[р/р],"5/16",Таблица14[Ф. И. О.],B583)</f>
        <v>0</v>
      </c>
      <c r="U588" s="463">
        <f>база!$M$6</f>
        <v>279.0496</v>
      </c>
      <c r="V588" s="464">
        <v>1.4</v>
      </c>
      <c r="W588" s="465">
        <f>SUMIFS(Таблица14[часы],Таблица14[коэф],"1,4",Таблица14[р/р],"5/24",Таблица14[Ф. И. О.],B583)</f>
        <v>0</v>
      </c>
      <c r="X588" s="468">
        <f>SUMIFS(Таблица14[Столбец2],Таблица14[коэф],"1,4",Таблица14[р/р],"5/24",Таблица14[Ф. И. О.],B583)</f>
        <v>0</v>
      </c>
      <c r="Y588" s="765"/>
      <c r="Z588" s="767"/>
      <c r="AA588" s="757"/>
    </row>
    <row r="589" spans="1:29">
      <c r="A589" s="756">
        <v>54</v>
      </c>
      <c r="B589" s="215"/>
      <c r="C589" s="758">
        <f>INDEX(база!$E$2:$E$98, MATCH(B594,база!$B$2:$B$100,0))</f>
        <v>17164</v>
      </c>
      <c r="D589" s="761">
        <f>INDEX(база!$D$2:$D$121, MATCH(B594,база!$B$2:$B$100,0))</f>
        <v>3</v>
      </c>
      <c r="E589" s="481">
        <f>IF(D589&lt;=3,база!$I$4,
IF(D589=4,база!$I$5,
IF(D589=5,база!$I$6)))</f>
        <v>188.7912</v>
      </c>
      <c r="F589" s="417">
        <v>1</v>
      </c>
      <c r="G589" s="418">
        <f>SUMIFS(Таблица14[часы],Таблица14[коэф],"1",Таблица14[р/р],"2/4",Таблица14[Ф. И. О.],B594)</f>
        <v>0</v>
      </c>
      <c r="H589" s="402">
        <f>SUMIFS(Таблица14[Столбец2],Таблица14[коэф],"1",Таблица14[р/р],"2/4",Таблица14[Ф. И. О.],B594)</f>
        <v>0</v>
      </c>
      <c r="I589" s="452">
        <f>IF(D589&lt;=3,база!$J$4,
IF(D589=4,база!$J$5,
IF(D589=5,база!$J$6)))</f>
        <v>196.05240000000001</v>
      </c>
      <c r="J589" s="475">
        <v>1</v>
      </c>
      <c r="K589" s="453">
        <f>SUMIFS(Таблица14[часы],Таблица14[коэф],"1",Таблица14[р/р],"2/8",Таблица14[Ф. И. О.],B594)</f>
        <v>0</v>
      </c>
      <c r="L589" s="453">
        <f>SUMIFS(Таблица14[Столбец2],Таблица14[коэф],"1",Таблица14[р/р],"2/8",Таблица14[Ф. И. О.],B594)</f>
        <v>0</v>
      </c>
      <c r="M589" s="453"/>
      <c r="N589" s="453">
        <v>1</v>
      </c>
      <c r="O589" s="453">
        <f>SUMIFS(Data_Tech!$AM$3:$AM$67,Data_Tech!$E$3:$E$67,"1",Data_Tech!$G$3:$G$67,"3/12",Data_Tech!$F$3:$F$67,B594)</f>
        <v>0</v>
      </c>
      <c r="P589" s="398">
        <f>ROUND(M589*N589*O589,2)</f>
        <v>0</v>
      </c>
      <c r="Q589" s="481">
        <f>IF(D589&lt;=3,база!$L$4,
IF(D589=4,база!$L$5,
IF(D589=5,база!$L$6)))</f>
        <v>210.57480000000001</v>
      </c>
      <c r="R589" s="417">
        <v>1</v>
      </c>
      <c r="S589" s="418">
        <f>SUMIFS(Таблица14[часы],Таблица14[коэф],"1",Таблица14[р/р],"3/16",Таблица14[Ф. И. О.],B594)</f>
        <v>0</v>
      </c>
      <c r="T589" s="402">
        <f>SUMIFS(Таблица14[Столбец2],Таблица14[коэф],"1",Таблица14[р/р],"3/16",Таблица14[Ф. И. О.],B594)</f>
        <v>0</v>
      </c>
      <c r="U589" s="483">
        <f>IF(D589&lt;=3,база!$M$4,
IF(D589=4,база!$M$5,
IF(D589=5,база!$M$6)))</f>
        <v>225.09719999999999</v>
      </c>
      <c r="V589" s="417">
        <v>1</v>
      </c>
      <c r="W589" s="455">
        <f>SUMIFS(Таблица14[часы],Таблица14[коэф],"1",Таблица14[р/р],"3/24",Таблица14[Ф. И. О.],B594)</f>
        <v>0</v>
      </c>
      <c r="X589" s="552">
        <f>SUMIFS(Таблица14[Столбец2],Таблица14[коэф],"1",Таблица14[р/р],"3/24",Таблица14[Ф. И. О.],B594)</f>
        <v>0</v>
      </c>
      <c r="Y589" s="764">
        <f t="shared" ref="Y589" si="246">SUM(G589:G599,K589:K599,O589:O599,S589:S599,W589:W599)</f>
        <v>0</v>
      </c>
      <c r="Z589" s="766">
        <f t="shared" ref="Z589" si="247">IFERROR(SUM(H589:H599,L589:L599,T589:T599,X589:X599),"")</f>
        <v>0</v>
      </c>
      <c r="AA589" s="756"/>
    </row>
    <row r="590" spans="1:29">
      <c r="A590" s="756"/>
      <c r="B590" s="215"/>
      <c r="C590" s="759"/>
      <c r="D590" s="762"/>
      <c r="E590" s="389">
        <f>IF(D589&lt;=3,база!$I$4,
IF(D589=4,база!$I$5,
IF(D589=5,база!$I$6)))</f>
        <v>188.7912</v>
      </c>
      <c r="F590" s="390">
        <v>1</v>
      </c>
      <c r="G590" s="400">
        <f>SUMIFS(Таблица14[часы],Таблица14[коэф],"1",Таблица14[р/р],"3/4",Таблица14[Ф. И. О.],B594)</f>
        <v>0</v>
      </c>
      <c r="H590" s="392">
        <f>SUMIFS(Таблица14[Столбец2],Таблица14[коэф],"1",Таблица14[р/р],"3/4",Таблица14[Ф. И. О.],B594)</f>
        <v>0</v>
      </c>
      <c r="I590" s="432">
        <f>IF(D589&lt;=3,база!$J$4,
IF(D589=4,база!$J$5,
IF(D589=5,база!$J$6)))</f>
        <v>196.05240000000001</v>
      </c>
      <c r="J590" s="433">
        <v>1</v>
      </c>
      <c r="K590" s="434">
        <f>SUMIFS(Таблица14[часы],Таблица14[коэф],"1",Таблица14[р/р],"3/8",Таблица14[Ф. И. О.],B594)</f>
        <v>0</v>
      </c>
      <c r="L590" s="434">
        <f>SUMIFS(Таблица14[Столбец2],Таблица14[коэф],"1",Таблица14[р/р],"3/8",Таблица14[Ф. И. О.],B594)</f>
        <v>0</v>
      </c>
      <c r="M590" s="434"/>
      <c r="N590" s="434">
        <v>1</v>
      </c>
      <c r="O590" s="434">
        <f>SUMIFS(Data_Tech!$AM$3:$AM$67,Data_Tech!$E$3:$E$67,"1",Data_Tech!$G$3:$G$67,"4/12",Data_Tech!$F$3:$F$67,B594)</f>
        <v>0</v>
      </c>
      <c r="P590" s="406">
        <f>ROUND(M590*O590,2)</f>
        <v>0</v>
      </c>
      <c r="Q590" s="389">
        <f>база!$L$5</f>
        <v>231.45480000000001</v>
      </c>
      <c r="R590" s="390">
        <v>1</v>
      </c>
      <c r="S590" s="400">
        <f>SUMIFS(Таблица14[часы],Таблица14[коэф],"1",Таблица14[р/р],"4/16",Таблица14[Ф. И. О.],B594)</f>
        <v>0</v>
      </c>
      <c r="T590" s="392">
        <f>SUMIFS(Таблица14[Столбец2],Таблица14[коэф],"1",Таблица14[р/р],"4/16",Таблица14[Ф. И. О.],B594)</f>
        <v>0</v>
      </c>
      <c r="U590" s="478">
        <f>база!$M$5</f>
        <v>247.41720000000001</v>
      </c>
      <c r="V590" s="390">
        <v>1</v>
      </c>
      <c r="W590" s="412">
        <f>SUMIFS(Таблица14[часы],Таблица14[коэф],"1",Таблица14[р/р],"4/24",Таблица14[Ф. И. О.],B594)</f>
        <v>0</v>
      </c>
      <c r="X590" s="545">
        <f>SUMIFS(Таблица14[Столбец2],Таблица14[коэф],"1",Таблица14[р/р],"4/24",Таблица14[Ф. И. О.],B594)</f>
        <v>0</v>
      </c>
      <c r="Y590" s="764"/>
      <c r="Z590" s="766"/>
      <c r="AA590" s="756"/>
    </row>
    <row r="591" spans="1:29">
      <c r="A591" s="756"/>
      <c r="B591" s="215"/>
      <c r="C591" s="759"/>
      <c r="D591" s="762"/>
      <c r="E591" s="389"/>
      <c r="F591" s="390"/>
      <c r="G591" s="400"/>
      <c r="H591" s="392"/>
      <c r="I591" s="432"/>
      <c r="J591" s="433"/>
      <c r="K591" s="434"/>
      <c r="L591" s="434"/>
      <c r="M591" s="434"/>
      <c r="N591" s="434"/>
      <c r="O591" s="434"/>
      <c r="P591" s="406"/>
      <c r="Q591" s="389">
        <f>база!$L$6</f>
        <v>261.04640000000001</v>
      </c>
      <c r="R591" s="390">
        <v>1</v>
      </c>
      <c r="S591" s="400">
        <f>SUMIFS(Таблица14[часы],Таблица14[коэф],"1",Таблица14[р/р],"5/16",Таблица14[Ф. И. О.],B594)</f>
        <v>0</v>
      </c>
      <c r="T591" s="392">
        <f>SUMIFS(Таблица14[Столбец2],Таблица14[коэф],"1",Таблица14[р/р],"5/16",Таблица14[Ф. И. О.],B594)</f>
        <v>0</v>
      </c>
      <c r="U591" s="478">
        <f>база!$M$6</f>
        <v>279.0496</v>
      </c>
      <c r="V591" s="390">
        <v>1</v>
      </c>
      <c r="W591" s="412">
        <f>SUMIFS(Таблица14[часы],Таблица14[коэф],"1",Таблица14[р/р],"5/24",Таблица14[Ф. И. О.],B594)</f>
        <v>0</v>
      </c>
      <c r="X591" s="545">
        <f>SUMIFS(Таблица14[Столбец2],Таблица14[коэф],"1",Таблица14[р/р],"5/24",Таблица14[Ф. И. О.],B594)</f>
        <v>0</v>
      </c>
      <c r="Y591" s="764"/>
      <c r="Z591" s="766"/>
      <c r="AA591" s="756"/>
    </row>
    <row r="592" spans="1:29">
      <c r="A592" s="756"/>
      <c r="B592" s="215"/>
      <c r="C592" s="759"/>
      <c r="D592" s="762"/>
      <c r="E592" s="389"/>
      <c r="F592" s="390"/>
      <c r="G592" s="400"/>
      <c r="H592" s="392"/>
      <c r="I592" s="432">
        <f>база!$J$5</f>
        <v>215.4924</v>
      </c>
      <c r="J592" s="433">
        <v>1.5</v>
      </c>
      <c r="K592" s="434">
        <f>SUMIFS(Таблица14[часы],Таблица14[коэф],"1,5",Таблица14[р/р],"4/8",Таблица14[Ф. И. О.],B594)</f>
        <v>0</v>
      </c>
      <c r="L592" s="434">
        <f>SUMIFS(Таблица14[Столбец2],Таблица14[коэф],"1,5",Таблица14[р/р],"4/8",Таблица14[Ф. И. О.],B594)</f>
        <v>0</v>
      </c>
      <c r="M592" s="434"/>
      <c r="N592" s="434"/>
      <c r="O592" s="434"/>
      <c r="P592" s="406"/>
      <c r="Q592" s="389">
        <f>IF(D589&lt;=3,база!$L$4,
IF(D589=4,база!$L$5,
IF(D589=5,база!$L$6)))</f>
        <v>210.57480000000001</v>
      </c>
      <c r="R592" s="390">
        <v>1.2</v>
      </c>
      <c r="S592" s="400">
        <f>SUMIFS(Таблица14[часы],Таблица14[коэф],"1,2",Таблица14[р/р],"3/16",Таблица14[Ф. И. О.],B594)</f>
        <v>0</v>
      </c>
      <c r="T592" s="392">
        <f>SUMIFS(Таблица14[Столбец2],Таблица14[коэф],"1,2",Таблица14[р/р],"3/16",Таблица14[Ф. И. О.],B594)</f>
        <v>0</v>
      </c>
      <c r="U592" s="478">
        <f>IF(D589&lt;=3,база!$M$4,
IF(D589=4,база!$M$5,
IF(D589=5,база!$M$6)))</f>
        <v>225.09719999999999</v>
      </c>
      <c r="V592" s="390">
        <v>1.2</v>
      </c>
      <c r="W592" s="412">
        <f>SUMIFS(Таблица14[часы],Таблица14[коэф],"1,2",Таблица14[р/р],"3/24",Таблица14[Ф. И. О.],B594)</f>
        <v>0</v>
      </c>
      <c r="X592" s="545">
        <f>SUMIFS(Таблица14[Столбец2],Таблица14[коэф],"1,2",Таблица14[р/р],"3/24",Таблица14[Ф. И. О.],B594)</f>
        <v>0</v>
      </c>
      <c r="Y592" s="764"/>
      <c r="Z592" s="766"/>
      <c r="AA592" s="756"/>
    </row>
    <row r="593" spans="1:29">
      <c r="A593" s="756"/>
      <c r="B593" s="215"/>
      <c r="C593" s="759"/>
      <c r="D593" s="762"/>
      <c r="E593" s="389"/>
      <c r="F593" s="390"/>
      <c r="G593" s="400"/>
      <c r="H593" s="392"/>
      <c r="I593" s="432">
        <f>база!$J$6</f>
        <v>243.04319999999998</v>
      </c>
      <c r="J593" s="433">
        <v>1.5</v>
      </c>
      <c r="K593" s="434">
        <f>SUMIFS(Таблица14[часы],Таблица14[коэф],"1,5",Таблица14[р/р],"5/8",Таблица14[Ф. И. О.],B594)</f>
        <v>0</v>
      </c>
      <c r="L593" s="434">
        <f>SUMIFS(Таблица14[Столбец2],Таблица14[коэф],"1,5",Таблица14[р/р],"5/8",Таблица14[Ф. И. О.],B594)</f>
        <v>0</v>
      </c>
      <c r="M593" s="434"/>
      <c r="N593" s="434"/>
      <c r="O593" s="434"/>
      <c r="P593" s="406"/>
      <c r="Q593" s="389">
        <f>база!$L$5</f>
        <v>231.45480000000001</v>
      </c>
      <c r="R593" s="390">
        <v>1.2</v>
      </c>
      <c r="S593" s="400">
        <f>SUMIFS(Таблица14[часы],Таблица14[коэф],"1,2",Таблица14[р/р],"4/16",Таблица14[Ф. И. О.],B594)</f>
        <v>0</v>
      </c>
      <c r="T593" s="392">
        <f>SUMIFS(Таблица14[Столбец2],Таблица14[коэф],"1,2",Таблица14[р/р],"4/16",Таблица14[Ф. И. О.],B594)</f>
        <v>0</v>
      </c>
      <c r="U593" s="478">
        <f>база!$M$5</f>
        <v>247.41720000000001</v>
      </c>
      <c r="V593" s="390">
        <v>1.2</v>
      </c>
      <c r="W593" s="412">
        <f>SUMIFS(Таблица14[часы],Таблица14[коэф],"1,2",Таблица14[р/р],"4/24",Таблица14[Ф. И. О.],B594)</f>
        <v>0</v>
      </c>
      <c r="X593" s="545">
        <f>SUMIFS(Таблица14[Столбец2],Таблица14[коэф],"1,2",Таблица14[р/р],"4/24",Таблица14[Ф. И. О.],B594)</f>
        <v>0</v>
      </c>
      <c r="Y593" s="764"/>
      <c r="Z593" s="766"/>
      <c r="AA593" s="756"/>
      <c r="AC593" s="752" t="str">
        <f>IF(SUMIFS(Таблица14[Столбец2],Таблица14[Ф. И. О.],B594)-Z589=0,"",SUMIFS(Таблица14[Столбец2],Таблица14[Ф. И. О.],B594)-Z589)</f>
        <v/>
      </c>
    </row>
    <row r="594" spans="1:29">
      <c r="A594" s="756"/>
      <c r="B594" s="215" t="str">
        <f>база!B55</f>
        <v>Никифорова Юлия Анатольевна</v>
      </c>
      <c r="C594" s="759"/>
      <c r="D594" s="762"/>
      <c r="E594" s="389"/>
      <c r="F594" s="390"/>
      <c r="G594" s="400"/>
      <c r="H594" s="392"/>
      <c r="I594" s="432"/>
      <c r="J594" s="433"/>
      <c r="K594" s="434"/>
      <c r="L594" s="434"/>
      <c r="M594" s="434"/>
      <c r="N594" s="434"/>
      <c r="O594" s="434"/>
      <c r="P594" s="406"/>
      <c r="Q594" s="389">
        <f>база!$L$6</f>
        <v>261.04640000000001</v>
      </c>
      <c r="R594" s="390">
        <v>1.2</v>
      </c>
      <c r="S594" s="400">
        <f>SUMIFS(Таблица14[часы],Таблица14[коэф],"1,2",Таблица14[р/р],"5/16",Таблица14[Ф. И. О.],B594)</f>
        <v>0</v>
      </c>
      <c r="T594" s="392">
        <f>SUMIFS(Таблица14[Столбец2],Таблица14[коэф],"1,2",Таблица14[р/р],"5/16",Таблица14[Ф. И. О.],B594)</f>
        <v>0</v>
      </c>
      <c r="U594" s="478">
        <f>база!$M$6</f>
        <v>279.0496</v>
      </c>
      <c r="V594" s="390">
        <v>1.2</v>
      </c>
      <c r="W594" s="412">
        <f>SUMIFS(Таблица14[часы],Таблица14[коэф],"1,2",Таблица14[р/р],"5/24",Таблица14[Ф. И. О.],B594)</f>
        <v>0</v>
      </c>
      <c r="X594" s="545">
        <f>SUMIFS(Таблица14[Столбец2],Таблица14[коэф],"1,2",Таблица14[р/р],"5/24",Таблица14[Ф. И. О.],B594)</f>
        <v>0</v>
      </c>
      <c r="Y594" s="764"/>
      <c r="Z594" s="766"/>
      <c r="AA594" s="756"/>
      <c r="AC594" s="752" t="str">
        <f>IF(SUMIFS(Таблица14[часы],Таблица14[Ф. И. О.],B594)-Y589=0,"",SUMIFS(Таблица14[часы],Таблица14[Ф. И. О.],B594)-Y589)</f>
        <v/>
      </c>
    </row>
    <row r="595" spans="1:29">
      <c r="A595" s="756"/>
      <c r="B595" s="215"/>
      <c r="C595" s="759"/>
      <c r="D595" s="762"/>
      <c r="E595" s="389"/>
      <c r="F595" s="390"/>
      <c r="G595" s="400"/>
      <c r="H595" s="392"/>
      <c r="I595" s="432"/>
      <c r="J595" s="433"/>
      <c r="K595" s="434"/>
      <c r="L595" s="434"/>
      <c r="M595" s="434"/>
      <c r="N595" s="434"/>
      <c r="O595" s="434"/>
      <c r="P595" s="406"/>
      <c r="Q595" s="389">
        <f>IF($D$6&lt;=3,база!$L$4,
IF($D$6=4,база!$L$5,
IF($D$6=5,база!$L$6)))</f>
        <v>231.45480000000001</v>
      </c>
      <c r="R595" s="390">
        <v>1.3</v>
      </c>
      <c r="S595" s="400">
        <f>SUMIFS(Таблица14[часы],Таблица14[коэф],"1,3",Таблица14[р/р],"3/16",Таблица14[Ф. И. О.],B594)</f>
        <v>0</v>
      </c>
      <c r="T595" s="392">
        <f>SUMIFS(Таблица14[Столбец2],Таблица14[коэф],"1,3",Таблица14[р/р],"3/16",Таблица14[Ф. И. О.],B594)</f>
        <v>0</v>
      </c>
      <c r="U595" s="478">
        <f>IF(D589&lt;=3,база!$M$4,
IF(D589=4,база!$M$5,
IF(D589=5,база!$M$6)))</f>
        <v>225.09719999999999</v>
      </c>
      <c r="V595" s="390">
        <v>1.3</v>
      </c>
      <c r="W595" s="412">
        <f>SUMIFS(Таблица14[часы],Таблица14[коэф],"1,3",Таблица14[р/р],"3/24",Таблица14[Ф. И. О.],B594)</f>
        <v>0</v>
      </c>
      <c r="X595" s="545">
        <f>SUMIFS(Таблица14[Столбец2],Таблица14[коэф],"1,3",Таблица14[р/р],"3/24",Таблица14[Ф. И. О.],B594)</f>
        <v>0</v>
      </c>
      <c r="Y595" s="764"/>
      <c r="Z595" s="766"/>
      <c r="AA595" s="756"/>
    </row>
    <row r="596" spans="1:29">
      <c r="A596" s="756"/>
      <c r="B596" s="215"/>
      <c r="C596" s="759"/>
      <c r="D596" s="762"/>
      <c r="E596" s="389"/>
      <c r="F596" s="390"/>
      <c r="G596" s="400"/>
      <c r="H596" s="392"/>
      <c r="I596" s="432"/>
      <c r="J596" s="433"/>
      <c r="K596" s="434"/>
      <c r="L596" s="434"/>
      <c r="M596" s="434"/>
      <c r="N596" s="434"/>
      <c r="O596" s="434"/>
      <c r="P596" s="406"/>
      <c r="Q596" s="389">
        <f>база!$L$5</f>
        <v>231.45480000000001</v>
      </c>
      <c r="R596" s="390">
        <v>1.3</v>
      </c>
      <c r="S596" s="400">
        <f>SUMIFS(Таблица14[часы],Таблица14[коэф],"1,3",Таблица14[р/р],"4/16",Таблица14[Ф. И. О.],B594)</f>
        <v>0</v>
      </c>
      <c r="T596" s="392">
        <f>SUMIFS(Таблица14[Столбец2],Таблица14[коэф],"1,3",Таблица14[р/р],"4/16",Таблица14[Ф. И. О.],B594)</f>
        <v>0</v>
      </c>
      <c r="U596" s="478">
        <f>база!$M$5</f>
        <v>247.41720000000001</v>
      </c>
      <c r="V596" s="390">
        <v>1.3</v>
      </c>
      <c r="W596" s="412">
        <f>SUMIFS(Таблица14[часы],Таблица14[коэф],"1,3",Таблица14[р/р],"4/24",Таблица14[Ф. И. О.],B594)</f>
        <v>0</v>
      </c>
      <c r="X596" s="545">
        <f>SUMIFS(Таблица14[Столбец2],Таблица14[коэф],"1,3",Таблица14[р/р],"4/24",Таблица14[Ф. И. О.],B594)</f>
        <v>0</v>
      </c>
      <c r="Y596" s="764"/>
      <c r="Z596" s="766"/>
      <c r="AA596" s="756"/>
    </row>
    <row r="597" spans="1:29">
      <c r="A597" s="756"/>
      <c r="B597" s="215"/>
      <c r="C597" s="759"/>
      <c r="D597" s="762"/>
      <c r="E597" s="389"/>
      <c r="F597" s="390"/>
      <c r="G597" s="400"/>
      <c r="H597" s="392"/>
      <c r="I597" s="432"/>
      <c r="J597" s="433"/>
      <c r="K597" s="434"/>
      <c r="L597" s="434"/>
      <c r="M597" s="434"/>
      <c r="N597" s="434"/>
      <c r="O597" s="434"/>
      <c r="P597" s="406"/>
      <c r="Q597" s="389">
        <f>IF(D589&lt;=3,база!$L$4,
IF(D589=4,база!$L$5,
IF(D589=5,база!$L$6)))</f>
        <v>210.57480000000001</v>
      </c>
      <c r="R597" s="390">
        <v>1.4</v>
      </c>
      <c r="S597" s="400">
        <f>SUMIFS(Таблица14[часы],Таблица14[коэф],"1,4",Таблица14[р/р],"3/16",Таблица14[Ф. И. О.],B594)</f>
        <v>0</v>
      </c>
      <c r="T597" s="392">
        <f>SUMIFS(Таблица14[Столбец2],Таблица14[коэф],"1,4",Таблица14[р/р],"3/16",Таблица14[Ф. И. О.],B594)</f>
        <v>0</v>
      </c>
      <c r="U597" s="478">
        <f>IF(D589&lt;=3,база!$M$4,
IF(D589=4,база!$M$5,
IF(D589=5,база!$M$6)))</f>
        <v>225.09719999999999</v>
      </c>
      <c r="V597" s="390">
        <v>1.4</v>
      </c>
      <c r="W597" s="412">
        <f>SUMIFS(Таблица14[часы],Таблица14[коэф],"1,4",Таблица14[р/р],"3/24",Таблица14[Ф. И. О.],B594)</f>
        <v>0</v>
      </c>
      <c r="X597" s="545">
        <f>SUMIFS(Таблица14[Столбец2],Таблица14[коэф],"1,4",Таблица14[р/р],"3/24",Таблица14[Ф. И. О.],B594)</f>
        <v>0</v>
      </c>
      <c r="Y597" s="764"/>
      <c r="Z597" s="766"/>
      <c r="AA597" s="756"/>
    </row>
    <row r="598" spans="1:29">
      <c r="A598" s="756"/>
      <c r="B598" s="215"/>
      <c r="C598" s="759"/>
      <c r="D598" s="762"/>
      <c r="E598" s="389"/>
      <c r="F598" s="390"/>
      <c r="G598" s="400"/>
      <c r="H598" s="392"/>
      <c r="I598" s="432"/>
      <c r="J598" s="433"/>
      <c r="K598" s="434"/>
      <c r="L598" s="434"/>
      <c r="M598" s="434"/>
      <c r="N598" s="434"/>
      <c r="O598" s="434"/>
      <c r="P598" s="406"/>
      <c r="Q598" s="389">
        <f>база!$L$5</f>
        <v>231.45480000000001</v>
      </c>
      <c r="R598" s="390">
        <v>1.4</v>
      </c>
      <c r="S598" s="400">
        <f>SUMIFS(Таблица14[часы],Таблица14[коэф],"1,4",Таблица14[р/р],"4/16",Таблица14[Ф. И. О.],B594)</f>
        <v>0</v>
      </c>
      <c r="T598" s="392">
        <f>SUMIFS(Таблица14[Столбец2],Таблица14[коэф],"1,4",Таблица14[р/р],"4/16",Таблица14[Ф. И. О.],B594)</f>
        <v>0</v>
      </c>
      <c r="U598" s="478">
        <f>база!$M$5</f>
        <v>247.41720000000001</v>
      </c>
      <c r="V598" s="390">
        <v>1.4</v>
      </c>
      <c r="W598" s="412">
        <f>SUMIFS(Таблица14[часы],Таблица14[коэф],"1,4",Таблица14[р/р],"4/24",Таблица14[Ф. И. О.],B594)</f>
        <v>0</v>
      </c>
      <c r="X598" s="545">
        <f>SUMIFS(Таблица14[Столбец2],Таблица14[коэф],"1,4",Таблица14[р/р],"4/24",Таблица14[Ф. И. О.],B594)</f>
        <v>0</v>
      </c>
      <c r="Y598" s="764"/>
      <c r="Z598" s="766"/>
      <c r="AA598" s="756"/>
    </row>
    <row r="599" spans="1:29" ht="21" thickBot="1">
      <c r="A599" s="757"/>
      <c r="B599" s="352"/>
      <c r="C599" s="760"/>
      <c r="D599" s="763"/>
      <c r="E599" s="473"/>
      <c r="F599" s="464"/>
      <c r="G599" s="651"/>
      <c r="H599" s="468"/>
      <c r="I599" s="645"/>
      <c r="J599" s="456"/>
      <c r="K599" s="646"/>
      <c r="L599" s="457"/>
      <c r="M599" s="645"/>
      <c r="N599" s="646"/>
      <c r="O599" s="646"/>
      <c r="P599" s="476"/>
      <c r="Q599" s="652">
        <f>база!$L$6</f>
        <v>261.04640000000001</v>
      </c>
      <c r="R599" s="464">
        <v>1.4</v>
      </c>
      <c r="S599" s="465">
        <f>SUMIFS(Таблица14[часы],Таблица14[коэф],"1,4",Таблица14[р/р],"5/16",Таблица14[Ф. И. О.],B594)</f>
        <v>0</v>
      </c>
      <c r="T599" s="468">
        <f>SUMIFS(Таблица14[Столбец2],Таблица14[коэф],"1,4",Таблица14[р/р],"5/16",Таблица14[Ф. И. О.],B594)</f>
        <v>0</v>
      </c>
      <c r="U599" s="463">
        <f>база!$M$6</f>
        <v>279.0496</v>
      </c>
      <c r="V599" s="464">
        <v>1.4</v>
      </c>
      <c r="W599" s="465">
        <f>SUMIFS(Таблица14[часы],Таблица14[коэф],"1,4",Таблица14[р/р],"5/24",Таблица14[Ф. И. О.],B594)</f>
        <v>0</v>
      </c>
      <c r="X599" s="468">
        <f>SUMIFS(Таблица14[Столбец2],Таблица14[коэф],"1,4",Таблица14[р/р],"5/24",Таблица14[Ф. И. О.],B594)</f>
        <v>0</v>
      </c>
      <c r="Y599" s="765"/>
      <c r="Z599" s="767"/>
      <c r="AA599" s="757"/>
    </row>
    <row r="600" spans="1:29">
      <c r="A600" s="756">
        <v>55</v>
      </c>
      <c r="B600" s="215"/>
      <c r="C600" s="758">
        <f>INDEX(база!$E$2:$E$98, MATCH(B605,база!$B$2:$B$100,0))</f>
        <v>17307</v>
      </c>
      <c r="D600" s="761">
        <f>INDEX(база!$D$2:$D$121, MATCH(B605,база!$B$2:$B$100,0))</f>
        <v>3</v>
      </c>
      <c r="E600" s="481">
        <f>IF(D600&lt;=3,база!$I$4,
IF(D600=4,база!$I$5,
IF(D600=5,база!$I$6)))</f>
        <v>188.7912</v>
      </c>
      <c r="F600" s="417">
        <v>1</v>
      </c>
      <c r="G600" s="418">
        <f>SUMIFS(Таблица14[часы],Таблица14[коэф],"1",Таблица14[р/р],"2/4",Таблица14[Ф. И. О.],B605)</f>
        <v>0</v>
      </c>
      <c r="H600" s="402">
        <f>SUMIFS(Таблица14[Столбец2],Таблица14[коэф],"1",Таблица14[р/р],"2/4",Таблица14[Ф. И. О.],B605)</f>
        <v>0</v>
      </c>
      <c r="I600" s="452">
        <f>IF(D600&lt;=3,база!$J$4,
IF(D600=4,база!$J$5,
IF(D600=5,база!$J$6)))</f>
        <v>196.05240000000001</v>
      </c>
      <c r="J600" s="475">
        <v>1</v>
      </c>
      <c r="K600" s="453">
        <f>SUMIFS(Таблица14[часы],Таблица14[коэф],"1",Таблица14[р/р],"2/8",Таблица14[Ф. И. О.],B605)</f>
        <v>0</v>
      </c>
      <c r="L600" s="453">
        <f>SUMIFS(Таблица14[Столбец2],Таблица14[коэф],"1",Таблица14[р/р],"2/8",Таблица14[Ф. И. О.],B605)</f>
        <v>0</v>
      </c>
      <c r="M600" s="453"/>
      <c r="N600" s="453">
        <v>1</v>
      </c>
      <c r="O600" s="453">
        <f>SUMIFS(Data_Tech!$AM$3:$AM$67,Data_Tech!$E$3:$E$67,"1",Data_Tech!$G$3:$G$67,"3/12",Data_Tech!$F$3:$F$67,B605)</f>
        <v>0</v>
      </c>
      <c r="P600" s="398">
        <f>ROUND(M600*N600*O600,2)</f>
        <v>0</v>
      </c>
      <c r="Q600" s="481">
        <f>IF(D600&lt;=3,база!$L$4,
IF(D600=4,база!$L$5,
IF(D600=5,база!$L$6)))</f>
        <v>210.57480000000001</v>
      </c>
      <c r="R600" s="417">
        <v>1</v>
      </c>
      <c r="S600" s="418">
        <f>SUMIFS(Таблица14[часы],Таблица14[коэф],"1",Таблица14[р/р],"3/16",Таблица14[Ф. И. О.],B605)</f>
        <v>0</v>
      </c>
      <c r="T600" s="402">
        <f>SUMIFS(Таблица14[Столбец2],Таблица14[коэф],"1",Таблица14[р/р],"3/16",Таблица14[Ф. И. О.],B605)</f>
        <v>0</v>
      </c>
      <c r="U600" s="483">
        <f>IF(D600&lt;=3,база!$M$4,
IF(D600=4,база!$M$5,
IF(D600=5,база!$M$6)))</f>
        <v>225.09719999999999</v>
      </c>
      <c r="V600" s="417">
        <v>1</v>
      </c>
      <c r="W600" s="455">
        <f>SUMIFS(Таблица14[часы],Таблица14[коэф],"1",Таблица14[р/р],"3/24",Таблица14[Ф. И. О.],B605)</f>
        <v>0</v>
      </c>
      <c r="X600" s="552">
        <f>SUMIFS(Таблица14[Столбец2],Таблица14[коэф],"1",Таблица14[р/р],"3/24",Таблица14[Ф. И. О.],B605)</f>
        <v>0</v>
      </c>
      <c r="Y600" s="764">
        <f t="shared" ref="Y600" si="248">SUM(G600:G610,K600:K610,O600:O610,S600:S610,W600:W610)</f>
        <v>0</v>
      </c>
      <c r="Z600" s="766">
        <f t="shared" ref="Z600" si="249">IFERROR(SUM(H600:H610,L600:L610,T600:T610,X600:X610),"")</f>
        <v>0</v>
      </c>
      <c r="AA600" s="756"/>
    </row>
    <row r="601" spans="1:29">
      <c r="A601" s="756"/>
      <c r="B601" s="215"/>
      <c r="C601" s="759"/>
      <c r="D601" s="762"/>
      <c r="E601" s="389">
        <f>IF(D600&lt;=3,база!$I$4,
IF(D600=4,база!$I$5,
IF(D600=5,база!$I$6)))</f>
        <v>188.7912</v>
      </c>
      <c r="F601" s="390">
        <v>1</v>
      </c>
      <c r="G601" s="400">
        <f>SUMIFS(Таблица14[часы],Таблица14[коэф],"1",Таблица14[р/р],"3/4",Таблица14[Ф. И. О.],B605)</f>
        <v>0</v>
      </c>
      <c r="H601" s="392">
        <f>SUMIFS(Таблица14[Столбец2],Таблица14[коэф],"1",Таблица14[р/р],"3/4",Таблица14[Ф. И. О.],B605)</f>
        <v>0</v>
      </c>
      <c r="I601" s="432">
        <f>IF(D600&lt;=3,база!$J$4,
IF(D600=4,база!$J$5,
IF(D600=5,база!$J$6)))</f>
        <v>196.05240000000001</v>
      </c>
      <c r="J601" s="433">
        <v>1</v>
      </c>
      <c r="K601" s="434">
        <f>SUMIFS(Таблица14[часы],Таблица14[коэф],"1",Таблица14[р/р],"3/8",Таблица14[Ф. И. О.],B605)</f>
        <v>0</v>
      </c>
      <c r="L601" s="434">
        <f>SUMIFS(Таблица14[Столбец2],Таблица14[коэф],"1",Таблица14[р/р],"3/8",Таблица14[Ф. И. О.],B605)</f>
        <v>0</v>
      </c>
      <c r="M601" s="434"/>
      <c r="N601" s="434">
        <v>1</v>
      </c>
      <c r="O601" s="434">
        <f>SUMIFS(Data_Tech!$AM$3:$AM$67,Data_Tech!$E$3:$E$67,"1",Data_Tech!$G$3:$G$67,"4/12",Data_Tech!$F$3:$F$67,B605)</f>
        <v>0</v>
      </c>
      <c r="P601" s="406">
        <f>ROUND(M601*O601,2)</f>
        <v>0</v>
      </c>
      <c r="Q601" s="389">
        <f>база!$L$5</f>
        <v>231.45480000000001</v>
      </c>
      <c r="R601" s="390">
        <v>1</v>
      </c>
      <c r="S601" s="400">
        <f>SUMIFS(Таблица14[часы],Таблица14[коэф],"1",Таблица14[р/р],"4/16",Таблица14[Ф. И. О.],B605)</f>
        <v>0</v>
      </c>
      <c r="T601" s="392">
        <f>SUMIFS(Таблица14[Столбец2],Таблица14[коэф],"1",Таблица14[р/р],"4/16",Таблица14[Ф. И. О.],B605)</f>
        <v>0</v>
      </c>
      <c r="U601" s="478">
        <f>база!$M$5</f>
        <v>247.41720000000001</v>
      </c>
      <c r="V601" s="390">
        <v>1</v>
      </c>
      <c r="W601" s="412">
        <f>SUMIFS(Таблица14[часы],Таблица14[коэф],"1",Таблица14[р/р],"4/24",Таблица14[Ф. И. О.],B605)</f>
        <v>0</v>
      </c>
      <c r="X601" s="545">
        <f>SUMIFS(Таблица14[Столбец2],Таблица14[коэф],"1",Таблица14[р/р],"4/24",Таблица14[Ф. И. О.],B605)</f>
        <v>0</v>
      </c>
      <c r="Y601" s="764"/>
      <c r="Z601" s="766"/>
      <c r="AA601" s="756"/>
    </row>
    <row r="602" spans="1:29">
      <c r="A602" s="756"/>
      <c r="B602" s="215"/>
      <c r="C602" s="759"/>
      <c r="D602" s="762"/>
      <c r="E602" s="389"/>
      <c r="F602" s="390"/>
      <c r="G602" s="400"/>
      <c r="H602" s="392"/>
      <c r="I602" s="432"/>
      <c r="J602" s="433"/>
      <c r="K602" s="434"/>
      <c r="L602" s="434"/>
      <c r="M602" s="434"/>
      <c r="N602" s="434"/>
      <c r="O602" s="434"/>
      <c r="P602" s="406"/>
      <c r="Q602" s="389">
        <f>база!$L$6</f>
        <v>261.04640000000001</v>
      </c>
      <c r="R602" s="390">
        <v>1</v>
      </c>
      <c r="S602" s="400">
        <f>SUMIFS(Таблица14[часы],Таблица14[коэф],"1",Таблица14[р/р],"5/16",Таблица14[Ф. И. О.],B605)</f>
        <v>0</v>
      </c>
      <c r="T602" s="392">
        <f>SUMIFS(Таблица14[Столбец2],Таблица14[коэф],"1",Таблица14[р/р],"5/16",Таблица14[Ф. И. О.],B605)</f>
        <v>0</v>
      </c>
      <c r="U602" s="478">
        <f>база!$M$6</f>
        <v>279.0496</v>
      </c>
      <c r="V602" s="390">
        <v>1</v>
      </c>
      <c r="W602" s="412">
        <f>SUMIFS(Таблица14[часы],Таблица14[коэф],"1",Таблица14[р/р],"5/24",Таблица14[Ф. И. О.],B605)</f>
        <v>0</v>
      </c>
      <c r="X602" s="545">
        <f>SUMIFS(Таблица14[Столбец2],Таблица14[коэф],"1",Таблица14[р/р],"5/24",Таблица14[Ф. И. О.],B605)</f>
        <v>0</v>
      </c>
      <c r="Y602" s="764"/>
      <c r="Z602" s="766"/>
      <c r="AA602" s="756"/>
    </row>
    <row r="603" spans="1:29">
      <c r="A603" s="756"/>
      <c r="B603" s="215"/>
      <c r="C603" s="759"/>
      <c r="D603" s="762"/>
      <c r="E603" s="389"/>
      <c r="F603" s="390"/>
      <c r="G603" s="400"/>
      <c r="H603" s="392"/>
      <c r="I603" s="432">
        <f>база!$J$5</f>
        <v>215.4924</v>
      </c>
      <c r="J603" s="433">
        <v>1.5</v>
      </c>
      <c r="K603" s="434">
        <f>SUMIFS(Таблица14[часы],Таблица14[коэф],"1,5",Таблица14[р/р],"4/8",Таблица14[Ф. И. О.],B605)</f>
        <v>0</v>
      </c>
      <c r="L603" s="434">
        <f>SUMIFS(Таблица14[Столбец2],Таблица14[коэф],"1,5",Таблица14[р/р],"4/8",Таблица14[Ф. И. О.],B605)</f>
        <v>0</v>
      </c>
      <c r="M603" s="434"/>
      <c r="N603" s="434"/>
      <c r="O603" s="434"/>
      <c r="P603" s="406"/>
      <c r="Q603" s="389">
        <f>IF(D600&lt;=3,база!$L$4,
IF(D600=4,база!$L$5,
IF(D600=5,база!$L$6)))</f>
        <v>210.57480000000001</v>
      </c>
      <c r="R603" s="390">
        <v>1.2</v>
      </c>
      <c r="S603" s="400">
        <f>SUMIFS(Таблица14[часы],Таблица14[коэф],"1,2",Таблица14[р/р],"3/16",Таблица14[Ф. И. О.],B605)</f>
        <v>0</v>
      </c>
      <c r="T603" s="392">
        <f>SUMIFS(Таблица14[Столбец2],Таблица14[коэф],"1,2",Таблица14[р/р],"3/16",Таблица14[Ф. И. О.],B605)</f>
        <v>0</v>
      </c>
      <c r="U603" s="478">
        <f>IF(D600&lt;=3,база!$M$4,
IF(D600=4,база!$M$5,
IF(D600=5,база!$M$6)))</f>
        <v>225.09719999999999</v>
      </c>
      <c r="V603" s="390">
        <v>1.2</v>
      </c>
      <c r="W603" s="412">
        <f>SUMIFS(Таблица14[часы],Таблица14[коэф],"1,2",Таблица14[р/р],"3/24",Таблица14[Ф. И. О.],B605)</f>
        <v>0</v>
      </c>
      <c r="X603" s="545">
        <f>SUMIFS(Таблица14[Столбец2],Таблица14[коэф],"1,2",Таблица14[р/р],"3/24",Таблица14[Ф. И. О.],B605)</f>
        <v>0</v>
      </c>
      <c r="Y603" s="764"/>
      <c r="Z603" s="766"/>
      <c r="AA603" s="756"/>
    </row>
    <row r="604" spans="1:29">
      <c r="A604" s="756"/>
      <c r="B604" s="215"/>
      <c r="C604" s="759"/>
      <c r="D604" s="762"/>
      <c r="E604" s="389"/>
      <c r="F604" s="390"/>
      <c r="G604" s="400"/>
      <c r="H604" s="392"/>
      <c r="I604" s="432">
        <f>база!$J$6</f>
        <v>243.04319999999998</v>
      </c>
      <c r="J604" s="433">
        <v>1.5</v>
      </c>
      <c r="K604" s="434">
        <f>SUMIFS(Таблица14[часы],Таблица14[коэф],"1,5",Таблица14[р/р],"5/8",Таблица14[Ф. И. О.],B605)</f>
        <v>0</v>
      </c>
      <c r="L604" s="434">
        <f>SUMIFS(Таблица14[Столбец2],Таблица14[коэф],"1,5",Таблица14[р/р],"5/8",Таблица14[Ф. И. О.],B605)</f>
        <v>0</v>
      </c>
      <c r="M604" s="434"/>
      <c r="N604" s="434"/>
      <c r="O604" s="434"/>
      <c r="P604" s="406"/>
      <c r="Q604" s="389">
        <f>база!$L$5</f>
        <v>231.45480000000001</v>
      </c>
      <c r="R604" s="390">
        <v>1.2</v>
      </c>
      <c r="S604" s="400">
        <f>SUMIFS(Таблица14[часы],Таблица14[коэф],"1,2",Таблица14[р/р],"4/16",Таблица14[Ф. И. О.],B605)</f>
        <v>0</v>
      </c>
      <c r="T604" s="392">
        <f>SUMIFS(Таблица14[Столбец2],Таблица14[коэф],"1,2",Таблица14[р/р],"4/16",Таблица14[Ф. И. О.],B605)</f>
        <v>0</v>
      </c>
      <c r="U604" s="478">
        <f>база!$M$5</f>
        <v>247.41720000000001</v>
      </c>
      <c r="V604" s="390">
        <v>1.2</v>
      </c>
      <c r="W604" s="412">
        <f>SUMIFS(Таблица14[часы],Таблица14[коэф],"1,2",Таблица14[р/р],"4/24",Таблица14[Ф. И. О.],B605)</f>
        <v>0</v>
      </c>
      <c r="X604" s="545">
        <f>SUMIFS(Таблица14[Столбец2],Таблица14[коэф],"1,2",Таблица14[р/р],"4/24",Таблица14[Ф. И. О.],B605)</f>
        <v>0</v>
      </c>
      <c r="Y604" s="764"/>
      <c r="Z604" s="766"/>
      <c r="AA604" s="756"/>
    </row>
    <row r="605" spans="1:29">
      <c r="A605" s="756"/>
      <c r="B605" s="215" t="str">
        <f>база!B56</f>
        <v>Новикова Александра Владимировна</v>
      </c>
      <c r="C605" s="759"/>
      <c r="D605" s="762"/>
      <c r="E605" s="389"/>
      <c r="F605" s="390"/>
      <c r="G605" s="400"/>
      <c r="H605" s="392"/>
      <c r="I605" s="432"/>
      <c r="J605" s="433"/>
      <c r="K605" s="434"/>
      <c r="L605" s="434"/>
      <c r="M605" s="434"/>
      <c r="N605" s="434"/>
      <c r="O605" s="434"/>
      <c r="P605" s="406"/>
      <c r="Q605" s="389">
        <f>база!$L$6</f>
        <v>261.04640000000001</v>
      </c>
      <c r="R605" s="390">
        <v>1.2</v>
      </c>
      <c r="S605" s="400">
        <f>SUMIFS(Таблица14[часы],Таблица14[коэф],"1,2",Таблица14[р/р],"5/16",Таблица14[Ф. И. О.],B605)</f>
        <v>0</v>
      </c>
      <c r="T605" s="392">
        <f>SUMIFS(Таблица14[Столбец2],Таблица14[коэф],"1,2",Таблица14[р/р],"5/16",Таблица14[Ф. И. О.],B605)</f>
        <v>0</v>
      </c>
      <c r="U605" s="478">
        <f>база!$M$6</f>
        <v>279.0496</v>
      </c>
      <c r="V605" s="390">
        <v>1.2</v>
      </c>
      <c r="W605" s="412">
        <f>SUMIFS(Таблица14[часы],Таблица14[коэф],"1,2",Таблица14[р/р],"5/24",Таблица14[Ф. И. О.],B605)</f>
        <v>0</v>
      </c>
      <c r="X605" s="545">
        <f>SUMIFS(Таблица14[Столбец2],Таблица14[коэф],"1,2",Таблица14[р/р],"5/24",Таблица14[Ф. И. О.],B605)</f>
        <v>0</v>
      </c>
      <c r="Y605" s="764"/>
      <c r="Z605" s="766"/>
      <c r="AA605" s="756"/>
      <c r="AC605" s="752" t="str">
        <f>IF(SUMIFS(Таблица14[Столбец2],Таблица14[Ф. И. О.],B605)-Z600=0,"",SUMIFS(Таблица14[Столбец2],Таблица14[Ф. И. О.],B605)-Z600)</f>
        <v/>
      </c>
    </row>
    <row r="606" spans="1:29">
      <c r="A606" s="756"/>
      <c r="B606" s="215"/>
      <c r="C606" s="759"/>
      <c r="D606" s="762"/>
      <c r="E606" s="389"/>
      <c r="F606" s="390"/>
      <c r="G606" s="400"/>
      <c r="H606" s="392"/>
      <c r="I606" s="432"/>
      <c r="J606" s="433"/>
      <c r="K606" s="434"/>
      <c r="L606" s="434"/>
      <c r="M606" s="434"/>
      <c r="N606" s="434"/>
      <c r="O606" s="434"/>
      <c r="P606" s="406"/>
      <c r="Q606" s="389">
        <f>IF($D$6&lt;=3,база!$L$4,
IF($D$6=4,база!$L$5,
IF($D$6=5,база!$L$6)))</f>
        <v>231.45480000000001</v>
      </c>
      <c r="R606" s="390">
        <v>1.3</v>
      </c>
      <c r="S606" s="400">
        <f>SUMIFS(Таблица14[часы],Таблица14[коэф],"1,3",Таблица14[р/р],"3/16",Таблица14[Ф. И. О.],B605)</f>
        <v>0</v>
      </c>
      <c r="T606" s="392">
        <f>SUMIFS(Таблица14[Столбец2],Таблица14[коэф],"1,3",Таблица14[р/р],"3/16",Таблица14[Ф. И. О.],B605)</f>
        <v>0</v>
      </c>
      <c r="U606" s="478">
        <f>IF(D600&lt;=3,база!$M$4,
IF(D600=4,база!$M$5,
IF(D600=5,база!$M$6)))</f>
        <v>225.09719999999999</v>
      </c>
      <c r="V606" s="390">
        <v>1.3</v>
      </c>
      <c r="W606" s="412">
        <f>SUMIFS(Таблица14[часы],Таблица14[коэф],"1,3",Таблица14[р/р],"3/24",Таблица14[Ф. И. О.],B605)</f>
        <v>0</v>
      </c>
      <c r="X606" s="545">
        <f>SUMIFS(Таблица14[Столбец2],Таблица14[коэф],"1,3",Таблица14[р/р],"3/24",Таблица14[Ф. И. О.],B605)</f>
        <v>0</v>
      </c>
      <c r="Y606" s="764"/>
      <c r="Z606" s="766"/>
      <c r="AA606" s="756"/>
      <c r="AC606" s="752" t="str">
        <f>IF(SUMIFS(Таблица14[часы],Таблица14[Ф. И. О.],B605)-Y600=0,"",SUMIFS(Таблица14[часы],Таблица14[Ф. И. О.],B605)-Y600)</f>
        <v/>
      </c>
    </row>
    <row r="607" spans="1:29">
      <c r="A607" s="756"/>
      <c r="B607" s="215"/>
      <c r="C607" s="759"/>
      <c r="D607" s="762"/>
      <c r="E607" s="389"/>
      <c r="F607" s="390"/>
      <c r="G607" s="400"/>
      <c r="H607" s="392"/>
      <c r="I607" s="432"/>
      <c r="J607" s="433"/>
      <c r="K607" s="434"/>
      <c r="L607" s="434"/>
      <c r="M607" s="434"/>
      <c r="N607" s="434"/>
      <c r="O607" s="434"/>
      <c r="P607" s="406"/>
      <c r="Q607" s="389">
        <f>база!$L$5</f>
        <v>231.45480000000001</v>
      </c>
      <c r="R607" s="390">
        <v>1.3</v>
      </c>
      <c r="S607" s="400">
        <f>SUMIFS(Таблица14[часы],Таблица14[коэф],"1,3",Таблица14[р/р],"4/16",Таблица14[Ф. И. О.],B605)</f>
        <v>0</v>
      </c>
      <c r="T607" s="392">
        <f>SUMIFS(Таблица14[Столбец2],Таблица14[коэф],"1,3",Таблица14[р/р],"4/16",Таблица14[Ф. И. О.],B605)</f>
        <v>0</v>
      </c>
      <c r="U607" s="478">
        <f>база!$M$5</f>
        <v>247.41720000000001</v>
      </c>
      <c r="V607" s="390">
        <v>1.3</v>
      </c>
      <c r="W607" s="412">
        <f>SUMIFS(Таблица14[часы],Таблица14[коэф],"1,3",Таблица14[р/р],"4/24",Таблица14[Ф. И. О.],B605)</f>
        <v>0</v>
      </c>
      <c r="X607" s="545">
        <f>SUMIFS(Таблица14[Столбец2],Таблица14[коэф],"1,3",Таблица14[р/р],"4/24",Таблица14[Ф. И. О.],B605)</f>
        <v>0</v>
      </c>
      <c r="Y607" s="764"/>
      <c r="Z607" s="766"/>
      <c r="AA607" s="756"/>
    </row>
    <row r="608" spans="1:29">
      <c r="A608" s="756"/>
      <c r="B608" s="215"/>
      <c r="C608" s="759"/>
      <c r="D608" s="762"/>
      <c r="E608" s="389"/>
      <c r="F608" s="390"/>
      <c r="G608" s="400"/>
      <c r="H608" s="392"/>
      <c r="I608" s="432"/>
      <c r="J608" s="433"/>
      <c r="K608" s="434"/>
      <c r="L608" s="434"/>
      <c r="M608" s="434"/>
      <c r="N608" s="434"/>
      <c r="O608" s="434"/>
      <c r="P608" s="406"/>
      <c r="Q608" s="389">
        <f>IF(D600&lt;=3,база!$L$4,
IF(D600=4,база!$L$5,
IF(D600=5,база!$L$6)))</f>
        <v>210.57480000000001</v>
      </c>
      <c r="R608" s="390">
        <v>1.4</v>
      </c>
      <c r="S608" s="400">
        <f>SUMIFS(Таблица14[часы],Таблица14[коэф],"1,4",Таблица14[р/р],"3/16",Таблица14[Ф. И. О.],B605)</f>
        <v>0</v>
      </c>
      <c r="T608" s="392">
        <f>SUMIFS(Таблица14[Столбец2],Таблица14[коэф],"1,4",Таблица14[р/р],"3/16",Таблица14[Ф. И. О.],B605)</f>
        <v>0</v>
      </c>
      <c r="U608" s="478">
        <f>IF(D600&lt;=3,база!$M$4,
IF(D600=4,база!$M$5,
IF(D600=5,база!$M$6)))</f>
        <v>225.09719999999999</v>
      </c>
      <c r="V608" s="390">
        <v>1.4</v>
      </c>
      <c r="W608" s="412">
        <f>SUMIFS(Таблица14[часы],Таблица14[коэф],"1,4",Таблица14[р/р],"3/24",Таблица14[Ф. И. О.],B605)</f>
        <v>0</v>
      </c>
      <c r="X608" s="545">
        <f>SUMIFS(Таблица14[Столбец2],Таблица14[коэф],"1,4",Таблица14[р/р],"3/24",Таблица14[Ф. И. О.],B605)</f>
        <v>0</v>
      </c>
      <c r="Y608" s="764"/>
      <c r="Z608" s="766"/>
      <c r="AA608" s="756"/>
    </row>
    <row r="609" spans="1:29">
      <c r="A609" s="756"/>
      <c r="B609" s="215"/>
      <c r="C609" s="759"/>
      <c r="D609" s="762"/>
      <c r="E609" s="389"/>
      <c r="F609" s="390"/>
      <c r="G609" s="400"/>
      <c r="H609" s="392"/>
      <c r="I609" s="432"/>
      <c r="J609" s="433"/>
      <c r="K609" s="434"/>
      <c r="L609" s="434"/>
      <c r="M609" s="434"/>
      <c r="N609" s="434"/>
      <c r="O609" s="434"/>
      <c r="P609" s="406"/>
      <c r="Q609" s="389">
        <f>база!$L$5</f>
        <v>231.45480000000001</v>
      </c>
      <c r="R609" s="390">
        <v>1.4</v>
      </c>
      <c r="S609" s="400">
        <f>SUMIFS(Таблица14[часы],Таблица14[коэф],"1,4",Таблица14[р/р],"4/16",Таблица14[Ф. И. О.],B605)</f>
        <v>0</v>
      </c>
      <c r="T609" s="392">
        <f>SUMIFS(Таблица14[Столбец2],Таблица14[коэф],"1,4",Таблица14[р/р],"4/16",Таблица14[Ф. И. О.],B605)</f>
        <v>0</v>
      </c>
      <c r="U609" s="478">
        <f>база!$M$5</f>
        <v>247.41720000000001</v>
      </c>
      <c r="V609" s="390">
        <v>1.4</v>
      </c>
      <c r="W609" s="412">
        <f>SUMIFS(Таблица14[часы],Таблица14[коэф],"1,4",Таблица14[р/р],"4/24",Таблица14[Ф. И. О.],B605)</f>
        <v>0</v>
      </c>
      <c r="X609" s="545">
        <f>SUMIFS(Таблица14[Столбец2],Таблица14[коэф],"1,4",Таблица14[р/р],"4/24",Таблица14[Ф. И. О.],B605)</f>
        <v>0</v>
      </c>
      <c r="Y609" s="764"/>
      <c r="Z609" s="766"/>
      <c r="AA609" s="756"/>
    </row>
    <row r="610" spans="1:29" ht="21" thickBot="1">
      <c r="A610" s="757"/>
      <c r="B610" s="352"/>
      <c r="C610" s="760"/>
      <c r="D610" s="763"/>
      <c r="E610" s="473"/>
      <c r="F610" s="464"/>
      <c r="G610" s="651"/>
      <c r="H610" s="468"/>
      <c r="I610" s="645"/>
      <c r="J610" s="456"/>
      <c r="K610" s="646"/>
      <c r="L610" s="457"/>
      <c r="M610" s="645"/>
      <c r="N610" s="646"/>
      <c r="O610" s="646"/>
      <c r="P610" s="476"/>
      <c r="Q610" s="652">
        <f>база!$L$6</f>
        <v>261.04640000000001</v>
      </c>
      <c r="R610" s="464">
        <v>1.4</v>
      </c>
      <c r="S610" s="465">
        <f>SUMIFS(Таблица14[часы],Таблица14[коэф],"1,4",Таблица14[р/р],"5/16",Таблица14[Ф. И. О.],B605)</f>
        <v>0</v>
      </c>
      <c r="T610" s="468">
        <f>SUMIFS(Таблица14[Столбец2],Таблица14[коэф],"1,4",Таблица14[р/р],"5/16",Таблица14[Ф. И. О.],B605)</f>
        <v>0</v>
      </c>
      <c r="U610" s="463">
        <f>база!$M$6</f>
        <v>279.0496</v>
      </c>
      <c r="V610" s="464">
        <v>1.4</v>
      </c>
      <c r="W610" s="465">
        <f>SUMIFS(Таблица14[часы],Таблица14[коэф],"1,4",Таблица14[р/р],"5/24",Таблица14[Ф. И. О.],B605)</f>
        <v>0</v>
      </c>
      <c r="X610" s="468">
        <f>SUMIFS(Таблица14[Столбец2],Таблица14[коэф],"1,4",Таблица14[р/р],"5/24",Таблица14[Ф. И. О.],B605)</f>
        <v>0</v>
      </c>
      <c r="Y610" s="765"/>
      <c r="Z610" s="767"/>
      <c r="AA610" s="757"/>
    </row>
    <row r="611" spans="1:29">
      <c r="A611" s="756">
        <v>56</v>
      </c>
      <c r="B611" s="215"/>
      <c r="C611" s="758">
        <f>INDEX(база!$E$2:$E$98, MATCH(B616,база!$B$2:$B$100,0))</f>
        <v>16950</v>
      </c>
      <c r="D611" s="761">
        <f>INDEX(база!$D$2:$D$121, MATCH(B616,база!$B$2:$B$100,0))</f>
        <v>3</v>
      </c>
      <c r="E611" s="481">
        <f>IF(D611&lt;=3,база!$I$4,
IF(D611=4,база!$I$5,
IF(D611=5,база!$I$6)))</f>
        <v>188.7912</v>
      </c>
      <c r="F611" s="417">
        <v>1</v>
      </c>
      <c r="G611" s="418">
        <f>SUMIFS(Таблица14[часы],Таблица14[коэф],"1",Таблица14[р/р],"2/4",Таблица14[Ф. И. О.],B616)</f>
        <v>0</v>
      </c>
      <c r="H611" s="402">
        <f>SUMIFS(Таблица14[Столбец2],Таблица14[коэф],"1",Таблица14[р/р],"2/4",Таблица14[Ф. И. О.],B616)</f>
        <v>0</v>
      </c>
      <c r="I611" s="452">
        <f>IF(D611&lt;=3,база!$J$4,
IF(D611=4,база!$J$5,
IF(D611=5,база!$J$6)))</f>
        <v>196.05240000000001</v>
      </c>
      <c r="J611" s="475">
        <v>1</v>
      </c>
      <c r="K611" s="453">
        <f>SUMIFS(Таблица14[часы],Таблица14[коэф],"1",Таблица14[р/р],"2/8",Таблица14[Ф. И. О.],B616)</f>
        <v>0</v>
      </c>
      <c r="L611" s="453">
        <f>SUMIFS(Таблица14[Столбец2],Таблица14[коэф],"1",Таблица14[р/р],"2/8",Таблица14[Ф. И. О.],B616)</f>
        <v>0</v>
      </c>
      <c r="M611" s="453"/>
      <c r="N611" s="453">
        <v>1</v>
      </c>
      <c r="O611" s="453">
        <f>SUMIFS(Data_Tech!$AM$3:$AM$67,Data_Tech!$E$3:$E$67,"1",Data_Tech!$G$3:$G$67,"3/12",Data_Tech!$F$3:$F$67,B616)</f>
        <v>0</v>
      </c>
      <c r="P611" s="398">
        <f>ROUND(M611*N611*O611,2)</f>
        <v>0</v>
      </c>
      <c r="Q611" s="481">
        <f>IF(D611&lt;=3,база!$L$4,
IF(D611=4,база!$L$5,
IF(D611=5,база!$L$6)))</f>
        <v>210.57480000000001</v>
      </c>
      <c r="R611" s="417">
        <v>1</v>
      </c>
      <c r="S611" s="418">
        <f>SUMIFS(Таблица14[часы],Таблица14[коэф],"1",Таблица14[р/р],"3/16",Таблица14[Ф. И. О.],B616)</f>
        <v>0</v>
      </c>
      <c r="T611" s="402">
        <f>SUMIFS(Таблица14[Столбец2],Таблица14[коэф],"1",Таблица14[р/р],"3/16",Таблица14[Ф. И. О.],B616)</f>
        <v>0</v>
      </c>
      <c r="U611" s="483">
        <f>IF(D611&lt;=3,база!$M$4,
IF(D611=4,база!$M$5,
IF(D611=5,база!$M$6)))</f>
        <v>225.09719999999999</v>
      </c>
      <c r="V611" s="417">
        <v>1</v>
      </c>
      <c r="W611" s="455">
        <f>SUMIFS(Таблица14[часы],Таблица14[коэф],"1",Таблица14[р/р],"3/24",Таблица14[Ф. И. О.],B616)</f>
        <v>0</v>
      </c>
      <c r="X611" s="552">
        <f>SUMIFS(Таблица14[Столбец2],Таблица14[коэф],"1",Таблица14[р/р],"3/24",Таблица14[Ф. И. О.],B616)</f>
        <v>0</v>
      </c>
      <c r="Y611" s="764">
        <f t="shared" ref="Y611" si="250">SUM(G611:G621,K611:K621,O611:O621,S611:S621,W611:W621)</f>
        <v>0</v>
      </c>
      <c r="Z611" s="766">
        <f t="shared" ref="Z611" si="251">IFERROR(SUM(H611:H621,L611:L621,T611:T621,X611:X621),"")</f>
        <v>0</v>
      </c>
      <c r="AA611" s="756"/>
    </row>
    <row r="612" spans="1:29">
      <c r="A612" s="756"/>
      <c r="B612" s="215"/>
      <c r="C612" s="759"/>
      <c r="D612" s="762"/>
      <c r="E612" s="389">
        <f>IF(D611&lt;=3,база!$I$4,
IF(D611=4,база!$I$5,
IF(D611=5,база!$I$6)))</f>
        <v>188.7912</v>
      </c>
      <c r="F612" s="390">
        <v>1</v>
      </c>
      <c r="G612" s="400">
        <f>SUMIFS(Таблица14[часы],Таблица14[коэф],"1",Таблица14[р/р],"3/4",Таблица14[Ф. И. О.],B616)</f>
        <v>0</v>
      </c>
      <c r="H612" s="392">
        <f>SUMIFS(Таблица14[Столбец2],Таблица14[коэф],"1",Таблица14[р/р],"3/4",Таблица14[Ф. И. О.],B616)</f>
        <v>0</v>
      </c>
      <c r="I612" s="432">
        <f>IF(D611&lt;=3,база!$J$4,
IF(D611=4,база!$J$5,
IF(D611=5,база!$J$6)))</f>
        <v>196.05240000000001</v>
      </c>
      <c r="J612" s="433">
        <v>1</v>
      </c>
      <c r="K612" s="434">
        <f>SUMIFS(Таблица14[часы],Таблица14[коэф],"1",Таблица14[р/р],"3/8",Таблица14[Ф. И. О.],B616)</f>
        <v>0</v>
      </c>
      <c r="L612" s="434">
        <f>SUMIFS(Таблица14[Столбец2],Таблица14[коэф],"1",Таблица14[р/р],"3/8",Таблица14[Ф. И. О.],B616)</f>
        <v>0</v>
      </c>
      <c r="M612" s="434"/>
      <c r="N612" s="434">
        <v>1</v>
      </c>
      <c r="O612" s="434">
        <f>SUMIFS(Data_Tech!$AM$3:$AM$67,Data_Tech!$E$3:$E$67,"1",Data_Tech!$G$3:$G$67,"4/12",Data_Tech!$F$3:$F$67,B616)</f>
        <v>0</v>
      </c>
      <c r="P612" s="406">
        <f>ROUND(M612*O612,2)</f>
        <v>0</v>
      </c>
      <c r="Q612" s="389">
        <f>база!$L$5</f>
        <v>231.45480000000001</v>
      </c>
      <c r="R612" s="390">
        <v>1</v>
      </c>
      <c r="S612" s="400">
        <f>SUMIFS(Таблица14[часы],Таблица14[коэф],"1",Таблица14[р/р],"4/16",Таблица14[Ф. И. О.],B616)</f>
        <v>0</v>
      </c>
      <c r="T612" s="392">
        <f>SUMIFS(Таблица14[Столбец2],Таблица14[коэф],"1",Таблица14[р/р],"4/16",Таблица14[Ф. И. О.],B616)</f>
        <v>0</v>
      </c>
      <c r="U612" s="478">
        <f>база!$M$5</f>
        <v>247.41720000000001</v>
      </c>
      <c r="V612" s="390">
        <v>1</v>
      </c>
      <c r="W612" s="412">
        <f>SUMIFS(Таблица14[часы],Таблица14[коэф],"1",Таблица14[р/р],"4/24",Таблица14[Ф. И. О.],B616)</f>
        <v>0</v>
      </c>
      <c r="X612" s="545">
        <f>SUMIFS(Таблица14[Столбец2],Таблица14[коэф],"1",Таблица14[р/р],"4/24",Таблица14[Ф. И. О.],B616)</f>
        <v>0</v>
      </c>
      <c r="Y612" s="764"/>
      <c r="Z612" s="766"/>
      <c r="AA612" s="756"/>
    </row>
    <row r="613" spans="1:29">
      <c r="A613" s="756"/>
      <c r="B613" s="215"/>
      <c r="C613" s="759"/>
      <c r="D613" s="762"/>
      <c r="E613" s="389"/>
      <c r="F613" s="390"/>
      <c r="G613" s="400"/>
      <c r="H613" s="392"/>
      <c r="I613" s="432"/>
      <c r="J613" s="433"/>
      <c r="K613" s="434"/>
      <c r="L613" s="434"/>
      <c r="M613" s="434"/>
      <c r="N613" s="434"/>
      <c r="O613" s="434"/>
      <c r="P613" s="406"/>
      <c r="Q613" s="389">
        <f>база!$L$6</f>
        <v>261.04640000000001</v>
      </c>
      <c r="R613" s="390">
        <v>1</v>
      </c>
      <c r="S613" s="400">
        <f>SUMIFS(Таблица14[часы],Таблица14[коэф],"1",Таблица14[р/р],"5/16",Таблица14[Ф. И. О.],B616)</f>
        <v>0</v>
      </c>
      <c r="T613" s="392">
        <f>SUMIFS(Таблица14[Столбец2],Таблица14[коэф],"1",Таблица14[р/р],"5/16",Таблица14[Ф. И. О.],B616)</f>
        <v>0</v>
      </c>
      <c r="U613" s="478">
        <f>база!$M$6</f>
        <v>279.0496</v>
      </c>
      <c r="V613" s="390">
        <v>1</v>
      </c>
      <c r="W613" s="412">
        <f>SUMIFS(Таблица14[часы],Таблица14[коэф],"1",Таблица14[р/р],"5/24",Таблица14[Ф. И. О.],B616)</f>
        <v>0</v>
      </c>
      <c r="X613" s="545">
        <f>SUMIFS(Таблица14[Столбец2],Таблица14[коэф],"1",Таблица14[р/р],"5/24",Таблица14[Ф. И. О.],B616)</f>
        <v>0</v>
      </c>
      <c r="Y613" s="764"/>
      <c r="Z613" s="766"/>
      <c r="AA613" s="756"/>
    </row>
    <row r="614" spans="1:29">
      <c r="A614" s="756"/>
      <c r="B614" s="215"/>
      <c r="C614" s="759"/>
      <c r="D614" s="762"/>
      <c r="E614" s="389"/>
      <c r="F614" s="390"/>
      <c r="G614" s="400"/>
      <c r="H614" s="392"/>
      <c r="I614" s="432">
        <f>база!$J$5</f>
        <v>215.4924</v>
      </c>
      <c r="J614" s="433">
        <v>1.5</v>
      </c>
      <c r="K614" s="434">
        <f>SUMIFS(Таблица14[часы],Таблица14[коэф],"1,5",Таблица14[р/р],"4/8",Таблица14[Ф. И. О.],B616)</f>
        <v>0</v>
      </c>
      <c r="L614" s="434">
        <f>SUMIFS(Таблица14[Столбец2],Таблица14[коэф],"1,5",Таблица14[р/р],"4/8",Таблица14[Ф. И. О.],B616)</f>
        <v>0</v>
      </c>
      <c r="M614" s="434"/>
      <c r="N614" s="434"/>
      <c r="O614" s="434"/>
      <c r="P614" s="406"/>
      <c r="Q614" s="389">
        <f>IF(D611&lt;=3,база!$L$4,
IF(D611=4,база!$L$5,
IF(D611=5,база!$L$6)))</f>
        <v>210.57480000000001</v>
      </c>
      <c r="R614" s="390">
        <v>1.2</v>
      </c>
      <c r="S614" s="400">
        <f>SUMIFS(Таблица14[часы],Таблица14[коэф],"1,2",Таблица14[р/р],"3/16",Таблица14[Ф. И. О.],B616)</f>
        <v>0</v>
      </c>
      <c r="T614" s="392">
        <f>SUMIFS(Таблица14[Столбец2],Таблица14[коэф],"1,2",Таблица14[р/р],"3/16",Таблица14[Ф. И. О.],B616)</f>
        <v>0</v>
      </c>
      <c r="U614" s="478">
        <f>IF(D611&lt;=3,база!$M$4,
IF(D611=4,база!$M$5,
IF(D611=5,база!$M$6)))</f>
        <v>225.09719999999999</v>
      </c>
      <c r="V614" s="390">
        <v>1.2</v>
      </c>
      <c r="W614" s="412">
        <f>SUMIFS(Таблица14[часы],Таблица14[коэф],"1,2",Таблица14[р/р],"3/24",Таблица14[Ф. И. О.],B616)</f>
        <v>0</v>
      </c>
      <c r="X614" s="545">
        <f>SUMIFS(Таблица14[Столбец2],Таблица14[коэф],"1,2",Таблица14[р/р],"3/24",Таблица14[Ф. И. О.],B616)</f>
        <v>0</v>
      </c>
      <c r="Y614" s="764"/>
      <c r="Z614" s="766"/>
      <c r="AA614" s="756"/>
    </row>
    <row r="615" spans="1:29">
      <c r="A615" s="756"/>
      <c r="B615" s="215"/>
      <c r="C615" s="759"/>
      <c r="D615" s="762"/>
      <c r="E615" s="389"/>
      <c r="F615" s="390"/>
      <c r="G615" s="400"/>
      <c r="H615" s="392"/>
      <c r="I615" s="432">
        <f>база!$J$6</f>
        <v>243.04319999999998</v>
      </c>
      <c r="J615" s="433">
        <v>1.5</v>
      </c>
      <c r="K615" s="434">
        <f>SUMIFS(Таблица14[часы],Таблица14[коэф],"1,5",Таблица14[р/р],"5/8",Таблица14[Ф. И. О.],B616)</f>
        <v>0</v>
      </c>
      <c r="L615" s="434">
        <f>SUMIFS(Таблица14[Столбец2],Таблица14[коэф],"1,5",Таблица14[р/р],"5/8",Таблица14[Ф. И. О.],B616)</f>
        <v>0</v>
      </c>
      <c r="M615" s="434"/>
      <c r="N615" s="434"/>
      <c r="O615" s="434"/>
      <c r="P615" s="406"/>
      <c r="Q615" s="389">
        <f>база!$L$5</f>
        <v>231.45480000000001</v>
      </c>
      <c r="R615" s="390">
        <v>1.2</v>
      </c>
      <c r="S615" s="400">
        <f>SUMIFS(Таблица14[часы],Таблица14[коэф],"1,2",Таблица14[р/р],"4/16",Таблица14[Ф. И. О.],B616)</f>
        <v>0</v>
      </c>
      <c r="T615" s="392">
        <f>SUMIFS(Таблица14[Столбец2],Таблица14[коэф],"1,2",Таблица14[р/р],"4/16",Таблица14[Ф. И. О.],B616)</f>
        <v>0</v>
      </c>
      <c r="U615" s="478">
        <f>база!$M$5</f>
        <v>247.41720000000001</v>
      </c>
      <c r="V615" s="390">
        <v>1.2</v>
      </c>
      <c r="W615" s="412">
        <f>SUMIFS(Таблица14[часы],Таблица14[коэф],"1,2",Таблица14[р/р],"4/24",Таблица14[Ф. И. О.],B616)</f>
        <v>0</v>
      </c>
      <c r="X615" s="545">
        <f>SUMIFS(Таблица14[Столбец2],Таблица14[коэф],"1,2",Таблица14[р/р],"4/24",Таблица14[Ф. И. О.],B616)</f>
        <v>0</v>
      </c>
      <c r="Y615" s="764"/>
      <c r="Z615" s="766"/>
      <c r="AA615" s="756"/>
      <c r="AC615" s="752" t="str">
        <f>IF(SUMIFS(Таблица14[Столбец2],Таблица14[Ф. И. О.],B616)-Z611=0,"",SUMIFS(Таблица14[Столбец2],Таблица14[Ф. И. О.],B616)-Z611)</f>
        <v/>
      </c>
    </row>
    <row r="616" spans="1:29">
      <c r="A616" s="756"/>
      <c r="B616" s="215" t="str">
        <f>база!B57</f>
        <v>Овчинников Глеб Эдуардович</v>
      </c>
      <c r="C616" s="759"/>
      <c r="D616" s="762"/>
      <c r="E616" s="389"/>
      <c r="F616" s="390"/>
      <c r="G616" s="400"/>
      <c r="H616" s="392"/>
      <c r="I616" s="432"/>
      <c r="J616" s="433"/>
      <c r="K616" s="434"/>
      <c r="L616" s="434"/>
      <c r="M616" s="434"/>
      <c r="N616" s="434"/>
      <c r="O616" s="434"/>
      <c r="P616" s="406"/>
      <c r="Q616" s="389">
        <f>база!$L$6</f>
        <v>261.04640000000001</v>
      </c>
      <c r="R616" s="390">
        <v>1.2</v>
      </c>
      <c r="S616" s="400">
        <f>SUMIFS(Таблица14[часы],Таблица14[коэф],"1,2",Таблица14[р/р],"5/16",Таблица14[Ф. И. О.],B616)</f>
        <v>0</v>
      </c>
      <c r="T616" s="392">
        <f>SUMIFS(Таблица14[Столбец2],Таблица14[коэф],"1,2",Таблица14[р/р],"5/16",Таблица14[Ф. И. О.],B616)</f>
        <v>0</v>
      </c>
      <c r="U616" s="478">
        <f>база!$M$6</f>
        <v>279.0496</v>
      </c>
      <c r="V616" s="390">
        <v>1.2</v>
      </c>
      <c r="W616" s="412">
        <f>SUMIFS(Таблица14[часы],Таблица14[коэф],"1,2",Таблица14[р/р],"5/24",Таблица14[Ф. И. О.],B616)</f>
        <v>0</v>
      </c>
      <c r="X616" s="545">
        <f>SUMIFS(Таблица14[Столбец2],Таблица14[коэф],"1,2",Таблица14[р/р],"5/24",Таблица14[Ф. И. О.],B616)</f>
        <v>0</v>
      </c>
      <c r="Y616" s="764"/>
      <c r="Z616" s="766"/>
      <c r="AA616" s="756"/>
      <c r="AC616" s="752" t="str">
        <f>IF(SUMIFS(Таблица14[часы],Таблица14[Ф. И. О.],B616)-Y611=0,"",SUMIFS(Таблица14[часы],Таблица14[Ф. И. О.],B616)-Y611)</f>
        <v/>
      </c>
    </row>
    <row r="617" spans="1:29">
      <c r="A617" s="756"/>
      <c r="B617" s="215"/>
      <c r="C617" s="759"/>
      <c r="D617" s="762"/>
      <c r="E617" s="389"/>
      <c r="F617" s="390"/>
      <c r="G617" s="400"/>
      <c r="H617" s="392"/>
      <c r="I617" s="432"/>
      <c r="J617" s="433"/>
      <c r="K617" s="434"/>
      <c r="L617" s="434"/>
      <c r="M617" s="434"/>
      <c r="N617" s="434"/>
      <c r="O617" s="434"/>
      <c r="P617" s="406"/>
      <c r="Q617" s="389">
        <f>IF($D$6&lt;=3,база!$L$4,
IF($D$6=4,база!$L$5,
IF($D$6=5,база!$L$6)))</f>
        <v>231.45480000000001</v>
      </c>
      <c r="R617" s="390">
        <v>1.3</v>
      </c>
      <c r="S617" s="400">
        <f>SUMIFS(Таблица14[часы],Таблица14[коэф],"1,3",Таблица14[р/р],"3/16",Таблица14[Ф. И. О.],B616)</f>
        <v>0</v>
      </c>
      <c r="T617" s="392">
        <f>SUMIFS(Таблица14[Столбец2],Таблица14[коэф],"1,3",Таблица14[р/р],"3/16",Таблица14[Ф. И. О.],B616)</f>
        <v>0</v>
      </c>
      <c r="U617" s="478">
        <f>IF(D611&lt;=3,база!$M$4,
IF(D611=4,база!$M$5,
IF(D611=5,база!$M$6)))</f>
        <v>225.09719999999999</v>
      </c>
      <c r="V617" s="390">
        <v>1.3</v>
      </c>
      <c r="W617" s="412">
        <f>SUMIFS(Таблица14[часы],Таблица14[коэф],"1,3",Таблица14[р/р],"3/24",Таблица14[Ф. И. О.],B616)</f>
        <v>0</v>
      </c>
      <c r="X617" s="545">
        <f>SUMIFS(Таблица14[Столбец2],Таблица14[коэф],"1,3",Таблица14[р/р],"3/24",Таблица14[Ф. И. О.],B616)</f>
        <v>0</v>
      </c>
      <c r="Y617" s="764"/>
      <c r="Z617" s="766"/>
      <c r="AA617" s="756"/>
    </row>
    <row r="618" spans="1:29">
      <c r="A618" s="756"/>
      <c r="B618" s="215"/>
      <c r="C618" s="759"/>
      <c r="D618" s="762"/>
      <c r="E618" s="389"/>
      <c r="F618" s="390"/>
      <c r="G618" s="400"/>
      <c r="H618" s="392"/>
      <c r="I618" s="432"/>
      <c r="J618" s="433"/>
      <c r="K618" s="434"/>
      <c r="L618" s="434"/>
      <c r="M618" s="434"/>
      <c r="N618" s="434"/>
      <c r="O618" s="434"/>
      <c r="P618" s="406"/>
      <c r="Q618" s="389">
        <f>база!$L$5</f>
        <v>231.45480000000001</v>
      </c>
      <c r="R618" s="390">
        <v>1.3</v>
      </c>
      <c r="S618" s="400">
        <f>SUMIFS(Таблица14[часы],Таблица14[коэф],"1,3",Таблица14[р/р],"4/16",Таблица14[Ф. И. О.],B616)</f>
        <v>0</v>
      </c>
      <c r="T618" s="392">
        <f>SUMIFS(Таблица14[Столбец2],Таблица14[коэф],"1,3",Таблица14[р/р],"4/16",Таблица14[Ф. И. О.],B616)</f>
        <v>0</v>
      </c>
      <c r="U618" s="478">
        <f>база!$M$5</f>
        <v>247.41720000000001</v>
      </c>
      <c r="V618" s="390">
        <v>1.3</v>
      </c>
      <c r="W618" s="412">
        <f>SUMIFS(Таблица14[часы],Таблица14[коэф],"1,3",Таблица14[р/р],"4/24",Таблица14[Ф. И. О.],B616)</f>
        <v>0</v>
      </c>
      <c r="X618" s="545">
        <f>SUMIFS(Таблица14[Столбец2],Таблица14[коэф],"1,3",Таблица14[р/р],"4/24",Таблица14[Ф. И. О.],B616)</f>
        <v>0</v>
      </c>
      <c r="Y618" s="764"/>
      <c r="Z618" s="766"/>
      <c r="AA618" s="756"/>
    </row>
    <row r="619" spans="1:29">
      <c r="A619" s="756"/>
      <c r="B619" s="215"/>
      <c r="C619" s="759"/>
      <c r="D619" s="762"/>
      <c r="E619" s="389"/>
      <c r="F619" s="390"/>
      <c r="G619" s="400"/>
      <c r="H619" s="392"/>
      <c r="I619" s="432"/>
      <c r="J619" s="433"/>
      <c r="K619" s="434"/>
      <c r="L619" s="434"/>
      <c r="M619" s="434"/>
      <c r="N619" s="434"/>
      <c r="O619" s="434"/>
      <c r="P619" s="406"/>
      <c r="Q619" s="389">
        <f>IF(D611&lt;=3,база!$L$4,
IF(D611=4,база!$L$5,
IF(D611=5,база!$L$6)))</f>
        <v>210.57480000000001</v>
      </c>
      <c r="R619" s="390">
        <v>1.4</v>
      </c>
      <c r="S619" s="400">
        <f>SUMIFS(Таблица14[часы],Таблица14[коэф],"1,4",Таблица14[р/р],"3/16",Таблица14[Ф. И. О.],B616)</f>
        <v>0</v>
      </c>
      <c r="T619" s="392">
        <f>SUMIFS(Таблица14[Столбец2],Таблица14[коэф],"1,4",Таблица14[р/р],"3/16",Таблица14[Ф. И. О.],B616)</f>
        <v>0</v>
      </c>
      <c r="U619" s="478">
        <f>IF(D611&lt;=3,база!$M$4,
IF(D611=4,база!$M$5,
IF(D611=5,база!$M$6)))</f>
        <v>225.09719999999999</v>
      </c>
      <c r="V619" s="390">
        <v>1.4</v>
      </c>
      <c r="W619" s="412">
        <f>SUMIFS(Таблица14[часы],Таблица14[коэф],"1,4",Таблица14[р/р],"3/24",Таблица14[Ф. И. О.],B616)</f>
        <v>0</v>
      </c>
      <c r="X619" s="545">
        <f>SUMIFS(Таблица14[Столбец2],Таблица14[коэф],"1,4",Таблица14[р/р],"3/24",Таблица14[Ф. И. О.],B616)</f>
        <v>0</v>
      </c>
      <c r="Y619" s="764"/>
      <c r="Z619" s="766"/>
      <c r="AA619" s="756"/>
    </row>
    <row r="620" spans="1:29">
      <c r="A620" s="756"/>
      <c r="B620" s="215"/>
      <c r="C620" s="759"/>
      <c r="D620" s="762"/>
      <c r="E620" s="389"/>
      <c r="F620" s="390"/>
      <c r="G620" s="400"/>
      <c r="H620" s="392"/>
      <c r="I620" s="432"/>
      <c r="J620" s="433"/>
      <c r="K620" s="434"/>
      <c r="L620" s="434"/>
      <c r="M620" s="434"/>
      <c r="N620" s="434"/>
      <c r="O620" s="434"/>
      <c r="P620" s="406"/>
      <c r="Q620" s="389">
        <f>база!$L$5</f>
        <v>231.45480000000001</v>
      </c>
      <c r="R620" s="390">
        <v>1.4</v>
      </c>
      <c r="S620" s="400">
        <f>SUMIFS(Таблица14[часы],Таблица14[коэф],"1,4",Таблица14[р/р],"4/16",Таблица14[Ф. И. О.],B616)</f>
        <v>0</v>
      </c>
      <c r="T620" s="392">
        <f>SUMIFS(Таблица14[Столбец2],Таблица14[коэф],"1,4",Таблица14[р/р],"4/16",Таблица14[Ф. И. О.],B616)</f>
        <v>0</v>
      </c>
      <c r="U620" s="478">
        <f>база!$M$5</f>
        <v>247.41720000000001</v>
      </c>
      <c r="V620" s="390">
        <v>1.4</v>
      </c>
      <c r="W620" s="412">
        <f>SUMIFS(Таблица14[часы],Таблица14[коэф],"1,4",Таблица14[р/р],"4/24",Таблица14[Ф. И. О.],B616)</f>
        <v>0</v>
      </c>
      <c r="X620" s="545">
        <f>SUMIFS(Таблица14[Столбец2],Таблица14[коэф],"1,4",Таблица14[р/р],"4/24",Таблица14[Ф. И. О.],B616)</f>
        <v>0</v>
      </c>
      <c r="Y620" s="764"/>
      <c r="Z620" s="766"/>
      <c r="AA620" s="756"/>
    </row>
    <row r="621" spans="1:29" ht="21" thickBot="1">
      <c r="A621" s="757"/>
      <c r="B621" s="352"/>
      <c r="C621" s="760"/>
      <c r="D621" s="763"/>
      <c r="E621" s="473"/>
      <c r="F621" s="464"/>
      <c r="G621" s="651"/>
      <c r="H621" s="468"/>
      <c r="I621" s="645"/>
      <c r="J621" s="456"/>
      <c r="K621" s="646"/>
      <c r="L621" s="457"/>
      <c r="M621" s="645"/>
      <c r="N621" s="646"/>
      <c r="O621" s="646"/>
      <c r="P621" s="476"/>
      <c r="Q621" s="652">
        <f>база!$L$6</f>
        <v>261.04640000000001</v>
      </c>
      <c r="R621" s="464">
        <v>1.4</v>
      </c>
      <c r="S621" s="465">
        <f>SUMIFS(Таблица14[часы],Таблица14[коэф],"1,4",Таблица14[р/р],"5/16",Таблица14[Ф. И. О.],B616)</f>
        <v>0</v>
      </c>
      <c r="T621" s="468">
        <f>SUMIFS(Таблица14[Столбец2],Таблица14[коэф],"1,4",Таблица14[р/р],"5/16",Таблица14[Ф. И. О.],B616)</f>
        <v>0</v>
      </c>
      <c r="U621" s="463">
        <f>база!$M$6</f>
        <v>279.0496</v>
      </c>
      <c r="V621" s="464">
        <v>1.4</v>
      </c>
      <c r="W621" s="465">
        <f>SUMIFS(Таблица14[часы],Таблица14[коэф],"1,4",Таблица14[р/р],"5/24",Таблица14[Ф. И. О.],B616)</f>
        <v>0</v>
      </c>
      <c r="X621" s="468">
        <f>SUMIFS(Таблица14[Столбец2],Таблица14[коэф],"1,4",Таблица14[р/р],"5/24",Таблица14[Ф. И. О.],B616)</f>
        <v>0</v>
      </c>
      <c r="Y621" s="765"/>
      <c r="Z621" s="767"/>
      <c r="AA621" s="757"/>
    </row>
    <row r="622" spans="1:29">
      <c r="A622" s="756">
        <v>57</v>
      </c>
      <c r="B622" s="215"/>
      <c r="C622" s="758">
        <f>INDEX(база!$E$2:$E$98, MATCH(B627,база!$B$2:$B$100,0))</f>
        <v>16311</v>
      </c>
      <c r="D622" s="761">
        <f>INDEX(база!$D$2:$D$121, MATCH(B627,база!$B$2:$B$100,0))</f>
        <v>3</v>
      </c>
      <c r="E622" s="481">
        <f>IF(D622&lt;=3,база!$I$4,
IF(D622=4,база!$I$5,
IF(D622=5,база!$I$6)))</f>
        <v>188.7912</v>
      </c>
      <c r="F622" s="417">
        <v>1</v>
      </c>
      <c r="G622" s="418">
        <f>SUMIFS(Таблица14[часы],Таблица14[коэф],"1",Таблица14[р/р],"2/4",Таблица14[Ф. И. О.],B627)</f>
        <v>0</v>
      </c>
      <c r="H622" s="402">
        <f>SUMIFS(Таблица14[Столбец2],Таблица14[коэф],"1",Таблица14[р/р],"2/4",Таблица14[Ф. И. О.],B627)</f>
        <v>0</v>
      </c>
      <c r="I622" s="452">
        <f>IF(D622&lt;=3,база!$J$4,
IF(D622=4,база!$J$5,
IF(D622=5,база!$J$6)))</f>
        <v>196.05240000000001</v>
      </c>
      <c r="J622" s="475">
        <v>1</v>
      </c>
      <c r="K622" s="453">
        <f>SUMIFS(Таблица14[часы],Таблица14[коэф],"1",Таблица14[р/р],"2/8",Таблица14[Ф. И. О.],B627)</f>
        <v>0</v>
      </c>
      <c r="L622" s="453">
        <f>SUMIFS(Таблица14[Столбец2],Таблица14[коэф],"1",Таблица14[р/р],"2/8",Таблица14[Ф. И. О.],B627)</f>
        <v>0</v>
      </c>
      <c r="M622" s="453"/>
      <c r="N622" s="453">
        <v>1</v>
      </c>
      <c r="O622" s="453">
        <f>SUMIFS(Data_Tech!$AM$3:$AM$67,Data_Tech!$E$3:$E$67,"1",Data_Tech!$G$3:$G$67,"3/12",Data_Tech!$F$3:$F$67,B627)</f>
        <v>0</v>
      </c>
      <c r="P622" s="398">
        <f>ROUND(M622*N622*O622,2)</f>
        <v>0</v>
      </c>
      <c r="Q622" s="481">
        <f>IF(D622&lt;=3,база!$L$4,
IF(D622=4,база!$L$5,
IF(D622=5,база!$L$6)))</f>
        <v>210.57480000000001</v>
      </c>
      <c r="R622" s="417">
        <v>1</v>
      </c>
      <c r="S622" s="418">
        <f>SUMIFS(Таблица14[часы],Таблица14[коэф],"1",Таблица14[р/р],"3/16",Таблица14[Ф. И. О.],B627)</f>
        <v>0</v>
      </c>
      <c r="T622" s="402">
        <f>SUMIFS(Таблица14[Столбец2],Таблица14[коэф],"1",Таблица14[р/р],"3/16",Таблица14[Ф. И. О.],B627)</f>
        <v>0</v>
      </c>
      <c r="U622" s="483">
        <f>IF(D622&lt;=3,база!$M$4,
IF(D622=4,база!$M$5,
IF(D622=5,база!$M$6)))</f>
        <v>225.09719999999999</v>
      </c>
      <c r="V622" s="417">
        <v>1</v>
      </c>
      <c r="W622" s="455">
        <f>SUMIFS(Таблица14[часы],Таблица14[коэф],"1",Таблица14[р/р],"3/24",Таблица14[Ф. И. О.],B627)</f>
        <v>0</v>
      </c>
      <c r="X622" s="552">
        <f>SUMIFS(Таблица14[Столбец2],Таблица14[коэф],"1",Таблица14[р/р],"3/24",Таблица14[Ф. И. О.],B627)</f>
        <v>0</v>
      </c>
      <c r="Y622" s="764">
        <f t="shared" ref="Y622" si="252">SUM(G622:G632,K622:K632,O622:O632,S622:S632,W622:W632)</f>
        <v>0</v>
      </c>
      <c r="Z622" s="766">
        <f t="shared" ref="Z622" si="253">IFERROR(SUM(H622:H632,L622:L632,T622:T632,X622:X632),"")</f>
        <v>0</v>
      </c>
      <c r="AA622" s="756"/>
    </row>
    <row r="623" spans="1:29">
      <c r="A623" s="756"/>
      <c r="B623" s="215"/>
      <c r="C623" s="759"/>
      <c r="D623" s="762"/>
      <c r="E623" s="389">
        <f>IF(D622&lt;=3,база!$I$4,
IF(D622=4,база!$I$5,
IF(D622=5,база!$I$6)))</f>
        <v>188.7912</v>
      </c>
      <c r="F623" s="390">
        <v>1</v>
      </c>
      <c r="G623" s="400">
        <f>SUMIFS(Таблица14[часы],Таблица14[коэф],"1",Таблица14[р/р],"3/4",Таблица14[Ф. И. О.],B627)</f>
        <v>0</v>
      </c>
      <c r="H623" s="392">
        <f>SUMIFS(Таблица14[Столбец2],Таблица14[коэф],"1",Таблица14[р/р],"3/4",Таблица14[Ф. И. О.],B627)</f>
        <v>0</v>
      </c>
      <c r="I623" s="432">
        <f>IF(D622&lt;=3,база!$J$4,
IF(D622=4,база!$J$5,
IF(D622=5,база!$J$6)))</f>
        <v>196.05240000000001</v>
      </c>
      <c r="J623" s="433">
        <v>1</v>
      </c>
      <c r="K623" s="434">
        <f>SUMIFS(Таблица14[часы],Таблица14[коэф],"1",Таблица14[р/р],"3/8",Таблица14[Ф. И. О.],B627)</f>
        <v>0</v>
      </c>
      <c r="L623" s="434">
        <f>SUMIFS(Таблица14[Столбец2],Таблица14[коэф],"1",Таблица14[р/р],"3/8",Таблица14[Ф. И. О.],B627)</f>
        <v>0</v>
      </c>
      <c r="M623" s="434"/>
      <c r="N623" s="434">
        <v>1</v>
      </c>
      <c r="O623" s="434">
        <f>SUMIFS(Data_Tech!$AM$3:$AM$67,Data_Tech!$E$3:$E$67,"1",Data_Tech!$G$3:$G$67,"4/12",Data_Tech!$F$3:$F$67,B627)</f>
        <v>0</v>
      </c>
      <c r="P623" s="406">
        <f>ROUND(M623*O623,2)</f>
        <v>0</v>
      </c>
      <c r="Q623" s="389">
        <f>база!$L$5</f>
        <v>231.45480000000001</v>
      </c>
      <c r="R623" s="390">
        <v>1</v>
      </c>
      <c r="S623" s="400">
        <f>SUMIFS(Таблица14[часы],Таблица14[коэф],"1",Таблица14[р/р],"4/16",Таблица14[Ф. И. О.],B627)</f>
        <v>0</v>
      </c>
      <c r="T623" s="392">
        <f>SUMIFS(Таблица14[Столбец2],Таблица14[коэф],"1",Таблица14[р/р],"4/16",Таблица14[Ф. И. О.],B627)</f>
        <v>0</v>
      </c>
      <c r="U623" s="478">
        <f>база!$M$5</f>
        <v>247.41720000000001</v>
      </c>
      <c r="V623" s="390">
        <v>1</v>
      </c>
      <c r="W623" s="412">
        <f>SUMIFS(Таблица14[часы],Таблица14[коэф],"1",Таблица14[р/р],"4/24",Таблица14[Ф. И. О.],B627)</f>
        <v>0</v>
      </c>
      <c r="X623" s="545">
        <f>SUMIFS(Таблица14[Столбец2],Таблица14[коэф],"1",Таблица14[р/р],"4/24",Таблица14[Ф. И. О.],B627)</f>
        <v>0</v>
      </c>
      <c r="Y623" s="764"/>
      <c r="Z623" s="766"/>
      <c r="AA623" s="756"/>
    </row>
    <row r="624" spans="1:29">
      <c r="A624" s="756"/>
      <c r="B624" s="215"/>
      <c r="C624" s="759"/>
      <c r="D624" s="762"/>
      <c r="E624" s="389"/>
      <c r="F624" s="390"/>
      <c r="G624" s="400"/>
      <c r="H624" s="392"/>
      <c r="I624" s="432"/>
      <c r="J624" s="433"/>
      <c r="K624" s="434"/>
      <c r="L624" s="434"/>
      <c r="M624" s="434"/>
      <c r="N624" s="434"/>
      <c r="O624" s="434"/>
      <c r="P624" s="406"/>
      <c r="Q624" s="389">
        <f>база!$L$6</f>
        <v>261.04640000000001</v>
      </c>
      <c r="R624" s="390">
        <v>1</v>
      </c>
      <c r="S624" s="400">
        <f>SUMIFS(Таблица14[часы],Таблица14[коэф],"1",Таблица14[р/р],"5/16",Таблица14[Ф. И. О.],B627)</f>
        <v>0</v>
      </c>
      <c r="T624" s="392">
        <f>SUMIFS(Таблица14[Столбец2],Таблица14[коэф],"1",Таблица14[р/р],"5/16",Таблица14[Ф. И. О.],B627)</f>
        <v>0</v>
      </c>
      <c r="U624" s="478">
        <f>база!$M$6</f>
        <v>279.0496</v>
      </c>
      <c r="V624" s="390">
        <v>1</v>
      </c>
      <c r="W624" s="412">
        <f>SUMIFS(Таблица14[часы],Таблица14[коэф],"1",Таблица14[р/р],"5/24",Таблица14[Ф. И. О.],B627)</f>
        <v>0</v>
      </c>
      <c r="X624" s="545">
        <f>SUMIFS(Таблица14[Столбец2],Таблица14[коэф],"1",Таблица14[р/р],"5/24",Таблица14[Ф. И. О.],B627)</f>
        <v>0</v>
      </c>
      <c r="Y624" s="764"/>
      <c r="Z624" s="766"/>
      <c r="AA624" s="756"/>
    </row>
    <row r="625" spans="1:29">
      <c r="A625" s="756"/>
      <c r="B625" s="215"/>
      <c r="C625" s="759"/>
      <c r="D625" s="762"/>
      <c r="E625" s="389"/>
      <c r="F625" s="390"/>
      <c r="G625" s="400"/>
      <c r="H625" s="392"/>
      <c r="I625" s="432">
        <f>база!$J$5</f>
        <v>215.4924</v>
      </c>
      <c r="J625" s="433">
        <v>1.5</v>
      </c>
      <c r="K625" s="434">
        <f>SUMIFS(Таблица14[часы],Таблица14[коэф],"1,5",Таблица14[р/р],"4/8",Таблица14[Ф. И. О.],B627)</f>
        <v>0</v>
      </c>
      <c r="L625" s="434">
        <f>SUMIFS(Таблица14[Столбец2],Таблица14[коэф],"1,5",Таблица14[р/р],"4/8",Таблица14[Ф. И. О.],B627)</f>
        <v>0</v>
      </c>
      <c r="M625" s="434"/>
      <c r="N625" s="434"/>
      <c r="O625" s="434"/>
      <c r="P625" s="406"/>
      <c r="Q625" s="389">
        <f>IF(D622&lt;=3,база!$L$4,
IF(D622=4,база!$L$5,
IF(D622=5,база!$L$6)))</f>
        <v>210.57480000000001</v>
      </c>
      <c r="R625" s="390">
        <v>1.2</v>
      </c>
      <c r="S625" s="400">
        <f>SUMIFS(Таблица14[часы],Таблица14[коэф],"1,2",Таблица14[р/р],"3/16",Таблица14[Ф. И. О.],B627)</f>
        <v>0</v>
      </c>
      <c r="T625" s="392">
        <f>SUMIFS(Таблица14[Столбец2],Таблица14[коэф],"1,2",Таблица14[р/р],"3/16",Таблица14[Ф. И. О.],B627)</f>
        <v>0</v>
      </c>
      <c r="U625" s="478">
        <f>IF(D622&lt;=3,база!$M$4,
IF(D622=4,база!$M$5,
IF(D622=5,база!$M$6)))</f>
        <v>225.09719999999999</v>
      </c>
      <c r="V625" s="390">
        <v>1.2</v>
      </c>
      <c r="W625" s="412">
        <f>SUMIFS(Таблица14[часы],Таблица14[коэф],"1,2",Таблица14[р/р],"3/24",Таблица14[Ф. И. О.],B627)</f>
        <v>0</v>
      </c>
      <c r="X625" s="545">
        <f>SUMIFS(Таблица14[Столбец2],Таблица14[коэф],"1,2",Таблица14[р/р],"3/24",Таблица14[Ф. И. О.],B627)</f>
        <v>0</v>
      </c>
      <c r="Y625" s="764"/>
      <c r="Z625" s="766"/>
      <c r="AA625" s="756"/>
    </row>
    <row r="626" spans="1:29">
      <c r="A626" s="756"/>
      <c r="B626" s="215"/>
      <c r="C626" s="759"/>
      <c r="D626" s="762"/>
      <c r="E626" s="389"/>
      <c r="F626" s="390"/>
      <c r="G626" s="400"/>
      <c r="H626" s="392"/>
      <c r="I626" s="432">
        <f>база!$J$6</f>
        <v>243.04319999999998</v>
      </c>
      <c r="J626" s="433">
        <v>1.5</v>
      </c>
      <c r="K626" s="434">
        <f>SUMIFS(Таблица14[часы],Таблица14[коэф],"1,5",Таблица14[р/р],"5/8",Таблица14[Ф. И. О.],B627)</f>
        <v>0</v>
      </c>
      <c r="L626" s="434">
        <f>SUMIFS(Таблица14[Столбец2],Таблица14[коэф],"1,5",Таблица14[р/р],"5/8",Таблица14[Ф. И. О.],B627)</f>
        <v>0</v>
      </c>
      <c r="M626" s="434"/>
      <c r="N626" s="434"/>
      <c r="O626" s="434"/>
      <c r="P626" s="406"/>
      <c r="Q626" s="389">
        <f>база!$L$5</f>
        <v>231.45480000000001</v>
      </c>
      <c r="R626" s="390">
        <v>1.2</v>
      </c>
      <c r="S626" s="400">
        <f>SUMIFS(Таблица14[часы],Таблица14[коэф],"1,2",Таблица14[р/р],"4/16",Таблица14[Ф. И. О.],B627)</f>
        <v>0</v>
      </c>
      <c r="T626" s="392">
        <f>SUMIFS(Таблица14[Столбец2],Таблица14[коэф],"1,2",Таблица14[р/р],"4/16",Таблица14[Ф. И. О.],B627)</f>
        <v>0</v>
      </c>
      <c r="U626" s="478">
        <f>база!$M$5</f>
        <v>247.41720000000001</v>
      </c>
      <c r="V626" s="390">
        <v>1.2</v>
      </c>
      <c r="W626" s="412">
        <f>SUMIFS(Таблица14[часы],Таблица14[коэф],"1,2",Таблица14[р/р],"4/24",Таблица14[Ф. И. О.],B627)</f>
        <v>0</v>
      </c>
      <c r="X626" s="545">
        <f>SUMIFS(Таблица14[Столбец2],Таблица14[коэф],"1,2",Таблица14[р/р],"4/24",Таблица14[Ф. И. О.],B627)</f>
        <v>0</v>
      </c>
      <c r="Y626" s="764"/>
      <c r="Z626" s="766"/>
      <c r="AA626" s="756"/>
    </row>
    <row r="627" spans="1:29">
      <c r="A627" s="756"/>
      <c r="B627" s="215" t="str">
        <f>база!B58</f>
        <v>Оленева Анна Викторовна</v>
      </c>
      <c r="C627" s="759"/>
      <c r="D627" s="762"/>
      <c r="E627" s="389"/>
      <c r="F627" s="390"/>
      <c r="G627" s="400"/>
      <c r="H627" s="392"/>
      <c r="I627" s="432"/>
      <c r="J627" s="433"/>
      <c r="K627" s="434"/>
      <c r="L627" s="434"/>
      <c r="M627" s="434"/>
      <c r="N627" s="434"/>
      <c r="O627" s="434"/>
      <c r="P627" s="406"/>
      <c r="Q627" s="389">
        <f>база!$L$6</f>
        <v>261.04640000000001</v>
      </c>
      <c r="R627" s="390">
        <v>1.2</v>
      </c>
      <c r="S627" s="400">
        <f>SUMIFS(Таблица14[часы],Таблица14[коэф],"1,2",Таблица14[р/р],"5/16",Таблица14[Ф. И. О.],B627)</f>
        <v>0</v>
      </c>
      <c r="T627" s="392">
        <f>SUMIFS(Таблица14[Столбец2],Таблица14[коэф],"1,2",Таблица14[р/р],"5/16",Таблица14[Ф. И. О.],B627)</f>
        <v>0</v>
      </c>
      <c r="U627" s="478">
        <f>база!$M$6</f>
        <v>279.0496</v>
      </c>
      <c r="V627" s="390">
        <v>1.2</v>
      </c>
      <c r="W627" s="412">
        <f>SUMIFS(Таблица14[часы],Таблица14[коэф],"1,2",Таблица14[р/р],"5/24",Таблица14[Ф. И. О.],B627)</f>
        <v>0</v>
      </c>
      <c r="X627" s="545">
        <f>SUMIFS(Таблица14[Столбец2],Таблица14[коэф],"1,2",Таблица14[р/р],"5/24",Таблица14[Ф. И. О.],B627)</f>
        <v>0</v>
      </c>
      <c r="Y627" s="764"/>
      <c r="Z627" s="766"/>
      <c r="AA627" s="756"/>
      <c r="AC627" s="752" t="str">
        <f>IF(SUMIFS(Таблица14[Столбец2],Таблица14[Ф. И. О.],B627)-Z622=0,"",SUMIFS(Таблица14[Столбец2],Таблица14[Ф. И. О.],B627)-Z622)</f>
        <v/>
      </c>
    </row>
    <row r="628" spans="1:29">
      <c r="A628" s="756"/>
      <c r="B628" s="215"/>
      <c r="C628" s="759"/>
      <c r="D628" s="762"/>
      <c r="E628" s="389"/>
      <c r="F628" s="390"/>
      <c r="G628" s="400"/>
      <c r="H628" s="392"/>
      <c r="I628" s="432"/>
      <c r="J628" s="433"/>
      <c r="K628" s="434"/>
      <c r="L628" s="434"/>
      <c r="M628" s="434"/>
      <c r="N628" s="434"/>
      <c r="O628" s="434"/>
      <c r="P628" s="406"/>
      <c r="Q628" s="389">
        <f>IF($D$6&lt;=3,база!$L$4,
IF($D$6=4,база!$L$5,
IF($D$6=5,база!$L$6)))</f>
        <v>231.45480000000001</v>
      </c>
      <c r="R628" s="390">
        <v>1.3</v>
      </c>
      <c r="S628" s="400">
        <f>SUMIFS(Таблица14[часы],Таблица14[коэф],"1,3",Таблица14[р/р],"3/16",Таблица14[Ф. И. О.],B627)</f>
        <v>0</v>
      </c>
      <c r="T628" s="392">
        <f>SUMIFS(Таблица14[Столбец2],Таблица14[коэф],"1,3",Таблица14[р/р],"3/16",Таблица14[Ф. И. О.],B627)</f>
        <v>0</v>
      </c>
      <c r="U628" s="478">
        <f>IF(D622&lt;=3,база!$M$4,
IF(D622=4,база!$M$5,
IF(D622=5,база!$M$6)))</f>
        <v>225.09719999999999</v>
      </c>
      <c r="V628" s="390">
        <v>1.3</v>
      </c>
      <c r="W628" s="412">
        <f>SUMIFS(Таблица14[часы],Таблица14[коэф],"1,3",Таблица14[р/р],"3/24",Таблица14[Ф. И. О.],B627)</f>
        <v>0</v>
      </c>
      <c r="X628" s="545">
        <f>SUMIFS(Таблица14[Столбец2],Таблица14[коэф],"1,3",Таблица14[р/р],"3/24",Таблица14[Ф. И. О.],B627)</f>
        <v>0</v>
      </c>
      <c r="Y628" s="764"/>
      <c r="Z628" s="766"/>
      <c r="AA628" s="756"/>
      <c r="AC628" s="752" t="str">
        <f>IF(SUMIFS(Таблица14[часы],Таблица14[Ф. И. О.],B627)-Y622=0,"",SUMIFS(Таблица14[часы],Таблица14[Ф. И. О.],B627)-Y622)</f>
        <v/>
      </c>
    </row>
    <row r="629" spans="1:29">
      <c r="A629" s="756"/>
      <c r="B629" s="215"/>
      <c r="C629" s="759"/>
      <c r="D629" s="762"/>
      <c r="E629" s="389"/>
      <c r="F629" s="390"/>
      <c r="G629" s="400"/>
      <c r="H629" s="392"/>
      <c r="I629" s="432"/>
      <c r="J629" s="433"/>
      <c r="K629" s="434"/>
      <c r="L629" s="434"/>
      <c r="M629" s="434"/>
      <c r="N629" s="434"/>
      <c r="O629" s="434"/>
      <c r="P629" s="406"/>
      <c r="Q629" s="389">
        <f>база!$L$5</f>
        <v>231.45480000000001</v>
      </c>
      <c r="R629" s="390">
        <v>1.3</v>
      </c>
      <c r="S629" s="400">
        <f>SUMIFS(Таблица14[часы],Таблица14[коэф],"1,3",Таблица14[р/р],"4/16",Таблица14[Ф. И. О.],B627)</f>
        <v>0</v>
      </c>
      <c r="T629" s="392">
        <f>SUMIFS(Таблица14[Столбец2],Таблица14[коэф],"1,3",Таблица14[р/р],"4/16",Таблица14[Ф. И. О.],B627)</f>
        <v>0</v>
      </c>
      <c r="U629" s="478">
        <f>база!$M$5</f>
        <v>247.41720000000001</v>
      </c>
      <c r="V629" s="390">
        <v>1.3</v>
      </c>
      <c r="W629" s="412">
        <f>SUMIFS(Таблица14[часы],Таблица14[коэф],"1,3",Таблица14[р/р],"4/24",Таблица14[Ф. И. О.],B627)</f>
        <v>0</v>
      </c>
      <c r="X629" s="545">
        <f>SUMIFS(Таблица14[Столбец2],Таблица14[коэф],"1,3",Таблица14[р/р],"4/24",Таблица14[Ф. И. О.],B627)</f>
        <v>0</v>
      </c>
      <c r="Y629" s="764"/>
      <c r="Z629" s="766"/>
      <c r="AA629" s="756"/>
    </row>
    <row r="630" spans="1:29">
      <c r="A630" s="756"/>
      <c r="B630" s="215"/>
      <c r="C630" s="759"/>
      <c r="D630" s="762"/>
      <c r="E630" s="389"/>
      <c r="F630" s="390"/>
      <c r="G630" s="400"/>
      <c r="H630" s="392"/>
      <c r="I630" s="432"/>
      <c r="J630" s="433"/>
      <c r="K630" s="434"/>
      <c r="L630" s="434"/>
      <c r="M630" s="434"/>
      <c r="N630" s="434"/>
      <c r="O630" s="434"/>
      <c r="P630" s="406"/>
      <c r="Q630" s="389">
        <f>IF(D622&lt;=3,база!$L$4,
IF(D622=4,база!$L$5,
IF(D622=5,база!$L$6)))</f>
        <v>210.57480000000001</v>
      </c>
      <c r="R630" s="390">
        <v>1.4</v>
      </c>
      <c r="S630" s="400">
        <f>SUMIFS(Таблица14[часы],Таблица14[коэф],"1,4",Таблица14[р/р],"3/16",Таблица14[Ф. И. О.],B627)</f>
        <v>0</v>
      </c>
      <c r="T630" s="392">
        <f>SUMIFS(Таблица14[Столбец2],Таблица14[коэф],"1,4",Таблица14[р/р],"3/16",Таблица14[Ф. И. О.],B627)</f>
        <v>0</v>
      </c>
      <c r="U630" s="478">
        <f>IF(D622&lt;=3,база!$M$4,
IF(D622=4,база!$M$5,
IF(D622=5,база!$M$6)))</f>
        <v>225.09719999999999</v>
      </c>
      <c r="V630" s="390">
        <v>1.4</v>
      </c>
      <c r="W630" s="412">
        <f>SUMIFS(Таблица14[часы],Таблица14[коэф],"1,4",Таблица14[р/р],"3/24",Таблица14[Ф. И. О.],B627)</f>
        <v>0</v>
      </c>
      <c r="X630" s="545">
        <f>SUMIFS(Таблица14[Столбец2],Таблица14[коэф],"1,4",Таблица14[р/р],"3/24",Таблица14[Ф. И. О.],B627)</f>
        <v>0</v>
      </c>
      <c r="Y630" s="764"/>
      <c r="Z630" s="766"/>
      <c r="AA630" s="756"/>
    </row>
    <row r="631" spans="1:29">
      <c r="A631" s="756"/>
      <c r="B631" s="215"/>
      <c r="C631" s="759"/>
      <c r="D631" s="762"/>
      <c r="E631" s="389"/>
      <c r="F631" s="390"/>
      <c r="G631" s="400"/>
      <c r="H631" s="392"/>
      <c r="I631" s="432"/>
      <c r="J631" s="433"/>
      <c r="K631" s="434"/>
      <c r="L631" s="434"/>
      <c r="M631" s="434"/>
      <c r="N631" s="434"/>
      <c r="O631" s="434"/>
      <c r="P631" s="406"/>
      <c r="Q631" s="389">
        <f>база!$L$5</f>
        <v>231.45480000000001</v>
      </c>
      <c r="R631" s="390">
        <v>1.4</v>
      </c>
      <c r="S631" s="400">
        <f>SUMIFS(Таблица14[часы],Таблица14[коэф],"1,4",Таблица14[р/р],"4/16",Таблица14[Ф. И. О.],B627)</f>
        <v>0</v>
      </c>
      <c r="T631" s="392">
        <f>SUMIFS(Таблица14[Столбец2],Таблица14[коэф],"1,4",Таблица14[р/р],"4/16",Таблица14[Ф. И. О.],B627)</f>
        <v>0</v>
      </c>
      <c r="U631" s="478">
        <f>база!$M$5</f>
        <v>247.41720000000001</v>
      </c>
      <c r="V631" s="390">
        <v>1.4</v>
      </c>
      <c r="W631" s="412">
        <f>SUMIFS(Таблица14[часы],Таблица14[коэф],"1,4",Таблица14[р/р],"4/24",Таблица14[Ф. И. О.],B627)</f>
        <v>0</v>
      </c>
      <c r="X631" s="545">
        <f>SUMIFS(Таблица14[Столбец2],Таблица14[коэф],"1,4",Таблица14[р/р],"4/24",Таблица14[Ф. И. О.],B627)</f>
        <v>0</v>
      </c>
      <c r="Y631" s="764"/>
      <c r="Z631" s="766"/>
      <c r="AA631" s="756"/>
    </row>
    <row r="632" spans="1:29" ht="21" thickBot="1">
      <c r="A632" s="757"/>
      <c r="B632" s="352"/>
      <c r="C632" s="760"/>
      <c r="D632" s="763"/>
      <c r="E632" s="473"/>
      <c r="F632" s="464"/>
      <c r="G632" s="651"/>
      <c r="H632" s="468"/>
      <c r="I632" s="645"/>
      <c r="J632" s="456"/>
      <c r="K632" s="646"/>
      <c r="L632" s="457"/>
      <c r="M632" s="645"/>
      <c r="N632" s="646"/>
      <c r="O632" s="646"/>
      <c r="P632" s="476"/>
      <c r="Q632" s="652">
        <f>база!$L$6</f>
        <v>261.04640000000001</v>
      </c>
      <c r="R632" s="464">
        <v>1.4</v>
      </c>
      <c r="S632" s="465">
        <f>SUMIFS(Таблица14[часы],Таблица14[коэф],"1,4",Таблица14[р/р],"5/16",Таблица14[Ф. И. О.],B627)</f>
        <v>0</v>
      </c>
      <c r="T632" s="468">
        <f>SUMIFS(Таблица14[Столбец2],Таблица14[коэф],"1,4",Таблица14[р/р],"5/16",Таблица14[Ф. И. О.],B627)</f>
        <v>0</v>
      </c>
      <c r="U632" s="463">
        <f>база!$M$6</f>
        <v>279.0496</v>
      </c>
      <c r="V632" s="464">
        <v>1.4</v>
      </c>
      <c r="W632" s="465">
        <f>SUMIFS(Таблица14[часы],Таблица14[коэф],"1,4",Таблица14[р/р],"5/24",Таблица14[Ф. И. О.],B627)</f>
        <v>0</v>
      </c>
      <c r="X632" s="468">
        <f>SUMIFS(Таблица14[Столбец2],Таблица14[коэф],"1,4",Таблица14[р/р],"5/24",Таблица14[Ф. И. О.],B627)</f>
        <v>0</v>
      </c>
      <c r="Y632" s="765"/>
      <c r="Z632" s="767"/>
      <c r="AA632" s="757"/>
    </row>
    <row r="633" spans="1:29">
      <c r="A633" s="756">
        <v>58</v>
      </c>
      <c r="B633" s="215"/>
      <c r="C633" s="758">
        <f>INDEX(база!$E$2:$E$98, MATCH(B638,база!$B$2:$B$100,0))</f>
        <v>0</v>
      </c>
      <c r="D633" s="761">
        <f>INDEX(база!$D$2:$D$121, MATCH(B638,база!$B$2:$B$100,0))</f>
        <v>3</v>
      </c>
      <c r="E633" s="481">
        <f>IF(D633&lt;=3,база!$I$4,
IF(D633=4,база!$I$5,
IF(D633=5,база!$I$6)))</f>
        <v>188.7912</v>
      </c>
      <c r="F633" s="417">
        <v>1</v>
      </c>
      <c r="G633" s="418">
        <f>SUMIFS(Таблица14[часы],Таблица14[коэф],"1",Таблица14[р/р],"2/4",Таблица14[Ф. И. О.],B638)</f>
        <v>0</v>
      </c>
      <c r="H633" s="402">
        <f>SUMIFS(Таблица14[Столбец2],Таблица14[коэф],"1",Таблица14[р/р],"2/4",Таблица14[Ф. И. О.],B638)</f>
        <v>0</v>
      </c>
      <c r="I633" s="452">
        <f>IF(D633&lt;=3,база!$J$4,
IF(D633=4,база!$J$5,
IF(D633=5,база!$J$6)))</f>
        <v>196.05240000000001</v>
      </c>
      <c r="J633" s="475">
        <v>1</v>
      </c>
      <c r="K633" s="453">
        <f>SUMIFS(Таблица14[часы],Таблица14[коэф],"1",Таблица14[р/р],"2/8",Таблица14[Ф. И. О.],B638)</f>
        <v>0</v>
      </c>
      <c r="L633" s="453">
        <f>SUMIFS(Таблица14[Столбец2],Таблица14[коэф],"1",Таблица14[р/р],"2/8",Таблица14[Ф. И. О.],B638)</f>
        <v>0</v>
      </c>
      <c r="M633" s="453"/>
      <c r="N633" s="453">
        <v>1</v>
      </c>
      <c r="O633" s="453">
        <f>SUMIFS(Data_Tech!$AM$3:$AM$67,Data_Tech!$E$3:$E$67,"1",Data_Tech!$G$3:$G$67,"3/12",Data_Tech!$F$3:$F$67,B638)</f>
        <v>0</v>
      </c>
      <c r="P633" s="398">
        <f>ROUND(M633*N633*O633,2)</f>
        <v>0</v>
      </c>
      <c r="Q633" s="481">
        <f>IF(D633&lt;=3,база!$L$4,
IF(D633=4,база!$L$5,
IF(D633=5,база!$L$6)))</f>
        <v>210.57480000000001</v>
      </c>
      <c r="R633" s="417">
        <v>1</v>
      </c>
      <c r="S633" s="418">
        <f>SUMIFS(Таблица14[часы],Таблица14[коэф],"1",Таблица14[р/р],"3/16",Таблица14[Ф. И. О.],B638)</f>
        <v>0</v>
      </c>
      <c r="T633" s="402">
        <f>SUMIFS(Таблица14[Столбец2],Таблица14[коэф],"1",Таблица14[р/р],"3/16",Таблица14[Ф. И. О.],B638)</f>
        <v>0</v>
      </c>
      <c r="U633" s="483">
        <f>IF(D633&lt;=3,база!$M$4,
IF(D633=4,база!$M$5,
IF(D633=5,база!$M$6)))</f>
        <v>225.09719999999999</v>
      </c>
      <c r="V633" s="417">
        <v>1</v>
      </c>
      <c r="W633" s="455">
        <f>SUMIFS(Таблица14[часы],Таблица14[коэф],"1",Таблица14[р/р],"3/24",Таблица14[Ф. И. О.],B638)</f>
        <v>0</v>
      </c>
      <c r="X633" s="552">
        <f>SUMIFS(Таблица14[Столбец2],Таблица14[коэф],"1",Таблица14[р/р],"3/24",Таблица14[Ф. И. О.],B638)</f>
        <v>0</v>
      </c>
      <c r="Y633" s="770">
        <f>SUM(G633:G643,K633:K643,O633:O643,S633:S643,W633:W643)</f>
        <v>0</v>
      </c>
      <c r="Z633" s="766">
        <f>IFERROR(SUM(H633:H643,L633:L643,T633:T643,X633:X643),"")</f>
        <v>0</v>
      </c>
      <c r="AA633" s="756"/>
    </row>
    <row r="634" spans="1:29">
      <c r="A634" s="756"/>
      <c r="B634" s="215"/>
      <c r="C634" s="759"/>
      <c r="D634" s="762"/>
      <c r="E634" s="389">
        <f>IF(D633&lt;=3,база!$I$4,
IF(D633=4,база!$I$5,
IF(D633=5,база!$I$6)))</f>
        <v>188.7912</v>
      </c>
      <c r="F634" s="390">
        <v>1</v>
      </c>
      <c r="G634" s="400">
        <f>SUMIFS(Таблица14[часы],Таблица14[коэф],"1",Таблица14[р/р],"3/4",Таблица14[Ф. И. О.],B638)</f>
        <v>0</v>
      </c>
      <c r="H634" s="392">
        <f>SUMIFS(Таблица14[Столбец2],Таблица14[коэф],"1",Таблица14[р/р],"3/4",Таблица14[Ф. И. О.],B638)</f>
        <v>0</v>
      </c>
      <c r="I634" s="432">
        <f>IF(D633&lt;=3,база!$J$4,
IF(D633=4,база!$J$5,
IF(D633=5,база!$J$6)))</f>
        <v>196.05240000000001</v>
      </c>
      <c r="J634" s="433">
        <v>1</v>
      </c>
      <c r="K634" s="434">
        <f>SUMIFS(Таблица14[часы],Таблица14[коэф],"1",Таблица14[р/р],"3/8",Таблица14[Ф. И. О.],B638)</f>
        <v>0</v>
      </c>
      <c r="L634" s="434">
        <f>SUMIFS(Таблица14[Столбец2],Таблица14[коэф],"1",Таблица14[р/р],"3/8",Таблица14[Ф. И. О.],B638)</f>
        <v>0</v>
      </c>
      <c r="M634" s="434"/>
      <c r="N634" s="434">
        <v>1</v>
      </c>
      <c r="O634" s="434">
        <f>SUMIFS(Data_Tech!$AM$3:$AM$67,Data_Tech!$E$3:$E$67,"1",Data_Tech!$G$3:$G$67,"4/12",Data_Tech!$F$3:$F$67,B638)</f>
        <v>0</v>
      </c>
      <c r="P634" s="406">
        <f>ROUND(M634*O634,2)</f>
        <v>0</v>
      </c>
      <c r="Q634" s="389">
        <f>база!$L$5</f>
        <v>231.45480000000001</v>
      </c>
      <c r="R634" s="390">
        <v>1</v>
      </c>
      <c r="S634" s="400">
        <f>SUMIFS(Таблица14[часы],Таблица14[коэф],"1",Таблица14[р/р],"4/16",Таблица14[Ф. И. О.],B638)</f>
        <v>0</v>
      </c>
      <c r="T634" s="392">
        <f>SUMIFS(Таблица14[Столбец2],Таблица14[коэф],"1",Таблица14[р/р],"4/16",Таблица14[Ф. И. О.],B638)</f>
        <v>0</v>
      </c>
      <c r="U634" s="478">
        <f>база!$M$5</f>
        <v>247.41720000000001</v>
      </c>
      <c r="V634" s="390">
        <v>1</v>
      </c>
      <c r="W634" s="412">
        <f>SUMIFS(Таблица14[часы],Таблица14[коэф],"1",Таблица14[р/р],"4/24",Таблица14[Ф. И. О.],B638)</f>
        <v>0</v>
      </c>
      <c r="X634" s="545">
        <f>SUMIFS(Таблица14[Столбец2],Таблица14[коэф],"1",Таблица14[р/р],"4/24",Таблица14[Ф. И. О.],B638)</f>
        <v>0</v>
      </c>
      <c r="Y634" s="770"/>
      <c r="Z634" s="766"/>
      <c r="AA634" s="756"/>
    </row>
    <row r="635" spans="1:29">
      <c r="A635" s="756"/>
      <c r="B635" s="215"/>
      <c r="C635" s="759"/>
      <c r="D635" s="762"/>
      <c r="E635" s="389"/>
      <c r="F635" s="390"/>
      <c r="G635" s="400"/>
      <c r="H635" s="392"/>
      <c r="I635" s="432"/>
      <c r="J635" s="433"/>
      <c r="K635" s="434"/>
      <c r="L635" s="434"/>
      <c r="M635" s="434"/>
      <c r="N635" s="434"/>
      <c r="O635" s="434"/>
      <c r="P635" s="406"/>
      <c r="Q635" s="389">
        <f>база!$L$6</f>
        <v>261.04640000000001</v>
      </c>
      <c r="R635" s="390">
        <v>1</v>
      </c>
      <c r="S635" s="400">
        <f>SUMIFS(Таблица14[часы],Таблица14[коэф],"1",Таблица14[р/р],"5/16",Таблица14[Ф. И. О.],B638)</f>
        <v>0</v>
      </c>
      <c r="T635" s="392">
        <f>SUMIFS(Таблица14[Столбец2],Таблица14[коэф],"1",Таблица14[р/р],"5/16",Таблица14[Ф. И. О.],B638)</f>
        <v>0</v>
      </c>
      <c r="U635" s="478">
        <f>база!$M$6</f>
        <v>279.0496</v>
      </c>
      <c r="V635" s="390">
        <v>1</v>
      </c>
      <c r="W635" s="412">
        <f>SUMIFS(Таблица14[часы],Таблица14[коэф],"1",Таблица14[р/р],"5/24",Таблица14[Ф. И. О.],B638)</f>
        <v>0</v>
      </c>
      <c r="X635" s="545">
        <f>SUMIFS(Таблица14[Столбец2],Таблица14[коэф],"1",Таблица14[р/р],"5/24",Таблица14[Ф. И. О.],B638)</f>
        <v>0</v>
      </c>
      <c r="Y635" s="770"/>
      <c r="Z635" s="766"/>
      <c r="AA635" s="756"/>
    </row>
    <row r="636" spans="1:29">
      <c r="A636" s="756"/>
      <c r="B636" s="215"/>
      <c r="C636" s="759"/>
      <c r="D636" s="762"/>
      <c r="E636" s="389"/>
      <c r="F636" s="390"/>
      <c r="G636" s="400"/>
      <c r="H636" s="392"/>
      <c r="I636" s="432">
        <f>база!$J$5</f>
        <v>215.4924</v>
      </c>
      <c r="J636" s="433">
        <v>1.5</v>
      </c>
      <c r="K636" s="434">
        <f>SUMIFS(Таблица14[часы],Таблица14[коэф],"1,5",Таблица14[р/р],"4/8",Таблица14[Ф. И. О.],B638)</f>
        <v>0</v>
      </c>
      <c r="L636" s="434">
        <f>SUMIFS(Таблица14[Столбец2],Таблица14[коэф],"1,5",Таблица14[р/р],"4/8",Таблица14[Ф. И. О.],B638)</f>
        <v>0</v>
      </c>
      <c r="M636" s="434"/>
      <c r="N636" s="434"/>
      <c r="O636" s="434"/>
      <c r="P636" s="406"/>
      <c r="Q636" s="389">
        <f>IF(D633&lt;=3,база!$L$4,
IF(D633=4,база!$L$5,
IF(D633=5,база!$L$6)))</f>
        <v>210.57480000000001</v>
      </c>
      <c r="R636" s="390">
        <v>1.2</v>
      </c>
      <c r="S636" s="400">
        <f>SUMIFS(Таблица14[часы],Таблица14[коэф],"1,2",Таблица14[р/р],"3/16",Таблица14[Ф. И. О.],B638)</f>
        <v>0</v>
      </c>
      <c r="T636" s="392">
        <f>SUMIFS(Таблица14[Столбец2],Таблица14[коэф],"1,2",Таблица14[р/р],"3/16",Таблица14[Ф. И. О.],B638)</f>
        <v>0</v>
      </c>
      <c r="U636" s="478">
        <f>IF(D633&lt;=3,база!$M$4,
IF(D633=4,база!$M$5,
IF(D633=5,база!$M$6)))</f>
        <v>225.09719999999999</v>
      </c>
      <c r="V636" s="390">
        <v>1.2</v>
      </c>
      <c r="W636" s="412">
        <f>SUMIFS(Таблица14[часы],Таблица14[коэф],"1,2",Таблица14[р/р],"3/24",Таблица14[Ф. И. О.],B638)</f>
        <v>0</v>
      </c>
      <c r="X636" s="545">
        <f>SUMIFS(Таблица14[Столбец2],Таблица14[коэф],"1,2",Таблица14[р/р],"3/24",Таблица14[Ф. И. О.],B638)</f>
        <v>0</v>
      </c>
      <c r="Y636" s="770"/>
      <c r="Z636" s="766"/>
      <c r="AA636" s="756"/>
    </row>
    <row r="637" spans="1:29">
      <c r="A637" s="756"/>
      <c r="B637" s="215"/>
      <c r="C637" s="759"/>
      <c r="D637" s="762"/>
      <c r="E637" s="389"/>
      <c r="F637" s="390"/>
      <c r="G637" s="400"/>
      <c r="H637" s="392"/>
      <c r="I637" s="432">
        <f>база!$J$6</f>
        <v>243.04319999999998</v>
      </c>
      <c r="J637" s="433">
        <v>1.5</v>
      </c>
      <c r="K637" s="434">
        <f>SUMIFS(Таблица14[часы],Таблица14[коэф],"1,5",Таблица14[р/р],"5/8",Таблица14[Ф. И. О.],B638)</f>
        <v>0</v>
      </c>
      <c r="L637" s="434">
        <f>SUMIFS(Таблица14[Столбец2],Таблица14[коэф],"1,5",Таблица14[р/р],"5/8",Таблица14[Ф. И. О.],B638)</f>
        <v>0</v>
      </c>
      <c r="M637" s="434"/>
      <c r="N637" s="434"/>
      <c r="O637" s="434"/>
      <c r="P637" s="406"/>
      <c r="Q637" s="389">
        <f>база!$L$5</f>
        <v>231.45480000000001</v>
      </c>
      <c r="R637" s="390">
        <v>1.2</v>
      </c>
      <c r="S637" s="400">
        <f>SUMIFS(Таблица14[часы],Таблица14[коэф],"1,2",Таблица14[р/р],"4/16",Таблица14[Ф. И. О.],B638)</f>
        <v>0</v>
      </c>
      <c r="T637" s="392">
        <f>SUMIFS(Таблица14[Столбец2],Таблица14[коэф],"1,2",Таблица14[р/р],"4/16",Таблица14[Ф. И. О.],B638)</f>
        <v>0</v>
      </c>
      <c r="U637" s="478">
        <f>база!$M$5</f>
        <v>247.41720000000001</v>
      </c>
      <c r="V637" s="390">
        <v>1.2</v>
      </c>
      <c r="W637" s="412">
        <f>SUMIFS(Таблица14[часы],Таблица14[коэф],"1,2",Таблица14[р/р],"4/24",Таблица14[Ф. И. О.],B638)</f>
        <v>0</v>
      </c>
      <c r="X637" s="545">
        <f>SUMIFS(Таблица14[Столбец2],Таблица14[коэф],"1,2",Таблица14[р/р],"4/24",Таблица14[Ф. И. О.],B638)</f>
        <v>0</v>
      </c>
      <c r="Y637" s="770"/>
      <c r="Z637" s="766"/>
      <c r="AA637" s="756"/>
      <c r="AC637" s="752" t="str">
        <f>IF(SUMIFS(Таблица14[Столбец2],Таблица14[Ф. И. О.],B638)-Z633=0,"",SUMIFS(Таблица14[Столбец2],Таблица14[Ф. И. О.],B638)-Z633)</f>
        <v/>
      </c>
    </row>
    <row r="638" spans="1:29">
      <c r="A638" s="756"/>
      <c r="B638" s="215" t="str">
        <f>база!B59</f>
        <v>Ополченова Ольга Валерьевна</v>
      </c>
      <c r="C638" s="759"/>
      <c r="D638" s="762"/>
      <c r="E638" s="389"/>
      <c r="F638" s="390"/>
      <c r="G638" s="400"/>
      <c r="H638" s="392"/>
      <c r="I638" s="432"/>
      <c r="J638" s="433"/>
      <c r="K638" s="434"/>
      <c r="L638" s="434"/>
      <c r="M638" s="434"/>
      <c r="N638" s="434"/>
      <c r="O638" s="434"/>
      <c r="P638" s="406"/>
      <c r="Q638" s="389">
        <f>база!$L$6</f>
        <v>261.04640000000001</v>
      </c>
      <c r="R638" s="390">
        <v>1.2</v>
      </c>
      <c r="S638" s="400">
        <f>SUMIFS(Таблица14[часы],Таблица14[коэф],"1,2",Таблица14[р/р],"5/16",Таблица14[Ф. И. О.],B638)</f>
        <v>0</v>
      </c>
      <c r="T638" s="392">
        <f>SUMIFS(Таблица14[Столбец2],Таблица14[коэф],"1,2",Таблица14[р/р],"5/16",Таблица14[Ф. И. О.],B638)</f>
        <v>0</v>
      </c>
      <c r="U638" s="478">
        <f>база!$M$6</f>
        <v>279.0496</v>
      </c>
      <c r="V638" s="390">
        <v>1.2</v>
      </c>
      <c r="W638" s="412">
        <f>SUMIFS(Таблица14[часы],Таблица14[коэф],"1,2",Таблица14[р/р],"5/24",Таблица14[Ф. И. О.],B638)</f>
        <v>0</v>
      </c>
      <c r="X638" s="545">
        <f>SUMIFS(Таблица14[Столбец2],Таблица14[коэф],"1,2",Таблица14[р/р],"5/24",Таблица14[Ф. И. О.],B638)</f>
        <v>0</v>
      </c>
      <c r="Y638" s="770"/>
      <c r="Z638" s="766"/>
      <c r="AA638" s="756"/>
      <c r="AC638" s="752" t="str">
        <f>IF(SUMIFS(Таблица14[часы],Таблица14[Ф. И. О.],B638)-Y633=0,"",SUMIFS(Таблица14[часы],Таблица14[Ф. И. О.],B638)-Y633)</f>
        <v/>
      </c>
    </row>
    <row r="639" spans="1:29">
      <c r="A639" s="756"/>
      <c r="B639" s="215"/>
      <c r="C639" s="759"/>
      <c r="D639" s="762"/>
      <c r="E639" s="389"/>
      <c r="F639" s="390"/>
      <c r="G639" s="400"/>
      <c r="H639" s="392"/>
      <c r="I639" s="432"/>
      <c r="J639" s="433"/>
      <c r="K639" s="434"/>
      <c r="L639" s="434"/>
      <c r="M639" s="434"/>
      <c r="N639" s="434"/>
      <c r="O639" s="434"/>
      <c r="P639" s="406"/>
      <c r="Q639" s="389">
        <f>IF($D$6&lt;=3,база!$L$4,
IF($D$6=4,база!$L$5,
IF($D$6=5,база!$L$6)))</f>
        <v>231.45480000000001</v>
      </c>
      <c r="R639" s="390">
        <v>1.3</v>
      </c>
      <c r="S639" s="400">
        <f>SUMIFS(Таблица14[часы],Таблица14[коэф],"1,3",Таблица14[р/р],"3/16",Таблица14[Ф. И. О.],B638)</f>
        <v>0</v>
      </c>
      <c r="T639" s="392">
        <f>SUMIFS(Таблица14[Столбец2],Таблица14[коэф],"1,3",Таблица14[р/р],"3/16",Таблица14[Ф. И. О.],B638)</f>
        <v>0</v>
      </c>
      <c r="U639" s="478">
        <f>IF(D633&lt;=3,база!$M$4,
IF(D633=4,база!$M$5,
IF(D633=5,база!$M$6)))</f>
        <v>225.09719999999999</v>
      </c>
      <c r="V639" s="390">
        <v>1.3</v>
      </c>
      <c r="W639" s="412">
        <f>SUMIFS(Таблица14[часы],Таблица14[коэф],"1,3",Таблица14[р/р],"3/24",Таблица14[Ф. И. О.],B638)</f>
        <v>0</v>
      </c>
      <c r="X639" s="545">
        <f>SUMIFS(Таблица14[Столбец2],Таблица14[коэф],"1,3",Таблица14[р/р],"3/24",Таблица14[Ф. И. О.],B638)</f>
        <v>0</v>
      </c>
      <c r="Y639" s="770"/>
      <c r="Z639" s="766"/>
      <c r="AA639" s="756"/>
    </row>
    <row r="640" spans="1:29">
      <c r="A640" s="756"/>
      <c r="B640" s="215"/>
      <c r="C640" s="759"/>
      <c r="D640" s="762"/>
      <c r="E640" s="389"/>
      <c r="F640" s="390"/>
      <c r="G640" s="400"/>
      <c r="H640" s="392"/>
      <c r="I640" s="432"/>
      <c r="J640" s="433"/>
      <c r="K640" s="434"/>
      <c r="L640" s="434"/>
      <c r="M640" s="434"/>
      <c r="N640" s="434"/>
      <c r="O640" s="434"/>
      <c r="P640" s="406"/>
      <c r="Q640" s="389">
        <f>база!$L$5</f>
        <v>231.45480000000001</v>
      </c>
      <c r="R640" s="390">
        <v>1.3</v>
      </c>
      <c r="S640" s="400">
        <f>SUMIFS(Таблица14[часы],Таблица14[коэф],"1,3",Таблица14[р/р],"4/16",Таблица14[Ф. И. О.],B638)</f>
        <v>0</v>
      </c>
      <c r="T640" s="392">
        <f>SUMIFS(Таблица14[Столбец2],Таблица14[коэф],"1,3",Таблица14[р/р],"4/16",Таблица14[Ф. И. О.],B638)</f>
        <v>0</v>
      </c>
      <c r="U640" s="478">
        <f>база!$M$5</f>
        <v>247.41720000000001</v>
      </c>
      <c r="V640" s="390">
        <v>1.3</v>
      </c>
      <c r="W640" s="412">
        <f>SUMIFS(Таблица14[часы],Таблица14[коэф],"1,3",Таблица14[р/р],"4/24",Таблица14[Ф. И. О.],B638)</f>
        <v>0</v>
      </c>
      <c r="X640" s="545">
        <f>SUMIFS(Таблица14[Столбец2],Таблица14[коэф],"1,3",Таблица14[р/р],"4/24",Таблица14[Ф. И. О.],B638)</f>
        <v>0</v>
      </c>
      <c r="Y640" s="770"/>
      <c r="Z640" s="766"/>
      <c r="AA640" s="756"/>
    </row>
    <row r="641" spans="1:29">
      <c r="A641" s="756"/>
      <c r="B641" s="215"/>
      <c r="C641" s="759"/>
      <c r="D641" s="762"/>
      <c r="E641" s="389"/>
      <c r="F641" s="390"/>
      <c r="G641" s="400"/>
      <c r="H641" s="392"/>
      <c r="I641" s="432"/>
      <c r="J641" s="433"/>
      <c r="K641" s="434"/>
      <c r="L641" s="434"/>
      <c r="M641" s="434"/>
      <c r="N641" s="434"/>
      <c r="O641" s="434"/>
      <c r="P641" s="406"/>
      <c r="Q641" s="389">
        <f>IF(D633&lt;=3,база!$L$4,
IF(D633=4,база!$L$5,
IF(D633=5,база!$L$6)))</f>
        <v>210.57480000000001</v>
      </c>
      <c r="R641" s="390">
        <v>1.4</v>
      </c>
      <c r="S641" s="400">
        <f>SUMIFS(Таблица14[часы],Таблица14[коэф],"1,4",Таблица14[р/р],"3/16",Таблица14[Ф. И. О.],B638)</f>
        <v>0</v>
      </c>
      <c r="T641" s="392">
        <f>SUMIFS(Таблица14[Столбец2],Таблица14[коэф],"1,4",Таблица14[р/р],"3/16",Таблица14[Ф. И. О.],B638)</f>
        <v>0</v>
      </c>
      <c r="U641" s="478">
        <f>IF(D633&lt;=3,база!$M$4,
IF(D633=4,база!$M$5,
IF(D633=5,база!$M$6)))</f>
        <v>225.09719999999999</v>
      </c>
      <c r="V641" s="390">
        <v>1.4</v>
      </c>
      <c r="W641" s="412">
        <f>SUMIFS(Таблица14[часы],Таблица14[коэф],"1,4",Таблица14[р/р],"3/24",Таблица14[Ф. И. О.],B638)</f>
        <v>0</v>
      </c>
      <c r="X641" s="545">
        <f>SUMIFS(Таблица14[Столбец2],Таблица14[коэф],"1,4",Таблица14[р/р],"3/24",Таблица14[Ф. И. О.],B638)</f>
        <v>0</v>
      </c>
      <c r="Y641" s="770"/>
      <c r="Z641" s="766"/>
      <c r="AA641" s="756"/>
    </row>
    <row r="642" spans="1:29">
      <c r="A642" s="756"/>
      <c r="B642" s="215"/>
      <c r="C642" s="759"/>
      <c r="D642" s="762"/>
      <c r="E642" s="389"/>
      <c r="F642" s="390"/>
      <c r="G642" s="400"/>
      <c r="H642" s="392"/>
      <c r="I642" s="432"/>
      <c r="J642" s="433"/>
      <c r="K642" s="434"/>
      <c r="L642" s="434"/>
      <c r="M642" s="434"/>
      <c r="N642" s="434"/>
      <c r="O642" s="434"/>
      <c r="P642" s="406"/>
      <c r="Q642" s="389">
        <f>база!$L$5</f>
        <v>231.45480000000001</v>
      </c>
      <c r="R642" s="390">
        <v>1.4</v>
      </c>
      <c r="S642" s="400">
        <f>SUMIFS(Таблица14[часы],Таблица14[коэф],"1,4",Таблица14[р/р],"4/16",Таблица14[Ф. И. О.],B638)</f>
        <v>0</v>
      </c>
      <c r="T642" s="392">
        <f>SUMIFS(Таблица14[Столбец2],Таблица14[коэф],"1,4",Таблица14[р/р],"4/16",Таблица14[Ф. И. О.],B638)</f>
        <v>0</v>
      </c>
      <c r="U642" s="478">
        <f>база!$M$5</f>
        <v>247.41720000000001</v>
      </c>
      <c r="V642" s="390">
        <v>1.4</v>
      </c>
      <c r="W642" s="412">
        <f>SUMIFS(Таблица14[часы],Таблица14[коэф],"1,4",Таблица14[р/р],"4/24",Таблица14[Ф. И. О.],B638)</f>
        <v>0</v>
      </c>
      <c r="X642" s="545">
        <f>SUMIFS(Таблица14[Столбец2],Таблица14[коэф],"1,4",Таблица14[р/р],"4/24",Таблица14[Ф. И. О.],B638)</f>
        <v>0</v>
      </c>
      <c r="Y642" s="770"/>
      <c r="Z642" s="766"/>
      <c r="AA642" s="756"/>
    </row>
    <row r="643" spans="1:29" ht="21" thickBot="1">
      <c r="A643" s="757"/>
      <c r="B643" s="352"/>
      <c r="C643" s="760"/>
      <c r="D643" s="763"/>
      <c r="E643" s="445"/>
      <c r="F643" s="446"/>
      <c r="G643" s="647"/>
      <c r="H643" s="535"/>
      <c r="I643" s="648"/>
      <c r="J643" s="615"/>
      <c r="K643" s="649"/>
      <c r="L643" s="457"/>
      <c r="M643" s="648"/>
      <c r="N643" s="649"/>
      <c r="O643" s="649"/>
      <c r="P643" s="538"/>
      <c r="Q643" s="650">
        <f>база!$L$6</f>
        <v>261.04640000000001</v>
      </c>
      <c r="R643" s="446">
        <v>1.4</v>
      </c>
      <c r="S643" s="447">
        <f>SUMIFS(Таблица14[часы],Таблица14[коэф],"1,4",Таблица14[р/р],"5/16",Таблица14[Ф. И. О.],B638)</f>
        <v>0</v>
      </c>
      <c r="T643" s="535">
        <f>SUMIFS(Таблица14[Столбец2],Таблица14[коэф],"1,4",Таблица14[р/р],"5/16",Таблица14[Ф. И. О.],B638)</f>
        <v>0</v>
      </c>
      <c r="U643" s="536">
        <f>база!$M$6</f>
        <v>279.0496</v>
      </c>
      <c r="V643" s="464">
        <v>1.4</v>
      </c>
      <c r="W643" s="447">
        <f>SUMIFS(Таблица14[часы],Таблица14[коэф],"1,4",Таблица14[р/р],"5/24",Таблица14[Ф. И. О.],B638)</f>
        <v>0</v>
      </c>
      <c r="X643" s="535">
        <f>SUMIFS(Таблица14[Столбец2],Таблица14[коэф],"1,4",Таблица14[р/р],"5/24",Таблица14[Ф. И. О.],B638)</f>
        <v>0</v>
      </c>
      <c r="Y643" s="771"/>
      <c r="Z643" s="767"/>
      <c r="AA643" s="757"/>
    </row>
    <row r="644" spans="1:29" ht="18.75" customHeight="1">
      <c r="A644" s="756">
        <v>59</v>
      </c>
      <c r="B644" s="215"/>
      <c r="C644" s="758">
        <f>INDEX(база!$E$2:$E$150, MATCH(B649,база!$B$2:$B$150,0))</f>
        <v>15556</v>
      </c>
      <c r="D644" s="761">
        <f>INDEX(база!$D$2:$D$121, MATCH(B649,база!$B$2:$B$100,0))</f>
        <v>3</v>
      </c>
      <c r="E644" s="481">
        <f>IF(D644&lt;=3,база!$I$4,
IF(D644=4,база!$I$5,
IF(D644=5,база!$I$6)))</f>
        <v>188.7912</v>
      </c>
      <c r="F644" s="417">
        <v>1</v>
      </c>
      <c r="G644" s="418">
        <f>SUMIFS(Таблица14[часы],Таблица14[коэф],"1",Таблица14[р/р],"2/4",Таблица14[Ф. И. О.],B649)</f>
        <v>0</v>
      </c>
      <c r="H644" s="402">
        <f>SUMIFS(Таблица14[Столбец2],Таблица14[коэф],"1",Таблица14[р/р],"2/4",Таблица14[Ф. И. О.],B649)</f>
        <v>0</v>
      </c>
      <c r="I644" s="452">
        <f>IF(D644&lt;=3,база!$J$4,
IF(D644=4,база!$J$5,
IF(D644=5,база!$J$6)))</f>
        <v>196.05240000000001</v>
      </c>
      <c r="J644" s="475">
        <v>1</v>
      </c>
      <c r="K644" s="453">
        <f>SUMIFS(Таблица14[часы],Таблица14[коэф],"1",Таблица14[р/р],"2/8",Таблица14[Ф. И. О.],B649)</f>
        <v>0</v>
      </c>
      <c r="L644" s="453">
        <f>SUMIFS(Таблица14[Столбец2],Таблица14[коэф],"1",Таблица14[р/р],"2/8",Таблица14[Ф. И. О.],B649)</f>
        <v>0</v>
      </c>
      <c r="M644" s="453"/>
      <c r="N644" s="453">
        <v>1</v>
      </c>
      <c r="O644" s="453">
        <f>SUMIFS(Data_Tech!$AM$3:$AM$67,Data_Tech!$E$3:$E$67,"1",Data_Tech!$G$3:$G$67,"3/12",Data_Tech!$F$3:$F$67,B649)</f>
        <v>0</v>
      </c>
      <c r="P644" s="398">
        <f>ROUND(M644*N644*O644,2)</f>
        <v>0</v>
      </c>
      <c r="Q644" s="481">
        <f>IF(D644&lt;=3,база!$L$4,
IF(D644=4,база!$L$5,
IF(D644=5,база!$L$6)))</f>
        <v>210.57480000000001</v>
      </c>
      <c r="R644" s="417">
        <v>1</v>
      </c>
      <c r="S644" s="418">
        <f>SUMIFS(Таблица14[часы],Таблица14[коэф],"1",Таблица14[р/р],"3/16",Таблица14[Ф. И. О.],B649)</f>
        <v>0</v>
      </c>
      <c r="T644" s="402">
        <f>SUMIFS(Таблица14[Столбец2],Таблица14[коэф],"1",Таблица14[р/р],"3/16",Таблица14[Ф. И. О.],B649)</f>
        <v>0</v>
      </c>
      <c r="U644" s="483">
        <f>IF(D644&lt;=3,база!$M$4,
IF(D644=4,база!$M$5,
IF(D644=5,база!$M$6)))</f>
        <v>225.09719999999999</v>
      </c>
      <c r="V644" s="417">
        <v>1</v>
      </c>
      <c r="W644" s="455">
        <f>SUMIFS(Таблица14[часы],Таблица14[коэф],"1",Таблица14[р/р],"3/24",Таблица14[Ф. И. О.],B649)</f>
        <v>0</v>
      </c>
      <c r="X644" s="552">
        <f>SUMIFS(Таблица14[Столбец2],Таблица14[коэф],"1",Таблица14[р/р],"3/24",Таблица14[Ф. И. О.],B649)</f>
        <v>0</v>
      </c>
      <c r="Y644" s="770">
        <f t="shared" ref="Y644" si="254">SUM(G644:G654,K644:K654,O644:O654,S644:S654,W644:W654)</f>
        <v>0</v>
      </c>
      <c r="Z644" s="766">
        <f t="shared" ref="Z644" si="255">IFERROR(SUM(H644:H654,L644:L654,T644:T654,X644:X654),"")</f>
        <v>0</v>
      </c>
      <c r="AA644" s="756"/>
    </row>
    <row r="645" spans="1:29" ht="18.75" customHeight="1">
      <c r="A645" s="756"/>
      <c r="B645" s="215"/>
      <c r="C645" s="759"/>
      <c r="D645" s="762"/>
      <c r="E645" s="389">
        <f>IF(D644&lt;=3,база!$I$4,
IF(D644=4,база!$I$5,
IF(D644=5,база!$I$6)))</f>
        <v>188.7912</v>
      </c>
      <c r="F645" s="390">
        <v>1</v>
      </c>
      <c r="G645" s="400">
        <f>SUMIFS(Таблица14[часы],Таблица14[коэф],"1",Таблица14[р/р],"3/4",Таблица14[Ф. И. О.],B649)</f>
        <v>0</v>
      </c>
      <c r="H645" s="392">
        <f>SUMIFS(Таблица14[Столбец2],Таблица14[коэф],"1",Таблица14[р/р],"3/4",Таблица14[Ф. И. О.],B649)</f>
        <v>0</v>
      </c>
      <c r="I645" s="432">
        <f>IF(D644&lt;=3,база!$J$4,
IF(D644=4,база!$J$5,
IF(D644=5,база!$J$6)))</f>
        <v>196.05240000000001</v>
      </c>
      <c r="J645" s="433">
        <v>1</v>
      </c>
      <c r="K645" s="434">
        <f>SUMIFS(Таблица14[часы],Таблица14[коэф],"1",Таблица14[р/р],"3/8",Таблица14[Ф. И. О.],B649)</f>
        <v>0</v>
      </c>
      <c r="L645" s="434">
        <f>SUMIFS(Таблица14[Столбец2],Таблица14[коэф],"1",Таблица14[р/р],"3/8",Таблица14[Ф. И. О.],B649)</f>
        <v>0</v>
      </c>
      <c r="M645" s="434"/>
      <c r="N645" s="434">
        <v>1</v>
      </c>
      <c r="O645" s="434">
        <f>SUMIFS(Data_Tech!$AM$3:$AM$67,Data_Tech!$E$3:$E$67,"1",Data_Tech!$G$3:$G$67,"4/12",Data_Tech!$F$3:$F$67,B649)</f>
        <v>0</v>
      </c>
      <c r="P645" s="406">
        <f>ROUND(M645*O645,2)</f>
        <v>0</v>
      </c>
      <c r="Q645" s="389">
        <f>база!$L$5</f>
        <v>231.45480000000001</v>
      </c>
      <c r="R645" s="390">
        <v>1</v>
      </c>
      <c r="S645" s="400">
        <f>SUMIFS(Таблица14[часы],Таблица14[коэф],"1",Таблица14[р/р],"4/16",Таблица14[Ф. И. О.],B649)</f>
        <v>0</v>
      </c>
      <c r="T645" s="392">
        <f>SUMIFS(Таблица14[Столбец2],Таблица14[коэф],"1",Таблица14[р/р],"4/16",Таблица14[Ф. И. О.],B649)</f>
        <v>0</v>
      </c>
      <c r="U645" s="478">
        <f>база!$M$5</f>
        <v>247.41720000000001</v>
      </c>
      <c r="V645" s="390">
        <v>1</v>
      </c>
      <c r="W645" s="412">
        <f>SUMIFS(Таблица14[часы],Таблица14[коэф],"1",Таблица14[р/р],"4/24",Таблица14[Ф. И. О.],B649)</f>
        <v>0</v>
      </c>
      <c r="X645" s="545">
        <f>SUMIFS(Таблица14[Столбец2],Таблица14[коэф],"1",Таблица14[р/р],"4/24",Таблица14[Ф. И. О.],B649)</f>
        <v>0</v>
      </c>
      <c r="Y645" s="770"/>
      <c r="Z645" s="766"/>
      <c r="AA645" s="756"/>
    </row>
    <row r="646" spans="1:29" ht="18.75" customHeight="1">
      <c r="A646" s="756"/>
      <c r="B646" s="215"/>
      <c r="C646" s="759"/>
      <c r="D646" s="762"/>
      <c r="E646" s="389"/>
      <c r="F646" s="390"/>
      <c r="G646" s="400"/>
      <c r="H646" s="392"/>
      <c r="I646" s="432"/>
      <c r="J646" s="433"/>
      <c r="K646" s="434"/>
      <c r="L646" s="434"/>
      <c r="M646" s="434"/>
      <c r="N646" s="434"/>
      <c r="O646" s="434"/>
      <c r="P646" s="406"/>
      <c r="Q646" s="389">
        <f>база!$L$6</f>
        <v>261.04640000000001</v>
      </c>
      <c r="R646" s="390">
        <v>1</v>
      </c>
      <c r="S646" s="400">
        <f>SUMIFS(Таблица14[часы],Таблица14[коэф],"1",Таблица14[р/р],"5/16",Таблица14[Ф. И. О.],B649)</f>
        <v>0</v>
      </c>
      <c r="T646" s="392">
        <f>SUMIFS(Таблица14[Столбец2],Таблица14[коэф],"1",Таблица14[р/р],"5/16",Таблица14[Ф. И. О.],B649)</f>
        <v>0</v>
      </c>
      <c r="U646" s="478">
        <f>база!$M$6</f>
        <v>279.0496</v>
      </c>
      <c r="V646" s="390">
        <v>1</v>
      </c>
      <c r="W646" s="412">
        <f>SUMIFS(Таблица14[часы],Таблица14[коэф],"1",Таблица14[р/р],"5/24",Таблица14[Ф. И. О.],B649)</f>
        <v>0</v>
      </c>
      <c r="X646" s="545">
        <f>SUMIFS(Таблица14[Столбец2],Таблица14[коэф],"1",Таблица14[р/р],"5/24",Таблица14[Ф. И. О.],B649)</f>
        <v>0</v>
      </c>
      <c r="Y646" s="770"/>
      <c r="Z646" s="766"/>
      <c r="AA646" s="756"/>
    </row>
    <row r="647" spans="1:29" ht="18.75" customHeight="1">
      <c r="A647" s="756"/>
      <c r="B647" s="215"/>
      <c r="C647" s="759"/>
      <c r="D647" s="762"/>
      <c r="E647" s="389"/>
      <c r="F647" s="390"/>
      <c r="G647" s="400"/>
      <c r="H647" s="392"/>
      <c r="I647" s="432">
        <f>база!$J$5</f>
        <v>215.4924</v>
      </c>
      <c r="J647" s="433">
        <v>1.5</v>
      </c>
      <c r="K647" s="434">
        <f>SUMIFS(Таблица14[часы],Таблица14[коэф],"1,5",Таблица14[р/р],"4/8",Таблица14[Ф. И. О.],B649)</f>
        <v>0</v>
      </c>
      <c r="L647" s="434">
        <f>SUMIFS(Таблица14[Столбец2],Таблица14[коэф],"1,5",Таблица14[р/р],"4/8",Таблица14[Ф. И. О.],B649)</f>
        <v>0</v>
      </c>
      <c r="M647" s="434"/>
      <c r="N647" s="434"/>
      <c r="O647" s="434"/>
      <c r="P647" s="406"/>
      <c r="Q647" s="389">
        <f>IF(D644&lt;=3,база!$L$4,
IF(D644=4,база!$L$5,
IF(D644=5,база!$L$6)))</f>
        <v>210.57480000000001</v>
      </c>
      <c r="R647" s="390">
        <v>1.2</v>
      </c>
      <c r="S647" s="400">
        <f>SUMIFS(Таблица14[часы],Таблица14[коэф],"1,2",Таблица14[р/р],"3/16",Таблица14[Ф. И. О.],B649)</f>
        <v>0</v>
      </c>
      <c r="T647" s="392">
        <f>SUMIFS(Таблица14[Столбец2],Таблица14[коэф],"1,2",Таблица14[р/р],"3/16",Таблица14[Ф. И. О.],B649)</f>
        <v>0</v>
      </c>
      <c r="U647" s="478">
        <f>IF(D644&lt;=3,база!$M$4,
IF(D644=4,база!$M$5,
IF(D644=5,база!$M$6)))</f>
        <v>225.09719999999999</v>
      </c>
      <c r="V647" s="390">
        <v>1.2</v>
      </c>
      <c r="W647" s="412">
        <f>SUMIFS(Таблица14[часы],Таблица14[коэф],"1,2",Таблица14[р/р],"3/24",Таблица14[Ф. И. О.],B649)</f>
        <v>0</v>
      </c>
      <c r="X647" s="545">
        <f>SUMIFS(Таблица14[Столбец2],Таблица14[коэф],"1,2",Таблица14[р/р],"3/24",Таблица14[Ф. И. О.],B649)</f>
        <v>0</v>
      </c>
      <c r="Y647" s="770"/>
      <c r="Z647" s="766"/>
      <c r="AA647" s="756"/>
    </row>
    <row r="648" spans="1:29" ht="18.75" customHeight="1">
      <c r="A648" s="756"/>
      <c r="B648" s="215"/>
      <c r="C648" s="759"/>
      <c r="D648" s="762"/>
      <c r="E648" s="389"/>
      <c r="F648" s="390"/>
      <c r="G648" s="400"/>
      <c r="H648" s="392"/>
      <c r="I648" s="432">
        <f>база!$J$6</f>
        <v>243.04319999999998</v>
      </c>
      <c r="J648" s="433">
        <v>1.5</v>
      </c>
      <c r="K648" s="434">
        <f>SUMIFS(Таблица14[часы],Таблица14[коэф],"1,5",Таблица14[р/р],"5/8",Таблица14[Ф. И. О.],B649)</f>
        <v>0</v>
      </c>
      <c r="L648" s="434">
        <f>SUMIFS(Таблица14[Столбец2],Таблица14[коэф],"1,5",Таблица14[р/р],"5/8",Таблица14[Ф. И. О.],B649)</f>
        <v>0</v>
      </c>
      <c r="M648" s="434"/>
      <c r="N648" s="434"/>
      <c r="O648" s="434"/>
      <c r="P648" s="406"/>
      <c r="Q648" s="389">
        <f>база!$L$5</f>
        <v>231.45480000000001</v>
      </c>
      <c r="R648" s="390">
        <v>1.2</v>
      </c>
      <c r="S648" s="400">
        <f>SUMIFS(Таблица14[часы],Таблица14[коэф],"1,2",Таблица14[р/р],"4/16",Таблица14[Ф. И. О.],B649)</f>
        <v>0</v>
      </c>
      <c r="T648" s="392">
        <f>SUMIFS(Таблица14[Столбец2],Таблица14[коэф],"1,2",Таблица14[р/р],"4/16",Таблица14[Ф. И. О.],B649)</f>
        <v>0</v>
      </c>
      <c r="U648" s="478">
        <f>база!$M$5</f>
        <v>247.41720000000001</v>
      </c>
      <c r="V648" s="390">
        <v>1.2</v>
      </c>
      <c r="W648" s="412">
        <f>SUMIFS(Таблица14[часы],Таблица14[коэф],"1,2",Таблица14[р/р],"4/24",Таблица14[Ф. И. О.],B649)</f>
        <v>0</v>
      </c>
      <c r="X648" s="545">
        <f>SUMIFS(Таблица14[Столбец2],Таблица14[коэф],"1,2",Таблица14[р/р],"4/24",Таблица14[Ф. И. О.],B649)</f>
        <v>0</v>
      </c>
      <c r="Y648" s="770"/>
      <c r="Z648" s="766"/>
      <c r="AA648" s="756"/>
    </row>
    <row r="649" spans="1:29" ht="18.75" customHeight="1">
      <c r="A649" s="756"/>
      <c r="B649" s="215" t="str">
        <f>база!B60</f>
        <v>Петрова Анна Сергеевна</v>
      </c>
      <c r="C649" s="759"/>
      <c r="D649" s="762"/>
      <c r="E649" s="389"/>
      <c r="F649" s="390"/>
      <c r="G649" s="400"/>
      <c r="H649" s="392"/>
      <c r="I649" s="432"/>
      <c r="J649" s="433"/>
      <c r="K649" s="434"/>
      <c r="L649" s="434"/>
      <c r="M649" s="434"/>
      <c r="N649" s="434"/>
      <c r="O649" s="434"/>
      <c r="P649" s="406"/>
      <c r="Q649" s="389">
        <f>база!$L$6</f>
        <v>261.04640000000001</v>
      </c>
      <c r="R649" s="390">
        <v>1.2</v>
      </c>
      <c r="S649" s="400">
        <f>SUMIFS(Таблица14[часы],Таблица14[коэф],"1,2",Таблица14[р/р],"5/16",Таблица14[Ф. И. О.],B649)</f>
        <v>0</v>
      </c>
      <c r="T649" s="392">
        <f>SUMIFS(Таблица14[Столбец2],Таблица14[коэф],"1,2",Таблица14[р/р],"5/16",Таблица14[Ф. И. О.],B649)</f>
        <v>0</v>
      </c>
      <c r="U649" s="478">
        <f>база!$M$6</f>
        <v>279.0496</v>
      </c>
      <c r="V649" s="390">
        <v>1.2</v>
      </c>
      <c r="W649" s="412">
        <f>SUMIFS(Таблица14[часы],Таблица14[коэф],"1,2",Таблица14[р/р],"5/24",Таблица14[Ф. И. О.],B649)</f>
        <v>0</v>
      </c>
      <c r="X649" s="545">
        <f>SUMIFS(Таблица14[Столбец2],Таблица14[коэф],"1,2",Таблица14[р/р],"5/24",Таблица14[Ф. И. О.],B649)</f>
        <v>0</v>
      </c>
      <c r="Y649" s="770"/>
      <c r="Z649" s="766"/>
      <c r="AA649" s="756"/>
      <c r="AC649" s="752" t="str">
        <f>IF(SUMIFS(Таблица14[Столбец2],Таблица14[Ф. И. О.],B649)-Z644=0,"",SUMIFS(Таблица14[Столбец2],Таблица14[Ф. И. О.],B649)-Z644)</f>
        <v/>
      </c>
    </row>
    <row r="650" spans="1:29" ht="18.75" customHeight="1">
      <c r="A650" s="756"/>
      <c r="B650" s="215"/>
      <c r="C650" s="759"/>
      <c r="D650" s="762"/>
      <c r="E650" s="389"/>
      <c r="F650" s="390"/>
      <c r="G650" s="400"/>
      <c r="H650" s="392"/>
      <c r="I650" s="432"/>
      <c r="J650" s="433"/>
      <c r="K650" s="434"/>
      <c r="L650" s="434"/>
      <c r="M650" s="434"/>
      <c r="N650" s="434"/>
      <c r="O650" s="434"/>
      <c r="P650" s="406"/>
      <c r="Q650" s="389">
        <f>IF($D$6&lt;=3,база!$L$4,
IF($D$6=4,база!$L$5,
IF($D$6=5,база!$L$6)))</f>
        <v>231.45480000000001</v>
      </c>
      <c r="R650" s="390">
        <v>1.3</v>
      </c>
      <c r="S650" s="400">
        <f>SUMIFS(Таблица14[часы],Таблица14[коэф],"1,3",Таблица14[р/р],"3/16",Таблица14[Ф. И. О.],B649)</f>
        <v>0</v>
      </c>
      <c r="T650" s="392">
        <f>SUMIFS(Таблица14[Столбец2],Таблица14[коэф],"1,3",Таблица14[р/р],"3/16",Таблица14[Ф. И. О.],B649)</f>
        <v>0</v>
      </c>
      <c r="U650" s="478">
        <f>IF(D644&lt;=3,база!$M$4,
IF(D644=4,база!$M$5,
IF(D644=5,база!$M$6)))</f>
        <v>225.09719999999999</v>
      </c>
      <c r="V650" s="390">
        <v>1.3</v>
      </c>
      <c r="W650" s="412">
        <f>SUMIFS(Таблица14[часы],Таблица14[коэф],"1,3",Таблица14[р/р],"3/24",Таблица14[Ф. И. О.],B649)</f>
        <v>0</v>
      </c>
      <c r="X650" s="545">
        <f>SUMIFS(Таблица14[Столбец2],Таблица14[коэф],"1,3",Таблица14[р/р],"3/24",Таблица14[Ф. И. О.],B649)</f>
        <v>0</v>
      </c>
      <c r="Y650" s="770"/>
      <c r="Z650" s="766"/>
      <c r="AA650" s="756"/>
      <c r="AC650" s="752" t="str">
        <f>IF(SUMIFS(Таблица14[часы],Таблица14[Ф. И. О.],B649)-Y644=0,"",SUMIFS(Таблица14[часы],Таблица14[Ф. И. О.],B649)-Y644)</f>
        <v/>
      </c>
    </row>
    <row r="651" spans="1:29" ht="18.75" customHeight="1">
      <c r="A651" s="756"/>
      <c r="B651" s="215"/>
      <c r="C651" s="759"/>
      <c r="D651" s="762"/>
      <c r="E651" s="389"/>
      <c r="F651" s="390"/>
      <c r="G651" s="400"/>
      <c r="H651" s="392"/>
      <c r="I651" s="432"/>
      <c r="J651" s="433"/>
      <c r="K651" s="434"/>
      <c r="L651" s="434"/>
      <c r="M651" s="434"/>
      <c r="N651" s="434"/>
      <c r="O651" s="434"/>
      <c r="P651" s="406"/>
      <c r="Q651" s="389">
        <f>база!$L$5</f>
        <v>231.45480000000001</v>
      </c>
      <c r="R651" s="390">
        <v>1.3</v>
      </c>
      <c r="S651" s="400">
        <f>SUMIFS(Таблица14[часы],Таблица14[коэф],"1,3",Таблица14[р/р],"4/16",Таблица14[Ф. И. О.],B649)</f>
        <v>0</v>
      </c>
      <c r="T651" s="392">
        <f>SUMIFS(Таблица14[Столбец2],Таблица14[коэф],"1,3",Таблица14[р/р],"4/16",Таблица14[Ф. И. О.],B649)</f>
        <v>0</v>
      </c>
      <c r="U651" s="478">
        <f>база!$M$5</f>
        <v>247.41720000000001</v>
      </c>
      <c r="V651" s="390">
        <v>1.3</v>
      </c>
      <c r="W651" s="412">
        <f>SUMIFS(Таблица14[часы],Таблица14[коэф],"1,3",Таблица14[р/р],"4/24",Таблица14[Ф. И. О.],B649)</f>
        <v>0</v>
      </c>
      <c r="X651" s="545">
        <f>SUMIFS(Таблица14[Столбец2],Таблица14[коэф],"1,3",Таблица14[р/р],"4/24",Таблица14[Ф. И. О.],B649)</f>
        <v>0</v>
      </c>
      <c r="Y651" s="770"/>
      <c r="Z651" s="766"/>
      <c r="AA651" s="756"/>
    </row>
    <row r="652" spans="1:29" ht="18.75" customHeight="1">
      <c r="A652" s="756"/>
      <c r="B652" s="215"/>
      <c r="C652" s="759"/>
      <c r="D652" s="762"/>
      <c r="E652" s="389"/>
      <c r="F652" s="390"/>
      <c r="G652" s="400"/>
      <c r="H652" s="392"/>
      <c r="I652" s="432"/>
      <c r="J652" s="433"/>
      <c r="K652" s="434"/>
      <c r="L652" s="434"/>
      <c r="M652" s="434"/>
      <c r="N652" s="434"/>
      <c r="O652" s="434"/>
      <c r="P652" s="406"/>
      <c r="Q652" s="389">
        <f>IF(D644&lt;=3,база!$L$4,
IF(D644=4,база!$L$5,
IF(D644=5,база!$L$6)))</f>
        <v>210.57480000000001</v>
      </c>
      <c r="R652" s="390">
        <v>1.4</v>
      </c>
      <c r="S652" s="400">
        <f>SUMIFS(Таблица14[часы],Таблица14[коэф],"1,4",Таблица14[р/р],"3/16",Таблица14[Ф. И. О.],B649)</f>
        <v>0</v>
      </c>
      <c r="T652" s="392">
        <f>SUMIFS(Таблица14[Столбец2],Таблица14[коэф],"1,4",Таблица14[р/р],"3/16",Таблица14[Ф. И. О.],B649)</f>
        <v>0</v>
      </c>
      <c r="U652" s="478">
        <f>IF(D644&lt;=3,база!$M$4,
IF(D644=4,база!$M$5,
IF(D644=5,база!$M$6)))</f>
        <v>225.09719999999999</v>
      </c>
      <c r="V652" s="390">
        <v>1.4</v>
      </c>
      <c r="W652" s="412">
        <f>SUMIFS(Таблица14[часы],Таблица14[коэф],"1,4",Таблица14[р/р],"3/24",Таблица14[Ф. И. О.],B649)</f>
        <v>0</v>
      </c>
      <c r="X652" s="545">
        <f>SUMIFS(Таблица14[Столбец2],Таблица14[коэф],"1,4",Таблица14[р/р],"3/24",Таблица14[Ф. И. О.],B649)</f>
        <v>0</v>
      </c>
      <c r="Y652" s="770"/>
      <c r="Z652" s="766"/>
      <c r="AA652" s="756"/>
    </row>
    <row r="653" spans="1:29" ht="18.75" customHeight="1">
      <c r="A653" s="756"/>
      <c r="B653" s="215"/>
      <c r="C653" s="759"/>
      <c r="D653" s="762"/>
      <c r="E653" s="389"/>
      <c r="F653" s="390"/>
      <c r="G653" s="400"/>
      <c r="H653" s="392"/>
      <c r="I653" s="432"/>
      <c r="J653" s="433"/>
      <c r="K653" s="434"/>
      <c r="L653" s="434"/>
      <c r="M653" s="434"/>
      <c r="N653" s="434"/>
      <c r="O653" s="434"/>
      <c r="P653" s="406"/>
      <c r="Q653" s="389">
        <f>база!$L$5</f>
        <v>231.45480000000001</v>
      </c>
      <c r="R653" s="390">
        <v>1.4</v>
      </c>
      <c r="S653" s="400">
        <f>SUMIFS(Таблица14[часы],Таблица14[коэф],"1,4",Таблица14[р/р],"4/16",Таблица14[Ф. И. О.],B649)</f>
        <v>0</v>
      </c>
      <c r="T653" s="392">
        <f>SUMIFS(Таблица14[Столбец2],Таблица14[коэф],"1,4",Таблица14[р/р],"4/16",Таблица14[Ф. И. О.],B649)</f>
        <v>0</v>
      </c>
      <c r="U653" s="478">
        <f>база!$M$5</f>
        <v>247.41720000000001</v>
      </c>
      <c r="V653" s="390">
        <v>1.4</v>
      </c>
      <c r="W653" s="412">
        <f>SUMIFS(Таблица14[часы],Таблица14[коэф],"1,4",Таблица14[р/р],"4/24",Таблица14[Ф. И. О.],B649)</f>
        <v>0</v>
      </c>
      <c r="X653" s="545">
        <f>SUMIFS(Таблица14[Столбец2],Таблица14[коэф],"1,4",Таблица14[р/р],"4/24",Таблица14[Ф. И. О.],B649)</f>
        <v>0</v>
      </c>
      <c r="Y653" s="770"/>
      <c r="Z653" s="766"/>
      <c r="AA653" s="756"/>
    </row>
    <row r="654" spans="1:29" ht="19.5" customHeight="1" thickBot="1">
      <c r="A654" s="757"/>
      <c r="B654" s="352"/>
      <c r="C654" s="760"/>
      <c r="D654" s="763"/>
      <c r="E654" s="473"/>
      <c r="F654" s="464"/>
      <c r="G654" s="651"/>
      <c r="H654" s="468"/>
      <c r="I654" s="645"/>
      <c r="J654" s="456"/>
      <c r="K654" s="646"/>
      <c r="L654" s="457"/>
      <c r="M654" s="645"/>
      <c r="N654" s="646"/>
      <c r="O654" s="646"/>
      <c r="P654" s="476"/>
      <c r="Q654" s="652">
        <f>база!$L$6</f>
        <v>261.04640000000001</v>
      </c>
      <c r="R654" s="464">
        <v>1.4</v>
      </c>
      <c r="S654" s="465">
        <f>SUMIFS(Таблица14[часы],Таблица14[коэф],"1,4",Таблица14[р/р],"5/16",Таблица14[Ф. И. О.],B649)</f>
        <v>0</v>
      </c>
      <c r="T654" s="468">
        <f>SUMIFS(Таблица14[Столбец2],Таблица14[коэф],"1,4",Таблица14[р/р],"5/16",Таблица14[Ф. И. О.],B649)</f>
        <v>0</v>
      </c>
      <c r="U654" s="463">
        <f>база!$M$6</f>
        <v>279.0496</v>
      </c>
      <c r="V654" s="464">
        <v>1.4</v>
      </c>
      <c r="W654" s="465">
        <f>SUMIFS(Таблица14[часы],Таблица14[коэф],"1,4",Таблица14[р/р],"5/24",Таблица14[Ф. И. О.],B649)</f>
        <v>0</v>
      </c>
      <c r="X654" s="468">
        <f>SUMIFS(Таблица14[Столбец2],Таблица14[коэф],"1,4",Таблица14[р/р],"5/24",Таблица14[Ф. И. О.],B649)</f>
        <v>0</v>
      </c>
      <c r="Y654" s="771"/>
      <c r="Z654" s="767"/>
      <c r="AA654" s="757"/>
    </row>
    <row r="655" spans="1:29" ht="18.75" customHeight="1">
      <c r="A655" s="756">
        <v>60</v>
      </c>
      <c r="B655" s="215"/>
      <c r="C655" s="758">
        <f>INDEX(база!$E$2:$E$150, MATCH(B660,база!$B$2:$B$150,0))</f>
        <v>15589</v>
      </c>
      <c r="D655" s="761">
        <f>INDEX(база!$D$2:$D$150, MATCH(B660,база!$B$2:$B$150,0))</f>
        <v>3</v>
      </c>
      <c r="E655" s="481">
        <f>IF(D655&lt;=3,база!$I$4,
IF(D655=4,база!$I$5,
IF(D655=5,база!$I$6)))</f>
        <v>188.7912</v>
      </c>
      <c r="F655" s="417">
        <v>1</v>
      </c>
      <c r="G655" s="418">
        <f>SUMIFS(Таблица14[часы],Таблица14[коэф],"1",Таблица14[р/р],"2/4",Таблица14[Ф. И. О.],B660)</f>
        <v>0</v>
      </c>
      <c r="H655" s="402">
        <f>SUMIFS(Таблица14[Столбец2],Таблица14[коэф],"1",Таблица14[р/р],"2/4",Таблица14[Ф. И. О.],B660)</f>
        <v>0</v>
      </c>
      <c r="I655" s="452">
        <f>IF(D655&lt;=3,база!$J$4,
IF(D655=4,база!$J$5,
IF(D655=5,база!$J$6)))</f>
        <v>196.05240000000001</v>
      </c>
      <c r="J655" s="475">
        <v>1</v>
      </c>
      <c r="K655" s="453">
        <f>SUMIFS(Таблица14[часы],Таблица14[коэф],"1",Таблица14[р/р],"2/8",Таблица14[Ф. И. О.],B660)</f>
        <v>0</v>
      </c>
      <c r="L655" s="453">
        <f>SUMIFS(Таблица14[Столбец2],Таблица14[коэф],"1",Таблица14[р/р],"2/8",Таблица14[Ф. И. О.],B660)</f>
        <v>0</v>
      </c>
      <c r="M655" s="453"/>
      <c r="N655" s="453">
        <v>1</v>
      </c>
      <c r="O655" s="453">
        <f>SUMIFS(Data_Tech!$AM$3:$AM$67,Data_Tech!$E$3:$E$67,"1",Data_Tech!$G$3:$G$67,"3/12",Data_Tech!$F$3:$F$67,B660)</f>
        <v>0</v>
      </c>
      <c r="P655" s="398">
        <f>ROUND(M655*N655*O655,2)</f>
        <v>0</v>
      </c>
      <c r="Q655" s="481">
        <f>IF(D655&lt;=3,база!$L$4,
IF(D655=4,база!$L$5,
IF(D655=5,база!$L$6)))</f>
        <v>210.57480000000001</v>
      </c>
      <c r="R655" s="417">
        <v>1</v>
      </c>
      <c r="S655" s="418">
        <f>SUMIFS(Таблица14[часы],Таблица14[коэф],"1",Таблица14[р/р],"3/16",Таблица14[Ф. И. О.],B660)</f>
        <v>0</v>
      </c>
      <c r="T655" s="402">
        <f>SUMIFS(Таблица14[Столбец2],Таблица14[коэф],"1",Таблица14[р/р],"3/16",Таблица14[Ф. И. О.],B660)</f>
        <v>0</v>
      </c>
      <c r="U655" s="483">
        <f>IF(D655&lt;=3,база!$M$4,
IF(D655=4,база!$M$5,
IF(D655=5,база!$M$6)))</f>
        <v>225.09719999999999</v>
      </c>
      <c r="V655" s="417">
        <v>1</v>
      </c>
      <c r="W655" s="455">
        <f>SUMIFS(Таблица14[часы],Таблица14[коэф],"1",Таблица14[р/р],"3/24",Таблица14[Ф. И. О.],B660)</f>
        <v>0</v>
      </c>
      <c r="X655" s="552">
        <f>SUMIFS(Таблица14[Столбец2],Таблица14[коэф],"1",Таблица14[р/р],"3/24",Таблица14[Ф. И. О.],B660)</f>
        <v>0</v>
      </c>
      <c r="Y655" s="770">
        <f t="shared" ref="Y655" si="256">SUM(G655:G665,K655:K665,O655:O665,S655:S665,W655:W665)</f>
        <v>0</v>
      </c>
      <c r="Z655" s="766">
        <f t="shared" ref="Z655" si="257">IFERROR(SUM(H655:H665,L655:L665,T655:T665,X655:X665),"")</f>
        <v>0</v>
      </c>
      <c r="AA655" s="756"/>
    </row>
    <row r="656" spans="1:29" ht="18.75" customHeight="1">
      <c r="A656" s="756"/>
      <c r="B656" s="215"/>
      <c r="C656" s="759"/>
      <c r="D656" s="762"/>
      <c r="E656" s="389">
        <f>IF(D655&lt;=3,база!$I$4,
IF(D655=4,база!$I$5,
IF(D655=5,база!$I$6)))</f>
        <v>188.7912</v>
      </c>
      <c r="F656" s="390">
        <v>1</v>
      </c>
      <c r="G656" s="400">
        <f>SUMIFS(Таблица14[часы],Таблица14[коэф],"1",Таблица14[р/р],"3/4",Таблица14[Ф. И. О.],B660)</f>
        <v>0</v>
      </c>
      <c r="H656" s="392">
        <f>SUMIFS(Таблица14[Столбец2],Таблица14[коэф],"1",Таблица14[р/р],"3/4",Таблица14[Ф. И. О.],B660)</f>
        <v>0</v>
      </c>
      <c r="I656" s="432">
        <f>IF(D655&lt;=3,база!$J$4,
IF(D655=4,база!$J$5,
IF(D655=5,база!$J$6)))</f>
        <v>196.05240000000001</v>
      </c>
      <c r="J656" s="433">
        <v>1</v>
      </c>
      <c r="K656" s="434">
        <f>SUMIFS(Таблица14[часы],Таблица14[коэф],"1",Таблица14[р/р],"3/8",Таблица14[Ф. И. О.],B660)</f>
        <v>0</v>
      </c>
      <c r="L656" s="434">
        <f>SUMIFS(Таблица14[Столбец2],Таблица14[коэф],"1",Таблица14[р/р],"3/8",Таблица14[Ф. И. О.],B660)</f>
        <v>0</v>
      </c>
      <c r="M656" s="434"/>
      <c r="N656" s="434">
        <v>1</v>
      </c>
      <c r="O656" s="434">
        <f>SUMIFS(Data_Tech!$AM$3:$AM$67,Data_Tech!$E$3:$E$67,"1",Data_Tech!$G$3:$G$67,"4/12",Data_Tech!$F$3:$F$67,B660)</f>
        <v>0</v>
      </c>
      <c r="P656" s="406">
        <f>ROUND(M656*O656,2)</f>
        <v>0</v>
      </c>
      <c r="Q656" s="389">
        <f>база!$L$5</f>
        <v>231.45480000000001</v>
      </c>
      <c r="R656" s="390">
        <v>1</v>
      </c>
      <c r="S656" s="400">
        <f>SUMIFS(Таблица14[часы],Таблица14[коэф],"1",Таблица14[р/р],"4/16",Таблица14[Ф. И. О.],B660)</f>
        <v>0</v>
      </c>
      <c r="T656" s="392">
        <f>SUMIFS(Таблица14[Столбец2],Таблица14[коэф],"1",Таблица14[р/р],"4/16",Таблица14[Ф. И. О.],B660)</f>
        <v>0</v>
      </c>
      <c r="U656" s="478">
        <f>база!$M$5</f>
        <v>247.41720000000001</v>
      </c>
      <c r="V656" s="390">
        <v>1</v>
      </c>
      <c r="W656" s="412">
        <f>SUMIFS(Таблица14[часы],Таблица14[коэф],"1",Таблица14[р/р],"4/24",Таблица14[Ф. И. О.],B660)</f>
        <v>0</v>
      </c>
      <c r="X656" s="545">
        <f>SUMIFS(Таблица14[Столбец2],Таблица14[коэф],"1",Таблица14[р/р],"4/24",Таблица14[Ф. И. О.],B660)</f>
        <v>0</v>
      </c>
      <c r="Y656" s="770"/>
      <c r="Z656" s="766"/>
      <c r="AA656" s="756"/>
    </row>
    <row r="657" spans="1:29" ht="18.75" customHeight="1">
      <c r="A657" s="756"/>
      <c r="B657" s="215"/>
      <c r="C657" s="759"/>
      <c r="D657" s="762"/>
      <c r="E657" s="389"/>
      <c r="F657" s="390"/>
      <c r="G657" s="400"/>
      <c r="H657" s="392"/>
      <c r="I657" s="432"/>
      <c r="J657" s="433"/>
      <c r="K657" s="434"/>
      <c r="L657" s="434"/>
      <c r="M657" s="434"/>
      <c r="N657" s="434"/>
      <c r="O657" s="434"/>
      <c r="P657" s="406"/>
      <c r="Q657" s="389">
        <f>база!$L$6</f>
        <v>261.04640000000001</v>
      </c>
      <c r="R657" s="390">
        <v>1</v>
      </c>
      <c r="S657" s="400">
        <f>SUMIFS(Таблица14[часы],Таблица14[коэф],"1",Таблица14[р/р],"5/16",Таблица14[Ф. И. О.],B660)</f>
        <v>0</v>
      </c>
      <c r="T657" s="392">
        <f>SUMIFS(Таблица14[Столбец2],Таблица14[коэф],"1",Таблица14[р/р],"5/16",Таблица14[Ф. И. О.],B660)</f>
        <v>0</v>
      </c>
      <c r="U657" s="478">
        <f>база!$M$6</f>
        <v>279.0496</v>
      </c>
      <c r="V657" s="390">
        <v>1</v>
      </c>
      <c r="W657" s="412">
        <f>SUMIFS(Таблица14[часы],Таблица14[коэф],"1",Таблица14[р/р],"5/24",Таблица14[Ф. И. О.],B660)</f>
        <v>0</v>
      </c>
      <c r="X657" s="545">
        <f>SUMIFS(Таблица14[Столбец2],Таблица14[коэф],"1",Таблица14[р/р],"5/24",Таблица14[Ф. И. О.],B660)</f>
        <v>0</v>
      </c>
      <c r="Y657" s="770"/>
      <c r="Z657" s="766"/>
      <c r="AA657" s="756"/>
    </row>
    <row r="658" spans="1:29" ht="18.75" customHeight="1">
      <c r="A658" s="756"/>
      <c r="B658" s="215"/>
      <c r="C658" s="759"/>
      <c r="D658" s="762"/>
      <c r="E658" s="389"/>
      <c r="F658" s="390"/>
      <c r="G658" s="400"/>
      <c r="H658" s="392"/>
      <c r="I658" s="432">
        <f>база!$J$5</f>
        <v>215.4924</v>
      </c>
      <c r="J658" s="433">
        <v>1.5</v>
      </c>
      <c r="K658" s="434">
        <f>SUMIFS(Таблица14[часы],Таблица14[коэф],"1,5",Таблица14[р/р],"4/8",Таблица14[Ф. И. О.],B660)</f>
        <v>0</v>
      </c>
      <c r="L658" s="434">
        <f>SUMIFS(Таблица14[Столбец2],Таблица14[коэф],"1,5",Таблица14[р/р],"4/8",Таблица14[Ф. И. О.],B660)</f>
        <v>0</v>
      </c>
      <c r="M658" s="434"/>
      <c r="N658" s="434"/>
      <c r="O658" s="434"/>
      <c r="P658" s="406"/>
      <c r="Q658" s="389">
        <f>IF(D655&lt;=3,база!$L$4,
IF(D655=4,база!$L$5,
IF(D655=5,база!$L$6)))</f>
        <v>210.57480000000001</v>
      </c>
      <c r="R658" s="390">
        <v>1.2</v>
      </c>
      <c r="S658" s="400">
        <f>SUMIFS(Таблица14[часы],Таблица14[коэф],"1,2",Таблица14[р/р],"3/16",Таблица14[Ф. И. О.],B660)</f>
        <v>0</v>
      </c>
      <c r="T658" s="392">
        <f>SUMIFS(Таблица14[Столбец2],Таблица14[коэф],"1,2",Таблица14[р/р],"3/16",Таблица14[Ф. И. О.],B660)</f>
        <v>0</v>
      </c>
      <c r="U658" s="478">
        <f>IF(D655&lt;=3,база!$M$4,
IF(D655=4,база!$M$5,
IF(D655=5,база!$M$6)))</f>
        <v>225.09719999999999</v>
      </c>
      <c r="V658" s="390">
        <v>1.2</v>
      </c>
      <c r="W658" s="412">
        <f>SUMIFS(Таблица14[часы],Таблица14[коэф],"1,2",Таблица14[р/р],"3/24",Таблица14[Ф. И. О.],B660)</f>
        <v>0</v>
      </c>
      <c r="X658" s="545">
        <f>SUMIFS(Таблица14[Столбец2],Таблица14[коэф],"1,2",Таблица14[р/р],"3/24",Таблица14[Ф. И. О.],B660)</f>
        <v>0</v>
      </c>
      <c r="Y658" s="770"/>
      <c r="Z658" s="766"/>
      <c r="AA658" s="756"/>
    </row>
    <row r="659" spans="1:29" ht="18.75" customHeight="1">
      <c r="A659" s="756"/>
      <c r="B659" s="215"/>
      <c r="C659" s="759"/>
      <c r="D659" s="762"/>
      <c r="E659" s="389"/>
      <c r="F659" s="390"/>
      <c r="G659" s="400"/>
      <c r="H659" s="392"/>
      <c r="I659" s="432">
        <f>база!$J$6</f>
        <v>243.04319999999998</v>
      </c>
      <c r="J659" s="433">
        <v>1.5</v>
      </c>
      <c r="K659" s="434">
        <f>SUMIFS(Таблица14[часы],Таблица14[коэф],"1,5",Таблица14[р/р],"5/8",Таблица14[Ф. И. О.],B660)</f>
        <v>0</v>
      </c>
      <c r="L659" s="434">
        <f>SUMIFS(Таблица14[Столбец2],Таблица14[коэф],"1,5",Таблица14[р/р],"5/8",Таблица14[Ф. И. О.],B660)</f>
        <v>0</v>
      </c>
      <c r="M659" s="434"/>
      <c r="N659" s="434"/>
      <c r="O659" s="434"/>
      <c r="P659" s="406"/>
      <c r="Q659" s="389">
        <f>база!$L$5</f>
        <v>231.45480000000001</v>
      </c>
      <c r="R659" s="390">
        <v>1.2</v>
      </c>
      <c r="S659" s="400">
        <f>SUMIFS(Таблица14[часы],Таблица14[коэф],"1,2",Таблица14[р/р],"4/16",Таблица14[Ф. И. О.],B660)</f>
        <v>0</v>
      </c>
      <c r="T659" s="392">
        <f>SUMIFS(Таблица14[Столбец2],Таблица14[коэф],"1,2",Таблица14[р/р],"4/16",Таблица14[Ф. И. О.],B660)</f>
        <v>0</v>
      </c>
      <c r="U659" s="478">
        <f>база!$M$5</f>
        <v>247.41720000000001</v>
      </c>
      <c r="V659" s="390">
        <v>1.2</v>
      </c>
      <c r="W659" s="412">
        <f>SUMIFS(Таблица14[часы],Таблица14[коэф],"1,2",Таблица14[р/р],"4/24",Таблица14[Ф. И. О.],B660)</f>
        <v>0</v>
      </c>
      <c r="X659" s="545">
        <f>SUMIFS(Таблица14[Столбец2],Таблица14[коэф],"1,2",Таблица14[р/р],"4/24",Таблица14[Ф. И. О.],B660)</f>
        <v>0</v>
      </c>
      <c r="Y659" s="770"/>
      <c r="Z659" s="766"/>
      <c r="AA659" s="756"/>
      <c r="AC659" s="752" t="str">
        <f>IF(SUMIFS(Таблица14[Столбец2],Таблица14[Ф. И. О.],B660)-Z655=0,"",SUMIFS(Таблица14[Столбец2],Таблица14[Ф. И. О.],B660)-Z655)</f>
        <v/>
      </c>
    </row>
    <row r="660" spans="1:29" ht="18.75" customHeight="1">
      <c r="A660" s="756"/>
      <c r="B660" s="215" t="str">
        <f>база!B61</f>
        <v>Пириева Виктория Хозеиновна</v>
      </c>
      <c r="C660" s="759"/>
      <c r="D660" s="762"/>
      <c r="E660" s="389"/>
      <c r="F660" s="390"/>
      <c r="G660" s="400"/>
      <c r="H660" s="392"/>
      <c r="I660" s="432"/>
      <c r="J660" s="433"/>
      <c r="K660" s="434"/>
      <c r="L660" s="434"/>
      <c r="M660" s="434"/>
      <c r="N660" s="434"/>
      <c r="O660" s="434"/>
      <c r="P660" s="406"/>
      <c r="Q660" s="389">
        <f>база!$L$6</f>
        <v>261.04640000000001</v>
      </c>
      <c r="R660" s="390">
        <v>1.2</v>
      </c>
      <c r="S660" s="400">
        <f>SUMIFS(Таблица14[часы],Таблица14[коэф],"1,2",Таблица14[р/р],"5/16",Таблица14[Ф. И. О.],B660)</f>
        <v>0</v>
      </c>
      <c r="T660" s="392">
        <f>SUMIFS(Таблица14[Столбец2],Таблица14[коэф],"1,2",Таблица14[р/р],"5/16",Таблица14[Ф. И. О.],B660)</f>
        <v>0</v>
      </c>
      <c r="U660" s="478">
        <f>база!$M$6</f>
        <v>279.0496</v>
      </c>
      <c r="V660" s="390">
        <v>1.2</v>
      </c>
      <c r="W660" s="412">
        <f>SUMIFS(Таблица14[часы],Таблица14[коэф],"1,2",Таблица14[р/р],"5/24",Таблица14[Ф. И. О.],B660)</f>
        <v>0</v>
      </c>
      <c r="X660" s="545">
        <f>SUMIFS(Таблица14[Столбец2],Таблица14[коэф],"1,2",Таблица14[р/р],"5/24",Таблица14[Ф. И. О.],B660)</f>
        <v>0</v>
      </c>
      <c r="Y660" s="770"/>
      <c r="Z660" s="766"/>
      <c r="AA660" s="756"/>
      <c r="AC660" s="752" t="str">
        <f>IF(SUMIFS(Таблица14[часы],Таблица14[Ф. И. О.],B660)-Y655=0,"",SUMIFS(Таблица14[часы],Таблица14[Ф. И. О.],B660)-Y655)</f>
        <v/>
      </c>
    </row>
    <row r="661" spans="1:29" ht="18.75" customHeight="1">
      <c r="A661" s="756"/>
      <c r="B661" s="215"/>
      <c r="C661" s="759"/>
      <c r="D661" s="762"/>
      <c r="E661" s="389"/>
      <c r="F661" s="390"/>
      <c r="G661" s="400"/>
      <c r="H661" s="392"/>
      <c r="I661" s="432"/>
      <c r="J661" s="433"/>
      <c r="K661" s="434"/>
      <c r="L661" s="434"/>
      <c r="M661" s="434"/>
      <c r="N661" s="434"/>
      <c r="O661" s="434"/>
      <c r="P661" s="406"/>
      <c r="Q661" s="389">
        <f>IF($D$6&lt;=3,база!$L$4,
IF($D$6=4,база!$L$5,
IF($D$6=5,база!$L$6)))</f>
        <v>231.45480000000001</v>
      </c>
      <c r="R661" s="390">
        <v>1.3</v>
      </c>
      <c r="S661" s="400">
        <f>SUMIFS(Таблица14[часы],Таблица14[коэф],"1,3",Таблица14[р/р],"3/16",Таблица14[Ф. И. О.],B660)</f>
        <v>0</v>
      </c>
      <c r="T661" s="392">
        <f>SUMIFS(Таблица14[Столбец2],Таблица14[коэф],"1,3",Таблица14[р/р],"3/16",Таблица14[Ф. И. О.],B660)</f>
        <v>0</v>
      </c>
      <c r="U661" s="478">
        <f>IF(D655&lt;=3,база!$M$4,
IF(D655=4,база!$M$5,
IF(D655=5,база!$M$6)))</f>
        <v>225.09719999999999</v>
      </c>
      <c r="V661" s="390">
        <v>1.3</v>
      </c>
      <c r="W661" s="412">
        <f>SUMIFS(Таблица14[часы],Таблица14[коэф],"1,3",Таблица14[р/р],"3/24",Таблица14[Ф. И. О.],B660)</f>
        <v>0</v>
      </c>
      <c r="X661" s="545">
        <f>SUMIFS(Таблица14[Столбец2],Таблица14[коэф],"1,3",Таблица14[р/р],"3/24",Таблица14[Ф. И. О.],B660)</f>
        <v>0</v>
      </c>
      <c r="Y661" s="770"/>
      <c r="Z661" s="766"/>
      <c r="AA661" s="756"/>
    </row>
    <row r="662" spans="1:29" ht="18.75" customHeight="1">
      <c r="A662" s="756"/>
      <c r="B662" s="215"/>
      <c r="C662" s="759"/>
      <c r="D662" s="762"/>
      <c r="E662" s="389"/>
      <c r="F662" s="390"/>
      <c r="G662" s="400"/>
      <c r="H662" s="392"/>
      <c r="I662" s="432"/>
      <c r="J662" s="433"/>
      <c r="K662" s="434"/>
      <c r="L662" s="434"/>
      <c r="M662" s="434"/>
      <c r="N662" s="434"/>
      <c r="O662" s="434"/>
      <c r="P662" s="406"/>
      <c r="Q662" s="389">
        <f>база!$L$5</f>
        <v>231.45480000000001</v>
      </c>
      <c r="R662" s="390">
        <v>1.3</v>
      </c>
      <c r="S662" s="400">
        <f>SUMIFS(Таблица14[часы],Таблица14[коэф],"1,3",Таблица14[р/р],"4/16",Таблица14[Ф. И. О.],B660)</f>
        <v>0</v>
      </c>
      <c r="T662" s="392">
        <f>SUMIFS(Таблица14[Столбец2],Таблица14[коэф],"1,3",Таблица14[р/р],"4/16",Таблица14[Ф. И. О.],B660)</f>
        <v>0</v>
      </c>
      <c r="U662" s="478">
        <f>база!$M$5</f>
        <v>247.41720000000001</v>
      </c>
      <c r="V662" s="390">
        <v>1.3</v>
      </c>
      <c r="W662" s="412">
        <f>SUMIFS(Таблица14[часы],Таблица14[коэф],"1,3",Таблица14[р/р],"4/24",Таблица14[Ф. И. О.],B660)</f>
        <v>0</v>
      </c>
      <c r="X662" s="545">
        <f>SUMIFS(Таблица14[Столбец2],Таблица14[коэф],"1,3",Таблица14[р/р],"4/24",Таблица14[Ф. И. О.],B660)</f>
        <v>0</v>
      </c>
      <c r="Y662" s="770"/>
      <c r="Z662" s="766"/>
      <c r="AA662" s="756"/>
    </row>
    <row r="663" spans="1:29" ht="18.75" customHeight="1">
      <c r="A663" s="756"/>
      <c r="B663" s="215"/>
      <c r="C663" s="759"/>
      <c r="D663" s="762"/>
      <c r="E663" s="389"/>
      <c r="F663" s="390"/>
      <c r="G663" s="400"/>
      <c r="H663" s="392"/>
      <c r="I663" s="432"/>
      <c r="J663" s="433"/>
      <c r="K663" s="434"/>
      <c r="L663" s="434"/>
      <c r="M663" s="434"/>
      <c r="N663" s="434"/>
      <c r="O663" s="434"/>
      <c r="P663" s="406"/>
      <c r="Q663" s="389">
        <f>IF(D655&lt;=3,база!$L$4,
IF(D655=4,база!$L$5,
IF(D655=5,база!$L$6)))</f>
        <v>210.57480000000001</v>
      </c>
      <c r="R663" s="390">
        <v>1.4</v>
      </c>
      <c r="S663" s="400">
        <f>SUMIFS(Таблица14[часы],Таблица14[коэф],"1,4",Таблица14[р/р],"3/16",Таблица14[Ф. И. О.],B660)</f>
        <v>0</v>
      </c>
      <c r="T663" s="392">
        <f>SUMIFS(Таблица14[Столбец2],Таблица14[коэф],"1,4",Таблица14[р/р],"3/16",Таблица14[Ф. И. О.],B660)</f>
        <v>0</v>
      </c>
      <c r="U663" s="478">
        <f>IF(D655&lt;=3,база!$M$4,
IF(D655=4,база!$M$5,
IF(D655=5,база!$M$6)))</f>
        <v>225.09719999999999</v>
      </c>
      <c r="V663" s="390">
        <v>1.4</v>
      </c>
      <c r="W663" s="412">
        <f>SUMIFS(Таблица14[часы],Таблица14[коэф],"1,4",Таблица14[р/р],"3/24",Таблица14[Ф. И. О.],B660)</f>
        <v>0</v>
      </c>
      <c r="X663" s="545">
        <f>SUMIFS(Таблица14[Столбец2],Таблица14[коэф],"1,4",Таблица14[р/р],"3/24",Таблица14[Ф. И. О.],B660)</f>
        <v>0</v>
      </c>
      <c r="Y663" s="770"/>
      <c r="Z663" s="766"/>
      <c r="AA663" s="756"/>
    </row>
    <row r="664" spans="1:29" ht="18.75" customHeight="1">
      <c r="A664" s="756"/>
      <c r="B664" s="215"/>
      <c r="C664" s="759"/>
      <c r="D664" s="762"/>
      <c r="E664" s="389"/>
      <c r="F664" s="390"/>
      <c r="G664" s="400"/>
      <c r="H664" s="392"/>
      <c r="I664" s="432"/>
      <c r="J664" s="433"/>
      <c r="K664" s="434"/>
      <c r="L664" s="434"/>
      <c r="M664" s="434"/>
      <c r="N664" s="434"/>
      <c r="O664" s="434"/>
      <c r="P664" s="406"/>
      <c r="Q664" s="389">
        <f>база!$L$5</f>
        <v>231.45480000000001</v>
      </c>
      <c r="R664" s="390">
        <v>1.4</v>
      </c>
      <c r="S664" s="400">
        <f>SUMIFS(Таблица14[часы],Таблица14[коэф],"1,4",Таблица14[р/р],"4/16",Таблица14[Ф. И. О.],B660)</f>
        <v>0</v>
      </c>
      <c r="T664" s="392">
        <f>SUMIFS(Таблица14[Столбец2],Таблица14[коэф],"1,4",Таблица14[р/р],"4/16",Таблица14[Ф. И. О.],B660)</f>
        <v>0</v>
      </c>
      <c r="U664" s="478">
        <f>база!$M$5</f>
        <v>247.41720000000001</v>
      </c>
      <c r="V664" s="390">
        <v>1.4</v>
      </c>
      <c r="W664" s="412">
        <f>SUMIFS(Таблица14[часы],Таблица14[коэф],"1,4",Таблица14[р/р],"4/24",Таблица14[Ф. И. О.],B660)</f>
        <v>0</v>
      </c>
      <c r="X664" s="545">
        <f>SUMIFS(Таблица14[Столбец2],Таблица14[коэф],"1,4",Таблица14[р/р],"4/24",Таблица14[Ф. И. О.],B660)</f>
        <v>0</v>
      </c>
      <c r="Y664" s="770"/>
      <c r="Z664" s="766"/>
      <c r="AA664" s="756"/>
    </row>
    <row r="665" spans="1:29" ht="19.5" customHeight="1" thickBot="1">
      <c r="A665" s="757"/>
      <c r="B665" s="352"/>
      <c r="C665" s="760"/>
      <c r="D665" s="763"/>
      <c r="E665" s="437"/>
      <c r="F665" s="438"/>
      <c r="G665" s="682"/>
      <c r="H665" s="440"/>
      <c r="I665" s="413"/>
      <c r="J665" s="602"/>
      <c r="K665" s="414"/>
      <c r="L665" s="460"/>
      <c r="M665" s="413"/>
      <c r="N665" s="414"/>
      <c r="O665" s="414"/>
      <c r="P665" s="415"/>
      <c r="Q665" s="677">
        <f>база!$L$6</f>
        <v>261.04640000000001</v>
      </c>
      <c r="R665" s="438">
        <v>1.4</v>
      </c>
      <c r="S665" s="439">
        <f>SUMIFS(Таблица14[часы],Таблица14[коэф],"1,4",Таблица14[р/р],"5/16",Таблица14[Ф. И. О.],B660)</f>
        <v>0</v>
      </c>
      <c r="T665" s="440">
        <f>SUMIFS(Таблица14[Столбец2],Таблица14[коэф],"1,4",Таблица14[р/р],"5/16",Таблица14[Ф. И. О.],B660)</f>
        <v>0</v>
      </c>
      <c r="U665" s="515">
        <f>база!$M$6</f>
        <v>279.0496</v>
      </c>
      <c r="V665" s="403">
        <v>1.4</v>
      </c>
      <c r="W665" s="439">
        <f>SUMIFS(Таблица14[часы],Таблица14[коэф],"1,4",Таблица14[р/р],"5/24",Таблица14[Ф. И. О.],B660)</f>
        <v>0</v>
      </c>
      <c r="X665" s="440">
        <f>SUMIFS(Таблица14[Столбец2],Таблица14[коэф],"1,4",Таблица14[р/р],"5/24",Таблица14[Ф. И. О.],B660)</f>
        <v>0</v>
      </c>
      <c r="Y665" s="771"/>
      <c r="Z665" s="767"/>
      <c r="AA665" s="757"/>
    </row>
    <row r="666" spans="1:29" ht="18.75" customHeight="1">
      <c r="A666" s="756">
        <v>61</v>
      </c>
      <c r="B666" s="215"/>
      <c r="C666" s="758">
        <f>INDEX(база!$E$2:$E$150, MATCH(B671,база!$B$2:$B$150,0))</f>
        <v>16858</v>
      </c>
      <c r="D666" s="761">
        <f>INDEX(база!$D$2:$D$150, MATCH(B671,база!$B$2:$B$150,0))</f>
        <v>3</v>
      </c>
      <c r="E666" s="377">
        <f>IF(D666&lt;=3,база!$I$4,
IF(D666=4,база!$I$5,
IF(D666=5,база!$I$6)))</f>
        <v>188.7912</v>
      </c>
      <c r="F666" s="378">
        <v>1</v>
      </c>
      <c r="G666" s="387">
        <f>SUMIFS(Таблица14[часы],Таблица14[коэф],"1",Таблица14[р/р],"2/4",Таблица14[Ф. И. О.],B671)</f>
        <v>0</v>
      </c>
      <c r="H666" s="380">
        <f>SUMIFS(Таблица14[Столбец2],Таблица14[коэф],"1",Таблица14[р/р],"2/4",Таблица14[Ф. И. О.],B671)</f>
        <v>0</v>
      </c>
      <c r="I666" s="426">
        <f>IF(D666&lt;=3,база!$J$4,
IF(D666=4,база!$J$5,
IF(D666=5,база!$J$6)))</f>
        <v>196.05240000000001</v>
      </c>
      <c r="J666" s="427">
        <v>1</v>
      </c>
      <c r="K666" s="428">
        <f>SUMIFS(Таблица14[часы],Таблица14[коэф],"1",Таблица14[р/р],"2/8",Таблица14[Ф. И. О.],B671)</f>
        <v>0</v>
      </c>
      <c r="L666" s="428">
        <f>SUMIFS(Таблица14[Столбец2],Таблица14[коэф],"1",Таблица14[р/р],"2/8",Таблица14[Ф. И. О.],B671)</f>
        <v>0</v>
      </c>
      <c r="M666" s="428"/>
      <c r="N666" s="428">
        <v>1</v>
      </c>
      <c r="O666" s="428">
        <f>SUMIFS(Data_Tech!$AM$3:$AM$67,Data_Tech!$E$3:$E$67,"1",Data_Tech!$G$3:$G$67,"3/12",Data_Tech!$F$3:$F$67,B671)</f>
        <v>0</v>
      </c>
      <c r="P666" s="385">
        <f>ROUND(M666*N666*O666,2)</f>
        <v>0</v>
      </c>
      <c r="Q666" s="377">
        <f>IF(D666&lt;=3,база!$L$4,
IF(D666=4,база!$L$5,
IF(D666=5,база!$L$6)))</f>
        <v>210.57480000000001</v>
      </c>
      <c r="R666" s="378">
        <v>1</v>
      </c>
      <c r="S666" s="387">
        <f>SUMIFS(Таблица14[часы],Таблица14[коэф],"1",Таблица14[р/р],"3/16",Таблица14[Ф. И. О.],B671)</f>
        <v>0</v>
      </c>
      <c r="T666" s="380">
        <f>SUMIFS(Таблица14[Столбец2],Таблица14[коэф],"1",Таблица14[р/р],"3/16",Таблица14[Ф. И. О.],B671)</f>
        <v>0</v>
      </c>
      <c r="U666" s="477">
        <f>IF(D666&lt;=3,база!$M$4,
IF(D666=4,база!$M$5,
IF(D666=5,база!$M$6)))</f>
        <v>225.09719999999999</v>
      </c>
      <c r="V666" s="378">
        <v>1</v>
      </c>
      <c r="W666" s="430">
        <f>SUMIFS(Таблица14[часы],Таблица14[коэф],"1",Таблица14[р/р],"3/24",Таблица14[Ф. И. О.],B671)</f>
        <v>0</v>
      </c>
      <c r="X666" s="543">
        <f>SUMIFS(Таблица14[Столбец2],Таблица14[коэф],"1",Таблица14[р/р],"3/24",Таблица14[Ф. И. О.],B671)</f>
        <v>0</v>
      </c>
      <c r="Y666" s="770">
        <f t="shared" ref="Y666" si="258">SUM(G666:G676,K666:K676,O666:O676,S666:S676,W666:W676)</f>
        <v>0</v>
      </c>
      <c r="Z666" s="766">
        <f t="shared" ref="Z666" si="259">IFERROR(SUM(H666:H676,L666:L676,T666:T676,X666:X676),"")</f>
        <v>0</v>
      </c>
      <c r="AA666" s="756"/>
    </row>
    <row r="667" spans="1:29" ht="18.75" customHeight="1">
      <c r="A667" s="756"/>
      <c r="B667" s="215"/>
      <c r="C667" s="759"/>
      <c r="D667" s="762"/>
      <c r="E667" s="389">
        <f>IF(D666&lt;=3,база!$I$4,
IF(D666=4,база!$I$5,
IF(D666=5,база!$I$6)))</f>
        <v>188.7912</v>
      </c>
      <c r="F667" s="390">
        <v>1</v>
      </c>
      <c r="G667" s="400">
        <f>SUMIFS(Таблица14[часы],Таблица14[коэф],"1",Таблица14[р/р],"3/4",Таблица14[Ф. И. О.],B671)</f>
        <v>0</v>
      </c>
      <c r="H667" s="392">
        <f>SUMIFS(Таблица14[Столбец2],Таблица14[коэф],"1",Таблица14[р/р],"3/4",Таблица14[Ф. И. О.],B671)</f>
        <v>0</v>
      </c>
      <c r="I667" s="432">
        <f>IF(D666&lt;=3,база!$J$4,
IF(D666=4,база!$J$5,
IF(D666=5,база!$J$6)))</f>
        <v>196.05240000000001</v>
      </c>
      <c r="J667" s="433">
        <v>1</v>
      </c>
      <c r="K667" s="434">
        <f>SUMIFS(Таблица14[часы],Таблица14[коэф],"1",Таблица14[р/р],"3/8",Таблица14[Ф. И. О.],B671)</f>
        <v>0</v>
      </c>
      <c r="L667" s="434">
        <f>SUMIFS(Таблица14[Столбец2],Таблица14[коэф],"1",Таблица14[р/р],"3/8",Таблица14[Ф. И. О.],B671)</f>
        <v>0</v>
      </c>
      <c r="M667" s="434"/>
      <c r="N667" s="434">
        <v>1</v>
      </c>
      <c r="O667" s="434">
        <f>SUMIFS(Data_Tech!$AM$3:$AM$67,Data_Tech!$E$3:$E$67,"1",Data_Tech!$G$3:$G$67,"4/12",Data_Tech!$F$3:$F$67,B671)</f>
        <v>0</v>
      </c>
      <c r="P667" s="406">
        <f>ROUND(M667*O667,2)</f>
        <v>0</v>
      </c>
      <c r="Q667" s="389">
        <f>база!$L$5</f>
        <v>231.45480000000001</v>
      </c>
      <c r="R667" s="390">
        <v>1</v>
      </c>
      <c r="S667" s="400">
        <f>SUMIFS(Таблица14[часы],Таблица14[коэф],"1",Таблица14[р/р],"4/16",Таблица14[Ф. И. О.],B671)</f>
        <v>0</v>
      </c>
      <c r="T667" s="392">
        <f>SUMIFS(Таблица14[Столбец2],Таблица14[коэф],"1",Таблица14[р/р],"4/16",Таблица14[Ф. И. О.],B671)</f>
        <v>0</v>
      </c>
      <c r="U667" s="478">
        <f>база!$M$5</f>
        <v>247.41720000000001</v>
      </c>
      <c r="V667" s="390">
        <v>1</v>
      </c>
      <c r="W667" s="412">
        <f>SUMIFS(Таблица14[часы],Таблица14[коэф],"1",Таблица14[р/р],"4/24",Таблица14[Ф. И. О.],B671)</f>
        <v>0</v>
      </c>
      <c r="X667" s="545">
        <f>SUMIFS(Таблица14[Столбец2],Таблица14[коэф],"1",Таблица14[р/р],"4/24",Таблица14[Ф. И. О.],B671)</f>
        <v>0</v>
      </c>
      <c r="Y667" s="770"/>
      <c r="Z667" s="766"/>
      <c r="AA667" s="756"/>
    </row>
    <row r="668" spans="1:29" ht="18.75" customHeight="1">
      <c r="A668" s="756"/>
      <c r="B668" s="215"/>
      <c r="C668" s="759"/>
      <c r="D668" s="762"/>
      <c r="E668" s="389"/>
      <c r="F668" s="390"/>
      <c r="G668" s="400"/>
      <c r="H668" s="392"/>
      <c r="I668" s="432"/>
      <c r="J668" s="433"/>
      <c r="K668" s="434"/>
      <c r="L668" s="434"/>
      <c r="M668" s="434"/>
      <c r="N668" s="434"/>
      <c r="O668" s="434"/>
      <c r="P668" s="406"/>
      <c r="Q668" s="389">
        <f>база!$L$6</f>
        <v>261.04640000000001</v>
      </c>
      <c r="R668" s="390">
        <v>1</v>
      </c>
      <c r="S668" s="400">
        <f>SUMIFS(Таблица14[часы],Таблица14[коэф],"1",Таблица14[р/р],"5/16",Таблица14[Ф. И. О.],B671)</f>
        <v>0</v>
      </c>
      <c r="T668" s="392">
        <f>SUMIFS(Таблица14[Столбец2],Таблица14[коэф],"1",Таблица14[р/р],"5/16",Таблица14[Ф. И. О.],B671)</f>
        <v>0</v>
      </c>
      <c r="U668" s="478">
        <f>база!$M$6</f>
        <v>279.0496</v>
      </c>
      <c r="V668" s="390">
        <v>1</v>
      </c>
      <c r="W668" s="412">
        <f>SUMIFS(Таблица14[часы],Таблица14[коэф],"1",Таблица14[р/р],"5/24",Таблица14[Ф. И. О.],B671)</f>
        <v>0</v>
      </c>
      <c r="X668" s="545">
        <f>SUMIFS(Таблица14[Столбец2],Таблица14[коэф],"1",Таблица14[р/р],"5/24",Таблица14[Ф. И. О.],B671)</f>
        <v>0</v>
      </c>
      <c r="Y668" s="770"/>
      <c r="Z668" s="766"/>
      <c r="AA668" s="756"/>
    </row>
    <row r="669" spans="1:29" ht="18.75" customHeight="1">
      <c r="A669" s="756"/>
      <c r="B669" s="215"/>
      <c r="C669" s="759"/>
      <c r="D669" s="762"/>
      <c r="E669" s="389"/>
      <c r="F669" s="390"/>
      <c r="G669" s="400"/>
      <c r="H669" s="392"/>
      <c r="I669" s="432">
        <f>база!$J$5</f>
        <v>215.4924</v>
      </c>
      <c r="J669" s="433">
        <v>1.5</v>
      </c>
      <c r="K669" s="434">
        <f>SUMIFS(Таблица14[часы],Таблица14[коэф],"1,5",Таблица14[р/р],"4/8",Таблица14[Ф. И. О.],B671)</f>
        <v>0</v>
      </c>
      <c r="L669" s="434">
        <f>SUMIFS(Таблица14[Столбец2],Таблица14[коэф],"1,5",Таблица14[р/р],"4/8",Таблица14[Ф. И. О.],B671)</f>
        <v>0</v>
      </c>
      <c r="M669" s="434"/>
      <c r="N669" s="434"/>
      <c r="O669" s="434"/>
      <c r="P669" s="406"/>
      <c r="Q669" s="389">
        <f>IF(D666&lt;=3,база!$L$4,
IF(D666=4,база!$L$5,
IF(D666=5,база!$L$6)))</f>
        <v>210.57480000000001</v>
      </c>
      <c r="R669" s="390">
        <v>1.2</v>
      </c>
      <c r="S669" s="400">
        <f>SUMIFS(Таблица14[часы],Таблица14[коэф],"1,2",Таблица14[р/р],"3/16",Таблица14[Ф. И. О.],B671)</f>
        <v>0</v>
      </c>
      <c r="T669" s="392">
        <f>SUMIFS(Таблица14[Столбец2],Таблица14[коэф],"1,2",Таблица14[р/р],"3/16",Таблица14[Ф. И. О.],B671)</f>
        <v>0</v>
      </c>
      <c r="U669" s="478">
        <f>IF(D666&lt;=3,база!$M$4,
IF(D666=4,база!$M$5,
IF(D666=5,база!$M$6)))</f>
        <v>225.09719999999999</v>
      </c>
      <c r="V669" s="390">
        <v>1.2</v>
      </c>
      <c r="W669" s="412">
        <f>SUMIFS(Таблица14[часы],Таблица14[коэф],"1,2",Таблица14[р/р],"3/24",Таблица14[Ф. И. О.],B671)</f>
        <v>0</v>
      </c>
      <c r="X669" s="545">
        <f>SUMIFS(Таблица14[Столбец2],Таблица14[коэф],"1,2",Таблица14[р/р],"3/24",Таблица14[Ф. И. О.],B671)</f>
        <v>0</v>
      </c>
      <c r="Y669" s="770"/>
      <c r="Z669" s="766"/>
      <c r="AA669" s="756"/>
    </row>
    <row r="670" spans="1:29" ht="18.75" customHeight="1">
      <c r="A670" s="756"/>
      <c r="B670" s="215"/>
      <c r="C670" s="759"/>
      <c r="D670" s="762"/>
      <c r="E670" s="389"/>
      <c r="F670" s="390"/>
      <c r="G670" s="400"/>
      <c r="H670" s="392"/>
      <c r="I670" s="432">
        <f>база!$J$6</f>
        <v>243.04319999999998</v>
      </c>
      <c r="J670" s="433">
        <v>1.5</v>
      </c>
      <c r="K670" s="434">
        <f>SUMIFS(Таблица14[часы],Таблица14[коэф],"1,5",Таблица14[р/р],"5/8",Таблица14[Ф. И. О.],B671)</f>
        <v>0</v>
      </c>
      <c r="L670" s="434">
        <f>SUMIFS(Таблица14[Столбец2],Таблица14[коэф],"1,5",Таблица14[р/р],"5/8",Таблица14[Ф. И. О.],B671)</f>
        <v>0</v>
      </c>
      <c r="M670" s="434"/>
      <c r="N670" s="434"/>
      <c r="O670" s="434"/>
      <c r="P670" s="406"/>
      <c r="Q670" s="389">
        <f>база!$L$5</f>
        <v>231.45480000000001</v>
      </c>
      <c r="R670" s="390">
        <v>1.2</v>
      </c>
      <c r="S670" s="400">
        <f>SUMIFS(Таблица14[часы],Таблица14[коэф],"1,2",Таблица14[р/р],"4/16",Таблица14[Ф. И. О.],B671)</f>
        <v>0</v>
      </c>
      <c r="T670" s="392">
        <f>SUMIFS(Таблица14[Столбец2],Таблица14[коэф],"1,2",Таблица14[р/р],"4/16",Таблица14[Ф. И. О.],B671)</f>
        <v>0</v>
      </c>
      <c r="U670" s="478">
        <f>база!$M$5</f>
        <v>247.41720000000001</v>
      </c>
      <c r="V670" s="390">
        <v>1.2</v>
      </c>
      <c r="W670" s="412">
        <f>SUMIFS(Таблица14[часы],Таблица14[коэф],"1,2",Таблица14[р/р],"4/24",Таблица14[Ф. И. О.],B671)</f>
        <v>0</v>
      </c>
      <c r="X670" s="545">
        <f>SUMIFS(Таблица14[Столбец2],Таблица14[коэф],"1,2",Таблица14[р/р],"4/24",Таблица14[Ф. И. О.],B671)</f>
        <v>0</v>
      </c>
      <c r="Y670" s="770"/>
      <c r="Z670" s="766"/>
      <c r="AA670" s="756"/>
    </row>
    <row r="671" spans="1:29" ht="18.75" customHeight="1">
      <c r="A671" s="756"/>
      <c r="B671" s="215" t="str">
        <f>база!B62</f>
        <v>Полушкина Анастасия Юрьевна</v>
      </c>
      <c r="C671" s="759"/>
      <c r="D671" s="762"/>
      <c r="E671" s="389"/>
      <c r="F671" s="390"/>
      <c r="G671" s="400"/>
      <c r="H671" s="392"/>
      <c r="I671" s="432"/>
      <c r="J671" s="433"/>
      <c r="K671" s="434"/>
      <c r="L671" s="434"/>
      <c r="M671" s="434"/>
      <c r="N671" s="434"/>
      <c r="O671" s="434"/>
      <c r="P671" s="406"/>
      <c r="Q671" s="389">
        <f>база!$L$6</f>
        <v>261.04640000000001</v>
      </c>
      <c r="R671" s="390">
        <v>1.2</v>
      </c>
      <c r="S671" s="400">
        <f>SUMIFS(Таблица14[часы],Таблица14[коэф],"1,2",Таблица14[р/р],"5/16",Таблица14[Ф. И. О.],B671)</f>
        <v>0</v>
      </c>
      <c r="T671" s="392">
        <f>SUMIFS(Таблица14[Столбец2],Таблица14[коэф],"1,2",Таблица14[р/р],"5/16",Таблица14[Ф. И. О.],B671)</f>
        <v>0</v>
      </c>
      <c r="U671" s="478">
        <f>база!$M$6</f>
        <v>279.0496</v>
      </c>
      <c r="V671" s="390">
        <v>1.2</v>
      </c>
      <c r="W671" s="412">
        <f>SUMIFS(Таблица14[часы],Таблица14[коэф],"1,2",Таблица14[р/р],"5/24",Таблица14[Ф. И. О.],B671)</f>
        <v>0</v>
      </c>
      <c r="X671" s="545">
        <f>SUMIFS(Таблица14[Столбец2],Таблица14[коэф],"1,2",Таблица14[р/р],"5/24",Таблица14[Ф. И. О.],B671)</f>
        <v>0</v>
      </c>
      <c r="Y671" s="770"/>
      <c r="Z671" s="766"/>
      <c r="AA671" s="756"/>
      <c r="AC671" s="752" t="str">
        <f>IF(SUMIFS(Таблица14[Столбец2],Таблица14[Ф. И. О.],B671)-Z666=0,"",SUMIFS(Таблица14[Столбец2],Таблица14[Ф. И. О.],B671)-Z666)</f>
        <v/>
      </c>
    </row>
    <row r="672" spans="1:29" ht="18.75" customHeight="1">
      <c r="A672" s="756"/>
      <c r="B672" s="215"/>
      <c r="C672" s="759"/>
      <c r="D672" s="762"/>
      <c r="E672" s="389"/>
      <c r="F672" s="390"/>
      <c r="G672" s="400"/>
      <c r="H672" s="392"/>
      <c r="I672" s="432"/>
      <c r="J672" s="433"/>
      <c r="K672" s="434"/>
      <c r="L672" s="434"/>
      <c r="M672" s="434"/>
      <c r="N672" s="434"/>
      <c r="O672" s="434"/>
      <c r="P672" s="406"/>
      <c r="Q672" s="389">
        <f>IF($D$6&lt;=3,база!$L$4,
IF($D$6=4,база!$L$5,
IF($D$6=5,база!$L$6)))</f>
        <v>231.45480000000001</v>
      </c>
      <c r="R672" s="390">
        <v>1.3</v>
      </c>
      <c r="S672" s="400">
        <f>SUMIFS(Таблица14[часы],Таблица14[коэф],"1,3",Таблица14[р/р],"3/16",Таблица14[Ф. И. О.],B671)</f>
        <v>0</v>
      </c>
      <c r="T672" s="392">
        <f>SUMIFS(Таблица14[Столбец2],Таблица14[коэф],"1,3",Таблица14[р/р],"3/16",Таблица14[Ф. И. О.],B671)</f>
        <v>0</v>
      </c>
      <c r="U672" s="478">
        <f>IF(D666&lt;=3,база!$M$4,
IF(D666=4,база!$M$5,
IF(D666=5,база!$M$6)))</f>
        <v>225.09719999999999</v>
      </c>
      <c r="V672" s="390">
        <v>1.3</v>
      </c>
      <c r="W672" s="412">
        <f>SUMIFS(Таблица14[часы],Таблица14[коэф],"1,3",Таблица14[р/р],"3/24",Таблица14[Ф. И. О.],B671)</f>
        <v>0</v>
      </c>
      <c r="X672" s="545">
        <f>SUMIFS(Таблица14[Столбец2],Таблица14[коэф],"1,3",Таблица14[р/р],"3/24",Таблица14[Ф. И. О.],B671)</f>
        <v>0</v>
      </c>
      <c r="Y672" s="770"/>
      <c r="Z672" s="766"/>
      <c r="AA672" s="756"/>
      <c r="AC672" s="752" t="str">
        <f>IF(SUMIFS(Таблица14[часы],Таблица14[Ф. И. О.],B671)-Y666=0,"",SUMIFS(Таблица14[часы],Таблица14[Ф. И. О.],B671)-Y666)</f>
        <v/>
      </c>
    </row>
    <row r="673" spans="1:29" ht="18.75" customHeight="1">
      <c r="A673" s="756"/>
      <c r="B673" s="215"/>
      <c r="C673" s="759"/>
      <c r="D673" s="762"/>
      <c r="E673" s="389"/>
      <c r="F673" s="390"/>
      <c r="G673" s="400"/>
      <c r="H673" s="392"/>
      <c r="I673" s="432"/>
      <c r="J673" s="433"/>
      <c r="K673" s="434"/>
      <c r="L673" s="434"/>
      <c r="M673" s="434"/>
      <c r="N673" s="434"/>
      <c r="O673" s="434"/>
      <c r="P673" s="406"/>
      <c r="Q673" s="389">
        <f>база!$L$5</f>
        <v>231.45480000000001</v>
      </c>
      <c r="R673" s="390">
        <v>1.3</v>
      </c>
      <c r="S673" s="400">
        <f>SUMIFS(Таблица14[часы],Таблица14[коэф],"1,3",Таблица14[р/р],"4/16",Таблица14[Ф. И. О.],B671)</f>
        <v>0</v>
      </c>
      <c r="T673" s="392">
        <f>SUMIFS(Таблица14[Столбец2],Таблица14[коэф],"1,3",Таблица14[р/р],"4/16",Таблица14[Ф. И. О.],B671)</f>
        <v>0</v>
      </c>
      <c r="U673" s="478">
        <f>база!$M$5</f>
        <v>247.41720000000001</v>
      </c>
      <c r="V673" s="390">
        <v>1.3</v>
      </c>
      <c r="W673" s="412">
        <f>SUMIFS(Таблица14[часы],Таблица14[коэф],"1,3",Таблица14[р/р],"4/24",Таблица14[Ф. И. О.],B671)</f>
        <v>0</v>
      </c>
      <c r="X673" s="545">
        <f>SUMIFS(Таблица14[Столбец2],Таблица14[коэф],"1,3",Таблица14[р/р],"4/24",Таблица14[Ф. И. О.],B671)</f>
        <v>0</v>
      </c>
      <c r="Y673" s="770"/>
      <c r="Z673" s="766"/>
      <c r="AA673" s="756"/>
    </row>
    <row r="674" spans="1:29" ht="18.75" customHeight="1">
      <c r="A674" s="756"/>
      <c r="B674" s="215"/>
      <c r="C674" s="759"/>
      <c r="D674" s="762"/>
      <c r="E674" s="389"/>
      <c r="F674" s="390"/>
      <c r="G674" s="400"/>
      <c r="H674" s="392"/>
      <c r="I674" s="432"/>
      <c r="J674" s="433"/>
      <c r="K674" s="434"/>
      <c r="L674" s="434"/>
      <c r="M674" s="434"/>
      <c r="N674" s="434"/>
      <c r="O674" s="434"/>
      <c r="P674" s="406"/>
      <c r="Q674" s="389">
        <f>IF(D666&lt;=3,база!$L$4,
IF(D666=4,база!$L$5,
IF(D666=5,база!$L$6)))</f>
        <v>210.57480000000001</v>
      </c>
      <c r="R674" s="390">
        <v>1.4</v>
      </c>
      <c r="S674" s="400">
        <f>SUMIFS(Таблица14[часы],Таблица14[коэф],"1,4",Таблица14[р/р],"3/16",Таблица14[Ф. И. О.],B671)</f>
        <v>0</v>
      </c>
      <c r="T674" s="392">
        <f>SUMIFS(Таблица14[Столбец2],Таблица14[коэф],"1,4",Таблица14[р/р],"3/16",Таблица14[Ф. И. О.],B671)</f>
        <v>0</v>
      </c>
      <c r="U674" s="478">
        <f>IF(D666&lt;=3,база!$M$4,
IF(D666=4,база!$M$5,
IF(D666=5,база!$M$6)))</f>
        <v>225.09719999999999</v>
      </c>
      <c r="V674" s="390">
        <v>1.4</v>
      </c>
      <c r="W674" s="412">
        <f>SUMIFS(Таблица14[часы],Таблица14[коэф],"1,4",Таблица14[р/р],"3/24",Таблица14[Ф. И. О.],B671)</f>
        <v>0</v>
      </c>
      <c r="X674" s="545">
        <f>SUMIFS(Таблица14[Столбец2],Таблица14[коэф],"1,4",Таблица14[р/р],"3/24",Таблица14[Ф. И. О.],B671)</f>
        <v>0</v>
      </c>
      <c r="Y674" s="770"/>
      <c r="Z674" s="766"/>
      <c r="AA674" s="756"/>
    </row>
    <row r="675" spans="1:29" ht="18.75" customHeight="1">
      <c r="A675" s="756"/>
      <c r="B675" s="215"/>
      <c r="C675" s="759"/>
      <c r="D675" s="762"/>
      <c r="E675" s="389"/>
      <c r="F675" s="390"/>
      <c r="G675" s="400"/>
      <c r="H675" s="392"/>
      <c r="I675" s="432"/>
      <c r="J675" s="433"/>
      <c r="K675" s="434"/>
      <c r="L675" s="434"/>
      <c r="M675" s="434"/>
      <c r="N675" s="434"/>
      <c r="O675" s="434"/>
      <c r="P675" s="406"/>
      <c r="Q675" s="389">
        <f>база!$L$5</f>
        <v>231.45480000000001</v>
      </c>
      <c r="R675" s="390">
        <v>1.4</v>
      </c>
      <c r="S675" s="400">
        <f>SUMIFS(Таблица14[часы],Таблица14[коэф],"1,4",Таблица14[р/р],"4/16",Таблица14[Ф. И. О.],B671)</f>
        <v>0</v>
      </c>
      <c r="T675" s="392">
        <f>SUMIFS(Таблица14[Столбец2],Таблица14[коэф],"1,4",Таблица14[р/р],"4/16",Таблица14[Ф. И. О.],B671)</f>
        <v>0</v>
      </c>
      <c r="U675" s="478">
        <f>база!$M$5</f>
        <v>247.41720000000001</v>
      </c>
      <c r="V675" s="390">
        <v>1.4</v>
      </c>
      <c r="W675" s="412">
        <f>SUMIFS(Таблица14[часы],Таблица14[коэф],"1,4",Таблица14[р/р],"4/24",Таблица14[Ф. И. О.],B671)</f>
        <v>0</v>
      </c>
      <c r="X675" s="545">
        <f>SUMIFS(Таблица14[Столбец2],Таблица14[коэф],"1,4",Таблица14[р/р],"4/24",Таблица14[Ф. И. О.],B671)</f>
        <v>0</v>
      </c>
      <c r="Y675" s="770"/>
      <c r="Z675" s="766"/>
      <c r="AA675" s="756"/>
    </row>
    <row r="676" spans="1:29" ht="19.5" customHeight="1" thickBot="1">
      <c r="A676" s="757"/>
      <c r="B676" s="352"/>
      <c r="C676" s="760"/>
      <c r="D676" s="763"/>
      <c r="E676" s="445"/>
      <c r="F676" s="446"/>
      <c r="G676" s="647"/>
      <c r="H676" s="535"/>
      <c r="I676" s="648"/>
      <c r="J676" s="615"/>
      <c r="K676" s="649"/>
      <c r="L676" s="457"/>
      <c r="M676" s="648"/>
      <c r="N676" s="649"/>
      <c r="O676" s="649"/>
      <c r="P676" s="538"/>
      <c r="Q676" s="650">
        <f>база!$L$6</f>
        <v>261.04640000000001</v>
      </c>
      <c r="R676" s="446">
        <v>1.4</v>
      </c>
      <c r="S676" s="447">
        <f>SUMIFS(Таблица14[часы],Таблица14[коэф],"1,4",Таблица14[р/р],"5/16",Таблица14[Ф. И. О.],B671)</f>
        <v>0</v>
      </c>
      <c r="T676" s="535">
        <f>SUMIFS(Таблица14[Столбец2],Таблица14[коэф],"1,4",Таблица14[р/р],"5/16",Таблица14[Ф. И. О.],B671)</f>
        <v>0</v>
      </c>
      <c r="U676" s="536">
        <f>база!$M$6</f>
        <v>279.0496</v>
      </c>
      <c r="V676" s="464">
        <v>1.4</v>
      </c>
      <c r="W676" s="447">
        <f>SUMIFS(Таблица14[часы],Таблица14[коэф],"1,4",Таблица14[р/р],"5/24",Таблица14[Ф. И. О.],B671)</f>
        <v>0</v>
      </c>
      <c r="X676" s="535">
        <f>SUMIFS(Таблица14[Столбец2],Таблица14[коэф],"1,4",Таблица14[р/р],"5/24",Таблица14[Ф. И. О.],B671)</f>
        <v>0</v>
      </c>
      <c r="Y676" s="771"/>
      <c r="Z676" s="767"/>
      <c r="AA676" s="757"/>
    </row>
    <row r="677" spans="1:29" ht="18.75" customHeight="1">
      <c r="A677" s="756">
        <v>62</v>
      </c>
      <c r="B677" s="215"/>
      <c r="C677" s="758">
        <f>INDEX(база!$E$2:$E$150, MATCH(B682,база!$B$2:$B$150,0))</f>
        <v>15098</v>
      </c>
      <c r="D677" s="761">
        <f>INDEX(база!$D$2:$D$150, MATCH(B682,база!$B$2:$B$150,0))</f>
        <v>3</v>
      </c>
      <c r="E677" s="481">
        <f>IF(D677&lt;=3,база!$I$4,
IF(D677=4,база!$I$5,
IF(D677=5,база!$I$6)))</f>
        <v>188.7912</v>
      </c>
      <c r="F677" s="417">
        <v>1</v>
      </c>
      <c r="G677" s="418">
        <f>SUMIFS(Таблица14[часы],Таблица14[коэф],"1",Таблица14[р/р],"2/4",Таблица14[Ф. И. О.],B682)</f>
        <v>0</v>
      </c>
      <c r="H677" s="402">
        <f>SUMIFS(Таблица14[Столбец2],Таблица14[коэф],"1",Таблица14[р/р],"2/4",Таблица14[Ф. И. О.],B682)</f>
        <v>0</v>
      </c>
      <c r="I677" s="452">
        <f>IF(D677&lt;=3,база!$J$4,
IF(D677=4,база!$J$5,
IF(D677=5,база!$J$6)))</f>
        <v>196.05240000000001</v>
      </c>
      <c r="J677" s="475">
        <v>1</v>
      </c>
      <c r="K677" s="453">
        <f>SUMIFS(Таблица14[часы],Таблица14[коэф],"1",Таблица14[р/р],"2/8",Таблица14[Ф. И. О.],B682)</f>
        <v>0</v>
      </c>
      <c r="L677" s="453">
        <f>SUMIFS(Таблица14[Столбец2],Таблица14[коэф],"1",Таблица14[р/р],"2/8",Таблица14[Ф. И. О.],B682)</f>
        <v>0</v>
      </c>
      <c r="M677" s="453"/>
      <c r="N677" s="453">
        <v>1</v>
      </c>
      <c r="O677" s="453">
        <f>SUMIFS(Data_Tech!$AM$3:$AM$67,Data_Tech!$E$3:$E$67,"1",Data_Tech!$G$3:$G$67,"3/12",Data_Tech!$F$3:$F$67,B682)</f>
        <v>0</v>
      </c>
      <c r="P677" s="398">
        <f>ROUND(M677*N677*O677,2)</f>
        <v>0</v>
      </c>
      <c r="Q677" s="481">
        <f>IF(D677&lt;=3,база!$L$4,
IF(D677=4,база!$L$5,
IF(D677=5,база!$L$6)))</f>
        <v>210.57480000000001</v>
      </c>
      <c r="R677" s="417">
        <v>1</v>
      </c>
      <c r="S677" s="418">
        <f>SUMIFS(Таблица14[часы],Таблица14[коэф],"1",Таблица14[р/р],"3/16",Таблица14[Ф. И. О.],B682)</f>
        <v>0</v>
      </c>
      <c r="T677" s="402">
        <f>SUMIFS(Таблица14[Столбец2],Таблица14[коэф],"1",Таблица14[р/р],"3/16",Таблица14[Ф. И. О.],B682)</f>
        <v>0</v>
      </c>
      <c r="U677" s="483">
        <f>IF(D677&lt;=3,база!$M$4,
IF(D677=4,база!$M$5,
IF(D677=5,база!$M$6)))</f>
        <v>225.09719999999999</v>
      </c>
      <c r="V677" s="417">
        <v>1</v>
      </c>
      <c r="W677" s="455">
        <f>SUMIFS(Таблица14[часы],Таблица14[коэф],"1",Таблица14[р/р],"3/24",Таблица14[Ф. И. О.],B682)</f>
        <v>0</v>
      </c>
      <c r="X677" s="552">
        <f>SUMIFS(Таблица14[Столбец2],Таблица14[коэф],"1",Таблица14[р/р],"3/24",Таблица14[Ф. И. О.],B682)</f>
        <v>0</v>
      </c>
      <c r="Y677" s="770">
        <f t="shared" ref="Y677" si="260">SUM(G677:G687,K677:K687,O677:O687,S677:S687,W677:W687)</f>
        <v>0</v>
      </c>
      <c r="Z677" s="766">
        <f t="shared" ref="Z677" si="261">IFERROR(SUM(H677:H687,L677:L687,T677:T687,X677:X687),"")</f>
        <v>0</v>
      </c>
      <c r="AA677" s="756"/>
    </row>
    <row r="678" spans="1:29" ht="18.75" customHeight="1">
      <c r="A678" s="756"/>
      <c r="B678" s="215"/>
      <c r="C678" s="759"/>
      <c r="D678" s="762"/>
      <c r="E678" s="389">
        <f>IF(D677&lt;=3,база!$I$4,
IF(D677=4,база!$I$5,
IF(D677=5,база!$I$6)))</f>
        <v>188.7912</v>
      </c>
      <c r="F678" s="390">
        <v>1</v>
      </c>
      <c r="G678" s="400">
        <f>SUMIFS(Таблица14[часы],Таблица14[коэф],"1",Таблица14[р/р],"3/4",Таблица14[Ф. И. О.],B682)</f>
        <v>0</v>
      </c>
      <c r="H678" s="392">
        <f>SUMIFS(Таблица14[Столбец2],Таблица14[коэф],"1",Таблица14[р/р],"3/4",Таблица14[Ф. И. О.],B682)</f>
        <v>0</v>
      </c>
      <c r="I678" s="432">
        <f>IF(D677&lt;=3,база!$J$4,
IF(D677=4,база!$J$5,
IF(D677=5,база!$J$6)))</f>
        <v>196.05240000000001</v>
      </c>
      <c r="J678" s="433">
        <v>1</v>
      </c>
      <c r="K678" s="434">
        <f>SUMIFS(Таблица14[часы],Таблица14[коэф],"1",Таблица14[р/р],"3/8",Таблица14[Ф. И. О.],B682)</f>
        <v>0</v>
      </c>
      <c r="L678" s="434">
        <f>SUMIFS(Таблица14[Столбец2],Таблица14[коэф],"1",Таблица14[р/р],"3/8",Таблица14[Ф. И. О.],B682)</f>
        <v>0</v>
      </c>
      <c r="M678" s="434"/>
      <c r="N678" s="434">
        <v>1</v>
      </c>
      <c r="O678" s="434">
        <f>SUMIFS(Data_Tech!$AM$3:$AM$67,Data_Tech!$E$3:$E$67,"1",Data_Tech!$G$3:$G$67,"4/12",Data_Tech!$F$3:$F$67,B682)</f>
        <v>0</v>
      </c>
      <c r="P678" s="406">
        <f>ROUND(M678*O678,2)</f>
        <v>0</v>
      </c>
      <c r="Q678" s="389">
        <f>база!$L$5</f>
        <v>231.45480000000001</v>
      </c>
      <c r="R678" s="390">
        <v>1</v>
      </c>
      <c r="S678" s="400">
        <f>SUMIFS(Таблица14[часы],Таблица14[коэф],"1",Таблица14[р/р],"4/16",Таблица14[Ф. И. О.],B682)</f>
        <v>0</v>
      </c>
      <c r="T678" s="392">
        <f>SUMIFS(Таблица14[Столбец2],Таблица14[коэф],"1",Таблица14[р/р],"4/16",Таблица14[Ф. И. О.],B682)</f>
        <v>0</v>
      </c>
      <c r="U678" s="478">
        <f>база!$M$5</f>
        <v>247.41720000000001</v>
      </c>
      <c r="V678" s="390">
        <v>1</v>
      </c>
      <c r="W678" s="412">
        <f>SUMIFS(Таблица14[часы],Таблица14[коэф],"1",Таблица14[р/р],"4/24",Таблица14[Ф. И. О.],B682)</f>
        <v>0</v>
      </c>
      <c r="X678" s="545">
        <f>SUMIFS(Таблица14[Столбец2],Таблица14[коэф],"1",Таблица14[р/р],"4/24",Таблица14[Ф. И. О.],B682)</f>
        <v>0</v>
      </c>
      <c r="Y678" s="770"/>
      <c r="Z678" s="766"/>
      <c r="AA678" s="756"/>
    </row>
    <row r="679" spans="1:29" ht="18.75" customHeight="1">
      <c r="A679" s="756"/>
      <c r="B679" s="215"/>
      <c r="C679" s="759"/>
      <c r="D679" s="762"/>
      <c r="E679" s="389"/>
      <c r="F679" s="390"/>
      <c r="G679" s="400"/>
      <c r="H679" s="392"/>
      <c r="I679" s="432"/>
      <c r="J679" s="433"/>
      <c r="K679" s="434"/>
      <c r="L679" s="434"/>
      <c r="M679" s="434"/>
      <c r="N679" s="434"/>
      <c r="O679" s="434"/>
      <c r="P679" s="406"/>
      <c r="Q679" s="389">
        <f>база!$L$6</f>
        <v>261.04640000000001</v>
      </c>
      <c r="R679" s="390">
        <v>1</v>
      </c>
      <c r="S679" s="400">
        <f>SUMIFS(Таблица14[часы],Таблица14[коэф],"1",Таблица14[р/р],"5/16",Таблица14[Ф. И. О.],B682)</f>
        <v>0</v>
      </c>
      <c r="T679" s="392">
        <f>SUMIFS(Таблица14[Столбец2],Таблица14[коэф],"1",Таблица14[р/р],"5/16",Таблица14[Ф. И. О.],B682)</f>
        <v>0</v>
      </c>
      <c r="U679" s="478">
        <f>база!$M$6</f>
        <v>279.0496</v>
      </c>
      <c r="V679" s="390">
        <v>1</v>
      </c>
      <c r="W679" s="412">
        <f>SUMIFS(Таблица14[часы],Таблица14[коэф],"1",Таблица14[р/р],"5/24",Таблица14[Ф. И. О.],B682)</f>
        <v>0</v>
      </c>
      <c r="X679" s="545">
        <f>SUMIFS(Таблица14[Столбец2],Таблица14[коэф],"1",Таблица14[р/р],"5/24",Таблица14[Ф. И. О.],B682)</f>
        <v>0</v>
      </c>
      <c r="Y679" s="770"/>
      <c r="Z679" s="766"/>
      <c r="AA679" s="756"/>
    </row>
    <row r="680" spans="1:29" ht="18.75" customHeight="1">
      <c r="A680" s="756"/>
      <c r="B680" s="215"/>
      <c r="C680" s="759"/>
      <c r="D680" s="762"/>
      <c r="E680" s="389"/>
      <c r="F680" s="390"/>
      <c r="G680" s="400"/>
      <c r="H680" s="392"/>
      <c r="I680" s="432">
        <f>база!$J$5</f>
        <v>215.4924</v>
      </c>
      <c r="J680" s="433">
        <v>1.5</v>
      </c>
      <c r="K680" s="434">
        <f>SUMIFS(Таблица14[часы],Таблица14[коэф],"1,5",Таблица14[р/р],"4/8",Таблица14[Ф. И. О.],B682)</f>
        <v>0</v>
      </c>
      <c r="L680" s="434">
        <f>SUMIFS(Таблица14[Столбец2],Таблица14[коэф],"1,5",Таблица14[р/р],"4/8",Таблица14[Ф. И. О.],B682)</f>
        <v>0</v>
      </c>
      <c r="M680" s="434"/>
      <c r="N680" s="434"/>
      <c r="O680" s="434"/>
      <c r="P680" s="406"/>
      <c r="Q680" s="389">
        <f>IF(D677&lt;=3,база!$L$4,
IF(D677=4,база!$L$5,
IF(D677=5,база!$L$6)))</f>
        <v>210.57480000000001</v>
      </c>
      <c r="R680" s="390">
        <v>1.2</v>
      </c>
      <c r="S680" s="400">
        <f>SUMIFS(Таблица14[часы],Таблица14[коэф],"1,2",Таблица14[р/р],"3/16",Таблица14[Ф. И. О.],B682)</f>
        <v>0</v>
      </c>
      <c r="T680" s="392">
        <f>SUMIFS(Таблица14[Столбец2],Таблица14[коэф],"1,2",Таблица14[р/р],"3/16",Таблица14[Ф. И. О.],B682)</f>
        <v>0</v>
      </c>
      <c r="U680" s="478">
        <f>IF(D677&lt;=3,база!$M$4,
IF(D677=4,база!$M$5,
IF(D677=5,база!$M$6)))</f>
        <v>225.09719999999999</v>
      </c>
      <c r="V680" s="390">
        <v>1.2</v>
      </c>
      <c r="W680" s="412">
        <f>SUMIFS(Таблица14[часы],Таблица14[коэф],"1,2",Таблица14[р/р],"3/24",Таблица14[Ф. И. О.],B682)</f>
        <v>0</v>
      </c>
      <c r="X680" s="545">
        <f>SUMIFS(Таблица14[Столбец2],Таблица14[коэф],"1,2",Таблица14[р/р],"3/24",Таблица14[Ф. И. О.],B682)</f>
        <v>0</v>
      </c>
      <c r="Y680" s="770"/>
      <c r="Z680" s="766"/>
      <c r="AA680" s="756"/>
    </row>
    <row r="681" spans="1:29" ht="18.75" customHeight="1">
      <c r="A681" s="756"/>
      <c r="B681" s="215"/>
      <c r="C681" s="759"/>
      <c r="D681" s="762"/>
      <c r="E681" s="389"/>
      <c r="F681" s="390"/>
      <c r="G681" s="400"/>
      <c r="H681" s="392"/>
      <c r="I681" s="432">
        <f>база!$J$6</f>
        <v>243.04319999999998</v>
      </c>
      <c r="J681" s="433">
        <v>1.5</v>
      </c>
      <c r="K681" s="434">
        <f>SUMIFS(Таблица14[часы],Таблица14[коэф],"1,5",Таблица14[р/р],"5/8",Таблица14[Ф. И. О.],B682)</f>
        <v>0</v>
      </c>
      <c r="L681" s="434">
        <f>SUMIFS(Таблица14[Столбец2],Таблица14[коэф],"1,5",Таблица14[р/р],"5/8",Таблица14[Ф. И. О.],B682)</f>
        <v>0</v>
      </c>
      <c r="M681" s="434"/>
      <c r="N681" s="434"/>
      <c r="O681" s="434"/>
      <c r="P681" s="406"/>
      <c r="Q681" s="389">
        <f>база!$L$5</f>
        <v>231.45480000000001</v>
      </c>
      <c r="R681" s="390">
        <v>1.2</v>
      </c>
      <c r="S681" s="400">
        <f>SUMIFS(Таблица14[часы],Таблица14[коэф],"1,2",Таблица14[р/р],"4/16",Таблица14[Ф. И. О.],B682)</f>
        <v>0</v>
      </c>
      <c r="T681" s="392">
        <f>SUMIFS(Таблица14[Столбец2],Таблица14[коэф],"1,2",Таблица14[р/р],"4/16",Таблица14[Ф. И. О.],B682)</f>
        <v>0</v>
      </c>
      <c r="U681" s="478">
        <f>база!$M$5</f>
        <v>247.41720000000001</v>
      </c>
      <c r="V681" s="390">
        <v>1.2</v>
      </c>
      <c r="W681" s="412">
        <f>SUMIFS(Таблица14[часы],Таблица14[коэф],"1,2",Таблица14[р/р],"4/24",Таблица14[Ф. И. О.],B682)</f>
        <v>0</v>
      </c>
      <c r="X681" s="545">
        <f>SUMIFS(Таблица14[Столбец2],Таблица14[коэф],"1,2",Таблица14[р/р],"4/24",Таблица14[Ф. И. О.],B682)</f>
        <v>0</v>
      </c>
      <c r="Y681" s="770"/>
      <c r="Z681" s="766"/>
      <c r="AA681" s="756"/>
      <c r="AC681" s="752" t="str">
        <f>IF(SUMIFS(Таблица14[Столбец2],Таблица14[Ф. И. О.],B682)-Z677=0,"",SUMIFS(Таблица14[Столбец2],Таблица14[Ф. И. О.],B682)-Z677)</f>
        <v/>
      </c>
    </row>
    <row r="682" spans="1:29" ht="18.75" customHeight="1">
      <c r="A682" s="756"/>
      <c r="B682" s="215" t="str">
        <f>база!B63</f>
        <v>Потемкина Елена Анатольевна</v>
      </c>
      <c r="C682" s="759"/>
      <c r="D682" s="762"/>
      <c r="E682" s="389"/>
      <c r="F682" s="390"/>
      <c r="G682" s="400"/>
      <c r="H682" s="392"/>
      <c r="I682" s="432"/>
      <c r="J682" s="433"/>
      <c r="K682" s="434"/>
      <c r="L682" s="434"/>
      <c r="M682" s="434"/>
      <c r="N682" s="434"/>
      <c r="O682" s="434"/>
      <c r="P682" s="406"/>
      <c r="Q682" s="389">
        <f>база!$L$6</f>
        <v>261.04640000000001</v>
      </c>
      <c r="R682" s="390">
        <v>1.2</v>
      </c>
      <c r="S682" s="400">
        <f>SUMIFS(Таблица14[часы],Таблица14[коэф],"1,2",Таблица14[р/р],"5/16",Таблица14[Ф. И. О.],B682)</f>
        <v>0</v>
      </c>
      <c r="T682" s="392">
        <f>SUMIFS(Таблица14[Столбец2],Таблица14[коэф],"1,2",Таблица14[р/р],"5/16",Таблица14[Ф. И. О.],B682)</f>
        <v>0</v>
      </c>
      <c r="U682" s="478">
        <f>база!$M$6</f>
        <v>279.0496</v>
      </c>
      <c r="V682" s="390">
        <v>1.2</v>
      </c>
      <c r="W682" s="412">
        <f>SUMIFS(Таблица14[часы],Таблица14[коэф],"1,2",Таблица14[р/р],"5/24",Таблица14[Ф. И. О.],B682)</f>
        <v>0</v>
      </c>
      <c r="X682" s="545">
        <f>SUMIFS(Таблица14[Столбец2],Таблица14[коэф],"1,2",Таблица14[р/р],"5/24",Таблица14[Ф. И. О.],B682)</f>
        <v>0</v>
      </c>
      <c r="Y682" s="770"/>
      <c r="Z682" s="766"/>
      <c r="AA682" s="756"/>
      <c r="AC682" s="752" t="str">
        <f>IF(SUMIFS(Таблица14[часы],Таблица14[Ф. И. О.],B682)-Y677=0,"",SUMIFS(Таблица14[часы],Таблица14[Ф. И. О.],B682)-Y677)</f>
        <v/>
      </c>
    </row>
    <row r="683" spans="1:29" ht="18.75" customHeight="1">
      <c r="A683" s="756"/>
      <c r="B683" s="215"/>
      <c r="C683" s="759"/>
      <c r="D683" s="762"/>
      <c r="E683" s="389"/>
      <c r="F683" s="390"/>
      <c r="G683" s="400"/>
      <c r="H683" s="392"/>
      <c r="I683" s="432"/>
      <c r="J683" s="433"/>
      <c r="K683" s="434"/>
      <c r="L683" s="434"/>
      <c r="M683" s="434"/>
      <c r="N683" s="434"/>
      <c r="O683" s="434"/>
      <c r="P683" s="406"/>
      <c r="Q683" s="389">
        <f>IF($D$6&lt;=3,база!$L$4,
IF($D$6=4,база!$L$5,
IF($D$6=5,база!$L$6)))</f>
        <v>231.45480000000001</v>
      </c>
      <c r="R683" s="390">
        <v>1.3</v>
      </c>
      <c r="S683" s="400">
        <f>SUMIFS(Таблица14[часы],Таблица14[коэф],"1,3",Таблица14[р/р],"3/16",Таблица14[Ф. И. О.],B682)</f>
        <v>0</v>
      </c>
      <c r="T683" s="392">
        <f>SUMIFS(Таблица14[Столбец2],Таблица14[коэф],"1,3",Таблица14[р/р],"3/16",Таблица14[Ф. И. О.],B682)</f>
        <v>0</v>
      </c>
      <c r="U683" s="478">
        <f>IF(D677&lt;=3,база!$M$4,
IF(D677=4,база!$M$5,
IF(D677=5,база!$M$6)))</f>
        <v>225.09719999999999</v>
      </c>
      <c r="V683" s="390">
        <v>1.3</v>
      </c>
      <c r="W683" s="412">
        <f>SUMIFS(Таблица14[часы],Таблица14[коэф],"1,3",Таблица14[р/р],"3/24",Таблица14[Ф. И. О.],B682)</f>
        <v>0</v>
      </c>
      <c r="X683" s="545">
        <f>SUMIFS(Таблица14[Столбец2],Таблица14[коэф],"1,3",Таблица14[р/р],"3/24",Таблица14[Ф. И. О.],B682)</f>
        <v>0</v>
      </c>
      <c r="Y683" s="770"/>
      <c r="Z683" s="766"/>
      <c r="AA683" s="756"/>
    </row>
    <row r="684" spans="1:29" ht="18.75" customHeight="1">
      <c r="A684" s="756"/>
      <c r="B684" s="215"/>
      <c r="C684" s="759"/>
      <c r="D684" s="762"/>
      <c r="E684" s="389"/>
      <c r="F684" s="390"/>
      <c r="G684" s="400"/>
      <c r="H684" s="392"/>
      <c r="I684" s="432"/>
      <c r="J684" s="433"/>
      <c r="K684" s="434"/>
      <c r="L684" s="434"/>
      <c r="M684" s="434"/>
      <c r="N684" s="434"/>
      <c r="O684" s="434"/>
      <c r="P684" s="406"/>
      <c r="Q684" s="389">
        <f>база!$L$5</f>
        <v>231.45480000000001</v>
      </c>
      <c r="R684" s="390">
        <v>1.3</v>
      </c>
      <c r="S684" s="400">
        <f>SUMIFS(Таблица14[часы],Таблица14[коэф],"1,3",Таблица14[р/р],"4/16",Таблица14[Ф. И. О.],B682)</f>
        <v>0</v>
      </c>
      <c r="T684" s="392">
        <f>SUMIFS(Таблица14[Столбец2],Таблица14[коэф],"1,3",Таблица14[р/р],"4/16",Таблица14[Ф. И. О.],B682)</f>
        <v>0</v>
      </c>
      <c r="U684" s="478">
        <f>база!$M$5</f>
        <v>247.41720000000001</v>
      </c>
      <c r="V684" s="390">
        <v>1.3</v>
      </c>
      <c r="W684" s="412">
        <f>SUMIFS(Таблица14[часы],Таблица14[коэф],"1,3",Таблица14[р/р],"4/24",Таблица14[Ф. И. О.],B682)</f>
        <v>0</v>
      </c>
      <c r="X684" s="545">
        <f>SUMIFS(Таблица14[Столбец2],Таблица14[коэф],"1,3",Таблица14[р/р],"4/24",Таблица14[Ф. И. О.],B682)</f>
        <v>0</v>
      </c>
      <c r="Y684" s="770"/>
      <c r="Z684" s="766"/>
      <c r="AA684" s="756"/>
    </row>
    <row r="685" spans="1:29" ht="18.75" customHeight="1">
      <c r="A685" s="756"/>
      <c r="B685" s="215"/>
      <c r="C685" s="759"/>
      <c r="D685" s="762"/>
      <c r="E685" s="389"/>
      <c r="F685" s="390"/>
      <c r="G685" s="400"/>
      <c r="H685" s="392"/>
      <c r="I685" s="432"/>
      <c r="J685" s="433"/>
      <c r="K685" s="434"/>
      <c r="L685" s="434"/>
      <c r="M685" s="434"/>
      <c r="N685" s="434"/>
      <c r="O685" s="434"/>
      <c r="P685" s="406"/>
      <c r="Q685" s="389">
        <f>IF(D677&lt;=3,база!$L$4,
IF(D677=4,база!$L$5,
IF(D677=5,база!$L$6)))</f>
        <v>210.57480000000001</v>
      </c>
      <c r="R685" s="390">
        <v>1.4</v>
      </c>
      <c r="S685" s="400">
        <f>SUMIFS(Таблица14[часы],Таблица14[коэф],"1,4",Таблица14[р/р],"3/16",Таблица14[Ф. И. О.],B682)</f>
        <v>0</v>
      </c>
      <c r="T685" s="392">
        <f>SUMIFS(Таблица14[Столбец2],Таблица14[коэф],"1,4",Таблица14[р/р],"3/16",Таблица14[Ф. И. О.],B682)</f>
        <v>0</v>
      </c>
      <c r="U685" s="478">
        <f>IF(D677&lt;=3,база!$M$4,
IF(D677=4,база!$M$5,
IF(D677=5,база!$M$6)))</f>
        <v>225.09719999999999</v>
      </c>
      <c r="V685" s="390">
        <v>1.4</v>
      </c>
      <c r="W685" s="412">
        <f>SUMIFS(Таблица14[часы],Таблица14[коэф],"1,4",Таблица14[р/р],"3/24",Таблица14[Ф. И. О.],B682)</f>
        <v>0</v>
      </c>
      <c r="X685" s="545">
        <f>SUMIFS(Таблица14[Столбец2],Таблица14[коэф],"1,4",Таблица14[р/р],"3/24",Таблица14[Ф. И. О.],B682)</f>
        <v>0</v>
      </c>
      <c r="Y685" s="770"/>
      <c r="Z685" s="766"/>
      <c r="AA685" s="756"/>
    </row>
    <row r="686" spans="1:29" ht="18.75" customHeight="1">
      <c r="A686" s="756"/>
      <c r="B686" s="215"/>
      <c r="C686" s="759"/>
      <c r="D686" s="762"/>
      <c r="E686" s="389"/>
      <c r="F686" s="390"/>
      <c r="G686" s="400"/>
      <c r="H686" s="392"/>
      <c r="I686" s="432"/>
      <c r="J686" s="433"/>
      <c r="K686" s="434"/>
      <c r="L686" s="434"/>
      <c r="M686" s="434"/>
      <c r="N686" s="434"/>
      <c r="O686" s="434"/>
      <c r="P686" s="406"/>
      <c r="Q686" s="389">
        <f>база!$L$5</f>
        <v>231.45480000000001</v>
      </c>
      <c r="R686" s="390">
        <v>1.4</v>
      </c>
      <c r="S686" s="400">
        <f>SUMIFS(Таблица14[часы],Таблица14[коэф],"1,4",Таблица14[р/р],"4/16",Таблица14[Ф. И. О.],B682)</f>
        <v>0</v>
      </c>
      <c r="T686" s="392">
        <f>SUMIFS(Таблица14[Столбец2],Таблица14[коэф],"1,4",Таблица14[р/р],"4/16",Таблица14[Ф. И. О.],B682)</f>
        <v>0</v>
      </c>
      <c r="U686" s="478">
        <f>база!$M$5</f>
        <v>247.41720000000001</v>
      </c>
      <c r="V686" s="390">
        <v>1.4</v>
      </c>
      <c r="W686" s="412">
        <f>SUMIFS(Таблица14[часы],Таблица14[коэф],"1,4",Таблица14[р/р],"4/24",Таблица14[Ф. И. О.],B682)</f>
        <v>0</v>
      </c>
      <c r="X686" s="545">
        <f>SUMIFS(Таблица14[Столбец2],Таблица14[коэф],"1,4",Таблица14[р/р],"4/24",Таблица14[Ф. И. О.],B682)</f>
        <v>0</v>
      </c>
      <c r="Y686" s="770"/>
      <c r="Z686" s="766"/>
      <c r="AA686" s="756"/>
    </row>
    <row r="687" spans="1:29" ht="19.5" customHeight="1" thickBot="1">
      <c r="A687" s="757"/>
      <c r="B687" s="352"/>
      <c r="C687" s="760"/>
      <c r="D687" s="763"/>
      <c r="E687" s="437"/>
      <c r="F687" s="438"/>
      <c r="G687" s="682"/>
      <c r="H687" s="440"/>
      <c r="I687" s="413"/>
      <c r="J687" s="602"/>
      <c r="K687" s="414"/>
      <c r="L687" s="460"/>
      <c r="M687" s="413"/>
      <c r="N687" s="414"/>
      <c r="O687" s="414"/>
      <c r="P687" s="415"/>
      <c r="Q687" s="677">
        <f>база!$L$6</f>
        <v>261.04640000000001</v>
      </c>
      <c r="R687" s="438">
        <v>1.4</v>
      </c>
      <c r="S687" s="439">
        <f>SUMIFS(Таблица14[часы],Таблица14[коэф],"1,4",Таблица14[р/р],"5/16",Таблица14[Ф. И. О.],B682)</f>
        <v>0</v>
      </c>
      <c r="T687" s="440">
        <f>SUMIFS(Таблица14[Столбец2],Таблица14[коэф],"1,4",Таблица14[р/р],"5/16",Таблица14[Ф. И. О.],B682)</f>
        <v>0</v>
      </c>
      <c r="U687" s="515">
        <f>база!$M$6</f>
        <v>279.0496</v>
      </c>
      <c r="V687" s="403">
        <v>1.4</v>
      </c>
      <c r="W687" s="439">
        <f>SUMIFS(Таблица14[часы],Таблица14[коэф],"1,4",Таблица14[р/р],"5/24",Таблица14[Ф. И. О.],B682)</f>
        <v>0</v>
      </c>
      <c r="X687" s="440">
        <f>SUMIFS(Таблица14[Столбец2],Таблица14[коэф],"1,4",Таблица14[р/р],"5/24",Таблица14[Ф. И. О.],B682)</f>
        <v>0</v>
      </c>
      <c r="Y687" s="771"/>
      <c r="Z687" s="767"/>
      <c r="AA687" s="757"/>
    </row>
    <row r="688" spans="1:29" ht="18.75" customHeight="1">
      <c r="A688" s="756">
        <v>63</v>
      </c>
      <c r="B688" s="215"/>
      <c r="C688" s="758">
        <f>INDEX(база!$E$2:$E$150, MATCH(B693,база!$B$2:$B$150,0))</f>
        <v>15237</v>
      </c>
      <c r="D688" s="761">
        <f>INDEX(база!$D$2:$D$150, MATCH(B693,база!$B$2:$B$150,0))</f>
        <v>3</v>
      </c>
      <c r="E688" s="377">
        <f>IF(D688&lt;=3,база!$I$4,
IF(D688=4,база!$I$5,
IF(D688=5,база!$I$6)))</f>
        <v>188.7912</v>
      </c>
      <c r="F688" s="378">
        <v>1</v>
      </c>
      <c r="G688" s="387">
        <f>SUMIFS(Таблица14[часы],Таблица14[коэф],"1",Таблица14[р/р],"2/4",Таблица14[Ф. И. О.],B693)</f>
        <v>0</v>
      </c>
      <c r="H688" s="380">
        <f>SUMIFS(Таблица14[Столбец2],Таблица14[коэф],"1",Таблица14[р/р],"2/4",Таблица14[Ф. И. О.],B693)</f>
        <v>0</v>
      </c>
      <c r="I688" s="426">
        <f>IF(D688&lt;=3,база!$J$4,
IF(D688=4,база!$J$5,
IF(D688=5,база!$J$6)))</f>
        <v>196.05240000000001</v>
      </c>
      <c r="J688" s="427">
        <v>1</v>
      </c>
      <c r="K688" s="428">
        <f>SUMIFS(Таблица14[часы],Таблица14[коэф],"1",Таблица14[р/р],"2/8",Таблица14[Ф. И. О.],B693)</f>
        <v>0</v>
      </c>
      <c r="L688" s="428">
        <f>SUMIFS(Таблица14[Столбец2],Таблица14[коэф],"1",Таблица14[р/р],"2/8",Таблица14[Ф. И. О.],B693)</f>
        <v>0</v>
      </c>
      <c r="M688" s="428"/>
      <c r="N688" s="428">
        <v>1</v>
      </c>
      <c r="O688" s="428">
        <f>SUMIFS(Data_Tech!$AM$3:$AM$67,Data_Tech!$E$3:$E$67,"1",Data_Tech!$G$3:$G$67,"3/12",Data_Tech!$F$3:$F$67,B693)</f>
        <v>0</v>
      </c>
      <c r="P688" s="385">
        <f>ROUND(M688*N688*O688,2)</f>
        <v>0</v>
      </c>
      <c r="Q688" s="377">
        <f>IF(D688&lt;=3,база!$L$4,
IF(D688=4,база!$L$5,
IF(D688=5,база!$L$6)))</f>
        <v>210.57480000000001</v>
      </c>
      <c r="R688" s="378">
        <v>1</v>
      </c>
      <c r="S688" s="387">
        <f>SUMIFS(Таблица14[часы],Таблица14[коэф],"1",Таблица14[р/р],"3/16",Таблица14[Ф. И. О.],B693)</f>
        <v>0</v>
      </c>
      <c r="T688" s="380">
        <f>SUMIFS(Таблица14[Столбец2],Таблица14[коэф],"1",Таблица14[р/р],"3/16",Таблица14[Ф. И. О.],B693)</f>
        <v>0</v>
      </c>
      <c r="U688" s="477">
        <f>IF(D688&lt;=3,база!$M$4,
IF(D688=4,база!$M$5,
IF(D688=5,база!$M$6)))</f>
        <v>225.09719999999999</v>
      </c>
      <c r="V688" s="378">
        <v>1</v>
      </c>
      <c r="W688" s="430">
        <f>SUMIFS(Таблица14[часы],Таблица14[коэф],"1",Таблица14[р/р],"3/24",Таблица14[Ф. И. О.],B693)</f>
        <v>0</v>
      </c>
      <c r="X688" s="543">
        <f>SUMIFS(Таблица14[Столбец2],Таблица14[коэф],"1",Таблица14[р/р],"3/24",Таблица14[Ф. И. О.],B693)</f>
        <v>0</v>
      </c>
      <c r="Y688" s="770">
        <f t="shared" ref="Y688" si="262">SUM(G688:G698,K688:K698,O688:O698,S688:S698,W688:W698)</f>
        <v>0</v>
      </c>
      <c r="Z688" s="766">
        <f t="shared" ref="Z688" si="263">IFERROR(SUM(H688:H698,L688:L698,T688:T698,X688:X698),"")</f>
        <v>0</v>
      </c>
      <c r="AA688" s="756"/>
    </row>
    <row r="689" spans="1:29" ht="18.75" customHeight="1">
      <c r="A689" s="756"/>
      <c r="B689" s="215"/>
      <c r="C689" s="759"/>
      <c r="D689" s="762"/>
      <c r="E689" s="389">
        <f>IF(D688&lt;=3,база!$I$4,
IF(D688=4,база!$I$5,
IF(D688=5,база!$I$6)))</f>
        <v>188.7912</v>
      </c>
      <c r="F689" s="390">
        <v>1</v>
      </c>
      <c r="G689" s="400">
        <f>SUMIFS(Таблица14[часы],Таблица14[коэф],"1",Таблица14[р/р],"3/4",Таблица14[Ф. И. О.],B693)</f>
        <v>0</v>
      </c>
      <c r="H689" s="392">
        <f>SUMIFS(Таблица14[Столбец2],Таблица14[коэф],"1",Таблица14[р/р],"3/4",Таблица14[Ф. И. О.],B693)</f>
        <v>0</v>
      </c>
      <c r="I689" s="432">
        <f>IF(D688&lt;=3,база!$J$4,
IF(D688=4,база!$J$5,
IF(D688=5,база!$J$6)))</f>
        <v>196.05240000000001</v>
      </c>
      <c r="J689" s="433">
        <v>1</v>
      </c>
      <c r="K689" s="434">
        <f>SUMIFS(Таблица14[часы],Таблица14[коэф],"1",Таблица14[р/р],"3/8",Таблица14[Ф. И. О.],B693)</f>
        <v>0</v>
      </c>
      <c r="L689" s="434">
        <f>SUMIFS(Таблица14[Столбец2],Таблица14[коэф],"1",Таблица14[р/р],"3/8",Таблица14[Ф. И. О.],B693)</f>
        <v>0</v>
      </c>
      <c r="M689" s="434"/>
      <c r="N689" s="434">
        <v>1</v>
      </c>
      <c r="O689" s="434">
        <f>SUMIFS(Data_Tech!$AM$3:$AM$67,Data_Tech!$E$3:$E$67,"1",Data_Tech!$G$3:$G$67,"4/12",Data_Tech!$F$3:$F$67,B693)</f>
        <v>0</v>
      </c>
      <c r="P689" s="406">
        <f>ROUND(M689*O689,2)</f>
        <v>0</v>
      </c>
      <c r="Q689" s="389">
        <f>база!$L$5</f>
        <v>231.45480000000001</v>
      </c>
      <c r="R689" s="390">
        <v>1</v>
      </c>
      <c r="S689" s="400">
        <f>SUMIFS(Таблица14[часы],Таблица14[коэф],"1",Таблица14[р/р],"4/16",Таблица14[Ф. И. О.],B693)</f>
        <v>0</v>
      </c>
      <c r="T689" s="392">
        <f>SUMIFS(Таблица14[Столбец2],Таблица14[коэф],"1",Таблица14[р/р],"4/16",Таблица14[Ф. И. О.],B693)</f>
        <v>0</v>
      </c>
      <c r="U689" s="478">
        <f>база!$M$5</f>
        <v>247.41720000000001</v>
      </c>
      <c r="V689" s="390">
        <v>1</v>
      </c>
      <c r="W689" s="412">
        <f>SUMIFS(Таблица14[часы],Таблица14[коэф],"1",Таблица14[р/р],"4/24",Таблица14[Ф. И. О.],B693)</f>
        <v>0</v>
      </c>
      <c r="X689" s="545">
        <f>SUMIFS(Таблица14[Столбец2],Таблица14[коэф],"1",Таблица14[р/р],"4/24",Таблица14[Ф. И. О.],B693)</f>
        <v>0</v>
      </c>
      <c r="Y689" s="770"/>
      <c r="Z689" s="766"/>
      <c r="AA689" s="756"/>
    </row>
    <row r="690" spans="1:29" ht="18.75" customHeight="1">
      <c r="A690" s="756"/>
      <c r="B690" s="215"/>
      <c r="C690" s="759"/>
      <c r="D690" s="762"/>
      <c r="E690" s="389"/>
      <c r="F690" s="390"/>
      <c r="G690" s="400"/>
      <c r="H690" s="392"/>
      <c r="I690" s="432"/>
      <c r="J690" s="433"/>
      <c r="K690" s="434"/>
      <c r="L690" s="434"/>
      <c r="M690" s="434"/>
      <c r="N690" s="434"/>
      <c r="O690" s="434"/>
      <c r="P690" s="406"/>
      <c r="Q690" s="389">
        <f>база!$L$6</f>
        <v>261.04640000000001</v>
      </c>
      <c r="R690" s="390">
        <v>1</v>
      </c>
      <c r="S690" s="400">
        <f>SUMIFS(Таблица14[часы],Таблица14[коэф],"1",Таблица14[р/р],"5/16",Таблица14[Ф. И. О.],B693)</f>
        <v>0</v>
      </c>
      <c r="T690" s="392">
        <f>SUMIFS(Таблица14[Столбец2],Таблица14[коэф],"1",Таблица14[р/р],"5/16",Таблица14[Ф. И. О.],B693)</f>
        <v>0</v>
      </c>
      <c r="U690" s="478">
        <f>база!$M$6</f>
        <v>279.0496</v>
      </c>
      <c r="V690" s="390">
        <v>1</v>
      </c>
      <c r="W690" s="412">
        <f>SUMIFS(Таблица14[часы],Таблица14[коэф],"1",Таблица14[р/р],"5/24",Таблица14[Ф. И. О.],B693)</f>
        <v>0</v>
      </c>
      <c r="X690" s="545">
        <f>SUMIFS(Таблица14[Столбец2],Таблица14[коэф],"1",Таблица14[р/р],"5/24",Таблица14[Ф. И. О.],B693)</f>
        <v>0</v>
      </c>
      <c r="Y690" s="770"/>
      <c r="Z690" s="766"/>
      <c r="AA690" s="756"/>
    </row>
    <row r="691" spans="1:29" ht="18.75" customHeight="1">
      <c r="A691" s="756"/>
      <c r="B691" s="215"/>
      <c r="C691" s="759"/>
      <c r="D691" s="762"/>
      <c r="E691" s="389"/>
      <c r="F691" s="390"/>
      <c r="G691" s="400"/>
      <c r="H691" s="392"/>
      <c r="I691" s="432">
        <f>база!$J$5</f>
        <v>215.4924</v>
      </c>
      <c r="J691" s="433">
        <v>1.5</v>
      </c>
      <c r="K691" s="434">
        <f>SUMIFS(Таблица14[часы],Таблица14[коэф],"1,5",Таблица14[р/р],"4/8",Таблица14[Ф. И. О.],B693)</f>
        <v>0</v>
      </c>
      <c r="L691" s="434">
        <f>SUMIFS(Таблица14[Столбец2],Таблица14[коэф],"1,5",Таблица14[р/р],"4/8",Таблица14[Ф. И. О.],B693)</f>
        <v>0</v>
      </c>
      <c r="M691" s="434"/>
      <c r="N691" s="434"/>
      <c r="O691" s="434"/>
      <c r="P691" s="406"/>
      <c r="Q691" s="389">
        <f>IF(D688&lt;=3,база!$L$4,
IF(D688=4,база!$L$5,
IF(D688=5,база!$L$6)))</f>
        <v>210.57480000000001</v>
      </c>
      <c r="R691" s="390">
        <v>1.2</v>
      </c>
      <c r="S691" s="400">
        <f>SUMIFS(Таблица14[часы],Таблица14[коэф],"1,2",Таблица14[р/р],"3/16",Таблица14[Ф. И. О.],B693)</f>
        <v>0</v>
      </c>
      <c r="T691" s="392">
        <f>SUMIFS(Таблица14[Столбец2],Таблица14[коэф],"1,2",Таблица14[р/р],"3/16",Таблица14[Ф. И. О.],B693)</f>
        <v>0</v>
      </c>
      <c r="U691" s="478">
        <f>IF(D688&lt;=3,база!$M$4,
IF(D688=4,база!$M$5,
IF(D688=5,база!$M$6)))</f>
        <v>225.09719999999999</v>
      </c>
      <c r="V691" s="390">
        <v>1.2</v>
      </c>
      <c r="W691" s="412">
        <f>SUMIFS(Таблица14[часы],Таблица14[коэф],"1,2",Таблица14[р/р],"3/24",Таблица14[Ф. И. О.],B693)</f>
        <v>0</v>
      </c>
      <c r="X691" s="545">
        <f>SUMIFS(Таблица14[Столбец2],Таблица14[коэф],"1,2",Таблица14[р/р],"3/24",Таблица14[Ф. И. О.],B693)</f>
        <v>0</v>
      </c>
      <c r="Y691" s="770"/>
      <c r="Z691" s="766"/>
      <c r="AA691" s="756"/>
    </row>
    <row r="692" spans="1:29" ht="18.75" customHeight="1">
      <c r="A692" s="756"/>
      <c r="B692" s="215"/>
      <c r="C692" s="759"/>
      <c r="D692" s="762"/>
      <c r="E692" s="389"/>
      <c r="F692" s="390"/>
      <c r="G692" s="400"/>
      <c r="H692" s="392"/>
      <c r="I692" s="432">
        <f>база!$J$6</f>
        <v>243.04319999999998</v>
      </c>
      <c r="J692" s="433">
        <v>1.5</v>
      </c>
      <c r="K692" s="434">
        <f>SUMIFS(Таблица14[часы],Таблица14[коэф],"1,5",Таблица14[р/р],"5/8",Таблица14[Ф. И. О.],B693)</f>
        <v>0</v>
      </c>
      <c r="L692" s="434">
        <f>SUMIFS(Таблица14[Столбец2],Таблица14[коэф],"1,5",Таблица14[р/р],"5/8",Таблица14[Ф. И. О.],B693)</f>
        <v>0</v>
      </c>
      <c r="M692" s="434"/>
      <c r="N692" s="434"/>
      <c r="O692" s="434"/>
      <c r="P692" s="406"/>
      <c r="Q692" s="389">
        <f>база!$L$5</f>
        <v>231.45480000000001</v>
      </c>
      <c r="R692" s="390">
        <v>1.2</v>
      </c>
      <c r="S692" s="400">
        <f>SUMIFS(Таблица14[часы],Таблица14[коэф],"1,2",Таблица14[р/р],"4/16",Таблица14[Ф. И. О.],B693)</f>
        <v>0</v>
      </c>
      <c r="T692" s="392">
        <f>SUMIFS(Таблица14[Столбец2],Таблица14[коэф],"1,2",Таблица14[р/р],"4/16",Таблица14[Ф. И. О.],B693)</f>
        <v>0</v>
      </c>
      <c r="U692" s="478">
        <f>база!$M$5</f>
        <v>247.41720000000001</v>
      </c>
      <c r="V692" s="390">
        <v>1.2</v>
      </c>
      <c r="W692" s="412">
        <f>SUMIFS(Таблица14[часы],Таблица14[коэф],"1,2",Таблица14[р/р],"4/24",Таблица14[Ф. И. О.],B693)</f>
        <v>0</v>
      </c>
      <c r="X692" s="545">
        <f>SUMIFS(Таблица14[Столбец2],Таблица14[коэф],"1,2",Таблица14[р/р],"4/24",Таблица14[Ф. И. О.],B693)</f>
        <v>0</v>
      </c>
      <c r="Y692" s="770"/>
      <c r="Z692" s="766"/>
      <c r="AA692" s="756"/>
    </row>
    <row r="693" spans="1:29" ht="18.75" customHeight="1">
      <c r="A693" s="756"/>
      <c r="B693" s="215" t="str">
        <f>база!B64</f>
        <v>Пригоженкова Ольга Сергеевна</v>
      </c>
      <c r="C693" s="759"/>
      <c r="D693" s="762"/>
      <c r="E693" s="389"/>
      <c r="F693" s="390"/>
      <c r="G693" s="400"/>
      <c r="H693" s="392"/>
      <c r="I693" s="432"/>
      <c r="J693" s="433"/>
      <c r="K693" s="434"/>
      <c r="L693" s="434"/>
      <c r="M693" s="434"/>
      <c r="N693" s="434"/>
      <c r="O693" s="434"/>
      <c r="P693" s="406"/>
      <c r="Q693" s="389">
        <f>база!$L$6</f>
        <v>261.04640000000001</v>
      </c>
      <c r="R693" s="390">
        <v>1.2</v>
      </c>
      <c r="S693" s="400">
        <f>SUMIFS(Таблица14[часы],Таблица14[коэф],"1,2",Таблица14[р/р],"5/16",Таблица14[Ф. И. О.],B693)</f>
        <v>0</v>
      </c>
      <c r="T693" s="392">
        <f>SUMIFS(Таблица14[Столбец2],Таблица14[коэф],"1,2",Таблица14[р/р],"5/16",Таблица14[Ф. И. О.],B693)</f>
        <v>0</v>
      </c>
      <c r="U693" s="478">
        <f>база!$M$6</f>
        <v>279.0496</v>
      </c>
      <c r="V693" s="390">
        <v>1.2</v>
      </c>
      <c r="W693" s="412">
        <f>SUMIFS(Таблица14[часы],Таблица14[коэф],"1,2",Таблица14[р/р],"5/24",Таблица14[Ф. И. О.],B693)</f>
        <v>0</v>
      </c>
      <c r="X693" s="545">
        <f>SUMIFS(Таблица14[Столбец2],Таблица14[коэф],"1,2",Таблица14[р/р],"5/24",Таблица14[Ф. И. О.],B693)</f>
        <v>0</v>
      </c>
      <c r="Y693" s="770"/>
      <c r="Z693" s="766"/>
      <c r="AA693" s="756"/>
      <c r="AC693" s="752" t="str">
        <f>IF(SUMIFS(Таблица14[Столбец2],Таблица14[Ф. И. О.],B693)-Z688=0,"",SUMIFS(Таблица14[Столбец2],Таблица14[Ф. И. О.],B693)-Z688)</f>
        <v/>
      </c>
    </row>
    <row r="694" spans="1:29" ht="18.75" customHeight="1">
      <c r="A694" s="756"/>
      <c r="B694" s="215"/>
      <c r="C694" s="759"/>
      <c r="D694" s="762"/>
      <c r="E694" s="389"/>
      <c r="F694" s="390"/>
      <c r="G694" s="400"/>
      <c r="H694" s="392"/>
      <c r="I694" s="432"/>
      <c r="J694" s="433"/>
      <c r="K694" s="434"/>
      <c r="L694" s="434"/>
      <c r="M694" s="434"/>
      <c r="N694" s="434"/>
      <c r="O694" s="434"/>
      <c r="P694" s="406"/>
      <c r="Q694" s="389">
        <f>IF($D$6&lt;=3,база!$L$4,
IF($D$6=4,база!$L$5,
IF($D$6=5,база!$L$6)))</f>
        <v>231.45480000000001</v>
      </c>
      <c r="R694" s="390">
        <v>1.3</v>
      </c>
      <c r="S694" s="400">
        <f>SUMIFS(Таблица14[часы],Таблица14[коэф],"1,3",Таблица14[р/р],"3/16",Таблица14[Ф. И. О.],B693)</f>
        <v>0</v>
      </c>
      <c r="T694" s="392">
        <f>SUMIFS(Таблица14[Столбец2],Таблица14[коэф],"1,3",Таблица14[р/р],"3/16",Таблица14[Ф. И. О.],B693)</f>
        <v>0</v>
      </c>
      <c r="U694" s="478">
        <f>IF(D688&lt;=3,база!$M$4,
IF(D688=4,база!$M$5,
IF(D688=5,база!$M$6)))</f>
        <v>225.09719999999999</v>
      </c>
      <c r="V694" s="390">
        <v>1.3</v>
      </c>
      <c r="W694" s="412">
        <f>SUMIFS(Таблица14[часы],Таблица14[коэф],"1,3",Таблица14[р/р],"3/24",Таблица14[Ф. И. О.],B693)</f>
        <v>0</v>
      </c>
      <c r="X694" s="545">
        <f>SUMIFS(Таблица14[Столбец2],Таблица14[коэф],"1,3",Таблица14[р/р],"3/24",Таблица14[Ф. И. О.],B693)</f>
        <v>0</v>
      </c>
      <c r="Y694" s="770"/>
      <c r="Z694" s="766"/>
      <c r="AA694" s="756"/>
      <c r="AC694" s="752" t="str">
        <f>IF(SUMIFS(Таблица14[часы],Таблица14[Ф. И. О.],B693)-Y688=0,"",SUMIFS(Таблица14[часы],Таблица14[Ф. И. О.],B693)-Y688)</f>
        <v/>
      </c>
    </row>
    <row r="695" spans="1:29" ht="18.75" customHeight="1">
      <c r="A695" s="756"/>
      <c r="B695" s="215"/>
      <c r="C695" s="759"/>
      <c r="D695" s="762"/>
      <c r="E695" s="389"/>
      <c r="F695" s="390"/>
      <c r="G695" s="400"/>
      <c r="H695" s="392"/>
      <c r="I695" s="432"/>
      <c r="J695" s="433"/>
      <c r="K695" s="434"/>
      <c r="L695" s="434"/>
      <c r="M695" s="434"/>
      <c r="N695" s="434"/>
      <c r="O695" s="434"/>
      <c r="P695" s="406"/>
      <c r="Q695" s="389">
        <f>база!$L$5</f>
        <v>231.45480000000001</v>
      </c>
      <c r="R695" s="390">
        <v>1.3</v>
      </c>
      <c r="S695" s="400">
        <f>SUMIFS(Таблица14[часы],Таблица14[коэф],"1,3",Таблица14[р/р],"4/16",Таблица14[Ф. И. О.],B693)</f>
        <v>0</v>
      </c>
      <c r="T695" s="392">
        <f>SUMIFS(Таблица14[Столбец2],Таблица14[коэф],"1,3",Таблица14[р/р],"4/16",Таблица14[Ф. И. О.],B693)</f>
        <v>0</v>
      </c>
      <c r="U695" s="478">
        <f>база!$M$5</f>
        <v>247.41720000000001</v>
      </c>
      <c r="V695" s="390">
        <v>1.3</v>
      </c>
      <c r="W695" s="412">
        <f>SUMIFS(Таблица14[часы],Таблица14[коэф],"1,3",Таблица14[р/р],"4/24",Таблица14[Ф. И. О.],B693)</f>
        <v>0</v>
      </c>
      <c r="X695" s="545">
        <f>SUMIFS(Таблица14[Столбец2],Таблица14[коэф],"1,3",Таблица14[р/р],"4/24",Таблица14[Ф. И. О.],B693)</f>
        <v>0</v>
      </c>
      <c r="Y695" s="770"/>
      <c r="Z695" s="766"/>
      <c r="AA695" s="756"/>
    </row>
    <row r="696" spans="1:29" ht="18.75" customHeight="1">
      <c r="A696" s="756"/>
      <c r="B696" s="215"/>
      <c r="C696" s="759"/>
      <c r="D696" s="762"/>
      <c r="E696" s="389"/>
      <c r="F696" s="390"/>
      <c r="G696" s="400"/>
      <c r="H696" s="392"/>
      <c r="I696" s="432"/>
      <c r="J696" s="433"/>
      <c r="K696" s="434"/>
      <c r="L696" s="434"/>
      <c r="M696" s="434"/>
      <c r="N696" s="434"/>
      <c r="O696" s="434"/>
      <c r="P696" s="406"/>
      <c r="Q696" s="389">
        <f>IF(D688&lt;=3,база!$L$4,
IF(D688=4,база!$L$5,
IF(D688=5,база!$L$6)))</f>
        <v>210.57480000000001</v>
      </c>
      <c r="R696" s="390">
        <v>1.4</v>
      </c>
      <c r="S696" s="400">
        <f>SUMIFS(Таблица14[часы],Таблица14[коэф],"1,4",Таблица14[р/р],"3/16",Таблица14[Ф. И. О.],B693)</f>
        <v>0</v>
      </c>
      <c r="T696" s="392">
        <f>SUMIFS(Таблица14[Столбец2],Таблица14[коэф],"1,4",Таблица14[р/р],"3/16",Таблица14[Ф. И. О.],B693)</f>
        <v>0</v>
      </c>
      <c r="U696" s="478">
        <f>IF(D688&lt;=3,база!$M$4,
IF(D688=4,база!$M$5,
IF(D688=5,база!$M$6)))</f>
        <v>225.09719999999999</v>
      </c>
      <c r="V696" s="390">
        <v>1.4</v>
      </c>
      <c r="W696" s="412">
        <f>SUMIFS(Таблица14[часы],Таблица14[коэф],"1,4",Таблица14[р/р],"3/24",Таблица14[Ф. И. О.],B693)</f>
        <v>0</v>
      </c>
      <c r="X696" s="545">
        <f>SUMIFS(Таблица14[Столбец2],Таблица14[коэф],"1,4",Таблица14[р/р],"3/24",Таблица14[Ф. И. О.],B693)</f>
        <v>0</v>
      </c>
      <c r="Y696" s="770"/>
      <c r="Z696" s="766"/>
      <c r="AA696" s="756"/>
    </row>
    <row r="697" spans="1:29" ht="18.75" customHeight="1">
      <c r="A697" s="756"/>
      <c r="B697" s="215"/>
      <c r="C697" s="759"/>
      <c r="D697" s="762"/>
      <c r="E697" s="389"/>
      <c r="F697" s="390"/>
      <c r="G697" s="400"/>
      <c r="H697" s="392"/>
      <c r="I697" s="432"/>
      <c r="J697" s="433"/>
      <c r="K697" s="434"/>
      <c r="L697" s="434"/>
      <c r="M697" s="434"/>
      <c r="N697" s="434"/>
      <c r="O697" s="434"/>
      <c r="P697" s="406"/>
      <c r="Q697" s="389">
        <f>база!$L$5</f>
        <v>231.45480000000001</v>
      </c>
      <c r="R697" s="390">
        <v>1.4</v>
      </c>
      <c r="S697" s="400">
        <f>SUMIFS(Таблица14[часы],Таблица14[коэф],"1,4",Таблица14[р/р],"4/16",Таблица14[Ф. И. О.],B693)</f>
        <v>0</v>
      </c>
      <c r="T697" s="392">
        <f>SUMIFS(Таблица14[Столбец2],Таблица14[коэф],"1,4",Таблица14[р/р],"4/16",Таблица14[Ф. И. О.],B693)</f>
        <v>0</v>
      </c>
      <c r="U697" s="478">
        <f>база!$M$5</f>
        <v>247.41720000000001</v>
      </c>
      <c r="V697" s="390">
        <v>1.4</v>
      </c>
      <c r="W697" s="412">
        <f>SUMIFS(Таблица14[часы],Таблица14[коэф],"1,4",Таблица14[р/р],"4/24",Таблица14[Ф. И. О.],B693)</f>
        <v>0</v>
      </c>
      <c r="X697" s="545">
        <f>SUMIFS(Таблица14[Столбец2],Таблица14[коэф],"1,4",Таблица14[р/р],"4/24",Таблица14[Ф. И. О.],B693)</f>
        <v>0</v>
      </c>
      <c r="Y697" s="770"/>
      <c r="Z697" s="766"/>
      <c r="AA697" s="756"/>
    </row>
    <row r="698" spans="1:29" ht="19.5" customHeight="1" thickBot="1">
      <c r="A698" s="757"/>
      <c r="B698" s="352"/>
      <c r="C698" s="760"/>
      <c r="D698" s="763"/>
      <c r="E698" s="445"/>
      <c r="F698" s="446"/>
      <c r="G698" s="647"/>
      <c r="H698" s="535"/>
      <c r="I698" s="648"/>
      <c r="J698" s="615"/>
      <c r="K698" s="649"/>
      <c r="L698" s="457"/>
      <c r="M698" s="648"/>
      <c r="N698" s="649"/>
      <c r="O698" s="649"/>
      <c r="P698" s="538"/>
      <c r="Q698" s="650">
        <f>база!$L$6</f>
        <v>261.04640000000001</v>
      </c>
      <c r="R698" s="446">
        <v>1.4</v>
      </c>
      <c r="S698" s="447">
        <f>SUMIFS(Таблица14[часы],Таблица14[коэф],"1,4",Таблица14[р/р],"5/16",Таблица14[Ф. И. О.],B693)</f>
        <v>0</v>
      </c>
      <c r="T698" s="535">
        <f>SUMIFS(Таблица14[Столбец2],Таблица14[коэф],"1,4",Таблица14[р/р],"5/16",Таблица14[Ф. И. О.],B693)</f>
        <v>0</v>
      </c>
      <c r="U698" s="536">
        <f>база!$M$6</f>
        <v>279.0496</v>
      </c>
      <c r="V698" s="464">
        <v>1.4</v>
      </c>
      <c r="W698" s="447">
        <f>SUMIFS(Таблица14[часы],Таблица14[коэф],"1,4",Таблица14[р/р],"5/24",Таблица14[Ф. И. О.],B693)</f>
        <v>0</v>
      </c>
      <c r="X698" s="535">
        <f>SUMIFS(Таблица14[Столбец2],Таблица14[коэф],"1,4",Таблица14[р/р],"5/24",Таблица14[Ф. И. О.],B693)</f>
        <v>0</v>
      </c>
      <c r="Y698" s="771"/>
      <c r="Z698" s="767"/>
      <c r="AA698" s="757"/>
    </row>
    <row r="699" spans="1:29" ht="18.75" customHeight="1">
      <c r="A699" s="756">
        <v>64</v>
      </c>
      <c r="B699" s="215"/>
      <c r="C699" s="758">
        <f>INDEX(база!$E$2:$E$150, MATCH(B704,база!$B$2:$B$150,0))</f>
        <v>17208</v>
      </c>
      <c r="D699" s="761">
        <f>INDEX(база!$D$2:$D$150, MATCH(B704,база!$B$2:$B$150,0))</f>
        <v>3</v>
      </c>
      <c r="E699" s="481">
        <f>IF(D699&lt;=3,база!$I$4,
IF(D699=4,база!$I$5,
IF(D699=5,база!$I$6)))</f>
        <v>188.7912</v>
      </c>
      <c r="F699" s="417">
        <v>1</v>
      </c>
      <c r="G699" s="418">
        <f>SUMIFS(Таблица14[часы],Таблица14[коэф],"1",Таблица14[р/р],"2/4",Таблица14[Ф. И. О.],B704)</f>
        <v>0</v>
      </c>
      <c r="H699" s="402">
        <f>SUMIFS(Таблица14[Столбец2],Таблица14[коэф],"1",Таблица14[р/р],"2/4",Таблица14[Ф. И. О.],B704)</f>
        <v>0</v>
      </c>
      <c r="I699" s="452">
        <f>IF(D699&lt;=3,база!$J$4,
IF(D699=4,база!$J$5,
IF(D699=5,база!$J$6)))</f>
        <v>196.05240000000001</v>
      </c>
      <c r="J699" s="475">
        <v>1</v>
      </c>
      <c r="K699" s="453">
        <f>SUMIFS(Таблица14[часы],Таблица14[коэф],"1",Таблица14[р/р],"2/8",Таблица14[Ф. И. О.],B704)</f>
        <v>0</v>
      </c>
      <c r="L699" s="453">
        <f>SUMIFS(Таблица14[Столбец2],Таблица14[коэф],"1",Таблица14[р/р],"2/8",Таблица14[Ф. И. О.],B704)</f>
        <v>0</v>
      </c>
      <c r="M699" s="453"/>
      <c r="N699" s="453">
        <v>1</v>
      </c>
      <c r="O699" s="453">
        <f>SUMIFS(Data_Tech!$AM$3:$AM$67,Data_Tech!$E$3:$E$67,"1",Data_Tech!$G$3:$G$67,"3/12",Data_Tech!$F$3:$F$67,B704)</f>
        <v>0</v>
      </c>
      <c r="P699" s="398">
        <f>ROUND(M699*N699*O699,2)</f>
        <v>0</v>
      </c>
      <c r="Q699" s="481">
        <f>IF(D699&lt;=3,база!$L$4,
IF(D699=4,база!$L$5,
IF(D699=5,база!$L$6)))</f>
        <v>210.57480000000001</v>
      </c>
      <c r="R699" s="417">
        <v>1</v>
      </c>
      <c r="S699" s="418">
        <f>SUMIFS(Таблица14[часы],Таблица14[коэф],"1",Таблица14[р/р],"3/16",Таблица14[Ф. И. О.],B704)</f>
        <v>0</v>
      </c>
      <c r="T699" s="402">
        <f>SUMIFS(Таблица14[Столбец2],Таблица14[коэф],"1",Таблица14[р/р],"3/16",Таблица14[Ф. И. О.],B704)</f>
        <v>0</v>
      </c>
      <c r="U699" s="483">
        <f>IF(D699&lt;=3,база!$M$4,
IF(D699=4,база!$M$5,
IF(D699=5,база!$M$6)))</f>
        <v>225.09719999999999</v>
      </c>
      <c r="V699" s="417">
        <v>1</v>
      </c>
      <c r="W699" s="455">
        <f>SUMIFS(Таблица14[часы],Таблица14[коэф],"1",Таблица14[р/р],"3/24",Таблица14[Ф. И. О.],B704)</f>
        <v>0</v>
      </c>
      <c r="X699" s="552">
        <f>SUMIFS(Таблица14[Столбец2],Таблица14[коэф],"1",Таблица14[р/р],"3/24",Таблица14[Ф. И. О.],B704)</f>
        <v>0</v>
      </c>
      <c r="Y699" s="770">
        <f t="shared" ref="Y699" si="264">SUM(G699:G709,K699:K709,O699:O709,S699:S709,W699:W709)</f>
        <v>0</v>
      </c>
      <c r="Z699" s="766">
        <f t="shared" ref="Z699" si="265">IFERROR(SUM(H699:H709,L699:L709,T699:T709,X699:X709),"")</f>
        <v>0</v>
      </c>
      <c r="AA699" s="756"/>
    </row>
    <row r="700" spans="1:29" ht="18.75" customHeight="1">
      <c r="A700" s="756"/>
      <c r="B700" s="215"/>
      <c r="C700" s="759"/>
      <c r="D700" s="762"/>
      <c r="E700" s="389">
        <f>IF(D699&lt;=3,база!$I$4,
IF(D699=4,база!$I$5,
IF(D699=5,база!$I$6)))</f>
        <v>188.7912</v>
      </c>
      <c r="F700" s="390">
        <v>1</v>
      </c>
      <c r="G700" s="400">
        <f>SUMIFS(Таблица14[часы],Таблица14[коэф],"1",Таблица14[р/р],"3/4",Таблица14[Ф. И. О.],B704)</f>
        <v>0</v>
      </c>
      <c r="H700" s="392">
        <f>SUMIFS(Таблица14[Столбец2],Таблица14[коэф],"1",Таблица14[р/р],"3/4",Таблица14[Ф. И. О.],B704)</f>
        <v>0</v>
      </c>
      <c r="I700" s="432">
        <f>IF(D699&lt;=3,база!$J$4,
IF(D699=4,база!$J$5,
IF(D699=5,база!$J$6)))</f>
        <v>196.05240000000001</v>
      </c>
      <c r="J700" s="433">
        <v>1</v>
      </c>
      <c r="K700" s="434">
        <f>SUMIFS(Таблица14[часы],Таблица14[коэф],"1",Таблица14[р/р],"3/8",Таблица14[Ф. И. О.],B704)</f>
        <v>0</v>
      </c>
      <c r="L700" s="434">
        <f>SUMIFS(Таблица14[Столбец2],Таблица14[коэф],"1",Таблица14[р/р],"3/8",Таблица14[Ф. И. О.],B704)</f>
        <v>0</v>
      </c>
      <c r="M700" s="434"/>
      <c r="N700" s="434">
        <v>1</v>
      </c>
      <c r="O700" s="434">
        <f>SUMIFS(Data_Tech!$AM$3:$AM$67,Data_Tech!$E$3:$E$67,"1",Data_Tech!$G$3:$G$67,"4/12",Data_Tech!$F$3:$F$67,B704)</f>
        <v>0</v>
      </c>
      <c r="P700" s="406">
        <f>ROUND(M700*O700,2)</f>
        <v>0</v>
      </c>
      <c r="Q700" s="389">
        <f>база!$L$5</f>
        <v>231.45480000000001</v>
      </c>
      <c r="R700" s="390">
        <v>1</v>
      </c>
      <c r="S700" s="400">
        <f>SUMIFS(Таблица14[часы],Таблица14[коэф],"1",Таблица14[р/р],"4/16",Таблица14[Ф. И. О.],B704)</f>
        <v>0</v>
      </c>
      <c r="T700" s="392">
        <f>SUMIFS(Таблица14[Столбец2],Таблица14[коэф],"1",Таблица14[р/р],"4/16",Таблица14[Ф. И. О.],B704)</f>
        <v>0</v>
      </c>
      <c r="U700" s="478">
        <f>база!$M$5</f>
        <v>247.41720000000001</v>
      </c>
      <c r="V700" s="390">
        <v>1</v>
      </c>
      <c r="W700" s="412">
        <f>SUMIFS(Таблица14[часы],Таблица14[коэф],"1",Таблица14[р/р],"4/24",Таблица14[Ф. И. О.],B704)</f>
        <v>0</v>
      </c>
      <c r="X700" s="545">
        <f>SUMIFS(Таблица14[Столбец2],Таблица14[коэф],"1",Таблица14[р/р],"4/24",Таблица14[Ф. И. О.],B704)</f>
        <v>0</v>
      </c>
      <c r="Y700" s="770"/>
      <c r="Z700" s="766"/>
      <c r="AA700" s="756"/>
    </row>
    <row r="701" spans="1:29" ht="18.75" customHeight="1">
      <c r="A701" s="756"/>
      <c r="B701" s="215"/>
      <c r="C701" s="759"/>
      <c r="D701" s="762"/>
      <c r="E701" s="389"/>
      <c r="F701" s="390"/>
      <c r="G701" s="400"/>
      <c r="H701" s="392"/>
      <c r="I701" s="432"/>
      <c r="J701" s="433"/>
      <c r="K701" s="434"/>
      <c r="L701" s="434"/>
      <c r="M701" s="434"/>
      <c r="N701" s="434"/>
      <c r="O701" s="434"/>
      <c r="P701" s="406"/>
      <c r="Q701" s="389">
        <f>база!$L$6</f>
        <v>261.04640000000001</v>
      </c>
      <c r="R701" s="390">
        <v>1</v>
      </c>
      <c r="S701" s="400">
        <f>SUMIFS(Таблица14[часы],Таблица14[коэф],"1",Таблица14[р/р],"5/16",Таблица14[Ф. И. О.],B704)</f>
        <v>0</v>
      </c>
      <c r="T701" s="392">
        <f>SUMIFS(Таблица14[Столбец2],Таблица14[коэф],"1",Таблица14[р/р],"5/16",Таблица14[Ф. И. О.],B704)</f>
        <v>0</v>
      </c>
      <c r="U701" s="478">
        <f>база!$M$6</f>
        <v>279.0496</v>
      </c>
      <c r="V701" s="390">
        <v>1</v>
      </c>
      <c r="W701" s="412">
        <f>SUMIFS(Таблица14[часы],Таблица14[коэф],"1",Таблица14[р/р],"5/24",Таблица14[Ф. И. О.],B704)</f>
        <v>0</v>
      </c>
      <c r="X701" s="545">
        <f>SUMIFS(Таблица14[Столбец2],Таблица14[коэф],"1",Таблица14[р/р],"5/24",Таблица14[Ф. И. О.],B704)</f>
        <v>0</v>
      </c>
      <c r="Y701" s="770"/>
      <c r="Z701" s="766"/>
      <c r="AA701" s="756"/>
    </row>
    <row r="702" spans="1:29" ht="18.75" customHeight="1">
      <c r="A702" s="756"/>
      <c r="B702" s="215"/>
      <c r="C702" s="759"/>
      <c r="D702" s="762"/>
      <c r="E702" s="389"/>
      <c r="F702" s="390"/>
      <c r="G702" s="400"/>
      <c r="H702" s="392"/>
      <c r="I702" s="432">
        <f>база!$J$5</f>
        <v>215.4924</v>
      </c>
      <c r="J702" s="433">
        <v>1.5</v>
      </c>
      <c r="K702" s="434">
        <f>SUMIFS(Таблица14[часы],Таблица14[коэф],"1,5",Таблица14[р/р],"4/8",Таблица14[Ф. И. О.],B704)</f>
        <v>0</v>
      </c>
      <c r="L702" s="434">
        <f>SUMIFS(Таблица14[Столбец2],Таблица14[коэф],"1,5",Таблица14[р/р],"4/8",Таблица14[Ф. И. О.],B704)</f>
        <v>0</v>
      </c>
      <c r="M702" s="434"/>
      <c r="N702" s="434"/>
      <c r="O702" s="434"/>
      <c r="P702" s="406"/>
      <c r="Q702" s="389">
        <f>IF(D699&lt;=3,база!$L$4,
IF(D699=4,база!$L$5,
IF(D699=5,база!$L$6)))</f>
        <v>210.57480000000001</v>
      </c>
      <c r="R702" s="390">
        <v>1.2</v>
      </c>
      <c r="S702" s="400">
        <f>SUMIFS(Таблица14[часы],Таблица14[коэф],"1,2",Таблица14[р/р],"3/16",Таблица14[Ф. И. О.],B704)</f>
        <v>0</v>
      </c>
      <c r="T702" s="392">
        <f>SUMIFS(Таблица14[Столбец2],Таблица14[коэф],"1,2",Таблица14[р/р],"3/16",Таблица14[Ф. И. О.],B704)</f>
        <v>0</v>
      </c>
      <c r="U702" s="478">
        <f>IF(D699&lt;=3,база!$M$4,
IF(D699=4,база!$M$5,
IF(D699=5,база!$M$6)))</f>
        <v>225.09719999999999</v>
      </c>
      <c r="V702" s="390">
        <v>1.2</v>
      </c>
      <c r="W702" s="412">
        <f>SUMIFS(Таблица14[часы],Таблица14[коэф],"1,2",Таблица14[р/р],"3/24",Таблица14[Ф. И. О.],B704)</f>
        <v>0</v>
      </c>
      <c r="X702" s="545">
        <f>SUMIFS(Таблица14[Столбец2],Таблица14[коэф],"1,2",Таблица14[р/р],"3/24",Таблица14[Ф. И. О.],B704)</f>
        <v>0</v>
      </c>
      <c r="Y702" s="770"/>
      <c r="Z702" s="766"/>
      <c r="AA702" s="756"/>
    </row>
    <row r="703" spans="1:29" ht="18.75" customHeight="1">
      <c r="A703" s="756"/>
      <c r="B703" s="215"/>
      <c r="C703" s="759"/>
      <c r="D703" s="762"/>
      <c r="E703" s="389"/>
      <c r="F703" s="390"/>
      <c r="G703" s="400"/>
      <c r="H703" s="392"/>
      <c r="I703" s="432">
        <f>база!$J$6</f>
        <v>243.04319999999998</v>
      </c>
      <c r="J703" s="433">
        <v>1.5</v>
      </c>
      <c r="K703" s="434">
        <f>SUMIFS(Таблица14[часы],Таблица14[коэф],"1,5",Таблица14[р/р],"5/8",Таблица14[Ф. И. О.],B704)</f>
        <v>0</v>
      </c>
      <c r="L703" s="434">
        <f>SUMIFS(Таблица14[Столбец2],Таблица14[коэф],"1,5",Таблица14[р/р],"5/8",Таблица14[Ф. И. О.],B704)</f>
        <v>0</v>
      </c>
      <c r="M703" s="434"/>
      <c r="N703" s="434"/>
      <c r="O703" s="434"/>
      <c r="P703" s="406"/>
      <c r="Q703" s="389">
        <f>база!$L$5</f>
        <v>231.45480000000001</v>
      </c>
      <c r="R703" s="390">
        <v>1.2</v>
      </c>
      <c r="S703" s="400">
        <f>SUMIFS(Таблица14[часы],Таблица14[коэф],"1,2",Таблица14[р/р],"4/16",Таблица14[Ф. И. О.],B704)</f>
        <v>0</v>
      </c>
      <c r="T703" s="392">
        <f>SUMIFS(Таблица14[Столбец2],Таблица14[коэф],"1,2",Таблица14[р/р],"4/16",Таблица14[Ф. И. О.],B704)</f>
        <v>0</v>
      </c>
      <c r="U703" s="478">
        <f>база!$M$5</f>
        <v>247.41720000000001</v>
      </c>
      <c r="V703" s="390">
        <v>1.2</v>
      </c>
      <c r="W703" s="412">
        <f>SUMIFS(Таблица14[часы],Таблица14[коэф],"1,2",Таблица14[р/р],"4/24",Таблица14[Ф. И. О.],B704)</f>
        <v>0</v>
      </c>
      <c r="X703" s="545">
        <f>SUMIFS(Таблица14[Столбец2],Таблица14[коэф],"1,2",Таблица14[р/р],"4/24",Таблица14[Ф. И. О.],B704)</f>
        <v>0</v>
      </c>
      <c r="Y703" s="770"/>
      <c r="Z703" s="766"/>
      <c r="AA703" s="756"/>
      <c r="AC703" s="752" t="str">
        <f>IF(SUMIFS(Таблица14[Столбец2],Таблица14[Ф. И. О.],B704)-Z699=0,"",SUMIFS(Таблица14[Столбец2],Таблица14[Ф. И. О.],B704)-Z699)</f>
        <v/>
      </c>
    </row>
    <row r="704" spans="1:29" ht="18.75" customHeight="1">
      <c r="A704" s="756"/>
      <c r="B704" s="215" t="str">
        <f>база!B65</f>
        <v>Рысев Иван Александрович</v>
      </c>
      <c r="C704" s="759"/>
      <c r="D704" s="762"/>
      <c r="E704" s="389"/>
      <c r="F704" s="390"/>
      <c r="G704" s="400"/>
      <c r="H704" s="392"/>
      <c r="I704" s="432"/>
      <c r="J704" s="433"/>
      <c r="K704" s="434"/>
      <c r="L704" s="434"/>
      <c r="M704" s="434"/>
      <c r="N704" s="434"/>
      <c r="O704" s="434"/>
      <c r="P704" s="406"/>
      <c r="Q704" s="389">
        <f>база!$L$6</f>
        <v>261.04640000000001</v>
      </c>
      <c r="R704" s="390">
        <v>1.2</v>
      </c>
      <c r="S704" s="400">
        <f>SUMIFS(Таблица14[часы],Таблица14[коэф],"1,2",Таблица14[р/р],"5/16",Таблица14[Ф. И. О.],B704)</f>
        <v>0</v>
      </c>
      <c r="T704" s="392">
        <f>SUMIFS(Таблица14[Столбец2],Таблица14[коэф],"1,2",Таблица14[р/р],"5/16",Таблица14[Ф. И. О.],B704)</f>
        <v>0</v>
      </c>
      <c r="U704" s="478">
        <f>база!$M$6</f>
        <v>279.0496</v>
      </c>
      <c r="V704" s="390">
        <v>1.2</v>
      </c>
      <c r="W704" s="412">
        <f>SUMIFS(Таблица14[часы],Таблица14[коэф],"1,2",Таблица14[р/р],"5/24",Таблица14[Ф. И. О.],B704)</f>
        <v>0</v>
      </c>
      <c r="X704" s="545">
        <f>SUMIFS(Таблица14[Столбец2],Таблица14[коэф],"1,2",Таблица14[р/р],"5/24",Таблица14[Ф. И. О.],B704)</f>
        <v>0</v>
      </c>
      <c r="Y704" s="770"/>
      <c r="Z704" s="766"/>
      <c r="AA704" s="756"/>
      <c r="AC704" s="752" t="str">
        <f>IF(SUMIFS(Таблица14[часы],Таблица14[Ф. И. О.],B704)-Y699=0,"",SUMIFS(Таблица14[часы],Таблица14[Ф. И. О.],B704)-Y699)</f>
        <v/>
      </c>
    </row>
    <row r="705" spans="1:29" ht="18.75" customHeight="1">
      <c r="A705" s="756"/>
      <c r="B705" s="215"/>
      <c r="C705" s="759"/>
      <c r="D705" s="762"/>
      <c r="E705" s="389"/>
      <c r="F705" s="390"/>
      <c r="G705" s="400"/>
      <c r="H705" s="392"/>
      <c r="I705" s="432"/>
      <c r="J705" s="433"/>
      <c r="K705" s="434"/>
      <c r="L705" s="434"/>
      <c r="M705" s="434"/>
      <c r="N705" s="434"/>
      <c r="O705" s="434"/>
      <c r="P705" s="406"/>
      <c r="Q705" s="389">
        <f>IF($D$6&lt;=3,база!$L$4,
IF($D$6=4,база!$L$5,
IF($D$6=5,база!$L$6)))</f>
        <v>231.45480000000001</v>
      </c>
      <c r="R705" s="390">
        <v>1.3</v>
      </c>
      <c r="S705" s="400">
        <f>SUMIFS(Таблица14[часы],Таблица14[коэф],"1,3",Таблица14[р/р],"3/16",Таблица14[Ф. И. О.],B704)</f>
        <v>0</v>
      </c>
      <c r="T705" s="392">
        <f>SUMIFS(Таблица14[Столбец2],Таблица14[коэф],"1,3",Таблица14[р/р],"3/16",Таблица14[Ф. И. О.],B704)</f>
        <v>0</v>
      </c>
      <c r="U705" s="478">
        <f>IF(D699&lt;=3,база!$M$4,
IF(D699=4,база!$M$5,
IF(D699=5,база!$M$6)))</f>
        <v>225.09719999999999</v>
      </c>
      <c r="V705" s="390">
        <v>1.3</v>
      </c>
      <c r="W705" s="412">
        <f>SUMIFS(Таблица14[часы],Таблица14[коэф],"1,3",Таблица14[р/р],"3/24",Таблица14[Ф. И. О.],B704)</f>
        <v>0</v>
      </c>
      <c r="X705" s="545">
        <f>SUMIFS(Таблица14[Столбец2],Таблица14[коэф],"1,3",Таблица14[р/р],"3/24",Таблица14[Ф. И. О.],B704)</f>
        <v>0</v>
      </c>
      <c r="Y705" s="770"/>
      <c r="Z705" s="766"/>
      <c r="AA705" s="756"/>
    </row>
    <row r="706" spans="1:29" ht="18.75" customHeight="1">
      <c r="A706" s="756"/>
      <c r="B706" s="215"/>
      <c r="C706" s="759"/>
      <c r="D706" s="762"/>
      <c r="E706" s="389"/>
      <c r="F706" s="390"/>
      <c r="G706" s="400"/>
      <c r="H706" s="392"/>
      <c r="I706" s="432"/>
      <c r="J706" s="433"/>
      <c r="K706" s="434"/>
      <c r="L706" s="434"/>
      <c r="M706" s="434"/>
      <c r="N706" s="434"/>
      <c r="O706" s="434"/>
      <c r="P706" s="406"/>
      <c r="Q706" s="389">
        <f>база!$L$5</f>
        <v>231.45480000000001</v>
      </c>
      <c r="R706" s="390">
        <v>1.3</v>
      </c>
      <c r="S706" s="400">
        <f>SUMIFS(Таблица14[часы],Таблица14[коэф],"1,3",Таблица14[р/р],"4/16",Таблица14[Ф. И. О.],B704)</f>
        <v>0</v>
      </c>
      <c r="T706" s="392">
        <f>SUMIFS(Таблица14[Столбец2],Таблица14[коэф],"1,3",Таблица14[р/р],"4/16",Таблица14[Ф. И. О.],B704)</f>
        <v>0</v>
      </c>
      <c r="U706" s="478">
        <f>база!$M$5</f>
        <v>247.41720000000001</v>
      </c>
      <c r="V706" s="390">
        <v>1.3</v>
      </c>
      <c r="W706" s="412">
        <f>SUMIFS(Таблица14[часы],Таблица14[коэф],"1,3",Таблица14[р/р],"4/24",Таблица14[Ф. И. О.],B704)</f>
        <v>0</v>
      </c>
      <c r="X706" s="545">
        <f>SUMIFS(Таблица14[Столбец2],Таблица14[коэф],"1,3",Таблица14[р/р],"4/24",Таблица14[Ф. И. О.],B704)</f>
        <v>0</v>
      </c>
      <c r="Y706" s="770"/>
      <c r="Z706" s="766"/>
      <c r="AA706" s="756"/>
    </row>
    <row r="707" spans="1:29" ht="18.75" customHeight="1">
      <c r="A707" s="756"/>
      <c r="B707" s="215"/>
      <c r="C707" s="759"/>
      <c r="D707" s="762"/>
      <c r="E707" s="389"/>
      <c r="F707" s="390"/>
      <c r="G707" s="400"/>
      <c r="H707" s="392"/>
      <c r="I707" s="432"/>
      <c r="J707" s="433"/>
      <c r="K707" s="434"/>
      <c r="L707" s="434"/>
      <c r="M707" s="434"/>
      <c r="N707" s="434"/>
      <c r="O707" s="434"/>
      <c r="P707" s="406"/>
      <c r="Q707" s="389">
        <f>IF(D699&lt;=3,база!$L$4,
IF(D699=4,база!$L$5,
IF(D699=5,база!$L$6)))</f>
        <v>210.57480000000001</v>
      </c>
      <c r="R707" s="390">
        <v>1.4</v>
      </c>
      <c r="S707" s="400">
        <f>SUMIFS(Таблица14[часы],Таблица14[коэф],"1,4",Таблица14[р/р],"3/16",Таблица14[Ф. И. О.],B704)</f>
        <v>0</v>
      </c>
      <c r="T707" s="392">
        <f>SUMIFS(Таблица14[Столбец2],Таблица14[коэф],"1,4",Таблица14[р/р],"3/16",Таблица14[Ф. И. О.],B704)</f>
        <v>0</v>
      </c>
      <c r="U707" s="478">
        <f>IF(D699&lt;=3,база!$M$4,
IF(D699=4,база!$M$5,
IF(D699=5,база!$M$6)))</f>
        <v>225.09719999999999</v>
      </c>
      <c r="V707" s="390">
        <v>1.4</v>
      </c>
      <c r="W707" s="412">
        <f>SUMIFS(Таблица14[часы],Таблица14[коэф],"1,4",Таблица14[р/р],"3/24",Таблица14[Ф. И. О.],B704)</f>
        <v>0</v>
      </c>
      <c r="X707" s="545">
        <f>SUMIFS(Таблица14[Столбец2],Таблица14[коэф],"1,4",Таблица14[р/р],"3/24",Таблица14[Ф. И. О.],B704)</f>
        <v>0</v>
      </c>
      <c r="Y707" s="770"/>
      <c r="Z707" s="766"/>
      <c r="AA707" s="756"/>
    </row>
    <row r="708" spans="1:29" ht="18.75" customHeight="1">
      <c r="A708" s="756"/>
      <c r="B708" s="215"/>
      <c r="C708" s="759"/>
      <c r="D708" s="762"/>
      <c r="E708" s="389"/>
      <c r="F708" s="390"/>
      <c r="G708" s="400"/>
      <c r="H708" s="392"/>
      <c r="I708" s="432"/>
      <c r="J708" s="433"/>
      <c r="K708" s="434"/>
      <c r="L708" s="434"/>
      <c r="M708" s="434"/>
      <c r="N708" s="434"/>
      <c r="O708" s="434"/>
      <c r="P708" s="406"/>
      <c r="Q708" s="389">
        <f>база!$L$5</f>
        <v>231.45480000000001</v>
      </c>
      <c r="R708" s="390">
        <v>1.4</v>
      </c>
      <c r="S708" s="400">
        <f>SUMIFS(Таблица14[часы],Таблица14[коэф],"1,4",Таблица14[р/р],"4/16",Таблица14[Ф. И. О.],B704)</f>
        <v>0</v>
      </c>
      <c r="T708" s="392">
        <f>SUMIFS(Таблица14[Столбец2],Таблица14[коэф],"1,4",Таблица14[р/р],"4/16",Таблица14[Ф. И. О.],B704)</f>
        <v>0</v>
      </c>
      <c r="U708" s="478">
        <f>база!$M$5</f>
        <v>247.41720000000001</v>
      </c>
      <c r="V708" s="390">
        <v>1.4</v>
      </c>
      <c r="W708" s="412">
        <f>SUMIFS(Таблица14[часы],Таблица14[коэф],"1,4",Таблица14[р/р],"4/24",Таблица14[Ф. И. О.],B704)</f>
        <v>0</v>
      </c>
      <c r="X708" s="545">
        <f>SUMIFS(Таблица14[Столбец2],Таблица14[коэф],"1,4",Таблица14[р/р],"4/24",Таблица14[Ф. И. О.],B704)</f>
        <v>0</v>
      </c>
      <c r="Y708" s="770"/>
      <c r="Z708" s="766"/>
      <c r="AA708" s="756"/>
    </row>
    <row r="709" spans="1:29" ht="19.5" customHeight="1" thickBot="1">
      <c r="A709" s="757"/>
      <c r="B709" s="352"/>
      <c r="C709" s="760"/>
      <c r="D709" s="763"/>
      <c r="E709" s="437"/>
      <c r="F709" s="438"/>
      <c r="G709" s="682"/>
      <c r="H709" s="440"/>
      <c r="I709" s="413"/>
      <c r="J709" s="602"/>
      <c r="K709" s="414"/>
      <c r="L709" s="460"/>
      <c r="M709" s="413"/>
      <c r="N709" s="414"/>
      <c r="O709" s="414"/>
      <c r="P709" s="415"/>
      <c r="Q709" s="677">
        <f>база!$L$6</f>
        <v>261.04640000000001</v>
      </c>
      <c r="R709" s="438">
        <v>1.4</v>
      </c>
      <c r="S709" s="439">
        <f>SUMIFS(Таблица14[часы],Таблица14[коэф],"1,4",Таблица14[р/р],"5/16",Таблица14[Ф. И. О.],B704)</f>
        <v>0</v>
      </c>
      <c r="T709" s="440">
        <f>SUMIFS(Таблица14[Столбец2],Таблица14[коэф],"1,4",Таблица14[р/р],"5/16",Таблица14[Ф. И. О.],B704)</f>
        <v>0</v>
      </c>
      <c r="U709" s="515">
        <f>база!$M$6</f>
        <v>279.0496</v>
      </c>
      <c r="V709" s="403">
        <v>1.4</v>
      </c>
      <c r="W709" s="439">
        <f>SUMIFS(Таблица14[часы],Таблица14[коэф],"1,4",Таблица14[р/р],"5/24",Таблица14[Ф. И. О.],B704)</f>
        <v>0</v>
      </c>
      <c r="X709" s="440">
        <f>SUMIFS(Таблица14[Столбец2],Таблица14[коэф],"1,4",Таблица14[р/р],"5/24",Таблица14[Ф. И. О.],B704)</f>
        <v>0</v>
      </c>
      <c r="Y709" s="771"/>
      <c r="Z709" s="767"/>
      <c r="AA709" s="757"/>
    </row>
    <row r="710" spans="1:29" ht="18.75" customHeight="1">
      <c r="A710" s="756">
        <v>65</v>
      </c>
      <c r="B710" s="215"/>
      <c r="C710" s="758">
        <f>INDEX(база!$E$2:$E$150, MATCH(B715,база!$B$2:$B$150,0))</f>
        <v>17324</v>
      </c>
      <c r="D710" s="761">
        <f>INDEX(база!$D$2:$D$150, MATCH(B715,база!$B$2:$B$150,0))</f>
        <v>3</v>
      </c>
      <c r="E710" s="377">
        <f>IF(D710&lt;=3,база!$I$4,
IF(D710=4,база!$I$5,
IF(D710=5,база!$I$6)))</f>
        <v>188.7912</v>
      </c>
      <c r="F710" s="378">
        <v>1</v>
      </c>
      <c r="G710" s="387">
        <f>SUMIFS(Таблица14[часы],Таблица14[коэф],"1",Таблица14[р/р],"2/4",Таблица14[Ф. И. О.],B715)</f>
        <v>0</v>
      </c>
      <c r="H710" s="380">
        <f>SUMIFS(Таблица14[Столбец2],Таблица14[коэф],"1",Таблица14[р/р],"2/4",Таблица14[Ф. И. О.],B715)</f>
        <v>0</v>
      </c>
      <c r="I710" s="426">
        <f>IF(D710&lt;=3,база!$J$4,
IF(D710=4,база!$J$5,
IF(D710=5,база!$J$6)))</f>
        <v>196.05240000000001</v>
      </c>
      <c r="J710" s="427">
        <v>1</v>
      </c>
      <c r="K710" s="428">
        <f>SUMIFS(Таблица14[часы],Таблица14[коэф],"1",Таблица14[р/р],"2/8",Таблица14[Ф. И. О.],B715)</f>
        <v>0</v>
      </c>
      <c r="L710" s="428">
        <f>SUMIFS(Таблица14[Столбец2],Таблица14[коэф],"1",Таблица14[р/р],"2/8",Таблица14[Ф. И. О.],B715)</f>
        <v>0</v>
      </c>
      <c r="M710" s="428"/>
      <c r="N710" s="428">
        <v>1</v>
      </c>
      <c r="O710" s="428">
        <f>SUMIFS(Data_Tech!$AM$3:$AM$67,Data_Tech!$E$3:$E$67,"1",Data_Tech!$G$3:$G$67,"3/12",Data_Tech!$F$3:$F$67,B715)</f>
        <v>0</v>
      </c>
      <c r="P710" s="385">
        <f>ROUND(M710*N710*O710,2)</f>
        <v>0</v>
      </c>
      <c r="Q710" s="377">
        <f>IF(D710&lt;=3,база!$L$4,
IF(D710=4,база!$L$5,
IF(D710=5,база!$L$6)))</f>
        <v>210.57480000000001</v>
      </c>
      <c r="R710" s="378">
        <v>1</v>
      </c>
      <c r="S710" s="387">
        <f>SUMIFS(Таблица14[часы],Таблица14[коэф],"1",Таблица14[р/р],"3/16",Таблица14[Ф. И. О.],B715)</f>
        <v>0</v>
      </c>
      <c r="T710" s="380">
        <f>SUMIFS(Таблица14[Столбец2],Таблица14[коэф],"1",Таблица14[р/р],"3/16",Таблица14[Ф. И. О.],B715)</f>
        <v>0</v>
      </c>
      <c r="U710" s="477">
        <f>IF(D710&lt;=3,база!$M$4,
IF(D710=4,база!$M$5,
IF(D710=5,база!$M$6)))</f>
        <v>225.09719999999999</v>
      </c>
      <c r="V710" s="378">
        <v>1</v>
      </c>
      <c r="W710" s="430">
        <f>SUMIFS(Таблица14[часы],Таблица14[коэф],"1",Таблица14[р/р],"3/24",Таблица14[Ф. И. О.],B715)</f>
        <v>0</v>
      </c>
      <c r="X710" s="543">
        <f>SUMIFS(Таблица14[Столбец2],Таблица14[коэф],"1",Таблица14[р/р],"3/24",Таблица14[Ф. И. О.],B715)</f>
        <v>0</v>
      </c>
      <c r="Y710" s="770">
        <f t="shared" ref="Y710" si="266">SUM(G710:G720,K710:K720,O710:O720,S710:S720,W710:W720)</f>
        <v>0</v>
      </c>
      <c r="Z710" s="766">
        <f t="shared" ref="Z710" si="267">IFERROR(SUM(H710:H720,L710:L720,T710:T720,X710:X720),"")</f>
        <v>0</v>
      </c>
      <c r="AA710" s="756"/>
    </row>
    <row r="711" spans="1:29" ht="18.75" customHeight="1">
      <c r="A711" s="756"/>
      <c r="B711" s="215"/>
      <c r="C711" s="759"/>
      <c r="D711" s="762"/>
      <c r="E711" s="389">
        <f>IF(D710&lt;=3,база!$I$4,
IF(D710=4,база!$I$5,
IF(D710=5,база!$I$6)))</f>
        <v>188.7912</v>
      </c>
      <c r="F711" s="390">
        <v>1</v>
      </c>
      <c r="G711" s="400">
        <f>SUMIFS(Таблица14[часы],Таблица14[коэф],"1",Таблица14[р/р],"3/4",Таблица14[Ф. И. О.],B715)</f>
        <v>0</v>
      </c>
      <c r="H711" s="392">
        <f>SUMIFS(Таблица14[Столбец2],Таблица14[коэф],"1",Таблица14[р/р],"3/4",Таблица14[Ф. И. О.],B715)</f>
        <v>0</v>
      </c>
      <c r="I711" s="432">
        <f>IF(D710&lt;=3,база!$J$4,
IF(D710=4,база!$J$5,
IF(D710=5,база!$J$6)))</f>
        <v>196.05240000000001</v>
      </c>
      <c r="J711" s="433">
        <v>1</v>
      </c>
      <c r="K711" s="434">
        <f>SUMIFS(Таблица14[часы],Таблица14[коэф],"1",Таблица14[р/р],"3/8",Таблица14[Ф. И. О.],B715)</f>
        <v>0</v>
      </c>
      <c r="L711" s="434">
        <f>SUMIFS(Таблица14[Столбец2],Таблица14[коэф],"1",Таблица14[р/р],"3/8",Таблица14[Ф. И. О.],B715)</f>
        <v>0</v>
      </c>
      <c r="M711" s="434"/>
      <c r="N711" s="434">
        <v>1</v>
      </c>
      <c r="O711" s="434">
        <f>SUMIFS(Data_Tech!$AM$3:$AM$67,Data_Tech!$E$3:$E$67,"1",Data_Tech!$G$3:$G$67,"4/12",Data_Tech!$F$3:$F$67,B715)</f>
        <v>0</v>
      </c>
      <c r="P711" s="406">
        <f>ROUND(M711*O711,2)</f>
        <v>0</v>
      </c>
      <c r="Q711" s="389">
        <f>база!$L$5</f>
        <v>231.45480000000001</v>
      </c>
      <c r="R711" s="390">
        <v>1</v>
      </c>
      <c r="S711" s="400">
        <f>SUMIFS(Таблица14[часы],Таблица14[коэф],"1",Таблица14[р/р],"4/16",Таблица14[Ф. И. О.],B715)</f>
        <v>0</v>
      </c>
      <c r="T711" s="392">
        <f>SUMIFS(Таблица14[Столбец2],Таблица14[коэф],"1",Таблица14[р/р],"4/16",Таблица14[Ф. И. О.],B715)</f>
        <v>0</v>
      </c>
      <c r="U711" s="478">
        <f>база!$M$5</f>
        <v>247.41720000000001</v>
      </c>
      <c r="V711" s="390">
        <v>1</v>
      </c>
      <c r="W711" s="412">
        <f>SUMIFS(Таблица14[часы],Таблица14[коэф],"1",Таблица14[р/р],"4/24",Таблица14[Ф. И. О.],B715)</f>
        <v>0</v>
      </c>
      <c r="X711" s="545">
        <f>SUMIFS(Таблица14[Столбец2],Таблица14[коэф],"1",Таблица14[р/р],"4/24",Таблица14[Ф. И. О.],B715)</f>
        <v>0</v>
      </c>
      <c r="Y711" s="770"/>
      <c r="Z711" s="766"/>
      <c r="AA711" s="756"/>
    </row>
    <row r="712" spans="1:29" ht="18.75" customHeight="1">
      <c r="A712" s="756"/>
      <c r="B712" s="215"/>
      <c r="C712" s="759"/>
      <c r="D712" s="762"/>
      <c r="E712" s="389"/>
      <c r="F712" s="390"/>
      <c r="G712" s="400"/>
      <c r="H712" s="392"/>
      <c r="I712" s="432"/>
      <c r="J712" s="433"/>
      <c r="K712" s="434"/>
      <c r="L712" s="434"/>
      <c r="M712" s="434"/>
      <c r="N712" s="434"/>
      <c r="O712" s="434"/>
      <c r="P712" s="406"/>
      <c r="Q712" s="389">
        <f>база!$L$6</f>
        <v>261.04640000000001</v>
      </c>
      <c r="R712" s="390">
        <v>1</v>
      </c>
      <c r="S712" s="400">
        <f>SUMIFS(Таблица14[часы],Таблица14[коэф],"1",Таблица14[р/р],"5/16",Таблица14[Ф. И. О.],B715)</f>
        <v>0</v>
      </c>
      <c r="T712" s="392">
        <f>SUMIFS(Таблица14[Столбец2],Таблица14[коэф],"1",Таблица14[р/р],"5/16",Таблица14[Ф. И. О.],B715)</f>
        <v>0</v>
      </c>
      <c r="U712" s="478">
        <f>база!$M$6</f>
        <v>279.0496</v>
      </c>
      <c r="V712" s="390">
        <v>1</v>
      </c>
      <c r="W712" s="412">
        <f>SUMIFS(Таблица14[часы],Таблица14[коэф],"1",Таблица14[р/р],"5/24",Таблица14[Ф. И. О.],B715)</f>
        <v>0</v>
      </c>
      <c r="X712" s="545">
        <f>SUMIFS(Таблица14[Столбец2],Таблица14[коэф],"1",Таблица14[р/р],"5/24",Таблица14[Ф. И. О.],B715)</f>
        <v>0</v>
      </c>
      <c r="Y712" s="770"/>
      <c r="Z712" s="766"/>
      <c r="AA712" s="756"/>
    </row>
    <row r="713" spans="1:29" ht="18.75" customHeight="1">
      <c r="A713" s="756"/>
      <c r="B713" s="215"/>
      <c r="C713" s="759"/>
      <c r="D713" s="762"/>
      <c r="E713" s="389"/>
      <c r="F713" s="390"/>
      <c r="G713" s="400"/>
      <c r="H713" s="392"/>
      <c r="I713" s="432">
        <f>база!$J$5</f>
        <v>215.4924</v>
      </c>
      <c r="J713" s="433">
        <v>1.5</v>
      </c>
      <c r="K713" s="434">
        <f>SUMIFS(Таблица14[часы],Таблица14[коэф],"1,5",Таблица14[р/р],"4/8",Таблица14[Ф. И. О.],B715)</f>
        <v>0</v>
      </c>
      <c r="L713" s="434">
        <f>SUMIFS(Таблица14[Столбец2],Таблица14[коэф],"1,5",Таблица14[р/р],"4/8",Таблица14[Ф. И. О.],B715)</f>
        <v>0</v>
      </c>
      <c r="M713" s="434"/>
      <c r="N713" s="434"/>
      <c r="O713" s="434"/>
      <c r="P713" s="406"/>
      <c r="Q713" s="389">
        <f>IF(D710&lt;=3,база!$L$4,
IF(D710=4,база!$L$5,
IF(D710=5,база!$L$6)))</f>
        <v>210.57480000000001</v>
      </c>
      <c r="R713" s="390">
        <v>1.2</v>
      </c>
      <c r="S713" s="400">
        <f>SUMIFS(Таблица14[часы],Таблица14[коэф],"1,2",Таблица14[р/р],"3/16",Таблица14[Ф. И. О.],B715)</f>
        <v>0</v>
      </c>
      <c r="T713" s="392">
        <f>SUMIFS(Таблица14[Столбец2],Таблица14[коэф],"1,2",Таблица14[р/р],"3/16",Таблица14[Ф. И. О.],B715)</f>
        <v>0</v>
      </c>
      <c r="U713" s="478">
        <f>IF(D710&lt;=3,база!$M$4,
IF(D710=4,база!$M$5,
IF(D710=5,база!$M$6)))</f>
        <v>225.09719999999999</v>
      </c>
      <c r="V713" s="390">
        <v>1.2</v>
      </c>
      <c r="W713" s="412">
        <f>SUMIFS(Таблица14[часы],Таблица14[коэф],"1,2",Таблица14[р/р],"3/24",Таблица14[Ф. И. О.],B715)</f>
        <v>0</v>
      </c>
      <c r="X713" s="545">
        <f>SUMIFS(Таблица14[Столбец2],Таблица14[коэф],"1,2",Таблица14[р/р],"3/24",Таблица14[Ф. И. О.],B715)</f>
        <v>0</v>
      </c>
      <c r="Y713" s="770"/>
      <c r="Z713" s="766"/>
      <c r="AA713" s="756"/>
    </row>
    <row r="714" spans="1:29" ht="18.75" customHeight="1">
      <c r="A714" s="756"/>
      <c r="B714" s="215"/>
      <c r="C714" s="759"/>
      <c r="D714" s="762"/>
      <c r="E714" s="389"/>
      <c r="F714" s="390"/>
      <c r="G714" s="400"/>
      <c r="H714" s="392"/>
      <c r="I714" s="432">
        <f>база!$J$6</f>
        <v>243.04319999999998</v>
      </c>
      <c r="J714" s="433">
        <v>1.5</v>
      </c>
      <c r="K714" s="434">
        <f>SUMIFS(Таблица14[часы],Таблица14[коэф],"1,5",Таблица14[р/р],"5/8",Таблица14[Ф. И. О.],B715)</f>
        <v>0</v>
      </c>
      <c r="L714" s="434">
        <f>SUMIFS(Таблица14[Столбец2],Таблица14[коэф],"1,5",Таблица14[р/р],"5/8",Таблица14[Ф. И. О.],B715)</f>
        <v>0</v>
      </c>
      <c r="M714" s="434"/>
      <c r="N714" s="434"/>
      <c r="O714" s="434"/>
      <c r="P714" s="406"/>
      <c r="Q714" s="389">
        <f>база!$L$5</f>
        <v>231.45480000000001</v>
      </c>
      <c r="R714" s="390">
        <v>1.2</v>
      </c>
      <c r="S714" s="400">
        <f>SUMIFS(Таблица14[часы],Таблица14[коэф],"1,2",Таблица14[р/р],"4/16",Таблица14[Ф. И. О.],B715)</f>
        <v>0</v>
      </c>
      <c r="T714" s="392">
        <f>SUMIFS(Таблица14[Столбец2],Таблица14[коэф],"1,2",Таблица14[р/р],"4/16",Таблица14[Ф. И. О.],B715)</f>
        <v>0</v>
      </c>
      <c r="U714" s="478">
        <f>база!$M$5</f>
        <v>247.41720000000001</v>
      </c>
      <c r="V714" s="390">
        <v>1.2</v>
      </c>
      <c r="W714" s="412">
        <f>SUMIFS(Таблица14[часы],Таблица14[коэф],"1,2",Таблица14[р/р],"4/24",Таблица14[Ф. И. О.],B715)</f>
        <v>0</v>
      </c>
      <c r="X714" s="545">
        <f>SUMIFS(Таблица14[Столбец2],Таблица14[коэф],"1,2",Таблица14[р/р],"4/24",Таблица14[Ф. И. О.],B715)</f>
        <v>0</v>
      </c>
      <c r="Y714" s="770"/>
      <c r="Z714" s="766"/>
      <c r="AA714" s="756"/>
    </row>
    <row r="715" spans="1:29" ht="18.75" customHeight="1">
      <c r="A715" s="756"/>
      <c r="B715" s="215" t="str">
        <f>база!B66</f>
        <v>Саидова Ольга Владимировна</v>
      </c>
      <c r="C715" s="759"/>
      <c r="D715" s="762"/>
      <c r="E715" s="389"/>
      <c r="F715" s="390"/>
      <c r="G715" s="400"/>
      <c r="H715" s="392"/>
      <c r="I715" s="432"/>
      <c r="J715" s="433"/>
      <c r="K715" s="434"/>
      <c r="L715" s="434"/>
      <c r="M715" s="434"/>
      <c r="N715" s="434"/>
      <c r="O715" s="434"/>
      <c r="P715" s="406"/>
      <c r="Q715" s="389">
        <f>база!$L$6</f>
        <v>261.04640000000001</v>
      </c>
      <c r="R715" s="390">
        <v>1.2</v>
      </c>
      <c r="S715" s="400">
        <f>SUMIFS(Таблица14[часы],Таблица14[коэф],"1,2",Таблица14[р/р],"5/16",Таблица14[Ф. И. О.],B715)</f>
        <v>0</v>
      </c>
      <c r="T715" s="392">
        <f>SUMIFS(Таблица14[Столбец2],Таблица14[коэф],"1,2",Таблица14[р/р],"5/16",Таблица14[Ф. И. О.],B715)</f>
        <v>0</v>
      </c>
      <c r="U715" s="478">
        <f>база!$M$6</f>
        <v>279.0496</v>
      </c>
      <c r="V715" s="390">
        <v>1.2</v>
      </c>
      <c r="W715" s="412">
        <f>SUMIFS(Таблица14[часы],Таблица14[коэф],"1,2",Таблица14[р/р],"5/24",Таблица14[Ф. И. О.],B715)</f>
        <v>0</v>
      </c>
      <c r="X715" s="545">
        <f>SUMIFS(Таблица14[Столбец2],Таблица14[коэф],"1,2",Таблица14[р/р],"5/24",Таблица14[Ф. И. О.],B715)</f>
        <v>0</v>
      </c>
      <c r="Y715" s="770"/>
      <c r="Z715" s="766"/>
      <c r="AA715" s="756"/>
      <c r="AC715" s="752" t="str">
        <f>IF(SUMIFS(Таблица14[Столбец2],Таблица14[Ф. И. О.],B715)-Z710=0,"",SUMIFS(Таблица14[Столбец2],Таблица14[Ф. И. О.],B715)-Z710)</f>
        <v/>
      </c>
    </row>
    <row r="716" spans="1:29" ht="18.75" customHeight="1">
      <c r="A716" s="756"/>
      <c r="B716" s="215"/>
      <c r="C716" s="759"/>
      <c r="D716" s="762"/>
      <c r="E716" s="389"/>
      <c r="F716" s="390"/>
      <c r="G716" s="400"/>
      <c r="H716" s="392"/>
      <c r="I716" s="432"/>
      <c r="J716" s="433"/>
      <c r="K716" s="434"/>
      <c r="L716" s="434"/>
      <c r="M716" s="434"/>
      <c r="N716" s="434"/>
      <c r="O716" s="434"/>
      <c r="P716" s="406"/>
      <c r="Q716" s="389">
        <f>IF($D$6&lt;=3,база!$L$4,
IF($D$6=4,база!$L$5,
IF($D$6=5,база!$L$6)))</f>
        <v>231.45480000000001</v>
      </c>
      <c r="R716" s="390">
        <v>1.3</v>
      </c>
      <c r="S716" s="400">
        <f>SUMIFS(Таблица14[часы],Таблица14[коэф],"1,3",Таблица14[р/р],"3/16",Таблица14[Ф. И. О.],B715)</f>
        <v>0</v>
      </c>
      <c r="T716" s="392">
        <f>SUMIFS(Таблица14[Столбец2],Таблица14[коэф],"1,3",Таблица14[р/р],"3/16",Таблица14[Ф. И. О.],B715)</f>
        <v>0</v>
      </c>
      <c r="U716" s="478">
        <f>IF(D710&lt;=3,база!$M$4,
IF(D710=4,база!$M$5,
IF(D710=5,база!$M$6)))</f>
        <v>225.09719999999999</v>
      </c>
      <c r="V716" s="390">
        <v>1.3</v>
      </c>
      <c r="W716" s="412">
        <f>SUMIFS(Таблица14[часы],Таблица14[коэф],"1,3",Таблица14[р/р],"3/24",Таблица14[Ф. И. О.],B715)</f>
        <v>0</v>
      </c>
      <c r="X716" s="545">
        <f>SUMIFS(Таблица14[Столбец2],Таблица14[коэф],"1,3",Таблица14[р/р],"3/24",Таблица14[Ф. И. О.],B715)</f>
        <v>0</v>
      </c>
      <c r="Y716" s="770"/>
      <c r="Z716" s="766"/>
      <c r="AA716" s="756"/>
      <c r="AC716" s="752" t="str">
        <f>IF(SUMIFS(Таблица14[часы],Таблица14[Ф. И. О.],B715)-Y710=0,"",SUMIFS(Таблица14[часы],Таблица14[Ф. И. О.],B715)-Y710)</f>
        <v/>
      </c>
    </row>
    <row r="717" spans="1:29" ht="18.75" customHeight="1">
      <c r="A717" s="756"/>
      <c r="B717" s="215"/>
      <c r="C717" s="759"/>
      <c r="D717" s="762"/>
      <c r="E717" s="389"/>
      <c r="F717" s="390"/>
      <c r="G717" s="400"/>
      <c r="H717" s="392"/>
      <c r="I717" s="432"/>
      <c r="J717" s="433"/>
      <c r="K717" s="434"/>
      <c r="L717" s="434"/>
      <c r="M717" s="434"/>
      <c r="N717" s="434"/>
      <c r="O717" s="434"/>
      <c r="P717" s="406"/>
      <c r="Q717" s="389">
        <f>база!$L$5</f>
        <v>231.45480000000001</v>
      </c>
      <c r="R717" s="390">
        <v>1.3</v>
      </c>
      <c r="S717" s="400">
        <f>SUMIFS(Таблица14[часы],Таблица14[коэф],"1,3",Таблица14[р/р],"4/16",Таблица14[Ф. И. О.],B715)</f>
        <v>0</v>
      </c>
      <c r="T717" s="392">
        <f>SUMIFS(Таблица14[Столбец2],Таблица14[коэф],"1,3",Таблица14[р/р],"4/16",Таблица14[Ф. И. О.],B715)</f>
        <v>0</v>
      </c>
      <c r="U717" s="478">
        <f>база!$M$5</f>
        <v>247.41720000000001</v>
      </c>
      <c r="V717" s="390">
        <v>1.3</v>
      </c>
      <c r="W717" s="412">
        <f>SUMIFS(Таблица14[часы],Таблица14[коэф],"1,3",Таблица14[р/р],"4/24",Таблица14[Ф. И. О.],B715)</f>
        <v>0</v>
      </c>
      <c r="X717" s="545">
        <f>SUMIFS(Таблица14[Столбец2],Таблица14[коэф],"1,3",Таблица14[р/р],"4/24",Таблица14[Ф. И. О.],B715)</f>
        <v>0</v>
      </c>
      <c r="Y717" s="770"/>
      <c r="Z717" s="766"/>
      <c r="AA717" s="756"/>
    </row>
    <row r="718" spans="1:29" ht="18.75" customHeight="1">
      <c r="A718" s="756"/>
      <c r="B718" s="215"/>
      <c r="C718" s="759"/>
      <c r="D718" s="762"/>
      <c r="E718" s="389"/>
      <c r="F718" s="390"/>
      <c r="G718" s="400"/>
      <c r="H718" s="392"/>
      <c r="I718" s="432"/>
      <c r="J718" s="433"/>
      <c r="K718" s="434"/>
      <c r="L718" s="434"/>
      <c r="M718" s="434"/>
      <c r="N718" s="434"/>
      <c r="O718" s="434"/>
      <c r="P718" s="406"/>
      <c r="Q718" s="389">
        <f>IF(D710&lt;=3,база!$L$4,
IF(D710=4,база!$L$5,
IF(D710=5,база!$L$6)))</f>
        <v>210.57480000000001</v>
      </c>
      <c r="R718" s="390">
        <v>1.4</v>
      </c>
      <c r="S718" s="400">
        <f>SUMIFS(Таблица14[часы],Таблица14[коэф],"1,4",Таблица14[р/р],"3/16",Таблица14[Ф. И. О.],B715)</f>
        <v>0</v>
      </c>
      <c r="T718" s="392">
        <f>SUMIFS(Таблица14[Столбец2],Таблица14[коэф],"1,4",Таблица14[р/р],"3/16",Таблица14[Ф. И. О.],B715)</f>
        <v>0</v>
      </c>
      <c r="U718" s="478">
        <f>IF(D710&lt;=3,база!$M$4,
IF(D710=4,база!$M$5,
IF(D710=5,база!$M$6)))</f>
        <v>225.09719999999999</v>
      </c>
      <c r="V718" s="390">
        <v>1.4</v>
      </c>
      <c r="W718" s="412">
        <f>SUMIFS(Таблица14[часы],Таблица14[коэф],"1,4",Таблица14[р/р],"3/24",Таблица14[Ф. И. О.],B715)</f>
        <v>0</v>
      </c>
      <c r="X718" s="545">
        <f>SUMIFS(Таблица14[Столбец2],Таблица14[коэф],"1,4",Таблица14[р/р],"3/24",Таблица14[Ф. И. О.],B715)</f>
        <v>0</v>
      </c>
      <c r="Y718" s="770"/>
      <c r="Z718" s="766"/>
      <c r="AA718" s="756"/>
    </row>
    <row r="719" spans="1:29" ht="18.75" customHeight="1">
      <c r="A719" s="756"/>
      <c r="B719" s="215"/>
      <c r="C719" s="759"/>
      <c r="D719" s="762"/>
      <c r="E719" s="389"/>
      <c r="F719" s="390"/>
      <c r="G719" s="400"/>
      <c r="H719" s="392"/>
      <c r="I719" s="432"/>
      <c r="J719" s="433"/>
      <c r="K719" s="434"/>
      <c r="L719" s="434"/>
      <c r="M719" s="434"/>
      <c r="N719" s="434"/>
      <c r="O719" s="434"/>
      <c r="P719" s="406"/>
      <c r="Q719" s="389">
        <f>база!$L$5</f>
        <v>231.45480000000001</v>
      </c>
      <c r="R719" s="390">
        <v>1.4</v>
      </c>
      <c r="S719" s="400">
        <f>SUMIFS(Таблица14[часы],Таблица14[коэф],"1,4",Таблица14[р/р],"4/16",Таблица14[Ф. И. О.],B715)</f>
        <v>0</v>
      </c>
      <c r="T719" s="392">
        <f>SUMIFS(Таблица14[Столбец2],Таблица14[коэф],"1,4",Таблица14[р/р],"4/16",Таблица14[Ф. И. О.],B715)</f>
        <v>0</v>
      </c>
      <c r="U719" s="478">
        <f>база!$M$5</f>
        <v>247.41720000000001</v>
      </c>
      <c r="V719" s="390">
        <v>1.4</v>
      </c>
      <c r="W719" s="412">
        <f>SUMIFS(Таблица14[часы],Таблица14[коэф],"1,4",Таблица14[р/р],"4/24",Таблица14[Ф. И. О.],B715)</f>
        <v>0</v>
      </c>
      <c r="X719" s="545">
        <f>SUMIFS(Таблица14[Столбец2],Таблица14[коэф],"1,4",Таблица14[р/р],"4/24",Таблица14[Ф. И. О.],B715)</f>
        <v>0</v>
      </c>
      <c r="Y719" s="770"/>
      <c r="Z719" s="766"/>
      <c r="AA719" s="756"/>
    </row>
    <row r="720" spans="1:29" ht="19.5" customHeight="1" thickBot="1">
      <c r="A720" s="757"/>
      <c r="B720" s="352"/>
      <c r="C720" s="760"/>
      <c r="D720" s="763"/>
      <c r="E720" s="445"/>
      <c r="F720" s="446"/>
      <c r="G720" s="647"/>
      <c r="H720" s="535"/>
      <c r="I720" s="648"/>
      <c r="J720" s="615"/>
      <c r="K720" s="649"/>
      <c r="L720" s="457"/>
      <c r="M720" s="648"/>
      <c r="N720" s="649"/>
      <c r="O720" s="649"/>
      <c r="P720" s="538"/>
      <c r="Q720" s="650">
        <f>база!$L$6</f>
        <v>261.04640000000001</v>
      </c>
      <c r="R720" s="446">
        <v>1.4</v>
      </c>
      <c r="S720" s="447">
        <f>SUMIFS(Таблица14[часы],Таблица14[коэф],"1,4",Таблица14[р/р],"5/16",Таблица14[Ф. И. О.],B715)</f>
        <v>0</v>
      </c>
      <c r="T720" s="535">
        <f>SUMIFS(Таблица14[Столбец2],Таблица14[коэф],"1,4",Таблица14[р/р],"5/16",Таблица14[Ф. И. О.],B715)</f>
        <v>0</v>
      </c>
      <c r="U720" s="536">
        <f>база!$M$6</f>
        <v>279.0496</v>
      </c>
      <c r="V720" s="464">
        <v>1.4</v>
      </c>
      <c r="W720" s="447">
        <f>SUMIFS(Таблица14[часы],Таблица14[коэф],"1,4",Таблица14[р/р],"5/24",Таблица14[Ф. И. О.],B715)</f>
        <v>0</v>
      </c>
      <c r="X720" s="535">
        <f>SUMIFS(Таблица14[Столбец2],Таблица14[коэф],"1,4",Таблица14[р/р],"5/24",Таблица14[Ф. И. О.],B715)</f>
        <v>0</v>
      </c>
      <c r="Y720" s="771"/>
      <c r="Z720" s="767"/>
      <c r="AA720" s="757"/>
    </row>
    <row r="721" spans="1:29" ht="18.75" customHeight="1">
      <c r="A721" s="756">
        <v>66</v>
      </c>
      <c r="B721" s="215"/>
      <c r="C721" s="758">
        <f>INDEX(база!$E$2:$E$150, MATCH(B726,база!$B$2:$B$150,0))</f>
        <v>17102</v>
      </c>
      <c r="D721" s="761">
        <f>INDEX(база!$D$2:$D$150, MATCH(B726,база!$B$2:$B$150,0))</f>
        <v>3</v>
      </c>
      <c r="E721" s="481">
        <f>IF(D721&lt;=3,база!$I$4,
IF(D721=4,база!$I$5,
IF(D721=5,база!$I$6)))</f>
        <v>188.7912</v>
      </c>
      <c r="F721" s="417">
        <v>1</v>
      </c>
      <c r="G721" s="418">
        <f>SUMIFS(Таблица14[часы],Таблица14[коэф],"1",Таблица14[р/р],"2/4",Таблица14[Ф. И. О.],B726)</f>
        <v>0</v>
      </c>
      <c r="H721" s="402">
        <f>SUMIFS(Таблица14[Столбец2],Таблица14[коэф],"1",Таблица14[р/р],"2/4",Таблица14[Ф. И. О.],B726)</f>
        <v>0</v>
      </c>
      <c r="I721" s="452">
        <f>IF(D721&lt;=3,база!$J$4,
IF(D721=4,база!$J$5,
IF(D721=5,база!$J$6)))</f>
        <v>196.05240000000001</v>
      </c>
      <c r="J721" s="475">
        <v>1</v>
      </c>
      <c r="K721" s="453">
        <f>SUMIFS(Таблица14[часы],Таблица14[коэф],"1",Таблица14[р/р],"2/8",Таблица14[Ф. И. О.],B726)</f>
        <v>0</v>
      </c>
      <c r="L721" s="453">
        <f>SUMIFS(Таблица14[Столбец2],Таблица14[коэф],"1",Таблица14[р/р],"2/8",Таблица14[Ф. И. О.],B726)</f>
        <v>0</v>
      </c>
      <c r="M721" s="453"/>
      <c r="N721" s="453">
        <v>1</v>
      </c>
      <c r="O721" s="453">
        <f>SUMIFS(Data_Tech!$AM$3:$AM$67,Data_Tech!$E$3:$E$67,"1",Data_Tech!$G$3:$G$67,"3/12",Data_Tech!$F$3:$F$67,B726)</f>
        <v>0</v>
      </c>
      <c r="P721" s="398">
        <f>ROUND(M721*N721*O721,2)</f>
        <v>0</v>
      </c>
      <c r="Q721" s="481">
        <f>IF(D721&lt;=3,база!$L$4,
IF(D721=4,база!$L$5,
IF(D721=5,база!$L$6)))</f>
        <v>210.57480000000001</v>
      </c>
      <c r="R721" s="417">
        <v>1</v>
      </c>
      <c r="S721" s="418">
        <f>SUMIFS(Таблица14[часы],Таблица14[коэф],"1",Таблица14[р/р],"3/16",Таблица14[Ф. И. О.],B726)</f>
        <v>0</v>
      </c>
      <c r="T721" s="402">
        <f>SUMIFS(Таблица14[Столбец2],Таблица14[коэф],"1",Таблица14[р/р],"3/16",Таблица14[Ф. И. О.],B726)</f>
        <v>0</v>
      </c>
      <c r="U721" s="483">
        <f>IF(D721&lt;=3,база!$M$4,
IF(D721=4,база!$M$5,
IF(D721=5,база!$M$6)))</f>
        <v>225.09719999999999</v>
      </c>
      <c r="V721" s="417">
        <v>1</v>
      </c>
      <c r="W721" s="455">
        <f>SUMIFS(Таблица14[часы],Таблица14[коэф],"1",Таблица14[р/р],"3/24",Таблица14[Ф. И. О.],B726)</f>
        <v>0</v>
      </c>
      <c r="X721" s="552">
        <f>SUMIFS(Таблица14[Столбец2],Таблица14[коэф],"1",Таблица14[р/р],"3/24",Таблица14[Ф. И. О.],B726)</f>
        <v>0</v>
      </c>
      <c r="Y721" s="770">
        <f t="shared" ref="Y721" si="268">SUM(G721:G731,K721:K731,O721:O731,S721:S731,W721:W731)</f>
        <v>0</v>
      </c>
      <c r="Z721" s="766">
        <f t="shared" ref="Z721" si="269">IFERROR(SUM(H721:H731,L721:L731,T721:T731,X721:X731),"")</f>
        <v>0</v>
      </c>
      <c r="AA721" s="756"/>
    </row>
    <row r="722" spans="1:29" ht="18.75" customHeight="1">
      <c r="A722" s="756"/>
      <c r="B722" s="215"/>
      <c r="C722" s="759"/>
      <c r="D722" s="762"/>
      <c r="E722" s="389">
        <f>IF(D721&lt;=3,база!$I$4,
IF(D721=4,база!$I$5,
IF(D721=5,база!$I$6)))</f>
        <v>188.7912</v>
      </c>
      <c r="F722" s="390">
        <v>1</v>
      </c>
      <c r="G722" s="400">
        <f>SUMIFS(Таблица14[часы],Таблица14[коэф],"1",Таблица14[р/р],"3/4",Таблица14[Ф. И. О.],B726)</f>
        <v>0</v>
      </c>
      <c r="H722" s="392">
        <f>SUMIFS(Таблица14[Столбец2],Таблица14[коэф],"1",Таблица14[р/р],"3/4",Таблица14[Ф. И. О.],B726)</f>
        <v>0</v>
      </c>
      <c r="I722" s="432">
        <f>IF(D721&lt;=3,база!$J$4,
IF(D721=4,база!$J$5,
IF(D721=5,база!$J$6)))</f>
        <v>196.05240000000001</v>
      </c>
      <c r="J722" s="433">
        <v>1</v>
      </c>
      <c r="K722" s="434">
        <f>SUMIFS(Таблица14[часы],Таблица14[коэф],"1",Таблица14[р/р],"3/8",Таблица14[Ф. И. О.],B726)</f>
        <v>0</v>
      </c>
      <c r="L722" s="434">
        <f>SUMIFS(Таблица14[Столбец2],Таблица14[коэф],"1",Таблица14[р/р],"3/8",Таблица14[Ф. И. О.],B726)</f>
        <v>0</v>
      </c>
      <c r="M722" s="434"/>
      <c r="N722" s="434">
        <v>1</v>
      </c>
      <c r="O722" s="434">
        <f>SUMIFS(Data_Tech!$AM$3:$AM$67,Data_Tech!$E$3:$E$67,"1",Data_Tech!$G$3:$G$67,"4/12",Data_Tech!$F$3:$F$67,B726)</f>
        <v>0</v>
      </c>
      <c r="P722" s="406">
        <f>ROUND(M722*O722,2)</f>
        <v>0</v>
      </c>
      <c r="Q722" s="389">
        <f>база!$L$5</f>
        <v>231.45480000000001</v>
      </c>
      <c r="R722" s="390">
        <v>1</v>
      </c>
      <c r="S722" s="400">
        <f>SUMIFS(Таблица14[часы],Таблица14[коэф],"1",Таблица14[р/р],"4/16",Таблица14[Ф. И. О.],B726)</f>
        <v>0</v>
      </c>
      <c r="T722" s="392">
        <f>SUMIFS(Таблица14[Столбец2],Таблица14[коэф],"1",Таблица14[р/р],"4/16",Таблица14[Ф. И. О.],B726)</f>
        <v>0</v>
      </c>
      <c r="U722" s="478">
        <f>база!$M$5</f>
        <v>247.41720000000001</v>
      </c>
      <c r="V722" s="390">
        <v>1</v>
      </c>
      <c r="W722" s="412">
        <f>SUMIFS(Таблица14[часы],Таблица14[коэф],"1",Таблица14[р/р],"4/24",Таблица14[Ф. И. О.],B726)</f>
        <v>0</v>
      </c>
      <c r="X722" s="545">
        <f>SUMIFS(Таблица14[Столбец2],Таблица14[коэф],"1",Таблица14[р/р],"4/24",Таблица14[Ф. И. О.],B726)</f>
        <v>0</v>
      </c>
      <c r="Y722" s="770"/>
      <c r="Z722" s="766"/>
      <c r="AA722" s="756"/>
    </row>
    <row r="723" spans="1:29" ht="18.75" customHeight="1">
      <c r="A723" s="756"/>
      <c r="B723" s="215"/>
      <c r="C723" s="759"/>
      <c r="D723" s="762"/>
      <c r="E723" s="389"/>
      <c r="F723" s="390"/>
      <c r="G723" s="400"/>
      <c r="H723" s="392"/>
      <c r="I723" s="432"/>
      <c r="J723" s="433"/>
      <c r="K723" s="434"/>
      <c r="L723" s="434"/>
      <c r="M723" s="434"/>
      <c r="N723" s="434"/>
      <c r="O723" s="434"/>
      <c r="P723" s="406"/>
      <c r="Q723" s="389">
        <f>база!$L$6</f>
        <v>261.04640000000001</v>
      </c>
      <c r="R723" s="390">
        <v>1</v>
      </c>
      <c r="S723" s="400">
        <f>SUMIFS(Таблица14[часы],Таблица14[коэф],"1",Таблица14[р/р],"5/16",Таблица14[Ф. И. О.],B726)</f>
        <v>0</v>
      </c>
      <c r="T723" s="392">
        <f>SUMIFS(Таблица14[Столбец2],Таблица14[коэф],"1",Таблица14[р/р],"5/16",Таблица14[Ф. И. О.],B726)</f>
        <v>0</v>
      </c>
      <c r="U723" s="478">
        <f>база!$M$6</f>
        <v>279.0496</v>
      </c>
      <c r="V723" s="390">
        <v>1</v>
      </c>
      <c r="W723" s="412">
        <f>SUMIFS(Таблица14[часы],Таблица14[коэф],"1",Таблица14[р/р],"5/24",Таблица14[Ф. И. О.],B726)</f>
        <v>0</v>
      </c>
      <c r="X723" s="545">
        <f>SUMIFS(Таблица14[Столбец2],Таблица14[коэф],"1",Таблица14[р/р],"5/24",Таблица14[Ф. И. О.],B726)</f>
        <v>0</v>
      </c>
      <c r="Y723" s="770"/>
      <c r="Z723" s="766"/>
      <c r="AA723" s="756"/>
    </row>
    <row r="724" spans="1:29" ht="18.75" customHeight="1">
      <c r="A724" s="756"/>
      <c r="B724" s="215"/>
      <c r="C724" s="759"/>
      <c r="D724" s="762"/>
      <c r="E724" s="389"/>
      <c r="F724" s="390"/>
      <c r="G724" s="400"/>
      <c r="H724" s="392"/>
      <c r="I724" s="432">
        <f>база!$J$5</f>
        <v>215.4924</v>
      </c>
      <c r="J724" s="433">
        <v>1.5</v>
      </c>
      <c r="K724" s="434">
        <f>SUMIFS(Таблица14[часы],Таблица14[коэф],"1,5",Таблица14[р/р],"4/8",Таблица14[Ф. И. О.],B726)</f>
        <v>0</v>
      </c>
      <c r="L724" s="434">
        <f>SUMIFS(Таблица14[Столбец2],Таблица14[коэф],"1,5",Таблица14[р/р],"4/8",Таблица14[Ф. И. О.],B726)</f>
        <v>0</v>
      </c>
      <c r="M724" s="434"/>
      <c r="N724" s="434"/>
      <c r="O724" s="434"/>
      <c r="P724" s="406"/>
      <c r="Q724" s="389">
        <f>IF(D721&lt;=3,база!$L$4,
IF(D721=4,база!$L$5,
IF(D721=5,база!$L$6)))</f>
        <v>210.57480000000001</v>
      </c>
      <c r="R724" s="390">
        <v>1.2</v>
      </c>
      <c r="S724" s="400">
        <f>SUMIFS(Таблица14[часы],Таблица14[коэф],"1,2",Таблица14[р/р],"3/16",Таблица14[Ф. И. О.],B726)</f>
        <v>0</v>
      </c>
      <c r="T724" s="392">
        <f>SUMIFS(Таблица14[Столбец2],Таблица14[коэф],"1,2",Таблица14[р/р],"3/16",Таблица14[Ф. И. О.],B726)</f>
        <v>0</v>
      </c>
      <c r="U724" s="478">
        <f>IF(D721&lt;=3,база!$M$4,
IF(D721=4,база!$M$5,
IF(D721=5,база!$M$6)))</f>
        <v>225.09719999999999</v>
      </c>
      <c r="V724" s="390">
        <v>1.2</v>
      </c>
      <c r="W724" s="412">
        <f>SUMIFS(Таблица14[часы],Таблица14[коэф],"1,2",Таблица14[р/р],"3/24",Таблица14[Ф. И. О.],B726)</f>
        <v>0</v>
      </c>
      <c r="X724" s="545">
        <f>SUMIFS(Таблица14[Столбец2],Таблица14[коэф],"1,2",Таблица14[р/р],"3/24",Таблица14[Ф. И. О.],B726)</f>
        <v>0</v>
      </c>
      <c r="Y724" s="770"/>
      <c r="Z724" s="766"/>
      <c r="AA724" s="756"/>
    </row>
    <row r="725" spans="1:29" ht="18.75" customHeight="1">
      <c r="A725" s="756"/>
      <c r="B725" s="215"/>
      <c r="C725" s="759"/>
      <c r="D725" s="762"/>
      <c r="E725" s="389"/>
      <c r="F725" s="390"/>
      <c r="G725" s="400"/>
      <c r="H725" s="392"/>
      <c r="I725" s="432">
        <f>база!$J$6</f>
        <v>243.04319999999998</v>
      </c>
      <c r="J725" s="433">
        <v>1.5</v>
      </c>
      <c r="K725" s="434">
        <f>SUMIFS(Таблица14[часы],Таблица14[коэф],"1,5",Таблица14[р/р],"5/8",Таблица14[Ф. И. О.],B726)</f>
        <v>0</v>
      </c>
      <c r="L725" s="434">
        <f>SUMIFS(Таблица14[Столбец2],Таблица14[коэф],"1,5",Таблица14[р/р],"5/8",Таблица14[Ф. И. О.],B726)</f>
        <v>0</v>
      </c>
      <c r="M725" s="434"/>
      <c r="N725" s="434"/>
      <c r="O725" s="434"/>
      <c r="P725" s="406"/>
      <c r="Q725" s="389">
        <f>база!$L$5</f>
        <v>231.45480000000001</v>
      </c>
      <c r="R725" s="390">
        <v>1.2</v>
      </c>
      <c r="S725" s="400">
        <f>SUMIFS(Таблица14[часы],Таблица14[коэф],"1,2",Таблица14[р/р],"4/16",Таблица14[Ф. И. О.],B726)</f>
        <v>0</v>
      </c>
      <c r="T725" s="392">
        <f>SUMIFS(Таблица14[Столбец2],Таблица14[коэф],"1,2",Таблица14[р/р],"4/16",Таблица14[Ф. И. О.],B726)</f>
        <v>0</v>
      </c>
      <c r="U725" s="478">
        <f>база!$M$5</f>
        <v>247.41720000000001</v>
      </c>
      <c r="V725" s="390">
        <v>1.2</v>
      </c>
      <c r="W725" s="412">
        <f>SUMIFS(Таблица14[часы],Таблица14[коэф],"1,2",Таблица14[р/р],"4/24",Таблица14[Ф. И. О.],B726)</f>
        <v>0</v>
      </c>
      <c r="X725" s="545">
        <f>SUMIFS(Таблица14[Столбец2],Таблица14[коэф],"1,2",Таблица14[р/р],"4/24",Таблица14[Ф. И. О.],B726)</f>
        <v>0</v>
      </c>
      <c r="Y725" s="770"/>
      <c r="Z725" s="766"/>
      <c r="AA725" s="756"/>
      <c r="AC725" s="752" t="str">
        <f>IF(SUMIFS(Таблица14[Столбец2],Таблица14[Ф. И. О.],B726)-Z721=0,"",SUMIFS(Таблица14[Столбец2],Таблица14[Ф. И. О.],B726)-Z721)</f>
        <v/>
      </c>
    </row>
    <row r="726" spans="1:29" ht="18.75" customHeight="1">
      <c r="A726" s="756"/>
      <c r="B726" s="215" t="str">
        <f>база!B67</f>
        <v>Сайпулаева Феодосия Андреевна</v>
      </c>
      <c r="C726" s="759"/>
      <c r="D726" s="762"/>
      <c r="E726" s="389"/>
      <c r="F726" s="390"/>
      <c r="G726" s="400"/>
      <c r="H726" s="392"/>
      <c r="I726" s="432"/>
      <c r="J726" s="433"/>
      <c r="K726" s="434"/>
      <c r="L726" s="434"/>
      <c r="M726" s="434"/>
      <c r="N726" s="434"/>
      <c r="O726" s="434"/>
      <c r="P726" s="406"/>
      <c r="Q726" s="389">
        <f>база!$L$6</f>
        <v>261.04640000000001</v>
      </c>
      <c r="R726" s="390">
        <v>1.2</v>
      </c>
      <c r="S726" s="400">
        <f>SUMIFS(Таблица14[часы],Таблица14[коэф],"1,2",Таблица14[р/р],"5/16",Таблица14[Ф. И. О.],B726)</f>
        <v>0</v>
      </c>
      <c r="T726" s="392">
        <f>SUMIFS(Таблица14[Столбец2],Таблица14[коэф],"1,2",Таблица14[р/р],"5/16",Таблица14[Ф. И. О.],B726)</f>
        <v>0</v>
      </c>
      <c r="U726" s="478">
        <f>база!$M$6</f>
        <v>279.0496</v>
      </c>
      <c r="V726" s="390">
        <v>1.2</v>
      </c>
      <c r="W726" s="412">
        <f>SUMIFS(Таблица14[часы],Таблица14[коэф],"1,2",Таблица14[р/р],"5/24",Таблица14[Ф. И. О.],B726)</f>
        <v>0</v>
      </c>
      <c r="X726" s="545">
        <f>SUMIFS(Таблица14[Столбец2],Таблица14[коэф],"1,2",Таблица14[р/р],"5/24",Таблица14[Ф. И. О.],B726)</f>
        <v>0</v>
      </c>
      <c r="Y726" s="770"/>
      <c r="Z726" s="766"/>
      <c r="AA726" s="756"/>
      <c r="AC726" s="752" t="str">
        <f>IF(SUMIFS(Таблица14[часы],Таблица14[Ф. И. О.],B726)-Y721=0,"",SUMIFS(Таблица14[часы],Таблица14[Ф. И. О.],B726)-Y721)</f>
        <v/>
      </c>
    </row>
    <row r="727" spans="1:29" ht="18.75" customHeight="1">
      <c r="A727" s="756"/>
      <c r="B727" s="215"/>
      <c r="C727" s="759"/>
      <c r="D727" s="762"/>
      <c r="E727" s="389"/>
      <c r="F727" s="390"/>
      <c r="G727" s="400"/>
      <c r="H727" s="392"/>
      <c r="I727" s="432"/>
      <c r="J727" s="433"/>
      <c r="K727" s="434"/>
      <c r="L727" s="434"/>
      <c r="M727" s="434"/>
      <c r="N727" s="434"/>
      <c r="O727" s="434"/>
      <c r="P727" s="406"/>
      <c r="Q727" s="389">
        <f>IF($D$6&lt;=3,база!$L$4,
IF($D$6=4,база!$L$5,
IF($D$6=5,база!$L$6)))</f>
        <v>231.45480000000001</v>
      </c>
      <c r="R727" s="390">
        <v>1.3</v>
      </c>
      <c r="S727" s="400">
        <f>SUMIFS(Таблица14[часы],Таблица14[коэф],"1,3",Таблица14[р/р],"3/16",Таблица14[Ф. И. О.],B726)</f>
        <v>0</v>
      </c>
      <c r="T727" s="392">
        <f>SUMIFS(Таблица14[Столбец2],Таблица14[коэф],"1,3",Таблица14[р/р],"3/16",Таблица14[Ф. И. О.],B726)</f>
        <v>0</v>
      </c>
      <c r="U727" s="478">
        <f>IF(D721&lt;=3,база!$M$4,
IF(D721=4,база!$M$5,
IF(D721=5,база!$M$6)))</f>
        <v>225.09719999999999</v>
      </c>
      <c r="V727" s="390">
        <v>1.3</v>
      </c>
      <c r="W727" s="412">
        <f>SUMIFS(Таблица14[часы],Таблица14[коэф],"1,3",Таблица14[р/р],"3/24",Таблица14[Ф. И. О.],B726)</f>
        <v>0</v>
      </c>
      <c r="X727" s="545">
        <f>SUMIFS(Таблица14[Столбец2],Таблица14[коэф],"1,3",Таблица14[р/р],"3/24",Таблица14[Ф. И. О.],B726)</f>
        <v>0</v>
      </c>
      <c r="Y727" s="770"/>
      <c r="Z727" s="766"/>
      <c r="AA727" s="756"/>
    </row>
    <row r="728" spans="1:29" ht="18.75" customHeight="1">
      <c r="A728" s="756"/>
      <c r="B728" s="215"/>
      <c r="C728" s="759"/>
      <c r="D728" s="762"/>
      <c r="E728" s="389"/>
      <c r="F728" s="390"/>
      <c r="G728" s="400"/>
      <c r="H728" s="392"/>
      <c r="I728" s="432"/>
      <c r="J728" s="433"/>
      <c r="K728" s="434"/>
      <c r="L728" s="434"/>
      <c r="M728" s="434"/>
      <c r="N728" s="434"/>
      <c r="O728" s="434"/>
      <c r="P728" s="406"/>
      <c r="Q728" s="389">
        <f>база!$L$5</f>
        <v>231.45480000000001</v>
      </c>
      <c r="R728" s="390">
        <v>1.3</v>
      </c>
      <c r="S728" s="400">
        <f>SUMIFS(Таблица14[часы],Таблица14[коэф],"1,3",Таблица14[р/р],"4/16",Таблица14[Ф. И. О.],B726)</f>
        <v>0</v>
      </c>
      <c r="T728" s="392">
        <f>SUMIFS(Таблица14[Столбец2],Таблица14[коэф],"1,3",Таблица14[р/р],"4/16",Таблица14[Ф. И. О.],B726)</f>
        <v>0</v>
      </c>
      <c r="U728" s="478">
        <f>база!$M$5</f>
        <v>247.41720000000001</v>
      </c>
      <c r="V728" s="390">
        <v>1.3</v>
      </c>
      <c r="W728" s="412">
        <f>SUMIFS(Таблица14[часы],Таблица14[коэф],"1,3",Таблица14[р/р],"4/24",Таблица14[Ф. И. О.],B726)</f>
        <v>0</v>
      </c>
      <c r="X728" s="545">
        <f>SUMIFS(Таблица14[Столбец2],Таблица14[коэф],"1,3",Таблица14[р/р],"4/24",Таблица14[Ф. И. О.],B726)</f>
        <v>0</v>
      </c>
      <c r="Y728" s="770"/>
      <c r="Z728" s="766"/>
      <c r="AA728" s="756"/>
    </row>
    <row r="729" spans="1:29" ht="18.75" customHeight="1">
      <c r="A729" s="756"/>
      <c r="B729" s="215"/>
      <c r="C729" s="759"/>
      <c r="D729" s="762"/>
      <c r="E729" s="389"/>
      <c r="F729" s="390"/>
      <c r="G729" s="400"/>
      <c r="H729" s="392"/>
      <c r="I729" s="432"/>
      <c r="J729" s="433"/>
      <c r="K729" s="434"/>
      <c r="L729" s="434"/>
      <c r="M729" s="434"/>
      <c r="N729" s="434"/>
      <c r="O729" s="434"/>
      <c r="P729" s="406"/>
      <c r="Q729" s="389">
        <f>IF(D721&lt;=3,база!$L$4,
IF(D721=4,база!$L$5,
IF(D721=5,база!$L$6)))</f>
        <v>210.57480000000001</v>
      </c>
      <c r="R729" s="390">
        <v>1.4</v>
      </c>
      <c r="S729" s="400">
        <f>SUMIFS(Таблица14[часы],Таблица14[коэф],"1,4",Таблица14[р/р],"3/16",Таблица14[Ф. И. О.],B726)</f>
        <v>0</v>
      </c>
      <c r="T729" s="392">
        <f>SUMIFS(Таблица14[Столбец2],Таблица14[коэф],"1,4",Таблица14[р/р],"3/16",Таблица14[Ф. И. О.],B726)</f>
        <v>0</v>
      </c>
      <c r="U729" s="478">
        <f>IF(D721&lt;=3,база!$M$4,
IF(D721=4,база!$M$5,
IF(D721=5,база!$M$6)))</f>
        <v>225.09719999999999</v>
      </c>
      <c r="V729" s="390">
        <v>1.4</v>
      </c>
      <c r="W729" s="412">
        <f>SUMIFS(Таблица14[часы],Таблица14[коэф],"1,4",Таблица14[р/р],"3/24",Таблица14[Ф. И. О.],B726)</f>
        <v>0</v>
      </c>
      <c r="X729" s="545">
        <f>SUMIFS(Таблица14[Столбец2],Таблица14[коэф],"1,4",Таблица14[р/р],"3/24",Таблица14[Ф. И. О.],B726)</f>
        <v>0</v>
      </c>
      <c r="Y729" s="770"/>
      <c r="Z729" s="766"/>
      <c r="AA729" s="756"/>
    </row>
    <row r="730" spans="1:29" ht="18.75" customHeight="1">
      <c r="A730" s="756"/>
      <c r="B730" s="215"/>
      <c r="C730" s="759"/>
      <c r="D730" s="762"/>
      <c r="E730" s="389"/>
      <c r="F730" s="390"/>
      <c r="G730" s="400"/>
      <c r="H730" s="392"/>
      <c r="I730" s="432"/>
      <c r="J730" s="433"/>
      <c r="K730" s="434"/>
      <c r="L730" s="434"/>
      <c r="M730" s="434"/>
      <c r="N730" s="434"/>
      <c r="O730" s="434"/>
      <c r="P730" s="406"/>
      <c r="Q730" s="389">
        <f>база!$L$5</f>
        <v>231.45480000000001</v>
      </c>
      <c r="R730" s="390">
        <v>1.4</v>
      </c>
      <c r="S730" s="400">
        <f>SUMIFS(Таблица14[часы],Таблица14[коэф],"1,4",Таблица14[р/р],"4/16",Таблица14[Ф. И. О.],B726)</f>
        <v>0</v>
      </c>
      <c r="T730" s="392">
        <f>SUMIFS(Таблица14[Столбец2],Таблица14[коэф],"1,4",Таблица14[р/р],"4/16",Таблица14[Ф. И. О.],B726)</f>
        <v>0</v>
      </c>
      <c r="U730" s="478">
        <f>база!$M$5</f>
        <v>247.41720000000001</v>
      </c>
      <c r="V730" s="390">
        <v>1.4</v>
      </c>
      <c r="W730" s="412">
        <f>SUMIFS(Таблица14[часы],Таблица14[коэф],"1,4",Таблица14[р/р],"4/24",Таблица14[Ф. И. О.],B726)</f>
        <v>0</v>
      </c>
      <c r="X730" s="545">
        <f>SUMIFS(Таблица14[Столбец2],Таблица14[коэф],"1,4",Таблица14[р/р],"4/24",Таблица14[Ф. И. О.],B726)</f>
        <v>0</v>
      </c>
      <c r="Y730" s="770"/>
      <c r="Z730" s="766"/>
      <c r="AA730" s="756"/>
    </row>
    <row r="731" spans="1:29" ht="19.5" customHeight="1" thickBot="1">
      <c r="A731" s="757"/>
      <c r="B731" s="352"/>
      <c r="C731" s="760"/>
      <c r="D731" s="763"/>
      <c r="E731" s="437"/>
      <c r="F731" s="438"/>
      <c r="G731" s="682"/>
      <c r="H731" s="440"/>
      <c r="I731" s="413"/>
      <c r="J731" s="602"/>
      <c r="K731" s="414"/>
      <c r="L731" s="460"/>
      <c r="M731" s="413"/>
      <c r="N731" s="414"/>
      <c r="O731" s="414"/>
      <c r="P731" s="415"/>
      <c r="Q731" s="677">
        <f>база!$L$6</f>
        <v>261.04640000000001</v>
      </c>
      <c r="R731" s="438">
        <v>1.4</v>
      </c>
      <c r="S731" s="439">
        <f>SUMIFS(Таблица14[часы],Таблица14[коэф],"1,4",Таблица14[р/р],"5/16",Таблица14[Ф. И. О.],B726)</f>
        <v>0</v>
      </c>
      <c r="T731" s="440">
        <f>SUMIFS(Таблица14[Столбец2],Таблица14[коэф],"1,4",Таблица14[р/р],"5/16",Таблица14[Ф. И. О.],B726)</f>
        <v>0</v>
      </c>
      <c r="U731" s="515">
        <f>база!$M$6</f>
        <v>279.0496</v>
      </c>
      <c r="V731" s="403">
        <v>1.4</v>
      </c>
      <c r="W731" s="439">
        <f>SUMIFS(Таблица14[часы],Таблица14[коэф],"1,4",Таблица14[р/р],"5/24",Таблица14[Ф. И. О.],B726)</f>
        <v>0</v>
      </c>
      <c r="X731" s="440">
        <f>SUMIFS(Таблица14[Столбец2],Таблица14[коэф],"1,4",Таблица14[р/р],"5/24",Таблица14[Ф. И. О.],B726)</f>
        <v>0</v>
      </c>
      <c r="Y731" s="771"/>
      <c r="Z731" s="767"/>
      <c r="AA731" s="757"/>
    </row>
    <row r="732" spans="1:29" ht="18.75" customHeight="1">
      <c r="A732" s="756">
        <v>67</v>
      </c>
      <c r="B732" s="215"/>
      <c r="C732" s="758">
        <f>INDEX(база!$E$2:$E$150, MATCH(B737,база!$B$2:$B$150,0))</f>
        <v>17329</v>
      </c>
      <c r="D732" s="761">
        <f>INDEX(база!$D$2:$D$150, MATCH(B737,база!$B$2:$B$150,0))</f>
        <v>3</v>
      </c>
      <c r="E732" s="377">
        <f>IF(D732&lt;=3,база!$I$4,
IF(D732=4,база!$I$5,
IF(D732=5,база!$I$6)))</f>
        <v>188.7912</v>
      </c>
      <c r="F732" s="378">
        <v>1</v>
      </c>
      <c r="G732" s="387">
        <f>SUMIFS(Таблица14[часы],Таблица14[коэф],"1",Таблица14[р/р],"2/4",Таблица14[Ф. И. О.],B737)</f>
        <v>0</v>
      </c>
      <c r="H732" s="380">
        <f>SUMIFS(Таблица14[Столбец2],Таблица14[коэф],"1",Таблица14[р/р],"2/4",Таблица14[Ф. И. О.],B737)</f>
        <v>0</v>
      </c>
      <c r="I732" s="426">
        <f>IF(D732&lt;=3,база!$J$4,
IF(D732=4,база!$J$5,
IF(D732=5,база!$J$6)))</f>
        <v>196.05240000000001</v>
      </c>
      <c r="J732" s="427">
        <v>1</v>
      </c>
      <c r="K732" s="428">
        <f>SUMIFS(Таблица14[часы],Таблица14[коэф],"1",Таблица14[р/р],"2/8",Таблица14[Ф. И. О.],B737)</f>
        <v>0</v>
      </c>
      <c r="L732" s="428">
        <f>SUMIFS(Таблица14[Столбец2],Таблица14[коэф],"1",Таблица14[р/р],"2/8",Таблица14[Ф. И. О.],B737)</f>
        <v>0</v>
      </c>
      <c r="M732" s="428"/>
      <c r="N732" s="428">
        <v>1</v>
      </c>
      <c r="O732" s="428">
        <f>SUMIFS(Data_Tech!$AM$3:$AM$67,Data_Tech!$E$3:$E$67,"1",Data_Tech!$G$3:$G$67,"3/12",Data_Tech!$F$3:$F$67,B737)</f>
        <v>0</v>
      </c>
      <c r="P732" s="385">
        <f>ROUND(M732*N732*O732,2)</f>
        <v>0</v>
      </c>
      <c r="Q732" s="377">
        <f>IF(D732&lt;=3,база!$L$4,
IF(D732=4,база!$L$5,
IF(D732=5,база!$L$6)))</f>
        <v>210.57480000000001</v>
      </c>
      <c r="R732" s="378">
        <v>1</v>
      </c>
      <c r="S732" s="387">
        <f>SUMIFS(Таблица14[часы],Таблица14[коэф],"1",Таблица14[р/р],"3/16",Таблица14[Ф. И. О.],B737)</f>
        <v>0</v>
      </c>
      <c r="T732" s="380">
        <f>SUMIFS(Таблица14[Столбец2],Таблица14[коэф],"1",Таблица14[р/р],"3/16",Таблица14[Ф. И. О.],B737)</f>
        <v>0</v>
      </c>
      <c r="U732" s="477">
        <f>IF(D732&lt;=3,база!$M$4,
IF(D732=4,база!$M$5,
IF(D732=5,база!$M$6)))</f>
        <v>225.09719999999999</v>
      </c>
      <c r="V732" s="378">
        <v>1</v>
      </c>
      <c r="W732" s="430">
        <f>SUMIFS(Таблица14[часы],Таблица14[коэф],"1",Таблица14[р/р],"3/24",Таблица14[Ф. И. О.],B737)</f>
        <v>0</v>
      </c>
      <c r="X732" s="543">
        <f>SUMIFS(Таблица14[Столбец2],Таблица14[коэф],"1",Таблица14[р/р],"3/24",Таблица14[Ф. И. О.],B737)</f>
        <v>0</v>
      </c>
      <c r="Y732" s="770">
        <f t="shared" ref="Y732" si="270">SUM(G732:G742,K732:K742,O732:O742,S732:S742,W732:W742)</f>
        <v>0</v>
      </c>
      <c r="Z732" s="766">
        <f t="shared" ref="Z732" si="271">IFERROR(SUM(H732:H742,L732:L742,T732:T742,X732:X742),"")</f>
        <v>0</v>
      </c>
      <c r="AA732" s="756"/>
    </row>
    <row r="733" spans="1:29" ht="18.75" customHeight="1">
      <c r="A733" s="756"/>
      <c r="B733" s="215"/>
      <c r="C733" s="759"/>
      <c r="D733" s="762"/>
      <c r="E733" s="389">
        <f>IF(D732&lt;=3,база!$I$4,
IF(D732=4,база!$I$5,
IF(D732=5,база!$I$6)))</f>
        <v>188.7912</v>
      </c>
      <c r="F733" s="390">
        <v>1</v>
      </c>
      <c r="G733" s="400">
        <f>SUMIFS(Таблица14[часы],Таблица14[коэф],"1",Таблица14[р/р],"3/4",Таблица14[Ф. И. О.],B737)</f>
        <v>0</v>
      </c>
      <c r="H733" s="392">
        <f>SUMIFS(Таблица14[Столбец2],Таблица14[коэф],"1",Таблица14[р/р],"3/4",Таблица14[Ф. И. О.],B737)</f>
        <v>0</v>
      </c>
      <c r="I733" s="432">
        <f>IF(D732&lt;=3,база!$J$4,
IF(D732=4,база!$J$5,
IF(D732=5,база!$J$6)))</f>
        <v>196.05240000000001</v>
      </c>
      <c r="J733" s="433">
        <v>1</v>
      </c>
      <c r="K733" s="434">
        <f>SUMIFS(Таблица14[часы],Таблица14[коэф],"1",Таблица14[р/р],"3/8",Таблица14[Ф. И. О.],B737)</f>
        <v>0</v>
      </c>
      <c r="L733" s="434">
        <f>SUMIFS(Таблица14[Столбец2],Таблица14[коэф],"1",Таблица14[р/р],"3/8",Таблица14[Ф. И. О.],B737)</f>
        <v>0</v>
      </c>
      <c r="M733" s="434"/>
      <c r="N733" s="434">
        <v>1</v>
      </c>
      <c r="O733" s="434">
        <f>SUMIFS(Data_Tech!$AM$3:$AM$67,Data_Tech!$E$3:$E$67,"1",Data_Tech!$G$3:$G$67,"4/12",Data_Tech!$F$3:$F$67,B737)</f>
        <v>0</v>
      </c>
      <c r="P733" s="406">
        <f>ROUND(M733*O733,2)</f>
        <v>0</v>
      </c>
      <c r="Q733" s="389">
        <f>база!$L$5</f>
        <v>231.45480000000001</v>
      </c>
      <c r="R733" s="390">
        <v>1</v>
      </c>
      <c r="S733" s="400">
        <f>SUMIFS(Таблица14[часы],Таблица14[коэф],"1",Таблица14[р/р],"4/16",Таблица14[Ф. И. О.],B737)</f>
        <v>0</v>
      </c>
      <c r="T733" s="392">
        <f>SUMIFS(Таблица14[Столбец2],Таблица14[коэф],"1",Таблица14[р/р],"4/16",Таблица14[Ф. И. О.],B737)</f>
        <v>0</v>
      </c>
      <c r="U733" s="478">
        <f>база!$M$5</f>
        <v>247.41720000000001</v>
      </c>
      <c r="V733" s="390">
        <v>1</v>
      </c>
      <c r="W733" s="412">
        <f>SUMIFS(Таблица14[часы],Таблица14[коэф],"1",Таблица14[р/р],"4/24",Таблица14[Ф. И. О.],B737)</f>
        <v>0</v>
      </c>
      <c r="X733" s="545">
        <f>SUMIFS(Таблица14[Столбец2],Таблица14[коэф],"1",Таблица14[р/р],"4/24",Таблица14[Ф. И. О.],B737)</f>
        <v>0</v>
      </c>
      <c r="Y733" s="770"/>
      <c r="Z733" s="766"/>
      <c r="AA733" s="756"/>
    </row>
    <row r="734" spans="1:29" ht="18.75" customHeight="1">
      <c r="A734" s="756"/>
      <c r="B734" s="215"/>
      <c r="C734" s="759"/>
      <c r="D734" s="762"/>
      <c r="E734" s="389"/>
      <c r="F734" s="390"/>
      <c r="G734" s="400"/>
      <c r="H734" s="392"/>
      <c r="I734" s="432"/>
      <c r="J734" s="433"/>
      <c r="K734" s="434"/>
      <c r="L734" s="434"/>
      <c r="M734" s="434"/>
      <c r="N734" s="434"/>
      <c r="O734" s="434"/>
      <c r="P734" s="406"/>
      <c r="Q734" s="389">
        <f>база!$L$6</f>
        <v>261.04640000000001</v>
      </c>
      <c r="R734" s="390">
        <v>1</v>
      </c>
      <c r="S734" s="400">
        <f>SUMIFS(Таблица14[часы],Таблица14[коэф],"1",Таблица14[р/р],"5/16",Таблица14[Ф. И. О.],B737)</f>
        <v>0</v>
      </c>
      <c r="T734" s="392">
        <f>SUMIFS(Таблица14[Столбец2],Таблица14[коэф],"1",Таблица14[р/р],"5/16",Таблица14[Ф. И. О.],B737)</f>
        <v>0</v>
      </c>
      <c r="U734" s="478">
        <f>база!$M$6</f>
        <v>279.0496</v>
      </c>
      <c r="V734" s="390">
        <v>1</v>
      </c>
      <c r="W734" s="412">
        <f>SUMIFS(Таблица14[часы],Таблица14[коэф],"1",Таблица14[р/р],"5/24",Таблица14[Ф. И. О.],B737)</f>
        <v>0</v>
      </c>
      <c r="X734" s="545">
        <f>SUMIFS(Таблица14[Столбец2],Таблица14[коэф],"1",Таблица14[р/р],"5/24",Таблица14[Ф. И. О.],B737)</f>
        <v>0</v>
      </c>
      <c r="Y734" s="770"/>
      <c r="Z734" s="766"/>
      <c r="AA734" s="756"/>
    </row>
    <row r="735" spans="1:29" ht="18.75" customHeight="1">
      <c r="A735" s="756"/>
      <c r="B735" s="215"/>
      <c r="C735" s="759"/>
      <c r="D735" s="762"/>
      <c r="E735" s="389"/>
      <c r="F735" s="390"/>
      <c r="G735" s="400"/>
      <c r="H735" s="392"/>
      <c r="I735" s="432">
        <f>база!$J$5</f>
        <v>215.4924</v>
      </c>
      <c r="J735" s="433">
        <v>1.5</v>
      </c>
      <c r="K735" s="434">
        <f>SUMIFS(Таблица14[часы],Таблица14[коэф],"1,5",Таблица14[р/р],"4/8",Таблица14[Ф. И. О.],B737)</f>
        <v>0</v>
      </c>
      <c r="L735" s="434">
        <f>SUMIFS(Таблица14[Столбец2],Таблица14[коэф],"1,5",Таблица14[р/р],"4/8",Таблица14[Ф. И. О.],B737)</f>
        <v>0</v>
      </c>
      <c r="M735" s="434"/>
      <c r="N735" s="434"/>
      <c r="O735" s="434"/>
      <c r="P735" s="406"/>
      <c r="Q735" s="389">
        <f>IF(D732&lt;=3,база!$L$4,
IF(D732=4,база!$L$5,
IF(D732=5,база!$L$6)))</f>
        <v>210.57480000000001</v>
      </c>
      <c r="R735" s="390">
        <v>1.2</v>
      </c>
      <c r="S735" s="400">
        <f>SUMIFS(Таблица14[часы],Таблица14[коэф],"1,2",Таблица14[р/р],"3/16",Таблица14[Ф. И. О.],B737)</f>
        <v>0</v>
      </c>
      <c r="T735" s="392">
        <f>SUMIFS(Таблица14[Столбец2],Таблица14[коэф],"1,2",Таблица14[р/р],"3/16",Таблица14[Ф. И. О.],B737)</f>
        <v>0</v>
      </c>
      <c r="U735" s="478">
        <f>IF(D732&lt;=3,база!$M$4,
IF(D732=4,база!$M$5,
IF(D732=5,база!$M$6)))</f>
        <v>225.09719999999999</v>
      </c>
      <c r="V735" s="390">
        <v>1.2</v>
      </c>
      <c r="W735" s="412">
        <f>SUMIFS(Таблица14[часы],Таблица14[коэф],"1,2",Таблица14[р/р],"3/24",Таблица14[Ф. И. О.],B737)</f>
        <v>0</v>
      </c>
      <c r="X735" s="545">
        <f>SUMIFS(Таблица14[Столбец2],Таблица14[коэф],"1,2",Таблица14[р/р],"3/24",Таблица14[Ф. И. О.],B737)</f>
        <v>0</v>
      </c>
      <c r="Y735" s="770"/>
      <c r="Z735" s="766"/>
      <c r="AA735" s="756"/>
    </row>
    <row r="736" spans="1:29" ht="18.75" customHeight="1">
      <c r="A736" s="756"/>
      <c r="B736" s="215"/>
      <c r="C736" s="759"/>
      <c r="D736" s="762"/>
      <c r="E736" s="389"/>
      <c r="F736" s="390"/>
      <c r="G736" s="400"/>
      <c r="H736" s="392"/>
      <c r="I736" s="432">
        <f>база!$J$6</f>
        <v>243.04319999999998</v>
      </c>
      <c r="J736" s="433">
        <v>1.5</v>
      </c>
      <c r="K736" s="434">
        <f>SUMIFS(Таблица14[часы],Таблица14[коэф],"1,5",Таблица14[р/р],"5/8",Таблица14[Ф. И. О.],B737)</f>
        <v>0</v>
      </c>
      <c r="L736" s="434">
        <f>SUMIFS(Таблица14[Столбец2],Таблица14[коэф],"1,5",Таблица14[р/р],"5/8",Таблица14[Ф. И. О.],B737)</f>
        <v>0</v>
      </c>
      <c r="M736" s="434"/>
      <c r="N736" s="434"/>
      <c r="O736" s="434"/>
      <c r="P736" s="406"/>
      <c r="Q736" s="389">
        <f>база!$L$5</f>
        <v>231.45480000000001</v>
      </c>
      <c r="R736" s="390">
        <v>1.2</v>
      </c>
      <c r="S736" s="400">
        <f>SUMIFS(Таблица14[часы],Таблица14[коэф],"1,2",Таблица14[р/р],"4/16",Таблица14[Ф. И. О.],B737)</f>
        <v>0</v>
      </c>
      <c r="T736" s="392">
        <f>SUMIFS(Таблица14[Столбец2],Таблица14[коэф],"1,2",Таблица14[р/р],"4/16",Таблица14[Ф. И. О.],B737)</f>
        <v>0</v>
      </c>
      <c r="U736" s="478">
        <f>база!$M$5</f>
        <v>247.41720000000001</v>
      </c>
      <c r="V736" s="390">
        <v>1.2</v>
      </c>
      <c r="W736" s="412">
        <f>SUMIFS(Таблица14[часы],Таблица14[коэф],"1,2",Таблица14[р/р],"4/24",Таблица14[Ф. И. О.],B737)</f>
        <v>0</v>
      </c>
      <c r="X736" s="545">
        <f>SUMIFS(Таблица14[Столбец2],Таблица14[коэф],"1,2",Таблица14[р/р],"4/24",Таблица14[Ф. И. О.],B737)</f>
        <v>0</v>
      </c>
      <c r="Y736" s="770"/>
      <c r="Z736" s="766"/>
      <c r="AA736" s="756"/>
    </row>
    <row r="737" spans="1:29" ht="18.75" customHeight="1">
      <c r="A737" s="756"/>
      <c r="B737" s="215" t="str">
        <f>база!B68</f>
        <v>Силаева Ольга Владимировна</v>
      </c>
      <c r="C737" s="759"/>
      <c r="D737" s="762"/>
      <c r="E737" s="389"/>
      <c r="F737" s="390"/>
      <c r="G737" s="400"/>
      <c r="H737" s="392"/>
      <c r="I737" s="432"/>
      <c r="J737" s="433"/>
      <c r="K737" s="434"/>
      <c r="L737" s="434"/>
      <c r="M737" s="434"/>
      <c r="N737" s="434"/>
      <c r="O737" s="434"/>
      <c r="P737" s="406"/>
      <c r="Q737" s="389">
        <f>база!$L$6</f>
        <v>261.04640000000001</v>
      </c>
      <c r="R737" s="390">
        <v>1.2</v>
      </c>
      <c r="S737" s="400">
        <f>SUMIFS(Таблица14[часы],Таблица14[коэф],"1,2",Таблица14[р/р],"5/16",Таблица14[Ф. И. О.],B737)</f>
        <v>0</v>
      </c>
      <c r="T737" s="392">
        <f>SUMIFS(Таблица14[Столбец2],Таблица14[коэф],"1,2",Таблица14[р/р],"5/16",Таблица14[Ф. И. О.],B737)</f>
        <v>0</v>
      </c>
      <c r="U737" s="478">
        <f>база!$M$6</f>
        <v>279.0496</v>
      </c>
      <c r="V737" s="390">
        <v>1.2</v>
      </c>
      <c r="W737" s="412">
        <f>SUMIFS(Таблица14[часы],Таблица14[коэф],"1,2",Таблица14[р/р],"5/24",Таблица14[Ф. И. О.],B737)</f>
        <v>0</v>
      </c>
      <c r="X737" s="545">
        <f>SUMIFS(Таблица14[Столбец2],Таблица14[коэф],"1,2",Таблица14[р/р],"5/24",Таблица14[Ф. И. О.],B737)</f>
        <v>0</v>
      </c>
      <c r="Y737" s="770"/>
      <c r="Z737" s="766"/>
      <c r="AA737" s="756"/>
      <c r="AC737" s="752" t="str">
        <f>IF(SUMIFS(Таблица14[Столбец2],Таблица14[Ф. И. О.],B737)-Z732=0,"",SUMIFS(Таблица14[Столбец2],Таблица14[Ф. И. О.],B737)-Z732)</f>
        <v/>
      </c>
    </row>
    <row r="738" spans="1:29" ht="18.75" customHeight="1">
      <c r="A738" s="756"/>
      <c r="B738" s="215"/>
      <c r="C738" s="759"/>
      <c r="D738" s="762"/>
      <c r="E738" s="389"/>
      <c r="F738" s="390"/>
      <c r="G738" s="400"/>
      <c r="H738" s="392"/>
      <c r="I738" s="432"/>
      <c r="J738" s="433"/>
      <c r="K738" s="434"/>
      <c r="L738" s="434"/>
      <c r="M738" s="434"/>
      <c r="N738" s="434"/>
      <c r="O738" s="434"/>
      <c r="P738" s="406"/>
      <c r="Q738" s="389">
        <f>IF($D$6&lt;=3,база!$L$4,
IF($D$6=4,база!$L$5,
IF($D$6=5,база!$L$6)))</f>
        <v>231.45480000000001</v>
      </c>
      <c r="R738" s="390">
        <v>1.3</v>
      </c>
      <c r="S738" s="400">
        <f>SUMIFS(Таблица14[часы],Таблица14[коэф],"1,3",Таблица14[р/р],"3/16",Таблица14[Ф. И. О.],B737)</f>
        <v>0</v>
      </c>
      <c r="T738" s="392">
        <f>SUMIFS(Таблица14[Столбец2],Таблица14[коэф],"1,3",Таблица14[р/р],"3/16",Таблица14[Ф. И. О.],B737)</f>
        <v>0</v>
      </c>
      <c r="U738" s="478">
        <f>IF(D732&lt;=3,база!$M$4,
IF(D732=4,база!$M$5,
IF(D732=5,база!$M$6)))</f>
        <v>225.09719999999999</v>
      </c>
      <c r="V738" s="390">
        <v>1.3</v>
      </c>
      <c r="W738" s="412">
        <f>SUMIFS(Таблица14[часы],Таблица14[коэф],"1,3",Таблица14[р/р],"3/24",Таблица14[Ф. И. О.],B737)</f>
        <v>0</v>
      </c>
      <c r="X738" s="545">
        <f>SUMIFS(Таблица14[Столбец2],Таблица14[коэф],"1,3",Таблица14[р/р],"3/24",Таблица14[Ф. И. О.],B737)</f>
        <v>0</v>
      </c>
      <c r="Y738" s="770"/>
      <c r="Z738" s="766"/>
      <c r="AA738" s="756"/>
      <c r="AC738" s="752" t="str">
        <f>IF(SUMIFS(Таблица14[часы],Таблица14[Ф. И. О.],B737)-Y732=0,"",SUMIFS(Таблица14[часы],Таблица14[Ф. И. О.],B737)-Y732)</f>
        <v/>
      </c>
    </row>
    <row r="739" spans="1:29" ht="18.75" customHeight="1">
      <c r="A739" s="756"/>
      <c r="B739" s="215"/>
      <c r="C739" s="759"/>
      <c r="D739" s="762"/>
      <c r="E739" s="389"/>
      <c r="F739" s="390"/>
      <c r="G739" s="400"/>
      <c r="H739" s="392"/>
      <c r="I739" s="432"/>
      <c r="J739" s="433"/>
      <c r="K739" s="434"/>
      <c r="L739" s="434"/>
      <c r="M739" s="434"/>
      <c r="N739" s="434"/>
      <c r="O739" s="434"/>
      <c r="P739" s="406"/>
      <c r="Q739" s="389">
        <f>база!$L$5</f>
        <v>231.45480000000001</v>
      </c>
      <c r="R739" s="390">
        <v>1.3</v>
      </c>
      <c r="S739" s="400">
        <f>SUMIFS(Таблица14[часы],Таблица14[коэф],"1,3",Таблица14[р/р],"4/16",Таблица14[Ф. И. О.],B737)</f>
        <v>0</v>
      </c>
      <c r="T739" s="392">
        <f>SUMIFS(Таблица14[Столбец2],Таблица14[коэф],"1,3",Таблица14[р/р],"4/16",Таблица14[Ф. И. О.],B737)</f>
        <v>0</v>
      </c>
      <c r="U739" s="478">
        <f>база!$M$5</f>
        <v>247.41720000000001</v>
      </c>
      <c r="V739" s="390">
        <v>1.3</v>
      </c>
      <c r="W739" s="412">
        <f>SUMIFS(Таблица14[часы],Таблица14[коэф],"1,3",Таблица14[р/р],"4/24",Таблица14[Ф. И. О.],B737)</f>
        <v>0</v>
      </c>
      <c r="X739" s="545">
        <f>SUMIFS(Таблица14[Столбец2],Таблица14[коэф],"1,3",Таблица14[р/р],"4/24",Таблица14[Ф. И. О.],B737)</f>
        <v>0</v>
      </c>
      <c r="Y739" s="770"/>
      <c r="Z739" s="766"/>
      <c r="AA739" s="756"/>
    </row>
    <row r="740" spans="1:29" ht="18.75" customHeight="1">
      <c r="A740" s="756"/>
      <c r="B740" s="215"/>
      <c r="C740" s="759"/>
      <c r="D740" s="762"/>
      <c r="E740" s="389"/>
      <c r="F740" s="390"/>
      <c r="G740" s="400"/>
      <c r="H740" s="392"/>
      <c r="I740" s="432"/>
      <c r="J740" s="433"/>
      <c r="K740" s="434"/>
      <c r="L740" s="434"/>
      <c r="M740" s="434"/>
      <c r="N740" s="434"/>
      <c r="O740" s="434"/>
      <c r="P740" s="406"/>
      <c r="Q740" s="389">
        <f>IF(D732&lt;=3,база!$L$4,
IF(D732=4,база!$L$5,
IF(D732=5,база!$L$6)))</f>
        <v>210.57480000000001</v>
      </c>
      <c r="R740" s="390">
        <v>1.4</v>
      </c>
      <c r="S740" s="400">
        <f>SUMIFS(Таблица14[часы],Таблица14[коэф],"1,4",Таблица14[р/р],"3/16",Таблица14[Ф. И. О.],B737)</f>
        <v>0</v>
      </c>
      <c r="T740" s="392">
        <f>SUMIFS(Таблица14[Столбец2],Таблица14[коэф],"1,4",Таблица14[р/р],"3/16",Таблица14[Ф. И. О.],B737)</f>
        <v>0</v>
      </c>
      <c r="U740" s="478">
        <f>IF(D732&lt;=3,база!$M$4,
IF(D732=4,база!$M$5,
IF(D732=5,база!$M$6)))</f>
        <v>225.09719999999999</v>
      </c>
      <c r="V740" s="390">
        <v>1.4</v>
      </c>
      <c r="W740" s="412">
        <f>SUMIFS(Таблица14[часы],Таблица14[коэф],"1,4",Таблица14[р/р],"3/24",Таблица14[Ф. И. О.],B737)</f>
        <v>0</v>
      </c>
      <c r="X740" s="545">
        <f>SUMIFS(Таблица14[Столбец2],Таблица14[коэф],"1,4",Таблица14[р/р],"3/24",Таблица14[Ф. И. О.],B737)</f>
        <v>0</v>
      </c>
      <c r="Y740" s="770"/>
      <c r="Z740" s="766"/>
      <c r="AA740" s="756"/>
    </row>
    <row r="741" spans="1:29" ht="18.75" customHeight="1">
      <c r="A741" s="756"/>
      <c r="B741" s="215"/>
      <c r="C741" s="759"/>
      <c r="D741" s="762"/>
      <c r="E741" s="389"/>
      <c r="F741" s="390"/>
      <c r="G741" s="400"/>
      <c r="H741" s="392"/>
      <c r="I741" s="432"/>
      <c r="J741" s="433"/>
      <c r="K741" s="434"/>
      <c r="L741" s="434"/>
      <c r="M741" s="434"/>
      <c r="N741" s="434"/>
      <c r="O741" s="434"/>
      <c r="P741" s="406"/>
      <c r="Q741" s="389">
        <f>база!$L$5</f>
        <v>231.45480000000001</v>
      </c>
      <c r="R741" s="390">
        <v>1.4</v>
      </c>
      <c r="S741" s="400">
        <f>SUMIFS(Таблица14[часы],Таблица14[коэф],"1,4",Таблица14[р/р],"4/16",Таблица14[Ф. И. О.],B737)</f>
        <v>0</v>
      </c>
      <c r="T741" s="392">
        <f>SUMIFS(Таблица14[Столбец2],Таблица14[коэф],"1,4",Таблица14[р/р],"4/16",Таблица14[Ф. И. О.],B737)</f>
        <v>0</v>
      </c>
      <c r="U741" s="478">
        <f>база!$M$5</f>
        <v>247.41720000000001</v>
      </c>
      <c r="V741" s="390">
        <v>1.4</v>
      </c>
      <c r="W741" s="412">
        <f>SUMIFS(Таблица14[часы],Таблица14[коэф],"1,4",Таблица14[р/р],"4/24",Таблица14[Ф. И. О.],B737)</f>
        <v>0</v>
      </c>
      <c r="X741" s="545">
        <f>SUMIFS(Таблица14[Столбец2],Таблица14[коэф],"1,4",Таблица14[р/р],"4/24",Таблица14[Ф. И. О.],B737)</f>
        <v>0</v>
      </c>
      <c r="Y741" s="770"/>
      <c r="Z741" s="766"/>
      <c r="AA741" s="756"/>
    </row>
    <row r="742" spans="1:29" ht="19.5" customHeight="1" thickBot="1">
      <c r="A742" s="757"/>
      <c r="B742" s="352"/>
      <c r="C742" s="760"/>
      <c r="D742" s="763"/>
      <c r="E742" s="445"/>
      <c r="F742" s="446"/>
      <c r="G742" s="647"/>
      <c r="H742" s="535"/>
      <c r="I742" s="648"/>
      <c r="J742" s="615"/>
      <c r="K742" s="649"/>
      <c r="L742" s="457"/>
      <c r="M742" s="648"/>
      <c r="N742" s="649"/>
      <c r="O742" s="649"/>
      <c r="P742" s="538"/>
      <c r="Q742" s="650">
        <f>база!$L$6</f>
        <v>261.04640000000001</v>
      </c>
      <c r="R742" s="446">
        <v>1.4</v>
      </c>
      <c r="S742" s="447">
        <f>SUMIFS(Таблица14[часы],Таблица14[коэф],"1,4",Таблица14[р/р],"5/16",Таблица14[Ф. И. О.],B737)</f>
        <v>0</v>
      </c>
      <c r="T742" s="535">
        <f>SUMIFS(Таблица14[Столбец2],Таблица14[коэф],"1,4",Таблица14[р/р],"5/16",Таблица14[Ф. И. О.],B737)</f>
        <v>0</v>
      </c>
      <c r="U742" s="536">
        <f>база!$M$6</f>
        <v>279.0496</v>
      </c>
      <c r="V742" s="464">
        <v>1.4</v>
      </c>
      <c r="W742" s="447">
        <f>SUMIFS(Таблица14[часы],Таблица14[коэф],"1,4",Таблица14[р/р],"5/24",Таблица14[Ф. И. О.],B737)</f>
        <v>0</v>
      </c>
      <c r="X742" s="535">
        <f>SUMIFS(Таблица14[Столбец2],Таблица14[коэф],"1,4",Таблица14[р/р],"5/24",Таблица14[Ф. И. О.],B737)</f>
        <v>0</v>
      </c>
      <c r="Y742" s="771"/>
      <c r="Z742" s="767"/>
      <c r="AA742" s="757"/>
    </row>
    <row r="743" spans="1:29" ht="18.75" customHeight="1">
      <c r="A743" s="756">
        <v>68</v>
      </c>
      <c r="B743" s="215"/>
      <c r="C743" s="758">
        <f>INDEX(база!$E$2:$E$150, MATCH(B748,база!$B$2:$B$150,0))</f>
        <v>17289</v>
      </c>
      <c r="D743" s="761">
        <f>INDEX(база!$D$2:$D$150, MATCH(B748,база!$B$2:$B$150,0))</f>
        <v>3</v>
      </c>
      <c r="E743" s="481">
        <f>IF(D743&lt;=3,база!$I$4,
IF(D743=4,база!$I$5,
IF(D743=5,база!$I$6)))</f>
        <v>188.7912</v>
      </c>
      <c r="F743" s="417">
        <v>1</v>
      </c>
      <c r="G743" s="418">
        <f>SUMIFS(Таблица14[часы],Таблица14[коэф],"1",Таблица14[р/р],"2/4",Таблица14[Ф. И. О.],B748)</f>
        <v>0</v>
      </c>
      <c r="H743" s="402">
        <f>SUMIFS(Таблица14[Столбец2],Таблица14[коэф],"1",Таблица14[р/р],"2/4",Таблица14[Ф. И. О.],B748)</f>
        <v>0</v>
      </c>
      <c r="I743" s="452">
        <f>IF(D743&lt;=3,база!$J$4,
IF(D743=4,база!$J$5,
IF(D743=5,база!$J$6)))</f>
        <v>196.05240000000001</v>
      </c>
      <c r="J743" s="475">
        <v>1</v>
      </c>
      <c r="K743" s="453">
        <f>SUMIFS(Таблица14[часы],Таблица14[коэф],"1",Таблица14[р/р],"2/8",Таблица14[Ф. И. О.],B748)</f>
        <v>0</v>
      </c>
      <c r="L743" s="453">
        <f>SUMIFS(Таблица14[Столбец2],Таблица14[коэф],"1",Таблица14[р/р],"2/8",Таблица14[Ф. И. О.],B748)</f>
        <v>0</v>
      </c>
      <c r="M743" s="453"/>
      <c r="N743" s="453">
        <v>1</v>
      </c>
      <c r="O743" s="453">
        <f>SUMIFS(Data_Tech!$AM$3:$AM$67,Data_Tech!$E$3:$E$67,"1",Data_Tech!$G$3:$G$67,"3/12",Data_Tech!$F$3:$F$67,B748)</f>
        <v>0</v>
      </c>
      <c r="P743" s="398">
        <f>ROUND(M743*N743*O743,2)</f>
        <v>0</v>
      </c>
      <c r="Q743" s="481">
        <f>IF(D743&lt;=3,база!$L$4,
IF(D743=4,база!$L$5,
IF(D743=5,база!$L$6)))</f>
        <v>210.57480000000001</v>
      </c>
      <c r="R743" s="417">
        <v>1</v>
      </c>
      <c r="S743" s="418">
        <f>SUMIFS(Таблица14[часы],Таблица14[коэф],"1",Таблица14[р/р],"3/16",Таблица14[Ф. И. О.],B748)</f>
        <v>0</v>
      </c>
      <c r="T743" s="402">
        <f>SUMIFS(Таблица14[Столбец2],Таблица14[коэф],"1",Таблица14[р/р],"3/16",Таблица14[Ф. И. О.],B748)</f>
        <v>0</v>
      </c>
      <c r="U743" s="483">
        <f>IF(D743&lt;=3,база!$M$4,
IF(D743=4,база!$M$5,
IF(D743=5,база!$M$6)))</f>
        <v>225.09719999999999</v>
      </c>
      <c r="V743" s="417">
        <v>1</v>
      </c>
      <c r="W743" s="455">
        <f>SUMIFS(Таблица14[часы],Таблица14[коэф],"1",Таблица14[р/р],"3/24",Таблица14[Ф. И. О.],B748)</f>
        <v>0</v>
      </c>
      <c r="X743" s="552">
        <f>SUMIFS(Таблица14[Столбец2],Таблица14[коэф],"1",Таблица14[р/р],"3/24",Таблица14[Ф. И. О.],B748)</f>
        <v>0</v>
      </c>
      <c r="Y743" s="770">
        <f t="shared" ref="Y743" si="272">SUM(G743:G753,K743:K753,O743:O753,S743:S753,W743:W753)</f>
        <v>0</v>
      </c>
      <c r="Z743" s="766">
        <f t="shared" ref="Z743" si="273">IFERROR(SUM(H743:H753,L743:L753,T743:T753,X743:X753),"")</f>
        <v>0</v>
      </c>
      <c r="AA743" s="756"/>
    </row>
    <row r="744" spans="1:29" ht="18.75" customHeight="1">
      <c r="A744" s="756"/>
      <c r="B744" s="215"/>
      <c r="C744" s="759"/>
      <c r="D744" s="762"/>
      <c r="E744" s="389">
        <f>IF(D743&lt;=3,база!$I$4,
IF(D743=4,база!$I$5,
IF(D743=5,база!$I$6)))</f>
        <v>188.7912</v>
      </c>
      <c r="F744" s="390">
        <v>1</v>
      </c>
      <c r="G744" s="400">
        <f>SUMIFS(Таблица14[часы],Таблица14[коэф],"1",Таблица14[р/р],"3/4",Таблица14[Ф. И. О.],B748)</f>
        <v>0</v>
      </c>
      <c r="H744" s="392">
        <f>SUMIFS(Таблица14[Столбец2],Таблица14[коэф],"1",Таблица14[р/р],"3/4",Таблица14[Ф. И. О.],B748)</f>
        <v>0</v>
      </c>
      <c r="I744" s="432">
        <f>IF(D743&lt;=3,база!$J$4,
IF(D743=4,база!$J$5,
IF(D743=5,база!$J$6)))</f>
        <v>196.05240000000001</v>
      </c>
      <c r="J744" s="433">
        <v>1</v>
      </c>
      <c r="K744" s="434">
        <f>SUMIFS(Таблица14[часы],Таблица14[коэф],"1",Таблица14[р/р],"3/8",Таблица14[Ф. И. О.],B748)</f>
        <v>0</v>
      </c>
      <c r="L744" s="434">
        <f>SUMIFS(Таблица14[Столбец2],Таблица14[коэф],"1",Таблица14[р/р],"3/8",Таблица14[Ф. И. О.],B748)</f>
        <v>0</v>
      </c>
      <c r="M744" s="434"/>
      <c r="N744" s="434">
        <v>1</v>
      </c>
      <c r="O744" s="434">
        <f>SUMIFS(Data_Tech!$AM$3:$AM$67,Data_Tech!$E$3:$E$67,"1",Data_Tech!$G$3:$G$67,"4/12",Data_Tech!$F$3:$F$67,B748)</f>
        <v>0</v>
      </c>
      <c r="P744" s="406">
        <f>ROUND(M744*O744,2)</f>
        <v>0</v>
      </c>
      <c r="Q744" s="389">
        <f>база!$L$5</f>
        <v>231.45480000000001</v>
      </c>
      <c r="R744" s="390">
        <v>1</v>
      </c>
      <c r="S744" s="400">
        <f>SUMIFS(Таблица14[часы],Таблица14[коэф],"1",Таблица14[р/р],"4/16",Таблица14[Ф. И. О.],B748)</f>
        <v>0</v>
      </c>
      <c r="T744" s="392">
        <f>SUMIFS(Таблица14[Столбец2],Таблица14[коэф],"1",Таблица14[р/р],"4/16",Таблица14[Ф. И. О.],B748)</f>
        <v>0</v>
      </c>
      <c r="U744" s="478">
        <f>база!$M$5</f>
        <v>247.41720000000001</v>
      </c>
      <c r="V744" s="390">
        <v>1</v>
      </c>
      <c r="W744" s="412">
        <f>SUMIFS(Таблица14[часы],Таблица14[коэф],"1",Таблица14[р/р],"4/24",Таблица14[Ф. И. О.],B748)</f>
        <v>0</v>
      </c>
      <c r="X744" s="545">
        <f>SUMIFS(Таблица14[Столбец2],Таблица14[коэф],"1",Таблица14[р/р],"4/24",Таблица14[Ф. И. О.],B748)</f>
        <v>0</v>
      </c>
      <c r="Y744" s="770"/>
      <c r="Z744" s="766"/>
      <c r="AA744" s="756"/>
    </row>
    <row r="745" spans="1:29" ht="18.75" customHeight="1">
      <c r="A745" s="756"/>
      <c r="B745" s="215"/>
      <c r="C745" s="759"/>
      <c r="D745" s="762"/>
      <c r="E745" s="389"/>
      <c r="F745" s="390"/>
      <c r="G745" s="400"/>
      <c r="H745" s="392"/>
      <c r="I745" s="432"/>
      <c r="J745" s="433"/>
      <c r="K745" s="434"/>
      <c r="L745" s="434"/>
      <c r="M745" s="434"/>
      <c r="N745" s="434"/>
      <c r="O745" s="434"/>
      <c r="P745" s="406"/>
      <c r="Q745" s="389">
        <f>база!$L$6</f>
        <v>261.04640000000001</v>
      </c>
      <c r="R745" s="390">
        <v>1</v>
      </c>
      <c r="S745" s="400">
        <f>SUMIFS(Таблица14[часы],Таблица14[коэф],"1",Таблица14[р/р],"5/16",Таблица14[Ф. И. О.],B748)</f>
        <v>0</v>
      </c>
      <c r="T745" s="392">
        <f>SUMIFS(Таблица14[Столбец2],Таблица14[коэф],"1",Таблица14[р/р],"5/16",Таблица14[Ф. И. О.],B748)</f>
        <v>0</v>
      </c>
      <c r="U745" s="478">
        <f>база!$M$6</f>
        <v>279.0496</v>
      </c>
      <c r="V745" s="390">
        <v>1</v>
      </c>
      <c r="W745" s="412">
        <f>SUMIFS(Таблица14[часы],Таблица14[коэф],"1",Таблица14[р/р],"5/24",Таблица14[Ф. И. О.],B748)</f>
        <v>0</v>
      </c>
      <c r="X745" s="545">
        <f>SUMIFS(Таблица14[Столбец2],Таблица14[коэф],"1",Таблица14[р/р],"5/24",Таблица14[Ф. И. О.],B748)</f>
        <v>0</v>
      </c>
      <c r="Y745" s="770"/>
      <c r="Z745" s="766"/>
      <c r="AA745" s="756"/>
    </row>
    <row r="746" spans="1:29" ht="18.75" customHeight="1">
      <c r="A746" s="756"/>
      <c r="B746" s="215"/>
      <c r="C746" s="759"/>
      <c r="D746" s="762"/>
      <c r="E746" s="389"/>
      <c r="F746" s="390"/>
      <c r="G746" s="400"/>
      <c r="H746" s="392"/>
      <c r="I746" s="432">
        <f>база!$J$5</f>
        <v>215.4924</v>
      </c>
      <c r="J746" s="433">
        <v>1.5</v>
      </c>
      <c r="K746" s="434">
        <f>SUMIFS(Таблица14[часы],Таблица14[коэф],"1,5",Таблица14[р/р],"4/8",Таблица14[Ф. И. О.],B748)</f>
        <v>0</v>
      </c>
      <c r="L746" s="434">
        <f>SUMIFS(Таблица14[Столбец2],Таблица14[коэф],"1,5",Таблица14[р/р],"4/8",Таблица14[Ф. И. О.],B748)</f>
        <v>0</v>
      </c>
      <c r="M746" s="434"/>
      <c r="N746" s="434"/>
      <c r="O746" s="434"/>
      <c r="P746" s="406"/>
      <c r="Q746" s="389">
        <f>IF(D743&lt;=3,база!$L$4,
IF(D743=4,база!$L$5,
IF(D743=5,база!$L$6)))</f>
        <v>210.57480000000001</v>
      </c>
      <c r="R746" s="390">
        <v>1.2</v>
      </c>
      <c r="S746" s="400">
        <f>SUMIFS(Таблица14[часы],Таблица14[коэф],"1,2",Таблица14[р/р],"3/16",Таблица14[Ф. И. О.],B748)</f>
        <v>0</v>
      </c>
      <c r="T746" s="392">
        <f>SUMIFS(Таблица14[Столбец2],Таблица14[коэф],"1,2",Таблица14[р/р],"3/16",Таблица14[Ф. И. О.],B748)</f>
        <v>0</v>
      </c>
      <c r="U746" s="478">
        <f>IF(D743&lt;=3,база!$M$4,
IF(D743=4,база!$M$5,
IF(D743=5,база!$M$6)))</f>
        <v>225.09719999999999</v>
      </c>
      <c r="V746" s="390">
        <v>1.2</v>
      </c>
      <c r="W746" s="412">
        <f>SUMIFS(Таблица14[часы],Таблица14[коэф],"1,2",Таблица14[р/р],"3/24",Таблица14[Ф. И. О.],B748)</f>
        <v>0</v>
      </c>
      <c r="X746" s="545">
        <f>SUMIFS(Таблица14[Столбец2],Таблица14[коэф],"1,2",Таблица14[р/р],"3/24",Таблица14[Ф. И. О.],B748)</f>
        <v>0</v>
      </c>
      <c r="Y746" s="770"/>
      <c r="Z746" s="766"/>
      <c r="AA746" s="756"/>
    </row>
    <row r="747" spans="1:29" ht="18.75" customHeight="1">
      <c r="A747" s="756"/>
      <c r="B747" s="215"/>
      <c r="C747" s="759"/>
      <c r="D747" s="762"/>
      <c r="E747" s="389"/>
      <c r="F747" s="390"/>
      <c r="G747" s="400"/>
      <c r="H747" s="392"/>
      <c r="I747" s="432">
        <f>база!$J$6</f>
        <v>243.04319999999998</v>
      </c>
      <c r="J747" s="433">
        <v>1.5</v>
      </c>
      <c r="K747" s="434">
        <f>SUMIFS(Таблица14[часы],Таблица14[коэф],"1,5",Таблица14[р/р],"5/8",Таблица14[Ф. И. О.],B748)</f>
        <v>0</v>
      </c>
      <c r="L747" s="434">
        <f>SUMIFS(Таблица14[Столбец2],Таблица14[коэф],"1,5",Таблица14[р/р],"5/8",Таблица14[Ф. И. О.],B748)</f>
        <v>0</v>
      </c>
      <c r="M747" s="434"/>
      <c r="N747" s="434"/>
      <c r="O747" s="434"/>
      <c r="P747" s="406"/>
      <c r="Q747" s="389">
        <f>база!$L$5</f>
        <v>231.45480000000001</v>
      </c>
      <c r="R747" s="390">
        <v>1.2</v>
      </c>
      <c r="S747" s="400">
        <f>SUMIFS(Таблица14[часы],Таблица14[коэф],"1,2",Таблица14[р/р],"4/16",Таблица14[Ф. И. О.],B748)</f>
        <v>0</v>
      </c>
      <c r="T747" s="392">
        <f>SUMIFS(Таблица14[Столбец2],Таблица14[коэф],"1,2",Таблица14[р/р],"4/16",Таблица14[Ф. И. О.],B748)</f>
        <v>0</v>
      </c>
      <c r="U747" s="478">
        <f>база!$M$5</f>
        <v>247.41720000000001</v>
      </c>
      <c r="V747" s="390">
        <v>1.2</v>
      </c>
      <c r="W747" s="412">
        <f>SUMIFS(Таблица14[часы],Таблица14[коэф],"1,2",Таблица14[р/р],"4/24",Таблица14[Ф. И. О.],B748)</f>
        <v>0</v>
      </c>
      <c r="X747" s="545">
        <f>SUMIFS(Таблица14[Столбец2],Таблица14[коэф],"1,2",Таблица14[р/р],"4/24",Таблица14[Ф. И. О.],B748)</f>
        <v>0</v>
      </c>
      <c r="Y747" s="770"/>
      <c r="Z747" s="766"/>
      <c r="AA747" s="756"/>
    </row>
    <row r="748" spans="1:29" ht="18.75" customHeight="1">
      <c r="A748" s="756"/>
      <c r="B748" s="215" t="str">
        <f>база!B69</f>
        <v>Скрынникова Виктория Геннадьевна</v>
      </c>
      <c r="C748" s="759"/>
      <c r="D748" s="762"/>
      <c r="E748" s="389"/>
      <c r="F748" s="390"/>
      <c r="G748" s="400"/>
      <c r="H748" s="392"/>
      <c r="I748" s="432"/>
      <c r="J748" s="433"/>
      <c r="K748" s="434"/>
      <c r="L748" s="434"/>
      <c r="M748" s="434"/>
      <c r="N748" s="434"/>
      <c r="O748" s="434"/>
      <c r="P748" s="406"/>
      <c r="Q748" s="389">
        <f>база!$L$6</f>
        <v>261.04640000000001</v>
      </c>
      <c r="R748" s="390">
        <v>1.2</v>
      </c>
      <c r="S748" s="400">
        <f>SUMIFS(Таблица14[часы],Таблица14[коэф],"1,2",Таблица14[р/р],"5/16",Таблица14[Ф. И. О.],B748)</f>
        <v>0</v>
      </c>
      <c r="T748" s="392">
        <f>SUMIFS(Таблица14[Столбец2],Таблица14[коэф],"1,2",Таблица14[р/р],"5/16",Таблица14[Ф. И. О.],B748)</f>
        <v>0</v>
      </c>
      <c r="U748" s="478">
        <f>база!$M$6</f>
        <v>279.0496</v>
      </c>
      <c r="V748" s="390">
        <v>1.2</v>
      </c>
      <c r="W748" s="412">
        <f>SUMIFS(Таблица14[часы],Таблица14[коэф],"1,2",Таблица14[р/р],"5/24",Таблица14[Ф. И. О.],B748)</f>
        <v>0</v>
      </c>
      <c r="X748" s="545">
        <f>SUMIFS(Таблица14[Столбец2],Таблица14[коэф],"1,2",Таблица14[р/р],"5/24",Таблица14[Ф. И. О.],B748)</f>
        <v>0</v>
      </c>
      <c r="Y748" s="770"/>
      <c r="Z748" s="766"/>
      <c r="AA748" s="756"/>
      <c r="AC748" s="752" t="str">
        <f>IF(SUMIFS(Таблица14[Столбец2],Таблица14[Ф. И. О.],B748)-Z743=0,"",SUMIFS(Таблица14[Столбец2],Таблица14[Ф. И. О.],B748)-Z743)</f>
        <v/>
      </c>
    </row>
    <row r="749" spans="1:29" ht="18.75" customHeight="1">
      <c r="A749" s="756"/>
      <c r="B749" s="215"/>
      <c r="C749" s="759"/>
      <c r="D749" s="762"/>
      <c r="E749" s="389"/>
      <c r="F749" s="390"/>
      <c r="G749" s="400"/>
      <c r="H749" s="392"/>
      <c r="I749" s="432"/>
      <c r="J749" s="433"/>
      <c r="K749" s="434"/>
      <c r="L749" s="434"/>
      <c r="M749" s="434"/>
      <c r="N749" s="434"/>
      <c r="O749" s="434"/>
      <c r="P749" s="406"/>
      <c r="Q749" s="389">
        <f>IF($D$6&lt;=3,база!$L$4,
IF($D$6=4,база!$L$5,
IF($D$6=5,база!$L$6)))</f>
        <v>231.45480000000001</v>
      </c>
      <c r="R749" s="390">
        <v>1.3</v>
      </c>
      <c r="S749" s="400">
        <f>SUMIFS(Таблица14[часы],Таблица14[коэф],"1,3",Таблица14[р/р],"3/16",Таблица14[Ф. И. О.],B748)</f>
        <v>0</v>
      </c>
      <c r="T749" s="392">
        <f>SUMIFS(Таблица14[Столбец2],Таблица14[коэф],"1,3",Таблица14[р/р],"3/16",Таблица14[Ф. И. О.],B748)</f>
        <v>0</v>
      </c>
      <c r="U749" s="478">
        <f>IF(D743&lt;=3,база!$M$4,
IF(D743=4,база!$M$5,
IF(D743=5,база!$M$6)))</f>
        <v>225.09719999999999</v>
      </c>
      <c r="V749" s="390">
        <v>1.3</v>
      </c>
      <c r="W749" s="412">
        <f>SUMIFS(Таблица14[часы],Таблица14[коэф],"1,3",Таблица14[р/р],"3/24",Таблица14[Ф. И. О.],B748)</f>
        <v>0</v>
      </c>
      <c r="X749" s="545">
        <f>SUMIFS(Таблица14[Столбец2],Таблица14[коэф],"1,3",Таблица14[р/р],"3/24",Таблица14[Ф. И. О.],B748)</f>
        <v>0</v>
      </c>
      <c r="Y749" s="770"/>
      <c r="Z749" s="766"/>
      <c r="AA749" s="756"/>
      <c r="AC749" s="752" t="str">
        <f>IF(SUMIFS(Таблица14[часы],Таблица14[Ф. И. О.],B748)-Y743=0,"",SUMIFS(Таблица14[часы],Таблица14[Ф. И. О.],B748)-Y743)</f>
        <v/>
      </c>
    </row>
    <row r="750" spans="1:29" ht="18.75" customHeight="1">
      <c r="A750" s="756"/>
      <c r="B750" s="215"/>
      <c r="C750" s="759"/>
      <c r="D750" s="762"/>
      <c r="E750" s="389"/>
      <c r="F750" s="390"/>
      <c r="G750" s="400"/>
      <c r="H750" s="392"/>
      <c r="I750" s="432"/>
      <c r="J750" s="433"/>
      <c r="K750" s="434"/>
      <c r="L750" s="434"/>
      <c r="M750" s="434"/>
      <c r="N750" s="434"/>
      <c r="O750" s="434"/>
      <c r="P750" s="406"/>
      <c r="Q750" s="389">
        <f>база!$L$5</f>
        <v>231.45480000000001</v>
      </c>
      <c r="R750" s="390">
        <v>1.3</v>
      </c>
      <c r="S750" s="400">
        <f>SUMIFS(Таблица14[часы],Таблица14[коэф],"1,3",Таблица14[р/р],"4/16",Таблица14[Ф. И. О.],B748)</f>
        <v>0</v>
      </c>
      <c r="T750" s="392">
        <f>SUMIFS(Таблица14[Столбец2],Таблица14[коэф],"1,3",Таблица14[р/р],"4/16",Таблица14[Ф. И. О.],B748)</f>
        <v>0</v>
      </c>
      <c r="U750" s="478">
        <f>база!$M$5</f>
        <v>247.41720000000001</v>
      </c>
      <c r="V750" s="390">
        <v>1.3</v>
      </c>
      <c r="W750" s="412">
        <f>SUMIFS(Таблица14[часы],Таблица14[коэф],"1,3",Таблица14[р/р],"4/24",Таблица14[Ф. И. О.],B748)</f>
        <v>0</v>
      </c>
      <c r="X750" s="545">
        <f>SUMIFS(Таблица14[Столбец2],Таблица14[коэф],"1,3",Таблица14[р/р],"4/24",Таблица14[Ф. И. О.],B748)</f>
        <v>0</v>
      </c>
      <c r="Y750" s="770"/>
      <c r="Z750" s="766"/>
      <c r="AA750" s="756"/>
    </row>
    <row r="751" spans="1:29" ht="18.75" customHeight="1">
      <c r="A751" s="756"/>
      <c r="B751" s="215"/>
      <c r="C751" s="759"/>
      <c r="D751" s="762"/>
      <c r="E751" s="389"/>
      <c r="F751" s="390"/>
      <c r="G751" s="400"/>
      <c r="H751" s="392"/>
      <c r="I751" s="432"/>
      <c r="J751" s="433"/>
      <c r="K751" s="434"/>
      <c r="L751" s="434"/>
      <c r="M751" s="434"/>
      <c r="N751" s="434"/>
      <c r="O751" s="434"/>
      <c r="P751" s="406"/>
      <c r="Q751" s="389">
        <f>IF(D743&lt;=3,база!$L$4,
IF(D743=4,база!$L$5,
IF(D743=5,база!$L$6)))</f>
        <v>210.57480000000001</v>
      </c>
      <c r="R751" s="390">
        <v>1.4</v>
      </c>
      <c r="S751" s="400">
        <f>SUMIFS(Таблица14[часы],Таблица14[коэф],"1,4",Таблица14[р/р],"3/16",Таблица14[Ф. И. О.],B748)</f>
        <v>0</v>
      </c>
      <c r="T751" s="392">
        <f>SUMIFS(Таблица14[Столбец2],Таблица14[коэф],"1,4",Таблица14[р/р],"3/16",Таблица14[Ф. И. О.],B748)</f>
        <v>0</v>
      </c>
      <c r="U751" s="478">
        <f>IF(D743&lt;=3,база!$M$4,
IF(D743=4,база!$M$5,
IF(D743=5,база!$M$6)))</f>
        <v>225.09719999999999</v>
      </c>
      <c r="V751" s="390">
        <v>1.4</v>
      </c>
      <c r="W751" s="412">
        <f>SUMIFS(Таблица14[часы],Таблица14[коэф],"1,4",Таблица14[р/р],"3/24",Таблица14[Ф. И. О.],B748)</f>
        <v>0</v>
      </c>
      <c r="X751" s="545">
        <f>SUMIFS(Таблица14[Столбец2],Таблица14[коэф],"1,4",Таблица14[р/р],"3/24",Таблица14[Ф. И. О.],B748)</f>
        <v>0</v>
      </c>
      <c r="Y751" s="770"/>
      <c r="Z751" s="766"/>
      <c r="AA751" s="756"/>
    </row>
    <row r="752" spans="1:29" ht="18.75" customHeight="1">
      <c r="A752" s="756"/>
      <c r="B752" s="215"/>
      <c r="C752" s="759"/>
      <c r="D752" s="762"/>
      <c r="E752" s="389"/>
      <c r="F752" s="390"/>
      <c r="G752" s="400"/>
      <c r="H752" s="392"/>
      <c r="I752" s="432"/>
      <c r="J752" s="433"/>
      <c r="K752" s="434"/>
      <c r="L752" s="434"/>
      <c r="M752" s="434"/>
      <c r="N752" s="434"/>
      <c r="O752" s="434"/>
      <c r="P752" s="406"/>
      <c r="Q752" s="389">
        <f>база!$L$5</f>
        <v>231.45480000000001</v>
      </c>
      <c r="R752" s="390">
        <v>1.4</v>
      </c>
      <c r="S752" s="400">
        <f>SUMIFS(Таблица14[часы],Таблица14[коэф],"1,4",Таблица14[р/р],"4/16",Таблица14[Ф. И. О.],B748)</f>
        <v>0</v>
      </c>
      <c r="T752" s="392">
        <f>SUMIFS(Таблица14[Столбец2],Таблица14[коэф],"1,4",Таблица14[р/р],"4/16",Таблица14[Ф. И. О.],B748)</f>
        <v>0</v>
      </c>
      <c r="U752" s="478">
        <f>база!$M$5</f>
        <v>247.41720000000001</v>
      </c>
      <c r="V752" s="390">
        <v>1.4</v>
      </c>
      <c r="W752" s="412">
        <f>SUMIFS(Таблица14[часы],Таблица14[коэф],"1,4",Таблица14[р/р],"4/24",Таблица14[Ф. И. О.],B748)</f>
        <v>0</v>
      </c>
      <c r="X752" s="545">
        <f>SUMIFS(Таблица14[Столбец2],Таблица14[коэф],"1,4",Таблица14[р/р],"4/24",Таблица14[Ф. И. О.],B748)</f>
        <v>0</v>
      </c>
      <c r="Y752" s="770"/>
      <c r="Z752" s="766"/>
      <c r="AA752" s="756"/>
    </row>
    <row r="753" spans="1:29" ht="19.5" customHeight="1" thickBot="1">
      <c r="A753" s="757"/>
      <c r="B753" s="352"/>
      <c r="C753" s="760"/>
      <c r="D753" s="763"/>
      <c r="E753" s="437"/>
      <c r="F753" s="438"/>
      <c r="G753" s="682"/>
      <c r="H753" s="440"/>
      <c r="I753" s="413"/>
      <c r="J753" s="602"/>
      <c r="K753" s="414"/>
      <c r="L753" s="460"/>
      <c r="M753" s="413"/>
      <c r="N753" s="414"/>
      <c r="O753" s="414"/>
      <c r="P753" s="415"/>
      <c r="Q753" s="677">
        <f>база!$L$6</f>
        <v>261.04640000000001</v>
      </c>
      <c r="R753" s="438">
        <v>1.4</v>
      </c>
      <c r="S753" s="439">
        <f>SUMIFS(Таблица14[часы],Таблица14[коэф],"1,4",Таблица14[р/р],"5/16",Таблица14[Ф. И. О.],B748)</f>
        <v>0</v>
      </c>
      <c r="T753" s="440">
        <f>SUMIFS(Таблица14[Столбец2],Таблица14[коэф],"1,4",Таблица14[р/р],"5/16",Таблица14[Ф. И. О.],B748)</f>
        <v>0</v>
      </c>
      <c r="U753" s="515">
        <f>база!$M$6</f>
        <v>279.0496</v>
      </c>
      <c r="V753" s="403">
        <v>1.4</v>
      </c>
      <c r="W753" s="439">
        <f>SUMIFS(Таблица14[часы],Таблица14[коэф],"1,4",Таблица14[р/р],"5/24",Таблица14[Ф. И. О.],B748)</f>
        <v>0</v>
      </c>
      <c r="X753" s="440">
        <f>SUMIFS(Таблица14[Столбец2],Таблица14[коэф],"1,4",Таблица14[р/р],"5/24",Таблица14[Ф. И. О.],B748)</f>
        <v>0</v>
      </c>
      <c r="Y753" s="770"/>
      <c r="Z753" s="767"/>
      <c r="AA753" s="757"/>
    </row>
    <row r="754" spans="1:29" ht="18.75" customHeight="1">
      <c r="A754" s="756">
        <v>70</v>
      </c>
      <c r="B754" s="215"/>
      <c r="C754" s="758">
        <f>INDEX(база!$E$2:$E$150, MATCH(B759,база!$B$2:$B$150,0))</f>
        <v>14639</v>
      </c>
      <c r="D754" s="761">
        <f>INDEX(база!$D$2:$D$150, MATCH(B759,база!$B$2:$B$150,0))</f>
        <v>4</v>
      </c>
      <c r="E754" s="377">
        <f>IF(D754&lt;=3,база!$I$4,
IF(D754=4,база!$I$5,
IF(D754=5,база!$I$6)))</f>
        <v>207.5112</v>
      </c>
      <c r="F754" s="378">
        <v>1</v>
      </c>
      <c r="G754" s="387">
        <f>SUMIFS(Таблица14[часы],Таблица14[коэф],"1",Таблица14[р/р],"2/4",Таблица14[Ф. И. О.],B759)</f>
        <v>0</v>
      </c>
      <c r="H754" s="380">
        <f>SUMIFS(Таблица14[Столбец2],Таблица14[коэф],"1",Таблица14[р/р],"2/4",Таблица14[Ф. И. О.],B759)</f>
        <v>0</v>
      </c>
      <c r="I754" s="426">
        <f>IF(D754&lt;=3,база!$J$4,
IF(D754=4,база!$J$5,
IF(D754=5,база!$J$6)))</f>
        <v>215.4924</v>
      </c>
      <c r="J754" s="427">
        <v>1</v>
      </c>
      <c r="K754" s="428">
        <f>SUMIFS(Таблица14[часы],Таблица14[коэф],"1",Таблица14[р/р],"2/8",Таблица14[Ф. И. О.],B759)</f>
        <v>0</v>
      </c>
      <c r="L754" s="428">
        <f>SUMIFS(Таблица14[Столбец2],Таблица14[коэф],"1",Таблица14[р/р],"2/8",Таблица14[Ф. И. О.],B759)</f>
        <v>0</v>
      </c>
      <c r="M754" s="428"/>
      <c r="N754" s="428">
        <v>1</v>
      </c>
      <c r="O754" s="428">
        <f>SUMIFS(Data_Tech!$AM$3:$AM$67,Data_Tech!$E$3:$E$67,"1",Data_Tech!$G$3:$G$67,"3/12",Data_Tech!$F$3:$F$67,B759)</f>
        <v>0</v>
      </c>
      <c r="P754" s="385">
        <f>ROUND(M754*N754*O754,2)</f>
        <v>0</v>
      </c>
      <c r="Q754" s="377">
        <f>IF(D754&lt;=3,база!$L$4,
IF(D754=4,база!$L$5,
IF(D754=5,база!$L$6)))</f>
        <v>231.45480000000001</v>
      </c>
      <c r="R754" s="378">
        <v>1</v>
      </c>
      <c r="S754" s="387">
        <f>SUMIFS(Таблица14[часы],Таблица14[коэф],"1",Таблица14[р/р],"3/16",Таблица14[Ф. И. О.],B759)</f>
        <v>0</v>
      </c>
      <c r="T754" s="380">
        <f>SUMIFS(Таблица14[Столбец2],Таблица14[коэф],"1",Таблица14[р/р],"3/16",Таблица14[Ф. И. О.],B759)</f>
        <v>0</v>
      </c>
      <c r="U754" s="477">
        <f>IF(D754&lt;=3,база!$M$4,
IF(D754=4,база!$M$5,
IF(D754=5,база!$M$6)))</f>
        <v>247.41720000000001</v>
      </c>
      <c r="V754" s="378">
        <v>1</v>
      </c>
      <c r="W754" s="430">
        <f>SUMIFS(Таблица14[часы],Таблица14[коэф],"1",Таблица14[р/р],"3/24",Таблица14[Ф. И. О.],B759)</f>
        <v>0</v>
      </c>
      <c r="X754" s="543">
        <f>SUMIFS(Таблица14[Столбец2],Таблица14[коэф],"1",Таблица14[р/р],"3/24",Таблица14[Ф. И. О.],B759)</f>
        <v>0</v>
      </c>
      <c r="Y754" s="769">
        <f t="shared" ref="Y754" si="274">SUM(G754:G764,K754:K764,O754:O764,S754:S764,W754:W764)</f>
        <v>0</v>
      </c>
      <c r="Z754" s="766">
        <f t="shared" ref="Z754" si="275">IFERROR(SUM(H754:H764,L754:L764,T754:T764,X754:X764),"")</f>
        <v>0</v>
      </c>
      <c r="AA754" s="756"/>
    </row>
    <row r="755" spans="1:29" ht="18.75" customHeight="1">
      <c r="A755" s="756"/>
      <c r="B755" s="215"/>
      <c r="C755" s="759"/>
      <c r="D755" s="762"/>
      <c r="E755" s="389">
        <f>IF(D754&lt;=3,база!$I$4,
IF(D754=4,база!$I$5,
IF(D754=5,база!$I$6)))</f>
        <v>207.5112</v>
      </c>
      <c r="F755" s="390">
        <v>1</v>
      </c>
      <c r="G755" s="400">
        <f>SUMIFS(Таблица14[часы],Таблица14[коэф],"1",Таблица14[р/р],"3/4",Таблица14[Ф. И. О.],B759)</f>
        <v>0</v>
      </c>
      <c r="H755" s="392">
        <f>SUMIFS(Таблица14[Столбец2],Таблица14[коэф],"1",Таблица14[р/р],"3/4",Таблица14[Ф. И. О.],B759)</f>
        <v>0</v>
      </c>
      <c r="I755" s="432">
        <f>IF(D754&lt;=3,база!$J$4,
IF(D754=4,база!$J$5,
IF(D754=5,база!$J$6)))</f>
        <v>215.4924</v>
      </c>
      <c r="J755" s="433">
        <v>1</v>
      </c>
      <c r="K755" s="434">
        <f>SUMIFS(Таблица14[часы],Таблица14[коэф],"1",Таблица14[р/р],"3/8",Таблица14[Ф. И. О.],B759)</f>
        <v>0</v>
      </c>
      <c r="L755" s="434">
        <f>SUMIFS(Таблица14[Столбец2],Таблица14[коэф],"1",Таблица14[р/р],"3/8",Таблица14[Ф. И. О.],B759)</f>
        <v>0</v>
      </c>
      <c r="M755" s="434"/>
      <c r="N755" s="434">
        <v>1</v>
      </c>
      <c r="O755" s="434">
        <f>SUMIFS(Data_Tech!$AM$3:$AM$67,Data_Tech!$E$3:$E$67,"1",Data_Tech!$G$3:$G$67,"4/12",Data_Tech!$F$3:$F$67,B759)</f>
        <v>0</v>
      </c>
      <c r="P755" s="406">
        <f>ROUND(M755*O755,2)</f>
        <v>0</v>
      </c>
      <c r="Q755" s="389">
        <f>база!$L$5</f>
        <v>231.45480000000001</v>
      </c>
      <c r="R755" s="390">
        <v>1</v>
      </c>
      <c r="S755" s="400">
        <f>SUMIFS(Таблица14[часы],Таблица14[коэф],"1",Таблица14[р/р],"4/16",Таблица14[Ф. И. О.],B759)</f>
        <v>0</v>
      </c>
      <c r="T755" s="392">
        <f>SUMIFS(Таблица14[Столбец2],Таблица14[коэф],"1",Таблица14[р/р],"4/16",Таблица14[Ф. И. О.],B759)</f>
        <v>0</v>
      </c>
      <c r="U755" s="478">
        <f>база!$M$5</f>
        <v>247.41720000000001</v>
      </c>
      <c r="V755" s="390">
        <v>1</v>
      </c>
      <c r="W755" s="412">
        <f>SUMIFS(Таблица14[часы],Таблица14[коэф],"1",Таблица14[р/р],"4/24",Таблица14[Ф. И. О.],B759)</f>
        <v>0</v>
      </c>
      <c r="X755" s="545">
        <f>SUMIFS(Таблица14[Столбец2],Таблица14[коэф],"1",Таблица14[р/р],"4/24",Таблица14[Ф. И. О.],B759)</f>
        <v>0</v>
      </c>
      <c r="Y755" s="770"/>
      <c r="Z755" s="766"/>
      <c r="AA755" s="756"/>
    </row>
    <row r="756" spans="1:29" ht="18.75" customHeight="1">
      <c r="A756" s="756"/>
      <c r="B756" s="215"/>
      <c r="C756" s="759"/>
      <c r="D756" s="762"/>
      <c r="E756" s="389"/>
      <c r="F756" s="390"/>
      <c r="G756" s="400"/>
      <c r="H756" s="392"/>
      <c r="I756" s="432"/>
      <c r="J756" s="433"/>
      <c r="K756" s="434"/>
      <c r="L756" s="434"/>
      <c r="M756" s="434"/>
      <c r="N756" s="434"/>
      <c r="O756" s="434"/>
      <c r="P756" s="406"/>
      <c r="Q756" s="389">
        <f>база!$L$6</f>
        <v>261.04640000000001</v>
      </c>
      <c r="R756" s="390">
        <v>1</v>
      </c>
      <c r="S756" s="400">
        <f>SUMIFS(Таблица14[часы],Таблица14[коэф],"1",Таблица14[р/р],"5/16",Таблица14[Ф. И. О.],B759)</f>
        <v>0</v>
      </c>
      <c r="T756" s="392">
        <f>SUMIFS(Таблица14[Столбец2],Таблица14[коэф],"1",Таблица14[р/р],"5/16",Таблица14[Ф. И. О.],B759)</f>
        <v>0</v>
      </c>
      <c r="U756" s="478">
        <f>база!$M$6</f>
        <v>279.0496</v>
      </c>
      <c r="V756" s="390">
        <v>1</v>
      </c>
      <c r="W756" s="412">
        <f>SUMIFS(Таблица14[часы],Таблица14[коэф],"1",Таблица14[р/р],"5/24",Таблица14[Ф. И. О.],B759)</f>
        <v>0</v>
      </c>
      <c r="X756" s="545">
        <f>SUMIFS(Таблица14[Столбец2],Таблица14[коэф],"1",Таблица14[р/р],"5/24",Таблица14[Ф. И. О.],B759)</f>
        <v>0</v>
      </c>
      <c r="Y756" s="770"/>
      <c r="Z756" s="766"/>
      <c r="AA756" s="756"/>
    </row>
    <row r="757" spans="1:29" ht="18.75" customHeight="1">
      <c r="A757" s="756"/>
      <c r="B757" s="215"/>
      <c r="C757" s="759"/>
      <c r="D757" s="762"/>
      <c r="E757" s="389"/>
      <c r="F757" s="390"/>
      <c r="G757" s="400"/>
      <c r="H757" s="392"/>
      <c r="I757" s="432">
        <f>база!$J$5</f>
        <v>215.4924</v>
      </c>
      <c r="J757" s="433">
        <v>1.5</v>
      </c>
      <c r="K757" s="434">
        <f>SUMIFS(Таблица14[часы],Таблица14[коэф],"1,5",Таблица14[р/р],"4/8",Таблица14[Ф. И. О.],B759)</f>
        <v>0</v>
      </c>
      <c r="L757" s="434">
        <f>SUMIFS(Таблица14[Столбец2],Таблица14[коэф],"1,5",Таблица14[р/р],"4/8",Таблица14[Ф. И. О.],B759)</f>
        <v>0</v>
      </c>
      <c r="M757" s="434"/>
      <c r="N757" s="434"/>
      <c r="O757" s="434"/>
      <c r="P757" s="406"/>
      <c r="Q757" s="389">
        <f>IF(D754&lt;=3,база!$L$4,
IF(D754=4,база!$L$5,
IF(D754=5,база!$L$6)))</f>
        <v>231.45480000000001</v>
      </c>
      <c r="R757" s="390">
        <v>1.2</v>
      </c>
      <c r="S757" s="400">
        <f>SUMIFS(Таблица14[часы],Таблица14[коэф],"1,2",Таблица14[р/р],"3/16",Таблица14[Ф. И. О.],B759)</f>
        <v>0</v>
      </c>
      <c r="T757" s="392">
        <f>SUMIFS(Таблица14[Столбец2],Таблица14[коэф],"1,2",Таблица14[р/р],"3/16",Таблица14[Ф. И. О.],B759)</f>
        <v>0</v>
      </c>
      <c r="U757" s="478">
        <f>IF(D754&lt;=3,база!$M$4,
IF(D754=4,база!$M$5,
IF(D754=5,база!$M$6)))</f>
        <v>247.41720000000001</v>
      </c>
      <c r="V757" s="390">
        <v>1.2</v>
      </c>
      <c r="W757" s="412">
        <f>SUMIFS(Таблица14[часы],Таблица14[коэф],"1,2",Таблица14[р/р],"3/24",Таблица14[Ф. И. О.],B759)</f>
        <v>0</v>
      </c>
      <c r="X757" s="545">
        <f>SUMIFS(Таблица14[Столбец2],Таблица14[коэф],"1,2",Таблица14[р/р],"3/24",Таблица14[Ф. И. О.],B759)</f>
        <v>0</v>
      </c>
      <c r="Y757" s="770"/>
      <c r="Z757" s="766"/>
      <c r="AA757" s="756"/>
    </row>
    <row r="758" spans="1:29" ht="18.75" customHeight="1">
      <c r="A758" s="756"/>
      <c r="B758" s="215"/>
      <c r="C758" s="759"/>
      <c r="D758" s="762"/>
      <c r="E758" s="389"/>
      <c r="F758" s="390"/>
      <c r="G758" s="400"/>
      <c r="H758" s="392"/>
      <c r="I758" s="432">
        <f>база!$J$6</f>
        <v>243.04319999999998</v>
      </c>
      <c r="J758" s="433">
        <v>1.5</v>
      </c>
      <c r="K758" s="434">
        <f>SUMIFS(Таблица14[часы],Таблица14[коэф],"1,5",Таблица14[р/р],"5/8",Таблица14[Ф. И. О.],B759)</f>
        <v>0</v>
      </c>
      <c r="L758" s="434">
        <f>SUMIFS(Таблица14[Столбец2],Таблица14[коэф],"1,5",Таблица14[р/р],"5/8",Таблица14[Ф. И. О.],B759)</f>
        <v>0</v>
      </c>
      <c r="M758" s="434"/>
      <c r="N758" s="434"/>
      <c r="O758" s="434"/>
      <c r="P758" s="406"/>
      <c r="Q758" s="389">
        <f>база!$L$5</f>
        <v>231.45480000000001</v>
      </c>
      <c r="R758" s="390">
        <v>1.2</v>
      </c>
      <c r="S758" s="400">
        <f>SUMIFS(Таблица14[часы],Таблица14[коэф],"1,2",Таблица14[р/р],"4/16",Таблица14[Ф. И. О.],B759)</f>
        <v>0</v>
      </c>
      <c r="T758" s="392">
        <f>SUMIFS(Таблица14[Столбец2],Таблица14[коэф],"1,2",Таблица14[р/р],"4/16",Таблица14[Ф. И. О.],B759)</f>
        <v>0</v>
      </c>
      <c r="U758" s="478">
        <f>база!$M$5</f>
        <v>247.41720000000001</v>
      </c>
      <c r="V758" s="390">
        <v>1.2</v>
      </c>
      <c r="W758" s="412">
        <f>SUMIFS(Таблица14[часы],Таблица14[коэф],"1,2",Таблица14[р/р],"4/24",Таблица14[Ф. И. О.],B759)</f>
        <v>0</v>
      </c>
      <c r="X758" s="545">
        <f>SUMIFS(Таблица14[Столбец2],Таблица14[коэф],"1,2",Таблица14[р/р],"4/24",Таблица14[Ф. И. О.],B759)</f>
        <v>0</v>
      </c>
      <c r="Y758" s="770"/>
      <c r="Z758" s="766"/>
      <c r="AA758" s="756"/>
    </row>
    <row r="759" spans="1:29" ht="18.75" customHeight="1">
      <c r="A759" s="756"/>
      <c r="B759" s="215" t="str">
        <f>база!B70</f>
        <v>Смирнова Елена Евгеньевна</v>
      </c>
      <c r="C759" s="759"/>
      <c r="D759" s="762"/>
      <c r="E759" s="389"/>
      <c r="F759" s="390"/>
      <c r="G759" s="400"/>
      <c r="H759" s="392"/>
      <c r="I759" s="432"/>
      <c r="J759" s="433"/>
      <c r="K759" s="434"/>
      <c r="L759" s="434"/>
      <c r="M759" s="434"/>
      <c r="N759" s="434"/>
      <c r="O759" s="434"/>
      <c r="P759" s="406"/>
      <c r="Q759" s="389">
        <f>база!$L$6</f>
        <v>261.04640000000001</v>
      </c>
      <c r="R759" s="390">
        <v>1.2</v>
      </c>
      <c r="S759" s="400">
        <f>SUMIFS(Таблица14[часы],Таблица14[коэф],"1,2",Таблица14[р/р],"5/16",Таблица14[Ф. И. О.],B759)</f>
        <v>0</v>
      </c>
      <c r="T759" s="392">
        <f>SUMIFS(Таблица14[Столбец2],Таблица14[коэф],"1,2",Таблица14[р/р],"5/16",Таблица14[Ф. И. О.],B759)</f>
        <v>0</v>
      </c>
      <c r="U759" s="478">
        <f>база!$M$6</f>
        <v>279.0496</v>
      </c>
      <c r="V759" s="390">
        <v>1.2</v>
      </c>
      <c r="W759" s="412">
        <f>SUMIFS(Таблица14[часы],Таблица14[коэф],"1,2",Таблица14[р/р],"5/24",Таблица14[Ф. И. О.],B759)</f>
        <v>0</v>
      </c>
      <c r="X759" s="545">
        <f>SUMIFS(Таблица14[Столбец2],Таблица14[коэф],"1,2",Таблица14[р/р],"5/24",Таблица14[Ф. И. О.],B759)</f>
        <v>0</v>
      </c>
      <c r="Y759" s="770"/>
      <c r="Z759" s="766"/>
      <c r="AA759" s="756"/>
      <c r="AC759" s="752" t="str">
        <f>IF(SUMIFS(Таблица14[Столбец2],Таблица14[Ф. И. О.],B759)-Z754=0,"",SUMIFS(Таблица14[Столбец2],Таблица14[Ф. И. О.],B759)-Z754)</f>
        <v/>
      </c>
    </row>
    <row r="760" spans="1:29" ht="18.75" customHeight="1">
      <c r="A760" s="756"/>
      <c r="B760" s="215"/>
      <c r="C760" s="759"/>
      <c r="D760" s="762"/>
      <c r="E760" s="389"/>
      <c r="F760" s="390"/>
      <c r="G760" s="400"/>
      <c r="H760" s="392"/>
      <c r="I760" s="432"/>
      <c r="J760" s="433"/>
      <c r="K760" s="434"/>
      <c r="L760" s="434"/>
      <c r="M760" s="434"/>
      <c r="N760" s="434"/>
      <c r="O760" s="434"/>
      <c r="P760" s="406"/>
      <c r="Q760" s="389">
        <f>IF($D$6&lt;=3,база!$L$4,
IF($D$6=4,база!$L$5,
IF($D$6=5,база!$L$6)))</f>
        <v>231.45480000000001</v>
      </c>
      <c r="R760" s="390">
        <v>1.3</v>
      </c>
      <c r="S760" s="400">
        <f>SUMIFS(Таблица14[часы],Таблица14[коэф],"1,3",Таблица14[р/р],"3/16",Таблица14[Ф. И. О.],B759)</f>
        <v>0</v>
      </c>
      <c r="T760" s="392">
        <f>SUMIFS(Таблица14[Столбец2],Таблица14[коэф],"1,3",Таблица14[р/р],"3/16",Таблица14[Ф. И. О.],B759)</f>
        <v>0</v>
      </c>
      <c r="U760" s="478">
        <f>IF(D754&lt;=3,база!$M$4,
IF(D754=4,база!$M$5,
IF(D754=5,база!$M$6)))</f>
        <v>247.41720000000001</v>
      </c>
      <c r="V760" s="390">
        <v>1.3</v>
      </c>
      <c r="W760" s="412">
        <f>SUMIFS(Таблица14[часы],Таблица14[коэф],"1,3",Таблица14[р/р],"3/24",Таблица14[Ф. И. О.],B759)</f>
        <v>0</v>
      </c>
      <c r="X760" s="545">
        <f>SUMIFS(Таблица14[Столбец2],Таблица14[коэф],"1,3",Таблица14[р/р],"3/24",Таблица14[Ф. И. О.],B759)</f>
        <v>0</v>
      </c>
      <c r="Y760" s="770"/>
      <c r="Z760" s="766"/>
      <c r="AA760" s="756"/>
      <c r="AC760" s="752" t="str">
        <f>IF(SUMIFS(Таблица14[часы],Таблица14[Ф. И. О.],B759)-Y754=0,"",SUMIFS(Таблица14[часы],Таблица14[Ф. И. О.],B759)-Y754)</f>
        <v/>
      </c>
    </row>
    <row r="761" spans="1:29" ht="18.75" customHeight="1">
      <c r="A761" s="756"/>
      <c r="B761" s="215"/>
      <c r="C761" s="759"/>
      <c r="D761" s="762"/>
      <c r="E761" s="389"/>
      <c r="F761" s="390"/>
      <c r="G761" s="400"/>
      <c r="H761" s="392"/>
      <c r="I761" s="432"/>
      <c r="J761" s="433"/>
      <c r="K761" s="434"/>
      <c r="L761" s="434"/>
      <c r="M761" s="434"/>
      <c r="N761" s="434"/>
      <c r="O761" s="434"/>
      <c r="P761" s="406"/>
      <c r="Q761" s="389">
        <f>база!$L$5</f>
        <v>231.45480000000001</v>
      </c>
      <c r="R761" s="390">
        <v>1.3</v>
      </c>
      <c r="S761" s="400">
        <f>SUMIFS(Таблица14[часы],Таблица14[коэф],"1,3",Таблица14[р/р],"4/16",Таблица14[Ф. И. О.],B759)</f>
        <v>0</v>
      </c>
      <c r="T761" s="392">
        <f>SUMIFS(Таблица14[Столбец2],Таблица14[коэф],"1,3",Таблица14[р/р],"4/16",Таблица14[Ф. И. О.],B759)</f>
        <v>0</v>
      </c>
      <c r="U761" s="478">
        <f>база!$M$5</f>
        <v>247.41720000000001</v>
      </c>
      <c r="V761" s="390">
        <v>1.3</v>
      </c>
      <c r="W761" s="412">
        <f>SUMIFS(Таблица14[часы],Таблица14[коэф],"1,3",Таблица14[р/р],"4/24",Таблица14[Ф. И. О.],B759)</f>
        <v>0</v>
      </c>
      <c r="X761" s="545">
        <f>SUMIFS(Таблица14[Столбец2],Таблица14[коэф],"1,3",Таблица14[р/р],"4/24",Таблица14[Ф. И. О.],B759)</f>
        <v>0</v>
      </c>
      <c r="Y761" s="770"/>
      <c r="Z761" s="766"/>
      <c r="AA761" s="756"/>
    </row>
    <row r="762" spans="1:29" ht="18.75" customHeight="1">
      <c r="A762" s="756"/>
      <c r="B762" s="215"/>
      <c r="C762" s="759"/>
      <c r="D762" s="762"/>
      <c r="E762" s="389"/>
      <c r="F762" s="390"/>
      <c r="G762" s="400"/>
      <c r="H762" s="392"/>
      <c r="I762" s="432"/>
      <c r="J762" s="433"/>
      <c r="K762" s="434"/>
      <c r="L762" s="434"/>
      <c r="M762" s="434"/>
      <c r="N762" s="434"/>
      <c r="O762" s="434"/>
      <c r="P762" s="406"/>
      <c r="Q762" s="389">
        <f>IF(D754&lt;=3,база!$L$4,
IF(D754=4,база!$L$5,
IF(D754=5,база!$L$6)))</f>
        <v>231.45480000000001</v>
      </c>
      <c r="R762" s="390">
        <v>1.4</v>
      </c>
      <c r="S762" s="400">
        <f>SUMIFS(Таблица14[часы],Таблица14[коэф],"1,4",Таблица14[р/р],"3/16",Таблица14[Ф. И. О.],B759)</f>
        <v>0</v>
      </c>
      <c r="T762" s="392">
        <f>SUMIFS(Таблица14[Столбец2],Таблица14[коэф],"1,4",Таблица14[р/р],"3/16",Таблица14[Ф. И. О.],B759)</f>
        <v>0</v>
      </c>
      <c r="U762" s="478">
        <f>IF(D754&lt;=3,база!$M$4,
IF(D754=4,база!$M$5,
IF(D754=5,база!$M$6)))</f>
        <v>247.41720000000001</v>
      </c>
      <c r="V762" s="390">
        <v>1.4</v>
      </c>
      <c r="W762" s="412">
        <f>SUMIFS(Таблица14[часы],Таблица14[коэф],"1,4",Таблица14[р/р],"3/24",Таблица14[Ф. И. О.],B759)</f>
        <v>0</v>
      </c>
      <c r="X762" s="545">
        <f>SUMIFS(Таблица14[Столбец2],Таблица14[коэф],"1,4",Таблица14[р/р],"3/24",Таблица14[Ф. И. О.],B759)</f>
        <v>0</v>
      </c>
      <c r="Y762" s="770"/>
      <c r="Z762" s="766"/>
      <c r="AA762" s="756"/>
    </row>
    <row r="763" spans="1:29" ht="18.75" customHeight="1">
      <c r="A763" s="756"/>
      <c r="B763" s="215"/>
      <c r="C763" s="759"/>
      <c r="D763" s="762"/>
      <c r="E763" s="389"/>
      <c r="F763" s="390"/>
      <c r="G763" s="400"/>
      <c r="H763" s="392"/>
      <c r="I763" s="432"/>
      <c r="J763" s="433"/>
      <c r="K763" s="434"/>
      <c r="L763" s="434"/>
      <c r="M763" s="434"/>
      <c r="N763" s="434"/>
      <c r="O763" s="434"/>
      <c r="P763" s="406"/>
      <c r="Q763" s="389">
        <f>база!$L$5</f>
        <v>231.45480000000001</v>
      </c>
      <c r="R763" s="390">
        <v>1.4</v>
      </c>
      <c r="S763" s="400">
        <f>SUMIFS(Таблица14[часы],Таблица14[коэф],"1,4",Таблица14[р/р],"4/16",Таблица14[Ф. И. О.],B759)</f>
        <v>0</v>
      </c>
      <c r="T763" s="392">
        <f>SUMIFS(Таблица14[Столбец2],Таблица14[коэф],"1,4",Таблица14[р/р],"4/16",Таблица14[Ф. И. О.],B759)</f>
        <v>0</v>
      </c>
      <c r="U763" s="478">
        <f>база!$M$5</f>
        <v>247.41720000000001</v>
      </c>
      <c r="V763" s="390">
        <v>1.4</v>
      </c>
      <c r="W763" s="412">
        <f>SUMIFS(Таблица14[часы],Таблица14[коэф],"1,4",Таблица14[р/р],"4/24",Таблица14[Ф. И. О.],B759)</f>
        <v>0</v>
      </c>
      <c r="X763" s="545">
        <f>SUMIFS(Таблица14[Столбец2],Таблица14[коэф],"1,4",Таблица14[р/р],"4/24",Таблица14[Ф. И. О.],B759)</f>
        <v>0</v>
      </c>
      <c r="Y763" s="770"/>
      <c r="Z763" s="766"/>
      <c r="AA763" s="756"/>
    </row>
    <row r="764" spans="1:29" ht="19.5" customHeight="1" thickBot="1">
      <c r="A764" s="757"/>
      <c r="B764" s="352"/>
      <c r="C764" s="760"/>
      <c r="D764" s="763"/>
      <c r="E764" s="445"/>
      <c r="F764" s="446"/>
      <c r="G764" s="647"/>
      <c r="H764" s="535"/>
      <c r="I764" s="648"/>
      <c r="J764" s="615"/>
      <c r="K764" s="649"/>
      <c r="L764" s="457"/>
      <c r="M764" s="648"/>
      <c r="N764" s="649"/>
      <c r="O764" s="649"/>
      <c r="P764" s="538"/>
      <c r="Q764" s="650">
        <f>база!$L$6</f>
        <v>261.04640000000001</v>
      </c>
      <c r="R764" s="446">
        <v>1.4</v>
      </c>
      <c r="S764" s="447">
        <f>SUMIFS(Таблица14[часы],Таблица14[коэф],"1,4",Таблица14[р/р],"5/16",Таблица14[Ф. И. О.],B759)</f>
        <v>0</v>
      </c>
      <c r="T764" s="535">
        <f>SUMIFS(Таблица14[Столбец2],Таблица14[коэф],"1,4",Таблица14[р/р],"5/16",Таблица14[Ф. И. О.],B759)</f>
        <v>0</v>
      </c>
      <c r="U764" s="536">
        <f>база!$M$6</f>
        <v>279.0496</v>
      </c>
      <c r="V764" s="464">
        <v>1.4</v>
      </c>
      <c r="W764" s="447">
        <f>SUMIFS(Таблица14[часы],Таблица14[коэф],"1,4",Таблица14[р/р],"5/24",Таблица14[Ф. И. О.],B759)</f>
        <v>0</v>
      </c>
      <c r="X764" s="535">
        <f>SUMIFS(Таблица14[Столбец2],Таблица14[коэф],"1,4",Таблица14[р/р],"5/24",Таблица14[Ф. И. О.],B759)</f>
        <v>0</v>
      </c>
      <c r="Y764" s="771"/>
      <c r="Z764" s="767"/>
      <c r="AA764" s="757"/>
    </row>
    <row r="765" spans="1:29" ht="18.75" customHeight="1">
      <c r="A765" s="756">
        <v>71</v>
      </c>
      <c r="B765" s="215"/>
      <c r="C765" s="758">
        <f>INDEX(база!$E$2:$E$150, MATCH(B770,база!$B$2:$B$150,0))</f>
        <v>17076</v>
      </c>
      <c r="D765" s="761">
        <f>INDEX(база!$D$2:$D$150, MATCH(B770,база!$B$2:$B$150,0))</f>
        <v>3</v>
      </c>
      <c r="E765" s="481">
        <f>IF(D765&lt;=3,база!$I$4,
IF(D765=4,база!$I$5,
IF(D765=5,база!$I$6)))</f>
        <v>188.7912</v>
      </c>
      <c r="F765" s="417">
        <v>1</v>
      </c>
      <c r="G765" s="418">
        <f>SUMIFS(Таблица14[часы],Таблица14[коэф],"1",Таблица14[р/р],"2/4",Таблица14[Ф. И. О.],B770)</f>
        <v>0</v>
      </c>
      <c r="H765" s="402">
        <f>SUMIFS(Таблица14[Столбец2],Таблица14[коэф],"1",Таблица14[р/р],"2/4",Таблица14[Ф. И. О.],B770)</f>
        <v>0</v>
      </c>
      <c r="I765" s="452">
        <f>IF(D765&lt;=3,база!$J$4,
IF(D765=4,база!$J$5,
IF(D765=5,база!$J$6)))</f>
        <v>196.05240000000001</v>
      </c>
      <c r="J765" s="475">
        <v>1</v>
      </c>
      <c r="K765" s="453">
        <f>SUMIFS(Таблица14[часы],Таблица14[коэф],"1",Таблица14[р/р],"2/8",Таблица14[Ф. И. О.],B770)</f>
        <v>0</v>
      </c>
      <c r="L765" s="453">
        <f>SUMIFS(Таблица14[Столбец2],Таблица14[коэф],"1",Таблица14[р/р],"2/8",Таблица14[Ф. И. О.],B770)</f>
        <v>0</v>
      </c>
      <c r="M765" s="453"/>
      <c r="N765" s="453">
        <v>1</v>
      </c>
      <c r="O765" s="453">
        <f>SUMIFS(Data_Tech!$AM$3:$AM$67,Data_Tech!$E$3:$E$67,"1",Data_Tech!$G$3:$G$67,"3/12",Data_Tech!$F$3:$F$67,B770)</f>
        <v>0</v>
      </c>
      <c r="P765" s="398">
        <f>ROUND(M765*N765*O765,2)</f>
        <v>0</v>
      </c>
      <c r="Q765" s="481">
        <f>IF(D765&lt;=3,база!$L$4,
IF(D765=4,база!$L$5,
IF(D765=5,база!$L$6)))</f>
        <v>210.57480000000001</v>
      </c>
      <c r="R765" s="417">
        <v>1</v>
      </c>
      <c r="S765" s="418">
        <f>SUMIFS(Таблица14[часы],Таблица14[коэф],"1",Таблица14[р/р],"3/16",Таблица14[Ф. И. О.],B770)</f>
        <v>0</v>
      </c>
      <c r="T765" s="402">
        <f>SUMIFS(Таблица14[Столбец2],Таблица14[коэф],"1",Таблица14[р/р],"3/16",Таблица14[Ф. И. О.],B770)</f>
        <v>0</v>
      </c>
      <c r="U765" s="483">
        <f>IF(D765&lt;=3,база!$M$4,
IF(D765=4,база!$M$5,
IF(D765=5,база!$M$6)))</f>
        <v>225.09719999999999</v>
      </c>
      <c r="V765" s="417">
        <v>1</v>
      </c>
      <c r="W765" s="455">
        <f>SUMIFS(Таблица14[часы],Таблица14[коэф],"1",Таблица14[р/р],"3/24",Таблица14[Ф. И. О.],B770)</f>
        <v>0</v>
      </c>
      <c r="X765" s="552">
        <f>SUMIFS(Таблица14[Столбец2],Таблица14[коэф],"1",Таблица14[р/р],"3/24",Таблица14[Ф. И. О.],B770)</f>
        <v>0</v>
      </c>
      <c r="Y765" s="770">
        <f t="shared" ref="Y765" si="276">SUM(G765:G775,K765:K775,O765:O775,S765:S775,W765:W775)</f>
        <v>0</v>
      </c>
      <c r="Z765" s="766">
        <f t="shared" ref="Z765" si="277">IFERROR(SUM(H765:H775,L765:L775,T765:T775,X765:X775),"")</f>
        <v>0</v>
      </c>
      <c r="AA765" s="756"/>
    </row>
    <row r="766" spans="1:29" ht="18.75" customHeight="1">
      <c r="A766" s="756"/>
      <c r="B766" s="215"/>
      <c r="C766" s="759"/>
      <c r="D766" s="762"/>
      <c r="E766" s="389">
        <f>IF(D765&lt;=3,база!$I$4,
IF(D765=4,база!$I$5,
IF(D765=5,база!$I$6)))</f>
        <v>188.7912</v>
      </c>
      <c r="F766" s="390">
        <v>1</v>
      </c>
      <c r="G766" s="400">
        <f>SUMIFS(Таблица14[часы],Таблица14[коэф],"1",Таблица14[р/р],"3/4",Таблица14[Ф. И. О.],B770)</f>
        <v>0</v>
      </c>
      <c r="H766" s="392">
        <f>SUMIFS(Таблица14[Столбец2],Таблица14[коэф],"1",Таблица14[р/р],"3/4",Таблица14[Ф. И. О.],B770)</f>
        <v>0</v>
      </c>
      <c r="I766" s="432">
        <f>IF(D765&lt;=3,база!$J$4,
IF(D765=4,база!$J$5,
IF(D765=5,база!$J$6)))</f>
        <v>196.05240000000001</v>
      </c>
      <c r="J766" s="433">
        <v>1</v>
      </c>
      <c r="K766" s="434">
        <f>SUMIFS(Таблица14[часы],Таблица14[коэф],"1",Таблица14[р/р],"3/8",Таблица14[Ф. И. О.],B770)</f>
        <v>0</v>
      </c>
      <c r="L766" s="434">
        <f>SUMIFS(Таблица14[Столбец2],Таблица14[коэф],"1",Таблица14[р/р],"3/8",Таблица14[Ф. И. О.],B770)</f>
        <v>0</v>
      </c>
      <c r="M766" s="434"/>
      <c r="N766" s="434">
        <v>1</v>
      </c>
      <c r="O766" s="434">
        <f>SUMIFS(Data_Tech!$AM$3:$AM$67,Data_Tech!$E$3:$E$67,"1",Data_Tech!$G$3:$G$67,"4/12",Data_Tech!$F$3:$F$67,B770)</f>
        <v>0</v>
      </c>
      <c r="P766" s="406">
        <f>ROUND(M766*O766,2)</f>
        <v>0</v>
      </c>
      <c r="Q766" s="389">
        <f>база!$L$5</f>
        <v>231.45480000000001</v>
      </c>
      <c r="R766" s="390">
        <v>1</v>
      </c>
      <c r="S766" s="400">
        <f>SUMIFS(Таблица14[часы],Таблица14[коэф],"1",Таблица14[р/р],"4/16",Таблица14[Ф. И. О.],B770)</f>
        <v>0</v>
      </c>
      <c r="T766" s="392">
        <f>SUMIFS(Таблица14[Столбец2],Таблица14[коэф],"1",Таблица14[р/р],"4/16",Таблица14[Ф. И. О.],B770)</f>
        <v>0</v>
      </c>
      <c r="U766" s="478">
        <f>база!$M$5</f>
        <v>247.41720000000001</v>
      </c>
      <c r="V766" s="390">
        <v>1</v>
      </c>
      <c r="W766" s="412">
        <f>SUMIFS(Таблица14[часы],Таблица14[коэф],"1",Таблица14[р/р],"4/24",Таблица14[Ф. И. О.],B770)</f>
        <v>0</v>
      </c>
      <c r="X766" s="545">
        <f>SUMIFS(Таблица14[Столбец2],Таблица14[коэф],"1",Таблица14[р/р],"4/24",Таблица14[Ф. И. О.],B770)</f>
        <v>0</v>
      </c>
      <c r="Y766" s="770"/>
      <c r="Z766" s="766"/>
      <c r="AA766" s="756"/>
    </row>
    <row r="767" spans="1:29" ht="18.75" customHeight="1">
      <c r="A767" s="756"/>
      <c r="B767" s="215"/>
      <c r="C767" s="759"/>
      <c r="D767" s="762"/>
      <c r="E767" s="389"/>
      <c r="F767" s="390"/>
      <c r="G767" s="400"/>
      <c r="H767" s="392"/>
      <c r="I767" s="432"/>
      <c r="J767" s="433"/>
      <c r="K767" s="434"/>
      <c r="L767" s="434"/>
      <c r="M767" s="434"/>
      <c r="N767" s="434"/>
      <c r="O767" s="434"/>
      <c r="P767" s="406"/>
      <c r="Q767" s="389">
        <f>база!$L$6</f>
        <v>261.04640000000001</v>
      </c>
      <c r="R767" s="390">
        <v>1</v>
      </c>
      <c r="S767" s="400">
        <f>SUMIFS(Таблица14[часы],Таблица14[коэф],"1",Таблица14[р/р],"5/16",Таблица14[Ф. И. О.],B770)</f>
        <v>0</v>
      </c>
      <c r="T767" s="392">
        <f>SUMIFS(Таблица14[Столбец2],Таблица14[коэф],"1",Таблица14[р/р],"5/16",Таблица14[Ф. И. О.],B770)</f>
        <v>0</v>
      </c>
      <c r="U767" s="478">
        <f>база!$M$6</f>
        <v>279.0496</v>
      </c>
      <c r="V767" s="390">
        <v>1</v>
      </c>
      <c r="W767" s="412">
        <f>SUMIFS(Таблица14[часы],Таблица14[коэф],"1",Таблица14[р/р],"5/24",Таблица14[Ф. И. О.],B770)</f>
        <v>0</v>
      </c>
      <c r="X767" s="545">
        <f>SUMIFS(Таблица14[Столбец2],Таблица14[коэф],"1",Таблица14[р/р],"5/24",Таблица14[Ф. И. О.],B770)</f>
        <v>0</v>
      </c>
      <c r="Y767" s="770"/>
      <c r="Z767" s="766"/>
      <c r="AA767" s="756"/>
    </row>
    <row r="768" spans="1:29" ht="18.75" customHeight="1">
      <c r="A768" s="756"/>
      <c r="B768" s="215"/>
      <c r="C768" s="759"/>
      <c r="D768" s="762"/>
      <c r="E768" s="389"/>
      <c r="F768" s="390"/>
      <c r="G768" s="400"/>
      <c r="H768" s="392"/>
      <c r="I768" s="432">
        <f>база!$J$5</f>
        <v>215.4924</v>
      </c>
      <c r="J768" s="433">
        <v>1.5</v>
      </c>
      <c r="K768" s="434">
        <f>SUMIFS(Таблица14[часы],Таблица14[коэф],"1,5",Таблица14[р/р],"4/8",Таблица14[Ф. И. О.],B770)</f>
        <v>0</v>
      </c>
      <c r="L768" s="434">
        <f>SUMIFS(Таблица14[Столбец2],Таблица14[коэф],"1,5",Таблица14[р/р],"4/8",Таблица14[Ф. И. О.],B770)</f>
        <v>0</v>
      </c>
      <c r="M768" s="434"/>
      <c r="N768" s="434"/>
      <c r="O768" s="434"/>
      <c r="P768" s="406"/>
      <c r="Q768" s="389">
        <f>IF(D765&lt;=3,база!$L$4,
IF(D765=4,база!$L$5,
IF(D765=5,база!$L$6)))</f>
        <v>210.57480000000001</v>
      </c>
      <c r="R768" s="390">
        <v>1.2</v>
      </c>
      <c r="S768" s="400">
        <f>SUMIFS(Таблица14[часы],Таблица14[коэф],"1,2",Таблица14[р/р],"3/16",Таблица14[Ф. И. О.],B770)</f>
        <v>0</v>
      </c>
      <c r="T768" s="392">
        <f>SUMIFS(Таблица14[Столбец2],Таблица14[коэф],"1,2",Таблица14[р/р],"3/16",Таблица14[Ф. И. О.],B770)</f>
        <v>0</v>
      </c>
      <c r="U768" s="478">
        <f>IF(D765&lt;=3,база!$M$4,
IF(D765=4,база!$M$5,
IF(D765=5,база!$M$6)))</f>
        <v>225.09719999999999</v>
      </c>
      <c r="V768" s="390">
        <v>1.2</v>
      </c>
      <c r="W768" s="412">
        <f>SUMIFS(Таблица14[часы],Таблица14[коэф],"1,2",Таблица14[р/р],"3/24",Таблица14[Ф. И. О.],B770)</f>
        <v>0</v>
      </c>
      <c r="X768" s="545">
        <f>SUMIFS(Таблица14[Столбец2],Таблица14[коэф],"1,2",Таблица14[р/р],"3/24",Таблица14[Ф. И. О.],B770)</f>
        <v>0</v>
      </c>
      <c r="Y768" s="770"/>
      <c r="Z768" s="766"/>
      <c r="AA768" s="756"/>
    </row>
    <row r="769" spans="1:29" ht="18.75" customHeight="1">
      <c r="A769" s="756"/>
      <c r="B769" s="215"/>
      <c r="C769" s="759"/>
      <c r="D769" s="762"/>
      <c r="E769" s="389"/>
      <c r="F769" s="390"/>
      <c r="G769" s="400"/>
      <c r="H769" s="392"/>
      <c r="I769" s="432">
        <f>база!$J$6</f>
        <v>243.04319999999998</v>
      </c>
      <c r="J769" s="433">
        <v>1.5</v>
      </c>
      <c r="K769" s="434">
        <f>SUMIFS(Таблица14[часы],Таблица14[коэф],"1,5",Таблица14[р/р],"5/8",Таблица14[Ф. И. О.],B770)</f>
        <v>0</v>
      </c>
      <c r="L769" s="434">
        <f>SUMIFS(Таблица14[Столбец2],Таблица14[коэф],"1,5",Таблица14[р/р],"5/8",Таблица14[Ф. И. О.],B770)</f>
        <v>0</v>
      </c>
      <c r="M769" s="434"/>
      <c r="N769" s="434"/>
      <c r="O769" s="434"/>
      <c r="P769" s="406"/>
      <c r="Q769" s="389">
        <f>база!$L$5</f>
        <v>231.45480000000001</v>
      </c>
      <c r="R769" s="390">
        <v>1.2</v>
      </c>
      <c r="S769" s="400">
        <f>SUMIFS(Таблица14[часы],Таблица14[коэф],"1,2",Таблица14[р/р],"4/16",Таблица14[Ф. И. О.],B770)</f>
        <v>0</v>
      </c>
      <c r="T769" s="392">
        <f>SUMIFS(Таблица14[Столбец2],Таблица14[коэф],"1,2",Таблица14[р/р],"4/16",Таблица14[Ф. И. О.],B770)</f>
        <v>0</v>
      </c>
      <c r="U769" s="478">
        <f>база!$M$5</f>
        <v>247.41720000000001</v>
      </c>
      <c r="V769" s="390">
        <v>1.2</v>
      </c>
      <c r="W769" s="412">
        <f>SUMIFS(Таблица14[часы],Таблица14[коэф],"1,2",Таблица14[р/р],"4/24",Таблица14[Ф. И. О.],B770)</f>
        <v>0</v>
      </c>
      <c r="X769" s="545">
        <f>SUMIFS(Таблица14[Столбец2],Таблица14[коэф],"1,2",Таблица14[р/р],"4/24",Таблица14[Ф. И. О.],B770)</f>
        <v>0</v>
      </c>
      <c r="Y769" s="770"/>
      <c r="Z769" s="766"/>
      <c r="AA769" s="756"/>
    </row>
    <row r="770" spans="1:29" ht="18.75" customHeight="1">
      <c r="A770" s="756"/>
      <c r="B770" s="215" t="str">
        <f>база!B71</f>
        <v>Соболева Наталья Александровна</v>
      </c>
      <c r="C770" s="759"/>
      <c r="D770" s="762"/>
      <c r="E770" s="389"/>
      <c r="F770" s="390"/>
      <c r="G770" s="400"/>
      <c r="H770" s="392"/>
      <c r="I770" s="432"/>
      <c r="J770" s="433"/>
      <c r="K770" s="434"/>
      <c r="L770" s="434"/>
      <c r="M770" s="434"/>
      <c r="N770" s="434"/>
      <c r="O770" s="434"/>
      <c r="P770" s="406"/>
      <c r="Q770" s="389">
        <f>база!$L$6</f>
        <v>261.04640000000001</v>
      </c>
      <c r="R770" s="390">
        <v>1.2</v>
      </c>
      <c r="S770" s="400">
        <f>SUMIFS(Таблица14[часы],Таблица14[коэф],"1,2",Таблица14[р/р],"5/16",Таблица14[Ф. И. О.],B770)</f>
        <v>0</v>
      </c>
      <c r="T770" s="392">
        <f>SUMIFS(Таблица14[Столбец2],Таблица14[коэф],"1,2",Таблица14[р/р],"5/16",Таблица14[Ф. И. О.],B770)</f>
        <v>0</v>
      </c>
      <c r="U770" s="478">
        <f>база!$M$6</f>
        <v>279.0496</v>
      </c>
      <c r="V770" s="390">
        <v>1.2</v>
      </c>
      <c r="W770" s="412">
        <f>SUMIFS(Таблица14[часы],Таблица14[коэф],"1,2",Таблица14[р/р],"5/24",Таблица14[Ф. И. О.],B770)</f>
        <v>0</v>
      </c>
      <c r="X770" s="545">
        <f>SUMIFS(Таблица14[Столбец2],Таблица14[коэф],"1,2",Таблица14[р/р],"5/24",Таблица14[Ф. И. О.],B770)</f>
        <v>0</v>
      </c>
      <c r="Y770" s="770"/>
      <c r="Z770" s="766"/>
      <c r="AA770" s="756"/>
      <c r="AC770" s="752" t="str">
        <f>IF(SUMIFS(Таблица14[Столбец2],Таблица14[Ф. И. О.],B770)-Z765=0,"",SUMIFS(Таблица14[Столбец2],Таблица14[Ф. И. О.],B770)-Z765)</f>
        <v/>
      </c>
    </row>
    <row r="771" spans="1:29" ht="18.75" customHeight="1">
      <c r="A771" s="756"/>
      <c r="B771" s="215"/>
      <c r="C771" s="759"/>
      <c r="D771" s="762"/>
      <c r="E771" s="389"/>
      <c r="F771" s="390"/>
      <c r="G771" s="400"/>
      <c r="H771" s="392"/>
      <c r="I771" s="432"/>
      <c r="J771" s="433"/>
      <c r="K771" s="434"/>
      <c r="L771" s="434"/>
      <c r="M771" s="434"/>
      <c r="N771" s="434"/>
      <c r="O771" s="434"/>
      <c r="P771" s="406"/>
      <c r="Q771" s="389">
        <f>IF($D$6&lt;=3,база!$L$4,
IF($D$6=4,база!$L$5,
IF($D$6=5,база!$L$6)))</f>
        <v>231.45480000000001</v>
      </c>
      <c r="R771" s="390">
        <v>1.3</v>
      </c>
      <c r="S771" s="400">
        <f>SUMIFS(Таблица14[часы],Таблица14[коэф],"1,3",Таблица14[р/р],"3/16",Таблица14[Ф. И. О.],B770)</f>
        <v>0</v>
      </c>
      <c r="T771" s="392">
        <f>SUMIFS(Таблица14[Столбец2],Таблица14[коэф],"1,3",Таблица14[р/р],"3/16",Таблица14[Ф. И. О.],B770)</f>
        <v>0</v>
      </c>
      <c r="U771" s="478">
        <f>IF(D765&lt;=3,база!$M$4,
IF(D765=4,база!$M$5,
IF(D765=5,база!$M$6)))</f>
        <v>225.09719999999999</v>
      </c>
      <c r="V771" s="390">
        <v>1.3</v>
      </c>
      <c r="W771" s="412">
        <f>SUMIFS(Таблица14[часы],Таблица14[коэф],"1,3",Таблица14[р/р],"3/24",Таблица14[Ф. И. О.],B770)</f>
        <v>0</v>
      </c>
      <c r="X771" s="545">
        <f>SUMIFS(Таблица14[Столбец2],Таблица14[коэф],"1,3",Таблица14[р/р],"3/24",Таблица14[Ф. И. О.],B770)</f>
        <v>0</v>
      </c>
      <c r="Y771" s="770"/>
      <c r="Z771" s="766"/>
      <c r="AA771" s="756"/>
      <c r="AC771" s="752" t="str">
        <f>IF(SUMIFS(Таблица14[часы],Таблица14[Ф. И. О.],B770)-Y765=0,"",SUMIFS(Таблица14[часы],Таблица14[Ф. И. О.],B770)-Y765)</f>
        <v/>
      </c>
    </row>
    <row r="772" spans="1:29" ht="18.75" customHeight="1">
      <c r="A772" s="756"/>
      <c r="B772" s="215"/>
      <c r="C772" s="759"/>
      <c r="D772" s="762"/>
      <c r="E772" s="389"/>
      <c r="F772" s="390"/>
      <c r="G772" s="400"/>
      <c r="H772" s="392"/>
      <c r="I772" s="432"/>
      <c r="J772" s="433"/>
      <c r="K772" s="434"/>
      <c r="L772" s="434"/>
      <c r="M772" s="434"/>
      <c r="N772" s="434"/>
      <c r="O772" s="434"/>
      <c r="P772" s="406"/>
      <c r="Q772" s="389">
        <f>база!$L$5</f>
        <v>231.45480000000001</v>
      </c>
      <c r="R772" s="390">
        <v>1.3</v>
      </c>
      <c r="S772" s="400">
        <f>SUMIFS(Таблица14[часы],Таблица14[коэф],"1,3",Таблица14[р/р],"4/16",Таблица14[Ф. И. О.],B770)</f>
        <v>0</v>
      </c>
      <c r="T772" s="392">
        <f>SUMIFS(Таблица14[Столбец2],Таблица14[коэф],"1,3",Таблица14[р/р],"4/16",Таблица14[Ф. И. О.],B770)</f>
        <v>0</v>
      </c>
      <c r="U772" s="478">
        <f>база!$M$5</f>
        <v>247.41720000000001</v>
      </c>
      <c r="V772" s="390">
        <v>1.3</v>
      </c>
      <c r="W772" s="412">
        <f>SUMIFS(Таблица14[часы],Таблица14[коэф],"1,3",Таблица14[р/р],"4/24",Таблица14[Ф. И. О.],B770)</f>
        <v>0</v>
      </c>
      <c r="X772" s="545">
        <f>SUMIFS(Таблица14[Столбец2],Таблица14[коэф],"1,3",Таблица14[р/р],"4/24",Таблица14[Ф. И. О.],B770)</f>
        <v>0</v>
      </c>
      <c r="Y772" s="770"/>
      <c r="Z772" s="766"/>
      <c r="AA772" s="756"/>
    </row>
    <row r="773" spans="1:29" ht="18.75" customHeight="1">
      <c r="A773" s="756"/>
      <c r="B773" s="215"/>
      <c r="C773" s="759"/>
      <c r="D773" s="762"/>
      <c r="E773" s="389"/>
      <c r="F773" s="390"/>
      <c r="G773" s="400"/>
      <c r="H773" s="392"/>
      <c r="I773" s="432"/>
      <c r="J773" s="433"/>
      <c r="K773" s="434"/>
      <c r="L773" s="434"/>
      <c r="M773" s="434"/>
      <c r="N773" s="434"/>
      <c r="O773" s="434"/>
      <c r="P773" s="406"/>
      <c r="Q773" s="389">
        <f>IF(D765&lt;=3,база!$L$4,
IF(D765=4,база!$L$5,
IF(D765=5,база!$L$6)))</f>
        <v>210.57480000000001</v>
      </c>
      <c r="R773" s="390">
        <v>1.4</v>
      </c>
      <c r="S773" s="400">
        <f>SUMIFS(Таблица14[часы],Таблица14[коэф],"1,4",Таблица14[р/р],"3/16",Таблица14[Ф. И. О.],B770)</f>
        <v>0</v>
      </c>
      <c r="T773" s="392">
        <f>SUMIFS(Таблица14[Столбец2],Таблица14[коэф],"1,4",Таблица14[р/р],"3/16",Таблица14[Ф. И. О.],B770)</f>
        <v>0</v>
      </c>
      <c r="U773" s="478">
        <f>IF(D765&lt;=3,база!$M$4,
IF(D765=4,база!$M$5,
IF(D765=5,база!$M$6)))</f>
        <v>225.09719999999999</v>
      </c>
      <c r="V773" s="390">
        <v>1.4</v>
      </c>
      <c r="W773" s="412">
        <f>SUMIFS(Таблица14[часы],Таблица14[коэф],"1,4",Таблица14[р/р],"3/24",Таблица14[Ф. И. О.],B770)</f>
        <v>0</v>
      </c>
      <c r="X773" s="545">
        <f>SUMIFS(Таблица14[Столбец2],Таблица14[коэф],"1,4",Таблица14[р/р],"3/24",Таблица14[Ф. И. О.],B770)</f>
        <v>0</v>
      </c>
      <c r="Y773" s="770"/>
      <c r="Z773" s="766"/>
      <c r="AA773" s="756"/>
    </row>
    <row r="774" spans="1:29" ht="18.75" customHeight="1">
      <c r="A774" s="756"/>
      <c r="B774" s="215"/>
      <c r="C774" s="759"/>
      <c r="D774" s="762"/>
      <c r="E774" s="389"/>
      <c r="F774" s="390"/>
      <c r="G774" s="400"/>
      <c r="H774" s="392"/>
      <c r="I774" s="432"/>
      <c r="J774" s="433"/>
      <c r="K774" s="434"/>
      <c r="L774" s="434"/>
      <c r="M774" s="434"/>
      <c r="N774" s="434"/>
      <c r="O774" s="434"/>
      <c r="P774" s="406"/>
      <c r="Q774" s="389">
        <f>база!$L$5</f>
        <v>231.45480000000001</v>
      </c>
      <c r="R774" s="390">
        <v>1.4</v>
      </c>
      <c r="S774" s="400">
        <f>SUMIFS(Таблица14[часы],Таблица14[коэф],"1,4",Таблица14[р/р],"4/16",Таблица14[Ф. И. О.],B770)</f>
        <v>0</v>
      </c>
      <c r="T774" s="392">
        <f>SUMIFS(Таблица14[Столбец2],Таблица14[коэф],"1,4",Таблица14[р/р],"4/16",Таблица14[Ф. И. О.],B770)</f>
        <v>0</v>
      </c>
      <c r="U774" s="478">
        <f>база!$M$5</f>
        <v>247.41720000000001</v>
      </c>
      <c r="V774" s="390">
        <v>1.4</v>
      </c>
      <c r="W774" s="412">
        <f>SUMIFS(Таблица14[часы],Таблица14[коэф],"1,4",Таблица14[р/р],"4/24",Таблица14[Ф. И. О.],B770)</f>
        <v>0</v>
      </c>
      <c r="X774" s="545">
        <f>SUMIFS(Таблица14[Столбец2],Таблица14[коэф],"1,4",Таблица14[р/р],"4/24",Таблица14[Ф. И. О.],B770)</f>
        <v>0</v>
      </c>
      <c r="Y774" s="770"/>
      <c r="Z774" s="766"/>
      <c r="AA774" s="756"/>
    </row>
    <row r="775" spans="1:29" ht="19.5" customHeight="1" thickBot="1">
      <c r="A775" s="757"/>
      <c r="B775" s="352"/>
      <c r="C775" s="760"/>
      <c r="D775" s="763"/>
      <c r="E775" s="473"/>
      <c r="F775" s="464"/>
      <c r="G775" s="651"/>
      <c r="H775" s="468"/>
      <c r="I775" s="645"/>
      <c r="J775" s="456"/>
      <c r="K775" s="646"/>
      <c r="L775" s="457"/>
      <c r="M775" s="645"/>
      <c r="N775" s="646"/>
      <c r="O775" s="646"/>
      <c r="P775" s="476"/>
      <c r="Q775" s="652">
        <f>база!$L$6</f>
        <v>261.04640000000001</v>
      </c>
      <c r="R775" s="464">
        <v>1.4</v>
      </c>
      <c r="S775" s="465">
        <f>SUMIFS(Таблица14[часы],Таблица14[коэф],"1,4",Таблица14[р/р],"5/16",Таблица14[Ф. И. О.],B770)</f>
        <v>0</v>
      </c>
      <c r="T775" s="468">
        <f>SUMIFS(Таблица14[Столбец2],Таблица14[коэф],"1,4",Таблица14[р/р],"5/16",Таблица14[Ф. И. О.],B770)</f>
        <v>0</v>
      </c>
      <c r="U775" s="463">
        <f>база!$M$6</f>
        <v>279.0496</v>
      </c>
      <c r="V775" s="464">
        <v>1.4</v>
      </c>
      <c r="W775" s="465">
        <f>SUMIFS(Таблица14[часы],Таблица14[коэф],"1,4",Таблица14[р/р],"5/24",Таблица14[Ф. И. О.],B770)</f>
        <v>0</v>
      </c>
      <c r="X775" s="468">
        <f>SUMIFS(Таблица14[Столбец2],Таблица14[коэф],"1,4",Таблица14[р/р],"5/24",Таблица14[Ф. И. О.],B770)</f>
        <v>0</v>
      </c>
      <c r="Y775" s="771"/>
      <c r="Z775" s="767"/>
      <c r="AA775" s="757"/>
    </row>
    <row r="776" spans="1:29" ht="18.75" customHeight="1">
      <c r="A776" s="756">
        <v>72</v>
      </c>
      <c r="B776" s="215"/>
      <c r="C776" s="758">
        <f>INDEX(база!$E$2:$E$150, MATCH(B781,база!$B$2:$B$150,0))</f>
        <v>17196</v>
      </c>
      <c r="D776" s="761">
        <f>INDEX(база!$D$2:$D$150, MATCH(B781,база!$B$2:$B$150,0))</f>
        <v>3</v>
      </c>
      <c r="E776" s="481">
        <f>IF(D776&lt;=3,база!$I$4,
IF(D776=4,база!$I$5,
IF(D776=5,база!$I$6)))</f>
        <v>188.7912</v>
      </c>
      <c r="F776" s="417">
        <v>1</v>
      </c>
      <c r="G776" s="418">
        <f>SUMIFS(Таблица14[часы],Таблица14[коэф],"1",Таблица14[р/р],"2/4",Таблица14[Ф. И. О.],B781)</f>
        <v>0</v>
      </c>
      <c r="H776" s="402">
        <f>SUMIFS(Таблица14[Столбец2],Таблица14[коэф],"1",Таблица14[р/р],"2/4",Таблица14[Ф. И. О.],B781)</f>
        <v>0</v>
      </c>
      <c r="I776" s="452">
        <f>IF(D776&lt;=3,база!$J$4,
IF(D776=4,база!$J$5,
IF(D776=5,база!$J$6)))</f>
        <v>196.05240000000001</v>
      </c>
      <c r="J776" s="475">
        <v>1</v>
      </c>
      <c r="K776" s="453">
        <f>SUMIFS(Таблица14[часы],Таблица14[коэф],"1",Таблица14[р/р],"2/8",Таблица14[Ф. И. О.],B781)</f>
        <v>0</v>
      </c>
      <c r="L776" s="453">
        <f>SUMIFS(Таблица14[Столбец2],Таблица14[коэф],"1",Таблица14[р/р],"2/8",Таблица14[Ф. И. О.],B781)</f>
        <v>0</v>
      </c>
      <c r="M776" s="453"/>
      <c r="N776" s="453">
        <v>1</v>
      </c>
      <c r="O776" s="453">
        <f>SUMIFS(Data_Tech!$AM$3:$AM$67,Data_Tech!$E$3:$E$67,"1",Data_Tech!$G$3:$G$67,"3/12",Data_Tech!$F$3:$F$67,B781)</f>
        <v>0</v>
      </c>
      <c r="P776" s="398">
        <f>ROUND(M776*N776*O776,2)</f>
        <v>0</v>
      </c>
      <c r="Q776" s="481">
        <f>IF(D776&lt;=3,база!$L$4,
IF(D776=4,база!$L$5,
IF(D776=5,база!$L$6)))</f>
        <v>210.57480000000001</v>
      </c>
      <c r="R776" s="417">
        <v>1</v>
      </c>
      <c r="S776" s="418">
        <f>SUMIFS(Таблица14[часы],Таблица14[коэф],"1",Таблица14[р/р],"3/16",Таблица14[Ф. И. О.],B781)</f>
        <v>0</v>
      </c>
      <c r="T776" s="402">
        <f>SUMIFS(Таблица14[Столбец2],Таблица14[коэф],"1",Таблица14[р/р],"3/16",Таблица14[Ф. И. О.],B781)</f>
        <v>0</v>
      </c>
      <c r="U776" s="483">
        <f>IF(D776&lt;=3,база!$M$4,
IF(D776=4,база!$M$5,
IF(D776=5,база!$M$6)))</f>
        <v>225.09719999999999</v>
      </c>
      <c r="V776" s="417">
        <v>1</v>
      </c>
      <c r="W776" s="455">
        <f>SUMIFS(Таблица14[часы],Таблица14[коэф],"1",Таблица14[р/р],"3/24",Таблица14[Ф. И. О.],B781)</f>
        <v>0</v>
      </c>
      <c r="X776" s="552">
        <f>SUMIFS(Таблица14[Столбец2],Таблица14[коэф],"1",Таблица14[р/р],"3/24",Таблица14[Ф. И. О.],B781)</f>
        <v>0</v>
      </c>
      <c r="Y776" s="770">
        <f t="shared" ref="Y776" si="278">SUM(G776:G786,K776:K786,O776:O786,S776:S786,W776:W786)</f>
        <v>0</v>
      </c>
      <c r="Z776" s="766">
        <f t="shared" ref="Z776" si="279">IFERROR(SUM(H776:H786,L776:L786,T776:T786,X776:X786),"")</f>
        <v>0</v>
      </c>
      <c r="AA776" s="756"/>
    </row>
    <row r="777" spans="1:29" ht="18.75" customHeight="1">
      <c r="A777" s="756"/>
      <c r="B777" s="215"/>
      <c r="C777" s="759"/>
      <c r="D777" s="762"/>
      <c r="E777" s="389">
        <f>IF(D776&lt;=3,база!$I$4,
IF(D776=4,база!$I$5,
IF(D776=5,база!$I$6)))</f>
        <v>188.7912</v>
      </c>
      <c r="F777" s="390">
        <v>1</v>
      </c>
      <c r="G777" s="400">
        <f>SUMIFS(Таблица14[часы],Таблица14[коэф],"1",Таблица14[р/р],"3/4",Таблица14[Ф. И. О.],B781)</f>
        <v>0</v>
      </c>
      <c r="H777" s="392">
        <f>SUMIFS(Таблица14[Столбец2],Таблица14[коэф],"1",Таблица14[р/р],"3/4",Таблица14[Ф. И. О.],B781)</f>
        <v>0</v>
      </c>
      <c r="I777" s="432">
        <f>IF(D776&lt;=3,база!$J$4,
IF(D776=4,база!$J$5,
IF(D776=5,база!$J$6)))</f>
        <v>196.05240000000001</v>
      </c>
      <c r="J777" s="433">
        <v>1</v>
      </c>
      <c r="K777" s="434">
        <f>SUMIFS(Таблица14[часы],Таблица14[коэф],"1",Таблица14[р/р],"3/8",Таблица14[Ф. И. О.],B781)</f>
        <v>0</v>
      </c>
      <c r="L777" s="434">
        <f>SUMIFS(Таблица14[Столбец2],Таблица14[коэф],"1",Таблица14[р/р],"3/8",Таблица14[Ф. И. О.],B781)</f>
        <v>0</v>
      </c>
      <c r="M777" s="434"/>
      <c r="N777" s="434">
        <v>1</v>
      </c>
      <c r="O777" s="434">
        <f>SUMIFS(Data_Tech!$AM$3:$AM$67,Data_Tech!$E$3:$E$67,"1",Data_Tech!$G$3:$G$67,"4/12",Data_Tech!$F$3:$F$67,B781)</f>
        <v>0</v>
      </c>
      <c r="P777" s="406">
        <f>ROUND(M777*O777,2)</f>
        <v>0</v>
      </c>
      <c r="Q777" s="389">
        <f>база!$L$5</f>
        <v>231.45480000000001</v>
      </c>
      <c r="R777" s="390">
        <v>1</v>
      </c>
      <c r="S777" s="400">
        <f>SUMIFS(Таблица14[часы],Таблица14[коэф],"1",Таблица14[р/р],"4/16",Таблица14[Ф. И. О.],B781)</f>
        <v>0</v>
      </c>
      <c r="T777" s="392">
        <f>SUMIFS(Таблица14[Столбец2],Таблица14[коэф],"1",Таблица14[р/р],"4/16",Таблица14[Ф. И. О.],B781)</f>
        <v>0</v>
      </c>
      <c r="U777" s="478">
        <f>база!$M$5</f>
        <v>247.41720000000001</v>
      </c>
      <c r="V777" s="390">
        <v>1</v>
      </c>
      <c r="W777" s="412">
        <f>SUMIFS(Таблица14[часы],Таблица14[коэф],"1",Таблица14[р/р],"4/24",Таблица14[Ф. И. О.],B781)</f>
        <v>0</v>
      </c>
      <c r="X777" s="545">
        <f>SUMIFS(Таблица14[Столбец2],Таблица14[коэф],"1",Таблица14[р/р],"4/24",Таблица14[Ф. И. О.],B781)</f>
        <v>0</v>
      </c>
      <c r="Y777" s="770"/>
      <c r="Z777" s="766"/>
      <c r="AA777" s="756"/>
    </row>
    <row r="778" spans="1:29" ht="18.75" customHeight="1">
      <c r="A778" s="756"/>
      <c r="B778" s="215"/>
      <c r="C778" s="759"/>
      <c r="D778" s="762"/>
      <c r="E778" s="389"/>
      <c r="F778" s="390"/>
      <c r="G778" s="400"/>
      <c r="H778" s="392"/>
      <c r="I778" s="432"/>
      <c r="J778" s="433"/>
      <c r="K778" s="434"/>
      <c r="L778" s="434"/>
      <c r="M778" s="434"/>
      <c r="N778" s="434"/>
      <c r="O778" s="434"/>
      <c r="P778" s="406"/>
      <c r="Q778" s="389">
        <f>база!$L$6</f>
        <v>261.04640000000001</v>
      </c>
      <c r="R778" s="390">
        <v>1</v>
      </c>
      <c r="S778" s="400">
        <f>SUMIFS(Таблица14[часы],Таблица14[коэф],"1",Таблица14[р/р],"5/16",Таблица14[Ф. И. О.],B781)</f>
        <v>0</v>
      </c>
      <c r="T778" s="392">
        <f>SUMIFS(Таблица14[Столбец2],Таблица14[коэф],"1",Таблица14[р/р],"5/16",Таблица14[Ф. И. О.],B781)</f>
        <v>0</v>
      </c>
      <c r="U778" s="478">
        <f>база!$M$6</f>
        <v>279.0496</v>
      </c>
      <c r="V778" s="390">
        <v>1</v>
      </c>
      <c r="W778" s="412">
        <f>SUMIFS(Таблица14[часы],Таблица14[коэф],"1",Таблица14[р/р],"5/24",Таблица14[Ф. И. О.],B781)</f>
        <v>0</v>
      </c>
      <c r="X778" s="545">
        <f>SUMIFS(Таблица14[Столбец2],Таблица14[коэф],"1",Таблица14[р/р],"5/24",Таблица14[Ф. И. О.],B781)</f>
        <v>0</v>
      </c>
      <c r="Y778" s="770"/>
      <c r="Z778" s="766"/>
      <c r="AA778" s="756"/>
    </row>
    <row r="779" spans="1:29" ht="18.75" customHeight="1">
      <c r="A779" s="756"/>
      <c r="B779" s="215"/>
      <c r="C779" s="759"/>
      <c r="D779" s="762"/>
      <c r="E779" s="389"/>
      <c r="F779" s="390"/>
      <c r="G779" s="400"/>
      <c r="H779" s="392"/>
      <c r="I779" s="432">
        <f>база!$J$5</f>
        <v>215.4924</v>
      </c>
      <c r="J779" s="433">
        <v>1.5</v>
      </c>
      <c r="K779" s="434">
        <f>SUMIFS(Таблица14[часы],Таблица14[коэф],"1,5",Таблица14[р/р],"4/8",Таблица14[Ф. И. О.],B781)</f>
        <v>0</v>
      </c>
      <c r="L779" s="434">
        <f>SUMIFS(Таблица14[Столбец2],Таблица14[коэф],"1,5",Таблица14[р/р],"4/8",Таблица14[Ф. И. О.],B781)</f>
        <v>0</v>
      </c>
      <c r="M779" s="434"/>
      <c r="N779" s="434"/>
      <c r="O779" s="434"/>
      <c r="P779" s="406"/>
      <c r="Q779" s="389">
        <f>IF(D776&lt;=3,база!$L$4,
IF(D776=4,база!$L$5,
IF(D776=5,база!$L$6)))</f>
        <v>210.57480000000001</v>
      </c>
      <c r="R779" s="390">
        <v>1.2</v>
      </c>
      <c r="S779" s="400">
        <f>SUMIFS(Таблица14[часы],Таблица14[коэф],"1,2",Таблица14[р/р],"3/16",Таблица14[Ф. И. О.],B781)</f>
        <v>0</v>
      </c>
      <c r="T779" s="392">
        <f>SUMIFS(Таблица14[Столбец2],Таблица14[коэф],"1,2",Таблица14[р/р],"3/16",Таблица14[Ф. И. О.],B781)</f>
        <v>0</v>
      </c>
      <c r="U779" s="478">
        <f>IF(D776&lt;=3,база!$M$4,
IF(D776=4,база!$M$5,
IF(D776=5,база!$M$6)))</f>
        <v>225.09719999999999</v>
      </c>
      <c r="V779" s="390">
        <v>1.2</v>
      </c>
      <c r="W779" s="412">
        <f>SUMIFS(Таблица14[часы],Таблица14[коэф],"1,2",Таблица14[р/р],"3/24",Таблица14[Ф. И. О.],B781)</f>
        <v>0</v>
      </c>
      <c r="X779" s="545">
        <f>SUMIFS(Таблица14[Столбец2],Таблица14[коэф],"1,2",Таблица14[р/р],"3/24",Таблица14[Ф. И. О.],B781)</f>
        <v>0</v>
      </c>
      <c r="Y779" s="770"/>
      <c r="Z779" s="766"/>
      <c r="AA779" s="756"/>
    </row>
    <row r="780" spans="1:29" ht="18.75" customHeight="1">
      <c r="A780" s="756"/>
      <c r="B780" s="215"/>
      <c r="C780" s="759"/>
      <c r="D780" s="762"/>
      <c r="E780" s="389"/>
      <c r="F780" s="390"/>
      <c r="G780" s="400"/>
      <c r="H780" s="392"/>
      <c r="I780" s="432">
        <f>база!$J$6</f>
        <v>243.04319999999998</v>
      </c>
      <c r="J780" s="433">
        <v>1.5</v>
      </c>
      <c r="K780" s="434">
        <f>SUMIFS(Таблица14[часы],Таблица14[коэф],"1,5",Таблица14[р/р],"5/8",Таблица14[Ф. И. О.],B781)</f>
        <v>0</v>
      </c>
      <c r="L780" s="434">
        <f>SUMIFS(Таблица14[Столбец2],Таблица14[коэф],"1,5",Таблица14[р/р],"5/8",Таблица14[Ф. И. О.],B781)</f>
        <v>0</v>
      </c>
      <c r="M780" s="434"/>
      <c r="N780" s="434"/>
      <c r="O780" s="434"/>
      <c r="P780" s="406"/>
      <c r="Q780" s="389">
        <f>база!$L$5</f>
        <v>231.45480000000001</v>
      </c>
      <c r="R780" s="390">
        <v>1.2</v>
      </c>
      <c r="S780" s="400">
        <f>SUMIFS(Таблица14[часы],Таблица14[коэф],"1,2",Таблица14[р/р],"4/16",Таблица14[Ф. И. О.],B781)</f>
        <v>0</v>
      </c>
      <c r="T780" s="392">
        <f>SUMIFS(Таблица14[Столбец2],Таблица14[коэф],"1,2",Таблица14[р/р],"4/16",Таблица14[Ф. И. О.],B781)</f>
        <v>0</v>
      </c>
      <c r="U780" s="478">
        <f>база!$M$5</f>
        <v>247.41720000000001</v>
      </c>
      <c r="V780" s="390">
        <v>1.2</v>
      </c>
      <c r="W780" s="412">
        <f>SUMIFS(Таблица14[часы],Таблица14[коэф],"1,2",Таблица14[р/р],"4/24",Таблица14[Ф. И. О.],B781)</f>
        <v>0</v>
      </c>
      <c r="X780" s="545">
        <f>SUMIFS(Таблица14[Столбец2],Таблица14[коэф],"1,2",Таблица14[р/р],"4/24",Таблица14[Ф. И. О.],B781)</f>
        <v>0</v>
      </c>
      <c r="Y780" s="770"/>
      <c r="Z780" s="766"/>
      <c r="AA780" s="756"/>
    </row>
    <row r="781" spans="1:29" ht="18.75" customHeight="1">
      <c r="A781" s="756"/>
      <c r="B781" s="215" t="str">
        <f>база!B72</f>
        <v>Старичкова Полина Анатольевна</v>
      </c>
      <c r="C781" s="759"/>
      <c r="D781" s="762"/>
      <c r="E781" s="389"/>
      <c r="F781" s="390"/>
      <c r="G781" s="400"/>
      <c r="H781" s="392"/>
      <c r="I781" s="432"/>
      <c r="J781" s="433"/>
      <c r="K781" s="434"/>
      <c r="L781" s="434"/>
      <c r="M781" s="434"/>
      <c r="N781" s="434"/>
      <c r="O781" s="434"/>
      <c r="P781" s="406"/>
      <c r="Q781" s="389">
        <f>база!$L$6</f>
        <v>261.04640000000001</v>
      </c>
      <c r="R781" s="390">
        <v>1.2</v>
      </c>
      <c r="S781" s="400">
        <f>SUMIFS(Таблица14[часы],Таблица14[коэф],"1,2",Таблица14[р/р],"5/16",Таблица14[Ф. И. О.],B781)</f>
        <v>0</v>
      </c>
      <c r="T781" s="392">
        <f>SUMIFS(Таблица14[Столбец2],Таблица14[коэф],"1,2",Таблица14[р/р],"5/16",Таблица14[Ф. И. О.],B781)</f>
        <v>0</v>
      </c>
      <c r="U781" s="478">
        <f>база!$M$6</f>
        <v>279.0496</v>
      </c>
      <c r="V781" s="390">
        <v>1.2</v>
      </c>
      <c r="W781" s="412">
        <f>SUMIFS(Таблица14[часы],Таблица14[коэф],"1,2",Таблица14[р/р],"5/24",Таблица14[Ф. И. О.],B781)</f>
        <v>0</v>
      </c>
      <c r="X781" s="545">
        <f>SUMIFS(Таблица14[Столбец2],Таблица14[коэф],"1,2",Таблица14[р/р],"5/24",Таблица14[Ф. И. О.],B781)</f>
        <v>0</v>
      </c>
      <c r="Y781" s="770"/>
      <c r="Z781" s="766"/>
      <c r="AA781" s="756"/>
      <c r="AC781" s="752" t="str">
        <f>IF(SUMIFS(Таблица14[Столбец2],Таблица14[Ф. И. О.],B781)-Z776=0,"",SUMIFS(Таблица14[Столбец2],Таблица14[Ф. И. О.],B781)-Z776)</f>
        <v/>
      </c>
    </row>
    <row r="782" spans="1:29" ht="18.75" customHeight="1">
      <c r="A782" s="756"/>
      <c r="B782" s="215"/>
      <c r="C782" s="759"/>
      <c r="D782" s="762"/>
      <c r="E782" s="389"/>
      <c r="F782" s="390"/>
      <c r="G782" s="400"/>
      <c r="H782" s="392"/>
      <c r="I782" s="432"/>
      <c r="J782" s="433"/>
      <c r="K782" s="434"/>
      <c r="L782" s="434"/>
      <c r="M782" s="434"/>
      <c r="N782" s="434"/>
      <c r="O782" s="434"/>
      <c r="P782" s="406"/>
      <c r="Q782" s="389">
        <f>IF($D$6&lt;=3,база!$L$4,
IF($D$6=4,база!$L$5,
IF($D$6=5,база!$L$6)))</f>
        <v>231.45480000000001</v>
      </c>
      <c r="R782" s="390">
        <v>1.3</v>
      </c>
      <c r="S782" s="400">
        <f>SUMIFS(Таблица14[часы],Таблица14[коэф],"1,3",Таблица14[р/р],"3/16",Таблица14[Ф. И. О.],B781)</f>
        <v>0</v>
      </c>
      <c r="T782" s="392">
        <f>SUMIFS(Таблица14[Столбец2],Таблица14[коэф],"1,3",Таблица14[р/р],"3/16",Таблица14[Ф. И. О.],B781)</f>
        <v>0</v>
      </c>
      <c r="U782" s="478">
        <f>IF(D776&lt;=3,база!$M$4,
IF(D776=4,база!$M$5,
IF(D776=5,база!$M$6)))</f>
        <v>225.09719999999999</v>
      </c>
      <c r="V782" s="390">
        <v>1.3</v>
      </c>
      <c r="W782" s="412">
        <f>SUMIFS(Таблица14[часы],Таблица14[коэф],"1,3",Таблица14[р/р],"3/24",Таблица14[Ф. И. О.],B781)</f>
        <v>0</v>
      </c>
      <c r="X782" s="545">
        <f>SUMIFS(Таблица14[Столбец2],Таблица14[коэф],"1,3",Таблица14[р/р],"3/24",Таблица14[Ф. И. О.],B781)</f>
        <v>0</v>
      </c>
      <c r="Y782" s="770"/>
      <c r="Z782" s="766"/>
      <c r="AA782" s="756"/>
      <c r="AC782" s="752" t="str">
        <f>IF(SUMIFS(Таблица14[часы],Таблица14[Ф. И. О.],B781)-Y776=0,"",SUMIFS(Таблица14[часы],Таблица14[Ф. И. О.],B781)-Y776)</f>
        <v/>
      </c>
    </row>
    <row r="783" spans="1:29" ht="18.75" customHeight="1">
      <c r="A783" s="756"/>
      <c r="B783" s="215"/>
      <c r="C783" s="759"/>
      <c r="D783" s="762"/>
      <c r="E783" s="389"/>
      <c r="F783" s="390"/>
      <c r="G783" s="400"/>
      <c r="H783" s="392"/>
      <c r="I783" s="432"/>
      <c r="J783" s="433"/>
      <c r="K783" s="434"/>
      <c r="L783" s="434"/>
      <c r="M783" s="434"/>
      <c r="N783" s="434"/>
      <c r="O783" s="434"/>
      <c r="P783" s="406"/>
      <c r="Q783" s="389">
        <f>база!$L$5</f>
        <v>231.45480000000001</v>
      </c>
      <c r="R783" s="390">
        <v>1.3</v>
      </c>
      <c r="S783" s="400">
        <f>SUMIFS(Таблица14[часы],Таблица14[коэф],"1,3",Таблица14[р/р],"4/16",Таблица14[Ф. И. О.],B781)</f>
        <v>0</v>
      </c>
      <c r="T783" s="392">
        <f>SUMIFS(Таблица14[Столбец2],Таблица14[коэф],"1,3",Таблица14[р/р],"4/16",Таблица14[Ф. И. О.],B781)</f>
        <v>0</v>
      </c>
      <c r="U783" s="478">
        <f>база!$M$5</f>
        <v>247.41720000000001</v>
      </c>
      <c r="V783" s="390">
        <v>1.3</v>
      </c>
      <c r="W783" s="412">
        <f>SUMIFS(Таблица14[часы],Таблица14[коэф],"1,3",Таблица14[р/р],"4/24",Таблица14[Ф. И. О.],B781)</f>
        <v>0</v>
      </c>
      <c r="X783" s="545">
        <f>SUMIFS(Таблица14[Столбец2],Таблица14[коэф],"1,3",Таблица14[р/р],"4/24",Таблица14[Ф. И. О.],B781)</f>
        <v>0</v>
      </c>
      <c r="Y783" s="770"/>
      <c r="Z783" s="766"/>
      <c r="AA783" s="756"/>
    </row>
    <row r="784" spans="1:29" ht="18.75" customHeight="1">
      <c r="A784" s="756"/>
      <c r="B784" s="215"/>
      <c r="C784" s="759"/>
      <c r="D784" s="762"/>
      <c r="E784" s="389"/>
      <c r="F784" s="390"/>
      <c r="G784" s="400"/>
      <c r="H784" s="392"/>
      <c r="I784" s="432"/>
      <c r="J784" s="433"/>
      <c r="K784" s="434"/>
      <c r="L784" s="434"/>
      <c r="M784" s="434"/>
      <c r="N784" s="434"/>
      <c r="O784" s="434"/>
      <c r="P784" s="406"/>
      <c r="Q784" s="389">
        <f>IF(D776&lt;=3,база!$L$4,
IF(D776=4,база!$L$5,
IF(D776=5,база!$L$6)))</f>
        <v>210.57480000000001</v>
      </c>
      <c r="R784" s="390">
        <v>1.4</v>
      </c>
      <c r="S784" s="400">
        <f>SUMIFS(Таблица14[часы],Таблица14[коэф],"1,4",Таблица14[р/р],"3/16",Таблица14[Ф. И. О.],B781)</f>
        <v>0</v>
      </c>
      <c r="T784" s="392">
        <f>SUMIFS(Таблица14[Столбец2],Таблица14[коэф],"1,4",Таблица14[р/р],"3/16",Таблица14[Ф. И. О.],B781)</f>
        <v>0</v>
      </c>
      <c r="U784" s="478">
        <f>IF(D776&lt;=3,база!$M$4,
IF(D776=4,база!$M$5,
IF(D776=5,база!$M$6)))</f>
        <v>225.09719999999999</v>
      </c>
      <c r="V784" s="390">
        <v>1.4</v>
      </c>
      <c r="W784" s="412">
        <f>SUMIFS(Таблица14[часы],Таблица14[коэф],"1,4",Таблица14[р/р],"3/24",Таблица14[Ф. И. О.],B781)</f>
        <v>0</v>
      </c>
      <c r="X784" s="545">
        <f>SUMIFS(Таблица14[Столбец2],Таблица14[коэф],"1,4",Таблица14[р/р],"3/24",Таблица14[Ф. И. О.],B781)</f>
        <v>0</v>
      </c>
      <c r="Y784" s="770"/>
      <c r="Z784" s="766"/>
      <c r="AA784" s="756"/>
    </row>
    <row r="785" spans="1:29" ht="18.75" customHeight="1">
      <c r="A785" s="756"/>
      <c r="B785" s="215"/>
      <c r="C785" s="759"/>
      <c r="D785" s="762"/>
      <c r="E785" s="389"/>
      <c r="F785" s="390"/>
      <c r="G785" s="400"/>
      <c r="H785" s="392"/>
      <c r="I785" s="432"/>
      <c r="J785" s="433"/>
      <c r="K785" s="434"/>
      <c r="L785" s="434"/>
      <c r="M785" s="434"/>
      <c r="N785" s="434"/>
      <c r="O785" s="434"/>
      <c r="P785" s="406"/>
      <c r="Q785" s="389">
        <f>база!$L$5</f>
        <v>231.45480000000001</v>
      </c>
      <c r="R785" s="390">
        <v>1.4</v>
      </c>
      <c r="S785" s="400">
        <f>SUMIFS(Таблица14[часы],Таблица14[коэф],"1,4",Таблица14[р/р],"4/16",Таблица14[Ф. И. О.],B781)</f>
        <v>0</v>
      </c>
      <c r="T785" s="392">
        <f>SUMIFS(Таблица14[Столбец2],Таблица14[коэф],"1,4",Таблица14[р/р],"4/16",Таблица14[Ф. И. О.],B781)</f>
        <v>0</v>
      </c>
      <c r="U785" s="478">
        <f>база!$M$5</f>
        <v>247.41720000000001</v>
      </c>
      <c r="V785" s="390">
        <v>1.4</v>
      </c>
      <c r="W785" s="412">
        <f>SUMIFS(Таблица14[часы],Таблица14[коэф],"1,4",Таблица14[р/р],"4/24",Таблица14[Ф. И. О.],B781)</f>
        <v>0</v>
      </c>
      <c r="X785" s="545">
        <f>SUMIFS(Таблица14[Столбец2],Таблица14[коэф],"1,4",Таблица14[р/р],"4/24",Таблица14[Ф. И. О.],B781)</f>
        <v>0</v>
      </c>
      <c r="Y785" s="770"/>
      <c r="Z785" s="766"/>
      <c r="AA785" s="756"/>
    </row>
    <row r="786" spans="1:29" ht="19.5" customHeight="1" thickBot="1">
      <c r="A786" s="757"/>
      <c r="B786" s="352"/>
      <c r="C786" s="760"/>
      <c r="D786" s="763"/>
      <c r="E786" s="473"/>
      <c r="F786" s="464"/>
      <c r="G786" s="651"/>
      <c r="H786" s="468"/>
      <c r="I786" s="645"/>
      <c r="J786" s="456"/>
      <c r="K786" s="646"/>
      <c r="L786" s="457"/>
      <c r="M786" s="645"/>
      <c r="N786" s="646"/>
      <c r="O786" s="646"/>
      <c r="P786" s="476"/>
      <c r="Q786" s="652">
        <f>база!$L$6</f>
        <v>261.04640000000001</v>
      </c>
      <c r="R786" s="464">
        <v>1.4</v>
      </c>
      <c r="S786" s="465">
        <f>SUMIFS(Таблица14[часы],Таблица14[коэф],"1,4",Таблица14[р/р],"5/16",Таблица14[Ф. И. О.],B781)</f>
        <v>0</v>
      </c>
      <c r="T786" s="468">
        <f>SUMIFS(Таблица14[Столбец2],Таблица14[коэф],"1,4",Таблица14[р/р],"5/16",Таблица14[Ф. И. О.],B781)</f>
        <v>0</v>
      </c>
      <c r="U786" s="463">
        <f>база!$M$6</f>
        <v>279.0496</v>
      </c>
      <c r="V786" s="464">
        <v>1.4</v>
      </c>
      <c r="W786" s="465">
        <f>SUMIFS(Таблица14[часы],Таблица14[коэф],"1,4",Таблица14[р/р],"5/24",Таблица14[Ф. И. О.],B781)</f>
        <v>0</v>
      </c>
      <c r="X786" s="468">
        <f>SUMIFS(Таблица14[Столбец2],Таблица14[коэф],"1,4",Таблица14[р/р],"5/24",Таблица14[Ф. И. О.],B781)</f>
        <v>0</v>
      </c>
      <c r="Y786" s="771"/>
      <c r="Z786" s="767"/>
      <c r="AA786" s="757"/>
    </row>
    <row r="787" spans="1:29" ht="18.75" customHeight="1">
      <c r="A787" s="756">
        <v>73</v>
      </c>
      <c r="B787" s="215"/>
      <c r="C787" s="758">
        <f>INDEX(база!$E$2:$E$150, MATCH(B792,база!$B$2:$B$150,0))</f>
        <v>17266</v>
      </c>
      <c r="D787" s="761">
        <f>INDEX(база!$D$2:$D$150, MATCH(B792,база!$B$2:$B$150,0))</f>
        <v>3</v>
      </c>
      <c r="E787" s="481">
        <f>IF(D787&lt;=3,база!$I$4,
IF(D787=4,база!$I$5,
IF(D787=5,база!$I$6)))</f>
        <v>188.7912</v>
      </c>
      <c r="F787" s="417">
        <v>1</v>
      </c>
      <c r="G787" s="418">
        <f>SUMIFS(Таблица14[часы],Таблица14[коэф],"1",Таблица14[р/р],"2/4",Таблица14[Ф. И. О.],B792)</f>
        <v>0</v>
      </c>
      <c r="H787" s="402">
        <f>SUMIFS(Таблица14[Столбец2],Таблица14[коэф],"1",Таблица14[р/р],"2/4",Таблица14[Ф. И. О.],B792)</f>
        <v>0</v>
      </c>
      <c r="I787" s="452">
        <f>IF(D787&lt;=3,база!$J$4,
IF(D787=4,база!$J$5,
IF(D787=5,база!$J$6)))</f>
        <v>196.05240000000001</v>
      </c>
      <c r="J787" s="475">
        <v>1</v>
      </c>
      <c r="K787" s="453">
        <f>SUMIFS(Таблица14[часы],Таблица14[коэф],"1",Таблица14[р/р],"2/8",Таблица14[Ф. И. О.],B792)</f>
        <v>0</v>
      </c>
      <c r="L787" s="453">
        <f>SUMIFS(Таблица14[Столбец2],Таблица14[коэф],"1",Таблица14[р/р],"2/8",Таблица14[Ф. И. О.],B792)</f>
        <v>0</v>
      </c>
      <c r="M787" s="453"/>
      <c r="N787" s="453">
        <v>1</v>
      </c>
      <c r="O787" s="453">
        <f>SUMIFS(Data_Tech!$AM$3:$AM$67,Data_Tech!$E$3:$E$67,"1",Data_Tech!$G$3:$G$67,"3/12",Data_Tech!$F$3:$F$67,B792)</f>
        <v>0</v>
      </c>
      <c r="P787" s="398">
        <f>ROUND(M787*N787*O787,2)</f>
        <v>0</v>
      </c>
      <c r="Q787" s="481">
        <f>IF(D787&lt;=3,база!$L$4,
IF(D787=4,база!$L$5,
IF(D787=5,база!$L$6)))</f>
        <v>210.57480000000001</v>
      </c>
      <c r="R787" s="417">
        <v>1</v>
      </c>
      <c r="S787" s="418">
        <f>SUMIFS(Таблица14[часы],Таблица14[коэф],"1",Таблица14[р/р],"3/16",Таблица14[Ф. И. О.],B792)</f>
        <v>0</v>
      </c>
      <c r="T787" s="402">
        <f>SUMIFS(Таблица14[Столбец2],Таблица14[коэф],"1",Таблица14[р/р],"3/16",Таблица14[Ф. И. О.],B792)</f>
        <v>0</v>
      </c>
      <c r="U787" s="483">
        <f>IF(D787&lt;=3,база!$M$4,
IF(D787=4,база!$M$5,
IF(D787=5,база!$M$6)))</f>
        <v>225.09719999999999</v>
      </c>
      <c r="V787" s="417">
        <v>1</v>
      </c>
      <c r="W787" s="455">
        <f>SUMIFS(Таблица14[часы],Таблица14[коэф],"1",Таблица14[р/р],"3/24",Таблица14[Ф. И. О.],B792)</f>
        <v>0</v>
      </c>
      <c r="X787" s="552">
        <f>SUMIFS(Таблица14[Столбец2],Таблица14[коэф],"1",Таблица14[р/р],"3/24",Таблица14[Ф. И. О.],B792)</f>
        <v>0</v>
      </c>
      <c r="Y787" s="770">
        <f t="shared" ref="Y787" si="280">SUM(G787:G797,K787:K797,O787:O797,S787:S797,W787:W797)</f>
        <v>0</v>
      </c>
      <c r="Z787" s="766">
        <f t="shared" ref="Z787" si="281">IFERROR(SUM(H787:H797,L787:L797,T787:T797,X787:X797),"")</f>
        <v>0</v>
      </c>
      <c r="AA787" s="755"/>
    </row>
    <row r="788" spans="1:29" ht="18.75" customHeight="1">
      <c r="A788" s="756"/>
      <c r="B788" s="215"/>
      <c r="C788" s="759"/>
      <c r="D788" s="762"/>
      <c r="E788" s="389">
        <f>IF(D787&lt;=3,база!$I$4,
IF(D787=4,база!$I$5,
IF(D787=5,база!$I$6)))</f>
        <v>188.7912</v>
      </c>
      <c r="F788" s="390">
        <v>1</v>
      </c>
      <c r="G788" s="400">
        <f>SUMIFS(Таблица14[часы],Таблица14[коэф],"1",Таблица14[р/р],"3/4",Таблица14[Ф. И. О.],B792)</f>
        <v>0</v>
      </c>
      <c r="H788" s="392">
        <f>SUMIFS(Таблица14[Столбец2],Таблица14[коэф],"1",Таблица14[р/р],"3/4",Таблица14[Ф. И. О.],B792)</f>
        <v>0</v>
      </c>
      <c r="I788" s="432">
        <f>IF(D787&lt;=3,база!$J$4,
IF(D787=4,база!$J$5,
IF(D787=5,база!$J$6)))</f>
        <v>196.05240000000001</v>
      </c>
      <c r="J788" s="433">
        <v>1</v>
      </c>
      <c r="K788" s="434">
        <f>SUMIFS(Таблица14[часы],Таблица14[коэф],"1",Таблица14[р/р],"3/8",Таблица14[Ф. И. О.],B792)</f>
        <v>0</v>
      </c>
      <c r="L788" s="434">
        <f>SUMIFS(Таблица14[Столбец2],Таблица14[коэф],"1",Таблица14[р/р],"3/8",Таблица14[Ф. И. О.],B792)</f>
        <v>0</v>
      </c>
      <c r="M788" s="434"/>
      <c r="N788" s="434">
        <v>1</v>
      </c>
      <c r="O788" s="434">
        <f>SUMIFS(Data_Tech!$AM$3:$AM$67,Data_Tech!$E$3:$E$67,"1",Data_Tech!$G$3:$G$67,"4/12",Data_Tech!$F$3:$F$67,B792)</f>
        <v>0</v>
      </c>
      <c r="P788" s="406">
        <f>ROUND(M788*O788,2)</f>
        <v>0</v>
      </c>
      <c r="Q788" s="389">
        <f>база!$L$5</f>
        <v>231.45480000000001</v>
      </c>
      <c r="R788" s="390">
        <v>1</v>
      </c>
      <c r="S788" s="400">
        <f>SUMIFS(Таблица14[часы],Таблица14[коэф],"1",Таблица14[р/р],"4/16",Таблица14[Ф. И. О.],B792)</f>
        <v>0</v>
      </c>
      <c r="T788" s="392">
        <f>SUMIFS(Таблица14[Столбец2],Таблица14[коэф],"1",Таблица14[р/р],"4/16",Таблица14[Ф. И. О.],B792)</f>
        <v>0</v>
      </c>
      <c r="U788" s="478">
        <f>база!$M$5</f>
        <v>247.41720000000001</v>
      </c>
      <c r="V788" s="390">
        <v>1</v>
      </c>
      <c r="W788" s="412">
        <f>SUMIFS(Таблица14[часы],Таблица14[коэф],"1",Таблица14[р/р],"4/24",Таблица14[Ф. И. О.],B792)</f>
        <v>0</v>
      </c>
      <c r="X788" s="545">
        <f>SUMIFS(Таблица14[Столбец2],Таблица14[коэф],"1",Таблица14[р/р],"4/24",Таблица14[Ф. И. О.],B792)</f>
        <v>0</v>
      </c>
      <c r="Y788" s="770"/>
      <c r="Z788" s="766"/>
      <c r="AA788" s="756"/>
    </row>
    <row r="789" spans="1:29" ht="18.75" customHeight="1">
      <c r="A789" s="756"/>
      <c r="B789" s="215"/>
      <c r="C789" s="759"/>
      <c r="D789" s="762"/>
      <c r="E789" s="389"/>
      <c r="F789" s="390"/>
      <c r="G789" s="400"/>
      <c r="H789" s="392"/>
      <c r="I789" s="432"/>
      <c r="J789" s="433"/>
      <c r="K789" s="434"/>
      <c r="L789" s="434"/>
      <c r="M789" s="434"/>
      <c r="N789" s="434"/>
      <c r="O789" s="434"/>
      <c r="P789" s="406"/>
      <c r="Q789" s="389">
        <f>база!$L$6</f>
        <v>261.04640000000001</v>
      </c>
      <c r="R789" s="390">
        <v>1</v>
      </c>
      <c r="S789" s="400">
        <f>SUMIFS(Таблица14[часы],Таблица14[коэф],"1",Таблица14[р/р],"5/16",Таблица14[Ф. И. О.],B792)</f>
        <v>0</v>
      </c>
      <c r="T789" s="392">
        <f>SUMIFS(Таблица14[Столбец2],Таблица14[коэф],"1",Таблица14[р/р],"5/16",Таблица14[Ф. И. О.],B792)</f>
        <v>0</v>
      </c>
      <c r="U789" s="478">
        <f>база!$M$6</f>
        <v>279.0496</v>
      </c>
      <c r="V789" s="390">
        <v>1</v>
      </c>
      <c r="W789" s="412">
        <f>SUMIFS(Таблица14[часы],Таблица14[коэф],"1",Таблица14[р/р],"5/24",Таблица14[Ф. И. О.],B792)</f>
        <v>0</v>
      </c>
      <c r="X789" s="545">
        <f>SUMIFS(Таблица14[Столбец2],Таблица14[коэф],"1",Таблица14[р/р],"5/24",Таблица14[Ф. И. О.],B792)</f>
        <v>0</v>
      </c>
      <c r="Y789" s="770"/>
      <c r="Z789" s="766"/>
      <c r="AA789" s="756"/>
    </row>
    <row r="790" spans="1:29" ht="18.75" customHeight="1">
      <c r="A790" s="756"/>
      <c r="B790" s="215"/>
      <c r="C790" s="759"/>
      <c r="D790" s="762"/>
      <c r="E790" s="389"/>
      <c r="F790" s="390"/>
      <c r="G790" s="400"/>
      <c r="H790" s="392"/>
      <c r="I790" s="432">
        <f>база!$J$5</f>
        <v>215.4924</v>
      </c>
      <c r="J790" s="433">
        <v>1.5</v>
      </c>
      <c r="K790" s="434">
        <f>SUMIFS(Таблица14[часы],Таблица14[коэф],"1,5",Таблица14[р/р],"4/8",Таблица14[Ф. И. О.],B792)</f>
        <v>0</v>
      </c>
      <c r="L790" s="434">
        <f>SUMIFS(Таблица14[Столбец2],Таблица14[коэф],"1,5",Таблица14[р/р],"4/8",Таблица14[Ф. И. О.],B792)</f>
        <v>0</v>
      </c>
      <c r="M790" s="434"/>
      <c r="N790" s="434"/>
      <c r="O790" s="434"/>
      <c r="P790" s="406"/>
      <c r="Q790" s="389">
        <f>IF(D787&lt;=3,база!$L$4,
IF(D787=4,база!$L$5,
IF(D787=5,база!$L$6)))</f>
        <v>210.57480000000001</v>
      </c>
      <c r="R790" s="390">
        <v>1.2</v>
      </c>
      <c r="S790" s="400">
        <f>SUMIFS(Таблица14[часы],Таблица14[коэф],"1,2",Таблица14[р/р],"3/16",Таблица14[Ф. И. О.],B792)</f>
        <v>0</v>
      </c>
      <c r="T790" s="392">
        <f>SUMIFS(Таблица14[Столбец2],Таблица14[коэф],"1,2",Таблица14[р/р],"3/16",Таблица14[Ф. И. О.],B792)</f>
        <v>0</v>
      </c>
      <c r="U790" s="478">
        <f>IF(D787&lt;=3,база!$M$4,
IF(D787=4,база!$M$5,
IF(D787=5,база!$M$6)))</f>
        <v>225.09719999999999</v>
      </c>
      <c r="V790" s="390">
        <v>1.2</v>
      </c>
      <c r="W790" s="412">
        <f>SUMIFS(Таблица14[часы],Таблица14[коэф],"1,2",Таблица14[р/р],"3/24",Таблица14[Ф. И. О.],B792)</f>
        <v>0</v>
      </c>
      <c r="X790" s="545">
        <f>SUMIFS(Таблица14[Столбец2],Таблица14[коэф],"1,2",Таблица14[р/р],"3/24",Таблица14[Ф. И. О.],B792)</f>
        <v>0</v>
      </c>
      <c r="Y790" s="770"/>
      <c r="Z790" s="766"/>
      <c r="AA790" s="756"/>
    </row>
    <row r="791" spans="1:29" ht="18.75" customHeight="1">
      <c r="A791" s="756"/>
      <c r="B791" s="215"/>
      <c r="C791" s="759"/>
      <c r="D791" s="762"/>
      <c r="E791" s="389"/>
      <c r="F791" s="390"/>
      <c r="G791" s="400"/>
      <c r="H791" s="392"/>
      <c r="I791" s="432">
        <f>база!$J$6</f>
        <v>243.04319999999998</v>
      </c>
      <c r="J791" s="433">
        <v>1.5</v>
      </c>
      <c r="K791" s="434">
        <f>SUMIFS(Таблица14[часы],Таблица14[коэф],"1,5",Таблица14[р/р],"5/8",Таблица14[Ф. И. О.],B792)</f>
        <v>0</v>
      </c>
      <c r="L791" s="434">
        <f>SUMIFS(Таблица14[Столбец2],Таблица14[коэф],"1,5",Таблица14[р/р],"5/8",Таблица14[Ф. И. О.],B792)</f>
        <v>0</v>
      </c>
      <c r="M791" s="434"/>
      <c r="N791" s="434"/>
      <c r="O791" s="434"/>
      <c r="P791" s="406"/>
      <c r="Q791" s="389">
        <f>база!$L$5</f>
        <v>231.45480000000001</v>
      </c>
      <c r="R791" s="390">
        <v>1.2</v>
      </c>
      <c r="S791" s="400">
        <f>SUMIFS(Таблица14[часы],Таблица14[коэф],"1,2",Таблица14[р/р],"4/16",Таблица14[Ф. И. О.],B792)</f>
        <v>0</v>
      </c>
      <c r="T791" s="392">
        <f>SUMIFS(Таблица14[Столбец2],Таблица14[коэф],"1,2",Таблица14[р/р],"4/16",Таблица14[Ф. И. О.],B792)</f>
        <v>0</v>
      </c>
      <c r="U791" s="478">
        <f>база!$M$5</f>
        <v>247.41720000000001</v>
      </c>
      <c r="V791" s="390">
        <v>1.2</v>
      </c>
      <c r="W791" s="412">
        <f>SUMIFS(Таблица14[часы],Таблица14[коэф],"1,2",Таблица14[р/р],"4/24",Таблица14[Ф. И. О.],B792)</f>
        <v>0</v>
      </c>
      <c r="X791" s="545">
        <f>SUMIFS(Таблица14[Столбец2],Таблица14[коэф],"1,2",Таблица14[р/р],"4/24",Таблица14[Ф. И. О.],B792)</f>
        <v>0</v>
      </c>
      <c r="Y791" s="770"/>
      <c r="Z791" s="766"/>
      <c r="AA791" s="756"/>
    </row>
    <row r="792" spans="1:29" ht="18.75" customHeight="1">
      <c r="A792" s="756"/>
      <c r="B792" s="215" t="str">
        <f>база!B73</f>
        <v>Степанова Ольга Юрьевна</v>
      </c>
      <c r="C792" s="759"/>
      <c r="D792" s="762"/>
      <c r="E792" s="389"/>
      <c r="F792" s="390"/>
      <c r="G792" s="400"/>
      <c r="H792" s="392"/>
      <c r="I792" s="432"/>
      <c r="J792" s="433"/>
      <c r="K792" s="434"/>
      <c r="L792" s="434"/>
      <c r="M792" s="434"/>
      <c r="N792" s="434"/>
      <c r="O792" s="434"/>
      <c r="P792" s="406"/>
      <c r="Q792" s="389">
        <f>база!$L$6</f>
        <v>261.04640000000001</v>
      </c>
      <c r="R792" s="390">
        <v>1.2</v>
      </c>
      <c r="S792" s="400">
        <f>SUMIFS(Таблица14[часы],Таблица14[коэф],"1,2",Таблица14[р/р],"5/16",Таблица14[Ф. И. О.],B792)</f>
        <v>0</v>
      </c>
      <c r="T792" s="392">
        <f>SUMIFS(Таблица14[Столбец2],Таблица14[коэф],"1,2",Таблица14[р/р],"5/16",Таблица14[Ф. И. О.],B792)</f>
        <v>0</v>
      </c>
      <c r="U792" s="478">
        <f>база!$M$6</f>
        <v>279.0496</v>
      </c>
      <c r="V792" s="390">
        <v>1.2</v>
      </c>
      <c r="W792" s="412">
        <f>SUMIFS(Таблица14[часы],Таблица14[коэф],"1,2",Таблица14[р/р],"5/24",Таблица14[Ф. И. О.],B792)</f>
        <v>0</v>
      </c>
      <c r="X792" s="545">
        <f>SUMIFS(Таблица14[Столбец2],Таблица14[коэф],"1,2",Таблица14[р/р],"5/24",Таблица14[Ф. И. О.],B792)</f>
        <v>0</v>
      </c>
      <c r="Y792" s="770"/>
      <c r="Z792" s="766"/>
      <c r="AA792" s="756"/>
      <c r="AC792" s="752" t="str">
        <f>IF(SUMIFS(Таблица14[Столбец2],Таблица14[Ф. И. О.],B792)-Z787=0,"",SUMIFS(Таблица14[Столбец2],Таблица14[Ф. И. О.],B792)-Z787)</f>
        <v/>
      </c>
    </row>
    <row r="793" spans="1:29" ht="18.75" customHeight="1">
      <c r="A793" s="756"/>
      <c r="B793" s="215"/>
      <c r="C793" s="759"/>
      <c r="D793" s="762"/>
      <c r="E793" s="389"/>
      <c r="F793" s="390"/>
      <c r="G793" s="400"/>
      <c r="H793" s="392"/>
      <c r="I793" s="432"/>
      <c r="J793" s="433"/>
      <c r="K793" s="434"/>
      <c r="L793" s="434"/>
      <c r="M793" s="434"/>
      <c r="N793" s="434"/>
      <c r="O793" s="434"/>
      <c r="P793" s="406"/>
      <c r="Q793" s="389">
        <f>IF($D$6&lt;=3,база!$L$4,
IF($D$6=4,база!$L$5,
IF($D$6=5,база!$L$6)))</f>
        <v>231.45480000000001</v>
      </c>
      <c r="R793" s="390">
        <v>1.3</v>
      </c>
      <c r="S793" s="400">
        <f>SUMIFS(Таблица14[часы],Таблица14[коэф],"1,3",Таблица14[р/р],"3/16",Таблица14[Ф. И. О.],B792)</f>
        <v>0</v>
      </c>
      <c r="T793" s="392">
        <f>SUMIFS(Таблица14[Столбец2],Таблица14[коэф],"1,3",Таблица14[р/р],"3/16",Таблица14[Ф. И. О.],B792)</f>
        <v>0</v>
      </c>
      <c r="U793" s="478">
        <f>IF(D787&lt;=3,база!$M$4,
IF(D787=4,база!$M$5,
IF(D787=5,база!$M$6)))</f>
        <v>225.09719999999999</v>
      </c>
      <c r="V793" s="390">
        <v>1.3</v>
      </c>
      <c r="W793" s="412">
        <f>SUMIFS(Таблица14[часы],Таблица14[коэф],"1,3",Таблица14[р/р],"3/24",Таблица14[Ф. И. О.],B792)</f>
        <v>0</v>
      </c>
      <c r="X793" s="545">
        <f>SUMIFS(Таблица14[Столбец2],Таблица14[коэф],"1,3",Таблица14[р/р],"3/24",Таблица14[Ф. И. О.],B792)</f>
        <v>0</v>
      </c>
      <c r="Y793" s="770"/>
      <c r="Z793" s="766"/>
      <c r="AA793" s="756"/>
      <c r="AC793" s="752" t="str">
        <f>IF(SUMIFS(Таблица14[часы],Таблица14[Ф. И. О.],B792)-Y787=0,"",SUMIFS(Таблица14[часы],Таблица14[Ф. И. О.],B792)-Y787)</f>
        <v/>
      </c>
    </row>
    <row r="794" spans="1:29" ht="18.75" customHeight="1">
      <c r="A794" s="756"/>
      <c r="B794" s="215"/>
      <c r="C794" s="759"/>
      <c r="D794" s="762"/>
      <c r="E794" s="389"/>
      <c r="F794" s="390"/>
      <c r="G794" s="400"/>
      <c r="H794" s="392"/>
      <c r="I794" s="432"/>
      <c r="J794" s="433"/>
      <c r="K794" s="434"/>
      <c r="L794" s="434"/>
      <c r="M794" s="434"/>
      <c r="N794" s="434"/>
      <c r="O794" s="434"/>
      <c r="P794" s="406"/>
      <c r="Q794" s="389">
        <f>база!$L$5</f>
        <v>231.45480000000001</v>
      </c>
      <c r="R794" s="390">
        <v>1.3</v>
      </c>
      <c r="S794" s="400">
        <f>SUMIFS(Таблица14[часы],Таблица14[коэф],"1,3",Таблица14[р/р],"4/16",Таблица14[Ф. И. О.],B792)</f>
        <v>0</v>
      </c>
      <c r="T794" s="392">
        <f>SUMIFS(Таблица14[Столбец2],Таблица14[коэф],"1,3",Таблица14[р/р],"4/16",Таблица14[Ф. И. О.],B792)</f>
        <v>0</v>
      </c>
      <c r="U794" s="478">
        <f>база!$M$5</f>
        <v>247.41720000000001</v>
      </c>
      <c r="V794" s="390">
        <v>1.3</v>
      </c>
      <c r="W794" s="412">
        <f>SUMIFS(Таблица14[часы],Таблица14[коэф],"1,3",Таблица14[р/р],"4/24",Таблица14[Ф. И. О.],B792)</f>
        <v>0</v>
      </c>
      <c r="X794" s="545">
        <f>SUMIFS(Таблица14[Столбец2],Таблица14[коэф],"1,3",Таблица14[р/р],"4/24",Таблица14[Ф. И. О.],B792)</f>
        <v>0</v>
      </c>
      <c r="Y794" s="770"/>
      <c r="Z794" s="766"/>
      <c r="AA794" s="756"/>
    </row>
    <row r="795" spans="1:29" ht="18.75" customHeight="1">
      <c r="A795" s="756"/>
      <c r="B795" s="215"/>
      <c r="C795" s="759"/>
      <c r="D795" s="762"/>
      <c r="E795" s="389"/>
      <c r="F795" s="390"/>
      <c r="G795" s="400"/>
      <c r="H795" s="392"/>
      <c r="I795" s="432"/>
      <c r="J795" s="433"/>
      <c r="K795" s="434"/>
      <c r="L795" s="434"/>
      <c r="M795" s="434"/>
      <c r="N795" s="434"/>
      <c r="O795" s="434"/>
      <c r="P795" s="406"/>
      <c r="Q795" s="389">
        <f>IF(D787&lt;=3,база!$L$4,
IF(D787=4,база!$L$5,
IF(D787=5,база!$L$6)))</f>
        <v>210.57480000000001</v>
      </c>
      <c r="R795" s="390">
        <v>1.4</v>
      </c>
      <c r="S795" s="400">
        <f>SUMIFS(Таблица14[часы],Таблица14[коэф],"1,4",Таблица14[р/р],"3/16",Таблица14[Ф. И. О.],B792)</f>
        <v>0</v>
      </c>
      <c r="T795" s="392">
        <f>SUMIFS(Таблица14[Столбец2],Таблица14[коэф],"1,4",Таблица14[р/р],"3/16",Таблица14[Ф. И. О.],B792)</f>
        <v>0</v>
      </c>
      <c r="U795" s="478">
        <f>IF(D787&lt;=3,база!$M$4,
IF(D787=4,база!$M$5,
IF(D787=5,база!$M$6)))</f>
        <v>225.09719999999999</v>
      </c>
      <c r="V795" s="390">
        <v>1.4</v>
      </c>
      <c r="W795" s="412">
        <f>SUMIFS(Таблица14[часы],Таблица14[коэф],"1,4",Таблица14[р/р],"3/24",Таблица14[Ф. И. О.],B792)</f>
        <v>0</v>
      </c>
      <c r="X795" s="545">
        <f>SUMIFS(Таблица14[Столбец2],Таблица14[коэф],"1,4",Таблица14[р/р],"3/24",Таблица14[Ф. И. О.],B792)</f>
        <v>0</v>
      </c>
      <c r="Y795" s="770"/>
      <c r="Z795" s="766"/>
      <c r="AA795" s="756"/>
    </row>
    <row r="796" spans="1:29" ht="18.75" customHeight="1">
      <c r="A796" s="756"/>
      <c r="B796" s="215"/>
      <c r="C796" s="759"/>
      <c r="D796" s="762"/>
      <c r="E796" s="389"/>
      <c r="F796" s="390"/>
      <c r="G796" s="400"/>
      <c r="H796" s="392"/>
      <c r="I796" s="432"/>
      <c r="J796" s="433"/>
      <c r="K796" s="434"/>
      <c r="L796" s="434"/>
      <c r="M796" s="434"/>
      <c r="N796" s="434"/>
      <c r="O796" s="434"/>
      <c r="P796" s="406"/>
      <c r="Q796" s="389">
        <f>база!$L$5</f>
        <v>231.45480000000001</v>
      </c>
      <c r="R796" s="390">
        <v>1.4</v>
      </c>
      <c r="S796" s="400">
        <f>SUMIFS(Таблица14[часы],Таблица14[коэф],"1,4",Таблица14[р/р],"4/16",Таблица14[Ф. И. О.],B792)</f>
        <v>0</v>
      </c>
      <c r="T796" s="392">
        <f>SUMIFS(Таблица14[Столбец2],Таблица14[коэф],"1,4",Таблица14[р/р],"4/16",Таблица14[Ф. И. О.],B792)</f>
        <v>0</v>
      </c>
      <c r="U796" s="478">
        <f>база!$M$5</f>
        <v>247.41720000000001</v>
      </c>
      <c r="V796" s="390">
        <v>1.4</v>
      </c>
      <c r="W796" s="412">
        <f>SUMIFS(Таблица14[часы],Таблица14[коэф],"1,4",Таблица14[р/р],"4/24",Таблица14[Ф. И. О.],B792)</f>
        <v>0</v>
      </c>
      <c r="X796" s="545">
        <f>SUMIFS(Таблица14[Столбец2],Таблица14[коэф],"1,4",Таблица14[р/р],"4/24",Таблица14[Ф. И. О.],B792)</f>
        <v>0</v>
      </c>
      <c r="Y796" s="770"/>
      <c r="Z796" s="766"/>
      <c r="AA796" s="756"/>
    </row>
    <row r="797" spans="1:29" ht="19.5" customHeight="1" thickBot="1">
      <c r="A797" s="757"/>
      <c r="B797" s="352"/>
      <c r="C797" s="760"/>
      <c r="D797" s="763"/>
      <c r="E797" s="473"/>
      <c r="F797" s="464"/>
      <c r="G797" s="651"/>
      <c r="H797" s="468"/>
      <c r="I797" s="645"/>
      <c r="J797" s="456"/>
      <c r="K797" s="646"/>
      <c r="L797" s="457"/>
      <c r="M797" s="645"/>
      <c r="N797" s="646"/>
      <c r="O797" s="646"/>
      <c r="P797" s="476"/>
      <c r="Q797" s="652">
        <f>база!$L$6</f>
        <v>261.04640000000001</v>
      </c>
      <c r="R797" s="464">
        <v>1.4</v>
      </c>
      <c r="S797" s="465">
        <f>SUMIFS(Таблица14[часы],Таблица14[коэф],"1,4",Таблица14[р/р],"5/16",Таблица14[Ф. И. О.],B792)</f>
        <v>0</v>
      </c>
      <c r="T797" s="468">
        <f>SUMIFS(Таблица14[Столбец2],Таблица14[коэф],"1,4",Таблица14[р/р],"5/16",Таблица14[Ф. И. О.],B792)</f>
        <v>0</v>
      </c>
      <c r="U797" s="463">
        <f>база!$M$6</f>
        <v>279.0496</v>
      </c>
      <c r="V797" s="464">
        <v>1.4</v>
      </c>
      <c r="W797" s="465">
        <f>SUMIFS(Таблица14[часы],Таблица14[коэф],"1,4",Таблица14[р/р],"5/24",Таблица14[Ф. И. О.],B792)</f>
        <v>0</v>
      </c>
      <c r="X797" s="468">
        <f>SUMIFS(Таблица14[Столбец2],Таблица14[коэф],"1,4",Таблица14[р/р],"5/24",Таблица14[Ф. И. О.],B792)</f>
        <v>0</v>
      </c>
      <c r="Y797" s="771"/>
      <c r="Z797" s="767"/>
      <c r="AA797" s="757"/>
    </row>
    <row r="798" spans="1:29" ht="18.75" customHeight="1">
      <c r="A798" s="756">
        <v>74</v>
      </c>
      <c r="B798" s="215"/>
      <c r="C798" s="758">
        <f>INDEX(база!$E$2:$E$150, MATCH(B803,база!$B$2:$B$150,0))</f>
        <v>14988</v>
      </c>
      <c r="D798" s="761">
        <f>INDEX(база!$D$2:$D$150, MATCH(B803,база!$B$2:$B$150,0))</f>
        <v>4</v>
      </c>
      <c r="E798" s="481">
        <f>IF(D798&lt;=3,база!$I$4,
IF(D798=4,база!$I$5,
IF(D798=5,база!$I$6)))</f>
        <v>207.5112</v>
      </c>
      <c r="F798" s="417">
        <v>1</v>
      </c>
      <c r="G798" s="418">
        <f>SUMIFS(Таблица14[часы],Таблица14[коэф],"1",Таблица14[р/р],"2/4",Таблица14[Ф. И. О.],B803)</f>
        <v>0</v>
      </c>
      <c r="H798" s="402">
        <f>SUMIFS(Таблица14[Столбец2],Таблица14[коэф],"1",Таблица14[р/р],"2/4",Таблица14[Ф. И. О.],B803)</f>
        <v>0</v>
      </c>
      <c r="I798" s="452">
        <f>IF(D798&lt;=3,база!$J$4,
IF(D798=4,база!$J$5,
IF(D798=5,база!$J$6)))</f>
        <v>215.4924</v>
      </c>
      <c r="J798" s="475">
        <v>1</v>
      </c>
      <c r="K798" s="453">
        <f>SUMIFS(Таблица14[часы],Таблица14[коэф],"1",Таблица14[р/р],"2/8",Таблица14[Ф. И. О.],B803)</f>
        <v>0</v>
      </c>
      <c r="L798" s="453">
        <f>SUMIFS(Таблица14[Столбец2],Таблица14[коэф],"1",Таблица14[р/р],"2/8",Таблица14[Ф. И. О.],B803)</f>
        <v>0</v>
      </c>
      <c r="M798" s="453"/>
      <c r="N798" s="453">
        <v>1</v>
      </c>
      <c r="O798" s="453">
        <f>SUMIFS(Data_Tech!$AM$3:$AM$67,Data_Tech!$E$3:$E$67,"1",Data_Tech!$G$3:$G$67,"3/12",Data_Tech!$F$3:$F$67,B803)</f>
        <v>0</v>
      </c>
      <c r="P798" s="398">
        <f>ROUND(M798*N798*O798,2)</f>
        <v>0</v>
      </c>
      <c r="Q798" s="481">
        <f>IF(D798&lt;=3,база!$L$4,
IF(D798=4,база!$L$5,
IF(D798=5,база!$L$6)))</f>
        <v>231.45480000000001</v>
      </c>
      <c r="R798" s="417">
        <v>1</v>
      </c>
      <c r="S798" s="418">
        <f>SUMIFS(Таблица14[часы],Таблица14[коэф],"1",Таблица14[р/р],"3/16",Таблица14[Ф. И. О.],B803)</f>
        <v>0</v>
      </c>
      <c r="T798" s="402">
        <f>SUMIFS(Таблица14[Столбец2],Таблица14[коэф],"1",Таблица14[р/р],"3/16",Таблица14[Ф. И. О.],B803)</f>
        <v>0</v>
      </c>
      <c r="U798" s="483">
        <f>IF(D798&lt;=3,база!$M$4,
IF(D798=4,база!$M$5,
IF(D798=5,база!$M$6)))</f>
        <v>247.41720000000001</v>
      </c>
      <c r="V798" s="417">
        <v>1</v>
      </c>
      <c r="W798" s="455">
        <f>SUMIFS(Таблица14[часы],Таблица14[коэф],"1",Таблица14[р/р],"3/24",Таблица14[Ф. И. О.],B803)</f>
        <v>0</v>
      </c>
      <c r="X798" s="552">
        <f>SUMIFS(Таблица14[Столбец2],Таблица14[коэф],"1",Таблица14[р/р],"3/24",Таблица14[Ф. И. О.],B803)</f>
        <v>0</v>
      </c>
      <c r="Y798" s="770">
        <f t="shared" ref="Y798" si="282">SUM(G798:G808,K798:K808,O798:O808,S798:S808,W798:W808)</f>
        <v>0</v>
      </c>
      <c r="Z798" s="766">
        <f t="shared" ref="Z798" si="283">IFERROR(SUM(H798:H808,L798:L808,T798:T808,X798:X808),"")</f>
        <v>0</v>
      </c>
      <c r="AA798" s="756"/>
    </row>
    <row r="799" spans="1:29" ht="18.75" customHeight="1">
      <c r="A799" s="756"/>
      <c r="B799" s="215"/>
      <c r="C799" s="759"/>
      <c r="D799" s="762"/>
      <c r="E799" s="389">
        <f>IF(D798&lt;=3,база!$I$4,
IF(D798=4,база!$I$5,
IF(D798=5,база!$I$6)))</f>
        <v>207.5112</v>
      </c>
      <c r="F799" s="390">
        <v>1</v>
      </c>
      <c r="G799" s="400">
        <f>SUMIFS(Таблица14[часы],Таблица14[коэф],"1",Таблица14[р/р],"3/4",Таблица14[Ф. И. О.],B803)</f>
        <v>0</v>
      </c>
      <c r="H799" s="392">
        <f>SUMIFS(Таблица14[Столбец2],Таблица14[коэф],"1",Таблица14[р/р],"3/4",Таблица14[Ф. И. О.],B803)</f>
        <v>0</v>
      </c>
      <c r="I799" s="432">
        <f>IF(D798&lt;=3,база!$J$4,
IF(D798=4,база!$J$5,
IF(D798=5,база!$J$6)))</f>
        <v>215.4924</v>
      </c>
      <c r="J799" s="433">
        <v>1</v>
      </c>
      <c r="K799" s="434">
        <f>SUMIFS(Таблица14[часы],Таблица14[коэф],"1",Таблица14[р/р],"3/8",Таблица14[Ф. И. О.],B803)</f>
        <v>0</v>
      </c>
      <c r="L799" s="434">
        <f>SUMIFS(Таблица14[Столбец2],Таблица14[коэф],"1",Таблица14[р/р],"3/8",Таблица14[Ф. И. О.],B803)</f>
        <v>0</v>
      </c>
      <c r="M799" s="434"/>
      <c r="N799" s="434">
        <v>1</v>
      </c>
      <c r="O799" s="434">
        <f>SUMIFS(Data_Tech!$AM$3:$AM$67,Data_Tech!$E$3:$E$67,"1",Data_Tech!$G$3:$G$67,"4/12",Data_Tech!$F$3:$F$67,B803)</f>
        <v>0</v>
      </c>
      <c r="P799" s="406">
        <f>ROUND(M799*O799,2)</f>
        <v>0</v>
      </c>
      <c r="Q799" s="389">
        <f>база!$L$5</f>
        <v>231.45480000000001</v>
      </c>
      <c r="R799" s="390">
        <v>1</v>
      </c>
      <c r="S799" s="400">
        <f>SUMIFS(Таблица14[часы],Таблица14[коэф],"1",Таблица14[р/р],"4/16",Таблица14[Ф. И. О.],B803)</f>
        <v>0</v>
      </c>
      <c r="T799" s="392">
        <f>SUMIFS(Таблица14[Столбец2],Таблица14[коэф],"1",Таблица14[р/р],"4/16",Таблица14[Ф. И. О.],B803)</f>
        <v>0</v>
      </c>
      <c r="U799" s="478">
        <f>база!$M$5</f>
        <v>247.41720000000001</v>
      </c>
      <c r="V799" s="390">
        <v>1</v>
      </c>
      <c r="W799" s="412">
        <f>SUMIFS(Таблица14[часы],Таблица14[коэф],"1",Таблица14[р/р],"4/24",Таблица14[Ф. И. О.],B803)</f>
        <v>0</v>
      </c>
      <c r="X799" s="545">
        <f>SUMIFS(Таблица14[Столбец2],Таблица14[коэф],"1",Таблица14[р/р],"4/24",Таблица14[Ф. И. О.],B803)</f>
        <v>0</v>
      </c>
      <c r="Y799" s="770"/>
      <c r="Z799" s="766"/>
      <c r="AA799" s="756"/>
    </row>
    <row r="800" spans="1:29" ht="18.75" customHeight="1">
      <c r="A800" s="756"/>
      <c r="B800" s="215"/>
      <c r="C800" s="759"/>
      <c r="D800" s="762"/>
      <c r="E800" s="389"/>
      <c r="F800" s="390"/>
      <c r="G800" s="400"/>
      <c r="H800" s="392"/>
      <c r="I800" s="432"/>
      <c r="J800" s="433"/>
      <c r="K800" s="434"/>
      <c r="L800" s="434"/>
      <c r="M800" s="434"/>
      <c r="N800" s="434"/>
      <c r="O800" s="434"/>
      <c r="P800" s="406"/>
      <c r="Q800" s="389">
        <f>база!$L$6</f>
        <v>261.04640000000001</v>
      </c>
      <c r="R800" s="390">
        <v>1</v>
      </c>
      <c r="S800" s="400">
        <f>SUMIFS(Таблица14[часы],Таблица14[коэф],"1",Таблица14[р/р],"5/16",Таблица14[Ф. И. О.],B803)</f>
        <v>0</v>
      </c>
      <c r="T800" s="392">
        <f>SUMIFS(Таблица14[Столбец2],Таблица14[коэф],"1",Таблица14[р/р],"5/16",Таблица14[Ф. И. О.],B803)</f>
        <v>0</v>
      </c>
      <c r="U800" s="478">
        <f>база!$M$6</f>
        <v>279.0496</v>
      </c>
      <c r="V800" s="390">
        <v>1</v>
      </c>
      <c r="W800" s="412">
        <f>SUMIFS(Таблица14[часы],Таблица14[коэф],"1",Таблица14[р/р],"5/24",Таблица14[Ф. И. О.],B803)</f>
        <v>0</v>
      </c>
      <c r="X800" s="545">
        <f>SUMIFS(Таблица14[Столбец2],Таблица14[коэф],"1",Таблица14[р/р],"5/24",Таблица14[Ф. И. О.],B803)</f>
        <v>0</v>
      </c>
      <c r="Y800" s="770"/>
      <c r="Z800" s="766"/>
      <c r="AA800" s="756"/>
    </row>
    <row r="801" spans="1:29" ht="18.75" customHeight="1">
      <c r="A801" s="756"/>
      <c r="B801" s="215"/>
      <c r="C801" s="759"/>
      <c r="D801" s="762"/>
      <c r="E801" s="389"/>
      <c r="F801" s="390"/>
      <c r="G801" s="400"/>
      <c r="H801" s="392"/>
      <c r="I801" s="432">
        <f>база!$J$5</f>
        <v>215.4924</v>
      </c>
      <c r="J801" s="433">
        <v>1.5</v>
      </c>
      <c r="K801" s="434">
        <f>SUMIFS(Таблица14[часы],Таблица14[коэф],"1,5",Таблица14[р/р],"4/8",Таблица14[Ф. И. О.],B803)</f>
        <v>0</v>
      </c>
      <c r="L801" s="434">
        <f>SUMIFS(Таблица14[Столбец2],Таблица14[коэф],"1,5",Таблица14[р/р],"4/8",Таблица14[Ф. И. О.],B803)</f>
        <v>0</v>
      </c>
      <c r="M801" s="434"/>
      <c r="N801" s="434"/>
      <c r="O801" s="434"/>
      <c r="P801" s="406"/>
      <c r="Q801" s="389">
        <f>IF(D798&lt;=3,база!$L$4,
IF(D798=4,база!$L$5,
IF(D798=5,база!$L$6)))</f>
        <v>231.45480000000001</v>
      </c>
      <c r="R801" s="390">
        <v>1.2</v>
      </c>
      <c r="S801" s="400">
        <f>SUMIFS(Таблица14[часы],Таблица14[коэф],"1,2",Таблица14[р/р],"3/16",Таблица14[Ф. И. О.],B803)</f>
        <v>0</v>
      </c>
      <c r="T801" s="392">
        <f>SUMIFS(Таблица14[Столбец2],Таблица14[коэф],"1,2",Таблица14[р/р],"3/16",Таблица14[Ф. И. О.],B803)</f>
        <v>0</v>
      </c>
      <c r="U801" s="478">
        <f>IF(D798&lt;=3,база!$M$4,
IF(D798=4,база!$M$5,
IF(D798=5,база!$M$6)))</f>
        <v>247.41720000000001</v>
      </c>
      <c r="V801" s="390">
        <v>1.2</v>
      </c>
      <c r="W801" s="412">
        <f>SUMIFS(Таблица14[часы],Таблица14[коэф],"1,2",Таблица14[р/р],"3/24",Таблица14[Ф. И. О.],B803)</f>
        <v>0</v>
      </c>
      <c r="X801" s="545">
        <f>SUMIFS(Таблица14[Столбец2],Таблица14[коэф],"1,2",Таблица14[р/р],"3/24",Таблица14[Ф. И. О.],B803)</f>
        <v>0</v>
      </c>
      <c r="Y801" s="770"/>
      <c r="Z801" s="766"/>
      <c r="AA801" s="756"/>
    </row>
    <row r="802" spans="1:29" ht="18.75" customHeight="1">
      <c r="A802" s="756"/>
      <c r="B802" s="215"/>
      <c r="C802" s="759"/>
      <c r="D802" s="762"/>
      <c r="E802" s="389"/>
      <c r="F802" s="390"/>
      <c r="G802" s="400"/>
      <c r="H802" s="392"/>
      <c r="I802" s="432">
        <f>база!$J$6</f>
        <v>243.04319999999998</v>
      </c>
      <c r="J802" s="433">
        <v>1.5</v>
      </c>
      <c r="K802" s="434">
        <f>SUMIFS(Таблица14[часы],Таблица14[коэф],"1,5",Таблица14[р/р],"5/8",Таблица14[Ф. И. О.],B803)</f>
        <v>0</v>
      </c>
      <c r="L802" s="434">
        <f>SUMIFS(Таблица14[Столбец2],Таблица14[коэф],"1,5",Таблица14[р/р],"5/8",Таблица14[Ф. И. О.],B803)</f>
        <v>0</v>
      </c>
      <c r="M802" s="434"/>
      <c r="N802" s="434"/>
      <c r="O802" s="434"/>
      <c r="P802" s="406"/>
      <c r="Q802" s="389">
        <f>база!$L$5</f>
        <v>231.45480000000001</v>
      </c>
      <c r="R802" s="390">
        <v>1.2</v>
      </c>
      <c r="S802" s="400">
        <f>SUMIFS(Таблица14[часы],Таблица14[коэф],"1,2",Таблица14[р/р],"4/16",Таблица14[Ф. И. О.],B803)</f>
        <v>0</v>
      </c>
      <c r="T802" s="392">
        <f>SUMIFS(Таблица14[Столбец2],Таблица14[коэф],"1,2",Таблица14[р/р],"4/16",Таблица14[Ф. И. О.],B803)</f>
        <v>0</v>
      </c>
      <c r="U802" s="478">
        <f>база!$M$5</f>
        <v>247.41720000000001</v>
      </c>
      <c r="V802" s="390">
        <v>1.2</v>
      </c>
      <c r="W802" s="412">
        <f>SUMIFS(Таблица14[часы],Таблица14[коэф],"1,2",Таблица14[р/р],"4/24",Таблица14[Ф. И. О.],B803)</f>
        <v>0</v>
      </c>
      <c r="X802" s="545">
        <f>SUMIFS(Таблица14[Столбец2],Таблица14[коэф],"1,2",Таблица14[р/р],"4/24",Таблица14[Ф. И. О.],B803)</f>
        <v>0</v>
      </c>
      <c r="Y802" s="770"/>
      <c r="Z802" s="766"/>
      <c r="AA802" s="756"/>
    </row>
    <row r="803" spans="1:29" ht="18.75" customHeight="1">
      <c r="A803" s="756"/>
      <c r="B803" s="215" t="str">
        <f>база!B74</f>
        <v>Томилова Антонина Викторовна</v>
      </c>
      <c r="C803" s="759"/>
      <c r="D803" s="762"/>
      <c r="E803" s="389"/>
      <c r="F803" s="390"/>
      <c r="G803" s="400"/>
      <c r="H803" s="392"/>
      <c r="I803" s="432"/>
      <c r="J803" s="433"/>
      <c r="K803" s="434"/>
      <c r="L803" s="434"/>
      <c r="M803" s="434"/>
      <c r="N803" s="434"/>
      <c r="O803" s="434"/>
      <c r="P803" s="406"/>
      <c r="Q803" s="389">
        <f>база!$L$6</f>
        <v>261.04640000000001</v>
      </c>
      <c r="R803" s="390">
        <v>1.2</v>
      </c>
      <c r="S803" s="400">
        <f>SUMIFS(Таблица14[часы],Таблица14[коэф],"1,2",Таблица14[р/р],"5/16",Таблица14[Ф. И. О.],B803)</f>
        <v>0</v>
      </c>
      <c r="T803" s="392">
        <f>SUMIFS(Таблица14[Столбец2],Таблица14[коэф],"1,2",Таблица14[р/р],"5/16",Таблица14[Ф. И. О.],B803)</f>
        <v>0</v>
      </c>
      <c r="U803" s="478">
        <f>база!$M$6</f>
        <v>279.0496</v>
      </c>
      <c r="V803" s="390">
        <v>1.2</v>
      </c>
      <c r="W803" s="412">
        <f>SUMIFS(Таблица14[часы],Таблица14[коэф],"1,2",Таблица14[р/р],"5/24",Таблица14[Ф. И. О.],B803)</f>
        <v>0</v>
      </c>
      <c r="X803" s="545">
        <f>SUMIFS(Таблица14[Столбец2],Таблица14[коэф],"1,2",Таблица14[р/р],"5/24",Таблица14[Ф. И. О.],B803)</f>
        <v>0</v>
      </c>
      <c r="Y803" s="770"/>
      <c r="Z803" s="766"/>
      <c r="AA803" s="756"/>
      <c r="AC803" s="752" t="str">
        <f>IF(SUMIFS(Таблица14[Столбец2],Таблица14[Ф. И. О.],B803)-Z798=0,"",SUMIFS(Таблица14[Столбец2],Таблица14[Ф. И. О.],B803)-Z798)</f>
        <v/>
      </c>
    </row>
    <row r="804" spans="1:29" ht="18.75" customHeight="1">
      <c r="A804" s="756"/>
      <c r="B804" s="215"/>
      <c r="C804" s="759"/>
      <c r="D804" s="762"/>
      <c r="E804" s="389"/>
      <c r="F804" s="390"/>
      <c r="G804" s="400"/>
      <c r="H804" s="392"/>
      <c r="I804" s="432"/>
      <c r="J804" s="433"/>
      <c r="K804" s="434"/>
      <c r="L804" s="434"/>
      <c r="M804" s="434"/>
      <c r="N804" s="434"/>
      <c r="O804" s="434"/>
      <c r="P804" s="406"/>
      <c r="Q804" s="389">
        <f>IF($D$6&lt;=3,база!$L$4,
IF($D$6=4,база!$L$5,
IF($D$6=5,база!$L$6)))</f>
        <v>231.45480000000001</v>
      </c>
      <c r="R804" s="390">
        <v>1.3</v>
      </c>
      <c r="S804" s="400">
        <f>SUMIFS(Таблица14[часы],Таблица14[коэф],"1,3",Таблица14[р/р],"3/16",Таблица14[Ф. И. О.],B803)</f>
        <v>0</v>
      </c>
      <c r="T804" s="392">
        <f>SUMIFS(Таблица14[Столбец2],Таблица14[коэф],"1,3",Таблица14[р/р],"3/16",Таблица14[Ф. И. О.],B803)</f>
        <v>0</v>
      </c>
      <c r="U804" s="478">
        <f>IF(D798&lt;=3,база!$M$4,
IF(D798=4,база!$M$5,
IF(D798=5,база!$M$6)))</f>
        <v>247.41720000000001</v>
      </c>
      <c r="V804" s="390">
        <v>1.3</v>
      </c>
      <c r="W804" s="412">
        <f>SUMIFS(Таблица14[часы],Таблица14[коэф],"1,3",Таблица14[р/р],"3/24",Таблица14[Ф. И. О.],B803)</f>
        <v>0</v>
      </c>
      <c r="X804" s="545">
        <f>SUMIFS(Таблица14[Столбец2],Таблица14[коэф],"1,3",Таблица14[р/р],"3/24",Таблица14[Ф. И. О.],B803)</f>
        <v>0</v>
      </c>
      <c r="Y804" s="770"/>
      <c r="Z804" s="766"/>
      <c r="AA804" s="756"/>
      <c r="AC804" s="752" t="str">
        <f>IF(SUMIFS(Таблица14[часы],Таблица14[Ф. И. О.],B803)-Y798=0,"",SUMIFS(Таблица14[часы],Таблица14[Ф. И. О.],B803)-Y798)</f>
        <v/>
      </c>
    </row>
    <row r="805" spans="1:29" ht="18.75" customHeight="1">
      <c r="A805" s="756"/>
      <c r="B805" s="215"/>
      <c r="C805" s="759"/>
      <c r="D805" s="762"/>
      <c r="E805" s="389"/>
      <c r="F805" s="390"/>
      <c r="G805" s="400"/>
      <c r="H805" s="392"/>
      <c r="I805" s="432"/>
      <c r="J805" s="433"/>
      <c r="K805" s="434"/>
      <c r="L805" s="434"/>
      <c r="M805" s="434"/>
      <c r="N805" s="434"/>
      <c r="O805" s="434"/>
      <c r="P805" s="406"/>
      <c r="Q805" s="389">
        <f>база!$L$5</f>
        <v>231.45480000000001</v>
      </c>
      <c r="R805" s="390">
        <v>1.3</v>
      </c>
      <c r="S805" s="400">
        <f>SUMIFS(Таблица14[часы],Таблица14[коэф],"1,3",Таблица14[р/р],"4/16",Таблица14[Ф. И. О.],B803)</f>
        <v>0</v>
      </c>
      <c r="T805" s="392">
        <f>SUMIFS(Таблица14[Столбец2],Таблица14[коэф],"1,3",Таблица14[р/р],"4/16",Таблица14[Ф. И. О.],B803)</f>
        <v>0</v>
      </c>
      <c r="U805" s="478">
        <f>база!$M$5</f>
        <v>247.41720000000001</v>
      </c>
      <c r="V805" s="390">
        <v>1.3</v>
      </c>
      <c r="W805" s="412">
        <f>SUMIFS(Таблица14[часы],Таблица14[коэф],"1,3",Таблица14[р/р],"4/24",Таблица14[Ф. И. О.],B803)</f>
        <v>0</v>
      </c>
      <c r="X805" s="545">
        <f>SUMIFS(Таблица14[Столбец2],Таблица14[коэф],"1,3",Таблица14[р/р],"4/24",Таблица14[Ф. И. О.],B803)</f>
        <v>0</v>
      </c>
      <c r="Y805" s="770"/>
      <c r="Z805" s="766"/>
      <c r="AA805" s="756"/>
    </row>
    <row r="806" spans="1:29" ht="18.75" customHeight="1">
      <c r="A806" s="756"/>
      <c r="B806" s="215"/>
      <c r="C806" s="759"/>
      <c r="D806" s="762"/>
      <c r="E806" s="389"/>
      <c r="F806" s="390"/>
      <c r="G806" s="400"/>
      <c r="H806" s="392"/>
      <c r="I806" s="432"/>
      <c r="J806" s="433"/>
      <c r="K806" s="434"/>
      <c r="L806" s="434"/>
      <c r="M806" s="434"/>
      <c r="N806" s="434"/>
      <c r="O806" s="434"/>
      <c r="P806" s="406"/>
      <c r="Q806" s="389">
        <f>IF(D798&lt;=3,база!$L$4,
IF(D798=4,база!$L$5,
IF(D798=5,база!$L$6)))</f>
        <v>231.45480000000001</v>
      </c>
      <c r="R806" s="390">
        <v>1.4</v>
      </c>
      <c r="S806" s="400">
        <f>SUMIFS(Таблица14[часы],Таблица14[коэф],"1,4",Таблица14[р/р],"3/16",Таблица14[Ф. И. О.],B803)</f>
        <v>0</v>
      </c>
      <c r="T806" s="392">
        <f>SUMIFS(Таблица14[Столбец2],Таблица14[коэф],"1,4",Таблица14[р/р],"3/16",Таблица14[Ф. И. О.],B803)</f>
        <v>0</v>
      </c>
      <c r="U806" s="478">
        <f>IF(D798&lt;=3,база!$M$4,
IF(D798=4,база!$M$5,
IF(D798=5,база!$M$6)))</f>
        <v>247.41720000000001</v>
      </c>
      <c r="V806" s="390">
        <v>1.4</v>
      </c>
      <c r="W806" s="412">
        <f>SUMIFS(Таблица14[часы],Таблица14[коэф],"1,4",Таблица14[р/р],"3/24",Таблица14[Ф. И. О.],B803)</f>
        <v>0</v>
      </c>
      <c r="X806" s="545">
        <f>SUMIFS(Таблица14[Столбец2],Таблица14[коэф],"1,4",Таблица14[р/р],"3/24",Таблица14[Ф. И. О.],B803)</f>
        <v>0</v>
      </c>
      <c r="Y806" s="770"/>
      <c r="Z806" s="766"/>
      <c r="AA806" s="756"/>
    </row>
    <row r="807" spans="1:29" ht="18.75" customHeight="1">
      <c r="A807" s="756"/>
      <c r="B807" s="215"/>
      <c r="C807" s="759"/>
      <c r="D807" s="762"/>
      <c r="E807" s="389"/>
      <c r="F807" s="390"/>
      <c r="G807" s="400"/>
      <c r="H807" s="392"/>
      <c r="I807" s="432"/>
      <c r="J807" s="433"/>
      <c r="K807" s="434"/>
      <c r="L807" s="434"/>
      <c r="M807" s="434"/>
      <c r="N807" s="434"/>
      <c r="O807" s="434"/>
      <c r="P807" s="406"/>
      <c r="Q807" s="389">
        <f>база!$L$5</f>
        <v>231.45480000000001</v>
      </c>
      <c r="R807" s="390">
        <v>1.4</v>
      </c>
      <c r="S807" s="400">
        <f>SUMIFS(Таблица14[часы],Таблица14[коэф],"1,4",Таблица14[р/р],"4/16",Таблица14[Ф. И. О.],B803)</f>
        <v>0</v>
      </c>
      <c r="T807" s="392">
        <f>SUMIFS(Таблица14[Столбец2],Таблица14[коэф],"1,4",Таблица14[р/р],"4/16",Таблица14[Ф. И. О.],B803)</f>
        <v>0</v>
      </c>
      <c r="U807" s="478">
        <f>база!$M$5</f>
        <v>247.41720000000001</v>
      </c>
      <c r="V807" s="390">
        <v>1.4</v>
      </c>
      <c r="W807" s="412">
        <f>SUMIFS(Таблица14[часы],Таблица14[коэф],"1,4",Таблица14[р/р],"4/24",Таблица14[Ф. И. О.],B803)</f>
        <v>0</v>
      </c>
      <c r="X807" s="545">
        <f>SUMIFS(Таблица14[Столбец2],Таблица14[коэф],"1,4",Таблица14[р/р],"4/24",Таблица14[Ф. И. О.],B803)</f>
        <v>0</v>
      </c>
      <c r="Y807" s="770"/>
      <c r="Z807" s="766"/>
      <c r="AA807" s="756"/>
    </row>
    <row r="808" spans="1:29" ht="19.5" customHeight="1" thickBot="1">
      <c r="A808" s="757"/>
      <c r="B808" s="352"/>
      <c r="C808" s="760"/>
      <c r="D808" s="763"/>
      <c r="E808" s="473"/>
      <c r="F808" s="464"/>
      <c r="G808" s="651"/>
      <c r="H808" s="468"/>
      <c r="I808" s="645"/>
      <c r="J808" s="456"/>
      <c r="K808" s="646"/>
      <c r="L808" s="457"/>
      <c r="M808" s="645"/>
      <c r="N808" s="646"/>
      <c r="O808" s="646"/>
      <c r="P808" s="476"/>
      <c r="Q808" s="652">
        <f>база!$L$6</f>
        <v>261.04640000000001</v>
      </c>
      <c r="R808" s="464">
        <v>1.4</v>
      </c>
      <c r="S808" s="465">
        <f>SUMIFS(Таблица14[часы],Таблица14[коэф],"1,4",Таблица14[р/р],"5/16",Таблица14[Ф. И. О.],B803)</f>
        <v>0</v>
      </c>
      <c r="T808" s="468">
        <f>SUMIFS(Таблица14[Столбец2],Таблица14[коэф],"1,4",Таблица14[р/р],"5/16",Таблица14[Ф. И. О.],B803)</f>
        <v>0</v>
      </c>
      <c r="U808" s="463">
        <f>база!$M$6</f>
        <v>279.0496</v>
      </c>
      <c r="V808" s="464">
        <v>1.4</v>
      </c>
      <c r="W808" s="465">
        <f>SUMIFS(Таблица14[часы],Таблица14[коэф],"1,4",Таблица14[р/р],"5/24",Таблица14[Ф. И. О.],B803)</f>
        <v>0</v>
      </c>
      <c r="X808" s="468">
        <f>SUMIFS(Таблица14[Столбец2],Таблица14[коэф],"1,4",Таблица14[р/р],"5/24",Таблица14[Ф. И. О.],B803)</f>
        <v>0</v>
      </c>
      <c r="Y808" s="771"/>
      <c r="Z808" s="767"/>
      <c r="AA808" s="757"/>
    </row>
    <row r="809" spans="1:29" ht="18.75" customHeight="1">
      <c r="A809" s="756">
        <v>75</v>
      </c>
      <c r="B809" s="215"/>
      <c r="C809" s="758">
        <f>INDEX(база!$E$2:$E$150, MATCH(B814,база!$B$2:$B$150,0))</f>
        <v>15889</v>
      </c>
      <c r="D809" s="761">
        <f>INDEX(база!$D$2:$D$150, MATCH(B814,база!$B$2:$B$150,0))</f>
        <v>3</v>
      </c>
      <c r="E809" s="481">
        <f>IF(D809&lt;=3,база!$I$4,
IF(D809=4,база!$I$5,
IF(D809=5,база!$I$6)))</f>
        <v>188.7912</v>
      </c>
      <c r="F809" s="417">
        <v>1</v>
      </c>
      <c r="G809" s="418">
        <f>SUMIFS(Таблица14[часы],Таблица14[коэф],"1",Таблица14[р/р],"2/4",Таблица14[Ф. И. О.],B814)</f>
        <v>0</v>
      </c>
      <c r="H809" s="402">
        <f>SUMIFS(Таблица14[Столбец2],Таблица14[коэф],"1",Таблица14[р/р],"2/4",Таблица14[Ф. И. О.],B814)</f>
        <v>0</v>
      </c>
      <c r="I809" s="452">
        <f>IF(D809&lt;=3,база!$J$4,
IF(D809=4,база!$J$5,
IF(D809=5,база!$J$6)))</f>
        <v>196.05240000000001</v>
      </c>
      <c r="J809" s="475">
        <v>1</v>
      </c>
      <c r="K809" s="453">
        <f>SUMIFS(Таблица14[часы],Таблица14[коэф],"1",Таблица14[р/р],"2/8",Таблица14[Ф. И. О.],B814)</f>
        <v>0</v>
      </c>
      <c r="L809" s="453">
        <f>SUMIFS(Таблица14[Столбец2],Таблица14[коэф],"1",Таблица14[р/р],"2/8",Таблица14[Ф. И. О.],B814)</f>
        <v>0</v>
      </c>
      <c r="M809" s="453"/>
      <c r="N809" s="453">
        <v>1</v>
      </c>
      <c r="O809" s="453">
        <f>SUMIFS(Data_Tech!$AM$3:$AM$67,Data_Tech!$E$3:$E$67,"1",Data_Tech!$G$3:$G$67,"3/12",Data_Tech!$F$3:$F$67,B814)</f>
        <v>0</v>
      </c>
      <c r="P809" s="398">
        <f>ROUND(M809*N809*O809,2)</f>
        <v>0</v>
      </c>
      <c r="Q809" s="481">
        <f>IF(D809&lt;=3,база!$L$4,
IF(D809=4,база!$L$5,
IF(D809=5,база!$L$6)))</f>
        <v>210.57480000000001</v>
      </c>
      <c r="R809" s="417">
        <v>1</v>
      </c>
      <c r="S809" s="418">
        <f>SUMIFS(Таблица14[часы],Таблица14[коэф],"1",Таблица14[р/р],"3/16",Таблица14[Ф. И. О.],B814)</f>
        <v>0</v>
      </c>
      <c r="T809" s="402">
        <f>SUMIFS(Таблица14[Столбец2],Таблица14[коэф],"1",Таблица14[р/р],"3/16",Таблица14[Ф. И. О.],B814)</f>
        <v>0</v>
      </c>
      <c r="U809" s="483">
        <f>IF(D809&lt;=3,база!$M$4,
IF(D809=4,база!$M$5,
IF(D809=5,база!$M$6)))</f>
        <v>225.09719999999999</v>
      </c>
      <c r="V809" s="417">
        <v>1</v>
      </c>
      <c r="W809" s="455">
        <f>SUMIFS(Таблица14[часы],Таблица14[коэф],"1",Таблица14[р/р],"3/24",Таблица14[Ф. И. О.],B814)</f>
        <v>0</v>
      </c>
      <c r="X809" s="552">
        <f>SUMIFS(Таблица14[Столбец2],Таблица14[коэф],"1",Таблица14[р/р],"3/24",Таблица14[Ф. И. О.],B814)</f>
        <v>0</v>
      </c>
      <c r="Y809" s="770">
        <f t="shared" ref="Y809" si="284">SUM(G809:G819,K809:K819,O809:O819,S809:S819,W809:W819)</f>
        <v>0</v>
      </c>
      <c r="Z809" s="766">
        <f t="shared" ref="Z809" si="285">IFERROR(SUM(H809:H819,L809:L819,T809:T819,X809:X819),"")</f>
        <v>0</v>
      </c>
      <c r="AA809" s="756"/>
    </row>
    <row r="810" spans="1:29" ht="18.75" customHeight="1">
      <c r="A810" s="756"/>
      <c r="B810" s="215"/>
      <c r="C810" s="759"/>
      <c r="D810" s="762"/>
      <c r="E810" s="389">
        <f>IF(D809&lt;=3,база!$I$4,
IF(D809=4,база!$I$5,
IF(D809=5,база!$I$6)))</f>
        <v>188.7912</v>
      </c>
      <c r="F810" s="390">
        <v>1</v>
      </c>
      <c r="G810" s="400">
        <f>SUMIFS(Таблица14[часы],Таблица14[коэф],"1",Таблица14[р/р],"3/4",Таблица14[Ф. И. О.],B814)</f>
        <v>0</v>
      </c>
      <c r="H810" s="392">
        <f>SUMIFS(Таблица14[Столбец2],Таблица14[коэф],"1",Таблица14[р/р],"3/4",Таблица14[Ф. И. О.],B814)</f>
        <v>0</v>
      </c>
      <c r="I810" s="432">
        <f>IF(D809&lt;=3,база!$J$4,
IF(D809=4,база!$J$5,
IF(D809=5,база!$J$6)))</f>
        <v>196.05240000000001</v>
      </c>
      <c r="J810" s="433">
        <v>1</v>
      </c>
      <c r="K810" s="434">
        <f>SUMIFS(Таблица14[часы],Таблица14[коэф],"1",Таблица14[р/р],"3/8",Таблица14[Ф. И. О.],B814)</f>
        <v>0</v>
      </c>
      <c r="L810" s="434">
        <f>SUMIFS(Таблица14[Столбец2],Таблица14[коэф],"1",Таблица14[р/р],"3/8",Таблица14[Ф. И. О.],B814)</f>
        <v>0</v>
      </c>
      <c r="M810" s="434"/>
      <c r="N810" s="434">
        <v>1</v>
      </c>
      <c r="O810" s="434">
        <f>SUMIFS(Data_Tech!$AM$3:$AM$67,Data_Tech!$E$3:$E$67,"1",Data_Tech!$G$3:$G$67,"4/12",Data_Tech!$F$3:$F$67,B814)</f>
        <v>0</v>
      </c>
      <c r="P810" s="406">
        <f>ROUND(M810*O810,2)</f>
        <v>0</v>
      </c>
      <c r="Q810" s="389">
        <f>база!$L$5</f>
        <v>231.45480000000001</v>
      </c>
      <c r="R810" s="390">
        <v>1</v>
      </c>
      <c r="S810" s="400">
        <f>SUMIFS(Таблица14[часы],Таблица14[коэф],"1",Таблица14[р/р],"4/16",Таблица14[Ф. И. О.],B814)</f>
        <v>0</v>
      </c>
      <c r="T810" s="392">
        <f>SUMIFS(Таблица14[Столбец2],Таблица14[коэф],"1",Таблица14[р/р],"4/16",Таблица14[Ф. И. О.],B814)</f>
        <v>0</v>
      </c>
      <c r="U810" s="478">
        <f>база!$M$5</f>
        <v>247.41720000000001</v>
      </c>
      <c r="V810" s="390">
        <v>1</v>
      </c>
      <c r="W810" s="412">
        <f>SUMIFS(Таблица14[часы],Таблица14[коэф],"1",Таблица14[р/р],"4/24",Таблица14[Ф. И. О.],B814)</f>
        <v>0</v>
      </c>
      <c r="X810" s="545">
        <f>SUMIFS(Таблица14[Столбец2],Таблица14[коэф],"1",Таблица14[р/р],"4/24",Таблица14[Ф. И. О.],B814)</f>
        <v>0</v>
      </c>
      <c r="Y810" s="770"/>
      <c r="Z810" s="766"/>
      <c r="AA810" s="756"/>
    </row>
    <row r="811" spans="1:29" ht="18.75" customHeight="1">
      <c r="A811" s="756"/>
      <c r="B811" s="215"/>
      <c r="C811" s="759"/>
      <c r="D811" s="762"/>
      <c r="E811" s="389"/>
      <c r="F811" s="390"/>
      <c r="G811" s="400"/>
      <c r="H811" s="392"/>
      <c r="I811" s="432"/>
      <c r="J811" s="433"/>
      <c r="K811" s="434"/>
      <c r="L811" s="434"/>
      <c r="M811" s="434"/>
      <c r="N811" s="434"/>
      <c r="O811" s="434"/>
      <c r="P811" s="406"/>
      <c r="Q811" s="389">
        <f>база!$L$6</f>
        <v>261.04640000000001</v>
      </c>
      <c r="R811" s="390">
        <v>1</v>
      </c>
      <c r="S811" s="400">
        <f>SUMIFS(Таблица14[часы],Таблица14[коэф],"1",Таблица14[р/р],"5/16",Таблица14[Ф. И. О.],B814)</f>
        <v>0</v>
      </c>
      <c r="T811" s="392">
        <f>SUMIFS(Таблица14[Столбец2],Таблица14[коэф],"1",Таблица14[р/р],"5/16",Таблица14[Ф. И. О.],B814)</f>
        <v>0</v>
      </c>
      <c r="U811" s="478">
        <f>база!$M$6</f>
        <v>279.0496</v>
      </c>
      <c r="V811" s="390">
        <v>1</v>
      </c>
      <c r="W811" s="412">
        <f>SUMIFS(Таблица14[часы],Таблица14[коэф],"1",Таблица14[р/р],"5/24",Таблица14[Ф. И. О.],B814)</f>
        <v>0</v>
      </c>
      <c r="X811" s="545">
        <f>SUMIFS(Таблица14[Столбец2],Таблица14[коэф],"1",Таблица14[р/р],"5/24",Таблица14[Ф. И. О.],B814)</f>
        <v>0</v>
      </c>
      <c r="Y811" s="770"/>
      <c r="Z811" s="766"/>
      <c r="AA811" s="756"/>
    </row>
    <row r="812" spans="1:29" ht="18.75" customHeight="1">
      <c r="A812" s="756"/>
      <c r="B812" s="215"/>
      <c r="C812" s="759"/>
      <c r="D812" s="762"/>
      <c r="E812" s="389"/>
      <c r="F812" s="390"/>
      <c r="G812" s="400"/>
      <c r="H812" s="392"/>
      <c r="I812" s="432">
        <f>база!$J$5</f>
        <v>215.4924</v>
      </c>
      <c r="J812" s="433">
        <v>1.5</v>
      </c>
      <c r="K812" s="434">
        <f>SUMIFS(Таблица14[часы],Таблица14[коэф],"1,5",Таблица14[р/р],"4/8",Таблица14[Ф. И. О.],B814)</f>
        <v>0</v>
      </c>
      <c r="L812" s="434">
        <f>SUMIFS(Таблица14[Столбец2],Таблица14[коэф],"1,5",Таблица14[р/р],"4/8",Таблица14[Ф. И. О.],B814)</f>
        <v>0</v>
      </c>
      <c r="M812" s="434"/>
      <c r="N812" s="434"/>
      <c r="O812" s="434"/>
      <c r="P812" s="406"/>
      <c r="Q812" s="389">
        <f>IF(D809&lt;=3,база!$L$4,
IF(D809=4,база!$L$5,
IF(D809=5,база!$L$6)))</f>
        <v>210.57480000000001</v>
      </c>
      <c r="R812" s="390">
        <v>1.2</v>
      </c>
      <c r="S812" s="400">
        <f>SUMIFS(Таблица14[часы],Таблица14[коэф],"1,2",Таблица14[р/р],"3/16",Таблица14[Ф. И. О.],B814)</f>
        <v>0</v>
      </c>
      <c r="T812" s="392">
        <f>SUMIFS(Таблица14[Столбец2],Таблица14[коэф],"1,2",Таблица14[р/р],"3/16",Таблица14[Ф. И. О.],B814)</f>
        <v>0</v>
      </c>
      <c r="U812" s="478">
        <f>IF(D809&lt;=3,база!$M$4,
IF(D809=4,база!$M$5,
IF(D809=5,база!$M$6)))</f>
        <v>225.09719999999999</v>
      </c>
      <c r="V812" s="390">
        <v>1.2</v>
      </c>
      <c r="W812" s="412">
        <f>SUMIFS(Таблица14[часы],Таблица14[коэф],"1,2",Таблица14[р/р],"3/24",Таблица14[Ф. И. О.],B814)</f>
        <v>0</v>
      </c>
      <c r="X812" s="545">
        <f>SUMIFS(Таблица14[Столбец2],Таблица14[коэф],"1,2",Таблица14[р/р],"3/24",Таблица14[Ф. И. О.],B814)</f>
        <v>0</v>
      </c>
      <c r="Y812" s="770"/>
      <c r="Z812" s="766"/>
      <c r="AA812" s="756"/>
    </row>
    <row r="813" spans="1:29" ht="18.75" customHeight="1">
      <c r="A813" s="756"/>
      <c r="B813" s="215"/>
      <c r="C813" s="759"/>
      <c r="D813" s="762"/>
      <c r="E813" s="389"/>
      <c r="F813" s="390"/>
      <c r="G813" s="400"/>
      <c r="H813" s="392"/>
      <c r="I813" s="432">
        <f>база!$J$6</f>
        <v>243.04319999999998</v>
      </c>
      <c r="J813" s="433">
        <v>1.5</v>
      </c>
      <c r="K813" s="434">
        <f>SUMIFS(Таблица14[часы],Таблица14[коэф],"1,5",Таблица14[р/р],"5/8",Таблица14[Ф. И. О.],B814)</f>
        <v>0</v>
      </c>
      <c r="L813" s="434">
        <f>SUMIFS(Таблица14[Столбец2],Таблица14[коэф],"1,5",Таблица14[р/р],"5/8",Таблица14[Ф. И. О.],B814)</f>
        <v>0</v>
      </c>
      <c r="M813" s="434"/>
      <c r="N813" s="434"/>
      <c r="O813" s="434"/>
      <c r="P813" s="406"/>
      <c r="Q813" s="389">
        <f>база!$L$5</f>
        <v>231.45480000000001</v>
      </c>
      <c r="R813" s="390">
        <v>1.2</v>
      </c>
      <c r="S813" s="400">
        <f>SUMIFS(Таблица14[часы],Таблица14[коэф],"1,2",Таблица14[р/р],"4/16",Таблица14[Ф. И. О.],B814)</f>
        <v>0</v>
      </c>
      <c r="T813" s="392">
        <f>SUMIFS(Таблица14[Столбец2],Таблица14[коэф],"1,2",Таблица14[р/р],"4/16",Таблица14[Ф. И. О.],B814)</f>
        <v>0</v>
      </c>
      <c r="U813" s="478">
        <f>база!$M$5</f>
        <v>247.41720000000001</v>
      </c>
      <c r="V813" s="390">
        <v>1.2</v>
      </c>
      <c r="W813" s="412">
        <f>SUMIFS(Таблица14[часы],Таблица14[коэф],"1,2",Таблица14[р/р],"4/24",Таблица14[Ф. И. О.],B814)</f>
        <v>0</v>
      </c>
      <c r="X813" s="545">
        <f>SUMIFS(Таблица14[Столбец2],Таблица14[коэф],"1,2",Таблица14[р/р],"4/24",Таблица14[Ф. И. О.],B814)</f>
        <v>0</v>
      </c>
      <c r="Y813" s="770"/>
      <c r="Z813" s="766"/>
      <c r="AA813" s="756"/>
    </row>
    <row r="814" spans="1:29" ht="18.75" customHeight="1">
      <c r="A814" s="756"/>
      <c r="B814" s="215" t="str">
        <f>база!B75</f>
        <v>Худякова Ольга Николаевна</v>
      </c>
      <c r="C814" s="759"/>
      <c r="D814" s="762"/>
      <c r="E814" s="389"/>
      <c r="F814" s="390"/>
      <c r="G814" s="400"/>
      <c r="H814" s="392"/>
      <c r="I814" s="432"/>
      <c r="J814" s="433"/>
      <c r="K814" s="434"/>
      <c r="L814" s="434"/>
      <c r="M814" s="434"/>
      <c r="N814" s="434"/>
      <c r="O814" s="434"/>
      <c r="P814" s="406"/>
      <c r="Q814" s="389">
        <f>база!$L$6</f>
        <v>261.04640000000001</v>
      </c>
      <c r="R814" s="390">
        <v>1.2</v>
      </c>
      <c r="S814" s="400">
        <f>SUMIFS(Таблица14[часы],Таблица14[коэф],"1,2",Таблица14[р/р],"5/16",Таблица14[Ф. И. О.],B814)</f>
        <v>0</v>
      </c>
      <c r="T814" s="392">
        <f>SUMIFS(Таблица14[Столбец2],Таблица14[коэф],"1,2",Таблица14[р/р],"5/16",Таблица14[Ф. И. О.],B814)</f>
        <v>0</v>
      </c>
      <c r="U814" s="478">
        <f>база!$M$6</f>
        <v>279.0496</v>
      </c>
      <c r="V814" s="390">
        <v>1.2</v>
      </c>
      <c r="W814" s="412">
        <f>SUMIFS(Таблица14[часы],Таблица14[коэф],"1,2",Таблица14[р/р],"5/24",Таблица14[Ф. И. О.],B814)</f>
        <v>0</v>
      </c>
      <c r="X814" s="545">
        <f>SUMIFS(Таблица14[Столбец2],Таблица14[коэф],"1,2",Таблица14[р/р],"5/24",Таблица14[Ф. И. О.],B814)</f>
        <v>0</v>
      </c>
      <c r="Y814" s="770"/>
      <c r="Z814" s="766"/>
      <c r="AA814" s="756"/>
      <c r="AC814" s="752" t="str">
        <f>IF(SUMIFS(Таблица14[Столбец2],Таблица14[Ф. И. О.],B814)-Z809=0,"",SUMIFS(Таблица14[Столбец2],Таблица14[Ф. И. О.],B814)-Z809)</f>
        <v/>
      </c>
    </row>
    <row r="815" spans="1:29" ht="18.75" customHeight="1">
      <c r="A815" s="756"/>
      <c r="B815" s="215"/>
      <c r="C815" s="759"/>
      <c r="D815" s="762"/>
      <c r="E815" s="389"/>
      <c r="F815" s="390"/>
      <c r="G815" s="400"/>
      <c r="H815" s="392"/>
      <c r="I815" s="432"/>
      <c r="J815" s="433"/>
      <c r="K815" s="434"/>
      <c r="L815" s="434"/>
      <c r="M815" s="434"/>
      <c r="N815" s="434"/>
      <c r="O815" s="434"/>
      <c r="P815" s="406"/>
      <c r="Q815" s="389">
        <f>IF($D$6&lt;=3,база!$L$4,
IF($D$6=4,база!$L$5,
IF($D$6=5,база!$L$6)))</f>
        <v>231.45480000000001</v>
      </c>
      <c r="R815" s="390">
        <v>1.3</v>
      </c>
      <c r="S815" s="400">
        <f>SUMIFS(Таблица14[часы],Таблица14[коэф],"1,3",Таблица14[р/р],"3/16",Таблица14[Ф. И. О.],B814)</f>
        <v>0</v>
      </c>
      <c r="T815" s="392">
        <f>SUMIFS(Таблица14[Столбец2],Таблица14[коэф],"1,3",Таблица14[р/р],"3/16",Таблица14[Ф. И. О.],B814)</f>
        <v>0</v>
      </c>
      <c r="U815" s="478">
        <f>IF(D809&lt;=3,база!$M$4,
IF(D809=4,база!$M$5,
IF(D809=5,база!$M$6)))</f>
        <v>225.09719999999999</v>
      </c>
      <c r="V815" s="390">
        <v>1.3</v>
      </c>
      <c r="W815" s="412">
        <f>SUMIFS(Таблица14[часы],Таблица14[коэф],"1,3",Таблица14[р/р],"3/24",Таблица14[Ф. И. О.],B814)</f>
        <v>0</v>
      </c>
      <c r="X815" s="545">
        <f>SUMIFS(Таблица14[Столбец2],Таблица14[коэф],"1,3",Таблица14[р/р],"3/24",Таблица14[Ф. И. О.],B814)</f>
        <v>0</v>
      </c>
      <c r="Y815" s="770"/>
      <c r="Z815" s="766"/>
      <c r="AA815" s="756"/>
      <c r="AC815" s="752" t="str">
        <f>IF(SUMIFS(Таблица14[часы],Таблица14[Ф. И. О.],B814)-Y809=0,"",SUMIFS(Таблица14[часы],Таблица14[Ф. И. О.],B814)-Y809)</f>
        <v/>
      </c>
    </row>
    <row r="816" spans="1:29" ht="18.75" customHeight="1">
      <c r="A816" s="756"/>
      <c r="B816" s="215"/>
      <c r="C816" s="759"/>
      <c r="D816" s="762"/>
      <c r="E816" s="389"/>
      <c r="F816" s="390"/>
      <c r="G816" s="400"/>
      <c r="H816" s="392"/>
      <c r="I816" s="432"/>
      <c r="J816" s="433"/>
      <c r="K816" s="434"/>
      <c r="L816" s="434"/>
      <c r="M816" s="434"/>
      <c r="N816" s="434"/>
      <c r="O816" s="434"/>
      <c r="P816" s="406"/>
      <c r="Q816" s="389">
        <f>база!$L$5</f>
        <v>231.45480000000001</v>
      </c>
      <c r="R816" s="390">
        <v>1.3</v>
      </c>
      <c r="S816" s="400">
        <f>SUMIFS(Таблица14[часы],Таблица14[коэф],"1,3",Таблица14[р/р],"4/16",Таблица14[Ф. И. О.],B814)</f>
        <v>0</v>
      </c>
      <c r="T816" s="392">
        <f>SUMIFS(Таблица14[Столбец2],Таблица14[коэф],"1,3",Таблица14[р/р],"4/16",Таблица14[Ф. И. О.],B814)</f>
        <v>0</v>
      </c>
      <c r="U816" s="478">
        <f>база!$M$5</f>
        <v>247.41720000000001</v>
      </c>
      <c r="V816" s="390">
        <v>1.3</v>
      </c>
      <c r="W816" s="412">
        <f>SUMIFS(Таблица14[часы],Таблица14[коэф],"1,3",Таблица14[р/р],"4/24",Таблица14[Ф. И. О.],B814)</f>
        <v>0</v>
      </c>
      <c r="X816" s="545">
        <f>SUMIFS(Таблица14[Столбец2],Таблица14[коэф],"1,3",Таблица14[р/р],"4/24",Таблица14[Ф. И. О.],B814)</f>
        <v>0</v>
      </c>
      <c r="Y816" s="770"/>
      <c r="Z816" s="766"/>
      <c r="AA816" s="756"/>
    </row>
    <row r="817" spans="1:29" ht="18.75" customHeight="1">
      <c r="A817" s="756"/>
      <c r="B817" s="215"/>
      <c r="C817" s="759"/>
      <c r="D817" s="762"/>
      <c r="E817" s="389"/>
      <c r="F817" s="390"/>
      <c r="G817" s="400"/>
      <c r="H817" s="392"/>
      <c r="I817" s="432"/>
      <c r="J817" s="433"/>
      <c r="K817" s="434"/>
      <c r="L817" s="434"/>
      <c r="M817" s="434"/>
      <c r="N817" s="434"/>
      <c r="O817" s="434"/>
      <c r="P817" s="406"/>
      <c r="Q817" s="389">
        <f>IF(D809&lt;=3,база!$L$4,
IF(D809=4,база!$L$5,
IF(D809=5,база!$L$6)))</f>
        <v>210.57480000000001</v>
      </c>
      <c r="R817" s="390">
        <v>1.4</v>
      </c>
      <c r="S817" s="400">
        <f>SUMIFS(Таблица14[часы],Таблица14[коэф],"1,4",Таблица14[р/р],"3/16",Таблица14[Ф. И. О.],B814)</f>
        <v>0</v>
      </c>
      <c r="T817" s="392">
        <f>SUMIFS(Таблица14[Столбец2],Таблица14[коэф],"1,4",Таблица14[р/р],"3/16",Таблица14[Ф. И. О.],B814)</f>
        <v>0</v>
      </c>
      <c r="U817" s="478">
        <f>IF(D809&lt;=3,база!$M$4,
IF(D809=4,база!$M$5,
IF(D809=5,база!$M$6)))</f>
        <v>225.09719999999999</v>
      </c>
      <c r="V817" s="390">
        <v>1.4</v>
      </c>
      <c r="W817" s="412">
        <f>SUMIFS(Таблица14[часы],Таблица14[коэф],"1,4",Таблица14[р/р],"3/24",Таблица14[Ф. И. О.],B814)</f>
        <v>0</v>
      </c>
      <c r="X817" s="545">
        <f>SUMIFS(Таблица14[Столбец2],Таблица14[коэф],"1,4",Таблица14[р/р],"3/24",Таблица14[Ф. И. О.],B814)</f>
        <v>0</v>
      </c>
      <c r="Y817" s="770"/>
      <c r="Z817" s="766"/>
      <c r="AA817" s="756"/>
    </row>
    <row r="818" spans="1:29" ht="18.75" customHeight="1">
      <c r="A818" s="756"/>
      <c r="B818" s="215"/>
      <c r="C818" s="759"/>
      <c r="D818" s="762"/>
      <c r="E818" s="389"/>
      <c r="F818" s="390"/>
      <c r="G818" s="400"/>
      <c r="H818" s="392"/>
      <c r="I818" s="432"/>
      <c r="J818" s="433"/>
      <c r="K818" s="434"/>
      <c r="L818" s="434"/>
      <c r="M818" s="434"/>
      <c r="N818" s="434"/>
      <c r="O818" s="434"/>
      <c r="P818" s="406"/>
      <c r="Q818" s="389">
        <f>база!$L$5</f>
        <v>231.45480000000001</v>
      </c>
      <c r="R818" s="390">
        <v>1.4</v>
      </c>
      <c r="S818" s="400">
        <f>SUMIFS(Таблица14[часы],Таблица14[коэф],"1,4",Таблица14[р/р],"4/16",Таблица14[Ф. И. О.],B814)</f>
        <v>0</v>
      </c>
      <c r="T818" s="392">
        <f>SUMIFS(Таблица14[Столбец2],Таблица14[коэф],"1,4",Таблица14[р/р],"4/16",Таблица14[Ф. И. О.],B814)</f>
        <v>0</v>
      </c>
      <c r="U818" s="478">
        <f>база!$M$5</f>
        <v>247.41720000000001</v>
      </c>
      <c r="V818" s="390">
        <v>1.4</v>
      </c>
      <c r="W818" s="412">
        <f>SUMIFS(Таблица14[часы],Таблица14[коэф],"1,4",Таблица14[р/р],"4/24",Таблица14[Ф. И. О.],B814)</f>
        <v>0</v>
      </c>
      <c r="X818" s="545">
        <f>SUMIFS(Таблица14[Столбец2],Таблица14[коэф],"1,4",Таблица14[р/р],"4/24",Таблица14[Ф. И. О.],B814)</f>
        <v>0</v>
      </c>
      <c r="Y818" s="770"/>
      <c r="Z818" s="766"/>
      <c r="AA818" s="756"/>
    </row>
    <row r="819" spans="1:29" ht="19.5" customHeight="1" thickBot="1">
      <c r="A819" s="757"/>
      <c r="B819" s="352"/>
      <c r="C819" s="760"/>
      <c r="D819" s="763"/>
      <c r="E819" s="481"/>
      <c r="F819" s="417"/>
      <c r="G819" s="486"/>
      <c r="H819" s="402"/>
      <c r="I819" s="396"/>
      <c r="J819" s="475"/>
      <c r="K819" s="397"/>
      <c r="L819" s="434"/>
      <c r="M819" s="396"/>
      <c r="N819" s="397"/>
      <c r="O819" s="397"/>
      <c r="P819" s="398"/>
      <c r="Q819" s="487">
        <f>база!$L$6</f>
        <v>261.04640000000001</v>
      </c>
      <c r="R819" s="417">
        <v>1.4</v>
      </c>
      <c r="S819" s="418">
        <f>SUMIFS(Таблица14[часы],Таблица14[коэф],"1,4",Таблица14[р/р],"5/16",Таблица14[Ф. И. О.],B814)</f>
        <v>0</v>
      </c>
      <c r="T819" s="402">
        <f>SUMIFS(Таблица14[Столбец2],Таблица14[коэф],"1,4",Таблица14[р/р],"5/16",Таблица14[Ф. И. О.],B814)</f>
        <v>0</v>
      </c>
      <c r="U819" s="451">
        <f>база!$M$6</f>
        <v>279.0496</v>
      </c>
      <c r="V819" s="390">
        <v>1.4</v>
      </c>
      <c r="W819" s="418">
        <f>SUMIFS(Таблица14[часы],Таблица14[коэф],"1,4",Таблица14[р/р],"5/24",Таблица14[Ф. И. О.],B814)</f>
        <v>0</v>
      </c>
      <c r="X819" s="402">
        <f>SUMIFS(Таблица14[Столбец2],Таблица14[коэф],"1,4",Таблица14[р/р],"5/24",Таблица14[Ф. И. О.],B814)</f>
        <v>0</v>
      </c>
      <c r="Y819" s="771"/>
      <c r="Z819" s="767"/>
      <c r="AA819" s="757"/>
    </row>
    <row r="820" spans="1:29" s="488" customFormat="1" ht="15.75" customHeight="1">
      <c r="A820" s="797" t="s">
        <v>69</v>
      </c>
      <c r="B820" s="798"/>
      <c r="C820" s="798"/>
      <c r="D820" s="798"/>
      <c r="E820" s="798"/>
      <c r="F820" s="798"/>
      <c r="G820" s="798"/>
      <c r="H820" s="798"/>
      <c r="I820" s="798"/>
      <c r="J820" s="798"/>
      <c r="K820" s="798"/>
      <c r="L820" s="798"/>
      <c r="M820" s="798"/>
      <c r="N820" s="798"/>
      <c r="O820" s="798"/>
      <c r="P820" s="798"/>
      <c r="Q820" s="798"/>
      <c r="R820" s="798"/>
      <c r="S820" s="798"/>
      <c r="T820" s="798"/>
      <c r="U820" s="798"/>
      <c r="V820" s="798"/>
      <c r="W820" s="798"/>
      <c r="X820" s="799"/>
      <c r="Y820" s="869">
        <f>SUM(Y6:Y819)</f>
        <v>0</v>
      </c>
      <c r="Z820" s="869">
        <f>SUM(Z6:Z819)</f>
        <v>0</v>
      </c>
      <c r="AA820" s="755"/>
      <c r="AC820" s="753"/>
    </row>
    <row r="821" spans="1:29" s="488" customFormat="1" ht="15.75" customHeight="1">
      <c r="A821" s="800"/>
      <c r="B821" s="801"/>
      <c r="C821" s="801"/>
      <c r="D821" s="801"/>
      <c r="E821" s="801"/>
      <c r="F821" s="801"/>
      <c r="G821" s="801"/>
      <c r="H821" s="801"/>
      <c r="I821" s="801"/>
      <c r="J821" s="801"/>
      <c r="K821" s="801"/>
      <c r="L821" s="801"/>
      <c r="M821" s="801"/>
      <c r="N821" s="801"/>
      <c r="O821" s="801"/>
      <c r="P821" s="801"/>
      <c r="Q821" s="801"/>
      <c r="R821" s="801"/>
      <c r="S821" s="801"/>
      <c r="T821" s="801"/>
      <c r="U821" s="801"/>
      <c r="V821" s="801"/>
      <c r="W821" s="801"/>
      <c r="X821" s="802"/>
      <c r="Y821" s="870"/>
      <c r="Z821" s="870"/>
      <c r="AA821" s="756"/>
      <c r="AC821" s="753"/>
    </row>
    <row r="822" spans="1:29" s="488" customFormat="1" ht="16.5" customHeight="1" thickBot="1">
      <c r="A822" s="803"/>
      <c r="B822" s="804"/>
      <c r="C822" s="804"/>
      <c r="D822" s="804"/>
      <c r="E822" s="804"/>
      <c r="F822" s="804"/>
      <c r="G822" s="804"/>
      <c r="H822" s="804"/>
      <c r="I822" s="804"/>
      <c r="J822" s="804"/>
      <c r="K822" s="804"/>
      <c r="L822" s="804"/>
      <c r="M822" s="804"/>
      <c r="N822" s="804"/>
      <c r="O822" s="804"/>
      <c r="P822" s="804"/>
      <c r="Q822" s="804"/>
      <c r="R822" s="804"/>
      <c r="S822" s="804"/>
      <c r="T822" s="804"/>
      <c r="U822" s="804"/>
      <c r="V822" s="804"/>
      <c r="W822" s="804"/>
      <c r="X822" s="805"/>
      <c r="Y822" s="871"/>
      <c r="Z822" s="871"/>
      <c r="AA822" s="757"/>
      <c r="AC822" s="753"/>
    </row>
    <row r="823" spans="1:29">
      <c r="Y823" s="184"/>
    </row>
    <row r="824" spans="1:29">
      <c r="E824" s="186" t="s">
        <v>250</v>
      </c>
      <c r="F824" s="186"/>
      <c r="G824" s="187"/>
      <c r="H824" s="188"/>
      <c r="I824" s="189"/>
      <c r="J824" s="189"/>
      <c r="K824" s="188"/>
      <c r="L824" s="188"/>
      <c r="M824" s="189"/>
      <c r="N824" s="189"/>
      <c r="O824" s="188"/>
      <c r="P824" s="188"/>
      <c r="Q824" s="189"/>
      <c r="R824" s="189"/>
    </row>
    <row r="825" spans="1:29">
      <c r="E825" s="190"/>
      <c r="F825" s="191"/>
      <c r="G825" s="188"/>
      <c r="H825" s="189"/>
      <c r="I825" s="187"/>
      <c r="J825" s="187"/>
      <c r="K825" s="186"/>
      <c r="L825" s="192"/>
      <c r="M825" s="193"/>
      <c r="N825" s="194"/>
      <c r="O825" s="194"/>
      <c r="P825" s="195"/>
      <c r="Q825" s="195"/>
      <c r="R825" s="189"/>
    </row>
    <row r="826" spans="1:29">
      <c r="E826" s="186" t="s">
        <v>72</v>
      </c>
      <c r="F826" s="186"/>
      <c r="G826" s="188"/>
      <c r="H826" s="189"/>
      <c r="I826" s="187"/>
      <c r="J826" s="187"/>
      <c r="K826" s="196"/>
      <c r="L826" s="197"/>
      <c r="M826" s="197"/>
      <c r="N826" s="198"/>
      <c r="O826" s="198"/>
      <c r="P826" s="197"/>
      <c r="Q826" s="197"/>
      <c r="R826" s="189"/>
    </row>
    <row r="827" spans="1:29">
      <c r="E827" s="186"/>
      <c r="F827" s="186"/>
      <c r="G827" s="188"/>
      <c r="H827" s="189"/>
      <c r="I827" s="187"/>
      <c r="J827" s="187"/>
      <c r="K827" s="186"/>
      <c r="L827" s="192"/>
      <c r="M827" s="199"/>
      <c r="N827" s="200"/>
      <c r="O827" s="200"/>
      <c r="P827" s="201"/>
      <c r="Q827" s="201"/>
      <c r="R827" s="189"/>
    </row>
    <row r="828" spans="1:29">
      <c r="E828" s="186" t="s">
        <v>73</v>
      </c>
      <c r="F828" s="186"/>
      <c r="G828" s="188"/>
      <c r="H828" s="189"/>
      <c r="I828" s="187"/>
      <c r="J828" s="187"/>
      <c r="K828" s="186"/>
      <c r="L828" s="192"/>
      <c r="M828" s="193"/>
      <c r="N828" s="194"/>
      <c r="O828" s="194"/>
      <c r="P828" s="195"/>
      <c r="Q828" s="195"/>
      <c r="R828" s="189"/>
    </row>
  </sheetData>
  <sheetProtection selectLockedCells="1" selectUnlockedCells="1"/>
  <mergeCells count="461">
    <mergeCell ref="A798:A808"/>
    <mergeCell ref="C798:C808"/>
    <mergeCell ref="D798:D808"/>
    <mergeCell ref="Y798:Y808"/>
    <mergeCell ref="Z798:Z808"/>
    <mergeCell ref="AA798:AA808"/>
    <mergeCell ref="A776:A786"/>
    <mergeCell ref="C776:C786"/>
    <mergeCell ref="D776:D786"/>
    <mergeCell ref="Y776:Y786"/>
    <mergeCell ref="Z776:Z786"/>
    <mergeCell ref="AA776:AA786"/>
    <mergeCell ref="A787:A797"/>
    <mergeCell ref="C787:C797"/>
    <mergeCell ref="D787:D797"/>
    <mergeCell ref="Y787:Y797"/>
    <mergeCell ref="Z787:Z797"/>
    <mergeCell ref="AA787:AA797"/>
    <mergeCell ref="A501:A511"/>
    <mergeCell ref="C501:C511"/>
    <mergeCell ref="D501:D511"/>
    <mergeCell ref="Y501:Y511"/>
    <mergeCell ref="Z501:Z511"/>
    <mergeCell ref="AA501:AA511"/>
    <mergeCell ref="AA479:AA489"/>
    <mergeCell ref="A490:A500"/>
    <mergeCell ref="Y490:Y500"/>
    <mergeCell ref="Z490:Z500"/>
    <mergeCell ref="AA490:AA500"/>
    <mergeCell ref="D479:D489"/>
    <mergeCell ref="C490:C500"/>
    <mergeCell ref="D490:D500"/>
    <mergeCell ref="Y4:Y5"/>
    <mergeCell ref="Z4:Z5"/>
    <mergeCell ref="AA4:AA5"/>
    <mergeCell ref="A6:A16"/>
    <mergeCell ref="C6:C16"/>
    <mergeCell ref="D6:D16"/>
    <mergeCell ref="Y6:Y16"/>
    <mergeCell ref="Z6:Z16"/>
    <mergeCell ref="AA6:AA16"/>
    <mergeCell ref="A17:A27"/>
    <mergeCell ref="C17:C27"/>
    <mergeCell ref="D17:D27"/>
    <mergeCell ref="Y17:Y27"/>
    <mergeCell ref="Z17:Z27"/>
    <mergeCell ref="AA17:AA27"/>
    <mergeCell ref="A468:A478"/>
    <mergeCell ref="C468:C478"/>
    <mergeCell ref="Y468:Y478"/>
    <mergeCell ref="Z468:Z478"/>
    <mergeCell ref="AA468:AA478"/>
    <mergeCell ref="A446:A456"/>
    <mergeCell ref="A457:A467"/>
    <mergeCell ref="Y446:Y456"/>
    <mergeCell ref="Z446:Z456"/>
    <mergeCell ref="AA446:AA456"/>
    <mergeCell ref="Y457:Y467"/>
    <mergeCell ref="Z457:Z467"/>
    <mergeCell ref="AA457:AA467"/>
    <mergeCell ref="C457:C467"/>
    <mergeCell ref="C446:C456"/>
    <mergeCell ref="D446:D456"/>
    <mergeCell ref="D457:D467"/>
    <mergeCell ref="D468:D478"/>
    <mergeCell ref="H1:U1"/>
    <mergeCell ref="A4:A5"/>
    <mergeCell ref="B4:B5"/>
    <mergeCell ref="C4:C5"/>
    <mergeCell ref="D4:D5"/>
    <mergeCell ref="E4:H4"/>
    <mergeCell ref="I4:L4"/>
    <mergeCell ref="M4:P4"/>
    <mergeCell ref="Q4:T4"/>
    <mergeCell ref="U4:X4"/>
    <mergeCell ref="A39:A49"/>
    <mergeCell ref="C39:C49"/>
    <mergeCell ref="D39:D49"/>
    <mergeCell ref="Y39:Y49"/>
    <mergeCell ref="Z39:Z49"/>
    <mergeCell ref="AA39:AA49"/>
    <mergeCell ref="A28:A38"/>
    <mergeCell ref="C28:C38"/>
    <mergeCell ref="D28:D38"/>
    <mergeCell ref="Y28:Y38"/>
    <mergeCell ref="Z28:Z38"/>
    <mergeCell ref="AA28:AA38"/>
    <mergeCell ref="A61:A71"/>
    <mergeCell ref="C61:C71"/>
    <mergeCell ref="D61:D71"/>
    <mergeCell ref="Y61:Y71"/>
    <mergeCell ref="Z61:Z71"/>
    <mergeCell ref="AA61:AA71"/>
    <mergeCell ref="A50:A60"/>
    <mergeCell ref="C50:C60"/>
    <mergeCell ref="D50:D60"/>
    <mergeCell ref="Y50:Y60"/>
    <mergeCell ref="Z50:Z60"/>
    <mergeCell ref="AA50:AA60"/>
    <mergeCell ref="A83:A93"/>
    <mergeCell ref="C83:C93"/>
    <mergeCell ref="D83:D93"/>
    <mergeCell ref="Y83:Y93"/>
    <mergeCell ref="Z83:Z93"/>
    <mergeCell ref="AA83:AA93"/>
    <mergeCell ref="A72:A82"/>
    <mergeCell ref="C72:C82"/>
    <mergeCell ref="D72:D82"/>
    <mergeCell ref="Y72:Y82"/>
    <mergeCell ref="Z72:Z82"/>
    <mergeCell ref="AA72:AA82"/>
    <mergeCell ref="A105:A115"/>
    <mergeCell ref="C105:C115"/>
    <mergeCell ref="D105:D115"/>
    <mergeCell ref="Y105:Y115"/>
    <mergeCell ref="Z105:Z115"/>
    <mergeCell ref="AA105:AA115"/>
    <mergeCell ref="A94:A104"/>
    <mergeCell ref="C94:C104"/>
    <mergeCell ref="D94:D104"/>
    <mergeCell ref="Y94:Y104"/>
    <mergeCell ref="Z94:Z104"/>
    <mergeCell ref="AA94:AA104"/>
    <mergeCell ref="A127:A137"/>
    <mergeCell ref="C127:C137"/>
    <mergeCell ref="D127:D137"/>
    <mergeCell ref="Y127:Y137"/>
    <mergeCell ref="Z127:Z137"/>
    <mergeCell ref="AA127:AA137"/>
    <mergeCell ref="A116:A126"/>
    <mergeCell ref="C116:C126"/>
    <mergeCell ref="D116:D126"/>
    <mergeCell ref="Y116:Y126"/>
    <mergeCell ref="Z116:Z126"/>
    <mergeCell ref="AA116:AA126"/>
    <mergeCell ref="A149:A159"/>
    <mergeCell ref="C149:C159"/>
    <mergeCell ref="D149:D159"/>
    <mergeCell ref="Y149:Y159"/>
    <mergeCell ref="Z149:Z159"/>
    <mergeCell ref="AA149:AA159"/>
    <mergeCell ref="A138:A148"/>
    <mergeCell ref="C138:C148"/>
    <mergeCell ref="D138:D148"/>
    <mergeCell ref="Y138:Y148"/>
    <mergeCell ref="Z138:Z148"/>
    <mergeCell ref="AA138:AA148"/>
    <mergeCell ref="A171:A181"/>
    <mergeCell ref="C171:C181"/>
    <mergeCell ref="D171:D181"/>
    <mergeCell ref="Y171:Y181"/>
    <mergeCell ref="Z171:Z181"/>
    <mergeCell ref="AA171:AA181"/>
    <mergeCell ref="A160:A170"/>
    <mergeCell ref="C160:C170"/>
    <mergeCell ref="D160:D170"/>
    <mergeCell ref="Y160:Y170"/>
    <mergeCell ref="Z160:Z170"/>
    <mergeCell ref="AA160:AA170"/>
    <mergeCell ref="A193:A203"/>
    <mergeCell ref="C193:C203"/>
    <mergeCell ref="D193:D203"/>
    <mergeCell ref="Y193:Y203"/>
    <mergeCell ref="Z193:Z203"/>
    <mergeCell ref="AA193:AA203"/>
    <mergeCell ref="A182:A192"/>
    <mergeCell ref="C182:C192"/>
    <mergeCell ref="D182:D192"/>
    <mergeCell ref="Y182:Y192"/>
    <mergeCell ref="Z182:Z192"/>
    <mergeCell ref="AA182:AA192"/>
    <mergeCell ref="A215:A225"/>
    <mergeCell ref="C215:C225"/>
    <mergeCell ref="D215:D225"/>
    <mergeCell ref="Y215:Y225"/>
    <mergeCell ref="Z215:Z225"/>
    <mergeCell ref="AA215:AA225"/>
    <mergeCell ref="A204:A214"/>
    <mergeCell ref="C204:C214"/>
    <mergeCell ref="D204:D214"/>
    <mergeCell ref="Y204:Y214"/>
    <mergeCell ref="Z204:Z214"/>
    <mergeCell ref="AA204:AA214"/>
    <mergeCell ref="AA435:AA445"/>
    <mergeCell ref="A424:A434"/>
    <mergeCell ref="C424:C434"/>
    <mergeCell ref="D424:D434"/>
    <mergeCell ref="Y424:Y434"/>
    <mergeCell ref="Z424:Z434"/>
    <mergeCell ref="AA424:AA434"/>
    <mergeCell ref="A226:A236"/>
    <mergeCell ref="C226:C236"/>
    <mergeCell ref="D226:D236"/>
    <mergeCell ref="Y226:Y236"/>
    <mergeCell ref="Z226:Z236"/>
    <mergeCell ref="AA226:AA236"/>
    <mergeCell ref="A237:A247"/>
    <mergeCell ref="C237:C247"/>
    <mergeCell ref="D237:D247"/>
    <mergeCell ref="Y237:Y247"/>
    <mergeCell ref="Z237:Z247"/>
    <mergeCell ref="AA237:AA247"/>
    <mergeCell ref="A248:A258"/>
    <mergeCell ref="C248:C258"/>
    <mergeCell ref="D248:D258"/>
    <mergeCell ref="Y248:Y258"/>
    <mergeCell ref="Z248:Z258"/>
    <mergeCell ref="A820:X822"/>
    <mergeCell ref="Y820:Y822"/>
    <mergeCell ref="Z820:Z822"/>
    <mergeCell ref="AA820:AA822"/>
    <mergeCell ref="A809:A819"/>
    <mergeCell ref="C809:C819"/>
    <mergeCell ref="D809:D819"/>
    <mergeCell ref="Y809:Y819"/>
    <mergeCell ref="Z809:Z819"/>
    <mergeCell ref="AA809:AA819"/>
    <mergeCell ref="AA248:AA258"/>
    <mergeCell ref="A259:A269"/>
    <mergeCell ref="C259:C269"/>
    <mergeCell ref="D259:D269"/>
    <mergeCell ref="Y259:Y269"/>
    <mergeCell ref="Z259:Z269"/>
    <mergeCell ref="AA259:AA269"/>
    <mergeCell ref="A270:A280"/>
    <mergeCell ref="C270:C280"/>
    <mergeCell ref="D270:D280"/>
    <mergeCell ref="Y270:Y280"/>
    <mergeCell ref="Z270:Z280"/>
    <mergeCell ref="AA270:AA280"/>
    <mergeCell ref="A281:A291"/>
    <mergeCell ref="C281:C291"/>
    <mergeCell ref="D281:D291"/>
    <mergeCell ref="Y281:Y291"/>
    <mergeCell ref="Z281:Z291"/>
    <mergeCell ref="AA281:AA291"/>
    <mergeCell ref="A292:A302"/>
    <mergeCell ref="C292:C302"/>
    <mergeCell ref="D292:D302"/>
    <mergeCell ref="Y292:Y302"/>
    <mergeCell ref="Z292:Z302"/>
    <mergeCell ref="AA292:AA302"/>
    <mergeCell ref="A303:A313"/>
    <mergeCell ref="C303:C313"/>
    <mergeCell ref="D303:D313"/>
    <mergeCell ref="Y303:Y313"/>
    <mergeCell ref="Z303:Z313"/>
    <mergeCell ref="AA303:AA313"/>
    <mergeCell ref="A314:A324"/>
    <mergeCell ref="C314:C324"/>
    <mergeCell ref="D314:D324"/>
    <mergeCell ref="Y314:Y324"/>
    <mergeCell ref="Z314:Z324"/>
    <mergeCell ref="AA314:AA324"/>
    <mergeCell ref="A325:A335"/>
    <mergeCell ref="C325:C335"/>
    <mergeCell ref="D325:D335"/>
    <mergeCell ref="Y325:Y335"/>
    <mergeCell ref="Z325:Z335"/>
    <mergeCell ref="AA325:AA335"/>
    <mergeCell ref="A336:A346"/>
    <mergeCell ref="C336:C346"/>
    <mergeCell ref="D336:D346"/>
    <mergeCell ref="Y336:Y346"/>
    <mergeCell ref="Z336:Z346"/>
    <mergeCell ref="AA336:AA346"/>
    <mergeCell ref="A347:A357"/>
    <mergeCell ref="C347:C357"/>
    <mergeCell ref="D347:D357"/>
    <mergeCell ref="Y347:Y357"/>
    <mergeCell ref="Z347:Z357"/>
    <mergeCell ref="AA347:AA357"/>
    <mergeCell ref="A358:A368"/>
    <mergeCell ref="C358:C368"/>
    <mergeCell ref="D358:D368"/>
    <mergeCell ref="Y358:Y368"/>
    <mergeCell ref="Z358:Z368"/>
    <mergeCell ref="AA358:AA368"/>
    <mergeCell ref="A369:A379"/>
    <mergeCell ref="C369:C379"/>
    <mergeCell ref="D369:D379"/>
    <mergeCell ref="Y369:Y379"/>
    <mergeCell ref="Z369:Z379"/>
    <mergeCell ref="AA369:AA379"/>
    <mergeCell ref="A380:A390"/>
    <mergeCell ref="C380:C390"/>
    <mergeCell ref="D380:D390"/>
    <mergeCell ref="Y380:Y390"/>
    <mergeCell ref="Z380:Z390"/>
    <mergeCell ref="AA380:AA390"/>
    <mergeCell ref="AA413:AA423"/>
    <mergeCell ref="A391:A401"/>
    <mergeCell ref="C391:C401"/>
    <mergeCell ref="D391:D401"/>
    <mergeCell ref="Y391:Y401"/>
    <mergeCell ref="Z391:Z401"/>
    <mergeCell ref="AA391:AA401"/>
    <mergeCell ref="A402:A412"/>
    <mergeCell ref="C402:C412"/>
    <mergeCell ref="D402:D412"/>
    <mergeCell ref="Y402:Y412"/>
    <mergeCell ref="Z402:Z412"/>
    <mergeCell ref="AA402:AA412"/>
    <mergeCell ref="A413:A423"/>
    <mergeCell ref="C413:C423"/>
    <mergeCell ref="D413:D423"/>
    <mergeCell ref="Y413:Y423"/>
    <mergeCell ref="Z413:Z423"/>
    <mergeCell ref="A435:A445"/>
    <mergeCell ref="C435:C445"/>
    <mergeCell ref="D435:D445"/>
    <mergeCell ref="Y435:Y445"/>
    <mergeCell ref="Z435:Z445"/>
    <mergeCell ref="A479:A489"/>
    <mergeCell ref="C479:C489"/>
    <mergeCell ref="Y479:Y489"/>
    <mergeCell ref="Z479:Z489"/>
    <mergeCell ref="A512:A522"/>
    <mergeCell ref="C512:C522"/>
    <mergeCell ref="D512:D522"/>
    <mergeCell ref="Y512:Y522"/>
    <mergeCell ref="Z512:Z522"/>
    <mergeCell ref="AA512:AA522"/>
    <mergeCell ref="A523:A533"/>
    <mergeCell ref="C523:C533"/>
    <mergeCell ref="D523:D533"/>
    <mergeCell ref="Y523:Y533"/>
    <mergeCell ref="Z523:Z533"/>
    <mergeCell ref="AA523:AA533"/>
    <mergeCell ref="A534:A544"/>
    <mergeCell ref="C534:C544"/>
    <mergeCell ref="D534:D544"/>
    <mergeCell ref="Y534:Y544"/>
    <mergeCell ref="Z534:Z544"/>
    <mergeCell ref="AA534:AA544"/>
    <mergeCell ref="A545:A555"/>
    <mergeCell ref="C545:C555"/>
    <mergeCell ref="D545:D555"/>
    <mergeCell ref="Y545:Y555"/>
    <mergeCell ref="Z545:Z555"/>
    <mergeCell ref="AA545:AA555"/>
    <mergeCell ref="A556:A566"/>
    <mergeCell ref="C556:C566"/>
    <mergeCell ref="D556:D566"/>
    <mergeCell ref="Y556:Y566"/>
    <mergeCell ref="Z556:Z566"/>
    <mergeCell ref="AA556:AA566"/>
    <mergeCell ref="A567:A577"/>
    <mergeCell ref="C567:C577"/>
    <mergeCell ref="D567:D577"/>
    <mergeCell ref="Y567:Y577"/>
    <mergeCell ref="Z567:Z577"/>
    <mergeCell ref="AA567:AA577"/>
    <mergeCell ref="A578:A588"/>
    <mergeCell ref="C578:C588"/>
    <mergeCell ref="D578:D588"/>
    <mergeCell ref="Y578:Y588"/>
    <mergeCell ref="Z578:Z588"/>
    <mergeCell ref="AA578:AA588"/>
    <mergeCell ref="A589:A599"/>
    <mergeCell ref="C589:C599"/>
    <mergeCell ref="D589:D599"/>
    <mergeCell ref="Y589:Y599"/>
    <mergeCell ref="Z589:Z599"/>
    <mergeCell ref="AA589:AA599"/>
    <mergeCell ref="A600:A610"/>
    <mergeCell ref="C600:C610"/>
    <mergeCell ref="D600:D610"/>
    <mergeCell ref="Y600:Y610"/>
    <mergeCell ref="Z600:Z610"/>
    <mergeCell ref="AA600:AA610"/>
    <mergeCell ref="A611:A621"/>
    <mergeCell ref="C611:C621"/>
    <mergeCell ref="D611:D621"/>
    <mergeCell ref="Y611:Y621"/>
    <mergeCell ref="Z611:Z621"/>
    <mergeCell ref="AA611:AA621"/>
    <mergeCell ref="A644:A654"/>
    <mergeCell ref="C644:C654"/>
    <mergeCell ref="D644:D654"/>
    <mergeCell ref="Y644:Y654"/>
    <mergeCell ref="Z644:Z654"/>
    <mergeCell ref="AA644:AA654"/>
    <mergeCell ref="A622:A632"/>
    <mergeCell ref="C622:C632"/>
    <mergeCell ref="D622:D632"/>
    <mergeCell ref="Y622:Y632"/>
    <mergeCell ref="Z622:Z632"/>
    <mergeCell ref="AA622:AA632"/>
    <mergeCell ref="A633:A643"/>
    <mergeCell ref="C633:C643"/>
    <mergeCell ref="D633:D643"/>
    <mergeCell ref="Y633:Y643"/>
    <mergeCell ref="Z633:Z643"/>
    <mergeCell ref="AA633:AA643"/>
    <mergeCell ref="A655:A665"/>
    <mergeCell ref="C655:C665"/>
    <mergeCell ref="D655:D665"/>
    <mergeCell ref="Y655:Y665"/>
    <mergeCell ref="Z655:Z665"/>
    <mergeCell ref="AA655:AA665"/>
    <mergeCell ref="A666:A676"/>
    <mergeCell ref="C666:C676"/>
    <mergeCell ref="D666:D676"/>
    <mergeCell ref="Y666:Y676"/>
    <mergeCell ref="Z666:Z676"/>
    <mergeCell ref="AA666:AA676"/>
    <mergeCell ref="A677:A687"/>
    <mergeCell ref="C677:C687"/>
    <mergeCell ref="D677:D687"/>
    <mergeCell ref="Y677:Y687"/>
    <mergeCell ref="Z677:Z687"/>
    <mergeCell ref="AA677:AA687"/>
    <mergeCell ref="A688:A698"/>
    <mergeCell ref="C688:C698"/>
    <mergeCell ref="D688:D698"/>
    <mergeCell ref="Y688:Y698"/>
    <mergeCell ref="Z688:Z698"/>
    <mergeCell ref="AA688:AA698"/>
    <mergeCell ref="A699:A709"/>
    <mergeCell ref="C699:C709"/>
    <mergeCell ref="D699:D709"/>
    <mergeCell ref="Y699:Y709"/>
    <mergeCell ref="Z699:Z709"/>
    <mergeCell ref="AA699:AA709"/>
    <mergeCell ref="A710:A720"/>
    <mergeCell ref="C710:C720"/>
    <mergeCell ref="D710:D720"/>
    <mergeCell ref="Y710:Y720"/>
    <mergeCell ref="Z710:Z720"/>
    <mergeCell ref="AA710:AA720"/>
    <mergeCell ref="A721:A731"/>
    <mergeCell ref="C721:C731"/>
    <mergeCell ref="D721:D731"/>
    <mergeCell ref="Y721:Y731"/>
    <mergeCell ref="Z721:Z731"/>
    <mergeCell ref="AA721:AA731"/>
    <mergeCell ref="A732:A742"/>
    <mergeCell ref="C732:C742"/>
    <mergeCell ref="D732:D742"/>
    <mergeCell ref="Y732:Y742"/>
    <mergeCell ref="Z732:Z742"/>
    <mergeCell ref="AA732:AA742"/>
    <mergeCell ref="A765:A775"/>
    <mergeCell ref="C765:C775"/>
    <mergeCell ref="D765:D775"/>
    <mergeCell ref="Y765:Y775"/>
    <mergeCell ref="Z765:Z775"/>
    <mergeCell ref="AA765:AA775"/>
    <mergeCell ref="A743:A753"/>
    <mergeCell ref="C743:C753"/>
    <mergeCell ref="D743:D753"/>
    <mergeCell ref="Y743:Y753"/>
    <mergeCell ref="Z743:Z753"/>
    <mergeCell ref="AA743:AA753"/>
    <mergeCell ref="A754:A764"/>
    <mergeCell ref="C754:C764"/>
    <mergeCell ref="D754:D764"/>
    <mergeCell ref="Y754:Y764"/>
    <mergeCell ref="Z754:Z764"/>
    <mergeCell ref="AA754:AA764"/>
  </mergeCells>
  <conditionalFormatting sqref="W14:W15 U14:U15 V14:V236 E17:P18 E809:T818 V809:V819 U6:W11 L819 E19:T236 E6:K16 M6:S16">
    <cfRule type="cellIs" dxfId="91" priority="85" operator="equal">
      <formula>0</formula>
    </cfRule>
  </conditionalFormatting>
  <conditionalFormatting sqref="E819:K819 W819:X819 M819:U819">
    <cfRule type="cellIs" dxfId="90" priority="84" operator="equal">
      <formula>0</formula>
    </cfRule>
  </conditionalFormatting>
  <conditionalFormatting sqref="V424:V434 E424:T424 E426:T434 E425:G425 I425:T425">
    <cfRule type="cellIs" dxfId="89" priority="83" operator="equal">
      <formula>0</formula>
    </cfRule>
  </conditionalFormatting>
  <conditionalFormatting sqref="V435:V500 E435:T500">
    <cfRule type="cellIs" dxfId="88" priority="82" operator="equal">
      <formula>0</formula>
    </cfRule>
  </conditionalFormatting>
  <conditionalFormatting sqref="H425">
    <cfRule type="cellIs" dxfId="87" priority="76" operator="equal">
      <formula>0</formula>
    </cfRule>
  </conditionalFormatting>
  <conditionalFormatting sqref="V413:V423 E413:T423">
    <cfRule type="cellIs" dxfId="86" priority="61" operator="equal">
      <formula>0</formula>
    </cfRule>
  </conditionalFormatting>
  <conditionalFormatting sqref="V237:V247 E237:T247">
    <cfRule type="cellIs" dxfId="85" priority="75" operator="equal">
      <formula>0</formula>
    </cfRule>
  </conditionalFormatting>
  <conditionalFormatting sqref="V248:V258 E248:T258">
    <cfRule type="cellIs" dxfId="84" priority="74" operator="equal">
      <formula>0</formula>
    </cfRule>
  </conditionalFormatting>
  <conditionalFormatting sqref="V259:V269 E259:T269">
    <cfRule type="cellIs" dxfId="83" priority="73" operator="equal">
      <formula>0</formula>
    </cfRule>
  </conditionalFormatting>
  <conditionalFormatting sqref="V270:V280 E270:T280">
    <cfRule type="cellIs" dxfId="82" priority="72" operator="equal">
      <formula>0</formula>
    </cfRule>
  </conditionalFormatting>
  <conditionalFormatting sqref="V281:V291 E281:T291">
    <cfRule type="cellIs" dxfId="81" priority="71" operator="equal">
      <formula>0</formula>
    </cfRule>
  </conditionalFormatting>
  <conditionalFormatting sqref="V292:V302 E292:T302">
    <cfRule type="cellIs" dxfId="80" priority="70" operator="equal">
      <formula>0</formula>
    </cfRule>
  </conditionalFormatting>
  <conditionalFormatting sqref="V303:V313 E303:T313">
    <cfRule type="cellIs" dxfId="79" priority="69" operator="equal">
      <formula>0</formula>
    </cfRule>
  </conditionalFormatting>
  <conditionalFormatting sqref="V314:V324 E314:T324">
    <cfRule type="cellIs" dxfId="78" priority="68" operator="equal">
      <formula>0</formula>
    </cfRule>
  </conditionalFormatting>
  <conditionalFormatting sqref="V325:V335 E325:T335">
    <cfRule type="cellIs" dxfId="77" priority="67" operator="equal">
      <formula>0</formula>
    </cfRule>
  </conditionalFormatting>
  <conditionalFormatting sqref="V336:V346 E336:T346">
    <cfRule type="cellIs" dxfId="76" priority="66" operator="equal">
      <formula>0</formula>
    </cfRule>
  </conditionalFormatting>
  <conditionalFormatting sqref="V347:V357 E347:T357">
    <cfRule type="cellIs" dxfId="75" priority="65" operator="equal">
      <formula>0</formula>
    </cfRule>
  </conditionalFormatting>
  <conditionalFormatting sqref="V358:V368 E358:T368">
    <cfRule type="cellIs" dxfId="74" priority="64" operator="equal">
      <formula>0</formula>
    </cfRule>
  </conditionalFormatting>
  <conditionalFormatting sqref="V369:V379 E369:T379">
    <cfRule type="cellIs" dxfId="73" priority="63" operator="equal">
      <formula>0</formula>
    </cfRule>
  </conditionalFormatting>
  <conditionalFormatting sqref="V380:V390 E380:T390">
    <cfRule type="cellIs" dxfId="72" priority="62" operator="equal">
      <formula>0</formula>
    </cfRule>
  </conditionalFormatting>
  <conditionalFormatting sqref="V391:V401 E391:T401">
    <cfRule type="cellIs" dxfId="71" priority="60" operator="equal">
      <formula>0</formula>
    </cfRule>
  </conditionalFormatting>
  <conditionalFormatting sqref="V402:V412 E402:T412">
    <cfRule type="cellIs" dxfId="70" priority="59" operator="equal">
      <formula>0</formula>
    </cfRule>
  </conditionalFormatting>
  <conditionalFormatting sqref="X6:X16">
    <cfRule type="cellIs" dxfId="69" priority="56" operator="equal">
      <formula>0</formula>
    </cfRule>
  </conditionalFormatting>
  <conditionalFormatting sqref="L6:L16">
    <cfRule type="cellIs" dxfId="68" priority="58" operator="equal">
      <formula>0</formula>
    </cfRule>
  </conditionalFormatting>
  <conditionalFormatting sqref="T6:T16">
    <cfRule type="cellIs" dxfId="67" priority="57" operator="equal">
      <formula>0</formula>
    </cfRule>
  </conditionalFormatting>
  <conditionalFormatting sqref="V501:V511 E501:T511">
    <cfRule type="cellIs" dxfId="66" priority="55" operator="equal">
      <formula>0</formula>
    </cfRule>
  </conditionalFormatting>
  <conditionalFormatting sqref="E512:T521 V512:V522 L522">
    <cfRule type="cellIs" dxfId="65" priority="54" operator="equal">
      <formula>0</formula>
    </cfRule>
  </conditionalFormatting>
  <conditionalFormatting sqref="E522:K522 W522:X522 M522:U522">
    <cfRule type="cellIs" dxfId="64" priority="53" operator="equal">
      <formula>0</formula>
    </cfRule>
  </conditionalFormatting>
  <conditionalFormatting sqref="E523:T532 V523:V533 L533">
    <cfRule type="cellIs" dxfId="63" priority="52" operator="equal">
      <formula>0</formula>
    </cfRule>
  </conditionalFormatting>
  <conditionalFormatting sqref="E533:K533 W533:X533 M533:U533">
    <cfRule type="cellIs" dxfId="62" priority="51" operator="equal">
      <formula>0</formula>
    </cfRule>
  </conditionalFormatting>
  <conditionalFormatting sqref="E534:T543 V534:V544 L544">
    <cfRule type="cellIs" dxfId="61" priority="50" operator="equal">
      <formula>0</formula>
    </cfRule>
  </conditionalFormatting>
  <conditionalFormatting sqref="E544:K544 W544:X544 M544:U544">
    <cfRule type="cellIs" dxfId="60" priority="49" operator="equal">
      <formula>0</formula>
    </cfRule>
  </conditionalFormatting>
  <conditionalFormatting sqref="E545:T554 V545:V555 L555">
    <cfRule type="cellIs" dxfId="59" priority="48" operator="equal">
      <formula>0</formula>
    </cfRule>
  </conditionalFormatting>
  <conditionalFormatting sqref="E555:K555 W555:X555 M555:U555">
    <cfRule type="cellIs" dxfId="58" priority="47" operator="equal">
      <formula>0</formula>
    </cfRule>
  </conditionalFormatting>
  <conditionalFormatting sqref="E556:T565 V556:V566 L566">
    <cfRule type="cellIs" dxfId="57" priority="46" operator="equal">
      <formula>0</formula>
    </cfRule>
  </conditionalFormatting>
  <conditionalFormatting sqref="E566:K566 W566:X566 M566:U566">
    <cfRule type="cellIs" dxfId="56" priority="45" operator="equal">
      <formula>0</formula>
    </cfRule>
  </conditionalFormatting>
  <conditionalFormatting sqref="E567:T576 V567:V577 L577">
    <cfRule type="cellIs" dxfId="55" priority="44" operator="equal">
      <formula>0</formula>
    </cfRule>
  </conditionalFormatting>
  <conditionalFormatting sqref="E577:K577 W577:X577 M577:U577">
    <cfRule type="cellIs" dxfId="54" priority="43" operator="equal">
      <formula>0</formula>
    </cfRule>
  </conditionalFormatting>
  <conditionalFormatting sqref="E578:T587 V578:V588 L588">
    <cfRule type="cellIs" dxfId="53" priority="42" operator="equal">
      <formula>0</formula>
    </cfRule>
  </conditionalFormatting>
  <conditionalFormatting sqref="E588:K588 W588:X588 M588:U588">
    <cfRule type="cellIs" dxfId="52" priority="41" operator="equal">
      <formula>0</formula>
    </cfRule>
  </conditionalFormatting>
  <conditionalFormatting sqref="E589:T598 V589:V599 L599">
    <cfRule type="cellIs" dxfId="51" priority="40" operator="equal">
      <formula>0</formula>
    </cfRule>
  </conditionalFormatting>
  <conditionalFormatting sqref="E599:K599 W599:X599 M599:U599">
    <cfRule type="cellIs" dxfId="50" priority="39" operator="equal">
      <formula>0</formula>
    </cfRule>
  </conditionalFormatting>
  <conditionalFormatting sqref="E600:T609 V600:V610 L610">
    <cfRule type="cellIs" dxfId="49" priority="38" operator="equal">
      <formula>0</formula>
    </cfRule>
  </conditionalFormatting>
  <conditionalFormatting sqref="E610:K610 W610:X610 M610:U610">
    <cfRule type="cellIs" dxfId="48" priority="37" operator="equal">
      <formula>0</formula>
    </cfRule>
  </conditionalFormatting>
  <conditionalFormatting sqref="E611:T620 V611:V621 L621">
    <cfRule type="cellIs" dxfId="47" priority="36" operator="equal">
      <formula>0</formula>
    </cfRule>
  </conditionalFormatting>
  <conditionalFormatting sqref="E621:K621 W621:X621 M621:U621">
    <cfRule type="cellIs" dxfId="46" priority="35" operator="equal">
      <formula>0</formula>
    </cfRule>
  </conditionalFormatting>
  <conditionalFormatting sqref="E622:T631 V622:V632 L632">
    <cfRule type="cellIs" dxfId="45" priority="34" operator="equal">
      <formula>0</formula>
    </cfRule>
  </conditionalFormatting>
  <conditionalFormatting sqref="E632:K632 W632:X632 M632:U632">
    <cfRule type="cellIs" dxfId="44" priority="33" operator="equal">
      <formula>0</formula>
    </cfRule>
  </conditionalFormatting>
  <conditionalFormatting sqref="E633:T642 V633:V643 L643">
    <cfRule type="cellIs" dxfId="43" priority="32" operator="equal">
      <formula>0</formula>
    </cfRule>
  </conditionalFormatting>
  <conditionalFormatting sqref="E643:K643 W643:X643 M643:U643">
    <cfRule type="cellIs" dxfId="42" priority="31" operator="equal">
      <formula>0</formula>
    </cfRule>
  </conditionalFormatting>
  <conditionalFormatting sqref="E644:T653 V644:V654 L654">
    <cfRule type="cellIs" dxfId="41" priority="30" operator="equal">
      <formula>0</formula>
    </cfRule>
  </conditionalFormatting>
  <conditionalFormatting sqref="E654:K654 W654:X654 M654:U654">
    <cfRule type="cellIs" dxfId="40" priority="29" operator="equal">
      <formula>0</formula>
    </cfRule>
  </conditionalFormatting>
  <conditionalFormatting sqref="E655:T664 V655:V665 L665">
    <cfRule type="cellIs" dxfId="39" priority="28" operator="equal">
      <formula>0</formula>
    </cfRule>
  </conditionalFormatting>
  <conditionalFormatting sqref="E665:K665 W665:X665 M665:U665">
    <cfRule type="cellIs" dxfId="38" priority="27" operator="equal">
      <formula>0</formula>
    </cfRule>
  </conditionalFormatting>
  <conditionalFormatting sqref="E666:T675 V666:V676 L676">
    <cfRule type="cellIs" dxfId="37" priority="26" operator="equal">
      <formula>0</formula>
    </cfRule>
  </conditionalFormatting>
  <conditionalFormatting sqref="E676:K676 W676:X676 M676:U676">
    <cfRule type="cellIs" dxfId="36" priority="25" operator="equal">
      <formula>0</formula>
    </cfRule>
  </conditionalFormatting>
  <conditionalFormatting sqref="E677:T686 V677:V687 L687">
    <cfRule type="cellIs" dxfId="35" priority="24" operator="equal">
      <formula>0</formula>
    </cfRule>
  </conditionalFormatting>
  <conditionalFormatting sqref="E687:K687 W687:X687 M687:U687">
    <cfRule type="cellIs" dxfId="34" priority="23" operator="equal">
      <formula>0</formula>
    </cfRule>
  </conditionalFormatting>
  <conditionalFormatting sqref="E688:T697 V688:V698 L698">
    <cfRule type="cellIs" dxfId="33" priority="22" operator="equal">
      <formula>0</formula>
    </cfRule>
  </conditionalFormatting>
  <conditionalFormatting sqref="E698:K698 W698:X698 M698:U698">
    <cfRule type="cellIs" dxfId="32" priority="21" operator="equal">
      <formula>0</formula>
    </cfRule>
  </conditionalFormatting>
  <conditionalFormatting sqref="E699:T708 V699:V709 L709">
    <cfRule type="cellIs" dxfId="31" priority="20" operator="equal">
      <formula>0</formula>
    </cfRule>
  </conditionalFormatting>
  <conditionalFormatting sqref="E709:K709 W709:X709 M709:U709">
    <cfRule type="cellIs" dxfId="30" priority="19" operator="equal">
      <formula>0</formula>
    </cfRule>
  </conditionalFormatting>
  <conditionalFormatting sqref="E710:T719 V710:V720 L720">
    <cfRule type="cellIs" dxfId="29" priority="18" operator="equal">
      <formula>0</formula>
    </cfRule>
  </conditionalFormatting>
  <conditionalFormatting sqref="E720:K720 W720:X720 M720:U720">
    <cfRule type="cellIs" dxfId="28" priority="17" operator="equal">
      <formula>0</formula>
    </cfRule>
  </conditionalFormatting>
  <conditionalFormatting sqref="E721:T730 V721:V731 L731">
    <cfRule type="cellIs" dxfId="27" priority="16" operator="equal">
      <formula>0</formula>
    </cfRule>
  </conditionalFormatting>
  <conditionalFormatting sqref="E731:K731 W731:X731 M731:U731">
    <cfRule type="cellIs" dxfId="26" priority="15" operator="equal">
      <formula>0</formula>
    </cfRule>
  </conditionalFormatting>
  <conditionalFormatting sqref="E732:T741 V732:V742 L742">
    <cfRule type="cellIs" dxfId="25" priority="14" operator="equal">
      <formula>0</formula>
    </cfRule>
  </conditionalFormatting>
  <conditionalFormatting sqref="E742:K742 W742:X742 M742:U742">
    <cfRule type="cellIs" dxfId="24" priority="13" operator="equal">
      <formula>0</formula>
    </cfRule>
  </conditionalFormatting>
  <conditionalFormatting sqref="E743:T752 V743:V753 L753">
    <cfRule type="cellIs" dxfId="23" priority="12" operator="equal">
      <formula>0</formula>
    </cfRule>
  </conditionalFormatting>
  <conditionalFormatting sqref="E753:K753 W753:X753 M753:U753">
    <cfRule type="cellIs" dxfId="22" priority="11" operator="equal">
      <formula>0</formula>
    </cfRule>
  </conditionalFormatting>
  <conditionalFormatting sqref="E754:T763 V754:V764 L764">
    <cfRule type="cellIs" dxfId="21" priority="10" operator="equal">
      <formula>0</formula>
    </cfRule>
  </conditionalFormatting>
  <conditionalFormatting sqref="E764:K764 W764:X764 M764:U764">
    <cfRule type="cellIs" dxfId="20" priority="9" operator="equal">
      <formula>0</formula>
    </cfRule>
  </conditionalFormatting>
  <conditionalFormatting sqref="E765:T774 V765:V775 L775">
    <cfRule type="cellIs" dxfId="19" priority="8" operator="equal">
      <formula>0</formula>
    </cfRule>
  </conditionalFormatting>
  <conditionalFormatting sqref="E775:K775 W775:X775 M775:U775">
    <cfRule type="cellIs" dxfId="18" priority="7" operator="equal">
      <formula>0</formula>
    </cfRule>
  </conditionalFormatting>
  <conditionalFormatting sqref="E798:T807 V798:V808 L808">
    <cfRule type="cellIs" dxfId="17" priority="6" operator="equal">
      <formula>0</formula>
    </cfRule>
  </conditionalFormatting>
  <conditionalFormatting sqref="E808:K808 W808:X808 M808:U808">
    <cfRule type="cellIs" dxfId="16" priority="5" operator="equal">
      <formula>0</formula>
    </cfRule>
  </conditionalFormatting>
  <conditionalFormatting sqref="E787:T796 V787:V797 L797">
    <cfRule type="cellIs" dxfId="15" priority="4" operator="equal">
      <formula>0</formula>
    </cfRule>
  </conditionalFormatting>
  <conditionalFormatting sqref="E797:K797 W797:X797 M797:U797">
    <cfRule type="cellIs" dxfId="14" priority="3" operator="equal">
      <formula>0</formula>
    </cfRule>
  </conditionalFormatting>
  <conditionalFormatting sqref="E776:T785 V776:V786 L786">
    <cfRule type="cellIs" dxfId="13" priority="2" operator="equal">
      <formula>0</formula>
    </cfRule>
  </conditionalFormatting>
  <conditionalFormatting sqref="E786:K786 W786:X786 M786:U786">
    <cfRule type="cellIs" dxfId="12" priority="1" operator="equal">
      <formula>0</formula>
    </cfRule>
  </conditionalFormatting>
  <pageMargins left="0.25" right="0.25" top="0.75" bottom="0.75" header="0.3" footer="0.3"/>
  <pageSetup paperSize="9" scale="53" fitToHeight="0" orientation="landscape" r:id="rId1"/>
  <rowBreaks count="9" manualBreakCount="9">
    <brk id="38" max="16383" man="1"/>
    <brk id="82" max="16383" man="1"/>
    <brk id="126" max="16383" man="1"/>
    <brk id="170" max="16383" man="1"/>
    <brk id="214" max="16383" man="1"/>
    <brk id="258" max="16383" man="1"/>
    <brk id="302" max="16383" man="1"/>
    <brk id="351" max="26" man="1"/>
    <brk id="400" max="26" man="1"/>
  </rowBreaks>
  <ignoredErrors>
    <ignoredError sqref="S6:S11 W12:W16 W809:X817 S818:X819 U6:W11 W435:X445" twoDigitTextYear="1"/>
    <ignoredError sqref="V14 U12:V13 U15:V16 S809:V817 S12:S16 S435:V445" twoDigitTextYear="1" formula="1"/>
    <ignoredError sqref="U14 Q13:R16 R12 Q809:R817 Q435:R445" formula="1"/>
  </ignoredError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база!$B:$B</xm:f>
          </x14:formula1>
          <xm:sqref>B9:B11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Q34"/>
  <sheetViews>
    <sheetView view="pageBreakPreview" zoomScale="60" zoomScaleNormal="60" workbookViewId="0">
      <selection activeCell="U23" sqref="U23"/>
    </sheetView>
  </sheetViews>
  <sheetFormatPr defaultRowHeight="15"/>
  <cols>
    <col min="1" max="1" customWidth="true" style="45" width="5.28515625"/>
    <col min="2" max="2" customWidth="true" style="45" width="7.5703125"/>
    <col min="3" max="3" customWidth="true" style="50" width="31.28515625"/>
    <col min="4" max="4" style="45" width="9.140625"/>
    <col min="5" max="14" customWidth="true" style="45" width="6.0"/>
    <col min="15" max="15" customWidth="true" style="45" width="6.140625"/>
    <col min="16" max="35" customWidth="true" style="45" width="6.0"/>
    <col min="36" max="16384" style="45" width="9.140625"/>
  </cols>
  <sheetData>
    <row r="1" spans="1:36" s="32" customFormat="1" ht="29.25" customHeight="1">
      <c r="B1" s="875" t="s">
        <v>75</v>
      </c>
      <c r="C1" s="875"/>
      <c r="D1" s="875"/>
      <c r="E1" s="875"/>
      <c r="F1" s="875"/>
      <c r="G1" s="875"/>
      <c r="H1" s="875"/>
      <c r="I1" s="875"/>
      <c r="J1" s="147" t="s">
        <v>68</v>
      </c>
      <c r="K1" s="147"/>
      <c r="L1" s="147"/>
      <c r="M1" s="147"/>
      <c r="N1" s="881">
        <v>6000</v>
      </c>
      <c r="O1" s="881"/>
      <c r="P1" s="881"/>
      <c r="Q1" s="881"/>
      <c r="R1" s="881"/>
      <c r="S1" s="881"/>
      <c r="T1" s="881"/>
      <c r="U1" s="876" t="s">
        <v>10</v>
      </c>
      <c r="V1" s="876"/>
      <c r="W1" s="877" t="s">
        <v>105</v>
      </c>
      <c r="X1" s="877"/>
      <c r="Y1" s="877"/>
      <c r="Z1" s="46"/>
      <c r="AA1" s="43"/>
      <c r="AB1" s="65"/>
      <c r="AC1" s="65"/>
      <c r="AD1" s="65"/>
      <c r="AH1" s="46"/>
      <c r="AI1" s="46"/>
      <c r="AJ1" s="43"/>
    </row>
    <row r="2" spans="1:36" s="32" customFormat="1" ht="16.5" customHeight="1">
      <c r="B2" s="875"/>
      <c r="C2" s="875"/>
      <c r="D2" s="875"/>
      <c r="E2" s="875"/>
      <c r="F2" s="875"/>
      <c r="G2" s="875"/>
      <c r="H2" s="875"/>
      <c r="I2" s="875"/>
      <c r="J2" s="42"/>
      <c r="K2" s="142"/>
      <c r="L2" s="142"/>
      <c r="M2" s="142"/>
      <c r="N2" s="142"/>
      <c r="O2" s="143"/>
      <c r="P2" s="143"/>
      <c r="Q2" s="143"/>
      <c r="R2" s="4"/>
      <c r="S2" s="46"/>
      <c r="T2" s="44"/>
      <c r="U2" s="107"/>
      <c r="V2" s="107"/>
      <c r="W2" s="122"/>
      <c r="X2" s="122"/>
      <c r="Y2" s="122"/>
      <c r="Z2" s="46"/>
      <c r="AA2" s="46"/>
      <c r="AB2" s="138" t="s">
        <v>10</v>
      </c>
      <c r="AC2" s="138"/>
      <c r="AD2" s="878"/>
      <c r="AE2" s="878"/>
      <c r="AF2" s="138"/>
      <c r="AG2" s="138" t="s">
        <v>76</v>
      </c>
      <c r="AH2" s="138"/>
      <c r="AI2" s="138"/>
      <c r="AJ2" s="43"/>
    </row>
    <row r="3" spans="1:36" s="32" customFormat="1" ht="16.5" customHeight="1">
      <c r="B3" s="875"/>
      <c r="C3" s="875"/>
      <c r="D3" s="875"/>
      <c r="E3" s="875"/>
      <c r="F3" s="875"/>
      <c r="G3" s="875"/>
      <c r="H3" s="875"/>
      <c r="I3" s="875"/>
      <c r="J3" s="42"/>
      <c r="K3" s="123" t="s">
        <v>77</v>
      </c>
      <c r="L3" s="142"/>
      <c r="M3" s="142"/>
      <c r="N3" s="124"/>
      <c r="O3" s="125"/>
      <c r="P3" s="126" t="e">
        <f>INDEX(база!$AL:$AL, MATCH(N1,база!$AK:$AK,0))</f>
        <v>#N/A</v>
      </c>
      <c r="Q3" s="125"/>
      <c r="R3" s="127"/>
      <c r="S3" s="127"/>
      <c r="T3" s="128"/>
      <c r="U3" s="107"/>
      <c r="V3" s="107"/>
      <c r="W3" s="108"/>
      <c r="X3" s="108"/>
      <c r="Y3" s="108"/>
      <c r="Z3" s="46"/>
      <c r="AA3" s="46"/>
      <c r="AB3" s="138" t="s">
        <v>78</v>
      </c>
      <c r="AC3" s="138"/>
      <c r="AD3" s="878"/>
      <c r="AE3" s="878"/>
      <c r="AF3" s="138"/>
      <c r="AG3" s="161" t="s">
        <v>85</v>
      </c>
      <c r="AH3" s="138"/>
      <c r="AI3" s="138"/>
      <c r="AJ3" s="43"/>
    </row>
    <row r="4" spans="1:36" s="32" customFormat="1" ht="16.5" customHeight="1">
      <c r="B4" s="875"/>
      <c r="C4" s="875"/>
      <c r="D4" s="875"/>
      <c r="E4" s="875"/>
      <c r="F4" s="875"/>
      <c r="G4" s="875"/>
      <c r="H4" s="875"/>
      <c r="I4" s="875"/>
      <c r="J4" s="42"/>
      <c r="K4" s="142"/>
      <c r="L4" s="142"/>
      <c r="M4" s="142"/>
      <c r="N4" s="142"/>
      <c r="O4" s="129"/>
      <c r="P4" s="129"/>
      <c r="Q4" s="129"/>
      <c r="R4" s="46"/>
      <c r="S4" s="46"/>
      <c r="T4" s="44"/>
      <c r="U4" s="107"/>
      <c r="V4" s="107"/>
      <c r="W4" s="108"/>
      <c r="X4" s="108"/>
      <c r="Y4" s="108"/>
      <c r="Z4" s="46"/>
      <c r="AA4" s="46"/>
      <c r="AB4" s="138" t="s">
        <v>79</v>
      </c>
      <c r="AC4" s="138"/>
      <c r="AD4" s="878"/>
      <c r="AE4" s="878"/>
      <c r="AF4" s="138"/>
      <c r="AG4" s="138" t="s">
        <v>80</v>
      </c>
      <c r="AH4" s="138"/>
      <c r="AI4" s="138"/>
      <c r="AJ4" s="43"/>
    </row>
    <row r="5" spans="1:36" s="32" customFormat="1" ht="21.75" customHeight="1">
      <c r="B5" s="875"/>
      <c r="C5" s="875"/>
      <c r="D5" s="875"/>
      <c r="E5" s="875"/>
      <c r="F5" s="875"/>
      <c r="G5" s="875"/>
      <c r="H5" s="875"/>
      <c r="I5" s="875"/>
      <c r="J5" s="879" t="str">
        <f>Data_Tech!A3</f>
        <v>декабрь</v>
      </c>
      <c r="K5" s="879"/>
      <c r="L5" s="880">
        <v>2022</v>
      </c>
      <c r="M5" s="880"/>
      <c r="N5" s="2"/>
      <c r="O5" s="2"/>
      <c r="P5" s="2"/>
      <c r="Q5" s="874" t="s">
        <v>83</v>
      </c>
      <c r="R5" s="874"/>
      <c r="S5" s="874"/>
      <c r="T5" s="874"/>
      <c r="U5" s="874"/>
      <c r="V5" s="874"/>
      <c r="W5" s="874"/>
      <c r="X5" s="46"/>
      <c r="Y5" s="46"/>
      <c r="Z5" s="46"/>
      <c r="AA5" s="46"/>
      <c r="AB5" s="138" t="s">
        <v>81</v>
      </c>
      <c r="AC5" s="138"/>
      <c r="AD5" s="138"/>
      <c r="AE5" s="138"/>
      <c r="AF5" s="138"/>
      <c r="AG5" s="138" t="s">
        <v>82</v>
      </c>
      <c r="AH5" s="138"/>
      <c r="AI5" s="138"/>
      <c r="AJ5" s="43"/>
    </row>
    <row r="6" spans="1:36" s="32" customFormat="1" ht="36" customHeight="1">
      <c r="B6" s="133" t="s">
        <v>9</v>
      </c>
      <c r="C6" s="134" t="s">
        <v>0</v>
      </c>
      <c r="D6" s="135" t="s">
        <v>1</v>
      </c>
      <c r="E6" s="136">
        <v>1</v>
      </c>
      <c r="F6" s="136">
        <v>2</v>
      </c>
      <c r="G6" s="136">
        <v>3</v>
      </c>
      <c r="H6" s="136">
        <v>4</v>
      </c>
      <c r="I6" s="136">
        <v>5</v>
      </c>
      <c r="J6" s="136">
        <v>6</v>
      </c>
      <c r="K6" s="136">
        <v>7</v>
      </c>
      <c r="L6" s="136">
        <v>8</v>
      </c>
      <c r="M6" s="136">
        <v>9</v>
      </c>
      <c r="N6" s="136">
        <v>10</v>
      </c>
      <c r="O6" s="136">
        <v>11</v>
      </c>
      <c r="P6" s="136">
        <v>12</v>
      </c>
      <c r="Q6" s="136">
        <v>13</v>
      </c>
      <c r="R6" s="136">
        <v>14</v>
      </c>
      <c r="S6" s="136">
        <v>15</v>
      </c>
      <c r="T6" s="136">
        <v>16</v>
      </c>
      <c r="U6" s="136">
        <v>17</v>
      </c>
      <c r="V6" s="136">
        <v>18</v>
      </c>
      <c r="W6" s="136">
        <v>19</v>
      </c>
      <c r="X6" s="136">
        <v>20</v>
      </c>
      <c r="Y6" s="136">
        <v>21</v>
      </c>
      <c r="Z6" s="136">
        <v>22</v>
      </c>
      <c r="AA6" s="136">
        <v>23</v>
      </c>
      <c r="AB6" s="136">
        <v>24</v>
      </c>
      <c r="AC6" s="136">
        <v>25</v>
      </c>
      <c r="AD6" s="136">
        <v>26</v>
      </c>
      <c r="AE6" s="136">
        <v>27</v>
      </c>
      <c r="AF6" s="136">
        <v>28</v>
      </c>
      <c r="AG6" s="136">
        <v>29</v>
      </c>
      <c r="AH6" s="136">
        <v>30</v>
      </c>
      <c r="AI6" s="136">
        <v>31</v>
      </c>
      <c r="AJ6" s="137"/>
    </row>
    <row r="7" spans="1:36" ht="40.5" customHeight="1">
      <c r="A7" s="45">
        <v>1</v>
      </c>
      <c r="B7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1))),"")</f>
        <v/>
      </c>
      <c r="C7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О.]]))/(Таблица14[[месяц]:[месяц]]=$J$5)/(Таблица14[[год]:[год]]=$L$5)/(Таблица14[[изд]:[изд]]=$N$1)/(Таблица14[[партия]:[партия]]=$W$1),ROW(B1))),"")</f>
        <v/>
      </c>
      <c r="D7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1))),"")</f>
        <v/>
      </c>
      <c r="E7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1))),"")</f>
        <v/>
      </c>
      <c r="F7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1))),"")</f>
        <v/>
      </c>
      <c r="G7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1))),"")</f>
        <v/>
      </c>
      <c r="H7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1))),"")</f>
        <v/>
      </c>
      <c r="I7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1))),"")</f>
        <v/>
      </c>
      <c r="J7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1))),"")</f>
        <v/>
      </c>
      <c r="K7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1))),"")</f>
        <v/>
      </c>
      <c r="L7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1))),"")</f>
        <v/>
      </c>
      <c r="M7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1))),"")</f>
        <v/>
      </c>
      <c r="N7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1))),"")</f>
        <v/>
      </c>
      <c r="O7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#REF!))),"")</f>
        <v/>
      </c>
      <c r="P7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N1))),"")</f>
        <v/>
      </c>
      <c r="Q7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1))),"")</f>
        <v/>
      </c>
      <c r="R7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1))),"")</f>
        <v/>
      </c>
      <c r="S7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1))),"")</f>
        <v/>
      </c>
      <c r="T7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1))),"")</f>
        <v/>
      </c>
      <c r="U7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1))),"")</f>
        <v/>
      </c>
      <c r="V7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1))),"")</f>
        <v/>
      </c>
      <c r="W7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1))),"")</f>
        <v/>
      </c>
      <c r="X7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1))),"")</f>
        <v/>
      </c>
      <c r="Y7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1))),"")</f>
        <v/>
      </c>
      <c r="Z7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1))),"")</f>
        <v/>
      </c>
      <c r="AA7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1))),"")</f>
        <v/>
      </c>
      <c r="AB7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1))),"")</f>
        <v/>
      </c>
      <c r="AC7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1))),"")</f>
        <v/>
      </c>
      <c r="AD7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1))),"")</f>
        <v/>
      </c>
      <c r="AE7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1))),"")</f>
        <v/>
      </c>
      <c r="AF7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1))),"")</f>
        <v/>
      </c>
      <c r="AG7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1))),"")</f>
        <v/>
      </c>
      <c r="AH7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1))),"")</f>
        <v/>
      </c>
      <c r="AI7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1))),"")</f>
        <v/>
      </c>
      <c r="AJ7" s="139">
        <f t="shared" ref="AJ7:AJ25" si="0">SUM(E7:AI7)</f>
        <v>0</v>
      </c>
    </row>
    <row r="8" spans="1:36" ht="40.5" customHeight="1">
      <c r="A8" s="45">
        <v>2</v>
      </c>
      <c r="B8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2))),"")</f>
        <v/>
      </c>
      <c r="C8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О.]]))/(Таблица14[[месяц]:[месяц]]=$J$5)/(Таблица14[[год]:[год]]=$L$5)/(Таблица14[[изд]:[изд]]=$N$1)/(Таблица14[[партия]:[партия]]=$W$1),ROW(B2))),"")</f>
        <v/>
      </c>
      <c r="D8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2))),"")</f>
        <v/>
      </c>
      <c r="E8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2))),"")</f>
        <v/>
      </c>
      <c r="F8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2))),"")</f>
        <v/>
      </c>
      <c r="G8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2))),"")</f>
        <v/>
      </c>
      <c r="H8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2))),"")</f>
        <v/>
      </c>
      <c r="I8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2))),"")</f>
        <v/>
      </c>
      <c r="J8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2))),"")</f>
        <v/>
      </c>
      <c r="K8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2))),"")</f>
        <v/>
      </c>
      <c r="L8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2))),"")</f>
        <v/>
      </c>
      <c r="M8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2))),"")</f>
        <v/>
      </c>
      <c r="N8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2))),"")</f>
        <v/>
      </c>
      <c r="O8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2))),"")</f>
        <v/>
      </c>
      <c r="P8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2))),"")</f>
        <v/>
      </c>
      <c r="Q8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2))),"")</f>
        <v/>
      </c>
      <c r="R8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2))),"")</f>
        <v/>
      </c>
      <c r="S8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2))),"")</f>
        <v/>
      </c>
      <c r="T8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2))),"")</f>
        <v/>
      </c>
      <c r="U8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2))),"")</f>
        <v/>
      </c>
      <c r="V8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2))),"")</f>
        <v/>
      </c>
      <c r="W8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2))),"")</f>
        <v/>
      </c>
      <c r="X8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2))),"")</f>
        <v/>
      </c>
      <c r="Y8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2))),"")</f>
        <v/>
      </c>
      <c r="Z8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2))),"")</f>
        <v/>
      </c>
      <c r="AA8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2))),"")</f>
        <v/>
      </c>
      <c r="AB8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2))),"")</f>
        <v/>
      </c>
      <c r="AC8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2))),"")</f>
        <v/>
      </c>
      <c r="AD8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2))),"")</f>
        <v/>
      </c>
      <c r="AE8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2))),"")</f>
        <v/>
      </c>
      <c r="AF8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2))),"")</f>
        <v/>
      </c>
      <c r="AG8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2))),"")</f>
        <v/>
      </c>
      <c r="AH8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2))),"")</f>
        <v/>
      </c>
      <c r="AI8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2))),"")</f>
        <v/>
      </c>
      <c r="AJ8" s="140">
        <f t="shared" si="0"/>
        <v>0</v>
      </c>
    </row>
    <row r="9" spans="1:36" ht="40.5" customHeight="1">
      <c r="A9" s="45">
        <v>3</v>
      </c>
      <c r="B9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3))),"")</f>
        <v/>
      </c>
      <c r="C9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О.]]))/(Таблица14[[месяц]:[месяц]]=$J$5)/(Таблица14[[год]:[год]]=$L$5)/(Таблица14[[изд]:[изд]]=$N$1)/(Таблица14[[партия]:[партия]]=$W$1),ROW(B3))),"")</f>
        <v/>
      </c>
      <c r="D9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3))),"")</f>
        <v/>
      </c>
      <c r="E9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3))),"")</f>
        <v/>
      </c>
      <c r="F9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3))),"")</f>
        <v/>
      </c>
      <c r="G9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3))),"")</f>
        <v/>
      </c>
      <c r="H9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3))),"")</f>
        <v/>
      </c>
      <c r="I9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3))),"")</f>
        <v/>
      </c>
      <c r="J9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3))),"")</f>
        <v/>
      </c>
      <c r="K9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3))),"")</f>
        <v/>
      </c>
      <c r="L9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3))),"")</f>
        <v/>
      </c>
      <c r="M9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3))),"")</f>
        <v/>
      </c>
      <c r="N9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3))),"")</f>
        <v/>
      </c>
      <c r="O9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3))),"")</f>
        <v/>
      </c>
      <c r="P9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3))),"")</f>
        <v/>
      </c>
      <c r="Q9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3))),"")</f>
        <v/>
      </c>
      <c r="R9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3))),"")</f>
        <v/>
      </c>
      <c r="S9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3))),"")</f>
        <v/>
      </c>
      <c r="T9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3))),"")</f>
        <v/>
      </c>
      <c r="U9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3))),"")</f>
        <v/>
      </c>
      <c r="V9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3))),"")</f>
        <v/>
      </c>
      <c r="W9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3))),"")</f>
        <v/>
      </c>
      <c r="X9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3))),"")</f>
        <v/>
      </c>
      <c r="Y9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3))),"")</f>
        <v/>
      </c>
      <c r="Z9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3))),"")</f>
        <v/>
      </c>
      <c r="AA9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3))),"")</f>
        <v/>
      </c>
      <c r="AB9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3))),"")</f>
        <v/>
      </c>
      <c r="AC9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3))),"")</f>
        <v/>
      </c>
      <c r="AD9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3))),"")</f>
        <v/>
      </c>
      <c r="AE9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3))),"")</f>
        <v/>
      </c>
      <c r="AF9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3))),"")</f>
        <v/>
      </c>
      <c r="AG9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3))),"")</f>
        <v/>
      </c>
      <c r="AH9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3))),"")</f>
        <v/>
      </c>
      <c r="AI9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3))),"")</f>
        <v/>
      </c>
      <c r="AJ9" s="139">
        <f t="shared" si="0"/>
        <v>0</v>
      </c>
    </row>
    <row r="10" spans="1:36" ht="40.5" customHeight="1">
      <c r="A10" s="45">
        <v>4</v>
      </c>
      <c r="B10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4))),"")</f>
        <v/>
      </c>
      <c r="C10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О.]]))/(Таблица14[[месяц]:[месяц]]=$J$5)/(Таблица14[[год]:[год]]=$L$5)/(Таблица14[[изд]:[изд]]=$N$1)/(Таблица14[[партия]:[партия]]=$W$1),ROW(B4))),"")</f>
        <v/>
      </c>
      <c r="D10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4))),"")</f>
        <v/>
      </c>
      <c r="E10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4))),"")</f>
        <v/>
      </c>
      <c r="F10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4))),"")</f>
        <v/>
      </c>
      <c r="G10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4))),"")</f>
        <v/>
      </c>
      <c r="H10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4))),"")</f>
        <v/>
      </c>
      <c r="I10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4))),"")</f>
        <v/>
      </c>
      <c r="J10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4))),"")</f>
        <v/>
      </c>
      <c r="K10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4))),"")</f>
        <v/>
      </c>
      <c r="L10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4))),"")</f>
        <v/>
      </c>
      <c r="M10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4))),"")</f>
        <v/>
      </c>
      <c r="N10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4))),"")</f>
        <v/>
      </c>
      <c r="O10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4))),"")</f>
        <v/>
      </c>
      <c r="P10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4))),"")</f>
        <v/>
      </c>
      <c r="Q10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4))),"")</f>
        <v/>
      </c>
      <c r="R10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4))),"")</f>
        <v/>
      </c>
      <c r="S10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4))),"")</f>
        <v/>
      </c>
      <c r="T10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4))),"")</f>
        <v/>
      </c>
      <c r="U10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4))),"")</f>
        <v/>
      </c>
      <c r="V10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4))),"")</f>
        <v/>
      </c>
      <c r="W10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4))),"")</f>
        <v/>
      </c>
      <c r="X10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4))),"")</f>
        <v/>
      </c>
      <c r="Y10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4))),"")</f>
        <v/>
      </c>
      <c r="Z10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4))),"")</f>
        <v/>
      </c>
      <c r="AA10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4))),"")</f>
        <v/>
      </c>
      <c r="AB10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4))),"")</f>
        <v/>
      </c>
      <c r="AC10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4))),"")</f>
        <v/>
      </c>
      <c r="AD10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4))),"")</f>
        <v/>
      </c>
      <c r="AE10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4))),"")</f>
        <v/>
      </c>
      <c r="AF10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4))),"")</f>
        <v/>
      </c>
      <c r="AG10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4))),"")</f>
        <v/>
      </c>
      <c r="AH10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4))),"")</f>
        <v/>
      </c>
      <c r="AI10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4))),"")</f>
        <v/>
      </c>
      <c r="AJ10" s="140">
        <f t="shared" si="0"/>
        <v>0</v>
      </c>
    </row>
    <row r="11" spans="1:36" ht="40.5" customHeight="1">
      <c r="A11" s="45">
        <v>5</v>
      </c>
      <c r="B11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5))),"")</f>
        <v/>
      </c>
      <c r="C11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О.]]))/(Таблица14[[месяц]:[месяц]]=$J$5)/(Таблица14[[год]:[год]]=$L$5)/(Таблица14[[изд]:[изд]]=$N$1)/(Таблица14[[партия]:[партия]]=$W$1),ROW(B5))),"")</f>
        <v/>
      </c>
      <c r="D11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5))),"")</f>
        <v/>
      </c>
      <c r="E11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5))),"")</f>
        <v/>
      </c>
      <c r="F11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5))),"")</f>
        <v/>
      </c>
      <c r="G11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5))),"")</f>
        <v/>
      </c>
      <c r="H11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5))),"")</f>
        <v/>
      </c>
      <c r="I11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5))),"")</f>
        <v/>
      </c>
      <c r="J11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5))),"")</f>
        <v/>
      </c>
      <c r="K11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5))),"")</f>
        <v/>
      </c>
      <c r="L11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5))),"")</f>
        <v/>
      </c>
      <c r="M11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5))),"")</f>
        <v/>
      </c>
      <c r="N11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5))),"")</f>
        <v/>
      </c>
      <c r="O11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5))),"")</f>
        <v/>
      </c>
      <c r="P11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5))),"")</f>
        <v/>
      </c>
      <c r="Q11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5))),"")</f>
        <v/>
      </c>
      <c r="R11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5))),"")</f>
        <v/>
      </c>
      <c r="S11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5))),"")</f>
        <v/>
      </c>
      <c r="T11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5))),"")</f>
        <v/>
      </c>
      <c r="U11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5))),"")</f>
        <v/>
      </c>
      <c r="V11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5))),"")</f>
        <v/>
      </c>
      <c r="W11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5))),"")</f>
        <v/>
      </c>
      <c r="X11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5))),"")</f>
        <v/>
      </c>
      <c r="Y11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5))),"")</f>
        <v/>
      </c>
      <c r="Z11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5))),"")</f>
        <v/>
      </c>
      <c r="AA11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5))),"")</f>
        <v/>
      </c>
      <c r="AB11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5))),"")</f>
        <v/>
      </c>
      <c r="AC11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5))),"")</f>
        <v/>
      </c>
      <c r="AD11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5))),"")</f>
        <v/>
      </c>
      <c r="AE11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5))),"")</f>
        <v/>
      </c>
      <c r="AF11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5))),"")</f>
        <v/>
      </c>
      <c r="AG11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5))),"")</f>
        <v/>
      </c>
      <c r="AH11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5))),"")</f>
        <v/>
      </c>
      <c r="AI11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5))),"")</f>
        <v/>
      </c>
      <c r="AJ11" s="139">
        <f t="shared" si="0"/>
        <v>0</v>
      </c>
    </row>
    <row r="12" spans="1:36" ht="40.5" customHeight="1">
      <c r="A12" s="45">
        <v>6</v>
      </c>
      <c r="B12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6))),"")</f>
        <v/>
      </c>
      <c r="C12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О.]]))/(Таблица14[[месяц]:[месяц]]=$J$5)/(Таблица14[[год]:[год]]=$L$5)/(Таблица14[[изд]:[изд]]=$N$1)/(Таблица14[[партия]:[партия]]=$W$1),ROW(B6))),"")</f>
        <v/>
      </c>
      <c r="D12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6))),"")</f>
        <v/>
      </c>
      <c r="E12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6))),"")</f>
        <v/>
      </c>
      <c r="F12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6))),"")</f>
        <v/>
      </c>
      <c r="G12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6))),"")</f>
        <v/>
      </c>
      <c r="H12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6))),"")</f>
        <v/>
      </c>
      <c r="I12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6))),"")</f>
        <v/>
      </c>
      <c r="J12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6))),"")</f>
        <v/>
      </c>
      <c r="K12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6))),"")</f>
        <v/>
      </c>
      <c r="L12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6))),"")</f>
        <v/>
      </c>
      <c r="M12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6))),"")</f>
        <v/>
      </c>
      <c r="N12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6))),"")</f>
        <v/>
      </c>
      <c r="O12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6))),"")</f>
        <v/>
      </c>
      <c r="P12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6))),"")</f>
        <v/>
      </c>
      <c r="Q12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6))),"")</f>
        <v/>
      </c>
      <c r="R12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6))),"")</f>
        <v/>
      </c>
      <c r="S12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6))),"")</f>
        <v/>
      </c>
      <c r="T12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6))),"")</f>
        <v/>
      </c>
      <c r="U12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6))),"")</f>
        <v/>
      </c>
      <c r="V12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6))),"")</f>
        <v/>
      </c>
      <c r="W12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6))),"")</f>
        <v/>
      </c>
      <c r="X12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6))),"")</f>
        <v/>
      </c>
      <c r="Y12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6))),"")</f>
        <v/>
      </c>
      <c r="Z12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6))),"")</f>
        <v/>
      </c>
      <c r="AA12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6))),"")</f>
        <v/>
      </c>
      <c r="AB12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6))),"")</f>
        <v/>
      </c>
      <c r="AC12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6))),"")</f>
        <v/>
      </c>
      <c r="AD12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6))),"")</f>
        <v/>
      </c>
      <c r="AE12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6))),"")</f>
        <v/>
      </c>
      <c r="AF12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6))),"")</f>
        <v/>
      </c>
      <c r="AG12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6))),"")</f>
        <v/>
      </c>
      <c r="AH12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6))),"")</f>
        <v/>
      </c>
      <c r="AI12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6))),"")</f>
        <v/>
      </c>
      <c r="AJ12" s="139">
        <f t="shared" si="0"/>
        <v>0</v>
      </c>
    </row>
    <row r="13" spans="1:36" ht="40.5" customHeight="1">
      <c r="A13" s="45">
        <v>7</v>
      </c>
      <c r="B13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7))),"")</f>
        <v/>
      </c>
      <c r="C13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О.]]))/(Таблица14[[месяц]:[месяц]]=$J$5)/(Таблица14[[год]:[год]]=$L$5)/(Таблица14[[изд]:[изд]]=$N$1)/(Таблица14[[партия]:[партия]]=$W$1),ROW(B7))),"")</f>
        <v/>
      </c>
      <c r="D13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7))),"")</f>
        <v/>
      </c>
      <c r="E13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7))),"")</f>
        <v/>
      </c>
      <c r="F13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7))),"")</f>
        <v/>
      </c>
      <c r="G13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7))),"")</f>
        <v/>
      </c>
      <c r="H13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7))),"")</f>
        <v/>
      </c>
      <c r="I13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7))),"")</f>
        <v/>
      </c>
      <c r="J13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7))),"")</f>
        <v/>
      </c>
      <c r="K13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7))),"")</f>
        <v/>
      </c>
      <c r="L13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7))),"")</f>
        <v/>
      </c>
      <c r="M13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7))),"")</f>
        <v/>
      </c>
      <c r="N13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7))),"")</f>
        <v/>
      </c>
      <c r="O13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7))),"")</f>
        <v/>
      </c>
      <c r="P13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7))),"")</f>
        <v/>
      </c>
      <c r="Q13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7))),"")</f>
        <v/>
      </c>
      <c r="R13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7))),"")</f>
        <v/>
      </c>
      <c r="S13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7))),"")</f>
        <v/>
      </c>
      <c r="T13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7))),"")</f>
        <v/>
      </c>
      <c r="U13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7))),"")</f>
        <v/>
      </c>
      <c r="V13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7))),"")</f>
        <v/>
      </c>
      <c r="W13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7))),"")</f>
        <v/>
      </c>
      <c r="X13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7))),"")</f>
        <v/>
      </c>
      <c r="Y13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7))),"")</f>
        <v/>
      </c>
      <c r="Z13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7))),"")</f>
        <v/>
      </c>
      <c r="AA13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7))),"")</f>
        <v/>
      </c>
      <c r="AB13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7))),"")</f>
        <v/>
      </c>
      <c r="AC13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7))),"")</f>
        <v/>
      </c>
      <c r="AD13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7))),"")</f>
        <v/>
      </c>
      <c r="AE13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7))),"")</f>
        <v/>
      </c>
      <c r="AF13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7))),"")</f>
        <v/>
      </c>
      <c r="AG13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7))),"")</f>
        <v/>
      </c>
      <c r="AH13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7))),"")</f>
        <v/>
      </c>
      <c r="AI13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7))),"")</f>
        <v/>
      </c>
      <c r="AJ13" s="139">
        <f t="shared" si="0"/>
        <v>0</v>
      </c>
    </row>
    <row r="14" spans="1:36" ht="40.5" customHeight="1">
      <c r="A14" s="45">
        <v>8</v>
      </c>
      <c r="B14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8))),"")</f>
        <v/>
      </c>
      <c r="C14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О.]]))/(Таблица14[[месяц]:[месяц]]=$J$5)/(Таблица14[[год]:[год]]=$L$5)/(Таблица14[[изд]:[изд]]=$N$1)/(Таблица14[[партия]:[партия]]=$W$1),ROW(B8))),"")</f>
        <v/>
      </c>
      <c r="D14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8))),"")</f>
        <v/>
      </c>
      <c r="E14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8))),"")</f>
        <v/>
      </c>
      <c r="F14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8))),"")</f>
        <v/>
      </c>
      <c r="G14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8))),"")</f>
        <v/>
      </c>
      <c r="H14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8))),"")</f>
        <v/>
      </c>
      <c r="I14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8))),"")</f>
        <v/>
      </c>
      <c r="J14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8))),"")</f>
        <v/>
      </c>
      <c r="K14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8))),"")</f>
        <v/>
      </c>
      <c r="L14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8))),"")</f>
        <v/>
      </c>
      <c r="M14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8))),"")</f>
        <v/>
      </c>
      <c r="N14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8))),"")</f>
        <v/>
      </c>
      <c r="O14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8))),"")</f>
        <v/>
      </c>
      <c r="P14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8))),"")</f>
        <v/>
      </c>
      <c r="Q14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8))),"")</f>
        <v/>
      </c>
      <c r="R14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8))),"")</f>
        <v/>
      </c>
      <c r="S14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8))),"")</f>
        <v/>
      </c>
      <c r="T14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8))),"")</f>
        <v/>
      </c>
      <c r="U14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8))),"")</f>
        <v/>
      </c>
      <c r="V14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8))),"")</f>
        <v/>
      </c>
      <c r="W14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8))),"")</f>
        <v/>
      </c>
      <c r="X14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8))),"")</f>
        <v/>
      </c>
      <c r="Y14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8))),"")</f>
        <v/>
      </c>
      <c r="Z14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8))),"")</f>
        <v/>
      </c>
      <c r="AA14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8))),"")</f>
        <v/>
      </c>
      <c r="AB14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8))),"")</f>
        <v/>
      </c>
      <c r="AC14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8))),"")</f>
        <v/>
      </c>
      <c r="AD14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8))),"")</f>
        <v/>
      </c>
      <c r="AE14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8))),"")</f>
        <v/>
      </c>
      <c r="AF14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8))),"")</f>
        <v/>
      </c>
      <c r="AG14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8))),"")</f>
        <v/>
      </c>
      <c r="AH14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8))),"")</f>
        <v/>
      </c>
      <c r="AI14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8))),"")</f>
        <v/>
      </c>
      <c r="AJ14" s="140">
        <f t="shared" si="0"/>
        <v>0</v>
      </c>
    </row>
    <row r="15" spans="1:36" ht="40.5" customHeight="1">
      <c r="A15" s="45">
        <v>9</v>
      </c>
      <c r="B15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9))),"")</f>
        <v/>
      </c>
      <c r="C15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О.]]))/(Таблица14[[месяц]:[месяц]]=$J$5)/(Таблица14[[год]:[год]]=$L$5)/(Таблица14[[изд]:[изд]]=$N$1)/(Таблица14[[партия]:[партия]]=$W$1),ROW(B9))),"")</f>
        <v/>
      </c>
      <c r="D15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9))),"")</f>
        <v/>
      </c>
      <c r="E15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9))),"")</f>
        <v/>
      </c>
      <c r="F15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9))),"")</f>
        <v/>
      </c>
      <c r="G15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9))),"")</f>
        <v/>
      </c>
      <c r="H15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9))),"")</f>
        <v/>
      </c>
      <c r="I15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9))),"")</f>
        <v/>
      </c>
      <c r="J15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9))),"")</f>
        <v/>
      </c>
      <c r="K15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9))),"")</f>
        <v/>
      </c>
      <c r="L15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9))),"")</f>
        <v/>
      </c>
      <c r="M15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9))),"")</f>
        <v/>
      </c>
      <c r="N15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9))),"")</f>
        <v/>
      </c>
      <c r="O15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9))),"")</f>
        <v/>
      </c>
      <c r="P15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9))),"")</f>
        <v/>
      </c>
      <c r="Q15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9))),"")</f>
        <v/>
      </c>
      <c r="R15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9))),"")</f>
        <v/>
      </c>
      <c r="S15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9))),"")</f>
        <v/>
      </c>
      <c r="T15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9))),"")</f>
        <v/>
      </c>
      <c r="U15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9))),"")</f>
        <v/>
      </c>
      <c r="V15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9))),"")</f>
        <v/>
      </c>
      <c r="W15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9))),"")</f>
        <v/>
      </c>
      <c r="X15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9))),"")</f>
        <v/>
      </c>
      <c r="Y15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9))),"")</f>
        <v/>
      </c>
      <c r="Z15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9))),"")</f>
        <v/>
      </c>
      <c r="AA15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9))),"")</f>
        <v/>
      </c>
      <c r="AB15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9))),"")</f>
        <v/>
      </c>
      <c r="AC15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9))),"")</f>
        <v/>
      </c>
      <c r="AD15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9))),"")</f>
        <v/>
      </c>
      <c r="AE15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9))),"")</f>
        <v/>
      </c>
      <c r="AF15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9))),"")</f>
        <v/>
      </c>
      <c r="AG15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9))),"")</f>
        <v/>
      </c>
      <c r="AH15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9))),"")</f>
        <v/>
      </c>
      <c r="AI15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9))),"")</f>
        <v/>
      </c>
      <c r="AJ15" s="141">
        <f t="shared" si="0"/>
        <v>0</v>
      </c>
    </row>
    <row r="16" spans="1:36" ht="40.5" customHeight="1">
      <c r="A16" s="45">
        <v>10</v>
      </c>
      <c r="B16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10))),"")</f>
        <v/>
      </c>
      <c r="C16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О.]]))/(Таблица14[[месяц]:[месяц]]=$J$5)/(Таблица14[[год]:[год]]=$L$5)/(Таблица14[[изд]:[изд]]=$N$1)/(Таблица14[[партия]:[партия]]=$W$1),ROW(B10))),"")</f>
        <v/>
      </c>
      <c r="D16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10))),"")</f>
        <v/>
      </c>
      <c r="E16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10))),"")</f>
        <v/>
      </c>
      <c r="F16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10))),"")</f>
        <v/>
      </c>
      <c r="G16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10))),"")</f>
        <v/>
      </c>
      <c r="H16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10))),"")</f>
        <v/>
      </c>
      <c r="I16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10))),"")</f>
        <v/>
      </c>
      <c r="J16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10))),"")</f>
        <v/>
      </c>
      <c r="K16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10))),"")</f>
        <v/>
      </c>
      <c r="L16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10))),"")</f>
        <v/>
      </c>
      <c r="M16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10))),"")</f>
        <v/>
      </c>
      <c r="N16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10))),"")</f>
        <v/>
      </c>
      <c r="O16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10))),"")</f>
        <v/>
      </c>
      <c r="P16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10))),"")</f>
        <v/>
      </c>
      <c r="Q16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10))),"")</f>
        <v/>
      </c>
      <c r="R16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10))),"")</f>
        <v/>
      </c>
      <c r="S16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10))),"")</f>
        <v/>
      </c>
      <c r="T16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10))),"")</f>
        <v/>
      </c>
      <c r="U16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10))),"")</f>
        <v/>
      </c>
      <c r="V16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10))),"")</f>
        <v/>
      </c>
      <c r="W16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10))),"")</f>
        <v/>
      </c>
      <c r="X16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10))),"")</f>
        <v/>
      </c>
      <c r="Y16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10))),"")</f>
        <v/>
      </c>
      <c r="Z16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10))),"")</f>
        <v/>
      </c>
      <c r="AA16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10))),"")</f>
        <v/>
      </c>
      <c r="AB16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10))),"")</f>
        <v/>
      </c>
      <c r="AC16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10))),"")</f>
        <v/>
      </c>
      <c r="AD16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10))),"")</f>
        <v/>
      </c>
      <c r="AE16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10))),"")</f>
        <v/>
      </c>
      <c r="AF16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10))),"")</f>
        <v/>
      </c>
      <c r="AG16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10))),"")</f>
        <v/>
      </c>
      <c r="AH16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10))),"")</f>
        <v/>
      </c>
      <c r="AI16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10))),"")</f>
        <v/>
      </c>
      <c r="AJ16" s="141">
        <f t="shared" si="0"/>
        <v>0</v>
      </c>
    </row>
    <row r="17" spans="1:43" ht="40.5" customHeight="1">
      <c r="A17" s="45">
        <v>11</v>
      </c>
      <c r="B17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11))),"")</f>
        <v/>
      </c>
      <c r="C17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О.]]))/(Таблица14[[месяц]:[месяц]]=$J$5)/(Таблица14[[год]:[год]]=$L$5)/(Таблица14[[изд]:[изд]]=$N$1)/(Таблица14[[партия]:[партия]]=$W$1),ROW(B11))),"")</f>
        <v/>
      </c>
      <c r="D17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11))),"")</f>
        <v/>
      </c>
      <c r="E17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11))),"")</f>
        <v/>
      </c>
      <c r="F17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11))),"")</f>
        <v/>
      </c>
      <c r="G17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11))),"")</f>
        <v/>
      </c>
      <c r="H17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11))),"")</f>
        <v/>
      </c>
      <c r="I17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11))),"")</f>
        <v/>
      </c>
      <c r="J17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11))),"")</f>
        <v/>
      </c>
      <c r="K17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11))),"")</f>
        <v/>
      </c>
      <c r="L17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11))),"")</f>
        <v/>
      </c>
      <c r="M17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11))),"")</f>
        <v/>
      </c>
      <c r="N17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11))),"")</f>
        <v/>
      </c>
      <c r="O17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11))),"")</f>
        <v/>
      </c>
      <c r="P17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11))),"")</f>
        <v/>
      </c>
      <c r="Q17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11))),"")</f>
        <v/>
      </c>
      <c r="R17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11))),"")</f>
        <v/>
      </c>
      <c r="S17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11))),"")</f>
        <v/>
      </c>
      <c r="T17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11))),"")</f>
        <v/>
      </c>
      <c r="U17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11))),"")</f>
        <v/>
      </c>
      <c r="V17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11))),"")</f>
        <v/>
      </c>
      <c r="W17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11))),"")</f>
        <v/>
      </c>
      <c r="X17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11))),"")</f>
        <v/>
      </c>
      <c r="Y17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11))),"")</f>
        <v/>
      </c>
      <c r="Z17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11))),"")</f>
        <v/>
      </c>
      <c r="AA17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11))),"")</f>
        <v/>
      </c>
      <c r="AB17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11))),"")</f>
        <v/>
      </c>
      <c r="AC17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11))),"")</f>
        <v/>
      </c>
      <c r="AD17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11))),"")</f>
        <v/>
      </c>
      <c r="AE17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11))),"")</f>
        <v/>
      </c>
      <c r="AF17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11))),"")</f>
        <v/>
      </c>
      <c r="AG17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11))),"")</f>
        <v/>
      </c>
      <c r="AH17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11))),"")</f>
        <v/>
      </c>
      <c r="AI17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11))),"")</f>
        <v/>
      </c>
      <c r="AJ17" s="139">
        <f t="shared" si="0"/>
        <v>0</v>
      </c>
    </row>
    <row r="18" spans="1:43" ht="40.5" customHeight="1">
      <c r="A18" s="45">
        <v>12</v>
      </c>
      <c r="B18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12))),"")</f>
        <v/>
      </c>
      <c r="C18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О.]]))/(Таблица14[[месяц]:[месяц]]=$J$5)/(Таблица14[[год]:[год]]=$L$5)/(Таблица14[[изд]:[изд]]=$N$1)/(Таблица14[[партия]:[партия]]=$W$1),ROW(B12))),"")</f>
        <v/>
      </c>
      <c r="D18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12))),"")</f>
        <v/>
      </c>
      <c r="E18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12))),"")</f>
        <v/>
      </c>
      <c r="F18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12))),"")</f>
        <v/>
      </c>
      <c r="G18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12))),"")</f>
        <v/>
      </c>
      <c r="H18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12))),"")</f>
        <v/>
      </c>
      <c r="I18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12))),"")</f>
        <v/>
      </c>
      <c r="J18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12))),"")</f>
        <v/>
      </c>
      <c r="K18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12))),"")</f>
        <v/>
      </c>
      <c r="L18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12))),"")</f>
        <v/>
      </c>
      <c r="M18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12))),"")</f>
        <v/>
      </c>
      <c r="N18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12))),"")</f>
        <v/>
      </c>
      <c r="O18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12))),"")</f>
        <v/>
      </c>
      <c r="P18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12))),"")</f>
        <v/>
      </c>
      <c r="Q18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12))),"")</f>
        <v/>
      </c>
      <c r="R18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12))),"")</f>
        <v/>
      </c>
      <c r="S18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12))),"")</f>
        <v/>
      </c>
      <c r="T18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12))),"")</f>
        <v/>
      </c>
      <c r="U18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12))),"")</f>
        <v/>
      </c>
      <c r="V18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12))),"")</f>
        <v/>
      </c>
      <c r="W18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12))),"")</f>
        <v/>
      </c>
      <c r="X18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12))),"")</f>
        <v/>
      </c>
      <c r="Y18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12))),"")</f>
        <v/>
      </c>
      <c r="Z18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12))),"")</f>
        <v/>
      </c>
      <c r="AA18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12))),"")</f>
        <v/>
      </c>
      <c r="AB18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12))),"")</f>
        <v/>
      </c>
      <c r="AC18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12))),"")</f>
        <v/>
      </c>
      <c r="AD18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12))),"")</f>
        <v/>
      </c>
      <c r="AE18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12))),"")</f>
        <v/>
      </c>
      <c r="AF18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12))),"")</f>
        <v/>
      </c>
      <c r="AG18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12))),"")</f>
        <v/>
      </c>
      <c r="AH18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12))),"")</f>
        <v/>
      </c>
      <c r="AI18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12))),"")</f>
        <v/>
      </c>
      <c r="AJ18" s="140">
        <f t="shared" si="0"/>
        <v>0</v>
      </c>
    </row>
    <row r="19" spans="1:43" ht="40.5" customHeight="1">
      <c r="A19" s="45">
        <v>13</v>
      </c>
      <c r="B19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13))),"")</f>
        <v/>
      </c>
      <c r="C19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О.]]))/(Таблица14[[месяц]:[месяц]]=$J$5)/(Таблица14[[год]:[год]]=$L$5)/(Таблица14[[изд]:[изд]]=$N$1)/(Таблица14[[партия]:[партия]]=$W$1),ROW(B13))),"")</f>
        <v/>
      </c>
      <c r="D19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13))),"")</f>
        <v/>
      </c>
      <c r="E19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13))),"")</f>
        <v/>
      </c>
      <c r="F19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13))),"")</f>
        <v/>
      </c>
      <c r="G19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13))),"")</f>
        <v/>
      </c>
      <c r="H19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13))),"")</f>
        <v/>
      </c>
      <c r="I19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13))),"")</f>
        <v/>
      </c>
      <c r="J19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13))),"")</f>
        <v/>
      </c>
      <c r="K19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13))),"")</f>
        <v/>
      </c>
      <c r="L19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13))),"")</f>
        <v/>
      </c>
      <c r="M19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13))),"")</f>
        <v/>
      </c>
      <c r="N19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13))),"")</f>
        <v/>
      </c>
      <c r="O19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13))),"")</f>
        <v/>
      </c>
      <c r="P19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13))),"")</f>
        <v/>
      </c>
      <c r="Q19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13))),"")</f>
        <v/>
      </c>
      <c r="R19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13))),"")</f>
        <v/>
      </c>
      <c r="S19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13))),"")</f>
        <v/>
      </c>
      <c r="T19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13))),"")</f>
        <v/>
      </c>
      <c r="U19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13))),"")</f>
        <v/>
      </c>
      <c r="V19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13))),"")</f>
        <v/>
      </c>
      <c r="W19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13))),"")</f>
        <v/>
      </c>
      <c r="X19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13))),"")</f>
        <v/>
      </c>
      <c r="Y19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13))),"")</f>
        <v/>
      </c>
      <c r="Z19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13))),"")</f>
        <v/>
      </c>
      <c r="AA19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13))),"")</f>
        <v/>
      </c>
      <c r="AB19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13))),"")</f>
        <v/>
      </c>
      <c r="AC19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13))),"")</f>
        <v/>
      </c>
      <c r="AD19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13))),"")</f>
        <v/>
      </c>
      <c r="AE19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13))),"")</f>
        <v/>
      </c>
      <c r="AF19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13))),"")</f>
        <v/>
      </c>
      <c r="AG19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13))),"")</f>
        <v/>
      </c>
      <c r="AH19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13))),"")</f>
        <v/>
      </c>
      <c r="AI19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13))),"")</f>
        <v/>
      </c>
      <c r="AJ19" s="139">
        <f t="shared" si="0"/>
        <v>0</v>
      </c>
    </row>
    <row r="20" spans="1:43" ht="40.5" customHeight="1">
      <c r="A20" s="45">
        <v>14</v>
      </c>
      <c r="B20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14))),"")</f>
        <v/>
      </c>
      <c r="C20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О.]]))/(Таблица14[[месяц]:[месяц]]=$J$5)/(Таблица14[[год]:[год]]=$L$5)/(Таблица14[[изд]:[изд]]=$N$1)/(Таблица14[[партия]:[партия]]=$W$1),ROW(B14))),"")</f>
        <v/>
      </c>
      <c r="D20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14))),"")</f>
        <v/>
      </c>
      <c r="E20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14))),"")</f>
        <v/>
      </c>
      <c r="F20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14))),"")</f>
        <v/>
      </c>
      <c r="G20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14))),"")</f>
        <v/>
      </c>
      <c r="H20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14))),"")</f>
        <v/>
      </c>
      <c r="I20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14))),"")</f>
        <v/>
      </c>
      <c r="J20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14))),"")</f>
        <v/>
      </c>
      <c r="K20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14))),"")</f>
        <v/>
      </c>
      <c r="L20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14))),"")</f>
        <v/>
      </c>
      <c r="M20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14))),"")</f>
        <v/>
      </c>
      <c r="N20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14))),"")</f>
        <v/>
      </c>
      <c r="O20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14))),"")</f>
        <v/>
      </c>
      <c r="P20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14))),"")</f>
        <v/>
      </c>
      <c r="Q20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14))),"")</f>
        <v/>
      </c>
      <c r="R20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14))),"")</f>
        <v/>
      </c>
      <c r="S20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14))),"")</f>
        <v/>
      </c>
      <c r="T20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14))),"")</f>
        <v/>
      </c>
      <c r="U20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14))),"")</f>
        <v/>
      </c>
      <c r="V20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14))),"")</f>
        <v/>
      </c>
      <c r="W20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14))),"")</f>
        <v/>
      </c>
      <c r="X20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14))),"")</f>
        <v/>
      </c>
      <c r="Y20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14))),"")</f>
        <v/>
      </c>
      <c r="Z20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14))),"")</f>
        <v/>
      </c>
      <c r="AA20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14))),"")</f>
        <v/>
      </c>
      <c r="AB20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14))),"")</f>
        <v/>
      </c>
      <c r="AC20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14))),"")</f>
        <v/>
      </c>
      <c r="AD20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14))),"")</f>
        <v/>
      </c>
      <c r="AE20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14))),"")</f>
        <v/>
      </c>
      <c r="AF20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14))),"")</f>
        <v/>
      </c>
      <c r="AG20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14))),"")</f>
        <v/>
      </c>
      <c r="AH20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14))),"")</f>
        <v/>
      </c>
      <c r="AI20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14))),"")</f>
        <v/>
      </c>
      <c r="AJ20" s="140">
        <f t="shared" si="0"/>
        <v>0</v>
      </c>
    </row>
    <row r="21" spans="1:43" ht="40.5" customHeight="1">
      <c r="A21" s="45">
        <v>15</v>
      </c>
      <c r="B21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15))),"")</f>
        <v/>
      </c>
      <c r="C21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О.]]))/(Таблица14[[месяц]:[месяц]]=$J$5)/(Таблица14[[год]:[год]]=$L$5)/(Таблица14[[изд]:[изд]]=$N$1)/(Таблица14[[партия]:[партия]]=$W$1),ROW(B15))),"")</f>
        <v/>
      </c>
      <c r="D21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15))),"")</f>
        <v/>
      </c>
      <c r="E21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15))),"")</f>
        <v/>
      </c>
      <c r="F21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15))),"")</f>
        <v/>
      </c>
      <c r="G21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15))),"")</f>
        <v/>
      </c>
      <c r="H21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15))),"")</f>
        <v/>
      </c>
      <c r="I21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15))),"")</f>
        <v/>
      </c>
      <c r="J21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15))),"")</f>
        <v/>
      </c>
      <c r="K21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15))),"")</f>
        <v/>
      </c>
      <c r="L21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15))),"")</f>
        <v/>
      </c>
      <c r="M21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15))),"")</f>
        <v/>
      </c>
      <c r="N21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15))),"")</f>
        <v/>
      </c>
      <c r="O21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15))),"")</f>
        <v/>
      </c>
      <c r="P21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15))),"")</f>
        <v/>
      </c>
      <c r="Q21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15))),"")</f>
        <v/>
      </c>
      <c r="R21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15))),"")</f>
        <v/>
      </c>
      <c r="S21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15))),"")</f>
        <v/>
      </c>
      <c r="T21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15))),"")</f>
        <v/>
      </c>
      <c r="U21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15))),"")</f>
        <v/>
      </c>
      <c r="V21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15))),"")</f>
        <v/>
      </c>
      <c r="W21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15))),"")</f>
        <v/>
      </c>
      <c r="X21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15))),"")</f>
        <v/>
      </c>
      <c r="Y21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15))),"")</f>
        <v/>
      </c>
      <c r="Z21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15))),"")</f>
        <v/>
      </c>
      <c r="AA21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15))),"")</f>
        <v/>
      </c>
      <c r="AB21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15))),"")</f>
        <v/>
      </c>
      <c r="AC21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15))),"")</f>
        <v/>
      </c>
      <c r="AD21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15))),"")</f>
        <v/>
      </c>
      <c r="AE21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15))),"")</f>
        <v/>
      </c>
      <c r="AF21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15))),"")</f>
        <v/>
      </c>
      <c r="AG21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15))),"")</f>
        <v/>
      </c>
      <c r="AH21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15))),"")</f>
        <v/>
      </c>
      <c r="AI21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15))),"")</f>
        <v/>
      </c>
      <c r="AJ21" s="139">
        <f t="shared" si="0"/>
        <v>0</v>
      </c>
    </row>
    <row r="22" spans="1:43" ht="40.5" customHeight="1">
      <c r="A22" s="45">
        <v>16</v>
      </c>
      <c r="B22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16))),"")</f>
        <v/>
      </c>
      <c r="C22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О.]]))/(Таблица14[[месяц]:[месяц]]=$J$5)/(Таблица14[[год]:[год]]=$L$5)/(Таблица14[[изд]:[изд]]=$N$1)/(Таблица14[[партия]:[партия]]=$W$1),ROW(B16))),"")</f>
        <v/>
      </c>
      <c r="D22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16))),"")</f>
        <v/>
      </c>
      <c r="E22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16))),"")</f>
        <v/>
      </c>
      <c r="F22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16))),"")</f>
        <v/>
      </c>
      <c r="G22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16))),"")</f>
        <v/>
      </c>
      <c r="H22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16))),"")</f>
        <v/>
      </c>
      <c r="I22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16))),"")</f>
        <v/>
      </c>
      <c r="J22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16))),"")</f>
        <v/>
      </c>
      <c r="K22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16))),"")</f>
        <v/>
      </c>
      <c r="L22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16))),"")</f>
        <v/>
      </c>
      <c r="M22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16))),"")</f>
        <v/>
      </c>
      <c r="N22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16))),"")</f>
        <v/>
      </c>
      <c r="O22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16))),"")</f>
        <v/>
      </c>
      <c r="P22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16))),"")</f>
        <v/>
      </c>
      <c r="Q22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16))),"")</f>
        <v/>
      </c>
      <c r="R22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16))),"")</f>
        <v/>
      </c>
      <c r="S22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16))),"")</f>
        <v/>
      </c>
      <c r="T22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16))),"")</f>
        <v/>
      </c>
      <c r="U22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16))),"")</f>
        <v/>
      </c>
      <c r="V22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16))),"")</f>
        <v/>
      </c>
      <c r="W22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16))),"")</f>
        <v/>
      </c>
      <c r="X22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16))),"")</f>
        <v/>
      </c>
      <c r="Y22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16))),"")</f>
        <v/>
      </c>
      <c r="Z22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16))),"")</f>
        <v/>
      </c>
      <c r="AA22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16))),"")</f>
        <v/>
      </c>
      <c r="AB22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16))),"")</f>
        <v/>
      </c>
      <c r="AC22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16))),"")</f>
        <v/>
      </c>
      <c r="AD22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16))),"")</f>
        <v/>
      </c>
      <c r="AE22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16))),"")</f>
        <v/>
      </c>
      <c r="AF22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16))),"")</f>
        <v/>
      </c>
      <c r="AG22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16))),"")</f>
        <v/>
      </c>
      <c r="AH22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16))),"")</f>
        <v/>
      </c>
      <c r="AI22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16))),"")</f>
        <v/>
      </c>
      <c r="AJ22" s="139">
        <f t="shared" si="0"/>
        <v>0</v>
      </c>
    </row>
    <row r="23" spans="1:43" ht="40.5" customHeight="1">
      <c r="A23" s="45">
        <v>17</v>
      </c>
      <c r="B23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17))),"")</f>
        <v/>
      </c>
      <c r="C23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О.]]))/(Таблица14[[месяц]:[месяц]]=$J$5)/(Таблица14[[год]:[год]]=$L$5)/(Таблица14[[изд]:[изд]]=$N$1)/(Таблица14[[партия]:[партия]]=$W$1),ROW(B17))),"")</f>
        <v/>
      </c>
      <c r="D23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17))),"")</f>
        <v/>
      </c>
      <c r="E23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17))),"")</f>
        <v/>
      </c>
      <c r="F23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17))),"")</f>
        <v/>
      </c>
      <c r="G23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17))),"")</f>
        <v/>
      </c>
      <c r="H23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17))),"")</f>
        <v/>
      </c>
      <c r="I23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17))),"")</f>
        <v/>
      </c>
      <c r="J23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17))),"")</f>
        <v/>
      </c>
      <c r="K23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17))),"")</f>
        <v/>
      </c>
      <c r="L23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17))),"")</f>
        <v/>
      </c>
      <c r="M23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17))),"")</f>
        <v/>
      </c>
      <c r="N23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17))),"")</f>
        <v/>
      </c>
      <c r="O23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17))),"")</f>
        <v/>
      </c>
      <c r="P23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17))),"")</f>
        <v/>
      </c>
      <c r="Q23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17))),"")</f>
        <v/>
      </c>
      <c r="R23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17))),"")</f>
        <v/>
      </c>
      <c r="S23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17))),"")</f>
        <v/>
      </c>
      <c r="T23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17))),"")</f>
        <v/>
      </c>
      <c r="U23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17))),"")</f>
        <v/>
      </c>
      <c r="V23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17))),"")</f>
        <v/>
      </c>
      <c r="W23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17))),"")</f>
        <v/>
      </c>
      <c r="X23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17))),"")</f>
        <v/>
      </c>
      <c r="Y23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17))),"")</f>
        <v/>
      </c>
      <c r="Z23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17))),"")</f>
        <v/>
      </c>
      <c r="AA23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17))),"")</f>
        <v/>
      </c>
      <c r="AB23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17))),"")</f>
        <v/>
      </c>
      <c r="AC23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17))),"")</f>
        <v/>
      </c>
      <c r="AD23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17))),"")</f>
        <v/>
      </c>
      <c r="AE23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17))),"")</f>
        <v/>
      </c>
      <c r="AF23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17))),"")</f>
        <v/>
      </c>
      <c r="AG23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17))),"")</f>
        <v/>
      </c>
      <c r="AH23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17))),"")</f>
        <v/>
      </c>
      <c r="AI23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17))),"")</f>
        <v/>
      </c>
      <c r="AJ23" s="139">
        <f t="shared" si="0"/>
        <v>0</v>
      </c>
    </row>
    <row r="24" spans="1:43" ht="40.5" customHeight="1">
      <c r="A24" s="45">
        <v>18</v>
      </c>
      <c r="B24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18))),"")</f>
        <v/>
      </c>
      <c r="C24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О.]]))/(Таблица14[[месяц]:[месяц]]=$J$5)/(Таблица14[[год]:[год]]=$L$5)/(Таблица14[[изд]:[изд]]=$N$1)/(Таблица14[[партия]:[партия]]=$W$1),ROW(B18))),"")</f>
        <v/>
      </c>
      <c r="D24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18))),"")</f>
        <v/>
      </c>
      <c r="E24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18))),"")</f>
        <v/>
      </c>
      <c r="F24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18))),"")</f>
        <v/>
      </c>
      <c r="G24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18))),"")</f>
        <v/>
      </c>
      <c r="H24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18))),"")</f>
        <v/>
      </c>
      <c r="I24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18))),"")</f>
        <v/>
      </c>
      <c r="J24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18))),"")</f>
        <v/>
      </c>
      <c r="K24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18))),"")</f>
        <v/>
      </c>
      <c r="L24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18))),"")</f>
        <v/>
      </c>
      <c r="M24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18))),"")</f>
        <v/>
      </c>
      <c r="N24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18))),"")</f>
        <v/>
      </c>
      <c r="O24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18))),"")</f>
        <v/>
      </c>
      <c r="P24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18))),"")</f>
        <v/>
      </c>
      <c r="Q24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18))),"")</f>
        <v/>
      </c>
      <c r="R24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18))),"")</f>
        <v/>
      </c>
      <c r="S24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18))),"")</f>
        <v/>
      </c>
      <c r="T24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18))),"")</f>
        <v/>
      </c>
      <c r="U24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18))),"")</f>
        <v/>
      </c>
      <c r="V24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18))),"")</f>
        <v/>
      </c>
      <c r="W24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18))),"")</f>
        <v/>
      </c>
      <c r="X24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18))),"")</f>
        <v/>
      </c>
      <c r="Y24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18))),"")</f>
        <v/>
      </c>
      <c r="Z24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18))),"")</f>
        <v/>
      </c>
      <c r="AA24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18))),"")</f>
        <v/>
      </c>
      <c r="AB24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18))),"")</f>
        <v/>
      </c>
      <c r="AC24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18))),"")</f>
        <v/>
      </c>
      <c r="AD24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18))),"")</f>
        <v/>
      </c>
      <c r="AE24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18))),"")</f>
        <v/>
      </c>
      <c r="AF24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18))),"")</f>
        <v/>
      </c>
      <c r="AG24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18))),"")</f>
        <v/>
      </c>
      <c r="AH24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18))),"")</f>
        <v/>
      </c>
      <c r="AI24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18))),"")</f>
        <v/>
      </c>
      <c r="AJ24" s="139">
        <f t="shared" si="0"/>
        <v>0</v>
      </c>
    </row>
    <row r="25" spans="1:43" ht="40.5" customHeight="1">
      <c r="A25" s="45">
        <v>19</v>
      </c>
      <c r="B25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19))),"")</f>
        <v/>
      </c>
      <c r="C25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О.]]))/(Таблица14[[месяц]:[месяц]]=$J$5)/(Таблица14[[год]:[год]]=$L$5)/(Таблица14[[изд]:[изд]]=$N$1)/(Таблица14[[партия]:[партия]]=$W$1),ROW(B19))),"")</f>
        <v/>
      </c>
      <c r="D25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19))),"")</f>
        <v/>
      </c>
      <c r="E25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19))),"")</f>
        <v/>
      </c>
      <c r="F25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19))),"")</f>
        <v/>
      </c>
      <c r="G25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19))),"")</f>
        <v/>
      </c>
      <c r="H25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19))),"")</f>
        <v/>
      </c>
      <c r="I25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19))),"")</f>
        <v/>
      </c>
      <c r="J25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19))),"")</f>
        <v/>
      </c>
      <c r="K25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19))),"")</f>
        <v/>
      </c>
      <c r="L25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19))),"")</f>
        <v/>
      </c>
      <c r="M25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19))),"")</f>
        <v/>
      </c>
      <c r="N25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19))),"")</f>
        <v/>
      </c>
      <c r="O25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19))),"")</f>
        <v/>
      </c>
      <c r="P25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19))),"")</f>
        <v/>
      </c>
      <c r="Q25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19))),"")</f>
        <v/>
      </c>
      <c r="R25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19))),"")</f>
        <v/>
      </c>
      <c r="S25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19))),"")</f>
        <v/>
      </c>
      <c r="T25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19))),"")</f>
        <v/>
      </c>
      <c r="U25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19))),"")</f>
        <v/>
      </c>
      <c r="V25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19))),"")</f>
        <v/>
      </c>
      <c r="W25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19))),"")</f>
        <v/>
      </c>
      <c r="X25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19))),"")</f>
        <v/>
      </c>
      <c r="Y25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19))),"")</f>
        <v/>
      </c>
      <c r="Z25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19))),"")</f>
        <v/>
      </c>
      <c r="AA25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19))),"")</f>
        <v/>
      </c>
      <c r="AB25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19))),"")</f>
        <v/>
      </c>
      <c r="AC25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19))),"")</f>
        <v/>
      </c>
      <c r="AD25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19))),"")</f>
        <v/>
      </c>
      <c r="AE25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19))),"")</f>
        <v/>
      </c>
      <c r="AF25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19))),"")</f>
        <v/>
      </c>
      <c r="AG25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19))),"")</f>
        <v/>
      </c>
      <c r="AH25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19))),"")</f>
        <v/>
      </c>
      <c r="AI25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19))),"")</f>
        <v/>
      </c>
      <c r="AJ25" s="139">
        <f t="shared" si="0"/>
        <v>0</v>
      </c>
    </row>
    <row r="26" spans="1:43" ht="40.5" hidden="1" customHeight="1">
      <c r="A26" s="45">
        <v>20</v>
      </c>
      <c r="B26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20))),"")</f>
        <v/>
      </c>
      <c r="C26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О.]]))/(Таблица14[[месяц]:[месяц]]=$J$5)/(Таблица14[[год]:[год]]=$L$5)/(Таблица14[[изд]:[изд]]=$N$1)/(Таблица14[[партия]:[партия]]=$W$1),ROW(B20))),"")</f>
        <v/>
      </c>
      <c r="D26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20))),"")</f>
        <v/>
      </c>
      <c r="E26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20))),"")</f>
        <v/>
      </c>
      <c r="F26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20))),"")</f>
        <v/>
      </c>
      <c r="G26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20))),"")</f>
        <v/>
      </c>
      <c r="H26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20))),"")</f>
        <v/>
      </c>
      <c r="I26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20))),"")</f>
        <v/>
      </c>
      <c r="J26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20))),"")</f>
        <v/>
      </c>
      <c r="K26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20))),"")</f>
        <v/>
      </c>
      <c r="L26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20))),"")</f>
        <v/>
      </c>
      <c r="M26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20))),"")</f>
        <v/>
      </c>
      <c r="N26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20))),"")</f>
        <v/>
      </c>
      <c r="O26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20))),"")</f>
        <v/>
      </c>
      <c r="P26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20))),"")</f>
        <v/>
      </c>
      <c r="Q26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20))),"")</f>
        <v/>
      </c>
      <c r="R26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20))),"")</f>
        <v/>
      </c>
      <c r="S26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20))),"")</f>
        <v/>
      </c>
      <c r="T26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20))),"")</f>
        <v/>
      </c>
      <c r="U26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20))),"")</f>
        <v/>
      </c>
      <c r="V26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20))),"")</f>
        <v/>
      </c>
      <c r="W26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20))),"")</f>
        <v/>
      </c>
      <c r="X26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20))),"")</f>
        <v/>
      </c>
      <c r="Y26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20))),"")</f>
        <v/>
      </c>
      <c r="Z26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20))),"")</f>
        <v/>
      </c>
      <c r="AA26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20))),"")</f>
        <v/>
      </c>
      <c r="AB26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20))),"")</f>
        <v/>
      </c>
      <c r="AC26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20))),"")</f>
        <v/>
      </c>
      <c r="AD26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20))),"")</f>
        <v/>
      </c>
      <c r="AE26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20))),"")</f>
        <v/>
      </c>
      <c r="AF26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20))),"")</f>
        <v/>
      </c>
      <c r="AG26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20))),"")</f>
        <v/>
      </c>
      <c r="AH26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20))),"")</f>
        <v/>
      </c>
      <c r="AI26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20))),"")</f>
        <v/>
      </c>
      <c r="AJ26" s="139">
        <f t="shared" ref="AJ26" si="1">SUM(E26:AI26)</f>
        <v>0</v>
      </c>
    </row>
    <row r="27" spans="1:43" ht="21" customHeight="1">
      <c r="B27" s="36"/>
      <c r="C27" s="33" t="s">
        <v>63</v>
      </c>
      <c r="D27" s="36"/>
      <c r="E27" s="34">
        <f>SUM(E7:E24)</f>
        <v>0</v>
      </c>
      <c r="F27" s="34">
        <f>SUM(F7:F25)</f>
        <v>0</v>
      </c>
      <c r="G27" s="34">
        <f t="shared" ref="G27:AF27" si="2">SUM(G7:G25)</f>
        <v>0</v>
      </c>
      <c r="H27" s="34">
        <f t="shared" si="2"/>
        <v>0</v>
      </c>
      <c r="I27" s="34">
        <f t="shared" si="2"/>
        <v>0</v>
      </c>
      <c r="J27" s="34">
        <f t="shared" si="2"/>
        <v>0</v>
      </c>
      <c r="K27" s="34">
        <f t="shared" si="2"/>
        <v>0</v>
      </c>
      <c r="L27" s="34">
        <f t="shared" si="2"/>
        <v>0</v>
      </c>
      <c r="M27" s="34">
        <f t="shared" si="2"/>
        <v>0</v>
      </c>
      <c r="N27" s="34">
        <f t="shared" si="2"/>
        <v>0</v>
      </c>
      <c r="O27" s="34">
        <f t="shared" si="2"/>
        <v>0</v>
      </c>
      <c r="P27" s="34">
        <f t="shared" si="2"/>
        <v>0</v>
      </c>
      <c r="Q27" s="34">
        <f t="shared" si="2"/>
        <v>0</v>
      </c>
      <c r="R27" s="34">
        <f t="shared" si="2"/>
        <v>0</v>
      </c>
      <c r="S27" s="34">
        <f t="shared" si="2"/>
        <v>0</v>
      </c>
      <c r="T27" s="34">
        <f t="shared" si="2"/>
        <v>0</v>
      </c>
      <c r="U27" s="34">
        <f t="shared" si="2"/>
        <v>0</v>
      </c>
      <c r="V27" s="34">
        <f t="shared" si="2"/>
        <v>0</v>
      </c>
      <c r="W27" s="34">
        <f t="shared" si="2"/>
        <v>0</v>
      </c>
      <c r="X27" s="34">
        <f t="shared" si="2"/>
        <v>0</v>
      </c>
      <c r="Y27" s="34">
        <f t="shared" si="2"/>
        <v>0</v>
      </c>
      <c r="Z27" s="34">
        <f t="shared" si="2"/>
        <v>0</v>
      </c>
      <c r="AA27" s="34">
        <f t="shared" si="2"/>
        <v>0</v>
      </c>
      <c r="AB27" s="34">
        <f t="shared" si="2"/>
        <v>0</v>
      </c>
      <c r="AC27" s="34">
        <f t="shared" si="2"/>
        <v>0</v>
      </c>
      <c r="AD27" s="34">
        <f t="shared" si="2"/>
        <v>0</v>
      </c>
      <c r="AE27" s="34">
        <f t="shared" si="2"/>
        <v>0</v>
      </c>
      <c r="AF27" s="34">
        <f t="shared" si="2"/>
        <v>0</v>
      </c>
      <c r="AG27" s="34">
        <f t="shared" ref="AG27:AI27" si="3">SUM(AG7:AG24)</f>
        <v>0</v>
      </c>
      <c r="AH27" s="34">
        <f t="shared" si="3"/>
        <v>0</v>
      </c>
      <c r="AI27" s="34">
        <f t="shared" si="3"/>
        <v>0</v>
      </c>
      <c r="AJ27" s="145">
        <f>SUM(E27:AI27)</f>
        <v>0</v>
      </c>
      <c r="AL27" s="873" t="s">
        <v>94</v>
      </c>
      <c r="AM27" s="873"/>
      <c r="AN27" s="873"/>
      <c r="AO27" s="873"/>
      <c r="AP27" s="873"/>
      <c r="AQ27" s="873"/>
    </row>
    <row r="28" spans="1:43" ht="9" customHeight="1">
      <c r="AJ28" s="35"/>
      <c r="AM28" s="872">
        <f>SUMIFS(Таблица14[Столбец2],Таблица14[партия],W1,Таблица14[изд],N1)</f>
        <v>0</v>
      </c>
      <c r="AN28" s="872"/>
      <c r="AO28" s="872"/>
      <c r="AP28" s="872"/>
    </row>
    <row r="29" spans="1:43" s="62" customFormat="1" ht="21" customHeight="1">
      <c r="C29" s="258" t="s">
        <v>64</v>
      </c>
      <c r="D29" s="259"/>
      <c r="E29" s="259"/>
      <c r="F29" s="259"/>
      <c r="G29" s="260" t="str">
        <f>Data_Tech!$AU$7</f>
        <v>Кувшинов А.Г.</v>
      </c>
      <c r="H29" s="260"/>
      <c r="R29" s="260" t="s">
        <v>246</v>
      </c>
      <c r="S29" s="260"/>
      <c r="T29" s="260"/>
      <c r="U29" s="260"/>
      <c r="V29" s="259"/>
      <c r="W29" s="259"/>
      <c r="X29" s="259"/>
      <c r="Y29" s="259"/>
      <c r="Z29" s="259"/>
      <c r="AA29" s="260" t="s">
        <v>108</v>
      </c>
      <c r="AB29" s="260"/>
      <c r="AM29" s="872"/>
      <c r="AN29" s="872"/>
      <c r="AO29" s="872"/>
      <c r="AP29" s="872"/>
    </row>
    <row r="30" spans="1:43">
      <c r="AA30" s="234"/>
      <c r="AM30" s="872"/>
      <c r="AN30" s="872"/>
      <c r="AO30" s="872"/>
      <c r="AP30" s="872"/>
    </row>
    <row r="31" spans="1:43" ht="20.25" customHeight="1">
      <c r="B31" s="62"/>
      <c r="C31" s="63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M31" s="872"/>
      <c r="AN31" s="872"/>
      <c r="AO31" s="872"/>
      <c r="AP31" s="872"/>
    </row>
    <row r="32" spans="1:43" ht="18.75">
      <c r="AJ32" s="64"/>
    </row>
    <row r="33" spans="3:42" ht="18">
      <c r="C33" s="52"/>
      <c r="D33" s="53"/>
    </row>
    <row r="34" spans="3:42" ht="23.25">
      <c r="C34" s="52"/>
      <c r="D34" s="53"/>
      <c r="AM34" s="62"/>
      <c r="AN34" s="62"/>
      <c r="AO34" s="62"/>
      <c r="AP34" s="62"/>
    </row>
  </sheetData>
  <mergeCells count="12">
    <mergeCell ref="AM28:AP31"/>
    <mergeCell ref="AL27:AQ27"/>
    <mergeCell ref="Q5:W5"/>
    <mergeCell ref="B1:I5"/>
    <mergeCell ref="U1:V1"/>
    <mergeCell ref="W1:Y1"/>
    <mergeCell ref="AD2:AE2"/>
    <mergeCell ref="AD3:AE3"/>
    <mergeCell ref="AD4:AE4"/>
    <mergeCell ref="J5:K5"/>
    <mergeCell ref="L5:M5"/>
    <mergeCell ref="N1:T1"/>
  </mergeCells>
  <pageMargins left="3.937007874015748E-2" right="3.937007874015748E-2" top="0.55118110236220474" bottom="0.35433070866141736" header="0" footer="0"/>
  <pageSetup paperSize="9" scale="56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Q33"/>
  <sheetViews>
    <sheetView view="pageBreakPreview" topLeftCell="C1" zoomScale="60" zoomScaleNormal="60" workbookViewId="0">
      <selection activeCell="W2" sqref="W2"/>
    </sheetView>
  </sheetViews>
  <sheetFormatPr defaultRowHeight="15"/>
  <cols>
    <col min="1" max="1" customWidth="true" style="45" width="5.28515625"/>
    <col min="2" max="2" customWidth="true" style="45" width="7.5703125"/>
    <col min="3" max="3" customWidth="true" style="50" width="46.28515625"/>
    <col min="4" max="4" style="45" width="9.140625"/>
    <col min="5" max="14" customWidth="true" style="45" width="6.0"/>
    <col min="15" max="15" customWidth="true" style="45" width="6.140625"/>
    <col min="16" max="35" customWidth="true" style="45" width="6.0"/>
    <col min="36" max="16384" style="45" width="9.140625"/>
  </cols>
  <sheetData>
    <row r="1" spans="1:36" s="32" customFormat="1" ht="29.25" customHeight="1">
      <c r="B1" s="875" t="s">
        <v>75</v>
      </c>
      <c r="C1" s="875"/>
      <c r="D1" s="875"/>
      <c r="E1" s="875"/>
      <c r="F1" s="875"/>
      <c r="G1" s="875"/>
      <c r="H1" s="875"/>
      <c r="I1" s="875"/>
      <c r="J1" s="147" t="s">
        <v>68</v>
      </c>
      <c r="K1" s="147"/>
      <c r="L1" s="147"/>
      <c r="M1" s="147"/>
      <c r="N1" s="882">
        <v>6001</v>
      </c>
      <c r="O1" s="882"/>
      <c r="P1" s="882"/>
      <c r="Q1" s="882"/>
      <c r="R1" s="882"/>
      <c r="S1" s="882"/>
      <c r="T1" s="882"/>
      <c r="U1" s="876" t="s">
        <v>10</v>
      </c>
      <c r="V1" s="876"/>
      <c r="W1" s="883" t="s">
        <v>308</v>
      </c>
      <c r="X1" s="883"/>
      <c r="Y1" s="883"/>
      <c r="Z1" s="46"/>
      <c r="AA1" s="43"/>
      <c r="AB1" s="65"/>
      <c r="AC1" s="65"/>
      <c r="AD1" s="65"/>
      <c r="AH1" s="46"/>
      <c r="AI1" s="46"/>
      <c r="AJ1" s="43"/>
    </row>
    <row r="2" spans="1:36" s="32" customFormat="1" ht="16.5" customHeight="1">
      <c r="B2" s="875"/>
      <c r="C2" s="875"/>
      <c r="D2" s="875"/>
      <c r="E2" s="875"/>
      <c r="F2" s="875"/>
      <c r="G2" s="875"/>
      <c r="H2" s="875"/>
      <c r="I2" s="875"/>
      <c r="J2" s="42"/>
      <c r="K2" s="142"/>
      <c r="L2" s="142"/>
      <c r="M2" s="142"/>
      <c r="N2" s="142"/>
      <c r="O2" s="143"/>
      <c r="P2" s="143"/>
      <c r="Q2" s="143"/>
      <c r="R2" s="4"/>
      <c r="S2" s="46"/>
      <c r="T2" s="44"/>
      <c r="U2" s="107"/>
      <c r="V2" s="107"/>
      <c r="W2" s="122"/>
      <c r="X2" s="122"/>
      <c r="Y2" s="122"/>
      <c r="Z2" s="46"/>
      <c r="AA2" s="46"/>
      <c r="AB2" s="138" t="s">
        <v>10</v>
      </c>
      <c r="AC2" s="138"/>
      <c r="AD2" s="878"/>
      <c r="AE2" s="878"/>
      <c r="AF2" s="138"/>
      <c r="AG2" s="138" t="s">
        <v>76</v>
      </c>
      <c r="AH2" s="138"/>
      <c r="AI2" s="138"/>
      <c r="AJ2" s="43"/>
    </row>
    <row r="3" spans="1:36" s="32" customFormat="1" ht="16.5" customHeight="1">
      <c r="B3" s="875"/>
      <c r="C3" s="875"/>
      <c r="D3" s="875"/>
      <c r="E3" s="875"/>
      <c r="F3" s="875"/>
      <c r="G3" s="875"/>
      <c r="H3" s="875"/>
      <c r="I3" s="875"/>
      <c r="J3" s="42"/>
      <c r="K3" s="123" t="s">
        <v>77</v>
      </c>
      <c r="L3" s="142"/>
      <c r="M3" s="142"/>
      <c r="N3" s="124"/>
      <c r="O3" s="125"/>
      <c r="P3" s="126" t="e">
        <f>INDEX(база!$AL:$AL, MATCH(N1,база!$AK:$AK,0))</f>
        <v>#N/A</v>
      </c>
      <c r="Q3" s="125"/>
      <c r="R3" s="127"/>
      <c r="S3" s="127"/>
      <c r="T3" s="128"/>
      <c r="U3" s="107"/>
      <c r="V3" s="107"/>
      <c r="W3" s="108"/>
      <c r="X3" s="108"/>
      <c r="Y3" s="108"/>
      <c r="Z3" s="46"/>
      <c r="AA3" s="46"/>
      <c r="AB3" s="138" t="s">
        <v>78</v>
      </c>
      <c r="AC3" s="138"/>
      <c r="AD3" s="878"/>
      <c r="AE3" s="878"/>
      <c r="AF3" s="138"/>
      <c r="AG3" s="161" t="s">
        <v>85</v>
      </c>
      <c r="AH3" s="138"/>
      <c r="AI3" s="138"/>
      <c r="AJ3" s="43"/>
    </row>
    <row r="4" spans="1:36" s="32" customFormat="1" ht="16.5" customHeight="1">
      <c r="B4" s="875"/>
      <c r="C4" s="875"/>
      <c r="D4" s="875"/>
      <c r="E4" s="875"/>
      <c r="F4" s="875"/>
      <c r="G4" s="875"/>
      <c r="H4" s="875"/>
      <c r="I4" s="875"/>
      <c r="J4" s="42"/>
      <c r="K4" s="142"/>
      <c r="L4" s="142"/>
      <c r="M4" s="142"/>
      <c r="N4" s="142"/>
      <c r="O4" s="129"/>
      <c r="P4" s="129"/>
      <c r="Q4" s="129"/>
      <c r="R4" s="46"/>
      <c r="S4" s="46"/>
      <c r="T4" s="44"/>
      <c r="U4" s="107"/>
      <c r="V4" s="107"/>
      <c r="W4" s="108"/>
      <c r="X4" s="108"/>
      <c r="Y4" s="108"/>
      <c r="Z4" s="46"/>
      <c r="AA4" s="46"/>
      <c r="AB4" s="138" t="s">
        <v>79</v>
      </c>
      <c r="AC4" s="138"/>
      <c r="AD4" s="878"/>
      <c r="AE4" s="878"/>
      <c r="AF4" s="138"/>
      <c r="AG4" s="138" t="s">
        <v>80</v>
      </c>
      <c r="AH4" s="138"/>
      <c r="AI4" s="138"/>
      <c r="AJ4" s="43"/>
    </row>
    <row r="5" spans="1:36" s="32" customFormat="1" ht="21.75" customHeight="1">
      <c r="B5" s="875"/>
      <c r="C5" s="875"/>
      <c r="D5" s="875"/>
      <c r="E5" s="875"/>
      <c r="F5" s="875"/>
      <c r="G5" s="875"/>
      <c r="H5" s="875"/>
      <c r="I5" s="875"/>
      <c r="J5" s="879" t="str">
        <f>Data_Tech!A3</f>
        <v>декабрь</v>
      </c>
      <c r="K5" s="879"/>
      <c r="L5" s="880">
        <v>2023</v>
      </c>
      <c r="M5" s="880"/>
      <c r="N5" s="2"/>
      <c r="O5" s="2"/>
      <c r="P5" s="2"/>
      <c r="Q5" s="874" t="s">
        <v>83</v>
      </c>
      <c r="R5" s="874"/>
      <c r="S5" s="874"/>
      <c r="T5" s="874"/>
      <c r="U5" s="874"/>
      <c r="V5" s="874"/>
      <c r="W5" s="874"/>
      <c r="X5" s="46"/>
      <c r="Y5" s="46"/>
      <c r="Z5" s="46"/>
      <c r="AA5" s="46"/>
      <c r="AB5" s="138" t="s">
        <v>81</v>
      </c>
      <c r="AC5" s="138"/>
      <c r="AD5" s="138"/>
      <c r="AE5" s="138"/>
      <c r="AF5" s="138"/>
      <c r="AG5" s="138" t="s">
        <v>82</v>
      </c>
      <c r="AH5" s="138"/>
      <c r="AI5" s="138"/>
      <c r="AJ5" s="43"/>
    </row>
    <row r="6" spans="1:36" s="32" customFormat="1" ht="27" customHeight="1">
      <c r="B6" s="133" t="s">
        <v>9</v>
      </c>
      <c r="C6" s="134" t="s">
        <v>0</v>
      </c>
      <c r="D6" s="135" t="s">
        <v>1</v>
      </c>
      <c r="E6" s="136">
        <v>1</v>
      </c>
      <c r="F6" s="136">
        <v>2</v>
      </c>
      <c r="G6" s="136">
        <v>3</v>
      </c>
      <c r="H6" s="136">
        <v>4</v>
      </c>
      <c r="I6" s="136">
        <v>5</v>
      </c>
      <c r="J6" s="136">
        <v>6</v>
      </c>
      <c r="K6" s="136">
        <v>7</v>
      </c>
      <c r="L6" s="136">
        <v>8</v>
      </c>
      <c r="M6" s="136">
        <v>9</v>
      </c>
      <c r="N6" s="136">
        <v>10</v>
      </c>
      <c r="O6" s="136">
        <v>11</v>
      </c>
      <c r="P6" s="136">
        <v>12</v>
      </c>
      <c r="Q6" s="136">
        <v>13</v>
      </c>
      <c r="R6" s="136">
        <v>14</v>
      </c>
      <c r="S6" s="136">
        <v>15</v>
      </c>
      <c r="T6" s="136">
        <v>16</v>
      </c>
      <c r="U6" s="136">
        <v>17</v>
      </c>
      <c r="V6" s="136">
        <v>18</v>
      </c>
      <c r="W6" s="136">
        <v>19</v>
      </c>
      <c r="X6" s="136">
        <v>20</v>
      </c>
      <c r="Y6" s="136">
        <v>21</v>
      </c>
      <c r="Z6" s="136">
        <v>22</v>
      </c>
      <c r="AA6" s="136">
        <v>23</v>
      </c>
      <c r="AB6" s="136">
        <v>24</v>
      </c>
      <c r="AC6" s="136">
        <v>25</v>
      </c>
      <c r="AD6" s="136">
        <v>26</v>
      </c>
      <c r="AE6" s="136">
        <v>27</v>
      </c>
      <c r="AF6" s="136">
        <v>28</v>
      </c>
      <c r="AG6" s="136">
        <v>29</v>
      </c>
      <c r="AH6" s="136">
        <v>30</v>
      </c>
      <c r="AI6" s="136">
        <v>31</v>
      </c>
      <c r="AJ6" s="137"/>
    </row>
    <row r="7" spans="1:36" ht="40.5" customHeight="1">
      <c r="A7" s="45">
        <v>1</v>
      </c>
      <c r="B7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1))),"")</f>
        <v/>
      </c>
      <c r="C7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О.]]))/(Таблица14[[месяц]:[месяц]]=$J$5)/(Таблица14[[год]:[год]]=$L$5)/(Таблица14[[изд]:[изд]]=$N$1)/(Таблица14[[партия]:[партия]]=$W$1),ROW(B1))),"")</f>
        <v/>
      </c>
      <c r="D7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1))),"")</f>
        <v/>
      </c>
      <c r="E7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1))),"")</f>
        <v/>
      </c>
      <c r="F7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1))),"")</f>
        <v/>
      </c>
      <c r="G7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1))),"")</f>
        <v/>
      </c>
      <c r="H7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1))),"")</f>
        <v/>
      </c>
      <c r="I7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1))),"")</f>
        <v/>
      </c>
      <c r="J7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1))),"")</f>
        <v/>
      </c>
      <c r="K7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1))),"")</f>
        <v/>
      </c>
      <c r="L7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1))),"")</f>
        <v/>
      </c>
      <c r="M7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1))),"")</f>
        <v/>
      </c>
      <c r="N7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1))),"")</f>
        <v/>
      </c>
      <c r="O7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#REF!))),"")</f>
        <v/>
      </c>
      <c r="P7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N1))),"")</f>
        <v/>
      </c>
      <c r="Q7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1))),"")</f>
        <v/>
      </c>
      <c r="R7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1))),"")</f>
        <v/>
      </c>
      <c r="S7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1))),"")</f>
        <v/>
      </c>
      <c r="T7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1))),"")</f>
        <v/>
      </c>
      <c r="U7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1))),"")</f>
        <v/>
      </c>
      <c r="V7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1))),"")</f>
        <v/>
      </c>
      <c r="W7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1))),"")</f>
        <v/>
      </c>
      <c r="X7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1))),"")</f>
        <v/>
      </c>
      <c r="Y7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1))),"")</f>
        <v/>
      </c>
      <c r="Z7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1))),"")</f>
        <v/>
      </c>
      <c r="AA7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1))),"")</f>
        <v/>
      </c>
      <c r="AB7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1))),"")</f>
        <v/>
      </c>
      <c r="AC7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1))),"")</f>
        <v/>
      </c>
      <c r="AD7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1))),"")</f>
        <v/>
      </c>
      <c r="AE7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1))),"")</f>
        <v/>
      </c>
      <c r="AF7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1))),"")</f>
        <v/>
      </c>
      <c r="AG7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1))),"")</f>
        <v/>
      </c>
      <c r="AH7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1))),"")</f>
        <v/>
      </c>
      <c r="AI7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1))),"")</f>
        <v/>
      </c>
      <c r="AJ7" s="139">
        <f t="shared" ref="AJ7:AJ25" si="0">SUM(E7:AI7)</f>
        <v>0</v>
      </c>
    </row>
    <row r="8" spans="1:36" ht="40.5" customHeight="1">
      <c r="A8" s="45">
        <v>2</v>
      </c>
      <c r="B8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2))),"")</f>
        <v/>
      </c>
      <c r="C8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О.]]))/(Таблица14[[месяц]:[месяц]]=$J$5)/(Таблица14[[год]:[год]]=$L$5)/(Таблица14[[изд]:[изд]]=$N$1)/(Таблица14[[партия]:[партия]]=$W$1),ROW(B2))),"")</f>
        <v/>
      </c>
      <c r="D8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2))),"")</f>
        <v/>
      </c>
      <c r="E8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2))),"")</f>
        <v/>
      </c>
      <c r="F8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2))),"")</f>
        <v/>
      </c>
      <c r="G8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2))),"")</f>
        <v/>
      </c>
      <c r="H8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2))),"")</f>
        <v/>
      </c>
      <c r="I8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2))),"")</f>
        <v/>
      </c>
      <c r="J8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2))),"")</f>
        <v/>
      </c>
      <c r="K8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2))),"")</f>
        <v/>
      </c>
      <c r="L8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2))),"")</f>
        <v/>
      </c>
      <c r="M8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2))),"")</f>
        <v/>
      </c>
      <c r="N8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2))),"")</f>
        <v/>
      </c>
      <c r="O8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2))),"")</f>
        <v/>
      </c>
      <c r="P8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2))),"")</f>
        <v/>
      </c>
      <c r="Q8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2))),"")</f>
        <v/>
      </c>
      <c r="R8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2))),"")</f>
        <v/>
      </c>
      <c r="S8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2))),"")</f>
        <v/>
      </c>
      <c r="T8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2))),"")</f>
        <v/>
      </c>
      <c r="U8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2))),"")</f>
        <v/>
      </c>
      <c r="V8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2))),"")</f>
        <v/>
      </c>
      <c r="W8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2))),"")</f>
        <v/>
      </c>
      <c r="X8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2))),"")</f>
        <v/>
      </c>
      <c r="Y8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2))),"")</f>
        <v/>
      </c>
      <c r="Z8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2))),"")</f>
        <v/>
      </c>
      <c r="AA8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2))),"")</f>
        <v/>
      </c>
      <c r="AB8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2))),"")</f>
        <v/>
      </c>
      <c r="AC8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2))),"")</f>
        <v/>
      </c>
      <c r="AD8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2))),"")</f>
        <v/>
      </c>
      <c r="AE8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2))),"")</f>
        <v/>
      </c>
      <c r="AF8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2))),"")</f>
        <v/>
      </c>
      <c r="AG8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2))),"")</f>
        <v/>
      </c>
      <c r="AH8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2))),"")</f>
        <v/>
      </c>
      <c r="AI8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2))),"")</f>
        <v/>
      </c>
      <c r="AJ8" s="140">
        <f t="shared" si="0"/>
        <v>0</v>
      </c>
    </row>
    <row r="9" spans="1:36" ht="40.5" customHeight="1">
      <c r="A9" s="45">
        <v>3</v>
      </c>
      <c r="B9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3))),"")</f>
        <v/>
      </c>
      <c r="C9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О.]]))/(Таблица14[[месяц]:[месяц]]=$J$5)/(Таблица14[[год]:[год]]=$L$5)/(Таблица14[[изд]:[изд]]=$N$1)/(Таблица14[[партия]:[партия]]=$W$1),ROW(B3))),"")</f>
        <v/>
      </c>
      <c r="D9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3))),"")</f>
        <v/>
      </c>
      <c r="E9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3))),"")</f>
        <v/>
      </c>
      <c r="F9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3))),"")</f>
        <v/>
      </c>
      <c r="G9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3))),"")</f>
        <v/>
      </c>
      <c r="H9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3))),"")</f>
        <v/>
      </c>
      <c r="I9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3))),"")</f>
        <v/>
      </c>
      <c r="J9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3))),"")</f>
        <v/>
      </c>
      <c r="K9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3))),"")</f>
        <v/>
      </c>
      <c r="L9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3))),"")</f>
        <v/>
      </c>
      <c r="M9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3))),"")</f>
        <v/>
      </c>
      <c r="N9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3))),"")</f>
        <v/>
      </c>
      <c r="O9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3))),"")</f>
        <v/>
      </c>
      <c r="P9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3))),"")</f>
        <v/>
      </c>
      <c r="Q9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3))),"")</f>
        <v/>
      </c>
      <c r="R9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3))),"")</f>
        <v/>
      </c>
      <c r="S9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3))),"")</f>
        <v/>
      </c>
      <c r="T9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3))),"")</f>
        <v/>
      </c>
      <c r="U9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3))),"")</f>
        <v/>
      </c>
      <c r="V9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3))),"")</f>
        <v/>
      </c>
      <c r="W9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3))),"")</f>
        <v/>
      </c>
      <c r="X9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3))),"")</f>
        <v/>
      </c>
      <c r="Y9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3))),"")</f>
        <v/>
      </c>
      <c r="Z9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3))),"")</f>
        <v/>
      </c>
      <c r="AA9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3))),"")</f>
        <v/>
      </c>
      <c r="AB9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3))),"")</f>
        <v/>
      </c>
      <c r="AC9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3))),"")</f>
        <v/>
      </c>
      <c r="AD9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3))),"")</f>
        <v/>
      </c>
      <c r="AE9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3))),"")</f>
        <v/>
      </c>
      <c r="AF9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3))),"")</f>
        <v/>
      </c>
      <c r="AG9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3))),"")</f>
        <v/>
      </c>
      <c r="AH9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3))),"")</f>
        <v/>
      </c>
      <c r="AI9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3))),"")</f>
        <v/>
      </c>
      <c r="AJ9" s="139">
        <f t="shared" si="0"/>
        <v>0</v>
      </c>
    </row>
    <row r="10" spans="1:36" ht="40.5" customHeight="1">
      <c r="A10" s="45">
        <v>4</v>
      </c>
      <c r="B10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4))),"")</f>
        <v/>
      </c>
      <c r="C10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О.]]))/(Таблица14[[месяц]:[месяц]]=$J$5)/(Таблица14[[год]:[год]]=$L$5)/(Таблица14[[изд]:[изд]]=$N$1)/(Таблица14[[партия]:[партия]]=$W$1),ROW(B4))),"")</f>
        <v/>
      </c>
      <c r="D10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4))),"")</f>
        <v/>
      </c>
      <c r="E10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4))),"")</f>
        <v/>
      </c>
      <c r="F10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4))),"")</f>
        <v/>
      </c>
      <c r="G10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4))),"")</f>
        <v/>
      </c>
      <c r="H10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4))),"")</f>
        <v/>
      </c>
      <c r="I10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4))),"")</f>
        <v/>
      </c>
      <c r="J10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4))),"")</f>
        <v/>
      </c>
      <c r="K10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4))),"")</f>
        <v/>
      </c>
      <c r="L10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4))),"")</f>
        <v/>
      </c>
      <c r="M10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4))),"")</f>
        <v/>
      </c>
      <c r="N10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4))),"")</f>
        <v/>
      </c>
      <c r="O10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4))),"")</f>
        <v/>
      </c>
      <c r="P10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4))),"")</f>
        <v/>
      </c>
      <c r="Q10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4))),"")</f>
        <v/>
      </c>
      <c r="R10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4))),"")</f>
        <v/>
      </c>
      <c r="S10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4))),"")</f>
        <v/>
      </c>
      <c r="T10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4))),"")</f>
        <v/>
      </c>
      <c r="U10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4))),"")</f>
        <v/>
      </c>
      <c r="V10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4))),"")</f>
        <v/>
      </c>
      <c r="W10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4))),"")</f>
        <v/>
      </c>
      <c r="X10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4))),"")</f>
        <v/>
      </c>
      <c r="Y10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4))),"")</f>
        <v/>
      </c>
      <c r="Z10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4))),"")</f>
        <v/>
      </c>
      <c r="AA10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4))),"")</f>
        <v/>
      </c>
      <c r="AB10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4))),"")</f>
        <v/>
      </c>
      <c r="AC10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4))),"")</f>
        <v/>
      </c>
      <c r="AD10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4))),"")</f>
        <v/>
      </c>
      <c r="AE10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4))),"")</f>
        <v/>
      </c>
      <c r="AF10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4))),"")</f>
        <v/>
      </c>
      <c r="AG10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4))),"")</f>
        <v/>
      </c>
      <c r="AH10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4))),"")</f>
        <v/>
      </c>
      <c r="AI10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4))),"")</f>
        <v/>
      </c>
      <c r="AJ10" s="140">
        <f t="shared" si="0"/>
        <v>0</v>
      </c>
    </row>
    <row r="11" spans="1:36" ht="40.5" customHeight="1">
      <c r="A11" s="45">
        <v>5</v>
      </c>
      <c r="B11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5))),"")</f>
        <v/>
      </c>
      <c r="C11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О.]]))/(Таблица14[[месяц]:[месяц]]=$J$5)/(Таблица14[[год]:[год]]=$L$5)/(Таблица14[[изд]:[изд]]=$N$1)/(Таблица14[[партия]:[партия]]=$W$1),ROW(B5))),"")</f>
        <v/>
      </c>
      <c r="D11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5))),"")</f>
        <v/>
      </c>
      <c r="E11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5))),"")</f>
        <v/>
      </c>
      <c r="F11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5))),"")</f>
        <v/>
      </c>
      <c r="G11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5))),"")</f>
        <v/>
      </c>
      <c r="H11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5))),"")</f>
        <v/>
      </c>
      <c r="I11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5))),"")</f>
        <v/>
      </c>
      <c r="J11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5))),"")</f>
        <v/>
      </c>
      <c r="K11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5))),"")</f>
        <v/>
      </c>
      <c r="L11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5))),"")</f>
        <v/>
      </c>
      <c r="M11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5))),"")</f>
        <v/>
      </c>
      <c r="N11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5))),"")</f>
        <v/>
      </c>
      <c r="O11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5))),"")</f>
        <v/>
      </c>
      <c r="P11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5))),"")</f>
        <v/>
      </c>
      <c r="Q11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5))),"")</f>
        <v/>
      </c>
      <c r="R11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5))),"")</f>
        <v/>
      </c>
      <c r="S11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5))),"")</f>
        <v/>
      </c>
      <c r="T11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5))),"")</f>
        <v/>
      </c>
      <c r="U11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5))),"")</f>
        <v/>
      </c>
      <c r="V11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5))),"")</f>
        <v/>
      </c>
      <c r="W11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5))),"")</f>
        <v/>
      </c>
      <c r="X11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5))),"")</f>
        <v/>
      </c>
      <c r="Y11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5))),"")</f>
        <v/>
      </c>
      <c r="Z11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5))),"")</f>
        <v/>
      </c>
      <c r="AA11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5))),"")</f>
        <v/>
      </c>
      <c r="AB11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5))),"")</f>
        <v/>
      </c>
      <c r="AC11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5))),"")</f>
        <v/>
      </c>
      <c r="AD11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5))),"")</f>
        <v/>
      </c>
      <c r="AE11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5))),"")</f>
        <v/>
      </c>
      <c r="AF11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5))),"")</f>
        <v/>
      </c>
      <c r="AG11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5))),"")</f>
        <v/>
      </c>
      <c r="AH11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5))),"")</f>
        <v/>
      </c>
      <c r="AI11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5))),"")</f>
        <v/>
      </c>
      <c r="AJ11" s="139">
        <f t="shared" si="0"/>
        <v>0</v>
      </c>
    </row>
    <row r="12" spans="1:36" ht="40.5" customHeight="1">
      <c r="A12" s="45">
        <v>6</v>
      </c>
      <c r="B12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6))),"")</f>
        <v/>
      </c>
      <c r="C12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О.]]))/(Таблица14[[месяц]:[месяц]]=$J$5)/(Таблица14[[год]:[год]]=$L$5)/(Таблица14[[изд]:[изд]]=$N$1)/(Таблица14[[партия]:[партия]]=$W$1),ROW(B6))),"")</f>
        <v/>
      </c>
      <c r="D12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6))),"")</f>
        <v/>
      </c>
      <c r="E12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6))),"")</f>
        <v/>
      </c>
      <c r="F12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6))),"")</f>
        <v/>
      </c>
      <c r="G12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6))),"")</f>
        <v/>
      </c>
      <c r="H12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6))),"")</f>
        <v/>
      </c>
      <c r="I12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6))),"")</f>
        <v/>
      </c>
      <c r="J12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6))),"")</f>
        <v/>
      </c>
      <c r="K12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6))),"")</f>
        <v/>
      </c>
      <c r="L12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6))),"")</f>
        <v/>
      </c>
      <c r="M12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6))),"")</f>
        <v/>
      </c>
      <c r="N12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6))),"")</f>
        <v/>
      </c>
      <c r="O12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6))),"")</f>
        <v/>
      </c>
      <c r="P12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6))),"")</f>
        <v/>
      </c>
      <c r="Q12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6))),"")</f>
        <v/>
      </c>
      <c r="R12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6))),"")</f>
        <v/>
      </c>
      <c r="S12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6))),"")</f>
        <v/>
      </c>
      <c r="T12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6))),"")</f>
        <v/>
      </c>
      <c r="U12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6))),"")</f>
        <v/>
      </c>
      <c r="V12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6))),"")</f>
        <v/>
      </c>
      <c r="W12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6))),"")</f>
        <v/>
      </c>
      <c r="X12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6))),"")</f>
        <v/>
      </c>
      <c r="Y12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6))),"")</f>
        <v/>
      </c>
      <c r="Z12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6))),"")</f>
        <v/>
      </c>
      <c r="AA12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6))),"")</f>
        <v/>
      </c>
      <c r="AB12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6))),"")</f>
        <v/>
      </c>
      <c r="AC12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6))),"")</f>
        <v/>
      </c>
      <c r="AD12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6))),"")</f>
        <v/>
      </c>
      <c r="AE12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6))),"")</f>
        <v/>
      </c>
      <c r="AF12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6))),"")</f>
        <v/>
      </c>
      <c r="AG12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6))),"")</f>
        <v/>
      </c>
      <c r="AH12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6))),"")</f>
        <v/>
      </c>
      <c r="AI12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6))),"")</f>
        <v/>
      </c>
      <c r="AJ12" s="139">
        <f t="shared" si="0"/>
        <v>0</v>
      </c>
    </row>
    <row r="13" spans="1:36" ht="40.5" customHeight="1">
      <c r="A13" s="45">
        <v>7</v>
      </c>
      <c r="B13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7))),"")</f>
        <v/>
      </c>
      <c r="C13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О.]]))/(Таблица14[[месяц]:[месяц]]=$J$5)/(Таблица14[[год]:[год]]=$L$5)/(Таблица14[[изд]:[изд]]=$N$1)/(Таблица14[[партия]:[партия]]=$W$1),ROW(B7))),"")</f>
        <v/>
      </c>
      <c r="D13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7))),"")</f>
        <v/>
      </c>
      <c r="E13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7))),"")</f>
        <v/>
      </c>
      <c r="F13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7))),"")</f>
        <v/>
      </c>
      <c r="G13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7))),"")</f>
        <v/>
      </c>
      <c r="H13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7))),"")</f>
        <v/>
      </c>
      <c r="I13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7))),"")</f>
        <v/>
      </c>
      <c r="J13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7))),"")</f>
        <v/>
      </c>
      <c r="K13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7))),"")</f>
        <v/>
      </c>
      <c r="L13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7))),"")</f>
        <v/>
      </c>
      <c r="M13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7))),"")</f>
        <v/>
      </c>
      <c r="N13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7))),"")</f>
        <v/>
      </c>
      <c r="O13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7))),"")</f>
        <v/>
      </c>
      <c r="P13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7))),"")</f>
        <v/>
      </c>
      <c r="Q13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7))),"")</f>
        <v/>
      </c>
      <c r="R13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7))),"")</f>
        <v/>
      </c>
      <c r="S13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7))),"")</f>
        <v/>
      </c>
      <c r="T13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7))),"")</f>
        <v/>
      </c>
      <c r="U13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7))),"")</f>
        <v/>
      </c>
      <c r="V13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7))),"")</f>
        <v/>
      </c>
      <c r="W13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7))),"")</f>
        <v/>
      </c>
      <c r="X13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7))),"")</f>
        <v/>
      </c>
      <c r="Y13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7))),"")</f>
        <v/>
      </c>
      <c r="Z13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7))),"")</f>
        <v/>
      </c>
      <c r="AA13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7))),"")</f>
        <v/>
      </c>
      <c r="AB13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7))),"")</f>
        <v/>
      </c>
      <c r="AC13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7))),"")</f>
        <v/>
      </c>
      <c r="AD13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7))),"")</f>
        <v/>
      </c>
      <c r="AE13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7))),"")</f>
        <v/>
      </c>
      <c r="AF13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7))),"")</f>
        <v/>
      </c>
      <c r="AG13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7))),"")</f>
        <v/>
      </c>
      <c r="AH13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7))),"")</f>
        <v/>
      </c>
      <c r="AI13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7))),"")</f>
        <v/>
      </c>
      <c r="AJ13" s="139">
        <f t="shared" si="0"/>
        <v>0</v>
      </c>
    </row>
    <row r="14" spans="1:36" ht="40.5" customHeight="1">
      <c r="A14" s="45">
        <v>8</v>
      </c>
      <c r="B14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8))),"")</f>
        <v/>
      </c>
      <c r="C14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О.]]))/(Таблица14[[месяц]:[месяц]]=$J$5)/(Таблица14[[год]:[год]]=$L$5)/(Таблица14[[изд]:[изд]]=$N$1)/(Таблица14[[партия]:[партия]]=$W$1),ROW(B8))),"")</f>
        <v/>
      </c>
      <c r="D14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8))),"")</f>
        <v/>
      </c>
      <c r="E14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8))),"")</f>
        <v/>
      </c>
      <c r="F14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8))),"")</f>
        <v/>
      </c>
      <c r="G14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8))),"")</f>
        <v/>
      </c>
      <c r="H14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8))),"")</f>
        <v/>
      </c>
      <c r="I14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8))),"")</f>
        <v/>
      </c>
      <c r="J14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8))),"")</f>
        <v/>
      </c>
      <c r="K14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8))),"")</f>
        <v/>
      </c>
      <c r="L14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8))),"")</f>
        <v/>
      </c>
      <c r="M14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8))),"")</f>
        <v/>
      </c>
      <c r="N14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8))),"")</f>
        <v/>
      </c>
      <c r="O14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8))),"")</f>
        <v/>
      </c>
      <c r="P14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8))),"")</f>
        <v/>
      </c>
      <c r="Q14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8))),"")</f>
        <v/>
      </c>
      <c r="R14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8))),"")</f>
        <v/>
      </c>
      <c r="S14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8))),"")</f>
        <v/>
      </c>
      <c r="T14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8))),"")</f>
        <v/>
      </c>
      <c r="U14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8))),"")</f>
        <v/>
      </c>
      <c r="V14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8))),"")</f>
        <v/>
      </c>
      <c r="W14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8))),"")</f>
        <v/>
      </c>
      <c r="X14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8))),"")</f>
        <v/>
      </c>
      <c r="Y14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8))),"")</f>
        <v/>
      </c>
      <c r="Z14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8))),"")</f>
        <v/>
      </c>
      <c r="AA14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8))),"")</f>
        <v/>
      </c>
      <c r="AB14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8))),"")</f>
        <v/>
      </c>
      <c r="AC14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8))),"")</f>
        <v/>
      </c>
      <c r="AD14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8))),"")</f>
        <v/>
      </c>
      <c r="AE14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8))),"")</f>
        <v/>
      </c>
      <c r="AF14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8))),"")</f>
        <v/>
      </c>
      <c r="AG14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8))),"")</f>
        <v/>
      </c>
      <c r="AH14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8))),"")</f>
        <v/>
      </c>
      <c r="AI14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8))),"")</f>
        <v/>
      </c>
      <c r="AJ14" s="140">
        <f t="shared" si="0"/>
        <v>0</v>
      </c>
    </row>
    <row r="15" spans="1:36" ht="40.5" customHeight="1">
      <c r="A15" s="45">
        <v>9</v>
      </c>
      <c r="B15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9))),"")</f>
        <v/>
      </c>
      <c r="C15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О.]]))/(Таблица14[[месяц]:[месяц]]=$J$5)/(Таблица14[[год]:[год]]=$L$5)/(Таблица14[[изд]:[изд]]=$N$1)/(Таблица14[[партия]:[партия]]=$W$1),ROW(B9))),"")</f>
        <v/>
      </c>
      <c r="D15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9))),"")</f>
        <v/>
      </c>
      <c r="E15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9))),"")</f>
        <v/>
      </c>
      <c r="F15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9))),"")</f>
        <v/>
      </c>
      <c r="G15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9))),"")</f>
        <v/>
      </c>
      <c r="H15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9))),"")</f>
        <v/>
      </c>
      <c r="I15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9))),"")</f>
        <v/>
      </c>
      <c r="J15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9))),"")</f>
        <v/>
      </c>
      <c r="K15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9))),"")</f>
        <v/>
      </c>
      <c r="L15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9))),"")</f>
        <v/>
      </c>
      <c r="M15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9))),"")</f>
        <v/>
      </c>
      <c r="N15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9))),"")</f>
        <v/>
      </c>
      <c r="O15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9))),"")</f>
        <v/>
      </c>
      <c r="P15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9))),"")</f>
        <v/>
      </c>
      <c r="Q15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9))),"")</f>
        <v/>
      </c>
      <c r="R15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9))),"")</f>
        <v/>
      </c>
      <c r="S15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9))),"")</f>
        <v/>
      </c>
      <c r="T15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9))),"")</f>
        <v/>
      </c>
      <c r="U15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9))),"")</f>
        <v/>
      </c>
      <c r="V15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9))),"")</f>
        <v/>
      </c>
      <c r="W15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9))),"")</f>
        <v/>
      </c>
      <c r="X15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9))),"")</f>
        <v/>
      </c>
      <c r="Y15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9))),"")</f>
        <v/>
      </c>
      <c r="Z15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9))),"")</f>
        <v/>
      </c>
      <c r="AA15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9))),"")</f>
        <v/>
      </c>
      <c r="AB15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9))),"")</f>
        <v/>
      </c>
      <c r="AC15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9))),"")</f>
        <v/>
      </c>
      <c r="AD15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9))),"")</f>
        <v/>
      </c>
      <c r="AE15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9))),"")</f>
        <v/>
      </c>
      <c r="AF15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9))),"")</f>
        <v/>
      </c>
      <c r="AG15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9))),"")</f>
        <v/>
      </c>
      <c r="AH15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9))),"")</f>
        <v/>
      </c>
      <c r="AI15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9))),"")</f>
        <v/>
      </c>
      <c r="AJ15" s="141">
        <f t="shared" si="0"/>
        <v>0</v>
      </c>
    </row>
    <row r="16" spans="1:36" ht="40.5" customHeight="1">
      <c r="A16" s="45">
        <v>10</v>
      </c>
      <c r="B16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10))),"")</f>
        <v/>
      </c>
      <c r="C16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О.]]))/(Таблица14[[месяц]:[месяц]]=$J$5)/(Таблица14[[год]:[год]]=$L$5)/(Таблица14[[изд]:[изд]]=$N$1)/(Таблица14[[партия]:[партия]]=$W$1),ROW(B10))),"")</f>
        <v/>
      </c>
      <c r="D16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10))),"")</f>
        <v/>
      </c>
      <c r="E16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10))),"")</f>
        <v/>
      </c>
      <c r="F16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10))),"")</f>
        <v/>
      </c>
      <c r="G16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10))),"")</f>
        <v/>
      </c>
      <c r="H16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10))),"")</f>
        <v/>
      </c>
      <c r="I16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10))),"")</f>
        <v/>
      </c>
      <c r="J16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10))),"")</f>
        <v/>
      </c>
      <c r="K16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10))),"")</f>
        <v/>
      </c>
      <c r="L16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10))),"")</f>
        <v/>
      </c>
      <c r="M16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10))),"")</f>
        <v/>
      </c>
      <c r="N16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10))),"")</f>
        <v/>
      </c>
      <c r="O16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10))),"")</f>
        <v/>
      </c>
      <c r="P16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10))),"")</f>
        <v/>
      </c>
      <c r="Q16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10))),"")</f>
        <v/>
      </c>
      <c r="R16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10))),"")</f>
        <v/>
      </c>
      <c r="S16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10))),"")</f>
        <v/>
      </c>
      <c r="T16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10))),"")</f>
        <v/>
      </c>
      <c r="U16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10))),"")</f>
        <v/>
      </c>
      <c r="V16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10))),"")</f>
        <v/>
      </c>
      <c r="W16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10))),"")</f>
        <v/>
      </c>
      <c r="X16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10))),"")</f>
        <v/>
      </c>
      <c r="Y16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10))),"")</f>
        <v/>
      </c>
      <c r="Z16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10))),"")</f>
        <v/>
      </c>
      <c r="AA16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10))),"")</f>
        <v/>
      </c>
      <c r="AB16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10))),"")</f>
        <v/>
      </c>
      <c r="AC16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10))),"")</f>
        <v/>
      </c>
      <c r="AD16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10))),"")</f>
        <v/>
      </c>
      <c r="AE16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10))),"")</f>
        <v/>
      </c>
      <c r="AF16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10))),"")</f>
        <v/>
      </c>
      <c r="AG16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10))),"")</f>
        <v/>
      </c>
      <c r="AH16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10))),"")</f>
        <v/>
      </c>
      <c r="AI16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10))),"")</f>
        <v/>
      </c>
      <c r="AJ16" s="141">
        <f t="shared" si="0"/>
        <v>0</v>
      </c>
    </row>
    <row r="17" spans="1:43" ht="40.5" customHeight="1">
      <c r="A17" s="45">
        <v>11</v>
      </c>
      <c r="B17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11))),"")</f>
        <v/>
      </c>
      <c r="C17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О.]]))/(Таблица14[[месяц]:[месяц]]=$J$5)/(Таблица14[[год]:[год]]=$L$5)/(Таблица14[[изд]:[изд]]=$N$1)/(Таблица14[[партия]:[партия]]=$W$1),ROW(B11))),"")</f>
        <v/>
      </c>
      <c r="D17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11))),"")</f>
        <v/>
      </c>
      <c r="E17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11))),"")</f>
        <v/>
      </c>
      <c r="F17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11))),"")</f>
        <v/>
      </c>
      <c r="G17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11))),"")</f>
        <v/>
      </c>
      <c r="H17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11))),"")</f>
        <v/>
      </c>
      <c r="I17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11))),"")</f>
        <v/>
      </c>
      <c r="J17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11))),"")</f>
        <v/>
      </c>
      <c r="K17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11))),"")</f>
        <v/>
      </c>
      <c r="L17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11))),"")</f>
        <v/>
      </c>
      <c r="M17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11))),"")</f>
        <v/>
      </c>
      <c r="N17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11))),"")</f>
        <v/>
      </c>
      <c r="O17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11))),"")</f>
        <v/>
      </c>
      <c r="P17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11))),"")</f>
        <v/>
      </c>
      <c r="Q17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11))),"")</f>
        <v/>
      </c>
      <c r="R17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11))),"")</f>
        <v/>
      </c>
      <c r="S17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11))),"")</f>
        <v/>
      </c>
      <c r="T17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11))),"")</f>
        <v/>
      </c>
      <c r="U17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11))),"")</f>
        <v/>
      </c>
      <c r="V17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11))),"")</f>
        <v/>
      </c>
      <c r="W17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11))),"")</f>
        <v/>
      </c>
      <c r="X17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11))),"")</f>
        <v/>
      </c>
      <c r="Y17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11))),"")</f>
        <v/>
      </c>
      <c r="Z17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11))),"")</f>
        <v/>
      </c>
      <c r="AA17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11))),"")</f>
        <v/>
      </c>
      <c r="AB17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11))),"")</f>
        <v/>
      </c>
      <c r="AC17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11))),"")</f>
        <v/>
      </c>
      <c r="AD17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11))),"")</f>
        <v/>
      </c>
      <c r="AE17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11))),"")</f>
        <v/>
      </c>
      <c r="AF17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11))),"")</f>
        <v/>
      </c>
      <c r="AG17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11))),"")</f>
        <v/>
      </c>
      <c r="AH17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11))),"")</f>
        <v/>
      </c>
      <c r="AI17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11))),"")</f>
        <v/>
      </c>
      <c r="AJ17" s="139">
        <f t="shared" si="0"/>
        <v>0</v>
      </c>
    </row>
    <row r="18" spans="1:43" ht="40.5" customHeight="1">
      <c r="A18" s="45">
        <v>12</v>
      </c>
      <c r="B18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12))),"")</f>
        <v/>
      </c>
      <c r="C18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О.]]))/(Таблица14[[месяц]:[месяц]]=$J$5)/(Таблица14[[год]:[год]]=$L$5)/(Таблица14[[изд]:[изд]]=$N$1)/(Таблица14[[партия]:[партия]]=$W$1),ROW(B12))),"")</f>
        <v/>
      </c>
      <c r="D18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12))),"")</f>
        <v/>
      </c>
      <c r="E18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12))),"")</f>
        <v/>
      </c>
      <c r="F18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12))),"")</f>
        <v/>
      </c>
      <c r="G18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12))),"")</f>
        <v/>
      </c>
      <c r="H18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12))),"")</f>
        <v/>
      </c>
      <c r="I18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12))),"")</f>
        <v/>
      </c>
      <c r="J18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12))),"")</f>
        <v/>
      </c>
      <c r="K18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12))),"")</f>
        <v/>
      </c>
      <c r="L18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12))),"")</f>
        <v/>
      </c>
      <c r="M18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12))),"")</f>
        <v/>
      </c>
      <c r="N18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12))),"")</f>
        <v/>
      </c>
      <c r="O18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12))),"")</f>
        <v/>
      </c>
      <c r="P18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12))),"")</f>
        <v/>
      </c>
      <c r="Q18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12))),"")</f>
        <v/>
      </c>
      <c r="R18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12))),"")</f>
        <v/>
      </c>
      <c r="S18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12))),"")</f>
        <v/>
      </c>
      <c r="T18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12))),"")</f>
        <v/>
      </c>
      <c r="U18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12))),"")</f>
        <v/>
      </c>
      <c r="V18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12))),"")</f>
        <v/>
      </c>
      <c r="W18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12))),"")</f>
        <v/>
      </c>
      <c r="X18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12))),"")</f>
        <v/>
      </c>
      <c r="Y18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12))),"")</f>
        <v/>
      </c>
      <c r="Z18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12))),"")</f>
        <v/>
      </c>
      <c r="AA18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12))),"")</f>
        <v/>
      </c>
      <c r="AB18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12))),"")</f>
        <v/>
      </c>
      <c r="AC18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12))),"")</f>
        <v/>
      </c>
      <c r="AD18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12))),"")</f>
        <v/>
      </c>
      <c r="AE18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12))),"")</f>
        <v/>
      </c>
      <c r="AF18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12))),"")</f>
        <v/>
      </c>
      <c r="AG18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12))),"")</f>
        <v/>
      </c>
      <c r="AH18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12))),"")</f>
        <v/>
      </c>
      <c r="AI18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12))),"")</f>
        <v/>
      </c>
      <c r="AJ18" s="140">
        <f t="shared" si="0"/>
        <v>0</v>
      </c>
    </row>
    <row r="19" spans="1:43" ht="40.5" customHeight="1">
      <c r="A19" s="45">
        <v>13</v>
      </c>
      <c r="B19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13))),"")</f>
        <v/>
      </c>
      <c r="C19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О.]]))/(Таблица14[[месяц]:[месяц]]=$J$5)/(Таблица14[[год]:[год]]=$L$5)/(Таблица14[[изд]:[изд]]=$N$1)/(Таблица14[[партия]:[партия]]=$W$1),ROW(B13))),"")</f>
        <v/>
      </c>
      <c r="D19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13))),"")</f>
        <v/>
      </c>
      <c r="E19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13))),"")</f>
        <v/>
      </c>
      <c r="F19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13))),"")</f>
        <v/>
      </c>
      <c r="G19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13))),"")</f>
        <v/>
      </c>
      <c r="H19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13))),"")</f>
        <v/>
      </c>
      <c r="I19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13))),"")</f>
        <v/>
      </c>
      <c r="J19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13))),"")</f>
        <v/>
      </c>
      <c r="K19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13))),"")</f>
        <v/>
      </c>
      <c r="L19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13))),"")</f>
        <v/>
      </c>
      <c r="M19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13))),"")</f>
        <v/>
      </c>
      <c r="N19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13))),"")</f>
        <v/>
      </c>
      <c r="O19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13))),"")</f>
        <v/>
      </c>
      <c r="P19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13))),"")</f>
        <v/>
      </c>
      <c r="Q19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13))),"")</f>
        <v/>
      </c>
      <c r="R19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13))),"")</f>
        <v/>
      </c>
      <c r="S19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13))),"")</f>
        <v/>
      </c>
      <c r="T19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13))),"")</f>
        <v/>
      </c>
      <c r="U19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13))),"")</f>
        <v/>
      </c>
      <c r="V19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13))),"")</f>
        <v/>
      </c>
      <c r="W19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13))),"")</f>
        <v/>
      </c>
      <c r="X19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13))),"")</f>
        <v/>
      </c>
      <c r="Y19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13))),"")</f>
        <v/>
      </c>
      <c r="Z19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13))),"")</f>
        <v/>
      </c>
      <c r="AA19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13))),"")</f>
        <v/>
      </c>
      <c r="AB19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13))),"")</f>
        <v/>
      </c>
      <c r="AC19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13))),"")</f>
        <v/>
      </c>
      <c r="AD19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13))),"")</f>
        <v/>
      </c>
      <c r="AE19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13))),"")</f>
        <v/>
      </c>
      <c r="AF19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13))),"")</f>
        <v/>
      </c>
      <c r="AG19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13))),"")</f>
        <v/>
      </c>
      <c r="AH19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13))),"")</f>
        <v/>
      </c>
      <c r="AI19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13))),"")</f>
        <v/>
      </c>
      <c r="AJ19" s="139">
        <f t="shared" si="0"/>
        <v>0</v>
      </c>
    </row>
    <row r="20" spans="1:43" ht="40.5" customHeight="1">
      <c r="A20" s="45">
        <v>14</v>
      </c>
      <c r="B20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14))),"")</f>
        <v/>
      </c>
      <c r="C20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О.]]))/(Таблица14[[месяц]:[месяц]]=$J$5)/(Таблица14[[год]:[год]]=$L$5)/(Таблица14[[изд]:[изд]]=$N$1)/(Таблица14[[партия]:[партия]]=$W$1),ROW(B14))),"")</f>
        <v/>
      </c>
      <c r="D20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14))),"")</f>
        <v/>
      </c>
      <c r="E20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14))),"")</f>
        <v/>
      </c>
      <c r="F20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14))),"")</f>
        <v/>
      </c>
      <c r="G20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14))),"")</f>
        <v/>
      </c>
      <c r="H20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14))),"")</f>
        <v/>
      </c>
      <c r="I20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14))),"")</f>
        <v/>
      </c>
      <c r="J20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14))),"")</f>
        <v/>
      </c>
      <c r="K20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14))),"")</f>
        <v/>
      </c>
      <c r="L20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14))),"")</f>
        <v/>
      </c>
      <c r="M20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14))),"")</f>
        <v/>
      </c>
      <c r="N20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14))),"")</f>
        <v/>
      </c>
      <c r="O20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14))),"")</f>
        <v/>
      </c>
      <c r="P20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14))),"")</f>
        <v/>
      </c>
      <c r="Q20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14))),"")</f>
        <v/>
      </c>
      <c r="R20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14))),"")</f>
        <v/>
      </c>
      <c r="S20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14))),"")</f>
        <v/>
      </c>
      <c r="T20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14))),"")</f>
        <v/>
      </c>
      <c r="U20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14))),"")</f>
        <v/>
      </c>
      <c r="V20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14))),"")</f>
        <v/>
      </c>
      <c r="W20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14))),"")</f>
        <v/>
      </c>
      <c r="X20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14))),"")</f>
        <v/>
      </c>
      <c r="Y20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14))),"")</f>
        <v/>
      </c>
      <c r="Z20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14))),"")</f>
        <v/>
      </c>
      <c r="AA20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14))),"")</f>
        <v/>
      </c>
      <c r="AB20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14))),"")</f>
        <v/>
      </c>
      <c r="AC20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14))),"")</f>
        <v/>
      </c>
      <c r="AD20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14))),"")</f>
        <v/>
      </c>
      <c r="AE20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14))),"")</f>
        <v/>
      </c>
      <c r="AF20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14))),"")</f>
        <v/>
      </c>
      <c r="AG20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14))),"")</f>
        <v/>
      </c>
      <c r="AH20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14))),"")</f>
        <v/>
      </c>
      <c r="AI20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14))),"")</f>
        <v/>
      </c>
      <c r="AJ20" s="140">
        <f t="shared" si="0"/>
        <v>0</v>
      </c>
    </row>
    <row r="21" spans="1:43" ht="40.5" customHeight="1">
      <c r="A21" s="45">
        <v>15</v>
      </c>
      <c r="B21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15))),"")</f>
        <v/>
      </c>
      <c r="C21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О.]]))/(Таблица14[[месяц]:[месяц]]=$J$5)/(Таблица14[[год]:[год]]=$L$5)/(Таблица14[[изд]:[изд]]=$N$1)/(Таблица14[[партия]:[партия]]=$W$1),ROW(B15))),"")</f>
        <v/>
      </c>
      <c r="D21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15))),"")</f>
        <v/>
      </c>
      <c r="E21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15))),"")</f>
        <v/>
      </c>
      <c r="F21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15))),"")</f>
        <v/>
      </c>
      <c r="G21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15))),"")</f>
        <v/>
      </c>
      <c r="H21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15))),"")</f>
        <v/>
      </c>
      <c r="I21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15))),"")</f>
        <v/>
      </c>
      <c r="J21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15))),"")</f>
        <v/>
      </c>
      <c r="K21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15))),"")</f>
        <v/>
      </c>
      <c r="L21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15))),"")</f>
        <v/>
      </c>
      <c r="M21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15))),"")</f>
        <v/>
      </c>
      <c r="N21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15))),"")</f>
        <v/>
      </c>
      <c r="O21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15))),"")</f>
        <v/>
      </c>
      <c r="P21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15))),"")</f>
        <v/>
      </c>
      <c r="Q21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15))),"")</f>
        <v/>
      </c>
      <c r="R21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15))),"")</f>
        <v/>
      </c>
      <c r="S21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15))),"")</f>
        <v/>
      </c>
      <c r="T21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15))),"")</f>
        <v/>
      </c>
      <c r="U21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15))),"")</f>
        <v/>
      </c>
      <c r="V21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15))),"")</f>
        <v/>
      </c>
      <c r="W21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15))),"")</f>
        <v/>
      </c>
      <c r="X21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15))),"")</f>
        <v/>
      </c>
      <c r="Y21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15))),"")</f>
        <v/>
      </c>
      <c r="Z21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15))),"")</f>
        <v/>
      </c>
      <c r="AA21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15))),"")</f>
        <v/>
      </c>
      <c r="AB21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15))),"")</f>
        <v/>
      </c>
      <c r="AC21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15))),"")</f>
        <v/>
      </c>
      <c r="AD21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15))),"")</f>
        <v/>
      </c>
      <c r="AE21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15))),"")</f>
        <v/>
      </c>
      <c r="AF21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15))),"")</f>
        <v/>
      </c>
      <c r="AG21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15))),"")</f>
        <v/>
      </c>
      <c r="AH21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15))),"")</f>
        <v/>
      </c>
      <c r="AI21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15))),"")</f>
        <v/>
      </c>
      <c r="AJ21" s="139">
        <f t="shared" si="0"/>
        <v>0</v>
      </c>
    </row>
    <row r="22" spans="1:43" ht="40.5" customHeight="1">
      <c r="A22" s="45">
        <v>16</v>
      </c>
      <c r="B22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16))),"")</f>
        <v/>
      </c>
      <c r="C22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О.]]))/(Таблица14[[месяц]:[месяц]]=$J$5)/(Таблица14[[год]:[год]]=$L$5)/(Таблица14[[изд]:[изд]]=$N$1)/(Таблица14[[партия]:[партия]]=$W$1),ROW(B16))),"")</f>
        <v/>
      </c>
      <c r="D22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16))),"")</f>
        <v/>
      </c>
      <c r="E22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16))),"")</f>
        <v/>
      </c>
      <c r="F22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16))),"")</f>
        <v/>
      </c>
      <c r="G22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16))),"")</f>
        <v/>
      </c>
      <c r="H22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16))),"")</f>
        <v/>
      </c>
      <c r="I22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16))),"")</f>
        <v/>
      </c>
      <c r="J22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16))),"")</f>
        <v/>
      </c>
      <c r="K22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16))),"")</f>
        <v/>
      </c>
      <c r="L22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16))),"")</f>
        <v/>
      </c>
      <c r="M22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16))),"")</f>
        <v/>
      </c>
      <c r="N22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16))),"")</f>
        <v/>
      </c>
      <c r="O22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16))),"")</f>
        <v/>
      </c>
      <c r="P22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16))),"")</f>
        <v/>
      </c>
      <c r="Q22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16))),"")</f>
        <v/>
      </c>
      <c r="R22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16))),"")</f>
        <v/>
      </c>
      <c r="S22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16))),"")</f>
        <v/>
      </c>
      <c r="T22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16))),"")</f>
        <v/>
      </c>
      <c r="U22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16))),"")</f>
        <v/>
      </c>
      <c r="V22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16))),"")</f>
        <v/>
      </c>
      <c r="W22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16))),"")</f>
        <v/>
      </c>
      <c r="X22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16))),"")</f>
        <v/>
      </c>
      <c r="Y22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16))),"")</f>
        <v/>
      </c>
      <c r="Z22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16))),"")</f>
        <v/>
      </c>
      <c r="AA22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16))),"")</f>
        <v/>
      </c>
      <c r="AB22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16))),"")</f>
        <v/>
      </c>
      <c r="AC22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16))),"")</f>
        <v/>
      </c>
      <c r="AD22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16))),"")</f>
        <v/>
      </c>
      <c r="AE22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16))),"")</f>
        <v/>
      </c>
      <c r="AF22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16))),"")</f>
        <v/>
      </c>
      <c r="AG22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16))),"")</f>
        <v/>
      </c>
      <c r="AH22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16))),"")</f>
        <v/>
      </c>
      <c r="AI22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16))),"")</f>
        <v/>
      </c>
      <c r="AJ22" s="139">
        <f t="shared" si="0"/>
        <v>0</v>
      </c>
    </row>
    <row r="23" spans="1:43" ht="40.5" customHeight="1">
      <c r="A23" s="45">
        <v>17</v>
      </c>
      <c r="B23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17))),"")</f>
        <v/>
      </c>
      <c r="C23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О.]]))/(Таблица14[[месяц]:[месяц]]=$J$5)/(Таблица14[[год]:[год]]=$L$5)/(Таблица14[[изд]:[изд]]=$N$1)/(Таблица14[[партия]:[партия]]=$W$1),ROW(B17))),"")</f>
        <v/>
      </c>
      <c r="D23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17))),"")</f>
        <v/>
      </c>
      <c r="E23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17))),"")</f>
        <v/>
      </c>
      <c r="F23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17))),"")</f>
        <v/>
      </c>
      <c r="G23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17))),"")</f>
        <v/>
      </c>
      <c r="H23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17))),"")</f>
        <v/>
      </c>
      <c r="I23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17))),"")</f>
        <v/>
      </c>
      <c r="J23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17))),"")</f>
        <v/>
      </c>
      <c r="K23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17))),"")</f>
        <v/>
      </c>
      <c r="L23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17))),"")</f>
        <v/>
      </c>
      <c r="M23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17))),"")</f>
        <v/>
      </c>
      <c r="N23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17))),"")</f>
        <v/>
      </c>
      <c r="O23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17))),"")</f>
        <v/>
      </c>
      <c r="P23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17))),"")</f>
        <v/>
      </c>
      <c r="Q23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17))),"")</f>
        <v/>
      </c>
      <c r="R23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17))),"")</f>
        <v/>
      </c>
      <c r="S23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17))),"")</f>
        <v/>
      </c>
      <c r="T23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17))),"")</f>
        <v/>
      </c>
      <c r="U23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17))),"")</f>
        <v/>
      </c>
      <c r="V23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17))),"")</f>
        <v/>
      </c>
      <c r="W23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17))),"")</f>
        <v/>
      </c>
      <c r="X23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17))),"")</f>
        <v/>
      </c>
      <c r="Y23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17))),"")</f>
        <v/>
      </c>
      <c r="Z23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17))),"")</f>
        <v/>
      </c>
      <c r="AA23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17))),"")</f>
        <v/>
      </c>
      <c r="AB23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17))),"")</f>
        <v/>
      </c>
      <c r="AC23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17))),"")</f>
        <v/>
      </c>
      <c r="AD23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17))),"")</f>
        <v/>
      </c>
      <c r="AE23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17))),"")</f>
        <v/>
      </c>
      <c r="AF23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17))),"")</f>
        <v/>
      </c>
      <c r="AG23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17))),"")</f>
        <v/>
      </c>
      <c r="AH23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17))),"")</f>
        <v/>
      </c>
      <c r="AI23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17))),"")</f>
        <v/>
      </c>
      <c r="AJ23" s="139">
        <f t="shared" si="0"/>
        <v>0</v>
      </c>
    </row>
    <row r="24" spans="1:43" ht="40.5" customHeight="1">
      <c r="A24" s="45">
        <v>18</v>
      </c>
      <c r="B24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18))),"")</f>
        <v/>
      </c>
      <c r="C24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О.]]))/(Таблица14[[месяц]:[месяц]]=$J$5)/(Таблица14[[год]:[год]]=$L$5)/(Таблица14[[изд]:[изд]]=$N$1)/(Таблица14[[партия]:[партия]]=$W$1),ROW(B18))),"")</f>
        <v/>
      </c>
      <c r="D24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18))),"")</f>
        <v/>
      </c>
      <c r="E24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18))),"")</f>
        <v/>
      </c>
      <c r="F24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18))),"")</f>
        <v/>
      </c>
      <c r="G24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18))),"")</f>
        <v/>
      </c>
      <c r="H24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18))),"")</f>
        <v/>
      </c>
      <c r="I24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18))),"")</f>
        <v/>
      </c>
      <c r="J24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18))),"")</f>
        <v/>
      </c>
      <c r="K24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18))),"")</f>
        <v/>
      </c>
      <c r="L24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18))),"")</f>
        <v/>
      </c>
      <c r="M24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18))),"")</f>
        <v/>
      </c>
      <c r="N24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18))),"")</f>
        <v/>
      </c>
      <c r="O24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18))),"")</f>
        <v/>
      </c>
      <c r="P24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18))),"")</f>
        <v/>
      </c>
      <c r="Q24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18))),"")</f>
        <v/>
      </c>
      <c r="R24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18))),"")</f>
        <v/>
      </c>
      <c r="S24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18))),"")</f>
        <v/>
      </c>
      <c r="T24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18))),"")</f>
        <v/>
      </c>
      <c r="U24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18))),"")</f>
        <v/>
      </c>
      <c r="V24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18))),"")</f>
        <v/>
      </c>
      <c r="W24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18))),"")</f>
        <v/>
      </c>
      <c r="X24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18))),"")</f>
        <v/>
      </c>
      <c r="Y24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18))),"")</f>
        <v/>
      </c>
      <c r="Z24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18))),"")</f>
        <v/>
      </c>
      <c r="AA24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18))),"")</f>
        <v/>
      </c>
      <c r="AB24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18))),"")</f>
        <v/>
      </c>
      <c r="AC24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18))),"")</f>
        <v/>
      </c>
      <c r="AD24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18))),"")</f>
        <v/>
      </c>
      <c r="AE24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18))),"")</f>
        <v/>
      </c>
      <c r="AF24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18))),"")</f>
        <v/>
      </c>
      <c r="AG24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18))),"")</f>
        <v/>
      </c>
      <c r="AH24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18))),"")</f>
        <v/>
      </c>
      <c r="AI24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18))),"")</f>
        <v/>
      </c>
      <c r="AJ24" s="139">
        <f t="shared" si="0"/>
        <v>0</v>
      </c>
    </row>
    <row r="25" spans="1:43" ht="40.5" customHeight="1">
      <c r="A25" s="45">
        <v>19</v>
      </c>
      <c r="B25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19))),"")</f>
        <v/>
      </c>
      <c r="C25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О.]]))/(Таблица14[[месяц]:[месяц]]=$J$5)/(Таблица14[[год]:[год]]=$L$5)/(Таблица14[[изд]:[изд]]=$N$1)/(Таблица14[[партия]:[партия]]=$W$1),ROW(B19))),"")</f>
        <v/>
      </c>
      <c r="D25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19))),"")</f>
        <v/>
      </c>
      <c r="E25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19))),"")</f>
        <v/>
      </c>
      <c r="F25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19))),"")</f>
        <v/>
      </c>
      <c r="G25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19))),"")</f>
        <v/>
      </c>
      <c r="H25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19))),"")</f>
        <v/>
      </c>
      <c r="I25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19))),"")</f>
        <v/>
      </c>
      <c r="J25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19))),"")</f>
        <v/>
      </c>
      <c r="K25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19))),"")</f>
        <v/>
      </c>
      <c r="L25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19))),"")</f>
        <v/>
      </c>
      <c r="M25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19))),"")</f>
        <v/>
      </c>
      <c r="N25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19))),"")</f>
        <v/>
      </c>
      <c r="O25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19))),"")</f>
        <v/>
      </c>
      <c r="P25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19))),"")</f>
        <v/>
      </c>
      <c r="Q25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19))),"")</f>
        <v/>
      </c>
      <c r="R25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19))),"")</f>
        <v/>
      </c>
      <c r="S25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19))),"")</f>
        <v/>
      </c>
      <c r="T25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19))),"")</f>
        <v/>
      </c>
      <c r="U25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19))),"")</f>
        <v/>
      </c>
      <c r="V25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19))),"")</f>
        <v/>
      </c>
      <c r="W25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19))),"")</f>
        <v/>
      </c>
      <c r="X25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19))),"")</f>
        <v/>
      </c>
      <c r="Y25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19))),"")</f>
        <v/>
      </c>
      <c r="Z25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19))),"")</f>
        <v/>
      </c>
      <c r="AA25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19))),"")</f>
        <v/>
      </c>
      <c r="AB25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19))),"")</f>
        <v/>
      </c>
      <c r="AC25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19))),"")</f>
        <v/>
      </c>
      <c r="AD25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19))),"")</f>
        <v/>
      </c>
      <c r="AE25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19))),"")</f>
        <v/>
      </c>
      <c r="AF25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19))),"")</f>
        <v/>
      </c>
      <c r="AG25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19))),"")</f>
        <v/>
      </c>
      <c r="AH25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19))),"")</f>
        <v/>
      </c>
      <c r="AI25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19))),"")</f>
        <v/>
      </c>
      <c r="AJ25" s="139">
        <f t="shared" si="0"/>
        <v>0</v>
      </c>
    </row>
    <row r="26" spans="1:43" ht="21" customHeight="1">
      <c r="B26" s="36"/>
      <c r="C26" s="33" t="s">
        <v>63</v>
      </c>
      <c r="D26" s="36"/>
      <c r="E26" s="34">
        <f>SUM(E7:E24)</f>
        <v>0</v>
      </c>
      <c r="F26" s="34">
        <f>SUM(F7:F24)</f>
        <v>0</v>
      </c>
      <c r="G26" s="34">
        <f t="shared" ref="G26:AI26" si="1">SUM(G7:G24)</f>
        <v>0</v>
      </c>
      <c r="H26" s="34">
        <f t="shared" si="1"/>
        <v>0</v>
      </c>
      <c r="I26" s="34">
        <f t="shared" si="1"/>
        <v>0</v>
      </c>
      <c r="J26" s="34">
        <f t="shared" si="1"/>
        <v>0</v>
      </c>
      <c r="K26" s="34">
        <f t="shared" si="1"/>
        <v>0</v>
      </c>
      <c r="L26" s="34">
        <f t="shared" si="1"/>
        <v>0</v>
      </c>
      <c r="M26" s="34">
        <f t="shared" si="1"/>
        <v>0</v>
      </c>
      <c r="N26" s="34">
        <f t="shared" si="1"/>
        <v>0</v>
      </c>
      <c r="O26" s="34">
        <f t="shared" si="1"/>
        <v>0</v>
      </c>
      <c r="P26" s="34">
        <f t="shared" si="1"/>
        <v>0</v>
      </c>
      <c r="Q26" s="34">
        <f t="shared" si="1"/>
        <v>0</v>
      </c>
      <c r="R26" s="34">
        <f t="shared" si="1"/>
        <v>0</v>
      </c>
      <c r="S26" s="34">
        <f t="shared" si="1"/>
        <v>0</v>
      </c>
      <c r="T26" s="34">
        <f t="shared" si="1"/>
        <v>0</v>
      </c>
      <c r="U26" s="34">
        <f t="shared" si="1"/>
        <v>0</v>
      </c>
      <c r="V26" s="34">
        <f t="shared" si="1"/>
        <v>0</v>
      </c>
      <c r="W26" s="34">
        <f t="shared" si="1"/>
        <v>0</v>
      </c>
      <c r="X26" s="34">
        <f t="shared" si="1"/>
        <v>0</v>
      </c>
      <c r="Y26" s="34">
        <f t="shared" si="1"/>
        <v>0</v>
      </c>
      <c r="Z26" s="34">
        <f t="shared" si="1"/>
        <v>0</v>
      </c>
      <c r="AA26" s="34">
        <f t="shared" si="1"/>
        <v>0</v>
      </c>
      <c r="AB26" s="34">
        <f t="shared" si="1"/>
        <v>0</v>
      </c>
      <c r="AC26" s="34">
        <f t="shared" si="1"/>
        <v>0</v>
      </c>
      <c r="AD26" s="34">
        <f t="shared" si="1"/>
        <v>0</v>
      </c>
      <c r="AE26" s="34">
        <f t="shared" si="1"/>
        <v>0</v>
      </c>
      <c r="AF26" s="34">
        <f t="shared" si="1"/>
        <v>0</v>
      </c>
      <c r="AG26" s="34">
        <f t="shared" si="1"/>
        <v>0</v>
      </c>
      <c r="AH26" s="34">
        <f t="shared" si="1"/>
        <v>0</v>
      </c>
      <c r="AI26" s="34">
        <f t="shared" si="1"/>
        <v>0</v>
      </c>
      <c r="AJ26" s="145">
        <f>SUM(E26:AI26)</f>
        <v>0</v>
      </c>
      <c r="AL26" s="873" t="s">
        <v>94</v>
      </c>
      <c r="AM26" s="873"/>
      <c r="AN26" s="873"/>
      <c r="AO26" s="873"/>
      <c r="AP26" s="873"/>
      <c r="AQ26" s="873"/>
    </row>
    <row r="27" spans="1:43" ht="9" customHeight="1">
      <c r="AJ27" s="35"/>
      <c r="AM27" s="872">
        <f>SUMIFS(Таблица14[Столбец2],Таблица14[партия],W1,Таблица14[изд],N1)</f>
        <v>0</v>
      </c>
      <c r="AN27" s="872"/>
      <c r="AO27" s="872"/>
      <c r="AP27" s="872"/>
    </row>
    <row r="28" spans="1:43" s="62" customFormat="1" ht="21" customHeight="1">
      <c r="C28" s="258" t="s">
        <v>64</v>
      </c>
      <c r="D28" s="259"/>
      <c r="E28" s="259"/>
      <c r="F28" s="259"/>
      <c r="G28" s="260" t="str">
        <f>Data_Tech!$AU$7</f>
        <v>Кувшинов А.Г.</v>
      </c>
      <c r="H28" s="260"/>
      <c r="R28" s="260" t="s">
        <v>246</v>
      </c>
      <c r="S28" s="260"/>
      <c r="T28" s="260"/>
      <c r="U28" s="260"/>
      <c r="V28" s="259"/>
      <c r="W28" s="259"/>
      <c r="X28" s="259"/>
      <c r="Y28" s="259"/>
      <c r="Z28" s="259"/>
      <c r="AA28" s="260" t="s">
        <v>108</v>
      </c>
      <c r="AB28" s="260"/>
      <c r="AM28" s="872"/>
      <c r="AN28" s="872"/>
      <c r="AO28" s="872"/>
      <c r="AP28" s="872"/>
    </row>
    <row r="29" spans="1:43">
      <c r="AA29" s="234"/>
      <c r="AM29" s="872"/>
      <c r="AN29" s="872"/>
      <c r="AO29" s="872"/>
      <c r="AP29" s="872"/>
    </row>
    <row r="30" spans="1:43" ht="20.25" customHeight="1">
      <c r="B30" s="62"/>
      <c r="C30" s="63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M30" s="872"/>
      <c r="AN30" s="872"/>
      <c r="AO30" s="872"/>
      <c r="AP30" s="872"/>
    </row>
    <row r="31" spans="1:43" ht="18.75">
      <c r="AJ31" s="64"/>
    </row>
    <row r="32" spans="1:43" ht="18">
      <c r="C32" s="52"/>
      <c r="D32" s="53"/>
    </row>
    <row r="33" spans="3:42" ht="23.25">
      <c r="C33" s="52"/>
      <c r="D33" s="53"/>
      <c r="AM33" s="62"/>
      <c r="AN33" s="62"/>
      <c r="AO33" s="62"/>
      <c r="AP33" s="62"/>
    </row>
  </sheetData>
  <mergeCells count="12">
    <mergeCell ref="AL26:AQ26"/>
    <mergeCell ref="AM27:AP30"/>
    <mergeCell ref="B1:I5"/>
    <mergeCell ref="N1:T1"/>
    <mergeCell ref="U1:V1"/>
    <mergeCell ref="W1:Y1"/>
    <mergeCell ref="AD2:AE2"/>
    <mergeCell ref="AD3:AE3"/>
    <mergeCell ref="AD4:AE4"/>
    <mergeCell ref="J5:K5"/>
    <mergeCell ref="L5:M5"/>
    <mergeCell ref="Q5:W5"/>
  </mergeCells>
  <pageMargins left="0.23622047244094491" right="3.937007874015748E-2" top="0.35433070866141736" bottom="0.35433070866141736" header="0.11811023622047245" footer="0.11811023622047245"/>
  <pageSetup paperSize="9" scale="55" fitToHeight="0" orientation="landscape" r:id="rId1"/>
  <colBreaks count="1" manualBreakCount="1">
    <brk id="36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A1:AO41"/>
  <sheetViews>
    <sheetView view="pageBreakPreview" zoomScale="60" zoomScaleNormal="40" workbookViewId="0">
      <selection activeCell="I34" sqref="I34"/>
    </sheetView>
  </sheetViews>
  <sheetFormatPr defaultRowHeight="15"/>
  <cols>
    <col min="1" max="1" customWidth="true" width="5.28515625"/>
    <col min="2" max="2" customWidth="true" width="7.5703125"/>
    <col min="3" max="3" customWidth="true" style="37" width="31.28515625"/>
    <col min="5" max="35" customWidth="true" width="6.0"/>
    <col min="38" max="38" customWidth="true" width="22.0"/>
  </cols>
  <sheetData>
    <row r="1" spans="1:36" s="32" customFormat="1" ht="29.25" customHeight="1">
      <c r="A1" s="151"/>
      <c r="B1" s="884" t="s">
        <v>75</v>
      </c>
      <c r="C1" s="884"/>
      <c r="D1" s="884"/>
      <c r="E1" s="884"/>
      <c r="F1" s="884"/>
      <c r="G1" s="884"/>
      <c r="H1" s="884"/>
      <c r="I1" s="884"/>
      <c r="J1" s="152" t="s">
        <v>68</v>
      </c>
      <c r="K1" s="248"/>
      <c r="L1" s="152"/>
      <c r="M1" s="152"/>
      <c r="N1" s="890">
        <v>757</v>
      </c>
      <c r="O1" s="890"/>
      <c r="P1" s="890"/>
      <c r="Q1" s="890"/>
      <c r="R1" s="890"/>
      <c r="S1" s="890"/>
      <c r="T1" s="890"/>
      <c r="U1" s="888" t="s">
        <v>10</v>
      </c>
      <c r="V1" s="888"/>
      <c r="W1" s="889" t="s">
        <v>65</v>
      </c>
      <c r="X1" s="889"/>
      <c r="Y1" s="889"/>
      <c r="Z1" s="153"/>
      <c r="AA1" s="154"/>
      <c r="AB1" s="155"/>
      <c r="AC1" s="155"/>
      <c r="AD1" s="155"/>
      <c r="AE1" s="151"/>
      <c r="AF1" s="151"/>
      <c r="AG1" s="151"/>
      <c r="AH1" s="153"/>
      <c r="AI1" s="153"/>
      <c r="AJ1" s="154"/>
    </row>
    <row r="2" spans="1:36" s="32" customFormat="1" ht="24" customHeight="1">
      <c r="A2" s="151"/>
      <c r="B2" s="884"/>
      <c r="C2" s="884"/>
      <c r="D2" s="884"/>
      <c r="E2" s="884"/>
      <c r="F2" s="884"/>
      <c r="G2" s="884"/>
      <c r="H2" s="884"/>
      <c r="I2" s="884"/>
      <c r="J2" s="156"/>
      <c r="K2" s="157"/>
      <c r="L2" s="157"/>
      <c r="M2" s="157"/>
      <c r="N2" s="157"/>
      <c r="O2" s="249"/>
      <c r="P2" s="249"/>
      <c r="Q2" s="249"/>
      <c r="R2" s="250"/>
      <c r="S2" s="251"/>
      <c r="T2" s="252"/>
      <c r="U2" s="157"/>
      <c r="V2" s="157"/>
      <c r="W2" s="160"/>
      <c r="X2" s="160"/>
      <c r="Y2" s="160"/>
      <c r="Z2" s="153"/>
      <c r="AA2" s="153"/>
      <c r="AB2" s="247" t="s">
        <v>10</v>
      </c>
      <c r="AC2" s="247"/>
      <c r="AD2" s="887"/>
      <c r="AE2" s="887"/>
      <c r="AF2" s="247"/>
      <c r="AG2" s="247" t="s">
        <v>76</v>
      </c>
      <c r="AH2" s="247"/>
      <c r="AI2" s="247"/>
      <c r="AJ2" s="154"/>
    </row>
    <row r="3" spans="1:36" s="32" customFormat="1" ht="24" customHeight="1">
      <c r="A3" s="151"/>
      <c r="B3" s="884"/>
      <c r="C3" s="884"/>
      <c r="D3" s="884"/>
      <c r="E3" s="884"/>
      <c r="F3" s="884"/>
      <c r="G3" s="884"/>
      <c r="H3" s="884"/>
      <c r="I3" s="884"/>
      <c r="J3" s="156"/>
      <c r="K3" s="162" t="s">
        <v>77</v>
      </c>
      <c r="L3" s="157"/>
      <c r="M3" s="157"/>
      <c r="N3" s="163"/>
      <c r="O3" s="253"/>
      <c r="P3" s="253" t="e">
        <f>INDEX(база!$AL:$AL, MATCH(N1,база!$AK:$AK,0))</f>
        <v>#N/A</v>
      </c>
      <c r="Q3" s="253"/>
      <c r="R3" s="254"/>
      <c r="S3" s="254"/>
      <c r="T3" s="255"/>
      <c r="U3" s="157"/>
      <c r="V3" s="157"/>
      <c r="W3" s="164"/>
      <c r="X3" s="164"/>
      <c r="Y3" s="164"/>
      <c r="Z3" s="153"/>
      <c r="AA3" s="153"/>
      <c r="AB3" s="247" t="s">
        <v>78</v>
      </c>
      <c r="AC3" s="247"/>
      <c r="AD3" s="887"/>
      <c r="AE3" s="887"/>
      <c r="AF3" s="247"/>
      <c r="AG3" s="247" t="s">
        <v>85</v>
      </c>
      <c r="AH3" s="247"/>
      <c r="AI3" s="247"/>
      <c r="AJ3" s="154"/>
    </row>
    <row r="4" spans="1:36" s="32" customFormat="1" ht="24" customHeight="1">
      <c r="A4" s="151"/>
      <c r="B4" s="884"/>
      <c r="C4" s="884"/>
      <c r="D4" s="884"/>
      <c r="E4" s="884"/>
      <c r="F4" s="884"/>
      <c r="G4" s="884"/>
      <c r="H4" s="884"/>
      <c r="I4" s="884"/>
      <c r="J4" s="156"/>
      <c r="K4" s="157"/>
      <c r="L4" s="157"/>
      <c r="M4" s="157"/>
      <c r="N4" s="157"/>
      <c r="O4" s="165"/>
      <c r="P4" s="165"/>
      <c r="Q4" s="165"/>
      <c r="R4" s="153"/>
      <c r="S4" s="153"/>
      <c r="T4" s="158"/>
      <c r="U4" s="159"/>
      <c r="V4" s="159"/>
      <c r="W4" s="164"/>
      <c r="X4" s="164"/>
      <c r="Y4" s="164"/>
      <c r="Z4" s="153"/>
      <c r="AA4" s="153"/>
      <c r="AB4" s="247" t="s">
        <v>79</v>
      </c>
      <c r="AC4" s="247"/>
      <c r="AD4" s="887"/>
      <c r="AE4" s="887"/>
      <c r="AF4" s="247"/>
      <c r="AG4" s="247" t="s">
        <v>80</v>
      </c>
      <c r="AH4" s="247"/>
      <c r="AI4" s="247"/>
      <c r="AJ4" s="154"/>
    </row>
    <row r="5" spans="1:36" s="32" customFormat="1" ht="24" customHeight="1">
      <c r="A5" s="151"/>
      <c r="B5" s="884"/>
      <c r="C5" s="884"/>
      <c r="D5" s="884"/>
      <c r="E5" s="884"/>
      <c r="F5" s="884"/>
      <c r="G5" s="884"/>
      <c r="H5" s="884"/>
      <c r="I5" s="884"/>
      <c r="J5" s="885" t="str">
        <f>Data_Tech!A3</f>
        <v>декабрь</v>
      </c>
      <c r="K5" s="885"/>
      <c r="L5" s="886">
        <v>2022</v>
      </c>
      <c r="M5" s="886"/>
      <c r="N5" s="166"/>
      <c r="O5" s="166"/>
      <c r="P5" s="166"/>
      <c r="Q5" s="166"/>
      <c r="R5" s="166"/>
      <c r="S5" s="166"/>
      <c r="T5" s="166"/>
      <c r="U5" s="166"/>
      <c r="V5" s="166"/>
      <c r="W5" s="153"/>
      <c r="X5" s="153"/>
      <c r="Y5" s="153"/>
      <c r="Z5" s="153"/>
      <c r="AA5" s="153"/>
      <c r="AB5" s="247" t="s">
        <v>81</v>
      </c>
      <c r="AC5" s="247"/>
      <c r="AD5" s="247"/>
      <c r="AE5" s="247"/>
      <c r="AF5" s="247"/>
      <c r="AG5" s="247" t="s">
        <v>82</v>
      </c>
      <c r="AH5" s="247"/>
      <c r="AI5" s="247"/>
      <c r="AJ5" s="154"/>
    </row>
    <row r="6" spans="1:36" s="32" customFormat="1" ht="25.5" customHeight="1">
      <c r="A6" s="151"/>
      <c r="B6" s="133" t="s">
        <v>9</v>
      </c>
      <c r="C6" s="134" t="s">
        <v>0</v>
      </c>
      <c r="D6" s="135" t="s">
        <v>1</v>
      </c>
      <c r="E6" s="136">
        <v>1</v>
      </c>
      <c r="F6" s="136">
        <v>2</v>
      </c>
      <c r="G6" s="136">
        <v>3</v>
      </c>
      <c r="H6" s="136">
        <v>4</v>
      </c>
      <c r="I6" s="136">
        <v>5</v>
      </c>
      <c r="J6" s="136">
        <v>6</v>
      </c>
      <c r="K6" s="136">
        <v>7</v>
      </c>
      <c r="L6" s="136">
        <v>8</v>
      </c>
      <c r="M6" s="136">
        <v>9</v>
      </c>
      <c r="N6" s="136">
        <v>10</v>
      </c>
      <c r="O6" s="136">
        <v>11</v>
      </c>
      <c r="P6" s="136">
        <v>12</v>
      </c>
      <c r="Q6" s="136">
        <v>13</v>
      </c>
      <c r="R6" s="136">
        <v>14</v>
      </c>
      <c r="S6" s="136">
        <v>15</v>
      </c>
      <c r="T6" s="136">
        <v>16</v>
      </c>
      <c r="U6" s="136">
        <v>17</v>
      </c>
      <c r="V6" s="136">
        <v>18</v>
      </c>
      <c r="W6" s="136">
        <v>19</v>
      </c>
      <c r="X6" s="136">
        <v>20</v>
      </c>
      <c r="Y6" s="136">
        <v>21</v>
      </c>
      <c r="Z6" s="136">
        <v>22</v>
      </c>
      <c r="AA6" s="136">
        <v>23</v>
      </c>
      <c r="AB6" s="136">
        <v>24</v>
      </c>
      <c r="AC6" s="136">
        <v>25</v>
      </c>
      <c r="AD6" s="136">
        <v>26</v>
      </c>
      <c r="AE6" s="136">
        <v>27</v>
      </c>
      <c r="AF6" s="136">
        <v>28</v>
      </c>
      <c r="AG6" s="136">
        <v>29</v>
      </c>
      <c r="AH6" s="136">
        <v>30</v>
      </c>
      <c r="AI6" s="136">
        <v>31</v>
      </c>
      <c r="AJ6" s="137"/>
    </row>
    <row r="7" spans="1:36" ht="33" customHeight="1">
      <c r="A7" s="148">
        <v>1</v>
      </c>
      <c r="B7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1))),"")</f>
        <v/>
      </c>
      <c r="C7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О.]]))/(Таблица1[[мес]:[мес]]=$J$5)/(Таблица1[[год]:[год]]=$L$5)/(Таблица1[[изд]:[изд]]=$N$1)/(Таблица1[[партия]:[партия]]=$W$1),ROW(B1))),"")</f>
        <v/>
      </c>
      <c r="D7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1))),"")</f>
        <v/>
      </c>
      <c r="E7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1))),"")</f>
        <v/>
      </c>
      <c r="F7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1))),"")</f>
        <v/>
      </c>
      <c r="G7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1))),"")</f>
        <v/>
      </c>
      <c r="H7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1))),"")</f>
        <v/>
      </c>
      <c r="I7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1))),"")</f>
        <v/>
      </c>
      <c r="J7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1))),"")</f>
        <v/>
      </c>
      <c r="K7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1))),"")</f>
        <v/>
      </c>
      <c r="L7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1))),"")</f>
        <v/>
      </c>
      <c r="M7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1))),"")</f>
        <v/>
      </c>
      <c r="N7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1))),"")</f>
        <v/>
      </c>
      <c r="O7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1))),"")</f>
        <v/>
      </c>
      <c r="P7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1))),"")</f>
        <v/>
      </c>
      <c r="Q7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1))),"")</f>
        <v/>
      </c>
      <c r="R7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1))),"")</f>
        <v/>
      </c>
      <c r="S7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1))),"")</f>
        <v/>
      </c>
      <c r="T7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1))),"")</f>
        <v/>
      </c>
      <c r="U7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1))),"")</f>
        <v/>
      </c>
      <c r="V7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1))),"")</f>
        <v/>
      </c>
      <c r="W7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1))),"")</f>
        <v/>
      </c>
      <c r="X7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1))),"")</f>
        <v/>
      </c>
      <c r="Y7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1))),"")</f>
        <v/>
      </c>
      <c r="Z7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1))),"")</f>
        <v/>
      </c>
      <c r="AA7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1))),"")</f>
        <v/>
      </c>
      <c r="AB7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1))),"")</f>
        <v/>
      </c>
      <c r="AC7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1))),"")</f>
        <v/>
      </c>
      <c r="AD7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1))),"")</f>
        <v/>
      </c>
      <c r="AE7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1))),"")</f>
        <v/>
      </c>
      <c r="AF7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1))),"")</f>
        <v/>
      </c>
      <c r="AG7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1))),"")</f>
        <v/>
      </c>
      <c r="AH7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1))),"")</f>
        <v/>
      </c>
      <c r="AI7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IFERROR(INDEX(#REF!,_xlfn.AGGREGATE(15,6,(ROW(#REF!)-ROW(#REF!))/(Таблица1[[мес]:[мес]]=$J$5)/(Таблица1[[год]:[год]]=$L$5)/(Таблица1[[изд]:[изд]]=$N$1:$T$1)/(Таблица1[[партия]:[партия]]=$W$1),ROW(AH1))),"")</f>
        <v/>
      </c>
      <c r="AJ7" s="139">
        <f t="shared" ref="AJ7:AJ24" si="0">SUM(E7:AI7)</f>
        <v>0</v>
      </c>
    </row>
    <row r="8" spans="1:36" ht="33" customHeight="1">
      <c r="A8" s="148">
        <v>2</v>
      </c>
      <c r="B8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2))),"")</f>
        <v/>
      </c>
      <c r="C8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О.]]))/(Таблица1[[мес]:[мес]]=$J$5)/(Таблица1[[год]:[год]]=$L$5)/(Таблица1[[изд]:[изд]]=$N$1)/(Таблица1[[партия]:[партия]]=$W$1),ROW(B2))),"")</f>
        <v/>
      </c>
      <c r="D8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2))),"")</f>
        <v/>
      </c>
      <c r="E8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2))),"")</f>
        <v/>
      </c>
      <c r="F8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2))),"")</f>
        <v/>
      </c>
      <c r="G8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2))),"")</f>
        <v/>
      </c>
      <c r="H8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2))),"")</f>
        <v/>
      </c>
      <c r="I8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2))),"")</f>
        <v/>
      </c>
      <c r="J8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2))),"")</f>
        <v/>
      </c>
      <c r="K8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2))),"")</f>
        <v/>
      </c>
      <c r="L8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2))),"")</f>
        <v/>
      </c>
      <c r="M8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2))),"")</f>
        <v/>
      </c>
      <c r="N8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2))),"")</f>
        <v/>
      </c>
      <c r="O8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2))),"")</f>
        <v/>
      </c>
      <c r="P8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2))),"")</f>
        <v/>
      </c>
      <c r="Q8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2))),"")</f>
        <v/>
      </c>
      <c r="R8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2))),"")</f>
        <v/>
      </c>
      <c r="S8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2))),"")</f>
        <v/>
      </c>
      <c r="T8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2))),"")</f>
        <v/>
      </c>
      <c r="U8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2))),"")</f>
        <v/>
      </c>
      <c r="V8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2))),"")</f>
        <v/>
      </c>
      <c r="W8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2))),"")</f>
        <v/>
      </c>
      <c r="X8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2))),"")</f>
        <v/>
      </c>
      <c r="Y8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2))),"")</f>
        <v/>
      </c>
      <c r="Z8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2))),"")</f>
        <v/>
      </c>
      <c r="AA8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2))),"")</f>
        <v/>
      </c>
      <c r="AB8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2))),"")</f>
        <v/>
      </c>
      <c r="AC8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2))),"")</f>
        <v/>
      </c>
      <c r="AD8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2))),"")</f>
        <v/>
      </c>
      <c r="AE8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2))),"")</f>
        <v/>
      </c>
      <c r="AF8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2))),"")</f>
        <v/>
      </c>
      <c r="AG8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2))),"")</f>
        <v/>
      </c>
      <c r="AH8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2))),"")</f>
        <v/>
      </c>
      <c r="AI8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IFERROR(INDEX(#REF!,_xlfn.AGGREGATE(15,6,(ROW(#REF!)-ROW(#REF!))/(Таблица1[[мес]:[мес]]=$J$5)/(Таблица1[[год]:[год]]=$L$5)/(Таблица1[[изд]:[изд]]=$N$1:$T$1)/(Таблица1[[партия]:[партия]]=$W$1),ROW(AH2))),"")</f>
        <v/>
      </c>
      <c r="AJ8" s="140">
        <f t="shared" si="0"/>
        <v>0</v>
      </c>
    </row>
    <row r="9" spans="1:36" ht="33" customHeight="1">
      <c r="A9" s="148">
        <v>3</v>
      </c>
      <c r="B9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3))),"")</f>
        <v/>
      </c>
      <c r="C9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О.]]))/(Таблица1[[мес]:[мес]]=$J$5)/(Таблица1[[год]:[год]]=$L$5)/(Таблица1[[изд]:[изд]]=$N$1)/(Таблица1[[партия]:[партия]]=$W$1),ROW(B3))),"")</f>
        <v/>
      </c>
      <c r="D9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3))),"")</f>
        <v/>
      </c>
      <c r="E9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3))),"")</f>
        <v/>
      </c>
      <c r="F9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3))),"")</f>
        <v/>
      </c>
      <c r="G9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3))),"")</f>
        <v/>
      </c>
      <c r="H9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3))),"")</f>
        <v/>
      </c>
      <c r="I9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3))),"")</f>
        <v/>
      </c>
      <c r="J9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3))),"")</f>
        <v/>
      </c>
      <c r="K9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3))),"")</f>
        <v/>
      </c>
      <c r="L9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3))),"")</f>
        <v/>
      </c>
      <c r="M9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3))),"")</f>
        <v/>
      </c>
      <c r="N9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3))),"")</f>
        <v/>
      </c>
      <c r="O9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3))),"")</f>
        <v/>
      </c>
      <c r="P9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3))),"")</f>
        <v/>
      </c>
      <c r="Q9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3))),"")</f>
        <v/>
      </c>
      <c r="R9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3))),"")</f>
        <v/>
      </c>
      <c r="S9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3))),"")</f>
        <v/>
      </c>
      <c r="T9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3))),"")</f>
        <v/>
      </c>
      <c r="U9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3))),"")</f>
        <v/>
      </c>
      <c r="V9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3))),"")</f>
        <v/>
      </c>
      <c r="W9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3))),"")</f>
        <v/>
      </c>
      <c r="X9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3))),"")</f>
        <v/>
      </c>
      <c r="Y9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3))),"")</f>
        <v/>
      </c>
      <c r="Z9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3))),"")</f>
        <v/>
      </c>
      <c r="AA9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3))),"")</f>
        <v/>
      </c>
      <c r="AB9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3))),"")</f>
        <v/>
      </c>
      <c r="AC9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3))),"")</f>
        <v/>
      </c>
      <c r="AD9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3))),"")</f>
        <v/>
      </c>
      <c r="AE9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3))),"")</f>
        <v/>
      </c>
      <c r="AF9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3))),"")</f>
        <v/>
      </c>
      <c r="AG9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3))),"")</f>
        <v/>
      </c>
      <c r="AH9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3))),"")</f>
        <v/>
      </c>
      <c r="AI9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IFERROR(INDEX(#REF!,_xlfn.AGGREGATE(15,6,(ROW(#REF!)-ROW(#REF!))/(Таблица1[[мес]:[мес]]=$J$5)/(Таблица1[[год]:[год]]=$L$5)/(Таблица1[[изд]:[изд]]=$N$1:$T$1)/(Таблица1[[партия]:[партия]]=$W$1),ROW(AH3))),"")</f>
        <v/>
      </c>
      <c r="AJ9" s="139">
        <f t="shared" si="0"/>
        <v>0</v>
      </c>
    </row>
    <row r="10" spans="1:36" ht="33" customHeight="1">
      <c r="A10" s="148">
        <v>4</v>
      </c>
      <c r="B10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4))),"")</f>
        <v/>
      </c>
      <c r="C10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О.]]))/(Таблица1[[мес]:[мес]]=$J$5)/(Таблица1[[год]:[год]]=$L$5)/(Таблица1[[изд]:[изд]]=$N$1)/(Таблица1[[партия]:[партия]]=$W$1),ROW(B4))),"")</f>
        <v/>
      </c>
      <c r="D10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4))),"")</f>
        <v/>
      </c>
      <c r="E10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4))),"")</f>
        <v/>
      </c>
      <c r="F10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4))),"")</f>
        <v/>
      </c>
      <c r="G10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4))),"")</f>
        <v/>
      </c>
      <c r="H10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4))),"")</f>
        <v/>
      </c>
      <c r="I10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4))),"")</f>
        <v/>
      </c>
      <c r="J10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4))),"")</f>
        <v/>
      </c>
      <c r="K10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4))),"")</f>
        <v/>
      </c>
      <c r="L10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4))),"")</f>
        <v/>
      </c>
      <c r="M10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4))),"")</f>
        <v/>
      </c>
      <c r="N10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4))),"")</f>
        <v/>
      </c>
      <c r="O10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4))),"")</f>
        <v/>
      </c>
      <c r="P10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4))),"")</f>
        <v/>
      </c>
      <c r="Q10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4))),"")</f>
        <v/>
      </c>
      <c r="R10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4))),"")</f>
        <v/>
      </c>
      <c r="S10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4))),"")</f>
        <v/>
      </c>
      <c r="T10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4))),"")</f>
        <v/>
      </c>
      <c r="U10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4))),"")</f>
        <v/>
      </c>
      <c r="V10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4))),"")</f>
        <v/>
      </c>
      <c r="W10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4))),"")</f>
        <v/>
      </c>
      <c r="X10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4))),"")</f>
        <v/>
      </c>
      <c r="Y10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4))),"")</f>
        <v/>
      </c>
      <c r="Z10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4))),"")</f>
        <v/>
      </c>
      <c r="AA10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4))),"")</f>
        <v/>
      </c>
      <c r="AB10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4))),"")</f>
        <v/>
      </c>
      <c r="AC10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4))),"")</f>
        <v/>
      </c>
      <c r="AD10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4))),"")</f>
        <v/>
      </c>
      <c r="AE10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4))),"")</f>
        <v/>
      </c>
      <c r="AF10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4))),"")</f>
        <v/>
      </c>
      <c r="AG10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4))),"")</f>
        <v/>
      </c>
      <c r="AH10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4))),"")</f>
        <v/>
      </c>
      <c r="AI10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IFERROR(INDEX(#REF!,_xlfn.AGGREGATE(15,6,(ROW(#REF!)-ROW(#REF!))/(Таблица1[[мес]:[мес]]=$J$5)/(Таблица1[[год]:[год]]=$L$5)/(Таблица1[[изд]:[изд]]=$N$1:$T$1)/(Таблица1[[партия]:[партия]]=$W$1),ROW(AH4))),"")</f>
        <v/>
      </c>
      <c r="AJ10" s="140">
        <f t="shared" si="0"/>
        <v>0</v>
      </c>
    </row>
    <row r="11" spans="1:36" ht="33" customHeight="1">
      <c r="A11" s="148">
        <v>5</v>
      </c>
      <c r="B11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5))),"")</f>
        <v/>
      </c>
      <c r="C11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О.]]))/(Таблица1[[мес]:[мес]]=$J$5)/(Таблица1[[год]:[год]]=$L$5)/(Таблица1[[изд]:[изд]]=$N$1)/(Таблица1[[партия]:[партия]]=$W$1),ROW(B5))),"")</f>
        <v/>
      </c>
      <c r="D11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5))),"")</f>
        <v/>
      </c>
      <c r="E11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5))),"")</f>
        <v/>
      </c>
      <c r="F11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5))),"")</f>
        <v/>
      </c>
      <c r="G11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5))),"")</f>
        <v/>
      </c>
      <c r="H11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5))),"")</f>
        <v/>
      </c>
      <c r="I11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5))),"")</f>
        <v/>
      </c>
      <c r="J11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5))),"")</f>
        <v/>
      </c>
      <c r="K11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5))),"")</f>
        <v/>
      </c>
      <c r="L11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5))),"")</f>
        <v/>
      </c>
      <c r="M11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5))),"")</f>
        <v/>
      </c>
      <c r="N11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5))),"")</f>
        <v/>
      </c>
      <c r="O11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5))),"")</f>
        <v/>
      </c>
      <c r="P11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5))),"")</f>
        <v/>
      </c>
      <c r="Q11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5))),"")</f>
        <v/>
      </c>
      <c r="R11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5))),"")</f>
        <v/>
      </c>
      <c r="S11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5))),"")</f>
        <v/>
      </c>
      <c r="T11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5))),"")</f>
        <v/>
      </c>
      <c r="U11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5))),"")</f>
        <v/>
      </c>
      <c r="V11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5))),"")</f>
        <v/>
      </c>
      <c r="W11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5))),"")</f>
        <v/>
      </c>
      <c r="X11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5))),"")</f>
        <v/>
      </c>
      <c r="Y11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5))),"")</f>
        <v/>
      </c>
      <c r="Z11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5))),"")</f>
        <v/>
      </c>
      <c r="AA11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5))),"")</f>
        <v/>
      </c>
      <c r="AB11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5))),"")</f>
        <v/>
      </c>
      <c r="AC11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5))),"")</f>
        <v/>
      </c>
      <c r="AD11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5))),"")</f>
        <v/>
      </c>
      <c r="AE11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5))),"")</f>
        <v/>
      </c>
      <c r="AF11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5))),"")</f>
        <v/>
      </c>
      <c r="AG11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5))),"")</f>
        <v/>
      </c>
      <c r="AH11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5))),"")</f>
        <v/>
      </c>
      <c r="AI11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IFERROR(INDEX(#REF!,_xlfn.AGGREGATE(15,6,(ROW(#REF!)-ROW(#REF!))/(Таблица1[[мес]:[мес]]=$J$5)/(Таблица1[[год]:[год]]=$L$5)/(Таблица1[[изд]:[изд]]=$N$1:$T$1)/(Таблица1[[партия]:[партия]]=$W$1),ROW(AH5))),"")</f>
        <v/>
      </c>
      <c r="AJ11" s="139">
        <f t="shared" si="0"/>
        <v>0</v>
      </c>
    </row>
    <row r="12" spans="1:36" ht="33" customHeight="1">
      <c r="A12" s="148">
        <v>6</v>
      </c>
      <c r="B12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6))),"")</f>
        <v/>
      </c>
      <c r="C12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О.]]))/(Таблица1[[мес]:[мес]]=$J$5)/(Таблица1[[год]:[год]]=$L$5)/(Таблица1[[изд]:[изд]]=$N$1)/(Таблица1[[партия]:[партия]]=$W$1),ROW(B6))),"")</f>
        <v/>
      </c>
      <c r="D12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6))),"")</f>
        <v/>
      </c>
      <c r="E12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6))),"")</f>
        <v/>
      </c>
      <c r="F12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6))),"")</f>
        <v/>
      </c>
      <c r="G12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6))),"")</f>
        <v/>
      </c>
      <c r="H12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6))),"")</f>
        <v/>
      </c>
      <c r="I12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6))),"")</f>
        <v/>
      </c>
      <c r="J12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6))),"")</f>
        <v/>
      </c>
      <c r="K12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6))),"")</f>
        <v/>
      </c>
      <c r="L12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6))),"")</f>
        <v/>
      </c>
      <c r="M12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6))),"")</f>
        <v/>
      </c>
      <c r="N12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6))),"")</f>
        <v/>
      </c>
      <c r="O12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6))),"")</f>
        <v/>
      </c>
      <c r="P12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6))),"")</f>
        <v/>
      </c>
      <c r="Q12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6))),"")</f>
        <v/>
      </c>
      <c r="R12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6))),"")</f>
        <v/>
      </c>
      <c r="S12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6))),"")</f>
        <v/>
      </c>
      <c r="T12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6))),"")</f>
        <v/>
      </c>
      <c r="U12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6))),"")</f>
        <v/>
      </c>
      <c r="V12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6))),"")</f>
        <v/>
      </c>
      <c r="W12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6))),"")</f>
        <v/>
      </c>
      <c r="X12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6))),"")</f>
        <v/>
      </c>
      <c r="Y12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6))),"")</f>
        <v/>
      </c>
      <c r="Z12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6))),"")</f>
        <v/>
      </c>
      <c r="AA12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6))),"")</f>
        <v/>
      </c>
      <c r="AB12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6))),"")</f>
        <v/>
      </c>
      <c r="AC12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6))),"")</f>
        <v/>
      </c>
      <c r="AD12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6))),"")</f>
        <v/>
      </c>
      <c r="AE12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6))),"")</f>
        <v/>
      </c>
      <c r="AF12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6))),"")</f>
        <v/>
      </c>
      <c r="AG12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6))),"")</f>
        <v/>
      </c>
      <c r="AH12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6))),"")</f>
        <v/>
      </c>
      <c r="AI12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IFERROR(INDEX(#REF!,_xlfn.AGGREGATE(15,6,(ROW(#REF!)-ROW(#REF!))/(Таблица1[[мес]:[мес]]=$J$5)/(Таблица1[[год]:[год]]=$L$5)/(Таблица1[[изд]:[изд]]=$N$1:$T$1)/(Таблица1[[партия]:[партия]]=$W$1),ROW(AH6))),"")</f>
        <v/>
      </c>
      <c r="AJ12" s="139">
        <f t="shared" si="0"/>
        <v>0</v>
      </c>
    </row>
    <row r="13" spans="1:36" ht="33" customHeight="1">
      <c r="A13" s="148">
        <v>7</v>
      </c>
      <c r="B13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7))),"")</f>
        <v/>
      </c>
      <c r="C13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О.]]))/(Таблица1[[мес]:[мес]]=$J$5)/(Таблица1[[год]:[год]]=$L$5)/(Таблица1[[изд]:[изд]]=$N$1)/(Таблица1[[партия]:[партия]]=$W$1),ROW(B7))),"")</f>
        <v/>
      </c>
      <c r="D13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7))),"")</f>
        <v/>
      </c>
      <c r="E13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7))),"")</f>
        <v/>
      </c>
      <c r="F13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7))),"")</f>
        <v/>
      </c>
      <c r="G13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7))),"")</f>
        <v/>
      </c>
      <c r="H13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7))),"")</f>
        <v/>
      </c>
      <c r="I13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7))),"")</f>
        <v/>
      </c>
      <c r="J13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7))),"")</f>
        <v/>
      </c>
      <c r="K13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7))),"")</f>
        <v/>
      </c>
      <c r="L13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7))),"")</f>
        <v/>
      </c>
      <c r="M13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7))),"")</f>
        <v/>
      </c>
      <c r="N13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7))),"")</f>
        <v/>
      </c>
      <c r="O13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7))),"")</f>
        <v/>
      </c>
      <c r="P13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7))),"")</f>
        <v/>
      </c>
      <c r="Q13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7))),"")</f>
        <v/>
      </c>
      <c r="R13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7))),"")</f>
        <v/>
      </c>
      <c r="S13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7))),"")</f>
        <v/>
      </c>
      <c r="T13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7))),"")</f>
        <v/>
      </c>
      <c r="U13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7))),"")</f>
        <v/>
      </c>
      <c r="V13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7))),"")</f>
        <v/>
      </c>
      <c r="W13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7))),"")</f>
        <v/>
      </c>
      <c r="X13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7))),"")</f>
        <v/>
      </c>
      <c r="Y13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7))),"")</f>
        <v/>
      </c>
      <c r="Z13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7))),"")</f>
        <v/>
      </c>
      <c r="AA13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7))),"")</f>
        <v/>
      </c>
      <c r="AB13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7))),"")</f>
        <v/>
      </c>
      <c r="AC13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7))),"")</f>
        <v/>
      </c>
      <c r="AD13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7))),"")</f>
        <v/>
      </c>
      <c r="AE13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7))),"")</f>
        <v/>
      </c>
      <c r="AF13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7))),"")</f>
        <v/>
      </c>
      <c r="AG13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7))),"")</f>
        <v/>
      </c>
      <c r="AH13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7))),"")</f>
        <v/>
      </c>
      <c r="AI13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IFERROR(INDEX(#REF!,_xlfn.AGGREGATE(15,6,(ROW(#REF!)-ROW(#REF!))/(Таблица1[[мес]:[мес]]=$J$5)/(Таблица1[[год]:[год]]=$L$5)/(Таблица1[[изд]:[изд]]=$N$1:$T$1)/(Таблица1[[партия]:[партия]]=$W$1),ROW(AH7))),"")</f>
        <v/>
      </c>
      <c r="AJ13" s="139">
        <f t="shared" si="0"/>
        <v>0</v>
      </c>
    </row>
    <row r="14" spans="1:36" ht="33" customHeight="1">
      <c r="A14" s="148">
        <v>8</v>
      </c>
      <c r="B14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8))),"")</f>
        <v/>
      </c>
      <c r="C14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О.]]))/(Таблица1[[мес]:[мес]]=$J$5)/(Таблица1[[год]:[год]]=$L$5)/(Таблица1[[изд]:[изд]]=$N$1)/(Таблица1[[партия]:[партия]]=$W$1),ROW(B8))),"")</f>
        <v/>
      </c>
      <c r="D14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8))),"")</f>
        <v/>
      </c>
      <c r="E14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8))),"")</f>
        <v/>
      </c>
      <c r="F14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8))),"")</f>
        <v/>
      </c>
      <c r="G14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8))),"")</f>
        <v/>
      </c>
      <c r="H14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8))),"")</f>
        <v/>
      </c>
      <c r="I14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8))),"")</f>
        <v/>
      </c>
      <c r="J14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8))),"")</f>
        <v/>
      </c>
      <c r="K14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8))),"")</f>
        <v/>
      </c>
      <c r="L14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8))),"")</f>
        <v/>
      </c>
      <c r="M14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8))),"")</f>
        <v/>
      </c>
      <c r="N14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8))),"")</f>
        <v/>
      </c>
      <c r="O14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8))),"")</f>
        <v/>
      </c>
      <c r="P14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8))),"")</f>
        <v/>
      </c>
      <c r="Q14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8))),"")</f>
        <v/>
      </c>
      <c r="R14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8))),"")</f>
        <v/>
      </c>
      <c r="S14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8))),"")</f>
        <v/>
      </c>
      <c r="T14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8))),"")</f>
        <v/>
      </c>
      <c r="U14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8))),"")</f>
        <v/>
      </c>
      <c r="V14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8))),"")</f>
        <v/>
      </c>
      <c r="W14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8))),"")</f>
        <v/>
      </c>
      <c r="X14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8))),"")</f>
        <v/>
      </c>
      <c r="Y14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8))),"")</f>
        <v/>
      </c>
      <c r="Z14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8))),"")</f>
        <v/>
      </c>
      <c r="AA14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8))),"")</f>
        <v/>
      </c>
      <c r="AB14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8))),"")</f>
        <v/>
      </c>
      <c r="AC14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8))),"")</f>
        <v/>
      </c>
      <c r="AD14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8))),"")</f>
        <v/>
      </c>
      <c r="AE14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8))),"")</f>
        <v/>
      </c>
      <c r="AF14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8))),"")</f>
        <v/>
      </c>
      <c r="AG14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8))),"")</f>
        <v/>
      </c>
      <c r="AH14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8))),"")</f>
        <v/>
      </c>
      <c r="AI14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IFERROR(INDEX(#REF!,_xlfn.AGGREGATE(15,6,(ROW(#REF!)-ROW(#REF!))/(Таблица1[[мес]:[мес]]=$J$5)/(Таблица1[[год]:[год]]=$L$5)/(Таблица1[[изд]:[изд]]=$N$1:$T$1)/(Таблица1[[партия]:[партия]]=$W$1),ROW(AH8))),"")</f>
        <v/>
      </c>
      <c r="AJ14" s="140">
        <f t="shared" si="0"/>
        <v>0</v>
      </c>
    </row>
    <row r="15" spans="1:36" ht="33" customHeight="1">
      <c r="A15" s="148">
        <v>9</v>
      </c>
      <c r="B15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9))),"")</f>
        <v/>
      </c>
      <c r="C15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О.]]))/(Таблица1[[мес]:[мес]]=$J$5)/(Таблица1[[год]:[год]]=$L$5)/(Таблица1[[изд]:[изд]]=$N$1)/(Таблица1[[партия]:[партия]]=$W$1),ROW(B9))),"")</f>
        <v/>
      </c>
      <c r="D15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9))),"")</f>
        <v/>
      </c>
      <c r="E15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9))),"")</f>
        <v/>
      </c>
      <c r="F15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9))),"")</f>
        <v/>
      </c>
      <c r="G15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9))),"")</f>
        <v/>
      </c>
      <c r="H15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9))),"")</f>
        <v/>
      </c>
      <c r="I15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9))),"")</f>
        <v/>
      </c>
      <c r="J15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9))),"")</f>
        <v/>
      </c>
      <c r="K15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9))),"")</f>
        <v/>
      </c>
      <c r="L15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9))),"")</f>
        <v/>
      </c>
      <c r="M15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9))),"")</f>
        <v/>
      </c>
      <c r="N15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9))),"")</f>
        <v/>
      </c>
      <c r="O15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9))),"")</f>
        <v/>
      </c>
      <c r="P15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9))),"")</f>
        <v/>
      </c>
      <c r="Q15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9))),"")</f>
        <v/>
      </c>
      <c r="R15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9))),"")</f>
        <v/>
      </c>
      <c r="S15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9))),"")</f>
        <v/>
      </c>
      <c r="T15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9))),"")</f>
        <v/>
      </c>
      <c r="U15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9))),"")</f>
        <v/>
      </c>
      <c r="V15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9))),"")</f>
        <v/>
      </c>
      <c r="W15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9))),"")</f>
        <v/>
      </c>
      <c r="X15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9))),"")</f>
        <v/>
      </c>
      <c r="Y15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9))),"")</f>
        <v/>
      </c>
      <c r="Z15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9))),"")</f>
        <v/>
      </c>
      <c r="AA15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9))),"")</f>
        <v/>
      </c>
      <c r="AB15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9))),"")</f>
        <v/>
      </c>
      <c r="AC15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9))),"")</f>
        <v/>
      </c>
      <c r="AD15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9))),"")</f>
        <v/>
      </c>
      <c r="AE15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9))),"")</f>
        <v/>
      </c>
      <c r="AF15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9))),"")</f>
        <v/>
      </c>
      <c r="AG15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9))),"")</f>
        <v/>
      </c>
      <c r="AH15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9))),"")</f>
        <v/>
      </c>
      <c r="AI15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IFERROR(INDEX(#REF!,_xlfn.AGGREGATE(15,6,(ROW(#REF!)-ROW(#REF!))/(Таблица1[[мес]:[мес]]=$J$5)/(Таблица1[[год]:[год]]=$L$5)/(Таблица1[[изд]:[изд]]=$N$1:$T$1)/(Таблица1[[партия]:[партия]]=$W$1),ROW(AH9))),"")</f>
        <v/>
      </c>
      <c r="AJ15" s="141">
        <f t="shared" si="0"/>
        <v>0</v>
      </c>
    </row>
    <row r="16" spans="1:36" ht="33" customHeight="1">
      <c r="A16" s="148">
        <v>10</v>
      </c>
      <c r="B16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10))),"")</f>
        <v/>
      </c>
      <c r="C16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О.]]))/(Таблица1[[мес]:[мес]]=$J$5)/(Таблица1[[год]:[год]]=$L$5)/(Таблица1[[изд]:[изд]]=$N$1)/(Таблица1[[партия]:[партия]]=$W$1),ROW(B10))),"")</f>
        <v/>
      </c>
      <c r="D16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10))),"")</f>
        <v/>
      </c>
      <c r="E16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10))),"")</f>
        <v/>
      </c>
      <c r="F16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10))),"")</f>
        <v/>
      </c>
      <c r="G16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10))),"")</f>
        <v/>
      </c>
      <c r="H16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10))),"")</f>
        <v/>
      </c>
      <c r="I16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10))),"")</f>
        <v/>
      </c>
      <c r="J16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10))),"")</f>
        <v/>
      </c>
      <c r="K16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10))),"")</f>
        <v/>
      </c>
      <c r="L16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10))),"")</f>
        <v/>
      </c>
      <c r="M16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10))),"")</f>
        <v/>
      </c>
      <c r="N16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10))),"")</f>
        <v/>
      </c>
      <c r="O16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10))),"")</f>
        <v/>
      </c>
      <c r="P16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10))),"")</f>
        <v/>
      </c>
      <c r="Q16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10))),"")</f>
        <v/>
      </c>
      <c r="R16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10))),"")</f>
        <v/>
      </c>
      <c r="S16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10))),"")</f>
        <v/>
      </c>
      <c r="T16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10))),"")</f>
        <v/>
      </c>
      <c r="U16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10))),"")</f>
        <v/>
      </c>
      <c r="V16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10))),"")</f>
        <v/>
      </c>
      <c r="W16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10))),"")</f>
        <v/>
      </c>
      <c r="X16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10))),"")</f>
        <v/>
      </c>
      <c r="Y16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10))),"")</f>
        <v/>
      </c>
      <c r="Z16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10))),"")</f>
        <v/>
      </c>
      <c r="AA16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10))),"")</f>
        <v/>
      </c>
      <c r="AB16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10))),"")</f>
        <v/>
      </c>
      <c r="AC16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10))),"")</f>
        <v/>
      </c>
      <c r="AD16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10))),"")</f>
        <v/>
      </c>
      <c r="AE16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10))),"")</f>
        <v/>
      </c>
      <c r="AF16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10))),"")</f>
        <v/>
      </c>
      <c r="AG16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10))),"")</f>
        <v/>
      </c>
      <c r="AH16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10))),"")</f>
        <v/>
      </c>
      <c r="AI16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IFERROR(INDEX(#REF!,_xlfn.AGGREGATE(15,6,(ROW(#REF!)-ROW(#REF!))/(Таблица1[[мес]:[мес]]=$J$5)/(Таблица1[[год]:[год]]=$L$5)/(Таблица1[[изд]:[изд]]=$N$1:$T$1)/(Таблица1[[партия]:[партия]]=$W$1),ROW(AH10))),"")</f>
        <v/>
      </c>
      <c r="AJ16" s="141">
        <f t="shared" si="0"/>
        <v>0</v>
      </c>
    </row>
    <row r="17" spans="1:36" ht="33" customHeight="1">
      <c r="A17" s="148">
        <v>11</v>
      </c>
      <c r="B17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11))),"")</f>
        <v/>
      </c>
      <c r="C17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О.]]))/(Таблица1[[мес]:[мес]]=$J$5)/(Таблица1[[год]:[год]]=$L$5)/(Таблица1[[изд]:[изд]]=$N$1)/(Таблица1[[партия]:[партия]]=$W$1),ROW(B11))),"")</f>
        <v/>
      </c>
      <c r="D17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11))),"")</f>
        <v/>
      </c>
      <c r="E17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11))),"")</f>
        <v/>
      </c>
      <c r="F17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11))),"")</f>
        <v/>
      </c>
      <c r="G17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11))),"")</f>
        <v/>
      </c>
      <c r="H17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11))),"")</f>
        <v/>
      </c>
      <c r="I17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11))),"")</f>
        <v/>
      </c>
      <c r="J17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11))),"")</f>
        <v/>
      </c>
      <c r="K17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11))),"")</f>
        <v/>
      </c>
      <c r="L17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11))),"")</f>
        <v/>
      </c>
      <c r="M17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11))),"")</f>
        <v/>
      </c>
      <c r="N17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11))),"")</f>
        <v/>
      </c>
      <c r="O17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11))),"")</f>
        <v/>
      </c>
      <c r="P17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11))),"")</f>
        <v/>
      </c>
      <c r="Q17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11))),"")</f>
        <v/>
      </c>
      <c r="R17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11))),"")</f>
        <v/>
      </c>
      <c r="S17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11))),"")</f>
        <v/>
      </c>
      <c r="T17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11))),"")</f>
        <v/>
      </c>
      <c r="U17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11))),"")</f>
        <v/>
      </c>
      <c r="V17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11))),"")</f>
        <v/>
      </c>
      <c r="W17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11))),"")</f>
        <v/>
      </c>
      <c r="X17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11))),"")</f>
        <v/>
      </c>
      <c r="Y17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11))),"")</f>
        <v/>
      </c>
      <c r="Z17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11))),"")</f>
        <v/>
      </c>
      <c r="AA17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11))),"")</f>
        <v/>
      </c>
      <c r="AB17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11))),"")</f>
        <v/>
      </c>
      <c r="AC17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11))),"")</f>
        <v/>
      </c>
      <c r="AD17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11))),"")</f>
        <v/>
      </c>
      <c r="AE17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11))),"")</f>
        <v/>
      </c>
      <c r="AF17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11))),"")</f>
        <v/>
      </c>
      <c r="AG17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11))),"")</f>
        <v/>
      </c>
      <c r="AH17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11))),"")</f>
        <v/>
      </c>
      <c r="AI17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IFERROR(INDEX(#REF!,_xlfn.AGGREGATE(15,6,(ROW(#REF!)-ROW(#REF!))/(Таблица1[[мес]:[мес]]=$J$5)/(Таблица1[[год]:[год]]=$L$5)/(Таблица1[[изд]:[изд]]=$N$1:$T$1)/(Таблица1[[партия]:[партия]]=$W$1),ROW(AH11))),"")</f>
        <v/>
      </c>
      <c r="AJ17" s="139">
        <f t="shared" si="0"/>
        <v>0</v>
      </c>
    </row>
    <row r="18" spans="1:36" ht="33" customHeight="1">
      <c r="A18" s="148">
        <v>12</v>
      </c>
      <c r="B18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12))),"")</f>
        <v/>
      </c>
      <c r="C18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О.]]))/(Таблица1[[мес]:[мес]]=$J$5)/(Таблица1[[год]:[год]]=$L$5)/(Таблица1[[изд]:[изд]]=$N$1)/(Таблица1[[партия]:[партия]]=$W$1),ROW(B12))),"")</f>
        <v/>
      </c>
      <c r="D18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12))),"")</f>
        <v/>
      </c>
      <c r="E18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12))),"")</f>
        <v/>
      </c>
      <c r="F18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12))),"")</f>
        <v/>
      </c>
      <c r="G18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12))),"")</f>
        <v/>
      </c>
      <c r="H18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12))),"")</f>
        <v/>
      </c>
      <c r="I18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12))),"")</f>
        <v/>
      </c>
      <c r="J18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12))),"")</f>
        <v/>
      </c>
      <c r="K18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12))),"")</f>
        <v/>
      </c>
      <c r="L18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12))),"")</f>
        <v/>
      </c>
      <c r="M18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12))),"")</f>
        <v/>
      </c>
      <c r="N18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12))),"")</f>
        <v/>
      </c>
      <c r="O18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12))),"")</f>
        <v/>
      </c>
      <c r="P18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12))),"")</f>
        <v/>
      </c>
      <c r="Q18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12))),"")</f>
        <v/>
      </c>
      <c r="R18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12))),"")</f>
        <v/>
      </c>
      <c r="S18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12))),"")</f>
        <v/>
      </c>
      <c r="T18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12))),"")</f>
        <v/>
      </c>
      <c r="U18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12))),"")</f>
        <v/>
      </c>
      <c r="V18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12))),"")</f>
        <v/>
      </c>
      <c r="W18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12))),"")</f>
        <v/>
      </c>
      <c r="X18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12))),"")</f>
        <v/>
      </c>
      <c r="Y18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12))),"")</f>
        <v/>
      </c>
      <c r="Z18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12))),"")</f>
        <v/>
      </c>
      <c r="AA18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12))),"")</f>
        <v/>
      </c>
      <c r="AB18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12))),"")</f>
        <v/>
      </c>
      <c r="AC18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12))),"")</f>
        <v/>
      </c>
      <c r="AD18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12))),"")</f>
        <v/>
      </c>
      <c r="AE18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12))),"")</f>
        <v/>
      </c>
      <c r="AF18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12))),"")</f>
        <v/>
      </c>
      <c r="AG18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12))),"")</f>
        <v/>
      </c>
      <c r="AH18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12))),"")</f>
        <v/>
      </c>
      <c r="AI18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IFERROR(INDEX(#REF!,_xlfn.AGGREGATE(15,6,(ROW(#REF!)-ROW(#REF!))/(Таблица1[[мес]:[мес]]=$J$5)/(Таблица1[[год]:[год]]=$L$5)/(Таблица1[[изд]:[изд]]=$N$1:$T$1)/(Таблица1[[партия]:[партия]]=$W$1),ROW(AH12))),"")</f>
        <v/>
      </c>
      <c r="AJ18" s="140">
        <f t="shared" si="0"/>
        <v>0</v>
      </c>
    </row>
    <row r="19" spans="1:36" ht="33" customHeight="1">
      <c r="A19" s="148">
        <v>13</v>
      </c>
      <c r="B19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13))),"")</f>
        <v/>
      </c>
      <c r="C19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О.]]))/(Таблица1[[мес]:[мес]]=$J$5)/(Таблица1[[год]:[год]]=$L$5)/(Таблица1[[изд]:[изд]]=$N$1)/(Таблица1[[партия]:[партия]]=$W$1),ROW(B13))),"")</f>
        <v/>
      </c>
      <c r="D19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13))),"")</f>
        <v/>
      </c>
      <c r="E19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13))),"")</f>
        <v/>
      </c>
      <c r="F19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13))),"")</f>
        <v/>
      </c>
      <c r="G19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13))),"")</f>
        <v/>
      </c>
      <c r="H19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13))),"")</f>
        <v/>
      </c>
      <c r="I19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13))),"")</f>
        <v/>
      </c>
      <c r="J19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13))),"")</f>
        <v/>
      </c>
      <c r="K19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13))),"")</f>
        <v/>
      </c>
      <c r="L19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13))),"")</f>
        <v/>
      </c>
      <c r="M19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13))),"")</f>
        <v/>
      </c>
      <c r="N19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13))),"")</f>
        <v/>
      </c>
      <c r="O19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13))),"")</f>
        <v/>
      </c>
      <c r="P19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13))),"")</f>
        <v/>
      </c>
      <c r="Q19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13))),"")</f>
        <v/>
      </c>
      <c r="R19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13))),"")</f>
        <v/>
      </c>
      <c r="S19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13))),"")</f>
        <v/>
      </c>
      <c r="T19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13))),"")</f>
        <v/>
      </c>
      <c r="U19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13))),"")</f>
        <v/>
      </c>
      <c r="V19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13))),"")</f>
        <v/>
      </c>
      <c r="W19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13))),"")</f>
        <v/>
      </c>
      <c r="X19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13))),"")</f>
        <v/>
      </c>
      <c r="Y19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13))),"")</f>
        <v/>
      </c>
      <c r="Z19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13))),"")</f>
        <v/>
      </c>
      <c r="AA19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13))),"")</f>
        <v/>
      </c>
      <c r="AB19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13))),"")</f>
        <v/>
      </c>
      <c r="AC19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13))),"")</f>
        <v/>
      </c>
      <c r="AD19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13))),"")</f>
        <v/>
      </c>
      <c r="AE19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13))),"")</f>
        <v/>
      </c>
      <c r="AF19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13))),"")</f>
        <v/>
      </c>
      <c r="AG19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13))),"")</f>
        <v/>
      </c>
      <c r="AH19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13))),"")</f>
        <v/>
      </c>
      <c r="AI19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IFERROR(INDEX(#REF!,_xlfn.AGGREGATE(15,6,(ROW(#REF!)-ROW(#REF!))/(Таблица1[[мес]:[мес]]=$J$5)/(Таблица1[[год]:[год]]=$L$5)/(Таблица1[[изд]:[изд]]=$N$1:$T$1)/(Таблица1[[партия]:[партия]]=$W$1),ROW(AH13))),"")</f>
        <v/>
      </c>
      <c r="AJ19" s="139">
        <f t="shared" si="0"/>
        <v>0</v>
      </c>
    </row>
    <row r="20" spans="1:36" ht="33" customHeight="1">
      <c r="A20" s="148">
        <v>14</v>
      </c>
      <c r="B20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14))),"")</f>
        <v/>
      </c>
      <c r="C20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О.]]))/(Таблица1[[мес]:[мес]]=$J$5)/(Таблица1[[год]:[год]]=$L$5)/(Таблица1[[изд]:[изд]]=$N$1)/(Таблица1[[партия]:[партия]]=$W$1),ROW(B14))),"")</f>
        <v/>
      </c>
      <c r="D20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14))),"")</f>
        <v/>
      </c>
      <c r="E20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14))),"")</f>
        <v/>
      </c>
      <c r="F20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14))),"")</f>
        <v/>
      </c>
      <c r="G20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14))),"")</f>
        <v/>
      </c>
      <c r="H20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14))),"")</f>
        <v/>
      </c>
      <c r="I20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14))),"")</f>
        <v/>
      </c>
      <c r="J20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14))),"")</f>
        <v/>
      </c>
      <c r="K20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14))),"")</f>
        <v/>
      </c>
      <c r="L20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14))),"")</f>
        <v/>
      </c>
      <c r="M20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14))),"")</f>
        <v/>
      </c>
      <c r="N20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14))),"")</f>
        <v/>
      </c>
      <c r="O20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14))),"")</f>
        <v/>
      </c>
      <c r="P20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14))),"")</f>
        <v/>
      </c>
      <c r="Q20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14))),"")</f>
        <v/>
      </c>
      <c r="R20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14))),"")</f>
        <v/>
      </c>
      <c r="S20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14))),"")</f>
        <v/>
      </c>
      <c r="T20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14))),"")</f>
        <v/>
      </c>
      <c r="U20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14))),"")</f>
        <v/>
      </c>
      <c r="V20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14))),"")</f>
        <v/>
      </c>
      <c r="W20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14))),"")</f>
        <v/>
      </c>
      <c r="X20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14))),"")</f>
        <v/>
      </c>
      <c r="Y20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14))),"")</f>
        <v/>
      </c>
      <c r="Z20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14))),"")</f>
        <v/>
      </c>
      <c r="AA20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14))),"")</f>
        <v/>
      </c>
      <c r="AB20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14))),"")</f>
        <v/>
      </c>
      <c r="AC20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14))),"")</f>
        <v/>
      </c>
      <c r="AD20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14))),"")</f>
        <v/>
      </c>
      <c r="AE20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14))),"")</f>
        <v/>
      </c>
      <c r="AF20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14))),"")</f>
        <v/>
      </c>
      <c r="AG20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14))),"")</f>
        <v/>
      </c>
      <c r="AH20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14))),"")</f>
        <v/>
      </c>
      <c r="AI20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IFERROR(INDEX(#REF!,_xlfn.AGGREGATE(15,6,(ROW(#REF!)-ROW(#REF!))/(Таблица1[[мес]:[мес]]=$J$5)/(Таблица1[[год]:[год]]=$L$5)/(Таблица1[[изд]:[изд]]=$N$1:$T$1)/(Таблица1[[партия]:[партия]]=$W$1),ROW(AH14))),"")</f>
        <v/>
      </c>
      <c r="AJ20" s="140">
        <f t="shared" si="0"/>
        <v>0</v>
      </c>
    </row>
    <row r="21" spans="1:36" ht="33" customHeight="1">
      <c r="A21" s="148">
        <v>15</v>
      </c>
      <c r="B21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15))),"")</f>
        <v/>
      </c>
      <c r="C21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О.]]))/(Таблица1[[мес]:[мес]]=$J$5)/(Таблица1[[год]:[год]]=$L$5)/(Таблица1[[изд]:[изд]]=$N$1)/(Таблица1[[партия]:[партия]]=$W$1),ROW(B15))),"")</f>
        <v/>
      </c>
      <c r="D21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15))),"")</f>
        <v/>
      </c>
      <c r="E21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15))),"")</f>
        <v/>
      </c>
      <c r="F21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15))),"")</f>
        <v/>
      </c>
      <c r="G21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15))),"")</f>
        <v/>
      </c>
      <c r="H21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15))),"")</f>
        <v/>
      </c>
      <c r="I21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15))),"")</f>
        <v/>
      </c>
      <c r="J21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15))),"")</f>
        <v/>
      </c>
      <c r="K21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15))),"")</f>
        <v/>
      </c>
      <c r="L21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15))),"")</f>
        <v/>
      </c>
      <c r="M21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15))),"")</f>
        <v/>
      </c>
      <c r="N21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15))),"")</f>
        <v/>
      </c>
      <c r="O21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15))),"")</f>
        <v/>
      </c>
      <c r="P21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15))),"")</f>
        <v/>
      </c>
      <c r="Q21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15))),"")</f>
        <v/>
      </c>
      <c r="R21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15))),"")</f>
        <v/>
      </c>
      <c r="S21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15))),"")</f>
        <v/>
      </c>
      <c r="T21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15))),"")</f>
        <v/>
      </c>
      <c r="U21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15))),"")</f>
        <v/>
      </c>
      <c r="V21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15))),"")</f>
        <v/>
      </c>
      <c r="W21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15))),"")</f>
        <v/>
      </c>
      <c r="X21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15))),"")</f>
        <v/>
      </c>
      <c r="Y21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15))),"")</f>
        <v/>
      </c>
      <c r="Z21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15))),"")</f>
        <v/>
      </c>
      <c r="AA21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15))),"")</f>
        <v/>
      </c>
      <c r="AB21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15))),"")</f>
        <v/>
      </c>
      <c r="AC21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15))),"")</f>
        <v/>
      </c>
      <c r="AD21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15))),"")</f>
        <v/>
      </c>
      <c r="AE21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15))),"")</f>
        <v/>
      </c>
      <c r="AF21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15))),"")</f>
        <v/>
      </c>
      <c r="AG21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15))),"")</f>
        <v/>
      </c>
      <c r="AH21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15))),"")</f>
        <v/>
      </c>
      <c r="AI21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IFERROR(INDEX(#REF!,_xlfn.AGGREGATE(15,6,(ROW(#REF!)-ROW(#REF!))/(Таблица1[[мес]:[мес]]=$J$5)/(Таблица1[[год]:[год]]=$L$5)/(Таблица1[[изд]:[изд]]=$N$1:$T$1)/(Таблица1[[партия]:[партия]]=$W$1),ROW(AH15))),"")</f>
        <v/>
      </c>
      <c r="AJ21" s="139">
        <f t="shared" si="0"/>
        <v>0</v>
      </c>
    </row>
    <row r="22" spans="1:36" ht="33" customHeight="1">
      <c r="A22" s="148">
        <v>16</v>
      </c>
      <c r="B22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16))),"")</f>
        <v/>
      </c>
      <c r="C22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О.]]))/(Таблица1[[мес]:[мес]]=$J$5)/(Таблица1[[год]:[год]]=$L$5)/(Таблица1[[изд]:[изд]]=$N$1)/(Таблица1[[партия]:[партия]]=$W$1),ROW(B16))),"")</f>
        <v/>
      </c>
      <c r="D22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16))),"")</f>
        <v/>
      </c>
      <c r="E22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16))),"")</f>
        <v/>
      </c>
      <c r="F22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16))),"")</f>
        <v/>
      </c>
      <c r="G22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16))),"")</f>
        <v/>
      </c>
      <c r="H22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16))),"")</f>
        <v/>
      </c>
      <c r="I22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16))),"")</f>
        <v/>
      </c>
      <c r="J22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16))),"")</f>
        <v/>
      </c>
      <c r="K22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16))),"")</f>
        <v/>
      </c>
      <c r="L22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16))),"")</f>
        <v/>
      </c>
      <c r="M22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16))),"")</f>
        <v/>
      </c>
      <c r="N22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16))),"")</f>
        <v/>
      </c>
      <c r="O22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16))),"")</f>
        <v/>
      </c>
      <c r="P22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16))),"")</f>
        <v/>
      </c>
      <c r="Q22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16))),"")</f>
        <v/>
      </c>
      <c r="R22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16))),"")</f>
        <v/>
      </c>
      <c r="S22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16))),"")</f>
        <v/>
      </c>
      <c r="T22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16))),"")</f>
        <v/>
      </c>
      <c r="U22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16))),"")</f>
        <v/>
      </c>
      <c r="V22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16))),"")</f>
        <v/>
      </c>
      <c r="W22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16))),"")</f>
        <v/>
      </c>
      <c r="X22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16))),"")</f>
        <v/>
      </c>
      <c r="Y22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16))),"")</f>
        <v/>
      </c>
      <c r="Z22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16))),"")</f>
        <v/>
      </c>
      <c r="AA22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16))),"")</f>
        <v/>
      </c>
      <c r="AB22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16))),"")</f>
        <v/>
      </c>
      <c r="AC22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16))),"")</f>
        <v/>
      </c>
      <c r="AD22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16))),"")</f>
        <v/>
      </c>
      <c r="AE22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16))),"")</f>
        <v/>
      </c>
      <c r="AF22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16))),"")</f>
        <v/>
      </c>
      <c r="AG22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16))),"")</f>
        <v/>
      </c>
      <c r="AH22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16))),"")</f>
        <v/>
      </c>
      <c r="AI22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IFERROR(INDEX(#REF!,_xlfn.AGGREGATE(15,6,(ROW(#REF!)-ROW(#REF!))/(Таблица1[[мес]:[мес]]=$J$5)/(Таблица1[[год]:[год]]=$L$5)/(Таблица1[[изд]:[изд]]=$N$1:$T$1)/(Таблица1[[партия]:[партия]]=$W$1),ROW(AH16))),"")</f>
        <v/>
      </c>
      <c r="AJ22" s="139">
        <f t="shared" si="0"/>
        <v>0</v>
      </c>
    </row>
    <row r="23" spans="1:36" ht="33" customHeight="1">
      <c r="A23" s="148">
        <v>17</v>
      </c>
      <c r="B23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17))),"")</f>
        <v/>
      </c>
      <c r="C23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О.]]))/(Таблица1[[мес]:[мес]]=$J$5)/(Таблица1[[год]:[год]]=$L$5)/(Таблица1[[изд]:[изд]]=$N$1)/(Таблица1[[партия]:[партия]]=$W$1),ROW(B17))),"")</f>
        <v/>
      </c>
      <c r="D23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17))),"")</f>
        <v/>
      </c>
      <c r="E23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17))),"")</f>
        <v/>
      </c>
      <c r="F23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17))),"")</f>
        <v/>
      </c>
      <c r="G23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17))),"")</f>
        <v/>
      </c>
      <c r="H23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17))),"")</f>
        <v/>
      </c>
      <c r="I23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17))),"")</f>
        <v/>
      </c>
      <c r="J23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17))),"")</f>
        <v/>
      </c>
      <c r="K23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17))),"")</f>
        <v/>
      </c>
      <c r="L23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17))),"")</f>
        <v/>
      </c>
      <c r="M23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17))),"")</f>
        <v/>
      </c>
      <c r="N23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17))),"")</f>
        <v/>
      </c>
      <c r="O23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17))),"")</f>
        <v/>
      </c>
      <c r="P23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17))),"")</f>
        <v/>
      </c>
      <c r="Q23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17))),"")</f>
        <v/>
      </c>
      <c r="R23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17))),"")</f>
        <v/>
      </c>
      <c r="S23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17))),"")</f>
        <v/>
      </c>
      <c r="T23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17))),"")</f>
        <v/>
      </c>
      <c r="U23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17))),"")</f>
        <v/>
      </c>
      <c r="V23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17))),"")</f>
        <v/>
      </c>
      <c r="W23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17))),"")</f>
        <v/>
      </c>
      <c r="X23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17))),"")</f>
        <v/>
      </c>
      <c r="Y23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17))),"")</f>
        <v/>
      </c>
      <c r="Z23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17))),"")</f>
        <v/>
      </c>
      <c r="AA23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17))),"")</f>
        <v/>
      </c>
      <c r="AB23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17))),"")</f>
        <v/>
      </c>
      <c r="AC23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17))),"")</f>
        <v/>
      </c>
      <c r="AD23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17))),"")</f>
        <v/>
      </c>
      <c r="AE23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17))),"")</f>
        <v/>
      </c>
      <c r="AF23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17))),"")</f>
        <v/>
      </c>
      <c r="AG23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17))),"")</f>
        <v/>
      </c>
      <c r="AH23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17))),"")</f>
        <v/>
      </c>
      <c r="AI23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IFERROR(INDEX(#REF!,_xlfn.AGGREGATE(15,6,(ROW(#REF!)-ROW(#REF!))/(Таблица1[[мес]:[мес]]=$J$5)/(Таблица1[[год]:[год]]=$L$5)/(Таблица1[[изд]:[изд]]=$N$1:$T$1)/(Таблица1[[партия]:[партия]]=$W$1),ROW(AH17))),"")</f>
        <v/>
      </c>
      <c r="AJ23" s="139">
        <f t="shared" si="0"/>
        <v>0</v>
      </c>
    </row>
    <row r="24" spans="1:36" ht="28.5" customHeight="1">
      <c r="A24" s="148">
        <v>18</v>
      </c>
      <c r="B24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18))),"")</f>
        <v/>
      </c>
      <c r="C24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О.]]))/(Таблица1[[мес]:[мес]]=$J$5)/(Таблица1[[год]:[год]]=$L$5)/(Таблица1[[изд]:[изд]]=$N$1)/(Таблица1[[партия]:[партия]]=$W$1),ROW(B18))),"")</f>
        <v/>
      </c>
      <c r="D24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18))),"")</f>
        <v/>
      </c>
      <c r="E24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18))),"")</f>
        <v/>
      </c>
      <c r="F24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18))),"")</f>
        <v/>
      </c>
      <c r="G24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18))),"")</f>
        <v/>
      </c>
      <c r="H24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18))),"")</f>
        <v/>
      </c>
      <c r="I24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18))),"")</f>
        <v/>
      </c>
      <c r="J24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18))),"")</f>
        <v/>
      </c>
      <c r="K24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18))),"")</f>
        <v/>
      </c>
      <c r="L24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18))),"")</f>
        <v/>
      </c>
      <c r="M24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18))),"")</f>
        <v/>
      </c>
      <c r="N24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18))),"")</f>
        <v/>
      </c>
      <c r="O24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18))),"")</f>
        <v/>
      </c>
      <c r="P24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18))),"")</f>
        <v/>
      </c>
      <c r="Q24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18))),"")</f>
        <v/>
      </c>
      <c r="R24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18))),"")</f>
        <v/>
      </c>
      <c r="S24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18))),"")</f>
        <v/>
      </c>
      <c r="T24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18))),"")</f>
        <v/>
      </c>
      <c r="U24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18))),"")</f>
        <v/>
      </c>
      <c r="V24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18))),"")</f>
        <v/>
      </c>
      <c r="W24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18))),"")</f>
        <v/>
      </c>
      <c r="X24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18))),"")</f>
        <v/>
      </c>
      <c r="Y24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18))),"")</f>
        <v/>
      </c>
      <c r="Z24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18))),"")</f>
        <v/>
      </c>
      <c r="AA24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18))),"")</f>
        <v/>
      </c>
      <c r="AB24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18))),"")</f>
        <v/>
      </c>
      <c r="AC24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18))),"")</f>
        <v/>
      </c>
      <c r="AD24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18))),"")</f>
        <v/>
      </c>
      <c r="AE24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18))),"")</f>
        <v/>
      </c>
      <c r="AF24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18))),"")</f>
        <v/>
      </c>
      <c r="AG24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18))),"")</f>
        <v/>
      </c>
      <c r="AH24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18))),"")</f>
        <v/>
      </c>
      <c r="AI24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IFERROR(INDEX(#REF!,_xlfn.AGGREGATE(15,6,(ROW(#REF!)-ROW(#REF!))/(Таблица1[[мес]:[мес]]=$J$5)/(Таблица1[[год]:[год]]=$L$5)/(Таблица1[[изд]:[изд]]=$N$1:$T$1)/(Таблица1[[партия]:[партия]]=$W$1),ROW(AH18))),"")</f>
        <v/>
      </c>
      <c r="AJ24" s="139">
        <f t="shared" si="0"/>
        <v>0</v>
      </c>
    </row>
    <row r="25" spans="1:36" s="45" customFormat="1" ht="25.5" customHeight="1">
      <c r="A25" s="148">
        <v>19</v>
      </c>
      <c r="B25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19))),"")</f>
        <v/>
      </c>
      <c r="C25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О.]]))/(Таблица1[[мес]:[мес]]=$J$5)/(Таблица1[[год]:[год]]=$L$5)/(Таблица1[[изд]:[изд]]=$N$1)/(Таблица1[[партия]:[партия]]=$W$1),ROW(B19))),"")</f>
        <v/>
      </c>
      <c r="D25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19))),"")</f>
        <v/>
      </c>
      <c r="E25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19))),"")</f>
        <v/>
      </c>
      <c r="F25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19))),"")</f>
        <v/>
      </c>
      <c r="G25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19))),"")</f>
        <v/>
      </c>
      <c r="H25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19))),"")</f>
        <v/>
      </c>
      <c r="I25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19))),"")</f>
        <v/>
      </c>
      <c r="J25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19))),"")</f>
        <v/>
      </c>
      <c r="K25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19))),"")</f>
        <v/>
      </c>
      <c r="L25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19))),"")</f>
        <v/>
      </c>
      <c r="M25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19))),"")</f>
        <v/>
      </c>
      <c r="N25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19))),"")</f>
        <v/>
      </c>
      <c r="O25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19))),"")</f>
        <v/>
      </c>
      <c r="P25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19))),"")</f>
        <v/>
      </c>
      <c r="Q25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19))),"")</f>
        <v/>
      </c>
      <c r="R25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19))),"")</f>
        <v/>
      </c>
      <c r="S25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19))),"")</f>
        <v/>
      </c>
      <c r="T25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19))),"")</f>
        <v/>
      </c>
      <c r="U25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19))),"")</f>
        <v/>
      </c>
      <c r="V25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19))),"")</f>
        <v/>
      </c>
      <c r="W25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19))),"")</f>
        <v/>
      </c>
      <c r="X25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19))),"")</f>
        <v/>
      </c>
      <c r="Y25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19))),"")</f>
        <v/>
      </c>
      <c r="Z25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19))),"")</f>
        <v/>
      </c>
      <c r="AA25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19))),"")</f>
        <v/>
      </c>
      <c r="AB25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19))),"")</f>
        <v/>
      </c>
      <c r="AC25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19))),"")</f>
        <v/>
      </c>
      <c r="AD25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19))),"")</f>
        <v/>
      </c>
      <c r="AE25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19))),"")</f>
        <v/>
      </c>
      <c r="AF25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19))),"")</f>
        <v/>
      </c>
      <c r="AG25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19))),"")</f>
        <v/>
      </c>
      <c r="AH25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19))),"")</f>
        <v/>
      </c>
      <c r="AI25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IFERROR(INDEX(#REF!,_xlfn.AGGREGATE(15,6,(ROW(#REF!)-ROW(#REF!))/(Таблица1[[мес]:[мес]]=$J$5)/(Таблица1[[год]:[год]]=$L$5)/(Таблица1[[изд]:[изд]]=$N$1:$T$1)/(Таблица1[[партия]:[партия]]=$W$1),ROW(AH19))),"")</f>
        <v/>
      </c>
      <c r="AJ25" s="139">
        <f>SUM(E25:AI25)</f>
        <v>0</v>
      </c>
    </row>
    <row r="26" spans="1:36" s="45" customFormat="1" ht="25.5" customHeight="1">
      <c r="A26" s="148">
        <v>20</v>
      </c>
      <c r="B26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20))),"")</f>
        <v/>
      </c>
      <c r="C26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О.]]))/(Таблица1[[мес]:[мес]]=$J$5)/(Таблица1[[год]:[год]]=$L$5)/(Таблица1[[изд]:[изд]]=$N$1)/(Таблица1[[партия]:[партия]]=$W$1),ROW(B20))),"")</f>
        <v/>
      </c>
      <c r="D26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20))),"")</f>
        <v/>
      </c>
      <c r="E26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20))),"")</f>
        <v/>
      </c>
      <c r="F26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20))),"")</f>
        <v/>
      </c>
      <c r="G26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20))),"")</f>
        <v/>
      </c>
      <c r="H26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20))),"")</f>
        <v/>
      </c>
      <c r="I26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20))),"")</f>
        <v/>
      </c>
      <c r="J26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20))),"")</f>
        <v/>
      </c>
      <c r="K26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20))),"")</f>
        <v/>
      </c>
      <c r="L26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20))),"")</f>
        <v/>
      </c>
      <c r="M26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20))),"")</f>
        <v/>
      </c>
      <c r="N26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20))),"")</f>
        <v/>
      </c>
      <c r="O26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20))),"")</f>
        <v/>
      </c>
      <c r="P26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20))),"")</f>
        <v/>
      </c>
      <c r="Q26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20))),"")</f>
        <v/>
      </c>
      <c r="R26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20))),"")</f>
        <v/>
      </c>
      <c r="S26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20))),"")</f>
        <v/>
      </c>
      <c r="T26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20))),"")</f>
        <v/>
      </c>
      <c r="U26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20))),"")</f>
        <v/>
      </c>
      <c r="V26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20))),"")</f>
        <v/>
      </c>
      <c r="W26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20))),"")</f>
        <v/>
      </c>
      <c r="X26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20))),"")</f>
        <v/>
      </c>
      <c r="Y26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20))),"")</f>
        <v/>
      </c>
      <c r="Z26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20))),"")</f>
        <v/>
      </c>
      <c r="AA26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20))),"")</f>
        <v/>
      </c>
      <c r="AB26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20))),"")</f>
        <v/>
      </c>
      <c r="AC26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20))),"")</f>
        <v/>
      </c>
      <c r="AD26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20))),"")</f>
        <v/>
      </c>
      <c r="AE26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20))),"")</f>
        <v/>
      </c>
      <c r="AF26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20))),"")</f>
        <v/>
      </c>
      <c r="AG26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20))),"")</f>
        <v/>
      </c>
      <c r="AH26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20))),"")</f>
        <v/>
      </c>
      <c r="AI26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IFERROR(INDEX(#REF!,_xlfn.AGGREGATE(15,6,(ROW(#REF!)-ROW(#REF!))/(Таблица1[[мес]:[мес]]=$J$5)/(Таблица1[[год]:[год]]=$L$5)/(Таблица1[[изд]:[изд]]=$N$1:$T$1)/(Таблица1[[партия]:[партия]]=$W$1),ROW(AH20))),"")</f>
        <v/>
      </c>
      <c r="AJ26" s="139">
        <f t="shared" ref="AJ26:AJ33" si="1">SUM(E26:AI26)</f>
        <v>0</v>
      </c>
    </row>
    <row r="27" spans="1:36" s="45" customFormat="1" ht="25.5" hidden="1" customHeight="1">
      <c r="A27" s="148">
        <v>21</v>
      </c>
      <c r="B27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21))),"")</f>
        <v/>
      </c>
      <c r="C27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О.]]))/(Таблица1[[мес]:[мес]]=$J$5)/(Таблица1[[год]:[год]]=$L$5)/(Таблица1[[изд]:[изд]]=$N$1)/(Таблица1[[партия]:[партия]]=$W$1),ROW(B21))),"")</f>
        <v/>
      </c>
      <c r="D27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21))),"")</f>
        <v/>
      </c>
      <c r="E27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21))),"")</f>
        <v/>
      </c>
      <c r="F27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21))),"")</f>
        <v/>
      </c>
      <c r="G27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21))),"")</f>
        <v/>
      </c>
      <c r="H27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21))),"")</f>
        <v/>
      </c>
      <c r="I27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21))),"")</f>
        <v/>
      </c>
      <c r="J27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21))),"")</f>
        <v/>
      </c>
      <c r="K27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21))),"")</f>
        <v/>
      </c>
      <c r="L27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21))),"")</f>
        <v/>
      </c>
      <c r="M27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21))),"")</f>
        <v/>
      </c>
      <c r="N27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21))),"")</f>
        <v/>
      </c>
      <c r="O27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21))),"")</f>
        <v/>
      </c>
      <c r="P27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21))),"")</f>
        <v/>
      </c>
      <c r="Q27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21))),"")</f>
        <v/>
      </c>
      <c r="R27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21))),"")</f>
        <v/>
      </c>
      <c r="S27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21))),"")</f>
        <v/>
      </c>
      <c r="T27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21))),"")</f>
        <v/>
      </c>
      <c r="U27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21))),"")</f>
        <v/>
      </c>
      <c r="V27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21))),"")</f>
        <v/>
      </c>
      <c r="W27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21))),"")</f>
        <v/>
      </c>
      <c r="X27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21))),"")</f>
        <v/>
      </c>
      <c r="Y27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21))),"")</f>
        <v/>
      </c>
      <c r="Z27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21))),"")</f>
        <v/>
      </c>
      <c r="AA27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21))),"")</f>
        <v/>
      </c>
      <c r="AB27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21))),"")</f>
        <v/>
      </c>
      <c r="AC27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21))),"")</f>
        <v/>
      </c>
      <c r="AD27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21))),"")</f>
        <v/>
      </c>
      <c r="AE27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21))),"")</f>
        <v/>
      </c>
      <c r="AF27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21))),"")</f>
        <v/>
      </c>
      <c r="AG27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21))),"")</f>
        <v/>
      </c>
      <c r="AH27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21))),"")</f>
        <v/>
      </c>
      <c r="AI27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IFERROR(INDEX(#REF!,_xlfn.AGGREGATE(15,6,(ROW(#REF!)-ROW(#REF!))/(Таблица1[[мес]:[мес]]=$J$5)/(Таблица1[[год]:[год]]=$L$5)/(Таблица1[[изд]:[изд]]=$N$1:$T$1)/(Таблица1[[партия]:[партия]]=$W$1),ROW(AH21))),"")</f>
        <v/>
      </c>
      <c r="AJ27" s="139">
        <f t="shared" si="1"/>
        <v>0</v>
      </c>
    </row>
    <row r="28" spans="1:36" s="45" customFormat="1" ht="25.5" hidden="1" customHeight="1">
      <c r="A28" s="148">
        <v>22</v>
      </c>
      <c r="B28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22))),"")</f>
        <v/>
      </c>
      <c r="C28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О.]]))/(Таблица1[[мес]:[мес]]=$J$5)/(Таблица1[[год]:[год]]=$L$5)/(Таблица1[[изд]:[изд]]=$N$1)/(Таблица1[[партия]:[партия]]=$W$1),ROW(B22))),"")</f>
        <v/>
      </c>
      <c r="D28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22))),"")</f>
        <v/>
      </c>
      <c r="E28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22))),"")</f>
        <v/>
      </c>
      <c r="F28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22))),"")</f>
        <v/>
      </c>
      <c r="G28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22))),"")</f>
        <v/>
      </c>
      <c r="H28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22))),"")</f>
        <v/>
      </c>
      <c r="I28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22))),"")</f>
        <v/>
      </c>
      <c r="J28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22))),"")</f>
        <v/>
      </c>
      <c r="K28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22))),"")</f>
        <v/>
      </c>
      <c r="L28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22))),"")</f>
        <v/>
      </c>
      <c r="M28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22))),"")</f>
        <v/>
      </c>
      <c r="N28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22))),"")</f>
        <v/>
      </c>
      <c r="O28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22))),"")</f>
        <v/>
      </c>
      <c r="P28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22))),"")</f>
        <v/>
      </c>
      <c r="Q28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22))),"")</f>
        <v/>
      </c>
      <c r="R28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22))),"")</f>
        <v/>
      </c>
      <c r="S28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22))),"")</f>
        <v/>
      </c>
      <c r="T28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22))),"")</f>
        <v/>
      </c>
      <c r="U28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22))),"")</f>
        <v/>
      </c>
      <c r="V28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22))),"")</f>
        <v/>
      </c>
      <c r="W28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22))),"")</f>
        <v/>
      </c>
      <c r="X28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22))),"")</f>
        <v/>
      </c>
      <c r="Y28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22))),"")</f>
        <v/>
      </c>
      <c r="Z28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22))),"")</f>
        <v/>
      </c>
      <c r="AA28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22))),"")</f>
        <v/>
      </c>
      <c r="AB28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22))),"")</f>
        <v/>
      </c>
      <c r="AC28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22))),"")</f>
        <v/>
      </c>
      <c r="AD28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22))),"")</f>
        <v/>
      </c>
      <c r="AE28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22))),"")</f>
        <v/>
      </c>
      <c r="AF28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22))),"")</f>
        <v/>
      </c>
      <c r="AG28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22))),"")</f>
        <v/>
      </c>
      <c r="AH28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22))),"")</f>
        <v/>
      </c>
      <c r="AI28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IFERROR(INDEX(#REF!,_xlfn.AGGREGATE(15,6,(ROW(#REF!)-ROW(#REF!))/(Таблица1[[мес]:[мес]]=$J$5)/(Таблица1[[год]:[год]]=$L$5)/(Таблица1[[изд]:[изд]]=$N$1:$T$1)/(Таблица1[[партия]:[партия]]=$W$1),ROW(AH22))),"")</f>
        <v/>
      </c>
      <c r="AJ28" s="139">
        <f t="shared" si="1"/>
        <v>0</v>
      </c>
    </row>
    <row r="29" spans="1:36" s="45" customFormat="1" ht="25.5" hidden="1" customHeight="1">
      <c r="A29" s="148">
        <v>23</v>
      </c>
      <c r="B29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23))),"")</f>
        <v/>
      </c>
      <c r="C29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О.]]))/(Таблица1[[мес]:[мес]]=$J$5)/(Таблица1[[год]:[год]]=$L$5)/(Таблица1[[изд]:[изд]]=$N$1)/(Таблица1[[партия]:[партия]]=$W$1),ROW(B23))),"")</f>
        <v/>
      </c>
      <c r="D29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23))),"")</f>
        <v/>
      </c>
      <c r="E29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23))),"")</f>
        <v/>
      </c>
      <c r="F29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23))),"")</f>
        <v/>
      </c>
      <c r="G29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23))),"")</f>
        <v/>
      </c>
      <c r="H29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23))),"")</f>
        <v/>
      </c>
      <c r="I29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23))),"")</f>
        <v/>
      </c>
      <c r="J29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23))),"")</f>
        <v/>
      </c>
      <c r="K29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23))),"")</f>
        <v/>
      </c>
      <c r="L29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23))),"")</f>
        <v/>
      </c>
      <c r="M29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23))),"")</f>
        <v/>
      </c>
      <c r="N29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23))),"")</f>
        <v/>
      </c>
      <c r="O29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23))),"")</f>
        <v/>
      </c>
      <c r="P29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23))),"")</f>
        <v/>
      </c>
      <c r="Q29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23))),"")</f>
        <v/>
      </c>
      <c r="R29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23))),"")</f>
        <v/>
      </c>
      <c r="S29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23))),"")</f>
        <v/>
      </c>
      <c r="T29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23))),"")</f>
        <v/>
      </c>
      <c r="U29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23))),"")</f>
        <v/>
      </c>
      <c r="V29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23))),"")</f>
        <v/>
      </c>
      <c r="W29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23))),"")</f>
        <v/>
      </c>
      <c r="X29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23))),"")</f>
        <v/>
      </c>
      <c r="Y29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23))),"")</f>
        <v/>
      </c>
      <c r="Z29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23))),"")</f>
        <v/>
      </c>
      <c r="AA29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23))),"")</f>
        <v/>
      </c>
      <c r="AB29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23))),"")</f>
        <v/>
      </c>
      <c r="AC29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23))),"")</f>
        <v/>
      </c>
      <c r="AD29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23))),"")</f>
        <v/>
      </c>
      <c r="AE29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23))),"")</f>
        <v/>
      </c>
      <c r="AF29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23))),"")</f>
        <v/>
      </c>
      <c r="AG29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23))),"")</f>
        <v/>
      </c>
      <c r="AH29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23))),"")</f>
        <v/>
      </c>
      <c r="AI29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IFERROR(INDEX(#REF!,_xlfn.AGGREGATE(15,6,(ROW(#REF!)-ROW(#REF!))/(Таблица1[[мес]:[мес]]=$J$5)/(Таблица1[[год]:[год]]=$L$5)/(Таблица1[[изд]:[изд]]=$N$1:$T$1)/(Таблица1[[партия]:[партия]]=$W$1),ROW(AH23))),"")</f>
        <v/>
      </c>
      <c r="AJ29" s="139">
        <f t="shared" si="1"/>
        <v>0</v>
      </c>
    </row>
    <row r="30" spans="1:36" s="45" customFormat="1" ht="25.5" hidden="1" customHeight="1">
      <c r="A30" s="148">
        <v>24</v>
      </c>
      <c r="B30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24))),"")</f>
        <v/>
      </c>
      <c r="C30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О.]]))/(Таблица1[[мес]:[мес]]=$J$5)/(Таблица1[[год]:[год]]=$L$5)/(Таблица1[[изд]:[изд]]=$N$1)/(Таблица1[[партия]:[партия]]=$W$1),ROW(B24))),"")</f>
        <v/>
      </c>
      <c r="D30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24))),"")</f>
        <v/>
      </c>
      <c r="E30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24))),"")</f>
        <v/>
      </c>
      <c r="F30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24))),"")</f>
        <v/>
      </c>
      <c r="G30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24))),"")</f>
        <v/>
      </c>
      <c r="H30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24))),"")</f>
        <v/>
      </c>
      <c r="I30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24))),"")</f>
        <v/>
      </c>
      <c r="J30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24))),"")</f>
        <v/>
      </c>
      <c r="K30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24))),"")</f>
        <v/>
      </c>
      <c r="L30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24))),"")</f>
        <v/>
      </c>
      <c r="M30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24))),"")</f>
        <v/>
      </c>
      <c r="N30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24))),"")</f>
        <v/>
      </c>
      <c r="O30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24))),"")</f>
        <v/>
      </c>
      <c r="P30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24))),"")</f>
        <v/>
      </c>
      <c r="Q30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24))),"")</f>
        <v/>
      </c>
      <c r="R30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24))),"")</f>
        <v/>
      </c>
      <c r="S30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24))),"")</f>
        <v/>
      </c>
      <c r="T30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24))),"")</f>
        <v/>
      </c>
      <c r="U30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24))),"")</f>
        <v/>
      </c>
      <c r="V30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24))),"")</f>
        <v/>
      </c>
      <c r="W30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24))),"")</f>
        <v/>
      </c>
      <c r="X30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24))),"")</f>
        <v/>
      </c>
      <c r="Y30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24))),"")</f>
        <v/>
      </c>
      <c r="Z30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24))),"")</f>
        <v/>
      </c>
      <c r="AA30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24))),"")</f>
        <v/>
      </c>
      <c r="AB30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24))),"")</f>
        <v/>
      </c>
      <c r="AC30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24))),"")</f>
        <v/>
      </c>
      <c r="AD30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24))),"")</f>
        <v/>
      </c>
      <c r="AE30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24))),"")</f>
        <v/>
      </c>
      <c r="AF30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24))),"")</f>
        <v/>
      </c>
      <c r="AG30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24))),"")</f>
        <v/>
      </c>
      <c r="AH30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24))),"")</f>
        <v/>
      </c>
      <c r="AI30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IFERROR(INDEX(#REF!,_xlfn.AGGREGATE(15,6,(ROW(#REF!)-ROW(#REF!))/(Таблица1[[мес]:[мес]]=$J$5)/(Таблица1[[год]:[год]]=$L$5)/(Таблица1[[изд]:[изд]]=$N$1:$T$1)/(Таблица1[[партия]:[партия]]=$W$1),ROW(AH24))),"")</f>
        <v/>
      </c>
      <c r="AJ30" s="139">
        <f t="shared" si="1"/>
        <v>0</v>
      </c>
    </row>
    <row r="31" spans="1:36" s="45" customFormat="1" ht="25.5" hidden="1" customHeight="1">
      <c r="A31" s="148">
        <v>25</v>
      </c>
      <c r="B31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25))),"")</f>
        <v/>
      </c>
      <c r="C31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О.]]))/(Таблица1[[мес]:[мес]]=$J$5)/(Таблица1[[год]:[год]]=$L$5)/(Таблица1[[изд]:[изд]]=$N$1)/(Таблица1[[партия]:[партия]]=$W$1),ROW(B25))),"")</f>
        <v/>
      </c>
      <c r="D31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25))),"")</f>
        <v/>
      </c>
      <c r="E31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25))),"")</f>
        <v/>
      </c>
      <c r="F31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25))),"")</f>
        <v/>
      </c>
      <c r="G31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25))),"")</f>
        <v/>
      </c>
      <c r="H31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25))),"")</f>
        <v/>
      </c>
      <c r="I31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25))),"")</f>
        <v/>
      </c>
      <c r="J31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25))),"")</f>
        <v/>
      </c>
      <c r="K31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25))),"")</f>
        <v/>
      </c>
      <c r="L31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25))),"")</f>
        <v/>
      </c>
      <c r="M31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25))),"")</f>
        <v/>
      </c>
      <c r="N31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25))),"")</f>
        <v/>
      </c>
      <c r="O31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25))),"")</f>
        <v/>
      </c>
      <c r="P31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25))),"")</f>
        <v/>
      </c>
      <c r="Q31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25))),"")</f>
        <v/>
      </c>
      <c r="R31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25))),"")</f>
        <v/>
      </c>
      <c r="S31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25))),"")</f>
        <v/>
      </c>
      <c r="T31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25))),"")</f>
        <v/>
      </c>
      <c r="U31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25))),"")</f>
        <v/>
      </c>
      <c r="V31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25))),"")</f>
        <v/>
      </c>
      <c r="W31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25))),"")</f>
        <v/>
      </c>
      <c r="X31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25))),"")</f>
        <v/>
      </c>
      <c r="Y31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25))),"")</f>
        <v/>
      </c>
      <c r="Z31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25))),"")</f>
        <v/>
      </c>
      <c r="AA31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25))),"")</f>
        <v/>
      </c>
      <c r="AB31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25))),"")</f>
        <v/>
      </c>
      <c r="AC31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25))),"")</f>
        <v/>
      </c>
      <c r="AD31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25))),"")</f>
        <v/>
      </c>
      <c r="AE31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25))),"")</f>
        <v/>
      </c>
      <c r="AF31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25))),"")</f>
        <v/>
      </c>
      <c r="AG31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25))),"")</f>
        <v/>
      </c>
      <c r="AH31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25))),"")</f>
        <v/>
      </c>
      <c r="AI31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IFERROR(INDEX(#REF!,_xlfn.AGGREGATE(15,6,(ROW(#REF!)-ROW(#REF!))/(Таблица1[[мес]:[мес]]=$J$5)/(Таблица1[[год]:[год]]=$L$5)/(Таблица1[[изд]:[изд]]=$N$1:$T$1)/(Таблица1[[партия]:[партия]]=$W$1),ROW(AH25))),"")</f>
        <v/>
      </c>
      <c r="AJ31" s="139">
        <f t="shared" si="1"/>
        <v>0</v>
      </c>
    </row>
    <row r="32" spans="1:36" s="45" customFormat="1" ht="25.5" hidden="1" customHeight="1">
      <c r="A32" s="148">
        <v>26</v>
      </c>
      <c r="B32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26))),"")</f>
        <v/>
      </c>
      <c r="C32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О.]]))/(Таблица1[[мес]:[мес]]=$J$5)/(Таблица1[[год]:[год]]=$L$5)/(Таблица1[[изд]:[изд]]=$N$1)/(Таблица1[[партия]:[партия]]=$W$1),ROW(B26))),"")</f>
        <v/>
      </c>
      <c r="D32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26))),"")</f>
        <v/>
      </c>
      <c r="E32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26))),"")</f>
        <v/>
      </c>
      <c r="F32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26))),"")</f>
        <v/>
      </c>
      <c r="G32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26))),"")</f>
        <v/>
      </c>
      <c r="H32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26))),"")</f>
        <v/>
      </c>
      <c r="I32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26))),"")</f>
        <v/>
      </c>
      <c r="J32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26))),"")</f>
        <v/>
      </c>
      <c r="K32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26))),"")</f>
        <v/>
      </c>
      <c r="L32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26))),"")</f>
        <v/>
      </c>
      <c r="M32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26))),"")</f>
        <v/>
      </c>
      <c r="N32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26))),"")</f>
        <v/>
      </c>
      <c r="O32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26))),"")</f>
        <v/>
      </c>
      <c r="P32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26))),"")</f>
        <v/>
      </c>
      <c r="Q32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26))),"")</f>
        <v/>
      </c>
      <c r="R32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26))),"")</f>
        <v/>
      </c>
      <c r="S32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26))),"")</f>
        <v/>
      </c>
      <c r="T32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26))),"")</f>
        <v/>
      </c>
      <c r="U32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26))),"")</f>
        <v/>
      </c>
      <c r="V32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26))),"")</f>
        <v/>
      </c>
      <c r="W32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26))),"")</f>
        <v/>
      </c>
      <c r="X32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26))),"")</f>
        <v/>
      </c>
      <c r="Y32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26))),"")</f>
        <v/>
      </c>
      <c r="Z32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26))),"")</f>
        <v/>
      </c>
      <c r="AA32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26))),"")</f>
        <v/>
      </c>
      <c r="AB32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26))),"")</f>
        <v/>
      </c>
      <c r="AC32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26))),"")</f>
        <v/>
      </c>
      <c r="AD32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26))),"")</f>
        <v/>
      </c>
      <c r="AE32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26))),"")</f>
        <v/>
      </c>
      <c r="AF32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26))),"")</f>
        <v/>
      </c>
      <c r="AG32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26))),"")</f>
        <v/>
      </c>
      <c r="AH32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26))),"")</f>
        <v/>
      </c>
      <c r="AI32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IFERROR(INDEX(#REF!,_xlfn.AGGREGATE(15,6,(ROW(#REF!)-ROW(#REF!))/(Таблица1[[мес]:[мес]]=$J$5)/(Таблица1[[год]:[год]]=$L$5)/(Таблица1[[изд]:[изд]]=$N$1:$T$1)/(Таблица1[[партия]:[партия]]=$W$1),ROW(AH26))),"")</f>
        <v/>
      </c>
      <c r="AJ32" s="139">
        <f t="shared" si="1"/>
        <v>0</v>
      </c>
    </row>
    <row r="33" spans="1:41" s="45" customFormat="1" ht="25.5" customHeight="1">
      <c r="A33" s="148"/>
      <c r="B33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27))),"")</f>
        <v/>
      </c>
      <c r="C33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О.]]))/(Таблица1[[мес]:[мес]]=$J$5)/(Таблица1[[год]:[год]]=$L$5)/(Таблица1[[изд]:[изд]]=$N$1)/(Таблица1[[партия]:[партия]]=$W$1),ROW(B27))),"")</f>
        <v/>
      </c>
      <c r="D33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27))),"")</f>
        <v/>
      </c>
      <c r="E33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27))),"")</f>
        <v/>
      </c>
      <c r="F33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27))),"")</f>
        <v/>
      </c>
      <c r="G33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27))),"")</f>
        <v/>
      </c>
      <c r="H33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27))),"")</f>
        <v/>
      </c>
      <c r="I33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27))),"")</f>
        <v/>
      </c>
      <c r="J33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27))),"")</f>
        <v/>
      </c>
      <c r="K33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27))),"")</f>
        <v/>
      </c>
      <c r="L33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27))),"")</f>
        <v/>
      </c>
      <c r="M33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27))),"")</f>
        <v/>
      </c>
      <c r="N33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27))),"")</f>
        <v/>
      </c>
      <c r="O33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27))),"")</f>
        <v/>
      </c>
      <c r="P33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27))),"")</f>
        <v/>
      </c>
      <c r="Q33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27))),"")</f>
        <v/>
      </c>
      <c r="R33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27))),"")</f>
        <v/>
      </c>
      <c r="S33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27))),"")</f>
        <v/>
      </c>
      <c r="T33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27))),"")</f>
        <v/>
      </c>
      <c r="U33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27))),"")</f>
        <v/>
      </c>
      <c r="V33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27))),"")</f>
        <v/>
      </c>
      <c r="W33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27))),"")</f>
        <v/>
      </c>
      <c r="X33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27))),"")</f>
        <v/>
      </c>
      <c r="Y33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27))),"")</f>
        <v/>
      </c>
      <c r="Z33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27))),"")</f>
        <v/>
      </c>
      <c r="AA33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27))),"")</f>
        <v/>
      </c>
      <c r="AB33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27))),"")</f>
        <v/>
      </c>
      <c r="AC33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27))),"")</f>
        <v/>
      </c>
      <c r="AD33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27))),"")</f>
        <v/>
      </c>
      <c r="AE33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27))),"")</f>
        <v/>
      </c>
      <c r="AF33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27))),"")</f>
        <v/>
      </c>
      <c r="AG33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27))),"")</f>
        <v/>
      </c>
      <c r="AH33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27))),"")</f>
        <v/>
      </c>
      <c r="AI33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IFERROR(INDEX(#REF!,_xlfn.AGGREGATE(15,6,(ROW(#REF!)-ROW(#REF!))/(Таблица1[[мес]:[мес]]=$J$5)/(Таблица1[[год]:[год]]=$L$5)/(Таблица1[[изд]:[изд]]=$N$1:$T$1)/(Таблица1[[партия]:[партия]]=$W$1),ROW(AH27))),"")</f>
        <v/>
      </c>
      <c r="AJ33" s="139">
        <f t="shared" si="1"/>
        <v>0</v>
      </c>
      <c r="AL33" s="873" t="s">
        <v>94</v>
      </c>
      <c r="AM33" s="873"/>
      <c r="AN33" s="873"/>
    </row>
    <row r="34" spans="1:41" ht="15" customHeight="1">
      <c r="A34" s="148"/>
      <c r="B34" s="36"/>
      <c r="C34" s="33" t="s">
        <v>63</v>
      </c>
      <c r="D34" s="36"/>
      <c r="E34" s="34">
        <f>SUM(E7:E33)</f>
        <v>0</v>
      </c>
      <c r="F34" s="34">
        <f t="shared" ref="F34:AI34" si="2">SUM(F7:F33)</f>
        <v>0</v>
      </c>
      <c r="G34" s="34">
        <f t="shared" si="2"/>
        <v>0</v>
      </c>
      <c r="H34" s="34">
        <f t="shared" si="2"/>
        <v>0</v>
      </c>
      <c r="I34" s="34">
        <f t="shared" si="2"/>
        <v>0</v>
      </c>
      <c r="J34" s="34">
        <f t="shared" si="2"/>
        <v>0</v>
      </c>
      <c r="K34" s="34">
        <f t="shared" si="2"/>
        <v>0</v>
      </c>
      <c r="L34" s="34">
        <f t="shared" si="2"/>
        <v>0</v>
      </c>
      <c r="M34" s="34">
        <f t="shared" si="2"/>
        <v>0</v>
      </c>
      <c r="N34" s="34">
        <f t="shared" si="2"/>
        <v>0</v>
      </c>
      <c r="O34" s="34">
        <f t="shared" si="2"/>
        <v>0</v>
      </c>
      <c r="P34" s="34">
        <f t="shared" si="2"/>
        <v>0</v>
      </c>
      <c r="Q34" s="34">
        <f t="shared" si="2"/>
        <v>0</v>
      </c>
      <c r="R34" s="34">
        <f t="shared" si="2"/>
        <v>0</v>
      </c>
      <c r="S34" s="34">
        <f t="shared" si="2"/>
        <v>0</v>
      </c>
      <c r="T34" s="34">
        <f t="shared" si="2"/>
        <v>0</v>
      </c>
      <c r="U34" s="34">
        <f t="shared" si="2"/>
        <v>0</v>
      </c>
      <c r="V34" s="34">
        <f t="shared" si="2"/>
        <v>0</v>
      </c>
      <c r="W34" s="34">
        <f t="shared" si="2"/>
        <v>0</v>
      </c>
      <c r="X34" s="34">
        <f t="shared" si="2"/>
        <v>0</v>
      </c>
      <c r="Y34" s="34">
        <f t="shared" si="2"/>
        <v>0</v>
      </c>
      <c r="Z34" s="34">
        <f t="shared" si="2"/>
        <v>0</v>
      </c>
      <c r="AA34" s="34">
        <f t="shared" si="2"/>
        <v>0</v>
      </c>
      <c r="AB34" s="34">
        <f t="shared" si="2"/>
        <v>0</v>
      </c>
      <c r="AC34" s="34">
        <f t="shared" si="2"/>
        <v>0</v>
      </c>
      <c r="AD34" s="34">
        <f t="shared" si="2"/>
        <v>0</v>
      </c>
      <c r="AE34" s="34">
        <f t="shared" si="2"/>
        <v>0</v>
      </c>
      <c r="AF34" s="34">
        <f t="shared" si="2"/>
        <v>0</v>
      </c>
      <c r="AG34" s="34">
        <f t="shared" si="2"/>
        <v>0</v>
      </c>
      <c r="AH34" s="34">
        <f t="shared" si="2"/>
        <v>0</v>
      </c>
      <c r="AI34" s="34">
        <f t="shared" si="2"/>
        <v>0</v>
      </c>
      <c r="AJ34" s="145">
        <f>SUM(E34:AI34)</f>
        <v>0</v>
      </c>
      <c r="AK34" s="45"/>
      <c r="AL34" s="872">
        <f>SUMIFS(Таблица1[Столбец2],Таблица1[партия],W1,Таблица1[изд],N1)</f>
        <v>0</v>
      </c>
      <c r="AM34" s="872"/>
      <c r="AN34" s="872"/>
      <c r="AO34" s="872"/>
    </row>
    <row r="35" spans="1:41" ht="25.5" customHeight="1">
      <c r="A35" s="148"/>
      <c r="B35" s="148"/>
      <c r="C35" s="149"/>
      <c r="D35" s="148"/>
      <c r="E35" s="148"/>
      <c r="F35" s="148"/>
      <c r="G35" s="148"/>
      <c r="H35" s="148"/>
      <c r="I35" s="148"/>
      <c r="J35" s="148"/>
      <c r="K35" s="148"/>
      <c r="L35" s="148"/>
      <c r="M35" s="148"/>
      <c r="N35" s="148"/>
      <c r="O35" s="148"/>
      <c r="P35" s="148"/>
      <c r="Q35" s="148"/>
      <c r="R35" s="148"/>
      <c r="S35" s="148"/>
      <c r="T35" s="148"/>
      <c r="U35" s="148"/>
      <c r="V35" s="148"/>
      <c r="W35" s="148"/>
      <c r="X35" s="148"/>
      <c r="Y35" s="148"/>
      <c r="Z35" s="148"/>
      <c r="AA35" s="148"/>
      <c r="AB35" s="148"/>
      <c r="AC35" s="148"/>
      <c r="AD35" s="148"/>
      <c r="AE35" s="148"/>
      <c r="AF35" s="148"/>
      <c r="AG35" s="148"/>
      <c r="AH35" s="148"/>
      <c r="AI35" s="148"/>
      <c r="AJ35" s="150"/>
      <c r="AK35" s="45"/>
      <c r="AL35" s="872"/>
      <c r="AM35" s="872"/>
      <c r="AN35" s="872"/>
      <c r="AO35" s="872"/>
    </row>
    <row r="36" spans="1:41" s="45" customFormat="1" ht="17.25" customHeight="1">
      <c r="A36" s="148"/>
      <c r="B36" s="148"/>
      <c r="C36" s="296" t="s">
        <v>64</v>
      </c>
      <c r="D36" s="262"/>
      <c r="E36" s="262"/>
      <c r="F36" s="262"/>
      <c r="G36" s="295" t="str">
        <f>Data_Tech!$AU$7</f>
        <v>Кувшинов А.Г.</v>
      </c>
      <c r="H36" s="295"/>
      <c r="I36" s="261"/>
      <c r="J36" s="261"/>
      <c r="K36" s="148"/>
      <c r="L36" s="148"/>
      <c r="M36" s="148"/>
      <c r="N36" s="148"/>
      <c r="O36" s="148"/>
      <c r="P36" s="148"/>
      <c r="Q36" s="148"/>
      <c r="R36" s="260" t="s">
        <v>246</v>
      </c>
      <c r="S36" s="260"/>
      <c r="T36" s="260"/>
      <c r="U36" s="260"/>
      <c r="V36" s="259"/>
      <c r="W36" s="259"/>
      <c r="X36" s="259"/>
      <c r="Y36" s="259"/>
      <c r="Z36" s="259"/>
      <c r="AA36" s="260" t="s">
        <v>108</v>
      </c>
      <c r="AB36" s="260"/>
      <c r="AC36" s="62"/>
      <c r="AD36" s="62"/>
      <c r="AE36" s="148"/>
      <c r="AF36" s="148"/>
      <c r="AG36" s="148"/>
      <c r="AH36" s="148"/>
      <c r="AI36" s="148"/>
      <c r="AJ36" s="148"/>
      <c r="AL36" s="872"/>
      <c r="AM36" s="872"/>
      <c r="AN36" s="872"/>
      <c r="AO36" s="872"/>
    </row>
    <row r="37" spans="1:41" s="45" customFormat="1" ht="15" customHeight="1">
      <c r="A37" s="148"/>
      <c r="B37" s="148"/>
      <c r="C37" s="149"/>
      <c r="D37" s="148"/>
      <c r="E37" s="148"/>
      <c r="F37" s="148"/>
      <c r="G37" s="148"/>
      <c r="H37" s="148"/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  <c r="AA37" s="221"/>
      <c r="AB37" s="148"/>
      <c r="AC37" s="148"/>
      <c r="AD37" s="148"/>
      <c r="AE37" s="148"/>
      <c r="AF37" s="148"/>
      <c r="AG37" s="148"/>
      <c r="AH37" s="148"/>
      <c r="AI37" s="148"/>
      <c r="AJ37" s="148"/>
      <c r="AL37" s="872"/>
      <c r="AM37" s="872"/>
      <c r="AN37" s="872"/>
      <c r="AO37" s="872"/>
    </row>
    <row r="38" spans="1:41" s="45" customFormat="1" ht="20.25" customHeight="1">
      <c r="B38" s="62"/>
      <c r="C38" s="63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62"/>
    </row>
    <row r="39" spans="1:41" s="45" customFormat="1" ht="18.75">
      <c r="C39" s="50"/>
      <c r="AJ39" s="64"/>
    </row>
    <row r="40" spans="1:41" ht="18">
      <c r="C40" s="52"/>
      <c r="D40" s="53"/>
    </row>
    <row r="41" spans="1:41" ht="18">
      <c r="C41" s="52"/>
      <c r="D41" s="53"/>
    </row>
  </sheetData>
  <sheetProtection formatCells="0" formatColumns="0" formatRows="0" insertColumns="0" insertRows="0" insertHyperlinks="0" deleteColumns="0" deleteRows="0" sort="0" autoFilter="0" pivotTables="0"/>
  <mergeCells count="11">
    <mergeCell ref="AL34:AO37"/>
    <mergeCell ref="AL33:AN33"/>
    <mergeCell ref="B1:I5"/>
    <mergeCell ref="J5:K5"/>
    <mergeCell ref="L5:M5"/>
    <mergeCell ref="AD2:AE2"/>
    <mergeCell ref="AD3:AE3"/>
    <mergeCell ref="AD4:AE4"/>
    <mergeCell ref="U1:V1"/>
    <mergeCell ref="W1:Y1"/>
    <mergeCell ref="N1:T1"/>
  </mergeCells>
  <pageMargins left="0.23622047244094491" right="0.23622047244094491" top="0.74803149606299213" bottom="0.74803149606299213" header="0.31496062992125984" footer="0.31496062992125984"/>
  <pageSetup paperSize="9" scale="56" orientation="landscape" r:id="rId1"/>
  <rowBreaks count="1" manualBreakCount="1">
    <brk id="26" max="35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O41"/>
  <sheetViews>
    <sheetView view="pageBreakPreview" zoomScale="60" zoomScaleNormal="60" workbookViewId="0">
      <selection activeCell="AL34" sqref="AL34:AO37"/>
    </sheetView>
  </sheetViews>
  <sheetFormatPr defaultRowHeight="15"/>
  <cols>
    <col min="1" max="1" customWidth="true" style="45" width="5.28515625"/>
    <col min="2" max="2" customWidth="true" style="45" width="7.5703125"/>
    <col min="3" max="3" customWidth="true" style="50" width="31.28515625"/>
    <col min="4" max="4" style="45" width="9.140625"/>
    <col min="5" max="35" customWidth="true" style="45" width="6.0"/>
    <col min="36" max="37" style="45" width="9.140625"/>
    <col min="38" max="38" customWidth="true" style="45" width="22.0"/>
    <col min="39" max="16384" style="45" width="9.140625"/>
  </cols>
  <sheetData>
    <row r="1" spans="1:36" s="32" customFormat="1" ht="29.25" customHeight="1">
      <c r="A1" s="151"/>
      <c r="B1" s="884" t="s">
        <v>75</v>
      </c>
      <c r="C1" s="884"/>
      <c r="D1" s="884"/>
      <c r="E1" s="884"/>
      <c r="F1" s="884"/>
      <c r="G1" s="884"/>
      <c r="H1" s="884"/>
      <c r="I1" s="884"/>
      <c r="J1" s="152" t="s">
        <v>68</v>
      </c>
      <c r="K1" s="248"/>
      <c r="L1" s="152"/>
      <c r="M1" s="152"/>
      <c r="N1" s="890">
        <v>6001</v>
      </c>
      <c r="O1" s="890"/>
      <c r="P1" s="890"/>
      <c r="Q1" s="890"/>
      <c r="R1" s="890"/>
      <c r="S1" s="890"/>
      <c r="T1" s="890"/>
      <c r="U1" s="888" t="s">
        <v>10</v>
      </c>
      <c r="V1" s="888"/>
      <c r="W1" s="889" t="s">
        <v>307</v>
      </c>
      <c r="X1" s="889"/>
      <c r="Y1" s="889"/>
      <c r="Z1" s="153"/>
      <c r="AA1" s="154"/>
      <c r="AB1" s="155"/>
      <c r="AC1" s="155"/>
      <c r="AD1" s="155"/>
      <c r="AE1" s="151"/>
      <c r="AF1" s="151"/>
      <c r="AG1" s="151"/>
      <c r="AH1" s="153"/>
      <c r="AI1" s="153"/>
      <c r="AJ1" s="154"/>
    </row>
    <row r="2" spans="1:36" s="32" customFormat="1" ht="24" customHeight="1">
      <c r="A2" s="151"/>
      <c r="B2" s="884"/>
      <c r="C2" s="884"/>
      <c r="D2" s="884"/>
      <c r="E2" s="884"/>
      <c r="F2" s="884"/>
      <c r="G2" s="884"/>
      <c r="H2" s="884"/>
      <c r="I2" s="884"/>
      <c r="J2" s="156"/>
      <c r="K2" s="157"/>
      <c r="L2" s="157"/>
      <c r="M2" s="157"/>
      <c r="N2" s="157"/>
      <c r="O2" s="575"/>
      <c r="P2" s="575"/>
      <c r="Q2" s="575"/>
      <c r="R2" s="250"/>
      <c r="S2" s="251"/>
      <c r="T2" s="252"/>
      <c r="U2" s="157"/>
      <c r="V2" s="157"/>
      <c r="W2" s="160"/>
      <c r="X2" s="160"/>
      <c r="Y2" s="160"/>
      <c r="Z2" s="153"/>
      <c r="AA2" s="153"/>
      <c r="AB2" s="247" t="s">
        <v>10</v>
      </c>
      <c r="AC2" s="247"/>
      <c r="AD2" s="887">
        <v>6400</v>
      </c>
      <c r="AE2" s="887"/>
      <c r="AF2" s="247"/>
      <c r="AG2" s="247" t="s">
        <v>76</v>
      </c>
      <c r="AH2" s="247"/>
      <c r="AI2" s="247"/>
      <c r="AJ2" s="154"/>
    </row>
    <row r="3" spans="1:36" s="32" customFormat="1" ht="24" customHeight="1">
      <c r="A3" s="151"/>
      <c r="B3" s="884"/>
      <c r="C3" s="884"/>
      <c r="D3" s="884"/>
      <c r="E3" s="884"/>
      <c r="F3" s="884"/>
      <c r="G3" s="884"/>
      <c r="H3" s="884"/>
      <c r="I3" s="884"/>
      <c r="J3" s="156"/>
      <c r="K3" s="162" t="s">
        <v>77</v>
      </c>
      <c r="L3" s="157"/>
      <c r="M3" s="157"/>
      <c r="N3" s="163"/>
      <c r="O3" s="253"/>
      <c r="P3" s="253" t="e">
        <f>INDEX(база!$AL:$AL, MATCH(N1,база!$AK:$AK,0))</f>
        <v>#N/A</v>
      </c>
      <c r="Q3" s="253"/>
      <c r="R3" s="254"/>
      <c r="S3" s="254"/>
      <c r="T3" s="255"/>
      <c r="U3" s="157"/>
      <c r="V3" s="157"/>
      <c r="W3" s="164"/>
      <c r="X3" s="164"/>
      <c r="Y3" s="164"/>
      <c r="Z3" s="153"/>
      <c r="AA3" s="153"/>
      <c r="AB3" s="247" t="s">
        <v>78</v>
      </c>
      <c r="AC3" s="247"/>
      <c r="AD3" s="887">
        <v>70</v>
      </c>
      <c r="AE3" s="887"/>
      <c r="AF3" s="247"/>
      <c r="AG3" s="247" t="s">
        <v>85</v>
      </c>
      <c r="AH3" s="247"/>
      <c r="AI3" s="247"/>
      <c r="AJ3" s="154"/>
    </row>
    <row r="4" spans="1:36" s="32" customFormat="1" ht="24" customHeight="1">
      <c r="A4" s="151"/>
      <c r="B4" s="884"/>
      <c r="C4" s="884"/>
      <c r="D4" s="884"/>
      <c r="E4" s="884"/>
      <c r="F4" s="884"/>
      <c r="G4" s="884"/>
      <c r="H4" s="884"/>
      <c r="I4" s="884"/>
      <c r="J4" s="156"/>
      <c r="K4" s="157"/>
      <c r="L4" s="157"/>
      <c r="M4" s="157"/>
      <c r="N4" s="157"/>
      <c r="O4" s="165"/>
      <c r="P4" s="165"/>
      <c r="Q4" s="165"/>
      <c r="R4" s="153"/>
      <c r="S4" s="153"/>
      <c r="T4" s="158"/>
      <c r="U4" s="568"/>
      <c r="V4" s="568"/>
      <c r="W4" s="164"/>
      <c r="X4" s="164"/>
      <c r="Y4" s="164"/>
      <c r="Z4" s="153"/>
      <c r="AA4" s="153"/>
      <c r="AB4" s="247" t="s">
        <v>79</v>
      </c>
      <c r="AC4" s="247"/>
      <c r="AD4" s="887">
        <v>70</v>
      </c>
      <c r="AE4" s="887"/>
      <c r="AF4" s="247"/>
      <c r="AG4" s="247" t="s">
        <v>80</v>
      </c>
      <c r="AH4" s="247"/>
      <c r="AI4" s="247"/>
      <c r="AJ4" s="154"/>
    </row>
    <row r="5" spans="1:36" s="32" customFormat="1" ht="24" customHeight="1">
      <c r="A5" s="151"/>
      <c r="B5" s="884"/>
      <c r="C5" s="884"/>
      <c r="D5" s="884"/>
      <c r="E5" s="884"/>
      <c r="F5" s="884"/>
      <c r="G5" s="884"/>
      <c r="H5" s="884"/>
      <c r="I5" s="884"/>
      <c r="J5" s="885" t="str">
        <f>Data_Tech!A3</f>
        <v>декабрь</v>
      </c>
      <c r="K5" s="885"/>
      <c r="L5" s="886">
        <v>2023</v>
      </c>
      <c r="M5" s="886"/>
      <c r="N5" s="166"/>
      <c r="O5" s="166"/>
      <c r="P5" s="166"/>
      <c r="Q5" s="166"/>
      <c r="R5" s="166"/>
      <c r="S5" s="166"/>
      <c r="T5" s="166"/>
      <c r="U5" s="166"/>
      <c r="V5" s="166"/>
      <c r="W5" s="153"/>
      <c r="X5" s="153"/>
      <c r="Y5" s="153"/>
      <c r="Z5" s="153"/>
      <c r="AA5" s="153"/>
      <c r="AB5" s="247" t="s">
        <v>81</v>
      </c>
      <c r="AC5" s="247"/>
      <c r="AD5" s="247">
        <v>0</v>
      </c>
      <c r="AE5" s="247"/>
      <c r="AF5" s="247"/>
      <c r="AG5" s="247" t="s">
        <v>82</v>
      </c>
      <c r="AH5" s="247"/>
      <c r="AI5" s="247"/>
      <c r="AJ5" s="154"/>
    </row>
    <row r="6" spans="1:36" s="32" customFormat="1" ht="25.5" customHeight="1">
      <c r="A6" s="151"/>
      <c r="B6" s="133" t="s">
        <v>9</v>
      </c>
      <c r="C6" s="134" t="s">
        <v>0</v>
      </c>
      <c r="D6" s="135" t="s">
        <v>1</v>
      </c>
      <c r="E6" s="136">
        <v>1</v>
      </c>
      <c r="F6" s="136">
        <v>2</v>
      </c>
      <c r="G6" s="136">
        <v>3</v>
      </c>
      <c r="H6" s="136">
        <v>4</v>
      </c>
      <c r="I6" s="136">
        <v>5</v>
      </c>
      <c r="J6" s="136">
        <v>6</v>
      </c>
      <c r="K6" s="136">
        <v>7</v>
      </c>
      <c r="L6" s="136">
        <v>8</v>
      </c>
      <c r="M6" s="136">
        <v>9</v>
      </c>
      <c r="N6" s="136">
        <v>10</v>
      </c>
      <c r="O6" s="136">
        <v>11</v>
      </c>
      <c r="P6" s="136">
        <v>12</v>
      </c>
      <c r="Q6" s="136">
        <v>13</v>
      </c>
      <c r="R6" s="136">
        <v>14</v>
      </c>
      <c r="S6" s="136">
        <v>15</v>
      </c>
      <c r="T6" s="136">
        <v>16</v>
      </c>
      <c r="U6" s="136">
        <v>17</v>
      </c>
      <c r="V6" s="136">
        <v>18</v>
      </c>
      <c r="W6" s="136">
        <v>19</v>
      </c>
      <c r="X6" s="136">
        <v>20</v>
      </c>
      <c r="Y6" s="136">
        <v>21</v>
      </c>
      <c r="Z6" s="136">
        <v>22</v>
      </c>
      <c r="AA6" s="136">
        <v>23</v>
      </c>
      <c r="AB6" s="136">
        <v>24</v>
      </c>
      <c r="AC6" s="136">
        <v>25</v>
      </c>
      <c r="AD6" s="136">
        <v>26</v>
      </c>
      <c r="AE6" s="136">
        <v>27</v>
      </c>
      <c r="AF6" s="136">
        <v>28</v>
      </c>
      <c r="AG6" s="136">
        <v>29</v>
      </c>
      <c r="AH6" s="136">
        <v>30</v>
      </c>
      <c r="AI6" s="136">
        <v>31</v>
      </c>
      <c r="AJ6" s="137"/>
    </row>
    <row r="7" spans="1:36" ht="33" customHeight="1">
      <c r="A7" s="148">
        <v>1</v>
      </c>
      <c r="B7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1))),"")</f>
        <v/>
      </c>
      <c r="C7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О.]]))/(Таблица1[[мес]:[мес]]=$J$5)/(Таблица1[[год]:[год]]=$L$5)/(Таблица1[[изд]:[изд]]=$N$1)/(Таблица1[[партия]:[партия]]=$W$1),ROW(B1))),"")</f>
        <v/>
      </c>
      <c r="D7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1))),"")</f>
        <v/>
      </c>
      <c r="E7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1))),"")</f>
        <v/>
      </c>
      <c r="F7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1))),"")</f>
        <v/>
      </c>
      <c r="G7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1))),"")</f>
        <v/>
      </c>
      <c r="H7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1))),"")</f>
        <v/>
      </c>
      <c r="I7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1))),"")</f>
        <v/>
      </c>
      <c r="J7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1))),"")</f>
        <v/>
      </c>
      <c r="K7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1))),"")</f>
        <v/>
      </c>
      <c r="L7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1))),"")</f>
        <v/>
      </c>
      <c r="M7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1))),"")</f>
        <v/>
      </c>
      <c r="N7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1))),"")</f>
        <v/>
      </c>
      <c r="O7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1))),"")</f>
        <v/>
      </c>
      <c r="P7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1))),"")</f>
        <v/>
      </c>
      <c r="Q7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1))),"")</f>
        <v/>
      </c>
      <c r="R7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1))),"")</f>
        <v/>
      </c>
      <c r="S7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1))),"")</f>
        <v/>
      </c>
      <c r="T7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1))),"")</f>
        <v/>
      </c>
      <c r="U7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1))),"")</f>
        <v/>
      </c>
      <c r="V7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1))),"")</f>
        <v/>
      </c>
      <c r="W7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1))),"")</f>
        <v/>
      </c>
      <c r="X7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1))),"")</f>
        <v/>
      </c>
      <c r="Y7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1))),"")</f>
        <v/>
      </c>
      <c r="Z7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1))),"")</f>
        <v/>
      </c>
      <c r="AA7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1))),"")</f>
        <v/>
      </c>
      <c r="AB7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1))),"")</f>
        <v/>
      </c>
      <c r="AC7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1))),"")</f>
        <v/>
      </c>
      <c r="AD7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1))),"")</f>
        <v/>
      </c>
      <c r="AE7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1))),"")</f>
        <v/>
      </c>
      <c r="AF7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1))),"")</f>
        <v/>
      </c>
      <c r="AG7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1))),"")</f>
        <v/>
      </c>
      <c r="AH7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1))),"")</f>
        <v/>
      </c>
      <c r="AI7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IFERROR(INDEX(#REF!,_xlfn.AGGREGATE(15,6,(ROW(#REF!)-ROW(#REF!))/(Таблица1[[мес]:[мес]]=$J$5)/(Таблица1[[год]:[год]]=$L$5)/(Таблица1[[изд]:[изд]]=$N$1:$T$1)/(Таблица1[[партия]:[партия]]=$W$1),ROW(AH1))),"")</f>
        <v/>
      </c>
      <c r="AJ7" s="139">
        <f t="shared" ref="AJ7:AJ24" si="0">SUM(E7:AI7)</f>
        <v>0</v>
      </c>
    </row>
    <row r="8" spans="1:36" ht="33" customHeight="1">
      <c r="A8" s="148">
        <v>2</v>
      </c>
      <c r="B8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2))),"")</f>
        <v/>
      </c>
      <c r="C8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О.]]))/(Таблица1[[мес]:[мес]]=$J$5)/(Таблица1[[год]:[год]]=$L$5)/(Таблица1[[изд]:[изд]]=$N$1)/(Таблица1[[партия]:[партия]]=$W$1),ROW(B2))),"")</f>
        <v/>
      </c>
      <c r="D8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2))),"")</f>
        <v/>
      </c>
      <c r="E8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2))),"")</f>
        <v/>
      </c>
      <c r="F8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2))),"")</f>
        <v/>
      </c>
      <c r="G8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2))),"")</f>
        <v/>
      </c>
      <c r="H8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2))),"")</f>
        <v/>
      </c>
      <c r="I8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2))),"")</f>
        <v/>
      </c>
      <c r="J8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2))),"")</f>
        <v/>
      </c>
      <c r="K8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2))),"")</f>
        <v/>
      </c>
      <c r="L8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2))),"")</f>
        <v/>
      </c>
      <c r="M8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2))),"")</f>
        <v/>
      </c>
      <c r="N8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2))),"")</f>
        <v/>
      </c>
      <c r="O8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2))),"")</f>
        <v/>
      </c>
      <c r="P8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2))),"")</f>
        <v/>
      </c>
      <c r="Q8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2))),"")</f>
        <v/>
      </c>
      <c r="R8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2))),"")</f>
        <v/>
      </c>
      <c r="S8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2))),"")</f>
        <v/>
      </c>
      <c r="T8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2))),"")</f>
        <v/>
      </c>
      <c r="U8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2))),"")</f>
        <v/>
      </c>
      <c r="V8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2))),"")</f>
        <v/>
      </c>
      <c r="W8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2))),"")</f>
        <v/>
      </c>
      <c r="X8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2))),"")</f>
        <v/>
      </c>
      <c r="Y8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2))),"")</f>
        <v/>
      </c>
      <c r="Z8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2))),"")</f>
        <v/>
      </c>
      <c r="AA8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2))),"")</f>
        <v/>
      </c>
      <c r="AB8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2))),"")</f>
        <v/>
      </c>
      <c r="AC8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2))),"")</f>
        <v/>
      </c>
      <c r="AD8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2))),"")</f>
        <v/>
      </c>
      <c r="AE8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2))),"")</f>
        <v/>
      </c>
      <c r="AF8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2))),"")</f>
        <v/>
      </c>
      <c r="AG8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2))),"")</f>
        <v/>
      </c>
      <c r="AH8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2))),"")</f>
        <v/>
      </c>
      <c r="AI8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IFERROR(INDEX(#REF!,_xlfn.AGGREGATE(15,6,(ROW(#REF!)-ROW(#REF!))/(Таблица1[[мес]:[мес]]=$J$5)/(Таблица1[[год]:[год]]=$L$5)/(Таблица1[[изд]:[изд]]=$N$1:$T$1)/(Таблица1[[партия]:[партия]]=$W$1),ROW(AH2))),"")</f>
        <v/>
      </c>
      <c r="AJ8" s="140">
        <f t="shared" si="0"/>
        <v>0</v>
      </c>
    </row>
    <row r="9" spans="1:36" ht="33" customHeight="1">
      <c r="A9" s="148">
        <v>3</v>
      </c>
      <c r="B9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3))),"")</f>
        <v/>
      </c>
      <c r="C9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О.]]))/(Таблица1[[мес]:[мес]]=$J$5)/(Таблица1[[год]:[год]]=$L$5)/(Таблица1[[изд]:[изд]]=$N$1)/(Таблица1[[партия]:[партия]]=$W$1),ROW(B3))),"")</f>
        <v/>
      </c>
      <c r="D9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3))),"")</f>
        <v/>
      </c>
      <c r="E9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3))),"")</f>
        <v/>
      </c>
      <c r="F9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3))),"")</f>
        <v/>
      </c>
      <c r="G9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3))),"")</f>
        <v/>
      </c>
      <c r="H9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3))),"")</f>
        <v/>
      </c>
      <c r="I9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3))),"")</f>
        <v/>
      </c>
      <c r="J9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3))),"")</f>
        <v/>
      </c>
      <c r="K9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3))),"")</f>
        <v/>
      </c>
      <c r="L9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3))),"")</f>
        <v/>
      </c>
      <c r="M9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3))),"")</f>
        <v/>
      </c>
      <c r="N9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3))),"")</f>
        <v/>
      </c>
      <c r="O9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3))),"")</f>
        <v/>
      </c>
      <c r="P9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3))),"")</f>
        <v/>
      </c>
      <c r="Q9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3))),"")</f>
        <v/>
      </c>
      <c r="R9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3))),"")</f>
        <v/>
      </c>
      <c r="S9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3))),"")</f>
        <v/>
      </c>
      <c r="T9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3))),"")</f>
        <v/>
      </c>
      <c r="U9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3))),"")</f>
        <v/>
      </c>
      <c r="V9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3))),"")</f>
        <v/>
      </c>
      <c r="W9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3))),"")</f>
        <v/>
      </c>
      <c r="X9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3))),"")</f>
        <v/>
      </c>
      <c r="Y9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3))),"")</f>
        <v/>
      </c>
      <c r="Z9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3))),"")</f>
        <v/>
      </c>
      <c r="AA9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3))),"")</f>
        <v/>
      </c>
      <c r="AB9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3))),"")</f>
        <v/>
      </c>
      <c r="AC9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3))),"")</f>
        <v/>
      </c>
      <c r="AD9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3))),"")</f>
        <v/>
      </c>
      <c r="AE9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3))),"")</f>
        <v/>
      </c>
      <c r="AF9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3))),"")</f>
        <v/>
      </c>
      <c r="AG9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3))),"")</f>
        <v/>
      </c>
      <c r="AH9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3))),"")</f>
        <v/>
      </c>
      <c r="AI9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IFERROR(INDEX(#REF!,_xlfn.AGGREGATE(15,6,(ROW(#REF!)-ROW(#REF!))/(Таблица1[[мес]:[мес]]=$J$5)/(Таблица1[[год]:[год]]=$L$5)/(Таблица1[[изд]:[изд]]=$N$1:$T$1)/(Таблица1[[партия]:[партия]]=$W$1),ROW(AH3))),"")</f>
        <v/>
      </c>
      <c r="AJ9" s="139">
        <f t="shared" si="0"/>
        <v>0</v>
      </c>
    </row>
    <row r="10" spans="1:36" ht="33" customHeight="1">
      <c r="A10" s="148">
        <v>4</v>
      </c>
      <c r="B10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4))),"")</f>
        <v/>
      </c>
      <c r="C10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О.]]))/(Таблица1[[мес]:[мес]]=$J$5)/(Таблица1[[год]:[год]]=$L$5)/(Таблица1[[изд]:[изд]]=$N$1)/(Таблица1[[партия]:[партия]]=$W$1),ROW(B4))),"")</f>
        <v/>
      </c>
      <c r="D10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4))),"")</f>
        <v/>
      </c>
      <c r="E10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4))),"")</f>
        <v/>
      </c>
      <c r="F10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4))),"")</f>
        <v/>
      </c>
      <c r="G10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4))),"")</f>
        <v/>
      </c>
      <c r="H10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4))),"")</f>
        <v/>
      </c>
      <c r="I10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4))),"")</f>
        <v/>
      </c>
      <c r="J10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4))),"")</f>
        <v/>
      </c>
      <c r="K10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4))),"")</f>
        <v/>
      </c>
      <c r="L10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4))),"")</f>
        <v/>
      </c>
      <c r="M10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4))),"")</f>
        <v/>
      </c>
      <c r="N10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4))),"")</f>
        <v/>
      </c>
      <c r="O10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4))),"")</f>
        <v/>
      </c>
      <c r="P10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4))),"")</f>
        <v/>
      </c>
      <c r="Q10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4))),"")</f>
        <v/>
      </c>
      <c r="R10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4))),"")</f>
        <v/>
      </c>
      <c r="S10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4))),"")</f>
        <v/>
      </c>
      <c r="T10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4))),"")</f>
        <v/>
      </c>
      <c r="U10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4))),"")</f>
        <v/>
      </c>
      <c r="V10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4))),"")</f>
        <v/>
      </c>
      <c r="W10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4))),"")</f>
        <v/>
      </c>
      <c r="X10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4))),"")</f>
        <v/>
      </c>
      <c r="Y10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4))),"")</f>
        <v/>
      </c>
      <c r="Z10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4))),"")</f>
        <v/>
      </c>
      <c r="AA10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4))),"")</f>
        <v/>
      </c>
      <c r="AB10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4))),"")</f>
        <v/>
      </c>
      <c r="AC10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4))),"")</f>
        <v/>
      </c>
      <c r="AD10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4))),"")</f>
        <v/>
      </c>
      <c r="AE10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4))),"")</f>
        <v/>
      </c>
      <c r="AF10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4))),"")</f>
        <v/>
      </c>
      <c r="AG10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4))),"")</f>
        <v/>
      </c>
      <c r="AH10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4))),"")</f>
        <v/>
      </c>
      <c r="AI10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IFERROR(INDEX(#REF!,_xlfn.AGGREGATE(15,6,(ROW(#REF!)-ROW(#REF!))/(Таблица1[[мес]:[мес]]=$J$5)/(Таблица1[[год]:[год]]=$L$5)/(Таблица1[[изд]:[изд]]=$N$1:$T$1)/(Таблица1[[партия]:[партия]]=$W$1),ROW(AH4))),"")</f>
        <v/>
      </c>
      <c r="AJ10" s="140">
        <f t="shared" si="0"/>
        <v>0</v>
      </c>
    </row>
    <row r="11" spans="1:36" ht="33" customHeight="1">
      <c r="A11" s="148">
        <v>5</v>
      </c>
      <c r="B11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5))),"")</f>
        <v/>
      </c>
      <c r="C11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О.]]))/(Таблица1[[мес]:[мес]]=$J$5)/(Таблица1[[год]:[год]]=$L$5)/(Таблица1[[изд]:[изд]]=$N$1)/(Таблица1[[партия]:[партия]]=$W$1),ROW(B5))),"")</f>
        <v/>
      </c>
      <c r="D11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5))),"")</f>
        <v/>
      </c>
      <c r="E11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5))),"")</f>
        <v/>
      </c>
      <c r="F11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5))),"")</f>
        <v/>
      </c>
      <c r="G11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5))),"")</f>
        <v/>
      </c>
      <c r="H11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5))),"")</f>
        <v/>
      </c>
      <c r="I11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5))),"")</f>
        <v/>
      </c>
      <c r="J11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5))),"")</f>
        <v/>
      </c>
      <c r="K11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5))),"")</f>
        <v/>
      </c>
      <c r="L11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5))),"")</f>
        <v/>
      </c>
      <c r="M11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5))),"")</f>
        <v/>
      </c>
      <c r="N11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5))),"")</f>
        <v/>
      </c>
      <c r="O11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5))),"")</f>
        <v/>
      </c>
      <c r="P11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5))),"")</f>
        <v/>
      </c>
      <c r="Q11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5))),"")</f>
        <v/>
      </c>
      <c r="R11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5))),"")</f>
        <v/>
      </c>
      <c r="S11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5))),"")</f>
        <v/>
      </c>
      <c r="T11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5))),"")</f>
        <v/>
      </c>
      <c r="U11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5))),"")</f>
        <v/>
      </c>
      <c r="V11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5))),"")</f>
        <v/>
      </c>
      <c r="W11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5))),"")</f>
        <v/>
      </c>
      <c r="X11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5))),"")</f>
        <v/>
      </c>
      <c r="Y11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5))),"")</f>
        <v/>
      </c>
      <c r="Z11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5))),"")</f>
        <v/>
      </c>
      <c r="AA11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5))),"")</f>
        <v/>
      </c>
      <c r="AB11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5))),"")</f>
        <v/>
      </c>
      <c r="AC11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5))),"")</f>
        <v/>
      </c>
      <c r="AD11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5))),"")</f>
        <v/>
      </c>
      <c r="AE11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5))),"")</f>
        <v/>
      </c>
      <c r="AF11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5))),"")</f>
        <v/>
      </c>
      <c r="AG11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5))),"")</f>
        <v/>
      </c>
      <c r="AH11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5))),"")</f>
        <v/>
      </c>
      <c r="AI11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IFERROR(INDEX(#REF!,_xlfn.AGGREGATE(15,6,(ROW(#REF!)-ROW(#REF!))/(Таблица1[[мес]:[мес]]=$J$5)/(Таблица1[[год]:[год]]=$L$5)/(Таблица1[[изд]:[изд]]=$N$1:$T$1)/(Таблица1[[партия]:[партия]]=$W$1),ROW(AH5))),"")</f>
        <v/>
      </c>
      <c r="AJ11" s="139">
        <f t="shared" si="0"/>
        <v>0</v>
      </c>
    </row>
    <row r="12" spans="1:36" ht="33" customHeight="1">
      <c r="A12" s="148">
        <v>6</v>
      </c>
      <c r="B12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6))),"")</f>
        <v/>
      </c>
      <c r="C12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О.]]))/(Таблица1[[мес]:[мес]]=$J$5)/(Таблица1[[год]:[год]]=$L$5)/(Таблица1[[изд]:[изд]]=$N$1)/(Таблица1[[партия]:[партия]]=$W$1),ROW(B6))),"")</f>
        <v/>
      </c>
      <c r="D12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6))),"")</f>
        <v/>
      </c>
      <c r="E12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6))),"")</f>
        <v/>
      </c>
      <c r="F12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6))),"")</f>
        <v/>
      </c>
      <c r="G12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6))),"")</f>
        <v/>
      </c>
      <c r="H12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6))),"")</f>
        <v/>
      </c>
      <c r="I12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6))),"")</f>
        <v/>
      </c>
      <c r="J12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6))),"")</f>
        <v/>
      </c>
      <c r="K12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6))),"")</f>
        <v/>
      </c>
      <c r="L12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6))),"")</f>
        <v/>
      </c>
      <c r="M12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6))),"")</f>
        <v/>
      </c>
      <c r="N12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6))),"")</f>
        <v/>
      </c>
      <c r="O12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6))),"")</f>
        <v/>
      </c>
      <c r="P12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6))),"")</f>
        <v/>
      </c>
      <c r="Q12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6))),"")</f>
        <v/>
      </c>
      <c r="R12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6))),"")</f>
        <v/>
      </c>
      <c r="S12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6))),"")</f>
        <v/>
      </c>
      <c r="T12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6))),"")</f>
        <v/>
      </c>
      <c r="U12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6))),"")</f>
        <v/>
      </c>
      <c r="V12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6))),"")</f>
        <v/>
      </c>
      <c r="W12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6))),"")</f>
        <v/>
      </c>
      <c r="X12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6))),"")</f>
        <v/>
      </c>
      <c r="Y12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6))),"")</f>
        <v/>
      </c>
      <c r="Z12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6))),"")</f>
        <v/>
      </c>
      <c r="AA12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6))),"")</f>
        <v/>
      </c>
      <c r="AB12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6))),"")</f>
        <v/>
      </c>
      <c r="AC12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6))),"")</f>
        <v/>
      </c>
      <c r="AD12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6))),"")</f>
        <v/>
      </c>
      <c r="AE12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6))),"")</f>
        <v/>
      </c>
      <c r="AF12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6))),"")</f>
        <v/>
      </c>
      <c r="AG12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6))),"")</f>
        <v/>
      </c>
      <c r="AH12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6))),"")</f>
        <v/>
      </c>
      <c r="AI12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IFERROR(INDEX(#REF!,_xlfn.AGGREGATE(15,6,(ROW(#REF!)-ROW(#REF!))/(Таблица1[[мес]:[мес]]=$J$5)/(Таблица1[[год]:[год]]=$L$5)/(Таблица1[[изд]:[изд]]=$N$1:$T$1)/(Таблица1[[партия]:[партия]]=$W$1),ROW(AH6))),"")</f>
        <v/>
      </c>
      <c r="AJ12" s="139">
        <f t="shared" si="0"/>
        <v>0</v>
      </c>
    </row>
    <row r="13" spans="1:36" ht="33" customHeight="1">
      <c r="A13" s="148">
        <v>7</v>
      </c>
      <c r="B13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7))),"")</f>
        <v/>
      </c>
      <c r="C13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О.]]))/(Таблица1[[мес]:[мес]]=$J$5)/(Таблица1[[год]:[год]]=$L$5)/(Таблица1[[изд]:[изд]]=$N$1)/(Таблица1[[партия]:[партия]]=$W$1),ROW(B7))),"")</f>
        <v/>
      </c>
      <c r="D13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7))),"")</f>
        <v/>
      </c>
      <c r="E13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7))),"")</f>
        <v/>
      </c>
      <c r="F13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7))),"")</f>
        <v/>
      </c>
      <c r="G13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7))),"")</f>
        <v/>
      </c>
      <c r="H13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7))),"")</f>
        <v/>
      </c>
      <c r="I13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7))),"")</f>
        <v/>
      </c>
      <c r="J13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7))),"")</f>
        <v/>
      </c>
      <c r="K13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7))),"")</f>
        <v/>
      </c>
      <c r="L13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7))),"")</f>
        <v/>
      </c>
      <c r="M13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7))),"")</f>
        <v/>
      </c>
      <c r="N13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7))),"")</f>
        <v/>
      </c>
      <c r="O13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7))),"")</f>
        <v/>
      </c>
      <c r="P13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7))),"")</f>
        <v/>
      </c>
      <c r="Q13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7))),"")</f>
        <v/>
      </c>
      <c r="R13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7))),"")</f>
        <v/>
      </c>
      <c r="S13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7))),"")</f>
        <v/>
      </c>
      <c r="T13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7))),"")</f>
        <v/>
      </c>
      <c r="U13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7))),"")</f>
        <v/>
      </c>
      <c r="V13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7))),"")</f>
        <v/>
      </c>
      <c r="W13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7))),"")</f>
        <v/>
      </c>
      <c r="X13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7))),"")</f>
        <v/>
      </c>
      <c r="Y13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7))),"")</f>
        <v/>
      </c>
      <c r="Z13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7))),"")</f>
        <v/>
      </c>
      <c r="AA13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7))),"")</f>
        <v/>
      </c>
      <c r="AB13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7))),"")</f>
        <v/>
      </c>
      <c r="AC13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7))),"")</f>
        <v/>
      </c>
      <c r="AD13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7))),"")</f>
        <v/>
      </c>
      <c r="AE13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7))),"")</f>
        <v/>
      </c>
      <c r="AF13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7))),"")</f>
        <v/>
      </c>
      <c r="AG13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7))),"")</f>
        <v/>
      </c>
      <c r="AH13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7))),"")</f>
        <v/>
      </c>
      <c r="AI13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IFERROR(INDEX(#REF!,_xlfn.AGGREGATE(15,6,(ROW(#REF!)-ROW(#REF!))/(Таблица1[[мес]:[мес]]=$J$5)/(Таблица1[[год]:[год]]=$L$5)/(Таблица1[[изд]:[изд]]=$N$1:$T$1)/(Таблица1[[партия]:[партия]]=$W$1),ROW(AH7))),"")</f>
        <v/>
      </c>
      <c r="AJ13" s="139">
        <f t="shared" si="0"/>
        <v>0</v>
      </c>
    </row>
    <row r="14" spans="1:36" ht="33" customHeight="1">
      <c r="A14" s="148">
        <v>8</v>
      </c>
      <c r="B14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8))),"")</f>
        <v/>
      </c>
      <c r="C14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О.]]))/(Таблица1[[мес]:[мес]]=$J$5)/(Таблица1[[год]:[год]]=$L$5)/(Таблица1[[изд]:[изд]]=$N$1)/(Таблица1[[партия]:[партия]]=$W$1),ROW(B8))),"")</f>
        <v/>
      </c>
      <c r="D14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8))),"")</f>
        <v/>
      </c>
      <c r="E14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8))),"")</f>
        <v/>
      </c>
      <c r="F14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8))),"")</f>
        <v/>
      </c>
      <c r="G14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8))),"")</f>
        <v/>
      </c>
      <c r="H14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8))),"")</f>
        <v/>
      </c>
      <c r="I14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8))),"")</f>
        <v/>
      </c>
      <c r="J14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8))),"")</f>
        <v/>
      </c>
      <c r="K14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8))),"")</f>
        <v/>
      </c>
      <c r="L14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8))),"")</f>
        <v/>
      </c>
      <c r="M14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8))),"")</f>
        <v/>
      </c>
      <c r="N14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8))),"")</f>
        <v/>
      </c>
      <c r="O14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8))),"")</f>
        <v/>
      </c>
      <c r="P14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8))),"")</f>
        <v/>
      </c>
      <c r="Q14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8))),"")</f>
        <v/>
      </c>
      <c r="R14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8))),"")</f>
        <v/>
      </c>
      <c r="S14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8))),"")</f>
        <v/>
      </c>
      <c r="T14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8))),"")</f>
        <v/>
      </c>
      <c r="U14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8))),"")</f>
        <v/>
      </c>
      <c r="V14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8))),"")</f>
        <v/>
      </c>
      <c r="W14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8))),"")</f>
        <v/>
      </c>
      <c r="X14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8))),"")</f>
        <v/>
      </c>
      <c r="Y14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8))),"")</f>
        <v/>
      </c>
      <c r="Z14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8))),"")</f>
        <v/>
      </c>
      <c r="AA14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8))),"")</f>
        <v/>
      </c>
      <c r="AB14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8))),"")</f>
        <v/>
      </c>
      <c r="AC14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8))),"")</f>
        <v/>
      </c>
      <c r="AD14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8))),"")</f>
        <v/>
      </c>
      <c r="AE14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8))),"")</f>
        <v/>
      </c>
      <c r="AF14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8))),"")</f>
        <v/>
      </c>
      <c r="AG14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8))),"")</f>
        <v/>
      </c>
      <c r="AH14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8))),"")</f>
        <v/>
      </c>
      <c r="AI14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IFERROR(INDEX(#REF!,_xlfn.AGGREGATE(15,6,(ROW(#REF!)-ROW(#REF!))/(Таблица1[[мес]:[мес]]=$J$5)/(Таблица1[[год]:[год]]=$L$5)/(Таблица1[[изд]:[изд]]=$N$1:$T$1)/(Таблица1[[партия]:[партия]]=$W$1),ROW(AH8))),"")</f>
        <v/>
      </c>
      <c r="AJ14" s="140">
        <f t="shared" si="0"/>
        <v>0</v>
      </c>
    </row>
    <row r="15" spans="1:36" ht="33" customHeight="1">
      <c r="A15" s="148">
        <v>9</v>
      </c>
      <c r="B15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9))),"")</f>
        <v/>
      </c>
      <c r="C15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О.]]))/(Таблица1[[мес]:[мес]]=$J$5)/(Таблица1[[год]:[год]]=$L$5)/(Таблица1[[изд]:[изд]]=$N$1)/(Таблица1[[партия]:[партия]]=$W$1),ROW(B9))),"")</f>
        <v/>
      </c>
      <c r="D15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9))),"")</f>
        <v/>
      </c>
      <c r="E15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9))),"")</f>
        <v/>
      </c>
      <c r="F15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9))),"")</f>
        <v/>
      </c>
      <c r="G15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9))),"")</f>
        <v/>
      </c>
      <c r="H15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9))),"")</f>
        <v/>
      </c>
      <c r="I15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9))),"")</f>
        <v/>
      </c>
      <c r="J15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9))),"")</f>
        <v/>
      </c>
      <c r="K15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9))),"")</f>
        <v/>
      </c>
      <c r="L15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9))),"")</f>
        <v/>
      </c>
      <c r="M15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9))),"")</f>
        <v/>
      </c>
      <c r="N15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9))),"")</f>
        <v/>
      </c>
      <c r="O15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9))),"")</f>
        <v/>
      </c>
      <c r="P15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9))),"")</f>
        <v/>
      </c>
      <c r="Q15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9))),"")</f>
        <v/>
      </c>
      <c r="R15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9))),"")</f>
        <v/>
      </c>
      <c r="S15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9))),"")</f>
        <v/>
      </c>
      <c r="T15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9))),"")</f>
        <v/>
      </c>
      <c r="U15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9))),"")</f>
        <v/>
      </c>
      <c r="V15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9))),"")</f>
        <v/>
      </c>
      <c r="W15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9))),"")</f>
        <v/>
      </c>
      <c r="X15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9))),"")</f>
        <v/>
      </c>
      <c r="Y15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9))),"")</f>
        <v/>
      </c>
      <c r="Z15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9))),"")</f>
        <v/>
      </c>
      <c r="AA15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9))),"")</f>
        <v/>
      </c>
      <c r="AB15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9))),"")</f>
        <v/>
      </c>
      <c r="AC15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9))),"")</f>
        <v/>
      </c>
      <c r="AD15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9))),"")</f>
        <v/>
      </c>
      <c r="AE15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9))),"")</f>
        <v/>
      </c>
      <c r="AF15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9))),"")</f>
        <v/>
      </c>
      <c r="AG15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9))),"")</f>
        <v/>
      </c>
      <c r="AH15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9))),"")</f>
        <v/>
      </c>
      <c r="AI15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IFERROR(INDEX(#REF!,_xlfn.AGGREGATE(15,6,(ROW(#REF!)-ROW(#REF!))/(Таблица1[[мес]:[мес]]=$J$5)/(Таблица1[[год]:[год]]=$L$5)/(Таблица1[[изд]:[изд]]=$N$1:$T$1)/(Таблица1[[партия]:[партия]]=$W$1),ROW(AH9))),"")</f>
        <v/>
      </c>
      <c r="AJ15" s="141">
        <f t="shared" si="0"/>
        <v>0</v>
      </c>
    </row>
    <row r="16" spans="1:36" ht="33" customHeight="1">
      <c r="A16" s="148">
        <v>10</v>
      </c>
      <c r="B16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10))),"")</f>
        <v/>
      </c>
      <c r="C16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О.]]))/(Таблица1[[мес]:[мес]]=$J$5)/(Таблица1[[год]:[год]]=$L$5)/(Таблица1[[изд]:[изд]]=$N$1)/(Таблица1[[партия]:[партия]]=$W$1),ROW(B10))),"")</f>
        <v/>
      </c>
      <c r="D16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10))),"")</f>
        <v/>
      </c>
      <c r="E16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10))),"")</f>
        <v/>
      </c>
      <c r="F16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10))),"")</f>
        <v/>
      </c>
      <c r="G16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10))),"")</f>
        <v/>
      </c>
      <c r="H16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10))),"")</f>
        <v/>
      </c>
      <c r="I16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10))),"")</f>
        <v/>
      </c>
      <c r="J16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10))),"")</f>
        <v/>
      </c>
      <c r="K16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10))),"")</f>
        <v/>
      </c>
      <c r="L16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10))),"")</f>
        <v/>
      </c>
      <c r="M16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10))),"")</f>
        <v/>
      </c>
      <c r="N16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10))),"")</f>
        <v/>
      </c>
      <c r="O16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10))),"")</f>
        <v/>
      </c>
      <c r="P16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10))),"")</f>
        <v/>
      </c>
      <c r="Q16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10))),"")</f>
        <v/>
      </c>
      <c r="R16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10))),"")</f>
        <v/>
      </c>
      <c r="S16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10))),"")</f>
        <v/>
      </c>
      <c r="T16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10))),"")</f>
        <v/>
      </c>
      <c r="U16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10))),"")</f>
        <v/>
      </c>
      <c r="V16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10))),"")</f>
        <v/>
      </c>
      <c r="W16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10))),"")</f>
        <v/>
      </c>
      <c r="X16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10))),"")</f>
        <v/>
      </c>
      <c r="Y16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10))),"")</f>
        <v/>
      </c>
      <c r="Z16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10))),"")</f>
        <v/>
      </c>
      <c r="AA16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10))),"")</f>
        <v/>
      </c>
      <c r="AB16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10))),"")</f>
        <v/>
      </c>
      <c r="AC16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10))),"")</f>
        <v/>
      </c>
      <c r="AD16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10))),"")</f>
        <v/>
      </c>
      <c r="AE16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10))),"")</f>
        <v/>
      </c>
      <c r="AF16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10))),"")</f>
        <v/>
      </c>
      <c r="AG16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10))),"")</f>
        <v/>
      </c>
      <c r="AH16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10))),"")</f>
        <v/>
      </c>
      <c r="AI16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IFERROR(INDEX(#REF!,_xlfn.AGGREGATE(15,6,(ROW(#REF!)-ROW(#REF!))/(Таблица1[[мес]:[мес]]=$J$5)/(Таблица1[[год]:[год]]=$L$5)/(Таблица1[[изд]:[изд]]=$N$1:$T$1)/(Таблица1[[партия]:[партия]]=$W$1),ROW(AH10))),"")</f>
        <v/>
      </c>
      <c r="AJ16" s="141">
        <f t="shared" si="0"/>
        <v>0</v>
      </c>
    </row>
    <row r="17" spans="1:36" ht="33" customHeight="1">
      <c r="A17" s="148">
        <v>11</v>
      </c>
      <c r="B17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11))),"")</f>
        <v/>
      </c>
      <c r="C17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О.]]))/(Таблица1[[мес]:[мес]]=$J$5)/(Таблица1[[год]:[год]]=$L$5)/(Таблица1[[изд]:[изд]]=$N$1)/(Таблица1[[партия]:[партия]]=$W$1),ROW(B11))),"")</f>
        <v/>
      </c>
      <c r="D17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11))),"")</f>
        <v/>
      </c>
      <c r="E17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11))),"")</f>
        <v/>
      </c>
      <c r="F17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11))),"")</f>
        <v/>
      </c>
      <c r="G17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11))),"")</f>
        <v/>
      </c>
      <c r="H17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11))),"")</f>
        <v/>
      </c>
      <c r="I17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11))),"")</f>
        <v/>
      </c>
      <c r="J17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11))),"")</f>
        <v/>
      </c>
      <c r="K17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11))),"")</f>
        <v/>
      </c>
      <c r="L17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11))),"")</f>
        <v/>
      </c>
      <c r="M17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11))),"")</f>
        <v/>
      </c>
      <c r="N17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11))),"")</f>
        <v/>
      </c>
      <c r="O17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11))),"")</f>
        <v/>
      </c>
      <c r="P17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11))),"")</f>
        <v/>
      </c>
      <c r="Q17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11))),"")</f>
        <v/>
      </c>
      <c r="R17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11))),"")</f>
        <v/>
      </c>
      <c r="S17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11))),"")</f>
        <v/>
      </c>
      <c r="T17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11))),"")</f>
        <v/>
      </c>
      <c r="U17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11))),"")</f>
        <v/>
      </c>
      <c r="V17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11))),"")</f>
        <v/>
      </c>
      <c r="W17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11))),"")</f>
        <v/>
      </c>
      <c r="X17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11))),"")</f>
        <v/>
      </c>
      <c r="Y17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11))),"")</f>
        <v/>
      </c>
      <c r="Z17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11))),"")</f>
        <v/>
      </c>
      <c r="AA17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11))),"")</f>
        <v/>
      </c>
      <c r="AB17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11))),"")</f>
        <v/>
      </c>
      <c r="AC17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11))),"")</f>
        <v/>
      </c>
      <c r="AD17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11))),"")</f>
        <v/>
      </c>
      <c r="AE17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11))),"")</f>
        <v/>
      </c>
      <c r="AF17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11))),"")</f>
        <v/>
      </c>
      <c r="AG17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11))),"")</f>
        <v/>
      </c>
      <c r="AH17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11))),"")</f>
        <v/>
      </c>
      <c r="AI17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IFERROR(INDEX(#REF!,_xlfn.AGGREGATE(15,6,(ROW(#REF!)-ROW(#REF!))/(Таблица1[[мес]:[мес]]=$J$5)/(Таблица1[[год]:[год]]=$L$5)/(Таблица1[[изд]:[изд]]=$N$1:$T$1)/(Таблица1[[партия]:[партия]]=$W$1),ROW(AH11))),"")</f>
        <v/>
      </c>
      <c r="AJ17" s="139">
        <f t="shared" si="0"/>
        <v>0</v>
      </c>
    </row>
    <row r="18" spans="1:36" ht="33" customHeight="1">
      <c r="A18" s="148">
        <v>12</v>
      </c>
      <c r="B18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12))),"")</f>
        <v/>
      </c>
      <c r="C18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О.]]))/(Таблица1[[мес]:[мес]]=$J$5)/(Таблица1[[год]:[год]]=$L$5)/(Таблица1[[изд]:[изд]]=$N$1)/(Таблица1[[партия]:[партия]]=$W$1),ROW(B12))),"")</f>
        <v/>
      </c>
      <c r="D18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12))),"")</f>
        <v/>
      </c>
      <c r="E18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12))),"")</f>
        <v/>
      </c>
      <c r="F18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12))),"")</f>
        <v/>
      </c>
      <c r="G18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12))),"")</f>
        <v/>
      </c>
      <c r="H18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12))),"")</f>
        <v/>
      </c>
      <c r="I18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12))),"")</f>
        <v/>
      </c>
      <c r="J18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12))),"")</f>
        <v/>
      </c>
      <c r="K18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12))),"")</f>
        <v/>
      </c>
      <c r="L18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12))),"")</f>
        <v/>
      </c>
      <c r="M18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12))),"")</f>
        <v/>
      </c>
      <c r="N18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12))),"")</f>
        <v/>
      </c>
      <c r="O18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12))),"")</f>
        <v/>
      </c>
      <c r="P18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12))),"")</f>
        <v/>
      </c>
      <c r="Q18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12))),"")</f>
        <v/>
      </c>
      <c r="R18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12))),"")</f>
        <v/>
      </c>
      <c r="S18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12))),"")</f>
        <v/>
      </c>
      <c r="T18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12))),"")</f>
        <v/>
      </c>
      <c r="U18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12))),"")</f>
        <v/>
      </c>
      <c r="V18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12))),"")</f>
        <v/>
      </c>
      <c r="W18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12))),"")</f>
        <v/>
      </c>
      <c r="X18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12))),"")</f>
        <v/>
      </c>
      <c r="Y18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12))),"")</f>
        <v/>
      </c>
      <c r="Z18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12))),"")</f>
        <v/>
      </c>
      <c r="AA18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12))),"")</f>
        <v/>
      </c>
      <c r="AB18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12))),"")</f>
        <v/>
      </c>
      <c r="AC18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12))),"")</f>
        <v/>
      </c>
      <c r="AD18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12))),"")</f>
        <v/>
      </c>
      <c r="AE18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12))),"")</f>
        <v/>
      </c>
      <c r="AF18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12))),"")</f>
        <v/>
      </c>
      <c r="AG18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12))),"")</f>
        <v/>
      </c>
      <c r="AH18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12))),"")</f>
        <v/>
      </c>
      <c r="AI18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IFERROR(INDEX(#REF!,_xlfn.AGGREGATE(15,6,(ROW(#REF!)-ROW(#REF!))/(Таблица1[[мес]:[мес]]=$J$5)/(Таблица1[[год]:[год]]=$L$5)/(Таблица1[[изд]:[изд]]=$N$1:$T$1)/(Таблица1[[партия]:[партия]]=$W$1),ROW(AH12))),"")</f>
        <v/>
      </c>
      <c r="AJ18" s="140">
        <f t="shared" si="0"/>
        <v>0</v>
      </c>
    </row>
    <row r="19" spans="1:36" ht="33" customHeight="1">
      <c r="A19" s="148">
        <v>13</v>
      </c>
      <c r="B19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13))),"")</f>
        <v/>
      </c>
      <c r="C19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О.]]))/(Таблица1[[мес]:[мес]]=$J$5)/(Таблица1[[год]:[год]]=$L$5)/(Таблица1[[изд]:[изд]]=$N$1)/(Таблица1[[партия]:[партия]]=$W$1),ROW(B13))),"")</f>
        <v/>
      </c>
      <c r="D19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13))),"")</f>
        <v/>
      </c>
      <c r="E19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13))),"")</f>
        <v/>
      </c>
      <c r="F19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13))),"")</f>
        <v/>
      </c>
      <c r="G19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13))),"")</f>
        <v/>
      </c>
      <c r="H19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13))),"")</f>
        <v/>
      </c>
      <c r="I19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13))),"")</f>
        <v/>
      </c>
      <c r="J19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13))),"")</f>
        <v/>
      </c>
      <c r="K19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13))),"")</f>
        <v/>
      </c>
      <c r="L19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13))),"")</f>
        <v/>
      </c>
      <c r="M19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13))),"")</f>
        <v/>
      </c>
      <c r="N19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13))),"")</f>
        <v/>
      </c>
      <c r="O19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13))),"")</f>
        <v/>
      </c>
      <c r="P19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13))),"")</f>
        <v/>
      </c>
      <c r="Q19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13))),"")</f>
        <v/>
      </c>
      <c r="R19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13))),"")</f>
        <v/>
      </c>
      <c r="S19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13))),"")</f>
        <v/>
      </c>
      <c r="T19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13))),"")</f>
        <v/>
      </c>
      <c r="U19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13))),"")</f>
        <v/>
      </c>
      <c r="V19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13))),"")</f>
        <v/>
      </c>
      <c r="W19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13))),"")</f>
        <v/>
      </c>
      <c r="X19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13))),"")</f>
        <v/>
      </c>
      <c r="Y19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13))),"")</f>
        <v/>
      </c>
      <c r="Z19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13))),"")</f>
        <v/>
      </c>
      <c r="AA19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13))),"")</f>
        <v/>
      </c>
      <c r="AB19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13))),"")</f>
        <v/>
      </c>
      <c r="AC19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13))),"")</f>
        <v/>
      </c>
      <c r="AD19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13))),"")</f>
        <v/>
      </c>
      <c r="AE19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13))),"")</f>
        <v/>
      </c>
      <c r="AF19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13))),"")</f>
        <v/>
      </c>
      <c r="AG19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13))),"")</f>
        <v/>
      </c>
      <c r="AH19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13))),"")</f>
        <v/>
      </c>
      <c r="AI19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IFERROR(INDEX(#REF!,_xlfn.AGGREGATE(15,6,(ROW(#REF!)-ROW(#REF!))/(Таблица1[[мес]:[мес]]=$J$5)/(Таблица1[[год]:[год]]=$L$5)/(Таблица1[[изд]:[изд]]=$N$1:$T$1)/(Таблица1[[партия]:[партия]]=$W$1),ROW(AH13))),"")</f>
        <v/>
      </c>
      <c r="AJ19" s="139">
        <f t="shared" si="0"/>
        <v>0</v>
      </c>
    </row>
    <row r="20" spans="1:36" ht="33" customHeight="1">
      <c r="A20" s="148">
        <v>14</v>
      </c>
      <c r="B20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14))),"")</f>
        <v/>
      </c>
      <c r="C20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О.]]))/(Таблица1[[мес]:[мес]]=$J$5)/(Таблица1[[год]:[год]]=$L$5)/(Таблица1[[изд]:[изд]]=$N$1)/(Таблица1[[партия]:[партия]]=$W$1),ROW(B14))),"")</f>
        <v/>
      </c>
      <c r="D20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14))),"")</f>
        <v/>
      </c>
      <c r="E20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14))),"")</f>
        <v/>
      </c>
      <c r="F20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14))),"")</f>
        <v/>
      </c>
      <c r="G20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14))),"")</f>
        <v/>
      </c>
      <c r="H20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14))),"")</f>
        <v/>
      </c>
      <c r="I20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14))),"")</f>
        <v/>
      </c>
      <c r="J20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14))),"")</f>
        <v/>
      </c>
      <c r="K20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14))),"")</f>
        <v/>
      </c>
      <c r="L20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14))),"")</f>
        <v/>
      </c>
      <c r="M20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14))),"")</f>
        <v/>
      </c>
      <c r="N20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14))),"")</f>
        <v/>
      </c>
      <c r="O20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14))),"")</f>
        <v/>
      </c>
      <c r="P20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14))),"")</f>
        <v/>
      </c>
      <c r="Q20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14))),"")</f>
        <v/>
      </c>
      <c r="R20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14))),"")</f>
        <v/>
      </c>
      <c r="S20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14))),"")</f>
        <v/>
      </c>
      <c r="T20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14))),"")</f>
        <v/>
      </c>
      <c r="U20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14))),"")</f>
        <v/>
      </c>
      <c r="V20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14))),"")</f>
        <v/>
      </c>
      <c r="W20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14))),"")</f>
        <v/>
      </c>
      <c r="X20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14))),"")</f>
        <v/>
      </c>
      <c r="Y20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14))),"")</f>
        <v/>
      </c>
      <c r="Z20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14))),"")</f>
        <v/>
      </c>
      <c r="AA20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14))),"")</f>
        <v/>
      </c>
      <c r="AB20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14))),"")</f>
        <v/>
      </c>
      <c r="AC20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14))),"")</f>
        <v/>
      </c>
      <c r="AD20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14))),"")</f>
        <v/>
      </c>
      <c r="AE20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14))),"")</f>
        <v/>
      </c>
      <c r="AF20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14))),"")</f>
        <v/>
      </c>
      <c r="AG20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14))),"")</f>
        <v/>
      </c>
      <c r="AH20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14))),"")</f>
        <v/>
      </c>
      <c r="AI20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IFERROR(INDEX(#REF!,_xlfn.AGGREGATE(15,6,(ROW(#REF!)-ROW(#REF!))/(Таблица1[[мес]:[мес]]=$J$5)/(Таблица1[[год]:[год]]=$L$5)/(Таблица1[[изд]:[изд]]=$N$1:$T$1)/(Таблица1[[партия]:[партия]]=$W$1),ROW(AH14))),"")</f>
        <v/>
      </c>
      <c r="AJ20" s="140">
        <f t="shared" si="0"/>
        <v>0</v>
      </c>
    </row>
    <row r="21" spans="1:36" ht="33" customHeight="1">
      <c r="A21" s="148">
        <v>15</v>
      </c>
      <c r="B21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15))),"")</f>
        <v/>
      </c>
      <c r="C21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О.]]))/(Таблица1[[мес]:[мес]]=$J$5)/(Таблица1[[год]:[год]]=$L$5)/(Таблица1[[изд]:[изд]]=$N$1)/(Таблица1[[партия]:[партия]]=$W$1),ROW(B15))),"")</f>
        <v/>
      </c>
      <c r="D21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15))),"")</f>
        <v/>
      </c>
      <c r="E21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15))),"")</f>
        <v/>
      </c>
      <c r="F21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15))),"")</f>
        <v/>
      </c>
      <c r="G21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15))),"")</f>
        <v/>
      </c>
      <c r="H21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15))),"")</f>
        <v/>
      </c>
      <c r="I21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15))),"")</f>
        <v/>
      </c>
      <c r="J21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15))),"")</f>
        <v/>
      </c>
      <c r="K21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15))),"")</f>
        <v/>
      </c>
      <c r="L21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15))),"")</f>
        <v/>
      </c>
      <c r="M21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15))),"")</f>
        <v/>
      </c>
      <c r="N21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15))),"")</f>
        <v/>
      </c>
      <c r="O21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15))),"")</f>
        <v/>
      </c>
      <c r="P21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15))),"")</f>
        <v/>
      </c>
      <c r="Q21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15))),"")</f>
        <v/>
      </c>
      <c r="R21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15))),"")</f>
        <v/>
      </c>
      <c r="S21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15))),"")</f>
        <v/>
      </c>
      <c r="T21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15))),"")</f>
        <v/>
      </c>
      <c r="U21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15))),"")</f>
        <v/>
      </c>
      <c r="V21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15))),"")</f>
        <v/>
      </c>
      <c r="W21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15))),"")</f>
        <v/>
      </c>
      <c r="X21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15))),"")</f>
        <v/>
      </c>
      <c r="Y21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15))),"")</f>
        <v/>
      </c>
      <c r="Z21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15))),"")</f>
        <v/>
      </c>
      <c r="AA21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15))),"")</f>
        <v/>
      </c>
      <c r="AB21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15))),"")</f>
        <v/>
      </c>
      <c r="AC21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15))),"")</f>
        <v/>
      </c>
      <c r="AD21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15))),"")</f>
        <v/>
      </c>
      <c r="AE21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15))),"")</f>
        <v/>
      </c>
      <c r="AF21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15))),"")</f>
        <v/>
      </c>
      <c r="AG21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15))),"")</f>
        <v/>
      </c>
      <c r="AH21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15))),"")</f>
        <v/>
      </c>
      <c r="AI21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IFERROR(INDEX(#REF!,_xlfn.AGGREGATE(15,6,(ROW(#REF!)-ROW(#REF!))/(Таблица1[[мес]:[мес]]=$J$5)/(Таблица1[[год]:[год]]=$L$5)/(Таблица1[[изд]:[изд]]=$N$1:$T$1)/(Таблица1[[партия]:[партия]]=$W$1),ROW(AH15))),"")</f>
        <v/>
      </c>
      <c r="AJ21" s="139">
        <f t="shared" si="0"/>
        <v>0</v>
      </c>
    </row>
    <row r="22" spans="1:36" ht="33" customHeight="1">
      <c r="A22" s="148">
        <v>16</v>
      </c>
      <c r="B22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16))),"")</f>
        <v/>
      </c>
      <c r="C22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О.]]))/(Таблица1[[мес]:[мес]]=$J$5)/(Таблица1[[год]:[год]]=$L$5)/(Таблица1[[изд]:[изд]]=$N$1)/(Таблица1[[партия]:[партия]]=$W$1),ROW(B16))),"")</f>
        <v/>
      </c>
      <c r="D22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16))),"")</f>
        <v/>
      </c>
      <c r="E22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16))),"")</f>
        <v/>
      </c>
      <c r="F22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16))),"")</f>
        <v/>
      </c>
      <c r="G22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16))),"")</f>
        <v/>
      </c>
      <c r="H22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16))),"")</f>
        <v/>
      </c>
      <c r="I22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16))),"")</f>
        <v/>
      </c>
      <c r="J22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16))),"")</f>
        <v/>
      </c>
      <c r="K22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16))),"")</f>
        <v/>
      </c>
      <c r="L22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16))),"")</f>
        <v/>
      </c>
      <c r="M22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16))),"")</f>
        <v/>
      </c>
      <c r="N22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16))),"")</f>
        <v/>
      </c>
      <c r="O22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16))),"")</f>
        <v/>
      </c>
      <c r="P22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16))),"")</f>
        <v/>
      </c>
      <c r="Q22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16))),"")</f>
        <v/>
      </c>
      <c r="R22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16))),"")</f>
        <v/>
      </c>
      <c r="S22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16))),"")</f>
        <v/>
      </c>
      <c r="T22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16))),"")</f>
        <v/>
      </c>
      <c r="U22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16))),"")</f>
        <v/>
      </c>
      <c r="V22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16))),"")</f>
        <v/>
      </c>
      <c r="W22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16))),"")</f>
        <v/>
      </c>
      <c r="X22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16))),"")</f>
        <v/>
      </c>
      <c r="Y22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16))),"")</f>
        <v/>
      </c>
      <c r="Z22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16))),"")</f>
        <v/>
      </c>
      <c r="AA22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16))),"")</f>
        <v/>
      </c>
      <c r="AB22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16))),"")</f>
        <v/>
      </c>
      <c r="AC22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16))),"")</f>
        <v/>
      </c>
      <c r="AD22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16))),"")</f>
        <v/>
      </c>
      <c r="AE22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16))),"")</f>
        <v/>
      </c>
      <c r="AF22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16))),"")</f>
        <v/>
      </c>
      <c r="AG22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16))),"")</f>
        <v/>
      </c>
      <c r="AH22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16))),"")</f>
        <v/>
      </c>
      <c r="AI22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IFERROR(INDEX(#REF!,_xlfn.AGGREGATE(15,6,(ROW(#REF!)-ROW(#REF!))/(Таблица1[[мес]:[мес]]=$J$5)/(Таблица1[[год]:[год]]=$L$5)/(Таблица1[[изд]:[изд]]=$N$1:$T$1)/(Таблица1[[партия]:[партия]]=$W$1),ROW(AH16))),"")</f>
        <v/>
      </c>
      <c r="AJ22" s="139">
        <f t="shared" si="0"/>
        <v>0</v>
      </c>
    </row>
    <row r="23" spans="1:36" ht="33" customHeight="1">
      <c r="A23" s="148">
        <v>17</v>
      </c>
      <c r="B23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17))),"")</f>
        <v/>
      </c>
      <c r="C23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О.]]))/(Таблица1[[мес]:[мес]]=$J$5)/(Таблица1[[год]:[год]]=$L$5)/(Таблица1[[изд]:[изд]]=$N$1)/(Таблица1[[партия]:[партия]]=$W$1),ROW(B17))),"")</f>
        <v/>
      </c>
      <c r="D23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17))),"")</f>
        <v/>
      </c>
      <c r="E23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17))),"")</f>
        <v/>
      </c>
      <c r="F23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17))),"")</f>
        <v/>
      </c>
      <c r="G23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17))),"")</f>
        <v/>
      </c>
      <c r="H23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17))),"")</f>
        <v/>
      </c>
      <c r="I23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17))),"")</f>
        <v/>
      </c>
      <c r="J23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17))),"")</f>
        <v/>
      </c>
      <c r="K23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17))),"")</f>
        <v/>
      </c>
      <c r="L23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17))),"")</f>
        <v/>
      </c>
      <c r="M23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17))),"")</f>
        <v/>
      </c>
      <c r="N23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17))),"")</f>
        <v/>
      </c>
      <c r="O23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17))),"")</f>
        <v/>
      </c>
      <c r="P23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17))),"")</f>
        <v/>
      </c>
      <c r="Q23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17))),"")</f>
        <v/>
      </c>
      <c r="R23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17))),"")</f>
        <v/>
      </c>
      <c r="S23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17))),"")</f>
        <v/>
      </c>
      <c r="T23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17))),"")</f>
        <v/>
      </c>
      <c r="U23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17))),"")</f>
        <v/>
      </c>
      <c r="V23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17))),"")</f>
        <v/>
      </c>
      <c r="W23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17))),"")</f>
        <v/>
      </c>
      <c r="X23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17))),"")</f>
        <v/>
      </c>
      <c r="Y23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17))),"")</f>
        <v/>
      </c>
      <c r="Z23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17))),"")</f>
        <v/>
      </c>
      <c r="AA23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17))),"")</f>
        <v/>
      </c>
      <c r="AB23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17))),"")</f>
        <v/>
      </c>
      <c r="AC23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17))),"")</f>
        <v/>
      </c>
      <c r="AD23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17))),"")</f>
        <v/>
      </c>
      <c r="AE23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17))),"")</f>
        <v/>
      </c>
      <c r="AF23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17))),"")</f>
        <v/>
      </c>
      <c r="AG23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17))),"")</f>
        <v/>
      </c>
      <c r="AH23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17))),"")</f>
        <v/>
      </c>
      <c r="AI23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IFERROR(INDEX(#REF!,_xlfn.AGGREGATE(15,6,(ROW(#REF!)-ROW(#REF!))/(Таблица1[[мес]:[мес]]=$J$5)/(Таблица1[[год]:[год]]=$L$5)/(Таблица1[[изд]:[изд]]=$N$1:$T$1)/(Таблица1[[партия]:[партия]]=$W$1),ROW(AH17))),"")</f>
        <v/>
      </c>
      <c r="AJ23" s="139">
        <f t="shared" si="0"/>
        <v>0</v>
      </c>
    </row>
    <row r="24" spans="1:36" ht="28.5" customHeight="1">
      <c r="A24" s="148">
        <v>18</v>
      </c>
      <c r="B24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18))),"")</f>
        <v/>
      </c>
      <c r="C24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О.]]))/(Таблица1[[мес]:[мес]]=$J$5)/(Таблица1[[год]:[год]]=$L$5)/(Таблица1[[изд]:[изд]]=$N$1)/(Таблица1[[партия]:[партия]]=$W$1),ROW(B18))),"")</f>
        <v/>
      </c>
      <c r="D24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18))),"")</f>
        <v/>
      </c>
      <c r="E24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18))),"")</f>
        <v/>
      </c>
      <c r="F24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18))),"")</f>
        <v/>
      </c>
      <c r="G24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18))),"")</f>
        <v/>
      </c>
      <c r="H24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18))),"")</f>
        <v/>
      </c>
      <c r="I24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18))),"")</f>
        <v/>
      </c>
      <c r="J24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18))),"")</f>
        <v/>
      </c>
      <c r="K24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18))),"")</f>
        <v/>
      </c>
      <c r="L24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18))),"")</f>
        <v/>
      </c>
      <c r="M24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18))),"")</f>
        <v/>
      </c>
      <c r="N24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18))),"")</f>
        <v/>
      </c>
      <c r="O24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18))),"")</f>
        <v/>
      </c>
      <c r="P24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18))),"")</f>
        <v/>
      </c>
      <c r="Q24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18))),"")</f>
        <v/>
      </c>
      <c r="R24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18))),"")</f>
        <v/>
      </c>
      <c r="S24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18))),"")</f>
        <v/>
      </c>
      <c r="T24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18))),"")</f>
        <v/>
      </c>
      <c r="U24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18))),"")</f>
        <v/>
      </c>
      <c r="V24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18))),"")</f>
        <v/>
      </c>
      <c r="W24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18))),"")</f>
        <v/>
      </c>
      <c r="X24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18))),"")</f>
        <v/>
      </c>
      <c r="Y24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18))),"")</f>
        <v/>
      </c>
      <c r="Z24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18))),"")</f>
        <v/>
      </c>
      <c r="AA24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18))),"")</f>
        <v/>
      </c>
      <c r="AB24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18))),"")</f>
        <v/>
      </c>
      <c r="AC24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18))),"")</f>
        <v/>
      </c>
      <c r="AD24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18))),"")</f>
        <v/>
      </c>
      <c r="AE24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18))),"")</f>
        <v/>
      </c>
      <c r="AF24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18))),"")</f>
        <v/>
      </c>
      <c r="AG24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18))),"")</f>
        <v/>
      </c>
      <c r="AH24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18))),"")</f>
        <v/>
      </c>
      <c r="AI24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IFERROR(INDEX(#REF!,_xlfn.AGGREGATE(15,6,(ROW(#REF!)-ROW(#REF!))/(Таблица1[[мес]:[мес]]=$J$5)/(Таблица1[[год]:[год]]=$L$5)/(Таблица1[[изд]:[изд]]=$N$1:$T$1)/(Таблица1[[партия]:[партия]]=$W$1),ROW(AH18))),"")</f>
        <v/>
      </c>
      <c r="AJ24" s="139">
        <f t="shared" si="0"/>
        <v>0</v>
      </c>
    </row>
    <row r="25" spans="1:36" ht="25.5" customHeight="1">
      <c r="A25" s="148">
        <v>19</v>
      </c>
      <c r="B25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19))),"")</f>
        <v/>
      </c>
      <c r="C25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О.]]))/(Таблица1[[мес]:[мес]]=$J$5)/(Таблица1[[год]:[год]]=$L$5)/(Таблица1[[изд]:[изд]]=$N$1)/(Таблица1[[партия]:[партия]]=$W$1),ROW(B19))),"")</f>
        <v/>
      </c>
      <c r="D25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19))),"")</f>
        <v/>
      </c>
      <c r="E25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19))),"")</f>
        <v/>
      </c>
      <c r="F25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19))),"")</f>
        <v/>
      </c>
      <c r="G25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19))),"")</f>
        <v/>
      </c>
      <c r="H25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19))),"")</f>
        <v/>
      </c>
      <c r="I25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19))),"")</f>
        <v/>
      </c>
      <c r="J25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19))),"")</f>
        <v/>
      </c>
      <c r="K25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19))),"")</f>
        <v/>
      </c>
      <c r="L25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19))),"")</f>
        <v/>
      </c>
      <c r="M25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19))),"")</f>
        <v/>
      </c>
      <c r="N25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19))),"")</f>
        <v/>
      </c>
      <c r="O25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19))),"")</f>
        <v/>
      </c>
      <c r="P25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19))),"")</f>
        <v/>
      </c>
      <c r="Q25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19))),"")</f>
        <v/>
      </c>
      <c r="R25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19))),"")</f>
        <v/>
      </c>
      <c r="S25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19))),"")</f>
        <v/>
      </c>
      <c r="T25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19))),"")</f>
        <v/>
      </c>
      <c r="U25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19))),"")</f>
        <v/>
      </c>
      <c r="V25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19))),"")</f>
        <v/>
      </c>
      <c r="W25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19))),"")</f>
        <v/>
      </c>
      <c r="X25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19))),"")</f>
        <v/>
      </c>
      <c r="Y25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19))),"")</f>
        <v/>
      </c>
      <c r="Z25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19))),"")</f>
        <v/>
      </c>
      <c r="AA25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19))),"")</f>
        <v/>
      </c>
      <c r="AB25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19))),"")</f>
        <v/>
      </c>
      <c r="AC25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19))),"")</f>
        <v/>
      </c>
      <c r="AD25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19))),"")</f>
        <v/>
      </c>
      <c r="AE25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19))),"")</f>
        <v/>
      </c>
      <c r="AF25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19))),"")</f>
        <v/>
      </c>
      <c r="AG25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19))),"")</f>
        <v/>
      </c>
      <c r="AH25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19))),"")</f>
        <v/>
      </c>
      <c r="AI25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IFERROR(INDEX(#REF!,_xlfn.AGGREGATE(15,6,(ROW(#REF!)-ROW(#REF!))/(Таблица1[[мес]:[мес]]=$J$5)/(Таблица1[[год]:[год]]=$L$5)/(Таблица1[[изд]:[изд]]=$N$1:$T$1)/(Таблица1[[партия]:[партия]]=$W$1),ROW(AH19))),"")</f>
        <v/>
      </c>
      <c r="AJ25" s="139">
        <f>SUM(E25:AI25)</f>
        <v>0</v>
      </c>
    </row>
    <row r="26" spans="1:36" ht="25.5" customHeight="1">
      <c r="A26" s="148">
        <v>20</v>
      </c>
      <c r="B26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20))),"")</f>
        <v/>
      </c>
      <c r="C26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О.]]))/(Таблица1[[мес]:[мес]]=$J$5)/(Таблица1[[год]:[год]]=$L$5)/(Таблица1[[изд]:[изд]]=$N$1)/(Таблица1[[партия]:[партия]]=$W$1),ROW(B20))),"")</f>
        <v/>
      </c>
      <c r="D26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20))),"")</f>
        <v/>
      </c>
      <c r="E26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20))),"")</f>
        <v/>
      </c>
      <c r="F26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20))),"")</f>
        <v/>
      </c>
      <c r="G26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20))),"")</f>
        <v/>
      </c>
      <c r="H26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20))),"")</f>
        <v/>
      </c>
      <c r="I26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20))),"")</f>
        <v/>
      </c>
      <c r="J26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20))),"")</f>
        <v/>
      </c>
      <c r="K26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20))),"")</f>
        <v/>
      </c>
      <c r="L26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20))),"")</f>
        <v/>
      </c>
      <c r="M26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20))),"")</f>
        <v/>
      </c>
      <c r="N26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20))),"")</f>
        <v/>
      </c>
      <c r="O26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20))),"")</f>
        <v/>
      </c>
      <c r="P26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20))),"")</f>
        <v/>
      </c>
      <c r="Q26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20))),"")</f>
        <v/>
      </c>
      <c r="R26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20))),"")</f>
        <v/>
      </c>
      <c r="S26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20))),"")</f>
        <v/>
      </c>
      <c r="T26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20))),"")</f>
        <v/>
      </c>
      <c r="U26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20))),"")</f>
        <v/>
      </c>
      <c r="V26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20))),"")</f>
        <v/>
      </c>
      <c r="W26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20))),"")</f>
        <v/>
      </c>
      <c r="X26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20))),"")</f>
        <v/>
      </c>
      <c r="Y26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20))),"")</f>
        <v/>
      </c>
      <c r="Z26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20))),"")</f>
        <v/>
      </c>
      <c r="AA26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20))),"")</f>
        <v/>
      </c>
      <c r="AB26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20))),"")</f>
        <v/>
      </c>
      <c r="AC26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20))),"")</f>
        <v/>
      </c>
      <c r="AD26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20))),"")</f>
        <v/>
      </c>
      <c r="AE26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20))),"")</f>
        <v/>
      </c>
      <c r="AF26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20))),"")</f>
        <v/>
      </c>
      <c r="AG26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20))),"")</f>
        <v/>
      </c>
      <c r="AH26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20))),"")</f>
        <v/>
      </c>
      <c r="AI26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IFERROR(INDEX(#REF!,_xlfn.AGGREGATE(15,6,(ROW(#REF!)-ROW(#REF!))/(Таблица1[[мес]:[мес]]=$J$5)/(Таблица1[[год]:[год]]=$L$5)/(Таблица1[[изд]:[изд]]=$N$1:$T$1)/(Таблица1[[партия]:[партия]]=$W$1),ROW(AH20))),"")</f>
        <v/>
      </c>
      <c r="AJ26" s="139">
        <f t="shared" ref="AJ26:AJ33" si="1">SUM(E26:AI26)</f>
        <v>0</v>
      </c>
    </row>
    <row r="27" spans="1:36" ht="25.5" customHeight="1">
      <c r="A27" s="148">
        <v>21</v>
      </c>
      <c r="B27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21))),"")</f>
        <v/>
      </c>
      <c r="C27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О.]]))/(Таблица1[[мес]:[мес]]=$J$5)/(Таблица1[[год]:[год]]=$L$5)/(Таблица1[[изд]:[изд]]=$N$1)/(Таблица1[[партия]:[партия]]=$W$1),ROW(B21))),"")</f>
        <v/>
      </c>
      <c r="D27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21))),"")</f>
        <v/>
      </c>
      <c r="E27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21))),"")</f>
        <v/>
      </c>
      <c r="F27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21))),"")</f>
        <v/>
      </c>
      <c r="G27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21))),"")</f>
        <v/>
      </c>
      <c r="H27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21))),"")</f>
        <v/>
      </c>
      <c r="I27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21))),"")</f>
        <v/>
      </c>
      <c r="J27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21))),"")</f>
        <v/>
      </c>
      <c r="K27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21))),"")</f>
        <v/>
      </c>
      <c r="L27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21))),"")</f>
        <v/>
      </c>
      <c r="M27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21))),"")</f>
        <v/>
      </c>
      <c r="N27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21))),"")</f>
        <v/>
      </c>
      <c r="O27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21))),"")</f>
        <v/>
      </c>
      <c r="P27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21))),"")</f>
        <v/>
      </c>
      <c r="Q27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21))),"")</f>
        <v/>
      </c>
      <c r="R27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21))),"")</f>
        <v/>
      </c>
      <c r="S27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21))),"")</f>
        <v/>
      </c>
      <c r="T27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21))),"")</f>
        <v/>
      </c>
      <c r="U27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21))),"")</f>
        <v/>
      </c>
      <c r="V27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21))),"")</f>
        <v/>
      </c>
      <c r="W27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21))),"")</f>
        <v/>
      </c>
      <c r="X27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21))),"")</f>
        <v/>
      </c>
      <c r="Y27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21))),"")</f>
        <v/>
      </c>
      <c r="Z27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21))),"")</f>
        <v/>
      </c>
      <c r="AA27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21))),"")</f>
        <v/>
      </c>
      <c r="AB27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21))),"")</f>
        <v/>
      </c>
      <c r="AC27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21))),"")</f>
        <v/>
      </c>
      <c r="AD27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21))),"")</f>
        <v/>
      </c>
      <c r="AE27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21))),"")</f>
        <v/>
      </c>
      <c r="AF27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21))),"")</f>
        <v/>
      </c>
      <c r="AG27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21))),"")</f>
        <v/>
      </c>
      <c r="AH27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21))),"")</f>
        <v/>
      </c>
      <c r="AI27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IFERROR(INDEX(#REF!,_xlfn.AGGREGATE(15,6,(ROW(#REF!)-ROW(#REF!))/(Таблица1[[мес]:[мес]]=$J$5)/(Таблица1[[год]:[год]]=$L$5)/(Таблица1[[изд]:[изд]]=$N$1:$T$1)/(Таблица1[[партия]:[партия]]=$W$1),ROW(AH21))),"")</f>
        <v/>
      </c>
      <c r="AJ27" s="139">
        <f t="shared" si="1"/>
        <v>0</v>
      </c>
    </row>
    <row r="28" spans="1:36" ht="25.5" customHeight="1">
      <c r="A28" s="148">
        <v>22</v>
      </c>
      <c r="B28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22))),"")</f>
        <v/>
      </c>
      <c r="C28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О.]]))/(Таблица1[[мес]:[мес]]=$J$5)/(Таблица1[[год]:[год]]=$L$5)/(Таблица1[[изд]:[изд]]=$N$1)/(Таблица1[[партия]:[партия]]=$W$1),ROW(B22))),"")</f>
        <v/>
      </c>
      <c r="D28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22))),"")</f>
        <v/>
      </c>
      <c r="E28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22))),"")</f>
        <v/>
      </c>
      <c r="F28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22))),"")</f>
        <v/>
      </c>
      <c r="G28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22))),"")</f>
        <v/>
      </c>
      <c r="H28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22))),"")</f>
        <v/>
      </c>
      <c r="I28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22))),"")</f>
        <v/>
      </c>
      <c r="J28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22))),"")</f>
        <v/>
      </c>
      <c r="K28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22))),"")</f>
        <v/>
      </c>
      <c r="L28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22))),"")</f>
        <v/>
      </c>
      <c r="M28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22))),"")</f>
        <v/>
      </c>
      <c r="N28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22))),"")</f>
        <v/>
      </c>
      <c r="O28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22))),"")</f>
        <v/>
      </c>
      <c r="P28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22))),"")</f>
        <v/>
      </c>
      <c r="Q28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22))),"")</f>
        <v/>
      </c>
      <c r="R28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22))),"")</f>
        <v/>
      </c>
      <c r="S28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22))),"")</f>
        <v/>
      </c>
      <c r="T28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22))),"")</f>
        <v/>
      </c>
      <c r="U28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22))),"")</f>
        <v/>
      </c>
      <c r="V28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22))),"")</f>
        <v/>
      </c>
      <c r="W28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22))),"")</f>
        <v/>
      </c>
      <c r="X28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22))),"")</f>
        <v/>
      </c>
      <c r="Y28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22))),"")</f>
        <v/>
      </c>
      <c r="Z28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22))),"")</f>
        <v/>
      </c>
      <c r="AA28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22))),"")</f>
        <v/>
      </c>
      <c r="AB28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22))),"")</f>
        <v/>
      </c>
      <c r="AC28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22))),"")</f>
        <v/>
      </c>
      <c r="AD28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22))),"")</f>
        <v/>
      </c>
      <c r="AE28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22))),"")</f>
        <v/>
      </c>
      <c r="AF28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22))),"")</f>
        <v/>
      </c>
      <c r="AG28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22))),"")</f>
        <v/>
      </c>
      <c r="AH28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22))),"")</f>
        <v/>
      </c>
      <c r="AI28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IFERROR(INDEX(#REF!,_xlfn.AGGREGATE(15,6,(ROW(#REF!)-ROW(#REF!))/(Таблица1[[мес]:[мес]]=$J$5)/(Таблица1[[год]:[год]]=$L$5)/(Таблица1[[изд]:[изд]]=$N$1:$T$1)/(Таблица1[[партия]:[партия]]=$W$1),ROW(AH22))),"")</f>
        <v/>
      </c>
      <c r="AJ28" s="139">
        <f t="shared" si="1"/>
        <v>0</v>
      </c>
    </row>
    <row r="29" spans="1:36" ht="25.5" hidden="1" customHeight="1">
      <c r="A29" s="148">
        <v>23</v>
      </c>
      <c r="B29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23))),"")</f>
        <v/>
      </c>
      <c r="C29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О.]]))/(Таблица1[[мес]:[мес]]=$J$5)/(Таблица1[[год]:[год]]=$L$5)/(Таблица1[[изд]:[изд]]=$N$1)/(Таблица1[[партия]:[партия]]=$W$1),ROW(B23))),"")</f>
        <v/>
      </c>
      <c r="D29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23))),"")</f>
        <v/>
      </c>
      <c r="E29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23))),"")</f>
        <v/>
      </c>
      <c r="F29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23))),"")</f>
        <v/>
      </c>
      <c r="G29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23))),"")</f>
        <v/>
      </c>
      <c r="H29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23))),"")</f>
        <v/>
      </c>
      <c r="I29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23))),"")</f>
        <v/>
      </c>
      <c r="J29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23))),"")</f>
        <v/>
      </c>
      <c r="K29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23))),"")</f>
        <v/>
      </c>
      <c r="L29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23))),"")</f>
        <v/>
      </c>
      <c r="M29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23))),"")</f>
        <v/>
      </c>
      <c r="N29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23))),"")</f>
        <v/>
      </c>
      <c r="O29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23))),"")</f>
        <v/>
      </c>
      <c r="P29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23))),"")</f>
        <v/>
      </c>
      <c r="Q29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23))),"")</f>
        <v/>
      </c>
      <c r="R29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23))),"")</f>
        <v/>
      </c>
      <c r="S29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23))),"")</f>
        <v/>
      </c>
      <c r="T29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23))),"")</f>
        <v/>
      </c>
      <c r="U29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23))),"")</f>
        <v/>
      </c>
      <c r="V29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23))),"")</f>
        <v/>
      </c>
      <c r="W29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23))),"")</f>
        <v/>
      </c>
      <c r="X29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23))),"")</f>
        <v/>
      </c>
      <c r="Y29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23))),"")</f>
        <v/>
      </c>
      <c r="Z29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23))),"")</f>
        <v/>
      </c>
      <c r="AA29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23))),"")</f>
        <v/>
      </c>
      <c r="AB29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23))),"")</f>
        <v/>
      </c>
      <c r="AC29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23))),"")</f>
        <v/>
      </c>
      <c r="AD29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23))),"")</f>
        <v/>
      </c>
      <c r="AE29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23))),"")</f>
        <v/>
      </c>
      <c r="AF29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23))),"")</f>
        <v/>
      </c>
      <c r="AG29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23))),"")</f>
        <v/>
      </c>
      <c r="AH29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23))),"")</f>
        <v/>
      </c>
      <c r="AI29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IFERROR(INDEX(#REF!,_xlfn.AGGREGATE(15,6,(ROW(#REF!)-ROW(#REF!))/(Таблица1[[мес]:[мес]]=$J$5)/(Таблица1[[год]:[год]]=$L$5)/(Таблица1[[изд]:[изд]]=$N$1:$T$1)/(Таблица1[[партия]:[партия]]=$W$1),ROW(AH23))),"")</f>
        <v/>
      </c>
      <c r="AJ29" s="139">
        <f t="shared" si="1"/>
        <v>0</v>
      </c>
    </row>
    <row r="30" spans="1:36" ht="25.5" hidden="1" customHeight="1">
      <c r="A30" s="148">
        <v>24</v>
      </c>
      <c r="B30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24))),"")</f>
        <v/>
      </c>
      <c r="C30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О.]]))/(Таблица1[[мес]:[мес]]=$J$5)/(Таблица1[[год]:[год]]=$L$5)/(Таблица1[[изд]:[изд]]=$N$1)/(Таблица1[[партия]:[партия]]=$W$1),ROW(B24))),"")</f>
        <v/>
      </c>
      <c r="D30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24))),"")</f>
        <v/>
      </c>
      <c r="E30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24))),"")</f>
        <v/>
      </c>
      <c r="F30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24))),"")</f>
        <v/>
      </c>
      <c r="G30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24))),"")</f>
        <v/>
      </c>
      <c r="H30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24))),"")</f>
        <v/>
      </c>
      <c r="I30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24))),"")</f>
        <v/>
      </c>
      <c r="J30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24))),"")</f>
        <v/>
      </c>
      <c r="K30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24))),"")</f>
        <v/>
      </c>
      <c r="L30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24))),"")</f>
        <v/>
      </c>
      <c r="M30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24))),"")</f>
        <v/>
      </c>
      <c r="N30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24))),"")</f>
        <v/>
      </c>
      <c r="O30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24))),"")</f>
        <v/>
      </c>
      <c r="P30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24))),"")</f>
        <v/>
      </c>
      <c r="Q30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24))),"")</f>
        <v/>
      </c>
      <c r="R30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24))),"")</f>
        <v/>
      </c>
      <c r="S30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24))),"")</f>
        <v/>
      </c>
      <c r="T30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24))),"")</f>
        <v/>
      </c>
      <c r="U30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24))),"")</f>
        <v/>
      </c>
      <c r="V30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24))),"")</f>
        <v/>
      </c>
      <c r="W30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24))),"")</f>
        <v/>
      </c>
      <c r="X30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24))),"")</f>
        <v/>
      </c>
      <c r="Y30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24))),"")</f>
        <v/>
      </c>
      <c r="Z30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24))),"")</f>
        <v/>
      </c>
      <c r="AA30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24))),"")</f>
        <v/>
      </c>
      <c r="AB30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24))),"")</f>
        <v/>
      </c>
      <c r="AC30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24))),"")</f>
        <v/>
      </c>
      <c r="AD30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24))),"")</f>
        <v/>
      </c>
      <c r="AE30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24))),"")</f>
        <v/>
      </c>
      <c r="AF30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24))),"")</f>
        <v/>
      </c>
      <c r="AG30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24))),"")</f>
        <v/>
      </c>
      <c r="AH30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24))),"")</f>
        <v/>
      </c>
      <c r="AI30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IFERROR(INDEX(#REF!,_xlfn.AGGREGATE(15,6,(ROW(#REF!)-ROW(#REF!))/(Таблица1[[мес]:[мес]]=$J$5)/(Таблица1[[год]:[год]]=$L$5)/(Таблица1[[изд]:[изд]]=$N$1:$T$1)/(Таблица1[[партия]:[партия]]=$W$1),ROW(AH24))),"")</f>
        <v/>
      </c>
      <c r="AJ30" s="139">
        <f t="shared" si="1"/>
        <v>0</v>
      </c>
    </row>
    <row r="31" spans="1:36" ht="25.5" hidden="1" customHeight="1">
      <c r="A31" s="148">
        <v>25</v>
      </c>
      <c r="B31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25))),"")</f>
        <v/>
      </c>
      <c r="C31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О.]]))/(Таблица1[[мес]:[мес]]=$J$5)/(Таблица1[[год]:[год]]=$L$5)/(Таблица1[[изд]:[изд]]=$N$1)/(Таблица1[[партия]:[партия]]=$W$1),ROW(B25))),"")</f>
        <v/>
      </c>
      <c r="D31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25))),"")</f>
        <v/>
      </c>
      <c r="E31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25))),"")</f>
        <v/>
      </c>
      <c r="F31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25))),"")</f>
        <v/>
      </c>
      <c r="G31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25))),"")</f>
        <v/>
      </c>
      <c r="H31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25))),"")</f>
        <v/>
      </c>
      <c r="I31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25))),"")</f>
        <v/>
      </c>
      <c r="J31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25))),"")</f>
        <v/>
      </c>
      <c r="K31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25))),"")</f>
        <v/>
      </c>
      <c r="L31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25))),"")</f>
        <v/>
      </c>
      <c r="M31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25))),"")</f>
        <v/>
      </c>
      <c r="N31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25))),"")</f>
        <v/>
      </c>
      <c r="O31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25))),"")</f>
        <v/>
      </c>
      <c r="P31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25))),"")</f>
        <v/>
      </c>
      <c r="Q31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25))),"")</f>
        <v/>
      </c>
      <c r="R31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25))),"")</f>
        <v/>
      </c>
      <c r="S31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25))),"")</f>
        <v/>
      </c>
      <c r="T31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25))),"")</f>
        <v/>
      </c>
      <c r="U31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25))),"")</f>
        <v/>
      </c>
      <c r="V31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25))),"")</f>
        <v/>
      </c>
      <c r="W31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25))),"")</f>
        <v/>
      </c>
      <c r="X31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25))),"")</f>
        <v/>
      </c>
      <c r="Y31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25))),"")</f>
        <v/>
      </c>
      <c r="Z31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25))),"")</f>
        <v/>
      </c>
      <c r="AA31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25))),"")</f>
        <v/>
      </c>
      <c r="AB31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25))),"")</f>
        <v/>
      </c>
      <c r="AC31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25))),"")</f>
        <v/>
      </c>
      <c r="AD31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25))),"")</f>
        <v/>
      </c>
      <c r="AE31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25))),"")</f>
        <v/>
      </c>
      <c r="AF31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25))),"")</f>
        <v/>
      </c>
      <c r="AG31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25))),"")</f>
        <v/>
      </c>
      <c r="AH31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25))),"")</f>
        <v/>
      </c>
      <c r="AI31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IFERROR(INDEX(#REF!,_xlfn.AGGREGATE(15,6,(ROW(#REF!)-ROW(#REF!))/(Таблица1[[мес]:[мес]]=$J$5)/(Таблица1[[год]:[год]]=$L$5)/(Таблица1[[изд]:[изд]]=$N$1:$T$1)/(Таблица1[[партия]:[партия]]=$W$1),ROW(AH25))),"")</f>
        <v/>
      </c>
      <c r="AJ31" s="139">
        <f t="shared" si="1"/>
        <v>0</v>
      </c>
    </row>
    <row r="32" spans="1:36" ht="25.5" hidden="1" customHeight="1">
      <c r="A32" s="148">
        <v>26</v>
      </c>
      <c r="B32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26))),"")</f>
        <v/>
      </c>
      <c r="C32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О.]]))/(Таблица1[[мес]:[мес]]=$J$5)/(Таблица1[[год]:[год]]=$L$5)/(Таблица1[[изд]:[изд]]=$N$1)/(Таблица1[[партия]:[партия]]=$W$1),ROW(B26))),"")</f>
        <v/>
      </c>
      <c r="D32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26))),"")</f>
        <v/>
      </c>
      <c r="E32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26))),"")</f>
        <v/>
      </c>
      <c r="F32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26))),"")</f>
        <v/>
      </c>
      <c r="G32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26))),"")</f>
        <v/>
      </c>
      <c r="H32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26))),"")</f>
        <v/>
      </c>
      <c r="I32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26))),"")</f>
        <v/>
      </c>
      <c r="J32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26))),"")</f>
        <v/>
      </c>
      <c r="K32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26))),"")</f>
        <v/>
      </c>
      <c r="L32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26))),"")</f>
        <v/>
      </c>
      <c r="M32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26))),"")</f>
        <v/>
      </c>
      <c r="N32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26))),"")</f>
        <v/>
      </c>
      <c r="O32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26))),"")</f>
        <v/>
      </c>
      <c r="P32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26))),"")</f>
        <v/>
      </c>
      <c r="Q32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26))),"")</f>
        <v/>
      </c>
      <c r="R32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26))),"")</f>
        <v/>
      </c>
      <c r="S32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26))),"")</f>
        <v/>
      </c>
      <c r="T32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26))),"")</f>
        <v/>
      </c>
      <c r="U32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26))),"")</f>
        <v/>
      </c>
      <c r="V32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26))),"")</f>
        <v/>
      </c>
      <c r="W32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26))),"")</f>
        <v/>
      </c>
      <c r="X32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26))),"")</f>
        <v/>
      </c>
      <c r="Y32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26))),"")</f>
        <v/>
      </c>
      <c r="Z32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26))),"")</f>
        <v/>
      </c>
      <c r="AA32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26))),"")</f>
        <v/>
      </c>
      <c r="AB32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26))),"")</f>
        <v/>
      </c>
      <c r="AC32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26))),"")</f>
        <v/>
      </c>
      <c r="AD32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26))),"")</f>
        <v/>
      </c>
      <c r="AE32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26))),"")</f>
        <v/>
      </c>
      <c r="AF32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26))),"")</f>
        <v/>
      </c>
      <c r="AG32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26))),"")</f>
        <v/>
      </c>
      <c r="AH32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26))),"")</f>
        <v/>
      </c>
      <c r="AI32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IFERROR(INDEX(#REF!,_xlfn.AGGREGATE(15,6,(ROW(#REF!)-ROW(#REF!))/(Таблица1[[мес]:[мес]]=$J$5)/(Таблица1[[год]:[год]]=$L$5)/(Таблица1[[изд]:[изд]]=$N$1:$T$1)/(Таблица1[[партия]:[партия]]=$W$1),ROW(AH26))),"")</f>
        <v/>
      </c>
      <c r="AJ32" s="139">
        <f t="shared" si="1"/>
        <v>0</v>
      </c>
    </row>
    <row r="33" spans="1:41" ht="25.5" customHeight="1">
      <c r="A33" s="148"/>
      <c r="B33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27))),"")</f>
        <v/>
      </c>
      <c r="C33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О.]]))/(Таблица1[[мес]:[мес]]=$J$5)/(Таблица1[[год]:[год]]=$L$5)/(Таблица1[[изд]:[изд]]=$N$1)/(Таблица1[[партия]:[партия]]=$W$1),ROW(B27))),"")</f>
        <v/>
      </c>
      <c r="D33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27))),"")</f>
        <v/>
      </c>
      <c r="E33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27))),"")</f>
        <v/>
      </c>
      <c r="F33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27))),"")</f>
        <v/>
      </c>
      <c r="G33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27))),"")</f>
        <v/>
      </c>
      <c r="H33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27))),"")</f>
        <v/>
      </c>
      <c r="I33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27))),"")</f>
        <v/>
      </c>
      <c r="J33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27))),"")</f>
        <v/>
      </c>
      <c r="K33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27))),"")</f>
        <v/>
      </c>
      <c r="L33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27))),"")</f>
        <v/>
      </c>
      <c r="M33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27))),"")</f>
        <v/>
      </c>
      <c r="N33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27))),"")</f>
        <v/>
      </c>
      <c r="O33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27))),"")</f>
        <v/>
      </c>
      <c r="P33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27))),"")</f>
        <v/>
      </c>
      <c r="Q33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27))),"")</f>
        <v/>
      </c>
      <c r="R33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27))),"")</f>
        <v/>
      </c>
      <c r="S33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27))),"")</f>
        <v/>
      </c>
      <c r="T33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27))),"")</f>
        <v/>
      </c>
      <c r="U33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27))),"")</f>
        <v/>
      </c>
      <c r="V33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27))),"")</f>
        <v/>
      </c>
      <c r="W33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27))),"")</f>
        <v/>
      </c>
      <c r="X33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27))),"")</f>
        <v/>
      </c>
      <c r="Y33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27))),"")</f>
        <v/>
      </c>
      <c r="Z33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27))),"")</f>
        <v/>
      </c>
      <c r="AA33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27))),"")</f>
        <v/>
      </c>
      <c r="AB33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27))),"")</f>
        <v/>
      </c>
      <c r="AC33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27))),"")</f>
        <v/>
      </c>
      <c r="AD33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27))),"")</f>
        <v/>
      </c>
      <c r="AE33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27))),"")</f>
        <v/>
      </c>
      <c r="AF33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27))),"")</f>
        <v/>
      </c>
      <c r="AG33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27))),"")</f>
        <v/>
      </c>
      <c r="AH33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27))),"")</f>
        <v/>
      </c>
      <c r="AI33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IFERROR(INDEX(#REF!,_xlfn.AGGREGATE(15,6,(ROW(#REF!)-ROW(#REF!))/(Таблица1[[мес]:[мес]]=$J$5)/(Таблица1[[год]:[год]]=$L$5)/(Таблица1[[изд]:[изд]]=$N$1:$T$1)/(Таблица1[[партия]:[партия]]=$W$1),ROW(AH27))),"")</f>
        <v/>
      </c>
      <c r="AJ33" s="139">
        <f t="shared" si="1"/>
        <v>0</v>
      </c>
      <c r="AL33" s="873" t="s">
        <v>94</v>
      </c>
      <c r="AM33" s="873"/>
      <c r="AN33" s="873"/>
    </row>
    <row r="34" spans="1:41" ht="15" customHeight="1">
      <c r="A34" s="148"/>
      <c r="B34" s="36"/>
      <c r="C34" s="33" t="s">
        <v>63</v>
      </c>
      <c r="D34" s="36"/>
      <c r="E34" s="34">
        <f>SUM(E7:E33)</f>
        <v>0</v>
      </c>
      <c r="F34" s="34">
        <f t="shared" ref="F34:AI34" si="2">SUM(F7:F33)</f>
        <v>0</v>
      </c>
      <c r="G34" s="34">
        <f t="shared" si="2"/>
        <v>0</v>
      </c>
      <c r="H34" s="34">
        <f t="shared" si="2"/>
        <v>0</v>
      </c>
      <c r="I34" s="34">
        <f t="shared" si="2"/>
        <v>0</v>
      </c>
      <c r="J34" s="34">
        <f t="shared" si="2"/>
        <v>0</v>
      </c>
      <c r="K34" s="34">
        <f t="shared" si="2"/>
        <v>0</v>
      </c>
      <c r="L34" s="34">
        <f t="shared" si="2"/>
        <v>0</v>
      </c>
      <c r="M34" s="34">
        <f t="shared" si="2"/>
        <v>0</v>
      </c>
      <c r="N34" s="34">
        <f t="shared" si="2"/>
        <v>0</v>
      </c>
      <c r="O34" s="34">
        <f t="shared" si="2"/>
        <v>0</v>
      </c>
      <c r="P34" s="34">
        <f t="shared" si="2"/>
        <v>0</v>
      </c>
      <c r="Q34" s="34">
        <f t="shared" si="2"/>
        <v>0</v>
      </c>
      <c r="R34" s="34">
        <f t="shared" si="2"/>
        <v>0</v>
      </c>
      <c r="S34" s="34">
        <f t="shared" si="2"/>
        <v>0</v>
      </c>
      <c r="T34" s="34">
        <f t="shared" si="2"/>
        <v>0</v>
      </c>
      <c r="U34" s="34">
        <f t="shared" si="2"/>
        <v>0</v>
      </c>
      <c r="V34" s="34">
        <f t="shared" si="2"/>
        <v>0</v>
      </c>
      <c r="W34" s="34">
        <f t="shared" si="2"/>
        <v>0</v>
      </c>
      <c r="X34" s="34">
        <f t="shared" si="2"/>
        <v>0</v>
      </c>
      <c r="Y34" s="34">
        <f t="shared" si="2"/>
        <v>0</v>
      </c>
      <c r="Z34" s="34">
        <f t="shared" si="2"/>
        <v>0</v>
      </c>
      <c r="AA34" s="34">
        <f t="shared" si="2"/>
        <v>0</v>
      </c>
      <c r="AB34" s="34">
        <f t="shared" si="2"/>
        <v>0</v>
      </c>
      <c r="AC34" s="34">
        <f t="shared" si="2"/>
        <v>0</v>
      </c>
      <c r="AD34" s="34">
        <f t="shared" si="2"/>
        <v>0</v>
      </c>
      <c r="AE34" s="34">
        <f t="shared" si="2"/>
        <v>0</v>
      </c>
      <c r="AF34" s="34">
        <f t="shared" si="2"/>
        <v>0</v>
      </c>
      <c r="AG34" s="34">
        <f t="shared" si="2"/>
        <v>0</v>
      </c>
      <c r="AH34" s="34">
        <f t="shared" si="2"/>
        <v>0</v>
      </c>
      <c r="AI34" s="34">
        <f t="shared" si="2"/>
        <v>0</v>
      </c>
      <c r="AJ34" s="145">
        <f>SUM(E34:AI34)</f>
        <v>0</v>
      </c>
      <c r="AL34" s="872">
        <f>SUMIFS(Таблица1[Столбец2],Таблица1[партия],W1,Таблица1[изд],N1)</f>
        <v>0</v>
      </c>
      <c r="AM34" s="872"/>
      <c r="AN34" s="872"/>
      <c r="AO34" s="872"/>
    </row>
    <row r="35" spans="1:41" ht="9" customHeight="1">
      <c r="A35" s="148"/>
      <c r="B35" s="148"/>
      <c r="C35" s="149"/>
      <c r="D35" s="148"/>
      <c r="E35" s="148"/>
      <c r="F35" s="148"/>
      <c r="G35" s="148"/>
      <c r="H35" s="148"/>
      <c r="I35" s="148"/>
      <c r="J35" s="148"/>
      <c r="K35" s="148"/>
      <c r="L35" s="148"/>
      <c r="M35" s="148"/>
      <c r="N35" s="148"/>
      <c r="O35" s="148"/>
      <c r="P35" s="148"/>
      <c r="Q35" s="148"/>
      <c r="R35" s="148"/>
      <c r="S35" s="148"/>
      <c r="T35" s="148"/>
      <c r="U35" s="148"/>
      <c r="V35" s="148"/>
      <c r="W35" s="148"/>
      <c r="X35" s="148"/>
      <c r="Y35" s="148"/>
      <c r="Z35" s="148"/>
      <c r="AA35" s="148"/>
      <c r="AB35" s="148"/>
      <c r="AC35" s="148"/>
      <c r="AD35" s="148"/>
      <c r="AE35" s="148"/>
      <c r="AF35" s="148"/>
      <c r="AG35" s="148"/>
      <c r="AH35" s="148"/>
      <c r="AI35" s="148"/>
      <c r="AJ35" s="150"/>
      <c r="AL35" s="872"/>
      <c r="AM35" s="872"/>
      <c r="AN35" s="872"/>
      <c r="AO35" s="872"/>
    </row>
    <row r="36" spans="1:41" ht="17.25" customHeight="1">
      <c r="A36" s="148"/>
      <c r="B36" s="148"/>
      <c r="C36" s="296" t="s">
        <v>64</v>
      </c>
      <c r="D36" s="262"/>
      <c r="E36" s="262"/>
      <c r="F36" s="262"/>
      <c r="G36" s="295" t="str">
        <f>Data_Tech!$AU$7</f>
        <v>Кувшинов А.Г.</v>
      </c>
      <c r="H36" s="295"/>
      <c r="I36" s="261"/>
      <c r="J36" s="261"/>
      <c r="K36" s="148"/>
      <c r="L36" s="148"/>
      <c r="M36" s="148"/>
      <c r="N36" s="148"/>
      <c r="O36" s="148"/>
      <c r="P36" s="148"/>
      <c r="Q36" s="148"/>
      <c r="R36" s="260" t="s">
        <v>246</v>
      </c>
      <c r="S36" s="260"/>
      <c r="T36" s="260"/>
      <c r="U36" s="260"/>
      <c r="V36" s="259"/>
      <c r="W36" s="259"/>
      <c r="X36" s="259"/>
      <c r="Y36" s="259"/>
      <c r="Z36" s="259"/>
      <c r="AA36" s="260" t="s">
        <v>108</v>
      </c>
      <c r="AB36" s="260"/>
      <c r="AC36" s="62"/>
      <c r="AD36" s="62"/>
      <c r="AE36" s="148"/>
      <c r="AF36" s="148"/>
      <c r="AG36" s="148"/>
      <c r="AH36" s="148"/>
      <c r="AI36" s="148"/>
      <c r="AJ36" s="148"/>
      <c r="AL36" s="872"/>
      <c r="AM36" s="872"/>
      <c r="AN36" s="872"/>
      <c r="AO36" s="872"/>
    </row>
    <row r="37" spans="1:41" ht="15" customHeight="1">
      <c r="A37" s="148"/>
      <c r="B37" s="148"/>
      <c r="C37" s="149"/>
      <c r="D37" s="148"/>
      <c r="E37" s="148"/>
      <c r="F37" s="148"/>
      <c r="G37" s="148"/>
      <c r="H37" s="148"/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  <c r="AA37" s="221"/>
      <c r="AB37" s="148"/>
      <c r="AC37" s="148"/>
      <c r="AD37" s="148"/>
      <c r="AE37" s="148"/>
      <c r="AF37" s="148"/>
      <c r="AG37" s="148"/>
      <c r="AH37" s="148"/>
      <c r="AI37" s="148"/>
      <c r="AJ37" s="148"/>
      <c r="AL37" s="872"/>
      <c r="AM37" s="872"/>
      <c r="AN37" s="872"/>
      <c r="AO37" s="872"/>
    </row>
    <row r="38" spans="1:41" ht="20.25" customHeight="1">
      <c r="B38" s="62"/>
      <c r="C38" s="63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62"/>
    </row>
    <row r="39" spans="1:41" ht="18.75">
      <c r="AJ39" s="64"/>
    </row>
    <row r="40" spans="1:41" ht="18">
      <c r="C40" s="52"/>
      <c r="D40" s="53"/>
    </row>
    <row r="41" spans="1:41" ht="18">
      <c r="C41" s="52"/>
      <c r="D41" s="53"/>
    </row>
  </sheetData>
  <mergeCells count="11">
    <mergeCell ref="AL33:AN33"/>
    <mergeCell ref="AL34:AO37"/>
    <mergeCell ref="B1:I5"/>
    <mergeCell ref="N1:T1"/>
    <mergeCell ref="U1:V1"/>
    <mergeCell ref="W1:Y1"/>
    <mergeCell ref="AD2:AE2"/>
    <mergeCell ref="AD3:AE3"/>
    <mergeCell ref="AD4:AE4"/>
    <mergeCell ref="J5:K5"/>
    <mergeCell ref="L5:M5"/>
  </mergeCells>
  <pageMargins left="0.23622047244094491" right="0.23622047244094491" top="0.35433070866141736" bottom="0.35433070866141736" header="0" footer="0"/>
  <pageSetup paperSize="9" scale="57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O41"/>
  <sheetViews>
    <sheetView view="pageBreakPreview" zoomScale="60" zoomScaleNormal="50" workbookViewId="0">
      <selection activeCell="AC16" sqref="AC16"/>
    </sheetView>
  </sheetViews>
  <sheetFormatPr defaultRowHeight="15"/>
  <cols>
    <col min="1" max="1" customWidth="true" style="45" width="5.28515625"/>
    <col min="2" max="2" customWidth="true" style="45" width="7.5703125"/>
    <col min="3" max="3" customWidth="true" style="50" width="31.28515625"/>
    <col min="4" max="4" style="45" width="9.140625"/>
    <col min="5" max="35" customWidth="true" style="45" width="6.0"/>
    <col min="36" max="37" style="45" width="9.140625"/>
    <col min="38" max="38" customWidth="true" style="45" width="22.0"/>
    <col min="39" max="16384" style="45" width="9.140625"/>
  </cols>
  <sheetData>
    <row r="1" spans="1:36" s="32" customFormat="1" ht="29.25" customHeight="1">
      <c r="A1" s="151"/>
      <c r="B1" s="884" t="s">
        <v>75</v>
      </c>
      <c r="C1" s="884"/>
      <c r="D1" s="884"/>
      <c r="E1" s="884"/>
      <c r="F1" s="884"/>
      <c r="G1" s="884"/>
      <c r="H1" s="884"/>
      <c r="I1" s="884"/>
      <c r="J1" s="152" t="s">
        <v>68</v>
      </c>
      <c r="K1" s="248"/>
      <c r="L1" s="152"/>
      <c r="M1" s="152"/>
      <c r="N1" s="890">
        <v>6001</v>
      </c>
      <c r="O1" s="890"/>
      <c r="P1" s="890"/>
      <c r="Q1" s="890"/>
      <c r="R1" s="890"/>
      <c r="S1" s="890"/>
      <c r="T1" s="890"/>
      <c r="U1" s="888" t="s">
        <v>10</v>
      </c>
      <c r="V1" s="888"/>
      <c r="W1" s="889" t="s">
        <v>106</v>
      </c>
      <c r="X1" s="889"/>
      <c r="Y1" s="889"/>
      <c r="Z1" s="153"/>
      <c r="AA1" s="154"/>
      <c r="AB1" s="155"/>
      <c r="AC1" s="155"/>
      <c r="AD1" s="155"/>
      <c r="AE1" s="151"/>
      <c r="AF1" s="151"/>
      <c r="AG1" s="151"/>
      <c r="AH1" s="153"/>
      <c r="AI1" s="153"/>
      <c r="AJ1" s="154"/>
    </row>
    <row r="2" spans="1:36" s="32" customFormat="1" ht="24" customHeight="1">
      <c r="A2" s="151"/>
      <c r="B2" s="884"/>
      <c r="C2" s="884"/>
      <c r="D2" s="884"/>
      <c r="E2" s="884"/>
      <c r="F2" s="884"/>
      <c r="G2" s="884"/>
      <c r="H2" s="884"/>
      <c r="I2" s="884"/>
      <c r="J2" s="156"/>
      <c r="K2" s="157"/>
      <c r="L2" s="157"/>
      <c r="M2" s="157"/>
      <c r="N2" s="157"/>
      <c r="O2" s="567"/>
      <c r="P2" s="567"/>
      <c r="Q2" s="567"/>
      <c r="R2" s="250"/>
      <c r="S2" s="251"/>
      <c r="T2" s="252"/>
      <c r="U2" s="157"/>
      <c r="V2" s="157"/>
      <c r="W2" s="160"/>
      <c r="X2" s="160"/>
      <c r="Y2" s="160"/>
      <c r="Z2" s="153"/>
      <c r="AA2" s="153"/>
      <c r="AB2" s="247" t="s">
        <v>10</v>
      </c>
      <c r="AC2" s="247"/>
      <c r="AD2" s="887">
        <v>6400</v>
      </c>
      <c r="AE2" s="887"/>
      <c r="AF2" s="247"/>
      <c r="AG2" s="247" t="s">
        <v>76</v>
      </c>
      <c r="AH2" s="247"/>
      <c r="AI2" s="247"/>
      <c r="AJ2" s="154"/>
    </row>
    <row r="3" spans="1:36" s="32" customFormat="1" ht="24" customHeight="1">
      <c r="A3" s="151"/>
      <c r="B3" s="884"/>
      <c r="C3" s="884"/>
      <c r="D3" s="884"/>
      <c r="E3" s="884"/>
      <c r="F3" s="884"/>
      <c r="G3" s="884"/>
      <c r="H3" s="884"/>
      <c r="I3" s="884"/>
      <c r="J3" s="156"/>
      <c r="K3" s="162" t="s">
        <v>77</v>
      </c>
      <c r="L3" s="157"/>
      <c r="M3" s="157"/>
      <c r="N3" s="163"/>
      <c r="O3" s="253"/>
      <c r="P3" s="253" t="e">
        <f>INDEX(база!$AL:$AL, MATCH(N1,база!$AK:$AK,0))</f>
        <v>#N/A</v>
      </c>
      <c r="Q3" s="253"/>
      <c r="R3" s="254"/>
      <c r="S3" s="254"/>
      <c r="T3" s="255"/>
      <c r="U3" s="157"/>
      <c r="V3" s="157"/>
      <c r="W3" s="164"/>
      <c r="X3" s="164"/>
      <c r="Y3" s="164"/>
      <c r="Z3" s="153"/>
      <c r="AA3" s="153"/>
      <c r="AB3" s="247" t="s">
        <v>78</v>
      </c>
      <c r="AC3" s="247"/>
      <c r="AD3" s="887">
        <v>70</v>
      </c>
      <c r="AE3" s="887"/>
      <c r="AF3" s="247"/>
      <c r="AG3" s="247" t="s">
        <v>85</v>
      </c>
      <c r="AH3" s="247"/>
      <c r="AI3" s="247"/>
      <c r="AJ3" s="154"/>
    </row>
    <row r="4" spans="1:36" s="32" customFormat="1" ht="24" customHeight="1">
      <c r="A4" s="151"/>
      <c r="B4" s="884"/>
      <c r="C4" s="884"/>
      <c r="D4" s="884"/>
      <c r="E4" s="884"/>
      <c r="F4" s="884"/>
      <c r="G4" s="884"/>
      <c r="H4" s="884"/>
      <c r="I4" s="884"/>
      <c r="J4" s="156"/>
      <c r="K4" s="157"/>
      <c r="L4" s="157"/>
      <c r="M4" s="157"/>
      <c r="N4" s="157"/>
      <c r="O4" s="165"/>
      <c r="P4" s="165"/>
      <c r="Q4" s="165"/>
      <c r="R4" s="153"/>
      <c r="S4" s="153"/>
      <c r="T4" s="158"/>
      <c r="U4" s="568"/>
      <c r="V4" s="568"/>
      <c r="W4" s="164"/>
      <c r="X4" s="164"/>
      <c r="Y4" s="164"/>
      <c r="Z4" s="153"/>
      <c r="AA4" s="153"/>
      <c r="AB4" s="247" t="s">
        <v>79</v>
      </c>
      <c r="AC4" s="247"/>
      <c r="AD4" s="887">
        <v>70</v>
      </c>
      <c r="AE4" s="887"/>
      <c r="AF4" s="247"/>
      <c r="AG4" s="247" t="s">
        <v>80</v>
      </c>
      <c r="AH4" s="247"/>
      <c r="AI4" s="247"/>
      <c r="AJ4" s="154"/>
    </row>
    <row r="5" spans="1:36" s="32" customFormat="1" ht="24" customHeight="1">
      <c r="A5" s="151"/>
      <c r="B5" s="884"/>
      <c r="C5" s="884"/>
      <c r="D5" s="884"/>
      <c r="E5" s="884"/>
      <c r="F5" s="884"/>
      <c r="G5" s="884"/>
      <c r="H5" s="884"/>
      <c r="I5" s="884"/>
      <c r="J5" s="885" t="str">
        <f>Data_Tech!A3</f>
        <v>декабрь</v>
      </c>
      <c r="K5" s="885"/>
      <c r="L5" s="886">
        <v>2022</v>
      </c>
      <c r="M5" s="886"/>
      <c r="N5" s="166"/>
      <c r="O5" s="166"/>
      <c r="P5" s="166"/>
      <c r="Q5" s="166"/>
      <c r="R5" s="166"/>
      <c r="S5" s="166"/>
      <c r="T5" s="166"/>
      <c r="U5" s="166"/>
      <c r="V5" s="166"/>
      <c r="W5" s="153"/>
      <c r="X5" s="153"/>
      <c r="Y5" s="153"/>
      <c r="Z5" s="153"/>
      <c r="AA5" s="153"/>
      <c r="AB5" s="247" t="s">
        <v>81</v>
      </c>
      <c r="AC5" s="247"/>
      <c r="AD5" s="247">
        <v>0</v>
      </c>
      <c r="AE5" s="247"/>
      <c r="AF5" s="247"/>
      <c r="AG5" s="247" t="s">
        <v>82</v>
      </c>
      <c r="AH5" s="247"/>
      <c r="AI5" s="247"/>
      <c r="AJ5" s="154"/>
    </row>
    <row r="6" spans="1:36" s="32" customFormat="1" ht="25.5" customHeight="1">
      <c r="A6" s="151"/>
      <c r="B6" s="133" t="s">
        <v>9</v>
      </c>
      <c r="C6" s="134" t="s">
        <v>0</v>
      </c>
      <c r="D6" s="135" t="s">
        <v>1</v>
      </c>
      <c r="E6" s="136">
        <v>1</v>
      </c>
      <c r="F6" s="136">
        <v>2</v>
      </c>
      <c r="G6" s="136">
        <v>3</v>
      </c>
      <c r="H6" s="136">
        <v>4</v>
      </c>
      <c r="I6" s="136">
        <v>5</v>
      </c>
      <c r="J6" s="136">
        <v>6</v>
      </c>
      <c r="K6" s="136">
        <v>7</v>
      </c>
      <c r="L6" s="136">
        <v>8</v>
      </c>
      <c r="M6" s="136">
        <v>9</v>
      </c>
      <c r="N6" s="136">
        <v>10</v>
      </c>
      <c r="O6" s="136">
        <v>11</v>
      </c>
      <c r="P6" s="136">
        <v>12</v>
      </c>
      <c r="Q6" s="136">
        <v>13</v>
      </c>
      <c r="R6" s="136">
        <v>14</v>
      </c>
      <c r="S6" s="136">
        <v>15</v>
      </c>
      <c r="T6" s="136">
        <v>16</v>
      </c>
      <c r="U6" s="136">
        <v>17</v>
      </c>
      <c r="V6" s="136">
        <v>18</v>
      </c>
      <c r="W6" s="136">
        <v>19</v>
      </c>
      <c r="X6" s="136">
        <v>20</v>
      </c>
      <c r="Y6" s="136">
        <v>21</v>
      </c>
      <c r="Z6" s="136">
        <v>22</v>
      </c>
      <c r="AA6" s="136">
        <v>23</v>
      </c>
      <c r="AB6" s="136">
        <v>24</v>
      </c>
      <c r="AC6" s="136">
        <v>25</v>
      </c>
      <c r="AD6" s="136">
        <v>26</v>
      </c>
      <c r="AE6" s="136">
        <v>27</v>
      </c>
      <c r="AF6" s="136">
        <v>28</v>
      </c>
      <c r="AG6" s="136">
        <v>29</v>
      </c>
      <c r="AH6" s="136">
        <v>30</v>
      </c>
      <c r="AI6" s="136">
        <v>31</v>
      </c>
      <c r="AJ6" s="137"/>
    </row>
    <row r="7" spans="1:36" ht="33" customHeight="1">
      <c r="A7" s="148">
        <v>1</v>
      </c>
      <c r="B7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1))),"")</f>
        <v/>
      </c>
      <c r="C7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О.]]))/(Таблица1[[мес]:[мес]]=$J$5)/(Таблица1[[год]:[год]]=$L$5)/(Таблица1[[изд]:[изд]]=$N$1)/(Таблица1[[партия]:[партия]]=$W$1),ROW(B1))),"")</f>
        <v/>
      </c>
      <c r="D7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1))),"")</f>
        <v/>
      </c>
      <c r="E7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1))),"")</f>
        <v/>
      </c>
      <c r="F7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1))),"")</f>
        <v/>
      </c>
      <c r="G7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1))),"")</f>
        <v/>
      </c>
      <c r="H7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1))),"")</f>
        <v/>
      </c>
      <c r="I7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1))),"")</f>
        <v/>
      </c>
      <c r="J7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1))),"")</f>
        <v/>
      </c>
      <c r="K7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1))),"")</f>
        <v/>
      </c>
      <c r="L7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1))),"")</f>
        <v/>
      </c>
      <c r="M7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1))),"")</f>
        <v/>
      </c>
      <c r="N7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1))),"")</f>
        <v/>
      </c>
      <c r="O7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1))),"")</f>
        <v/>
      </c>
      <c r="P7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1))),"")</f>
        <v/>
      </c>
      <c r="Q7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1))),"")</f>
        <v/>
      </c>
      <c r="R7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1))),"")</f>
        <v/>
      </c>
      <c r="S7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1))),"")</f>
        <v/>
      </c>
      <c r="T7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1))),"")</f>
        <v/>
      </c>
      <c r="U7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1))),"")</f>
        <v/>
      </c>
      <c r="V7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1))),"")</f>
        <v/>
      </c>
      <c r="W7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1))),"")</f>
        <v/>
      </c>
      <c r="X7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1))),"")</f>
        <v/>
      </c>
      <c r="Y7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1))),"")</f>
        <v/>
      </c>
      <c r="Z7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1))),"")</f>
        <v/>
      </c>
      <c r="AA7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1))),"")</f>
        <v/>
      </c>
      <c r="AB7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1))),"")</f>
        <v/>
      </c>
      <c r="AC7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1))),"")</f>
        <v/>
      </c>
      <c r="AD7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1))),"")</f>
        <v/>
      </c>
      <c r="AE7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1))),"")</f>
        <v/>
      </c>
      <c r="AF7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1))),"")</f>
        <v/>
      </c>
      <c r="AG7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1))),"")</f>
        <v/>
      </c>
      <c r="AH7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1))),"")</f>
        <v/>
      </c>
      <c r="AI7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IFERROR(INDEX(#REF!,_xlfn.AGGREGATE(15,6,(ROW(#REF!)-ROW(#REF!))/(Таблица1[[мес]:[мес]]=$J$5)/(Таблица1[[год]:[год]]=$L$5)/(Таблица1[[изд]:[изд]]=$N$1:$T$1)/(Таблица1[[партия]:[партия]]=$W$1),ROW(AH1))),"")</f>
        <v/>
      </c>
      <c r="AJ7" s="139">
        <f t="shared" ref="AJ7:AJ24" si="0">SUM(E7:AI7)</f>
        <v>0</v>
      </c>
    </row>
    <row r="8" spans="1:36" ht="33" customHeight="1">
      <c r="A8" s="148">
        <v>2</v>
      </c>
      <c r="B8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2))),"")</f>
        <v/>
      </c>
      <c r="C8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О.]]))/(Таблица1[[мес]:[мес]]=$J$5)/(Таблица1[[год]:[год]]=$L$5)/(Таблица1[[изд]:[изд]]=$N$1)/(Таблица1[[партия]:[партия]]=$W$1),ROW(B2))),"")</f>
        <v/>
      </c>
      <c r="D8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2))),"")</f>
        <v/>
      </c>
      <c r="E8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2))),"")</f>
        <v/>
      </c>
      <c r="F8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2))),"")</f>
        <v/>
      </c>
      <c r="G8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2))),"")</f>
        <v/>
      </c>
      <c r="H8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2))),"")</f>
        <v/>
      </c>
      <c r="I8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2))),"")</f>
        <v/>
      </c>
      <c r="J8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2))),"")</f>
        <v/>
      </c>
      <c r="K8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2))),"")</f>
        <v/>
      </c>
      <c r="L8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2))),"")</f>
        <v/>
      </c>
      <c r="M8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2))),"")</f>
        <v/>
      </c>
      <c r="N8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2))),"")</f>
        <v/>
      </c>
      <c r="O8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2))),"")</f>
        <v/>
      </c>
      <c r="P8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2))),"")</f>
        <v/>
      </c>
      <c r="Q8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2))),"")</f>
        <v/>
      </c>
      <c r="R8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2))),"")</f>
        <v/>
      </c>
      <c r="S8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2))),"")</f>
        <v/>
      </c>
      <c r="T8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2))),"")</f>
        <v/>
      </c>
      <c r="U8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2))),"")</f>
        <v/>
      </c>
      <c r="V8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2))),"")</f>
        <v/>
      </c>
      <c r="W8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2))),"")</f>
        <v/>
      </c>
      <c r="X8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2))),"")</f>
        <v/>
      </c>
      <c r="Y8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2))),"")</f>
        <v/>
      </c>
      <c r="Z8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2))),"")</f>
        <v/>
      </c>
      <c r="AA8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2))),"")</f>
        <v/>
      </c>
      <c r="AB8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2))),"")</f>
        <v/>
      </c>
      <c r="AC8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2))),"")</f>
        <v/>
      </c>
      <c r="AD8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2))),"")</f>
        <v/>
      </c>
      <c r="AE8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2))),"")</f>
        <v/>
      </c>
      <c r="AF8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2))),"")</f>
        <v/>
      </c>
      <c r="AG8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2))),"")</f>
        <v/>
      </c>
      <c r="AH8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2))),"")</f>
        <v/>
      </c>
      <c r="AI8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IFERROR(INDEX(#REF!,_xlfn.AGGREGATE(15,6,(ROW(#REF!)-ROW(#REF!))/(Таблица1[[мес]:[мес]]=$J$5)/(Таблица1[[год]:[год]]=$L$5)/(Таблица1[[изд]:[изд]]=$N$1:$T$1)/(Таблица1[[партия]:[партия]]=$W$1),ROW(AH2))),"")</f>
        <v/>
      </c>
      <c r="AJ8" s="140">
        <f t="shared" si="0"/>
        <v>0</v>
      </c>
    </row>
    <row r="9" spans="1:36" ht="33" customHeight="1">
      <c r="A9" s="148">
        <v>3</v>
      </c>
      <c r="B9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3))),"")</f>
        <v/>
      </c>
      <c r="C9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О.]]))/(Таблица1[[мес]:[мес]]=$J$5)/(Таблица1[[год]:[год]]=$L$5)/(Таблица1[[изд]:[изд]]=$N$1)/(Таблица1[[партия]:[партия]]=$W$1),ROW(B3))),"")</f>
        <v/>
      </c>
      <c r="D9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3))),"")</f>
        <v/>
      </c>
      <c r="E9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3))),"")</f>
        <v/>
      </c>
      <c r="F9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3))),"")</f>
        <v/>
      </c>
      <c r="G9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3))),"")</f>
        <v/>
      </c>
      <c r="H9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3))),"")</f>
        <v/>
      </c>
      <c r="I9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3))),"")</f>
        <v/>
      </c>
      <c r="J9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3))),"")</f>
        <v/>
      </c>
      <c r="K9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3))),"")</f>
        <v/>
      </c>
      <c r="L9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3))),"")</f>
        <v/>
      </c>
      <c r="M9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3))),"")</f>
        <v/>
      </c>
      <c r="N9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3))),"")</f>
        <v/>
      </c>
      <c r="O9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3))),"")</f>
        <v/>
      </c>
      <c r="P9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3))),"")</f>
        <v/>
      </c>
      <c r="Q9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3))),"")</f>
        <v/>
      </c>
      <c r="R9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3))),"")</f>
        <v/>
      </c>
      <c r="S9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3))),"")</f>
        <v/>
      </c>
      <c r="T9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3))),"")</f>
        <v/>
      </c>
      <c r="U9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3))),"")</f>
        <v/>
      </c>
      <c r="V9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3))),"")</f>
        <v/>
      </c>
      <c r="W9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3))),"")</f>
        <v/>
      </c>
      <c r="X9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3))),"")</f>
        <v/>
      </c>
      <c r="Y9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3))),"")</f>
        <v/>
      </c>
      <c r="Z9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3))),"")</f>
        <v/>
      </c>
      <c r="AA9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3))),"")</f>
        <v/>
      </c>
      <c r="AB9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3))),"")</f>
        <v/>
      </c>
      <c r="AC9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3))),"")</f>
        <v/>
      </c>
      <c r="AD9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3))),"")</f>
        <v/>
      </c>
      <c r="AE9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3))),"")</f>
        <v/>
      </c>
      <c r="AF9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3))),"")</f>
        <v/>
      </c>
      <c r="AG9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3))),"")</f>
        <v/>
      </c>
      <c r="AH9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3))),"")</f>
        <v/>
      </c>
      <c r="AI9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IFERROR(INDEX(#REF!,_xlfn.AGGREGATE(15,6,(ROW(#REF!)-ROW(#REF!))/(Таблица1[[мес]:[мес]]=$J$5)/(Таблица1[[год]:[год]]=$L$5)/(Таблица1[[изд]:[изд]]=$N$1:$T$1)/(Таблица1[[партия]:[партия]]=$W$1),ROW(AH3))),"")</f>
        <v/>
      </c>
      <c r="AJ9" s="139">
        <f t="shared" si="0"/>
        <v>0</v>
      </c>
    </row>
    <row r="10" spans="1:36" ht="33" customHeight="1">
      <c r="A10" s="148">
        <v>4</v>
      </c>
      <c r="B10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4))),"")</f>
        <v/>
      </c>
      <c r="C10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О.]]))/(Таблица1[[мес]:[мес]]=$J$5)/(Таблица1[[год]:[год]]=$L$5)/(Таблица1[[изд]:[изд]]=$N$1)/(Таблица1[[партия]:[партия]]=$W$1),ROW(B4))),"")</f>
        <v/>
      </c>
      <c r="D10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4))),"")</f>
        <v/>
      </c>
      <c r="E10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4))),"")</f>
        <v/>
      </c>
      <c r="F10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4))),"")</f>
        <v/>
      </c>
      <c r="G10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4))),"")</f>
        <v/>
      </c>
      <c r="H10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4))),"")</f>
        <v/>
      </c>
      <c r="I10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4))),"")</f>
        <v/>
      </c>
      <c r="J10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4))),"")</f>
        <v/>
      </c>
      <c r="K10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4))),"")</f>
        <v/>
      </c>
      <c r="L10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4))),"")</f>
        <v/>
      </c>
      <c r="M10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4))),"")</f>
        <v/>
      </c>
      <c r="N10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4))),"")</f>
        <v/>
      </c>
      <c r="O10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4))),"")</f>
        <v/>
      </c>
      <c r="P10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4))),"")</f>
        <v/>
      </c>
      <c r="Q10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4))),"")</f>
        <v/>
      </c>
      <c r="R10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4))),"")</f>
        <v/>
      </c>
      <c r="S10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4))),"")</f>
        <v/>
      </c>
      <c r="T10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4))),"")</f>
        <v/>
      </c>
      <c r="U10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4))),"")</f>
        <v/>
      </c>
      <c r="V10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4))),"")</f>
        <v/>
      </c>
      <c r="W10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4))),"")</f>
        <v/>
      </c>
      <c r="X10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4))),"")</f>
        <v/>
      </c>
      <c r="Y10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4))),"")</f>
        <v/>
      </c>
      <c r="Z10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4))),"")</f>
        <v/>
      </c>
      <c r="AA10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4))),"")</f>
        <v/>
      </c>
      <c r="AB10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4))),"")</f>
        <v/>
      </c>
      <c r="AC10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4))),"")</f>
        <v/>
      </c>
      <c r="AD10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4))),"")</f>
        <v/>
      </c>
      <c r="AE10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4))),"")</f>
        <v/>
      </c>
      <c r="AF10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4))),"")</f>
        <v/>
      </c>
      <c r="AG10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4))),"")</f>
        <v/>
      </c>
      <c r="AH10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4))),"")</f>
        <v/>
      </c>
      <c r="AI10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IFERROR(INDEX(#REF!,_xlfn.AGGREGATE(15,6,(ROW(#REF!)-ROW(#REF!))/(Таблица1[[мес]:[мес]]=$J$5)/(Таблица1[[год]:[год]]=$L$5)/(Таблица1[[изд]:[изд]]=$N$1:$T$1)/(Таблица1[[партия]:[партия]]=$W$1),ROW(AH4))),"")</f>
        <v/>
      </c>
      <c r="AJ10" s="140">
        <f t="shared" si="0"/>
        <v>0</v>
      </c>
    </row>
    <row r="11" spans="1:36" ht="33" customHeight="1">
      <c r="A11" s="148">
        <v>5</v>
      </c>
      <c r="B11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5))),"")</f>
        <v/>
      </c>
      <c r="C11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О.]]))/(Таблица1[[мес]:[мес]]=$J$5)/(Таблица1[[год]:[год]]=$L$5)/(Таблица1[[изд]:[изд]]=$N$1)/(Таблица1[[партия]:[партия]]=$W$1),ROW(B5))),"")</f>
        <v/>
      </c>
      <c r="D11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5))),"")</f>
        <v/>
      </c>
      <c r="E11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5))),"")</f>
        <v/>
      </c>
      <c r="F11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5))),"")</f>
        <v/>
      </c>
      <c r="G11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5))),"")</f>
        <v/>
      </c>
      <c r="H11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5))),"")</f>
        <v/>
      </c>
      <c r="I11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5))),"")</f>
        <v/>
      </c>
      <c r="J11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5))),"")</f>
        <v/>
      </c>
      <c r="K11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5))),"")</f>
        <v/>
      </c>
      <c r="L11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5))),"")</f>
        <v/>
      </c>
      <c r="M11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5))),"")</f>
        <v/>
      </c>
      <c r="N11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5))),"")</f>
        <v/>
      </c>
      <c r="O11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5))),"")</f>
        <v/>
      </c>
      <c r="P11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5))),"")</f>
        <v/>
      </c>
      <c r="Q11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5))),"")</f>
        <v/>
      </c>
      <c r="R11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5))),"")</f>
        <v/>
      </c>
      <c r="S11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5))),"")</f>
        <v/>
      </c>
      <c r="T11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5))),"")</f>
        <v/>
      </c>
      <c r="U11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5))),"")</f>
        <v/>
      </c>
      <c r="V11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5))),"")</f>
        <v/>
      </c>
      <c r="W11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5))),"")</f>
        <v/>
      </c>
      <c r="X11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5))),"")</f>
        <v/>
      </c>
      <c r="Y11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5))),"")</f>
        <v/>
      </c>
      <c r="Z11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5))),"")</f>
        <v/>
      </c>
      <c r="AA11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5))),"")</f>
        <v/>
      </c>
      <c r="AB11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5))),"")</f>
        <v/>
      </c>
      <c r="AC11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5))),"")</f>
        <v/>
      </c>
      <c r="AD11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5))),"")</f>
        <v/>
      </c>
      <c r="AE11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5))),"")</f>
        <v/>
      </c>
      <c r="AF11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5))),"")</f>
        <v/>
      </c>
      <c r="AG11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5))),"")</f>
        <v/>
      </c>
      <c r="AH11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5))),"")</f>
        <v/>
      </c>
      <c r="AI11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IFERROR(INDEX(#REF!,_xlfn.AGGREGATE(15,6,(ROW(#REF!)-ROW(#REF!))/(Таблица1[[мес]:[мес]]=$J$5)/(Таблица1[[год]:[год]]=$L$5)/(Таблица1[[изд]:[изд]]=$N$1:$T$1)/(Таблица1[[партия]:[партия]]=$W$1),ROW(AH5))),"")</f>
        <v/>
      </c>
      <c r="AJ11" s="139">
        <f t="shared" si="0"/>
        <v>0</v>
      </c>
    </row>
    <row r="12" spans="1:36" ht="33" customHeight="1">
      <c r="A12" s="148">
        <v>6</v>
      </c>
      <c r="B12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6))),"")</f>
        <v/>
      </c>
      <c r="C12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О.]]))/(Таблица1[[мес]:[мес]]=$J$5)/(Таблица1[[год]:[год]]=$L$5)/(Таблица1[[изд]:[изд]]=$N$1)/(Таблица1[[партия]:[партия]]=$W$1),ROW(B6))),"")</f>
        <v/>
      </c>
      <c r="D12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6))),"")</f>
        <v/>
      </c>
      <c r="E12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6))),"")</f>
        <v/>
      </c>
      <c r="F12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6))),"")</f>
        <v/>
      </c>
      <c r="G12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6))),"")</f>
        <v/>
      </c>
      <c r="H12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6))),"")</f>
        <v/>
      </c>
      <c r="I12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6))),"")</f>
        <v/>
      </c>
      <c r="J12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6))),"")</f>
        <v/>
      </c>
      <c r="K12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6))),"")</f>
        <v/>
      </c>
      <c r="L12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6))),"")</f>
        <v/>
      </c>
      <c r="M12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6))),"")</f>
        <v/>
      </c>
      <c r="N12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6))),"")</f>
        <v/>
      </c>
      <c r="O12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6))),"")</f>
        <v/>
      </c>
      <c r="P12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6))),"")</f>
        <v/>
      </c>
      <c r="Q12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6))),"")</f>
        <v/>
      </c>
      <c r="R12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6))),"")</f>
        <v/>
      </c>
      <c r="S12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6))),"")</f>
        <v/>
      </c>
      <c r="T12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6))),"")</f>
        <v/>
      </c>
      <c r="U12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6))),"")</f>
        <v/>
      </c>
      <c r="V12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6))),"")</f>
        <v/>
      </c>
      <c r="W12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6))),"")</f>
        <v/>
      </c>
      <c r="X12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6))),"")</f>
        <v/>
      </c>
      <c r="Y12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6))),"")</f>
        <v/>
      </c>
      <c r="Z12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6))),"")</f>
        <v/>
      </c>
      <c r="AA12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6))),"")</f>
        <v/>
      </c>
      <c r="AB12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6))),"")</f>
        <v/>
      </c>
      <c r="AC12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6))),"")</f>
        <v/>
      </c>
      <c r="AD12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6))),"")</f>
        <v/>
      </c>
      <c r="AE12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6))),"")</f>
        <v/>
      </c>
      <c r="AF12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6))),"")</f>
        <v/>
      </c>
      <c r="AG12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6))),"")</f>
        <v/>
      </c>
      <c r="AH12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6))),"")</f>
        <v/>
      </c>
      <c r="AI12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IFERROR(INDEX(#REF!,_xlfn.AGGREGATE(15,6,(ROW(#REF!)-ROW(#REF!))/(Таблица1[[мес]:[мес]]=$J$5)/(Таблица1[[год]:[год]]=$L$5)/(Таблица1[[изд]:[изд]]=$N$1:$T$1)/(Таблица1[[партия]:[партия]]=$W$1),ROW(AH6))),"")</f>
        <v/>
      </c>
      <c r="AJ12" s="139">
        <f t="shared" si="0"/>
        <v>0</v>
      </c>
    </row>
    <row r="13" spans="1:36" ht="33" customHeight="1">
      <c r="A13" s="148">
        <v>7</v>
      </c>
      <c r="B13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7))),"")</f>
        <v/>
      </c>
      <c r="C13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О.]]))/(Таблица1[[мес]:[мес]]=$J$5)/(Таблица1[[год]:[год]]=$L$5)/(Таблица1[[изд]:[изд]]=$N$1)/(Таблица1[[партия]:[партия]]=$W$1),ROW(B7))),"")</f>
        <v/>
      </c>
      <c r="D13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7))),"")</f>
        <v/>
      </c>
      <c r="E13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7))),"")</f>
        <v/>
      </c>
      <c r="F13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7))),"")</f>
        <v/>
      </c>
      <c r="G13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7))),"")</f>
        <v/>
      </c>
      <c r="H13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7))),"")</f>
        <v/>
      </c>
      <c r="I13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7))),"")</f>
        <v/>
      </c>
      <c r="J13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7))),"")</f>
        <v/>
      </c>
      <c r="K13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7))),"")</f>
        <v/>
      </c>
      <c r="L13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7))),"")</f>
        <v/>
      </c>
      <c r="M13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7))),"")</f>
        <v/>
      </c>
      <c r="N13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7))),"")</f>
        <v/>
      </c>
      <c r="O13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7))),"")</f>
        <v/>
      </c>
      <c r="P13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7))),"")</f>
        <v/>
      </c>
      <c r="Q13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7))),"")</f>
        <v/>
      </c>
      <c r="R13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7))),"")</f>
        <v/>
      </c>
      <c r="S13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7))),"")</f>
        <v/>
      </c>
      <c r="T13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7))),"")</f>
        <v/>
      </c>
      <c r="U13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7))),"")</f>
        <v/>
      </c>
      <c r="V13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7))),"")</f>
        <v/>
      </c>
      <c r="W13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7))),"")</f>
        <v/>
      </c>
      <c r="X13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7))),"")</f>
        <v/>
      </c>
      <c r="Y13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7))),"")</f>
        <v/>
      </c>
      <c r="Z13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7))),"")</f>
        <v/>
      </c>
      <c r="AA13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7))),"")</f>
        <v/>
      </c>
      <c r="AB13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7))),"")</f>
        <v/>
      </c>
      <c r="AC13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7))),"")</f>
        <v/>
      </c>
      <c r="AD13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7))),"")</f>
        <v/>
      </c>
      <c r="AE13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7))),"")</f>
        <v/>
      </c>
      <c r="AF13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7))),"")</f>
        <v/>
      </c>
      <c r="AG13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7))),"")</f>
        <v/>
      </c>
      <c r="AH13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7))),"")</f>
        <v/>
      </c>
      <c r="AI13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IFERROR(INDEX(#REF!,_xlfn.AGGREGATE(15,6,(ROW(#REF!)-ROW(#REF!))/(Таблица1[[мес]:[мес]]=$J$5)/(Таблица1[[год]:[год]]=$L$5)/(Таблица1[[изд]:[изд]]=$N$1:$T$1)/(Таблица1[[партия]:[партия]]=$W$1),ROW(AH7))),"")</f>
        <v/>
      </c>
      <c r="AJ13" s="139">
        <f t="shared" si="0"/>
        <v>0</v>
      </c>
    </row>
    <row r="14" spans="1:36" ht="33" customHeight="1">
      <c r="A14" s="148">
        <v>8</v>
      </c>
      <c r="B14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8))),"")</f>
        <v/>
      </c>
      <c r="C14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О.]]))/(Таблица1[[мес]:[мес]]=$J$5)/(Таблица1[[год]:[год]]=$L$5)/(Таблица1[[изд]:[изд]]=$N$1)/(Таблица1[[партия]:[партия]]=$W$1),ROW(B8))),"")</f>
        <v/>
      </c>
      <c r="D14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8))),"")</f>
        <v/>
      </c>
      <c r="E14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8))),"")</f>
        <v/>
      </c>
      <c r="F14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8))),"")</f>
        <v/>
      </c>
      <c r="G14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8))),"")</f>
        <v/>
      </c>
      <c r="H14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8))),"")</f>
        <v/>
      </c>
      <c r="I14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8))),"")</f>
        <v/>
      </c>
      <c r="J14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8))),"")</f>
        <v/>
      </c>
      <c r="K14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8))),"")</f>
        <v/>
      </c>
      <c r="L14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8))),"")</f>
        <v/>
      </c>
      <c r="M14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8))),"")</f>
        <v/>
      </c>
      <c r="N14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8))),"")</f>
        <v/>
      </c>
      <c r="O14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8))),"")</f>
        <v/>
      </c>
      <c r="P14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8))),"")</f>
        <v/>
      </c>
      <c r="Q14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8))),"")</f>
        <v/>
      </c>
      <c r="R14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8))),"")</f>
        <v/>
      </c>
      <c r="S14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8))),"")</f>
        <v/>
      </c>
      <c r="T14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8))),"")</f>
        <v/>
      </c>
      <c r="U14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8))),"")</f>
        <v/>
      </c>
      <c r="V14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8))),"")</f>
        <v/>
      </c>
      <c r="W14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8))),"")</f>
        <v/>
      </c>
      <c r="X14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8))),"")</f>
        <v/>
      </c>
      <c r="Y14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8))),"")</f>
        <v/>
      </c>
      <c r="Z14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8))),"")</f>
        <v/>
      </c>
      <c r="AA14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8))),"")</f>
        <v/>
      </c>
      <c r="AB14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8))),"")</f>
        <v/>
      </c>
      <c r="AC14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8))),"")</f>
        <v/>
      </c>
      <c r="AD14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8))),"")</f>
        <v/>
      </c>
      <c r="AE14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8))),"")</f>
        <v/>
      </c>
      <c r="AF14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8))),"")</f>
        <v/>
      </c>
      <c r="AG14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8))),"")</f>
        <v/>
      </c>
      <c r="AH14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8))),"")</f>
        <v/>
      </c>
      <c r="AI14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IFERROR(INDEX(#REF!,_xlfn.AGGREGATE(15,6,(ROW(#REF!)-ROW(#REF!))/(Таблица1[[мес]:[мес]]=$J$5)/(Таблица1[[год]:[год]]=$L$5)/(Таблица1[[изд]:[изд]]=$N$1:$T$1)/(Таблица1[[партия]:[партия]]=$W$1),ROW(AH8))),"")</f>
        <v/>
      </c>
      <c r="AJ14" s="140">
        <f t="shared" si="0"/>
        <v>0</v>
      </c>
    </row>
    <row r="15" spans="1:36" ht="33" customHeight="1">
      <c r="A15" s="148">
        <v>9</v>
      </c>
      <c r="B15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9))),"")</f>
        <v/>
      </c>
      <c r="C15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О.]]))/(Таблица1[[мес]:[мес]]=$J$5)/(Таблица1[[год]:[год]]=$L$5)/(Таблица1[[изд]:[изд]]=$N$1)/(Таблица1[[партия]:[партия]]=$W$1),ROW(B9))),"")</f>
        <v/>
      </c>
      <c r="D15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9))),"")</f>
        <v/>
      </c>
      <c r="E15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9))),"")</f>
        <v/>
      </c>
      <c r="F15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9))),"")</f>
        <v/>
      </c>
      <c r="G15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9))),"")</f>
        <v/>
      </c>
      <c r="H15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9))),"")</f>
        <v/>
      </c>
      <c r="I15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9))),"")</f>
        <v/>
      </c>
      <c r="J15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9))),"")</f>
        <v/>
      </c>
      <c r="K15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9))),"")</f>
        <v/>
      </c>
      <c r="L15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9))),"")</f>
        <v/>
      </c>
      <c r="M15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9))),"")</f>
        <v/>
      </c>
      <c r="N15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9))),"")</f>
        <v/>
      </c>
      <c r="O15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9))),"")</f>
        <v/>
      </c>
      <c r="P15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9))),"")</f>
        <v/>
      </c>
      <c r="Q15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9))),"")</f>
        <v/>
      </c>
      <c r="R15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9))),"")</f>
        <v/>
      </c>
      <c r="S15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9))),"")</f>
        <v/>
      </c>
      <c r="T15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9))),"")</f>
        <v/>
      </c>
      <c r="U15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9))),"")</f>
        <v/>
      </c>
      <c r="V15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9))),"")</f>
        <v/>
      </c>
      <c r="W15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9))),"")</f>
        <v/>
      </c>
      <c r="X15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9))),"")</f>
        <v/>
      </c>
      <c r="Y15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9))),"")</f>
        <v/>
      </c>
      <c r="Z15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9))),"")</f>
        <v/>
      </c>
      <c r="AA15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9))),"")</f>
        <v/>
      </c>
      <c r="AB15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9))),"")</f>
        <v/>
      </c>
      <c r="AC15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9))),"")</f>
        <v/>
      </c>
      <c r="AD15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9))),"")</f>
        <v/>
      </c>
      <c r="AE15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9))),"")</f>
        <v/>
      </c>
      <c r="AF15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9))),"")</f>
        <v/>
      </c>
      <c r="AG15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9))),"")</f>
        <v/>
      </c>
      <c r="AH15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9))),"")</f>
        <v/>
      </c>
      <c r="AI15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IFERROR(INDEX(#REF!,_xlfn.AGGREGATE(15,6,(ROW(#REF!)-ROW(#REF!))/(Таблица1[[мес]:[мес]]=$J$5)/(Таблица1[[год]:[год]]=$L$5)/(Таблица1[[изд]:[изд]]=$N$1:$T$1)/(Таблица1[[партия]:[партия]]=$W$1),ROW(AH9))),"")</f>
        <v/>
      </c>
      <c r="AJ15" s="141">
        <f t="shared" si="0"/>
        <v>0</v>
      </c>
    </row>
    <row r="16" spans="1:36" ht="33" customHeight="1">
      <c r="A16" s="148">
        <v>10</v>
      </c>
      <c r="B16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10))),"")</f>
        <v/>
      </c>
      <c r="C16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О.]]))/(Таблица1[[мес]:[мес]]=$J$5)/(Таблица1[[год]:[год]]=$L$5)/(Таблица1[[изд]:[изд]]=$N$1)/(Таблица1[[партия]:[партия]]=$W$1),ROW(B10))),"")</f>
        <v/>
      </c>
      <c r="D16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10))),"")</f>
        <v/>
      </c>
      <c r="E16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10))),"")</f>
        <v/>
      </c>
      <c r="F16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10))),"")</f>
        <v/>
      </c>
      <c r="G16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10))),"")</f>
        <v/>
      </c>
      <c r="H16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10))),"")</f>
        <v/>
      </c>
      <c r="I16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10))),"")</f>
        <v/>
      </c>
      <c r="J16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10))),"")</f>
        <v/>
      </c>
      <c r="K16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10))),"")</f>
        <v/>
      </c>
      <c r="L16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10))),"")</f>
        <v/>
      </c>
      <c r="M16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10))),"")</f>
        <v/>
      </c>
      <c r="N16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10))),"")</f>
        <v/>
      </c>
      <c r="O16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10))),"")</f>
        <v/>
      </c>
      <c r="P16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10))),"")</f>
        <v/>
      </c>
      <c r="Q16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10))),"")</f>
        <v/>
      </c>
      <c r="R16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10))),"")</f>
        <v/>
      </c>
      <c r="S16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10))),"")</f>
        <v/>
      </c>
      <c r="T16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10))),"")</f>
        <v/>
      </c>
      <c r="U16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10))),"")</f>
        <v/>
      </c>
      <c r="V16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10))),"")</f>
        <v/>
      </c>
      <c r="W16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10))),"")</f>
        <v/>
      </c>
      <c r="X16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10))),"")</f>
        <v/>
      </c>
      <c r="Y16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10))),"")</f>
        <v/>
      </c>
      <c r="Z16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10))),"")</f>
        <v/>
      </c>
      <c r="AA16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10))),"")</f>
        <v/>
      </c>
      <c r="AB16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10))),"")</f>
        <v/>
      </c>
      <c r="AC16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10))),"")</f>
        <v/>
      </c>
      <c r="AD16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10))),"")</f>
        <v/>
      </c>
      <c r="AE16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10))),"")</f>
        <v/>
      </c>
      <c r="AF16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10))),"")</f>
        <v/>
      </c>
      <c r="AG16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10))),"")</f>
        <v/>
      </c>
      <c r="AH16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10))),"")</f>
        <v/>
      </c>
      <c r="AI16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IFERROR(INDEX(#REF!,_xlfn.AGGREGATE(15,6,(ROW(#REF!)-ROW(#REF!))/(Таблица1[[мес]:[мес]]=$J$5)/(Таблица1[[год]:[год]]=$L$5)/(Таблица1[[изд]:[изд]]=$N$1:$T$1)/(Таблица1[[партия]:[партия]]=$W$1),ROW(AH10))),"")</f>
        <v/>
      </c>
      <c r="AJ16" s="141">
        <f t="shared" si="0"/>
        <v>0</v>
      </c>
    </row>
    <row r="17" spans="1:36" ht="33" customHeight="1">
      <c r="A17" s="148">
        <v>11</v>
      </c>
      <c r="B17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11))),"")</f>
        <v/>
      </c>
      <c r="C17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О.]]))/(Таблица1[[мес]:[мес]]=$J$5)/(Таблица1[[год]:[год]]=$L$5)/(Таблица1[[изд]:[изд]]=$N$1)/(Таблица1[[партия]:[партия]]=$W$1),ROW(B11))),"")</f>
        <v/>
      </c>
      <c r="D17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11))),"")</f>
        <v/>
      </c>
      <c r="E17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11))),"")</f>
        <v/>
      </c>
      <c r="F17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11))),"")</f>
        <v/>
      </c>
      <c r="G17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11))),"")</f>
        <v/>
      </c>
      <c r="H17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11))),"")</f>
        <v/>
      </c>
      <c r="I17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11))),"")</f>
        <v/>
      </c>
      <c r="J17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11))),"")</f>
        <v/>
      </c>
      <c r="K17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11))),"")</f>
        <v/>
      </c>
      <c r="L17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11))),"")</f>
        <v/>
      </c>
      <c r="M17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11))),"")</f>
        <v/>
      </c>
      <c r="N17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11))),"")</f>
        <v/>
      </c>
      <c r="O17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11))),"")</f>
        <v/>
      </c>
      <c r="P17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11))),"")</f>
        <v/>
      </c>
      <c r="Q17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11))),"")</f>
        <v/>
      </c>
      <c r="R17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11))),"")</f>
        <v/>
      </c>
      <c r="S17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11))),"")</f>
        <v/>
      </c>
      <c r="T17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11))),"")</f>
        <v/>
      </c>
      <c r="U17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11))),"")</f>
        <v/>
      </c>
      <c r="V17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11))),"")</f>
        <v/>
      </c>
      <c r="W17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11))),"")</f>
        <v/>
      </c>
      <c r="X17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11))),"")</f>
        <v/>
      </c>
      <c r="Y17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11))),"")</f>
        <v/>
      </c>
      <c r="Z17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11))),"")</f>
        <v/>
      </c>
      <c r="AA17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11))),"")</f>
        <v/>
      </c>
      <c r="AB17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11))),"")</f>
        <v/>
      </c>
      <c r="AC17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11))),"")</f>
        <v/>
      </c>
      <c r="AD17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11))),"")</f>
        <v/>
      </c>
      <c r="AE17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11))),"")</f>
        <v/>
      </c>
      <c r="AF17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11))),"")</f>
        <v/>
      </c>
      <c r="AG17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11))),"")</f>
        <v/>
      </c>
      <c r="AH17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11))),"")</f>
        <v/>
      </c>
      <c r="AI17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IFERROR(INDEX(#REF!,_xlfn.AGGREGATE(15,6,(ROW(#REF!)-ROW(#REF!))/(Таблица1[[мес]:[мес]]=$J$5)/(Таблица1[[год]:[год]]=$L$5)/(Таблица1[[изд]:[изд]]=$N$1:$T$1)/(Таблица1[[партия]:[партия]]=$W$1),ROW(AH11))),"")</f>
        <v/>
      </c>
      <c r="AJ17" s="139">
        <f t="shared" si="0"/>
        <v>0</v>
      </c>
    </row>
    <row r="18" spans="1:36" ht="33" customHeight="1">
      <c r="A18" s="148">
        <v>12</v>
      </c>
      <c r="B18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12))),"")</f>
        <v/>
      </c>
      <c r="C18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О.]]))/(Таблица1[[мес]:[мес]]=$J$5)/(Таблица1[[год]:[год]]=$L$5)/(Таблица1[[изд]:[изд]]=$N$1)/(Таблица1[[партия]:[партия]]=$W$1),ROW(B12))),"")</f>
        <v/>
      </c>
      <c r="D18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12))),"")</f>
        <v/>
      </c>
      <c r="E18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12))),"")</f>
        <v/>
      </c>
      <c r="F18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12))),"")</f>
        <v/>
      </c>
      <c r="G18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12))),"")</f>
        <v/>
      </c>
      <c r="H18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12))),"")</f>
        <v/>
      </c>
      <c r="I18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12))),"")</f>
        <v/>
      </c>
      <c r="J18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12))),"")</f>
        <v/>
      </c>
      <c r="K18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12))),"")</f>
        <v/>
      </c>
      <c r="L18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12))),"")</f>
        <v/>
      </c>
      <c r="M18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12))),"")</f>
        <v/>
      </c>
      <c r="N18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12))),"")</f>
        <v/>
      </c>
      <c r="O18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12))),"")</f>
        <v/>
      </c>
      <c r="P18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12))),"")</f>
        <v/>
      </c>
      <c r="Q18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12))),"")</f>
        <v/>
      </c>
      <c r="R18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12))),"")</f>
        <v/>
      </c>
      <c r="S18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12))),"")</f>
        <v/>
      </c>
      <c r="T18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12))),"")</f>
        <v/>
      </c>
      <c r="U18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12))),"")</f>
        <v/>
      </c>
      <c r="V18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12))),"")</f>
        <v/>
      </c>
      <c r="W18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12))),"")</f>
        <v/>
      </c>
      <c r="X18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12))),"")</f>
        <v/>
      </c>
      <c r="Y18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12))),"")</f>
        <v/>
      </c>
      <c r="Z18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12))),"")</f>
        <v/>
      </c>
      <c r="AA18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12))),"")</f>
        <v/>
      </c>
      <c r="AB18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12))),"")</f>
        <v/>
      </c>
      <c r="AC18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12))),"")</f>
        <v/>
      </c>
      <c r="AD18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12))),"")</f>
        <v/>
      </c>
      <c r="AE18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12))),"")</f>
        <v/>
      </c>
      <c r="AF18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12))),"")</f>
        <v/>
      </c>
      <c r="AG18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12))),"")</f>
        <v/>
      </c>
      <c r="AH18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12))),"")</f>
        <v/>
      </c>
      <c r="AI18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IFERROR(INDEX(#REF!,_xlfn.AGGREGATE(15,6,(ROW(#REF!)-ROW(#REF!))/(Таблица1[[мес]:[мес]]=$J$5)/(Таблица1[[год]:[год]]=$L$5)/(Таблица1[[изд]:[изд]]=$N$1:$T$1)/(Таблица1[[партия]:[партия]]=$W$1),ROW(AH12))),"")</f>
        <v/>
      </c>
      <c r="AJ18" s="140">
        <f t="shared" si="0"/>
        <v>0</v>
      </c>
    </row>
    <row r="19" spans="1:36" ht="33" customHeight="1">
      <c r="A19" s="148">
        <v>13</v>
      </c>
      <c r="B19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13))),"")</f>
        <v/>
      </c>
      <c r="C19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О.]]))/(Таблица1[[мес]:[мес]]=$J$5)/(Таблица1[[год]:[год]]=$L$5)/(Таблица1[[изд]:[изд]]=$N$1)/(Таблица1[[партия]:[партия]]=$W$1),ROW(B13))),"")</f>
        <v/>
      </c>
      <c r="D19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13))),"")</f>
        <v/>
      </c>
      <c r="E19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13))),"")</f>
        <v/>
      </c>
      <c r="F19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13))),"")</f>
        <v/>
      </c>
      <c r="G19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13))),"")</f>
        <v/>
      </c>
      <c r="H19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13))),"")</f>
        <v/>
      </c>
      <c r="I19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13))),"")</f>
        <v/>
      </c>
      <c r="J19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13))),"")</f>
        <v/>
      </c>
      <c r="K19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13))),"")</f>
        <v/>
      </c>
      <c r="L19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13))),"")</f>
        <v/>
      </c>
      <c r="M19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13))),"")</f>
        <v/>
      </c>
      <c r="N19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13))),"")</f>
        <v/>
      </c>
      <c r="O19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13))),"")</f>
        <v/>
      </c>
      <c r="P19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13))),"")</f>
        <v/>
      </c>
      <c r="Q19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13))),"")</f>
        <v/>
      </c>
      <c r="R19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13))),"")</f>
        <v/>
      </c>
      <c r="S19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13))),"")</f>
        <v/>
      </c>
      <c r="T19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13))),"")</f>
        <v/>
      </c>
      <c r="U19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13))),"")</f>
        <v/>
      </c>
      <c r="V19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13))),"")</f>
        <v/>
      </c>
      <c r="W19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13))),"")</f>
        <v/>
      </c>
      <c r="X19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13))),"")</f>
        <v/>
      </c>
      <c r="Y19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13))),"")</f>
        <v/>
      </c>
      <c r="Z19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13))),"")</f>
        <v/>
      </c>
      <c r="AA19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13))),"")</f>
        <v/>
      </c>
      <c r="AB19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13))),"")</f>
        <v/>
      </c>
      <c r="AC19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13))),"")</f>
        <v/>
      </c>
      <c r="AD19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13))),"")</f>
        <v/>
      </c>
      <c r="AE19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13))),"")</f>
        <v/>
      </c>
      <c r="AF19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13))),"")</f>
        <v/>
      </c>
      <c r="AG19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13))),"")</f>
        <v/>
      </c>
      <c r="AH19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13))),"")</f>
        <v/>
      </c>
      <c r="AI19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IFERROR(INDEX(#REF!,_xlfn.AGGREGATE(15,6,(ROW(#REF!)-ROW(#REF!))/(Таблица1[[мес]:[мес]]=$J$5)/(Таблица1[[год]:[год]]=$L$5)/(Таблица1[[изд]:[изд]]=$N$1:$T$1)/(Таблица1[[партия]:[партия]]=$W$1),ROW(AH13))),"")</f>
        <v/>
      </c>
      <c r="AJ19" s="139">
        <f t="shared" si="0"/>
        <v>0</v>
      </c>
    </row>
    <row r="20" spans="1:36" ht="33" customHeight="1">
      <c r="A20" s="148">
        <v>14</v>
      </c>
      <c r="B20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14))),"")</f>
        <v/>
      </c>
      <c r="C20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О.]]))/(Таблица1[[мес]:[мес]]=$J$5)/(Таблица1[[год]:[год]]=$L$5)/(Таблица1[[изд]:[изд]]=$N$1)/(Таблица1[[партия]:[партия]]=$W$1),ROW(B14))),"")</f>
        <v/>
      </c>
      <c r="D20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14))),"")</f>
        <v/>
      </c>
      <c r="E20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14))),"")</f>
        <v/>
      </c>
      <c r="F20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14))),"")</f>
        <v/>
      </c>
      <c r="G20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14))),"")</f>
        <v/>
      </c>
      <c r="H20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14))),"")</f>
        <v/>
      </c>
      <c r="I20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14))),"")</f>
        <v/>
      </c>
      <c r="J20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14))),"")</f>
        <v/>
      </c>
      <c r="K20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14))),"")</f>
        <v/>
      </c>
      <c r="L20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14))),"")</f>
        <v/>
      </c>
      <c r="M20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14))),"")</f>
        <v/>
      </c>
      <c r="N20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14))),"")</f>
        <v/>
      </c>
      <c r="O20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14))),"")</f>
        <v/>
      </c>
      <c r="P20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14))),"")</f>
        <v/>
      </c>
      <c r="Q20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14))),"")</f>
        <v/>
      </c>
      <c r="R20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14))),"")</f>
        <v/>
      </c>
      <c r="S20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14))),"")</f>
        <v/>
      </c>
      <c r="T20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14))),"")</f>
        <v/>
      </c>
      <c r="U20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14))),"")</f>
        <v/>
      </c>
      <c r="V20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14))),"")</f>
        <v/>
      </c>
      <c r="W20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14))),"")</f>
        <v/>
      </c>
      <c r="X20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14))),"")</f>
        <v/>
      </c>
      <c r="Y20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14))),"")</f>
        <v/>
      </c>
      <c r="Z20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14))),"")</f>
        <v/>
      </c>
      <c r="AA20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14))),"")</f>
        <v/>
      </c>
      <c r="AB20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14))),"")</f>
        <v/>
      </c>
      <c r="AC20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14))),"")</f>
        <v/>
      </c>
      <c r="AD20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14))),"")</f>
        <v/>
      </c>
      <c r="AE20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14))),"")</f>
        <v/>
      </c>
      <c r="AF20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14))),"")</f>
        <v/>
      </c>
      <c r="AG20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14))),"")</f>
        <v/>
      </c>
      <c r="AH20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14))),"")</f>
        <v/>
      </c>
      <c r="AI20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IFERROR(INDEX(#REF!,_xlfn.AGGREGATE(15,6,(ROW(#REF!)-ROW(#REF!))/(Таблица1[[мес]:[мес]]=$J$5)/(Таблица1[[год]:[год]]=$L$5)/(Таблица1[[изд]:[изд]]=$N$1:$T$1)/(Таблица1[[партия]:[партия]]=$W$1),ROW(AH14))),"")</f>
        <v/>
      </c>
      <c r="AJ20" s="140">
        <f t="shared" si="0"/>
        <v>0</v>
      </c>
    </row>
    <row r="21" spans="1:36" ht="33" customHeight="1">
      <c r="A21" s="148">
        <v>15</v>
      </c>
      <c r="B21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15))),"")</f>
        <v/>
      </c>
      <c r="C21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О.]]))/(Таблица1[[мес]:[мес]]=$J$5)/(Таблица1[[год]:[год]]=$L$5)/(Таблица1[[изд]:[изд]]=$N$1)/(Таблица1[[партия]:[партия]]=$W$1),ROW(B15))),"")</f>
        <v/>
      </c>
      <c r="D21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15))),"")</f>
        <v/>
      </c>
      <c r="E21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15))),"")</f>
        <v/>
      </c>
      <c r="F21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15))),"")</f>
        <v/>
      </c>
      <c r="G21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15))),"")</f>
        <v/>
      </c>
      <c r="H21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15))),"")</f>
        <v/>
      </c>
      <c r="I21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15))),"")</f>
        <v/>
      </c>
      <c r="J21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15))),"")</f>
        <v/>
      </c>
      <c r="K21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15))),"")</f>
        <v/>
      </c>
      <c r="L21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15))),"")</f>
        <v/>
      </c>
      <c r="M21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15))),"")</f>
        <v/>
      </c>
      <c r="N21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15))),"")</f>
        <v/>
      </c>
      <c r="O21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15))),"")</f>
        <v/>
      </c>
      <c r="P21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15))),"")</f>
        <v/>
      </c>
      <c r="Q21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15))),"")</f>
        <v/>
      </c>
      <c r="R21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15))),"")</f>
        <v/>
      </c>
      <c r="S21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15))),"")</f>
        <v/>
      </c>
      <c r="T21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15))),"")</f>
        <v/>
      </c>
      <c r="U21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15))),"")</f>
        <v/>
      </c>
      <c r="V21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15))),"")</f>
        <v/>
      </c>
      <c r="W21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15))),"")</f>
        <v/>
      </c>
      <c r="X21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15))),"")</f>
        <v/>
      </c>
      <c r="Y21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15))),"")</f>
        <v/>
      </c>
      <c r="Z21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15))),"")</f>
        <v/>
      </c>
      <c r="AA21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15))),"")</f>
        <v/>
      </c>
      <c r="AB21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15))),"")</f>
        <v/>
      </c>
      <c r="AC21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15))),"")</f>
        <v/>
      </c>
      <c r="AD21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15))),"")</f>
        <v/>
      </c>
      <c r="AE21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15))),"")</f>
        <v/>
      </c>
      <c r="AF21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15))),"")</f>
        <v/>
      </c>
      <c r="AG21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15))),"")</f>
        <v/>
      </c>
      <c r="AH21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15))),"")</f>
        <v/>
      </c>
      <c r="AI21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IFERROR(INDEX(#REF!,_xlfn.AGGREGATE(15,6,(ROW(#REF!)-ROW(#REF!))/(Таблица1[[мес]:[мес]]=$J$5)/(Таблица1[[год]:[год]]=$L$5)/(Таблица1[[изд]:[изд]]=$N$1:$T$1)/(Таблица1[[партия]:[партия]]=$W$1),ROW(AH15))),"")</f>
        <v/>
      </c>
      <c r="AJ21" s="139">
        <f t="shared" si="0"/>
        <v>0</v>
      </c>
    </row>
    <row r="22" spans="1:36" ht="33" customHeight="1">
      <c r="A22" s="148">
        <v>16</v>
      </c>
      <c r="B22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16))),"")</f>
        <v/>
      </c>
      <c r="C22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О.]]))/(Таблица1[[мес]:[мес]]=$J$5)/(Таблица1[[год]:[год]]=$L$5)/(Таблица1[[изд]:[изд]]=$N$1)/(Таблица1[[партия]:[партия]]=$W$1),ROW(B16))),"")</f>
        <v/>
      </c>
      <c r="D22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16))),"")</f>
        <v/>
      </c>
      <c r="E22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16))),"")</f>
        <v/>
      </c>
      <c r="F22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16))),"")</f>
        <v/>
      </c>
      <c r="G22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16))),"")</f>
        <v/>
      </c>
      <c r="H22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16))),"")</f>
        <v/>
      </c>
      <c r="I22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16))),"")</f>
        <v/>
      </c>
      <c r="J22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16))),"")</f>
        <v/>
      </c>
      <c r="K22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16))),"")</f>
        <v/>
      </c>
      <c r="L22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16))),"")</f>
        <v/>
      </c>
      <c r="M22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16))),"")</f>
        <v/>
      </c>
      <c r="N22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16))),"")</f>
        <v/>
      </c>
      <c r="O22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16))),"")</f>
        <v/>
      </c>
      <c r="P22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16))),"")</f>
        <v/>
      </c>
      <c r="Q22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16))),"")</f>
        <v/>
      </c>
      <c r="R22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16))),"")</f>
        <v/>
      </c>
      <c r="S22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16))),"")</f>
        <v/>
      </c>
      <c r="T22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16))),"")</f>
        <v/>
      </c>
      <c r="U22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16))),"")</f>
        <v/>
      </c>
      <c r="V22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16))),"")</f>
        <v/>
      </c>
      <c r="W22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16))),"")</f>
        <v/>
      </c>
      <c r="X22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16))),"")</f>
        <v/>
      </c>
      <c r="Y22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16))),"")</f>
        <v/>
      </c>
      <c r="Z22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16))),"")</f>
        <v/>
      </c>
      <c r="AA22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16))),"")</f>
        <v/>
      </c>
      <c r="AB22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16))),"")</f>
        <v/>
      </c>
      <c r="AC22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16))),"")</f>
        <v/>
      </c>
      <c r="AD22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16))),"")</f>
        <v/>
      </c>
      <c r="AE22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16))),"")</f>
        <v/>
      </c>
      <c r="AF22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16))),"")</f>
        <v/>
      </c>
      <c r="AG22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16))),"")</f>
        <v/>
      </c>
      <c r="AH22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16))),"")</f>
        <v/>
      </c>
      <c r="AI22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IFERROR(INDEX(#REF!,_xlfn.AGGREGATE(15,6,(ROW(#REF!)-ROW(#REF!))/(Таблица1[[мес]:[мес]]=$J$5)/(Таблица1[[год]:[год]]=$L$5)/(Таблица1[[изд]:[изд]]=$N$1:$T$1)/(Таблица1[[партия]:[партия]]=$W$1),ROW(AH16))),"")</f>
        <v/>
      </c>
      <c r="AJ22" s="139">
        <f t="shared" si="0"/>
        <v>0</v>
      </c>
    </row>
    <row r="23" spans="1:36" ht="33" customHeight="1">
      <c r="A23" s="148">
        <v>17</v>
      </c>
      <c r="B23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17))),"")</f>
        <v/>
      </c>
      <c r="C23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О.]]))/(Таблица1[[мес]:[мес]]=$J$5)/(Таблица1[[год]:[год]]=$L$5)/(Таблица1[[изд]:[изд]]=$N$1)/(Таблица1[[партия]:[партия]]=$W$1),ROW(B17))),"")</f>
        <v/>
      </c>
      <c r="D23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17))),"")</f>
        <v/>
      </c>
      <c r="E23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17))),"")</f>
        <v/>
      </c>
      <c r="F23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17))),"")</f>
        <v/>
      </c>
      <c r="G23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17))),"")</f>
        <v/>
      </c>
      <c r="H23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17))),"")</f>
        <v/>
      </c>
      <c r="I23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17))),"")</f>
        <v/>
      </c>
      <c r="J23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17))),"")</f>
        <v/>
      </c>
      <c r="K23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17))),"")</f>
        <v/>
      </c>
      <c r="L23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17))),"")</f>
        <v/>
      </c>
      <c r="M23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17))),"")</f>
        <v/>
      </c>
      <c r="N23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17))),"")</f>
        <v/>
      </c>
      <c r="O23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17))),"")</f>
        <v/>
      </c>
      <c r="P23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17))),"")</f>
        <v/>
      </c>
      <c r="Q23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17))),"")</f>
        <v/>
      </c>
      <c r="R23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17))),"")</f>
        <v/>
      </c>
      <c r="S23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17))),"")</f>
        <v/>
      </c>
      <c r="T23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17))),"")</f>
        <v/>
      </c>
      <c r="U23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17))),"")</f>
        <v/>
      </c>
      <c r="V23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17))),"")</f>
        <v/>
      </c>
      <c r="W23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17))),"")</f>
        <v/>
      </c>
      <c r="X23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17))),"")</f>
        <v/>
      </c>
      <c r="Y23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17))),"")</f>
        <v/>
      </c>
      <c r="Z23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17))),"")</f>
        <v/>
      </c>
      <c r="AA23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17))),"")</f>
        <v/>
      </c>
      <c r="AB23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17))),"")</f>
        <v/>
      </c>
      <c r="AC23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17))),"")</f>
        <v/>
      </c>
      <c r="AD23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17))),"")</f>
        <v/>
      </c>
      <c r="AE23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17))),"")</f>
        <v/>
      </c>
      <c r="AF23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17))),"")</f>
        <v/>
      </c>
      <c r="AG23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17))),"")</f>
        <v/>
      </c>
      <c r="AH23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17))),"")</f>
        <v/>
      </c>
      <c r="AI23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IFERROR(INDEX(#REF!,_xlfn.AGGREGATE(15,6,(ROW(#REF!)-ROW(#REF!))/(Таблица1[[мес]:[мес]]=$J$5)/(Таблица1[[год]:[год]]=$L$5)/(Таблица1[[изд]:[изд]]=$N$1:$T$1)/(Таблица1[[партия]:[партия]]=$W$1),ROW(AH17))),"")</f>
        <v/>
      </c>
      <c r="AJ23" s="139">
        <f t="shared" si="0"/>
        <v>0</v>
      </c>
    </row>
    <row r="24" spans="1:36" ht="28.5" customHeight="1">
      <c r="A24" s="148">
        <v>18</v>
      </c>
      <c r="B24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18))),"")</f>
        <v/>
      </c>
      <c r="C24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О.]]))/(Таблица1[[мес]:[мес]]=$J$5)/(Таблица1[[год]:[год]]=$L$5)/(Таблица1[[изд]:[изд]]=$N$1)/(Таблица1[[партия]:[партия]]=$W$1),ROW(B18))),"")</f>
        <v/>
      </c>
      <c r="D24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18))),"")</f>
        <v/>
      </c>
      <c r="E24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18))),"")</f>
        <v/>
      </c>
      <c r="F24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18))),"")</f>
        <v/>
      </c>
      <c r="G24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18))),"")</f>
        <v/>
      </c>
      <c r="H24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18))),"")</f>
        <v/>
      </c>
      <c r="I24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18))),"")</f>
        <v/>
      </c>
      <c r="J24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18))),"")</f>
        <v/>
      </c>
      <c r="K24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18))),"")</f>
        <v/>
      </c>
      <c r="L24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18))),"")</f>
        <v/>
      </c>
      <c r="M24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18))),"")</f>
        <v/>
      </c>
      <c r="N24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18))),"")</f>
        <v/>
      </c>
      <c r="O24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18))),"")</f>
        <v/>
      </c>
      <c r="P24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18))),"")</f>
        <v/>
      </c>
      <c r="Q24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18))),"")</f>
        <v/>
      </c>
      <c r="R24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18))),"")</f>
        <v/>
      </c>
      <c r="S24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18))),"")</f>
        <v/>
      </c>
      <c r="T24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18))),"")</f>
        <v/>
      </c>
      <c r="U24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18))),"")</f>
        <v/>
      </c>
      <c r="V24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18))),"")</f>
        <v/>
      </c>
      <c r="W24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18))),"")</f>
        <v/>
      </c>
      <c r="X24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18))),"")</f>
        <v/>
      </c>
      <c r="Y24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18))),"")</f>
        <v/>
      </c>
      <c r="Z24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18))),"")</f>
        <v/>
      </c>
      <c r="AA24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18))),"")</f>
        <v/>
      </c>
      <c r="AB24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18))),"")</f>
        <v/>
      </c>
      <c r="AC24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18))),"")</f>
        <v/>
      </c>
      <c r="AD24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18))),"")</f>
        <v/>
      </c>
      <c r="AE24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18))),"")</f>
        <v/>
      </c>
      <c r="AF24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18))),"")</f>
        <v/>
      </c>
      <c r="AG24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18))),"")</f>
        <v/>
      </c>
      <c r="AH24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18))),"")</f>
        <v/>
      </c>
      <c r="AI24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IFERROR(INDEX(#REF!,_xlfn.AGGREGATE(15,6,(ROW(#REF!)-ROW(#REF!))/(Таблица1[[мес]:[мес]]=$J$5)/(Таблица1[[год]:[год]]=$L$5)/(Таблица1[[изд]:[изд]]=$N$1:$T$1)/(Таблица1[[партия]:[партия]]=$W$1),ROW(AH18))),"")</f>
        <v/>
      </c>
      <c r="AJ24" s="139">
        <f t="shared" si="0"/>
        <v>0</v>
      </c>
    </row>
    <row r="25" spans="1:36" ht="25.5" customHeight="1">
      <c r="A25" s="148">
        <v>19</v>
      </c>
      <c r="B25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19))),"")</f>
        <v/>
      </c>
      <c r="C25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О.]]))/(Таблица1[[мес]:[мес]]=$J$5)/(Таблица1[[год]:[год]]=$L$5)/(Таблица1[[изд]:[изд]]=$N$1)/(Таблица1[[партия]:[партия]]=$W$1),ROW(B19))),"")</f>
        <v/>
      </c>
      <c r="D25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19))),"")</f>
        <v/>
      </c>
      <c r="E25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19))),"")</f>
        <v/>
      </c>
      <c r="F25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19))),"")</f>
        <v/>
      </c>
      <c r="G25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19))),"")</f>
        <v/>
      </c>
      <c r="H25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19))),"")</f>
        <v/>
      </c>
      <c r="I25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19))),"")</f>
        <v/>
      </c>
      <c r="J25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19))),"")</f>
        <v/>
      </c>
      <c r="K25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19))),"")</f>
        <v/>
      </c>
      <c r="L25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19))),"")</f>
        <v/>
      </c>
      <c r="M25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19))),"")</f>
        <v/>
      </c>
      <c r="N25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19))),"")</f>
        <v/>
      </c>
      <c r="O25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19))),"")</f>
        <v/>
      </c>
      <c r="P25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19))),"")</f>
        <v/>
      </c>
      <c r="Q25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19))),"")</f>
        <v/>
      </c>
      <c r="R25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19))),"")</f>
        <v/>
      </c>
      <c r="S25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19))),"")</f>
        <v/>
      </c>
      <c r="T25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19))),"")</f>
        <v/>
      </c>
      <c r="U25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19))),"")</f>
        <v/>
      </c>
      <c r="V25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19))),"")</f>
        <v/>
      </c>
      <c r="W25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19))),"")</f>
        <v/>
      </c>
      <c r="X25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19))),"")</f>
        <v/>
      </c>
      <c r="Y25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19))),"")</f>
        <v/>
      </c>
      <c r="Z25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19))),"")</f>
        <v/>
      </c>
      <c r="AA25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19))),"")</f>
        <v/>
      </c>
      <c r="AB25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19))),"")</f>
        <v/>
      </c>
      <c r="AC25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19))),"")</f>
        <v/>
      </c>
      <c r="AD25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19))),"")</f>
        <v/>
      </c>
      <c r="AE25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19))),"")</f>
        <v/>
      </c>
      <c r="AF25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19))),"")</f>
        <v/>
      </c>
      <c r="AG25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19))),"")</f>
        <v/>
      </c>
      <c r="AH25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19))),"")</f>
        <v/>
      </c>
      <c r="AI25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IFERROR(INDEX(#REF!,_xlfn.AGGREGATE(15,6,(ROW(#REF!)-ROW(#REF!))/(Таблица1[[мес]:[мес]]=$J$5)/(Таблица1[[год]:[год]]=$L$5)/(Таблица1[[изд]:[изд]]=$N$1:$T$1)/(Таблица1[[партия]:[партия]]=$W$1),ROW(AH19))),"")</f>
        <v/>
      </c>
      <c r="AJ25" s="139">
        <f>SUM(E25:AI25)</f>
        <v>0</v>
      </c>
    </row>
    <row r="26" spans="1:36" ht="25.5" customHeight="1">
      <c r="A26" s="148">
        <v>20</v>
      </c>
      <c r="B26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20))),"")</f>
        <v/>
      </c>
      <c r="C26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О.]]))/(Таблица1[[мес]:[мес]]=$J$5)/(Таблица1[[год]:[год]]=$L$5)/(Таблица1[[изд]:[изд]]=$N$1)/(Таблица1[[партия]:[партия]]=$W$1),ROW(B20))),"")</f>
        <v/>
      </c>
      <c r="D26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20))),"")</f>
        <v/>
      </c>
      <c r="E26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20))),"")</f>
        <v/>
      </c>
      <c r="F26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20))),"")</f>
        <v/>
      </c>
      <c r="G26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20))),"")</f>
        <v/>
      </c>
      <c r="H26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20))),"")</f>
        <v/>
      </c>
      <c r="I26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20))),"")</f>
        <v/>
      </c>
      <c r="J26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20))),"")</f>
        <v/>
      </c>
      <c r="K26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20))),"")</f>
        <v/>
      </c>
      <c r="L26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20))),"")</f>
        <v/>
      </c>
      <c r="M26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20))),"")</f>
        <v/>
      </c>
      <c r="N26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20))),"")</f>
        <v/>
      </c>
      <c r="O26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20))),"")</f>
        <v/>
      </c>
      <c r="P26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20))),"")</f>
        <v/>
      </c>
      <c r="Q26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20))),"")</f>
        <v/>
      </c>
      <c r="R26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20))),"")</f>
        <v/>
      </c>
      <c r="S26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20))),"")</f>
        <v/>
      </c>
      <c r="T26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20))),"")</f>
        <v/>
      </c>
      <c r="U26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20))),"")</f>
        <v/>
      </c>
      <c r="V26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20))),"")</f>
        <v/>
      </c>
      <c r="W26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20))),"")</f>
        <v/>
      </c>
      <c r="X26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20))),"")</f>
        <v/>
      </c>
      <c r="Y26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20))),"")</f>
        <v/>
      </c>
      <c r="Z26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20))),"")</f>
        <v/>
      </c>
      <c r="AA26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20))),"")</f>
        <v/>
      </c>
      <c r="AB26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20))),"")</f>
        <v/>
      </c>
      <c r="AC26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20))),"")</f>
        <v/>
      </c>
      <c r="AD26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20))),"")</f>
        <v/>
      </c>
      <c r="AE26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20))),"")</f>
        <v/>
      </c>
      <c r="AF26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20))),"")</f>
        <v/>
      </c>
      <c r="AG26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20))),"")</f>
        <v/>
      </c>
      <c r="AH26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20))),"")</f>
        <v/>
      </c>
      <c r="AI26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IFERROR(INDEX(#REF!,_xlfn.AGGREGATE(15,6,(ROW(#REF!)-ROW(#REF!))/(Таблица1[[мес]:[мес]]=$J$5)/(Таблица1[[год]:[год]]=$L$5)/(Таблица1[[изд]:[изд]]=$N$1:$T$1)/(Таблица1[[партия]:[партия]]=$W$1),ROW(AH20))),"")</f>
        <v/>
      </c>
      <c r="AJ26" s="139">
        <f t="shared" ref="AJ26:AJ33" si="1">SUM(E26:AI26)</f>
        <v>0</v>
      </c>
    </row>
    <row r="27" spans="1:36" ht="25.5" hidden="1" customHeight="1">
      <c r="A27" s="148">
        <v>21</v>
      </c>
      <c r="B27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21))),"")</f>
        <v/>
      </c>
      <c r="C27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О.]]))/(Таблица1[[мес]:[мес]]=$J$5)/(Таблица1[[год]:[год]]=$L$5)/(Таблица1[[изд]:[изд]]=$N$1)/(Таблица1[[партия]:[партия]]=$W$1),ROW(B21))),"")</f>
        <v/>
      </c>
      <c r="D27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21))),"")</f>
        <v/>
      </c>
      <c r="E27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21))),"")</f>
        <v/>
      </c>
      <c r="F27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21))),"")</f>
        <v/>
      </c>
      <c r="G27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21))),"")</f>
        <v/>
      </c>
      <c r="H27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21))),"")</f>
        <v/>
      </c>
      <c r="I27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21))),"")</f>
        <v/>
      </c>
      <c r="J27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21))),"")</f>
        <v/>
      </c>
      <c r="K27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21))),"")</f>
        <v/>
      </c>
      <c r="L27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21))),"")</f>
        <v/>
      </c>
      <c r="M27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21))),"")</f>
        <v/>
      </c>
      <c r="N27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21))),"")</f>
        <v/>
      </c>
      <c r="O27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21))),"")</f>
        <v/>
      </c>
      <c r="P27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21))),"")</f>
        <v/>
      </c>
      <c r="Q27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21))),"")</f>
        <v/>
      </c>
      <c r="R27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21))),"")</f>
        <v/>
      </c>
      <c r="S27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21))),"")</f>
        <v/>
      </c>
      <c r="T27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21))),"")</f>
        <v/>
      </c>
      <c r="U27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21))),"")</f>
        <v/>
      </c>
      <c r="V27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21))),"")</f>
        <v/>
      </c>
      <c r="W27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21))),"")</f>
        <v/>
      </c>
      <c r="X27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21))),"")</f>
        <v/>
      </c>
      <c r="Y27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21))),"")</f>
        <v/>
      </c>
      <c r="Z27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21))),"")</f>
        <v/>
      </c>
      <c r="AA27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21))),"")</f>
        <v/>
      </c>
      <c r="AB27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21))),"")</f>
        <v/>
      </c>
      <c r="AC27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21))),"")</f>
        <v/>
      </c>
      <c r="AD27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21))),"")</f>
        <v/>
      </c>
      <c r="AE27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21))),"")</f>
        <v/>
      </c>
      <c r="AF27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21))),"")</f>
        <v/>
      </c>
      <c r="AG27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21))),"")</f>
        <v/>
      </c>
      <c r="AH27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21))),"")</f>
        <v/>
      </c>
      <c r="AI27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IFERROR(INDEX(#REF!,_xlfn.AGGREGATE(15,6,(ROW(#REF!)-ROW(#REF!))/(Таблица1[[мес]:[мес]]=$J$5)/(Таблица1[[год]:[год]]=$L$5)/(Таблица1[[изд]:[изд]]=$N$1:$T$1)/(Таблица1[[партия]:[партия]]=$W$1),ROW(AH21))),"")</f>
        <v/>
      </c>
      <c r="AJ27" s="139">
        <f t="shared" si="1"/>
        <v>0</v>
      </c>
    </row>
    <row r="28" spans="1:36" ht="25.5" hidden="1" customHeight="1">
      <c r="A28" s="148">
        <v>22</v>
      </c>
      <c r="B28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22))),"")</f>
        <v/>
      </c>
      <c r="C28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О.]]))/(Таблица1[[мес]:[мес]]=$J$5)/(Таблица1[[год]:[год]]=$L$5)/(Таблица1[[изд]:[изд]]=$N$1)/(Таблица1[[партия]:[партия]]=$W$1),ROW(B22))),"")</f>
        <v/>
      </c>
      <c r="D28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22))),"")</f>
        <v/>
      </c>
      <c r="E28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22))),"")</f>
        <v/>
      </c>
      <c r="F28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22))),"")</f>
        <v/>
      </c>
      <c r="G28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22))),"")</f>
        <v/>
      </c>
      <c r="H28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22))),"")</f>
        <v/>
      </c>
      <c r="I28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22))),"")</f>
        <v/>
      </c>
      <c r="J28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22))),"")</f>
        <v/>
      </c>
      <c r="K28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22))),"")</f>
        <v/>
      </c>
      <c r="L28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22))),"")</f>
        <v/>
      </c>
      <c r="M28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22))),"")</f>
        <v/>
      </c>
      <c r="N28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22))),"")</f>
        <v/>
      </c>
      <c r="O28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22))),"")</f>
        <v/>
      </c>
      <c r="P28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22))),"")</f>
        <v/>
      </c>
      <c r="Q28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22))),"")</f>
        <v/>
      </c>
      <c r="R28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22))),"")</f>
        <v/>
      </c>
      <c r="S28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22))),"")</f>
        <v/>
      </c>
      <c r="T28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22))),"")</f>
        <v/>
      </c>
      <c r="U28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22))),"")</f>
        <v/>
      </c>
      <c r="V28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22))),"")</f>
        <v/>
      </c>
      <c r="W28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22))),"")</f>
        <v/>
      </c>
      <c r="X28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22))),"")</f>
        <v/>
      </c>
      <c r="Y28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22))),"")</f>
        <v/>
      </c>
      <c r="Z28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22))),"")</f>
        <v/>
      </c>
      <c r="AA28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22))),"")</f>
        <v/>
      </c>
      <c r="AB28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22))),"")</f>
        <v/>
      </c>
      <c r="AC28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22))),"")</f>
        <v/>
      </c>
      <c r="AD28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22))),"")</f>
        <v/>
      </c>
      <c r="AE28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22))),"")</f>
        <v/>
      </c>
      <c r="AF28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22))),"")</f>
        <v/>
      </c>
      <c r="AG28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22))),"")</f>
        <v/>
      </c>
      <c r="AH28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22))),"")</f>
        <v/>
      </c>
      <c r="AI28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IFERROR(INDEX(#REF!,_xlfn.AGGREGATE(15,6,(ROW(#REF!)-ROW(#REF!))/(Таблица1[[мес]:[мес]]=$J$5)/(Таблица1[[год]:[год]]=$L$5)/(Таблица1[[изд]:[изд]]=$N$1:$T$1)/(Таблица1[[партия]:[партия]]=$W$1),ROW(AH22))),"")</f>
        <v/>
      </c>
      <c r="AJ28" s="139">
        <f t="shared" si="1"/>
        <v>0</v>
      </c>
    </row>
    <row r="29" spans="1:36" ht="25.5" hidden="1" customHeight="1">
      <c r="A29" s="148">
        <v>23</v>
      </c>
      <c r="B29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23))),"")</f>
        <v/>
      </c>
      <c r="C29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О.]]))/(Таблица1[[мес]:[мес]]=$J$5)/(Таблица1[[год]:[год]]=$L$5)/(Таблица1[[изд]:[изд]]=$N$1)/(Таблица1[[партия]:[партия]]=$W$1),ROW(B23))),"")</f>
        <v/>
      </c>
      <c r="D29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23))),"")</f>
        <v/>
      </c>
      <c r="E29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23))),"")</f>
        <v/>
      </c>
      <c r="F29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23))),"")</f>
        <v/>
      </c>
      <c r="G29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23))),"")</f>
        <v/>
      </c>
      <c r="H29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23))),"")</f>
        <v/>
      </c>
      <c r="I29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23))),"")</f>
        <v/>
      </c>
      <c r="J29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23))),"")</f>
        <v/>
      </c>
      <c r="K29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23))),"")</f>
        <v/>
      </c>
      <c r="L29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23))),"")</f>
        <v/>
      </c>
      <c r="M29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23))),"")</f>
        <v/>
      </c>
      <c r="N29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23))),"")</f>
        <v/>
      </c>
      <c r="O29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23))),"")</f>
        <v/>
      </c>
      <c r="P29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23))),"")</f>
        <v/>
      </c>
      <c r="Q29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23))),"")</f>
        <v/>
      </c>
      <c r="R29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23))),"")</f>
        <v/>
      </c>
      <c r="S29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23))),"")</f>
        <v/>
      </c>
      <c r="T29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23))),"")</f>
        <v/>
      </c>
      <c r="U29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23))),"")</f>
        <v/>
      </c>
      <c r="V29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23))),"")</f>
        <v/>
      </c>
      <c r="W29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23))),"")</f>
        <v/>
      </c>
      <c r="X29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23))),"")</f>
        <v/>
      </c>
      <c r="Y29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23))),"")</f>
        <v/>
      </c>
      <c r="Z29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23))),"")</f>
        <v/>
      </c>
      <c r="AA29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23))),"")</f>
        <v/>
      </c>
      <c r="AB29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23))),"")</f>
        <v/>
      </c>
      <c r="AC29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23))),"")</f>
        <v/>
      </c>
      <c r="AD29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23))),"")</f>
        <v/>
      </c>
      <c r="AE29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23))),"")</f>
        <v/>
      </c>
      <c r="AF29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23))),"")</f>
        <v/>
      </c>
      <c r="AG29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23))),"")</f>
        <v/>
      </c>
      <c r="AH29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23))),"")</f>
        <v/>
      </c>
      <c r="AI29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IFERROR(INDEX(#REF!,_xlfn.AGGREGATE(15,6,(ROW(#REF!)-ROW(#REF!))/(Таблица1[[мес]:[мес]]=$J$5)/(Таблица1[[год]:[год]]=$L$5)/(Таблица1[[изд]:[изд]]=$N$1:$T$1)/(Таблица1[[партия]:[партия]]=$W$1),ROW(AH23))),"")</f>
        <v/>
      </c>
      <c r="AJ29" s="139">
        <f t="shared" si="1"/>
        <v>0</v>
      </c>
    </row>
    <row r="30" spans="1:36" ht="25.5" hidden="1" customHeight="1">
      <c r="A30" s="148">
        <v>24</v>
      </c>
      <c r="B30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24))),"")</f>
        <v/>
      </c>
      <c r="C30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О.]]))/(Таблица1[[мес]:[мес]]=$J$5)/(Таблица1[[год]:[год]]=$L$5)/(Таблица1[[изд]:[изд]]=$N$1)/(Таблица1[[партия]:[партия]]=$W$1),ROW(B24))),"")</f>
        <v/>
      </c>
      <c r="D30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24))),"")</f>
        <v/>
      </c>
      <c r="E30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24))),"")</f>
        <v/>
      </c>
      <c r="F30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24))),"")</f>
        <v/>
      </c>
      <c r="G30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24))),"")</f>
        <v/>
      </c>
      <c r="H30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24))),"")</f>
        <v/>
      </c>
      <c r="I30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24))),"")</f>
        <v/>
      </c>
      <c r="J30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24))),"")</f>
        <v/>
      </c>
      <c r="K30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24))),"")</f>
        <v/>
      </c>
      <c r="L30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24))),"")</f>
        <v/>
      </c>
      <c r="M30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24))),"")</f>
        <v/>
      </c>
      <c r="N30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24))),"")</f>
        <v/>
      </c>
      <c r="O30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24))),"")</f>
        <v/>
      </c>
      <c r="P30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24))),"")</f>
        <v/>
      </c>
      <c r="Q30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24))),"")</f>
        <v/>
      </c>
      <c r="R30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24))),"")</f>
        <v/>
      </c>
      <c r="S30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24))),"")</f>
        <v/>
      </c>
      <c r="T30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24))),"")</f>
        <v/>
      </c>
      <c r="U30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24))),"")</f>
        <v/>
      </c>
      <c r="V30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24))),"")</f>
        <v/>
      </c>
      <c r="W30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24))),"")</f>
        <v/>
      </c>
      <c r="X30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24))),"")</f>
        <v/>
      </c>
      <c r="Y30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24))),"")</f>
        <v/>
      </c>
      <c r="Z30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24))),"")</f>
        <v/>
      </c>
      <c r="AA30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24))),"")</f>
        <v/>
      </c>
      <c r="AB30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24))),"")</f>
        <v/>
      </c>
      <c r="AC30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24))),"")</f>
        <v/>
      </c>
      <c r="AD30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24))),"")</f>
        <v/>
      </c>
      <c r="AE30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24))),"")</f>
        <v/>
      </c>
      <c r="AF30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24))),"")</f>
        <v/>
      </c>
      <c r="AG30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24))),"")</f>
        <v/>
      </c>
      <c r="AH30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24))),"")</f>
        <v/>
      </c>
      <c r="AI30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IFERROR(INDEX(#REF!,_xlfn.AGGREGATE(15,6,(ROW(#REF!)-ROW(#REF!))/(Таблица1[[мес]:[мес]]=$J$5)/(Таблица1[[год]:[год]]=$L$5)/(Таблица1[[изд]:[изд]]=$N$1:$T$1)/(Таблица1[[партия]:[партия]]=$W$1),ROW(AH24))),"")</f>
        <v/>
      </c>
      <c r="AJ30" s="139">
        <f t="shared" si="1"/>
        <v>0</v>
      </c>
    </row>
    <row r="31" spans="1:36" ht="25.5" hidden="1" customHeight="1">
      <c r="A31" s="148">
        <v>25</v>
      </c>
      <c r="B31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25))),"")</f>
        <v/>
      </c>
      <c r="C31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О.]]))/(Таблица1[[мес]:[мес]]=$J$5)/(Таблица1[[год]:[год]]=$L$5)/(Таблица1[[изд]:[изд]]=$N$1)/(Таблица1[[партия]:[партия]]=$W$1),ROW(B25))),"")</f>
        <v/>
      </c>
      <c r="D31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25))),"")</f>
        <v/>
      </c>
      <c r="E31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25))),"")</f>
        <v/>
      </c>
      <c r="F31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25))),"")</f>
        <v/>
      </c>
      <c r="G31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25))),"")</f>
        <v/>
      </c>
      <c r="H31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25))),"")</f>
        <v/>
      </c>
      <c r="I31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25))),"")</f>
        <v/>
      </c>
      <c r="J31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25))),"")</f>
        <v/>
      </c>
      <c r="K31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25))),"")</f>
        <v/>
      </c>
      <c r="L31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25))),"")</f>
        <v/>
      </c>
      <c r="M31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25))),"")</f>
        <v/>
      </c>
      <c r="N31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25))),"")</f>
        <v/>
      </c>
      <c r="O31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25))),"")</f>
        <v/>
      </c>
      <c r="P31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25))),"")</f>
        <v/>
      </c>
      <c r="Q31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25))),"")</f>
        <v/>
      </c>
      <c r="R31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25))),"")</f>
        <v/>
      </c>
      <c r="S31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25))),"")</f>
        <v/>
      </c>
      <c r="T31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25))),"")</f>
        <v/>
      </c>
      <c r="U31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25))),"")</f>
        <v/>
      </c>
      <c r="V31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25))),"")</f>
        <v/>
      </c>
      <c r="W31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25))),"")</f>
        <v/>
      </c>
      <c r="X31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25))),"")</f>
        <v/>
      </c>
      <c r="Y31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25))),"")</f>
        <v/>
      </c>
      <c r="Z31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25))),"")</f>
        <v/>
      </c>
      <c r="AA31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25))),"")</f>
        <v/>
      </c>
      <c r="AB31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25))),"")</f>
        <v/>
      </c>
      <c r="AC31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25))),"")</f>
        <v/>
      </c>
      <c r="AD31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25))),"")</f>
        <v/>
      </c>
      <c r="AE31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25))),"")</f>
        <v/>
      </c>
      <c r="AF31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25))),"")</f>
        <v/>
      </c>
      <c r="AG31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25))),"")</f>
        <v/>
      </c>
      <c r="AH31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25))),"")</f>
        <v/>
      </c>
      <c r="AI31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IFERROR(INDEX(#REF!,_xlfn.AGGREGATE(15,6,(ROW(#REF!)-ROW(#REF!))/(Таблица1[[мес]:[мес]]=$J$5)/(Таблица1[[год]:[год]]=$L$5)/(Таблица1[[изд]:[изд]]=$N$1:$T$1)/(Таблица1[[партия]:[партия]]=$W$1),ROW(AH25))),"")</f>
        <v/>
      </c>
      <c r="AJ31" s="139">
        <f t="shared" si="1"/>
        <v>0</v>
      </c>
    </row>
    <row r="32" spans="1:36" ht="25.5" hidden="1" customHeight="1">
      <c r="A32" s="148">
        <v>26</v>
      </c>
      <c r="B32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26))),"")</f>
        <v/>
      </c>
      <c r="C32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О.]]))/(Таблица1[[мес]:[мес]]=$J$5)/(Таблица1[[год]:[год]]=$L$5)/(Таблица1[[изд]:[изд]]=$N$1)/(Таблица1[[партия]:[партия]]=$W$1),ROW(B26))),"")</f>
        <v/>
      </c>
      <c r="D32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26))),"")</f>
        <v/>
      </c>
      <c r="E32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26))),"")</f>
        <v/>
      </c>
      <c r="F32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26))),"")</f>
        <v/>
      </c>
      <c r="G32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26))),"")</f>
        <v/>
      </c>
      <c r="H32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26))),"")</f>
        <v/>
      </c>
      <c r="I32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26))),"")</f>
        <v/>
      </c>
      <c r="J32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26))),"")</f>
        <v/>
      </c>
      <c r="K32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26))),"")</f>
        <v/>
      </c>
      <c r="L32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26))),"")</f>
        <v/>
      </c>
      <c r="M32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26))),"")</f>
        <v/>
      </c>
      <c r="N32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26))),"")</f>
        <v/>
      </c>
      <c r="O32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26))),"")</f>
        <v/>
      </c>
      <c r="P32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26))),"")</f>
        <v/>
      </c>
      <c r="Q32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26))),"")</f>
        <v/>
      </c>
      <c r="R32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26))),"")</f>
        <v/>
      </c>
      <c r="S32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26))),"")</f>
        <v/>
      </c>
      <c r="T32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26))),"")</f>
        <v/>
      </c>
      <c r="U32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26))),"")</f>
        <v/>
      </c>
      <c r="V32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26))),"")</f>
        <v/>
      </c>
      <c r="W32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26))),"")</f>
        <v/>
      </c>
      <c r="X32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26))),"")</f>
        <v/>
      </c>
      <c r="Y32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26))),"")</f>
        <v/>
      </c>
      <c r="Z32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26))),"")</f>
        <v/>
      </c>
      <c r="AA32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26))),"")</f>
        <v/>
      </c>
      <c r="AB32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26))),"")</f>
        <v/>
      </c>
      <c r="AC32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26))),"")</f>
        <v/>
      </c>
      <c r="AD32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26))),"")</f>
        <v/>
      </c>
      <c r="AE32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26))),"")</f>
        <v/>
      </c>
      <c r="AF32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26))),"")</f>
        <v/>
      </c>
      <c r="AG32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26))),"")</f>
        <v/>
      </c>
      <c r="AH32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26))),"")</f>
        <v/>
      </c>
      <c r="AI32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IFERROR(INDEX(#REF!,_xlfn.AGGREGATE(15,6,(ROW(#REF!)-ROW(#REF!))/(Таблица1[[мес]:[мес]]=$J$5)/(Таблица1[[год]:[год]]=$L$5)/(Таблица1[[изд]:[изд]]=$N$1:$T$1)/(Таблица1[[партия]:[партия]]=$W$1),ROW(AH26))),"")</f>
        <v/>
      </c>
      <c r="AJ32" s="139">
        <f t="shared" si="1"/>
        <v>0</v>
      </c>
    </row>
    <row r="33" spans="1:41" ht="25.5" customHeight="1">
      <c r="A33" s="148"/>
      <c r="B33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27))),"")</f>
        <v/>
      </c>
      <c r="C33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О.]]))/(Таблица1[[мес]:[мес]]=$J$5)/(Таблица1[[год]:[год]]=$L$5)/(Таблица1[[изд]:[изд]]=$N$1)/(Таблица1[[партия]:[партия]]=$W$1),ROW(B27))),"")</f>
        <v/>
      </c>
      <c r="D33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27))),"")</f>
        <v/>
      </c>
      <c r="E33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27))),"")</f>
        <v/>
      </c>
      <c r="F33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27))),"")</f>
        <v/>
      </c>
      <c r="G33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27))),"")</f>
        <v/>
      </c>
      <c r="H33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27))),"")</f>
        <v/>
      </c>
      <c r="I33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27))),"")</f>
        <v/>
      </c>
      <c r="J33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27))),"")</f>
        <v/>
      </c>
      <c r="K33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27))),"")</f>
        <v/>
      </c>
      <c r="L33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27))),"")</f>
        <v/>
      </c>
      <c r="M33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27))),"")</f>
        <v/>
      </c>
      <c r="N33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27))),"")</f>
        <v/>
      </c>
      <c r="O33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27))),"")</f>
        <v/>
      </c>
      <c r="P33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27))),"")</f>
        <v/>
      </c>
      <c r="Q33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27))),"")</f>
        <v/>
      </c>
      <c r="R33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27))),"")</f>
        <v/>
      </c>
      <c r="S33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27))),"")</f>
        <v/>
      </c>
      <c r="T33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27))),"")</f>
        <v/>
      </c>
      <c r="U33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27))),"")</f>
        <v/>
      </c>
      <c r="V33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27))),"")</f>
        <v/>
      </c>
      <c r="W33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27))),"")</f>
        <v/>
      </c>
      <c r="X33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27))),"")</f>
        <v/>
      </c>
      <c r="Y33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27))),"")</f>
        <v/>
      </c>
      <c r="Z33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27))),"")</f>
        <v/>
      </c>
      <c r="AA33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27))),"")</f>
        <v/>
      </c>
      <c r="AB33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27))),"")</f>
        <v/>
      </c>
      <c r="AC33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27))),"")</f>
        <v/>
      </c>
      <c r="AD33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27))),"")</f>
        <v/>
      </c>
      <c r="AE33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27))),"")</f>
        <v/>
      </c>
      <c r="AF33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27))),"")</f>
        <v/>
      </c>
      <c r="AG33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27))),"")</f>
        <v/>
      </c>
      <c r="AH33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27))),"")</f>
        <v/>
      </c>
      <c r="AI33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IFERROR(INDEX(#REF!,_xlfn.AGGREGATE(15,6,(ROW(#REF!)-ROW(#REF!))/(Таблица1[[мес]:[мес]]=$J$5)/(Таблица1[[год]:[год]]=$L$5)/(Таблица1[[изд]:[изд]]=$N$1:$T$1)/(Таблица1[[партия]:[партия]]=$W$1),ROW(AH27))),"")</f>
        <v/>
      </c>
      <c r="AJ33" s="139">
        <f t="shared" si="1"/>
        <v>0</v>
      </c>
      <c r="AL33" s="873" t="s">
        <v>94</v>
      </c>
      <c r="AM33" s="873"/>
      <c r="AN33" s="873"/>
    </row>
    <row r="34" spans="1:41" ht="15" customHeight="1">
      <c r="A34" s="148"/>
      <c r="B34" s="36"/>
      <c r="C34" s="33" t="s">
        <v>63</v>
      </c>
      <c r="D34" s="36"/>
      <c r="E34" s="34">
        <f>SUM(E7:E33)</f>
        <v>0</v>
      </c>
      <c r="F34" s="34">
        <f t="shared" ref="F34:AI34" si="2">SUM(F7:F33)</f>
        <v>0</v>
      </c>
      <c r="G34" s="34">
        <f t="shared" si="2"/>
        <v>0</v>
      </c>
      <c r="H34" s="34">
        <f t="shared" si="2"/>
        <v>0</v>
      </c>
      <c r="I34" s="34">
        <f t="shared" si="2"/>
        <v>0</v>
      </c>
      <c r="J34" s="34">
        <f t="shared" si="2"/>
        <v>0</v>
      </c>
      <c r="K34" s="34">
        <f t="shared" si="2"/>
        <v>0</v>
      </c>
      <c r="L34" s="34">
        <f t="shared" si="2"/>
        <v>0</v>
      </c>
      <c r="M34" s="34">
        <f t="shared" si="2"/>
        <v>0</v>
      </c>
      <c r="N34" s="34">
        <f t="shared" si="2"/>
        <v>0</v>
      </c>
      <c r="O34" s="34">
        <f t="shared" si="2"/>
        <v>0</v>
      </c>
      <c r="P34" s="34">
        <f t="shared" si="2"/>
        <v>0</v>
      </c>
      <c r="Q34" s="34">
        <f t="shared" si="2"/>
        <v>0</v>
      </c>
      <c r="R34" s="34">
        <f t="shared" si="2"/>
        <v>0</v>
      </c>
      <c r="S34" s="34">
        <f t="shared" si="2"/>
        <v>0</v>
      </c>
      <c r="T34" s="34">
        <f t="shared" si="2"/>
        <v>0</v>
      </c>
      <c r="U34" s="34">
        <f t="shared" si="2"/>
        <v>0</v>
      </c>
      <c r="V34" s="34">
        <f t="shared" si="2"/>
        <v>0</v>
      </c>
      <c r="W34" s="34">
        <f t="shared" si="2"/>
        <v>0</v>
      </c>
      <c r="X34" s="34">
        <f t="shared" si="2"/>
        <v>0</v>
      </c>
      <c r="Y34" s="34">
        <f t="shared" si="2"/>
        <v>0</v>
      </c>
      <c r="Z34" s="34">
        <f t="shared" si="2"/>
        <v>0</v>
      </c>
      <c r="AA34" s="34">
        <f t="shared" si="2"/>
        <v>0</v>
      </c>
      <c r="AB34" s="34">
        <f t="shared" si="2"/>
        <v>0</v>
      </c>
      <c r="AC34" s="34">
        <f t="shared" si="2"/>
        <v>0</v>
      </c>
      <c r="AD34" s="34">
        <f t="shared" si="2"/>
        <v>0</v>
      </c>
      <c r="AE34" s="34">
        <f t="shared" si="2"/>
        <v>0</v>
      </c>
      <c r="AF34" s="34">
        <f t="shared" si="2"/>
        <v>0</v>
      </c>
      <c r="AG34" s="34">
        <f t="shared" si="2"/>
        <v>0</v>
      </c>
      <c r="AH34" s="34">
        <f t="shared" si="2"/>
        <v>0</v>
      </c>
      <c r="AI34" s="34">
        <f t="shared" si="2"/>
        <v>0</v>
      </c>
      <c r="AJ34" s="145">
        <f>SUM(E34:AI34)</f>
        <v>0</v>
      </c>
      <c r="AL34" s="872">
        <f>SUMIFS(Таблица1[Столбец2],Таблица1[партия],W1,Таблица1[изд],N1)</f>
        <v>0</v>
      </c>
      <c r="AM34" s="872"/>
      <c r="AN34" s="872"/>
      <c r="AO34" s="872"/>
    </row>
    <row r="35" spans="1:41" ht="9" customHeight="1">
      <c r="A35" s="148"/>
      <c r="B35" s="148"/>
      <c r="C35" s="149"/>
      <c r="D35" s="148"/>
      <c r="E35" s="148"/>
      <c r="F35" s="148"/>
      <c r="G35" s="148"/>
      <c r="H35" s="148"/>
      <c r="I35" s="148"/>
      <c r="J35" s="148"/>
      <c r="K35" s="148"/>
      <c r="L35" s="148"/>
      <c r="M35" s="148"/>
      <c r="N35" s="148"/>
      <c r="O35" s="148"/>
      <c r="P35" s="148"/>
      <c r="Q35" s="148"/>
      <c r="R35" s="148"/>
      <c r="S35" s="148"/>
      <c r="T35" s="148"/>
      <c r="U35" s="148"/>
      <c r="V35" s="148"/>
      <c r="W35" s="148"/>
      <c r="X35" s="148"/>
      <c r="Y35" s="148"/>
      <c r="Z35" s="148"/>
      <c r="AA35" s="148"/>
      <c r="AB35" s="148"/>
      <c r="AC35" s="148"/>
      <c r="AD35" s="148"/>
      <c r="AE35" s="148"/>
      <c r="AF35" s="148"/>
      <c r="AG35" s="148"/>
      <c r="AH35" s="148"/>
      <c r="AI35" s="148"/>
      <c r="AJ35" s="150"/>
      <c r="AL35" s="872"/>
      <c r="AM35" s="872"/>
      <c r="AN35" s="872"/>
      <c r="AO35" s="872"/>
    </row>
    <row r="36" spans="1:41" ht="17.25" customHeight="1">
      <c r="A36" s="148"/>
      <c r="B36" s="148"/>
      <c r="C36" s="296" t="s">
        <v>64</v>
      </c>
      <c r="D36" s="262"/>
      <c r="E36" s="262"/>
      <c r="F36" s="262"/>
      <c r="G36" s="295" t="str">
        <f>Data_Tech!$AU$7</f>
        <v>Кувшинов А.Г.</v>
      </c>
      <c r="H36" s="295"/>
      <c r="I36" s="261"/>
      <c r="J36" s="261"/>
      <c r="K36" s="148"/>
      <c r="L36" s="148"/>
      <c r="M36" s="148"/>
      <c r="N36" s="148"/>
      <c r="O36" s="148"/>
      <c r="P36" s="148"/>
      <c r="Q36" s="148"/>
      <c r="R36" s="260" t="s">
        <v>246</v>
      </c>
      <c r="S36" s="260"/>
      <c r="T36" s="260"/>
      <c r="U36" s="260"/>
      <c r="V36" s="259"/>
      <c r="W36" s="259"/>
      <c r="X36" s="259"/>
      <c r="Y36" s="259"/>
      <c r="Z36" s="259"/>
      <c r="AA36" s="260" t="s">
        <v>108</v>
      </c>
      <c r="AB36" s="260"/>
      <c r="AC36" s="62"/>
      <c r="AD36" s="62"/>
      <c r="AE36" s="148"/>
      <c r="AF36" s="148"/>
      <c r="AG36" s="148"/>
      <c r="AH36" s="148"/>
      <c r="AI36" s="148"/>
      <c r="AJ36" s="148"/>
      <c r="AL36" s="872"/>
      <c r="AM36" s="872"/>
      <c r="AN36" s="872"/>
      <c r="AO36" s="872"/>
    </row>
    <row r="37" spans="1:41" ht="15" customHeight="1">
      <c r="A37" s="148"/>
      <c r="B37" s="148"/>
      <c r="C37" s="149"/>
      <c r="D37" s="148"/>
      <c r="E37" s="148"/>
      <c r="F37" s="148"/>
      <c r="G37" s="148"/>
      <c r="H37" s="148"/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  <c r="AA37" s="221"/>
      <c r="AB37" s="148"/>
      <c r="AC37" s="148"/>
      <c r="AD37" s="148"/>
      <c r="AE37" s="148"/>
      <c r="AF37" s="148"/>
      <c r="AG37" s="148"/>
      <c r="AH37" s="148"/>
      <c r="AI37" s="148"/>
      <c r="AJ37" s="148"/>
      <c r="AL37" s="872"/>
      <c r="AM37" s="872"/>
      <c r="AN37" s="872"/>
      <c r="AO37" s="872"/>
    </row>
    <row r="38" spans="1:41" ht="20.25" customHeight="1">
      <c r="B38" s="62"/>
      <c r="C38" s="63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62"/>
    </row>
    <row r="39" spans="1:41" ht="18.75">
      <c r="AJ39" s="64"/>
    </row>
    <row r="40" spans="1:41" ht="18">
      <c r="C40" s="52"/>
      <c r="D40" s="53"/>
    </row>
    <row r="41" spans="1:41" ht="18">
      <c r="C41" s="52"/>
      <c r="D41" s="53"/>
    </row>
  </sheetData>
  <mergeCells count="11">
    <mergeCell ref="AL33:AN33"/>
    <mergeCell ref="AL34:AO37"/>
    <mergeCell ref="B1:I5"/>
    <mergeCell ref="N1:T1"/>
    <mergeCell ref="U1:V1"/>
    <mergeCell ref="W1:Y1"/>
    <mergeCell ref="AD2:AE2"/>
    <mergeCell ref="AD3:AE3"/>
    <mergeCell ref="AD4:AE4"/>
    <mergeCell ref="J5:K5"/>
    <mergeCell ref="L5:M5"/>
  </mergeCells>
  <pageMargins left="0.25" right="0.25" top="0.75" bottom="0.75" header="0.3" footer="0.3"/>
  <pageSetup paperSize="9" scale="57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O41"/>
  <sheetViews>
    <sheetView view="pageBreakPreview" zoomScale="60" zoomScaleNormal="60" workbookViewId="0">
      <selection activeCell="N1" sqref="N1:Y1"/>
    </sheetView>
  </sheetViews>
  <sheetFormatPr defaultRowHeight="15"/>
  <cols>
    <col min="1" max="1" customWidth="true" style="45" width="5.28515625"/>
    <col min="2" max="2" customWidth="true" style="45" width="7.5703125"/>
    <col min="3" max="3" customWidth="true" style="50" width="31.28515625"/>
    <col min="4" max="4" style="45" width="9.140625"/>
    <col min="5" max="35" customWidth="true" style="45" width="6.0"/>
    <col min="36" max="37" style="45" width="9.140625"/>
    <col min="38" max="38" customWidth="true" style="45" width="22.0"/>
    <col min="39" max="16384" style="45" width="9.140625"/>
  </cols>
  <sheetData>
    <row r="1" spans="1:36" s="32" customFormat="1" ht="29.25" customHeight="1">
      <c r="A1" s="151"/>
      <c r="B1" s="884" t="s">
        <v>75</v>
      </c>
      <c r="C1" s="884"/>
      <c r="D1" s="884"/>
      <c r="E1" s="884"/>
      <c r="F1" s="884"/>
      <c r="G1" s="884"/>
      <c r="H1" s="884"/>
      <c r="I1" s="884"/>
      <c r="J1" s="152" t="s">
        <v>68</v>
      </c>
      <c r="K1" s="248"/>
      <c r="L1" s="152"/>
      <c r="M1" s="152"/>
      <c r="N1" s="890">
        <v>6001</v>
      </c>
      <c r="O1" s="890"/>
      <c r="P1" s="890"/>
      <c r="Q1" s="890"/>
      <c r="R1" s="890"/>
      <c r="S1" s="890"/>
      <c r="T1" s="890"/>
      <c r="U1" s="888" t="s">
        <v>10</v>
      </c>
      <c r="V1" s="888"/>
      <c r="W1" s="889" t="s">
        <v>107</v>
      </c>
      <c r="X1" s="889"/>
      <c r="Y1" s="889"/>
      <c r="Z1" s="153"/>
      <c r="AA1" s="154"/>
      <c r="AB1" s="155"/>
      <c r="AC1" s="155"/>
      <c r="AD1" s="155"/>
      <c r="AE1" s="151"/>
      <c r="AF1" s="151"/>
      <c r="AG1" s="151"/>
      <c r="AH1" s="153"/>
      <c r="AI1" s="153"/>
      <c r="AJ1" s="154"/>
    </row>
    <row r="2" spans="1:36" s="32" customFormat="1" ht="24" customHeight="1">
      <c r="A2" s="151"/>
      <c r="B2" s="884"/>
      <c r="C2" s="884"/>
      <c r="D2" s="884"/>
      <c r="E2" s="884"/>
      <c r="F2" s="884"/>
      <c r="G2" s="884"/>
      <c r="H2" s="884"/>
      <c r="I2" s="884"/>
      <c r="J2" s="156"/>
      <c r="K2" s="157"/>
      <c r="L2" s="157"/>
      <c r="M2" s="157"/>
      <c r="N2" s="157"/>
      <c r="O2" s="567"/>
      <c r="P2" s="567"/>
      <c r="Q2" s="567"/>
      <c r="R2" s="250"/>
      <c r="S2" s="251"/>
      <c r="T2" s="252"/>
      <c r="U2" s="157"/>
      <c r="V2" s="157"/>
      <c r="W2" s="160"/>
      <c r="X2" s="160"/>
      <c r="Y2" s="160"/>
      <c r="Z2" s="153"/>
      <c r="AA2" s="153"/>
      <c r="AB2" s="247" t="s">
        <v>10</v>
      </c>
      <c r="AC2" s="247"/>
      <c r="AD2" s="887">
        <v>6400</v>
      </c>
      <c r="AE2" s="887"/>
      <c r="AF2" s="247"/>
      <c r="AG2" s="247" t="s">
        <v>76</v>
      </c>
      <c r="AH2" s="247"/>
      <c r="AI2" s="247"/>
      <c r="AJ2" s="154"/>
    </row>
    <row r="3" spans="1:36" s="32" customFormat="1" ht="24" customHeight="1">
      <c r="A3" s="151"/>
      <c r="B3" s="884"/>
      <c r="C3" s="884"/>
      <c r="D3" s="884"/>
      <c r="E3" s="884"/>
      <c r="F3" s="884"/>
      <c r="G3" s="884"/>
      <c r="H3" s="884"/>
      <c r="I3" s="884"/>
      <c r="J3" s="156"/>
      <c r="K3" s="162" t="s">
        <v>77</v>
      </c>
      <c r="L3" s="157"/>
      <c r="M3" s="157"/>
      <c r="N3" s="163"/>
      <c r="O3" s="253"/>
      <c r="P3" s="253" t="e">
        <f>INDEX(база!$AL:$AL, MATCH(N1,база!$AK:$AK,0))</f>
        <v>#N/A</v>
      </c>
      <c r="Q3" s="253"/>
      <c r="R3" s="254"/>
      <c r="S3" s="254"/>
      <c r="T3" s="255"/>
      <c r="U3" s="157"/>
      <c r="V3" s="157"/>
      <c r="W3" s="164"/>
      <c r="X3" s="164"/>
      <c r="Y3" s="164"/>
      <c r="Z3" s="153"/>
      <c r="AA3" s="153"/>
      <c r="AB3" s="247" t="s">
        <v>78</v>
      </c>
      <c r="AC3" s="247"/>
      <c r="AD3" s="887">
        <v>70</v>
      </c>
      <c r="AE3" s="887"/>
      <c r="AF3" s="247"/>
      <c r="AG3" s="247" t="s">
        <v>85</v>
      </c>
      <c r="AH3" s="247"/>
      <c r="AI3" s="247"/>
      <c r="AJ3" s="154"/>
    </row>
    <row r="4" spans="1:36" s="32" customFormat="1" ht="24" customHeight="1">
      <c r="A4" s="151"/>
      <c r="B4" s="884"/>
      <c r="C4" s="884"/>
      <c r="D4" s="884"/>
      <c r="E4" s="884"/>
      <c r="F4" s="884"/>
      <c r="G4" s="884"/>
      <c r="H4" s="884"/>
      <c r="I4" s="884"/>
      <c r="J4" s="156"/>
      <c r="K4" s="157"/>
      <c r="L4" s="157"/>
      <c r="M4" s="157"/>
      <c r="N4" s="157"/>
      <c r="O4" s="165"/>
      <c r="P4" s="165"/>
      <c r="Q4" s="165"/>
      <c r="R4" s="153"/>
      <c r="S4" s="153"/>
      <c r="T4" s="158"/>
      <c r="U4" s="568"/>
      <c r="V4" s="568"/>
      <c r="W4" s="164"/>
      <c r="X4" s="164"/>
      <c r="Y4" s="164"/>
      <c r="Z4" s="153"/>
      <c r="AA4" s="153"/>
      <c r="AB4" s="247" t="s">
        <v>79</v>
      </c>
      <c r="AC4" s="247"/>
      <c r="AD4" s="887">
        <v>70</v>
      </c>
      <c r="AE4" s="887"/>
      <c r="AF4" s="247"/>
      <c r="AG4" s="247" t="s">
        <v>80</v>
      </c>
      <c r="AH4" s="247"/>
      <c r="AI4" s="247"/>
      <c r="AJ4" s="154"/>
    </row>
    <row r="5" spans="1:36" s="32" customFormat="1" ht="24" customHeight="1">
      <c r="A5" s="151"/>
      <c r="B5" s="884"/>
      <c r="C5" s="884"/>
      <c r="D5" s="884"/>
      <c r="E5" s="884"/>
      <c r="F5" s="884"/>
      <c r="G5" s="884"/>
      <c r="H5" s="884"/>
      <c r="I5" s="884"/>
      <c r="J5" s="885" t="str">
        <f>Data_Tech!A3</f>
        <v>декабрь</v>
      </c>
      <c r="K5" s="885"/>
      <c r="L5" s="886">
        <v>2022</v>
      </c>
      <c r="M5" s="886"/>
      <c r="N5" s="166"/>
      <c r="O5" s="166"/>
      <c r="P5" s="166"/>
      <c r="Q5" s="166"/>
      <c r="R5" s="166"/>
      <c r="S5" s="166"/>
      <c r="T5" s="166"/>
      <c r="U5" s="166"/>
      <c r="V5" s="166"/>
      <c r="W5" s="153"/>
      <c r="X5" s="153"/>
      <c r="Y5" s="153"/>
      <c r="Z5" s="153"/>
      <c r="AA5" s="153"/>
      <c r="AB5" s="247" t="s">
        <v>81</v>
      </c>
      <c r="AC5" s="247"/>
      <c r="AD5" s="247">
        <v>0</v>
      </c>
      <c r="AE5" s="247"/>
      <c r="AF5" s="247"/>
      <c r="AG5" s="247" t="s">
        <v>82</v>
      </c>
      <c r="AH5" s="247"/>
      <c r="AI5" s="247"/>
      <c r="AJ5" s="154"/>
    </row>
    <row r="6" spans="1:36" s="32" customFormat="1" ht="25.5" customHeight="1">
      <c r="A6" s="151"/>
      <c r="B6" s="133" t="s">
        <v>9</v>
      </c>
      <c r="C6" s="134" t="s">
        <v>0</v>
      </c>
      <c r="D6" s="135" t="s">
        <v>1</v>
      </c>
      <c r="E6" s="136">
        <v>1</v>
      </c>
      <c r="F6" s="136">
        <v>2</v>
      </c>
      <c r="G6" s="136">
        <v>3</v>
      </c>
      <c r="H6" s="136">
        <v>4</v>
      </c>
      <c r="I6" s="136">
        <v>5</v>
      </c>
      <c r="J6" s="136">
        <v>6</v>
      </c>
      <c r="K6" s="136">
        <v>7</v>
      </c>
      <c r="L6" s="136">
        <v>8</v>
      </c>
      <c r="M6" s="136">
        <v>9</v>
      </c>
      <c r="N6" s="136">
        <v>10</v>
      </c>
      <c r="O6" s="136">
        <v>11</v>
      </c>
      <c r="P6" s="136">
        <v>12</v>
      </c>
      <c r="Q6" s="136">
        <v>13</v>
      </c>
      <c r="R6" s="136">
        <v>14</v>
      </c>
      <c r="S6" s="136">
        <v>15</v>
      </c>
      <c r="T6" s="136">
        <v>16</v>
      </c>
      <c r="U6" s="136">
        <v>17</v>
      </c>
      <c r="V6" s="136">
        <v>18</v>
      </c>
      <c r="W6" s="136">
        <v>19</v>
      </c>
      <c r="X6" s="136">
        <v>20</v>
      </c>
      <c r="Y6" s="136">
        <v>21</v>
      </c>
      <c r="Z6" s="136">
        <v>22</v>
      </c>
      <c r="AA6" s="136">
        <v>23</v>
      </c>
      <c r="AB6" s="136">
        <v>24</v>
      </c>
      <c r="AC6" s="136">
        <v>25</v>
      </c>
      <c r="AD6" s="136">
        <v>26</v>
      </c>
      <c r="AE6" s="136">
        <v>27</v>
      </c>
      <c r="AF6" s="136">
        <v>28</v>
      </c>
      <c r="AG6" s="136">
        <v>29</v>
      </c>
      <c r="AH6" s="136">
        <v>30</v>
      </c>
      <c r="AI6" s="136">
        <v>31</v>
      </c>
      <c r="AJ6" s="137"/>
    </row>
    <row r="7" spans="1:36" ht="33" customHeight="1">
      <c r="A7" s="148">
        <v>1</v>
      </c>
      <c r="B7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1))),"")</f>
        <v/>
      </c>
      <c r="C7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О.]]))/(Таблица1[[мес]:[мес]]=$J$5)/(Таблица1[[год]:[год]]=$L$5)/(Таблица1[[изд]:[изд]]=$N$1)/(Таблица1[[партия]:[партия]]=$W$1),ROW(B1))),"")</f>
        <v/>
      </c>
      <c r="D7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1))),"")</f>
        <v/>
      </c>
      <c r="E7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1))),"")</f>
        <v/>
      </c>
      <c r="F7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1))),"")</f>
        <v/>
      </c>
      <c r="G7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1))),"")</f>
        <v/>
      </c>
      <c r="H7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1))),"")</f>
        <v/>
      </c>
      <c r="I7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1))),"")</f>
        <v/>
      </c>
      <c r="J7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1))),"")</f>
        <v/>
      </c>
      <c r="K7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1))),"")</f>
        <v/>
      </c>
      <c r="L7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1))),"")</f>
        <v/>
      </c>
      <c r="M7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1))),"")</f>
        <v/>
      </c>
      <c r="N7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1))),"")</f>
        <v/>
      </c>
      <c r="O7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1))),"")</f>
        <v/>
      </c>
      <c r="P7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1))),"")</f>
        <v/>
      </c>
      <c r="Q7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1))),"")</f>
        <v/>
      </c>
      <c r="R7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1))),"")</f>
        <v/>
      </c>
      <c r="S7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1))),"")</f>
        <v/>
      </c>
      <c r="T7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1))),"")</f>
        <v/>
      </c>
      <c r="U7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1))),"")</f>
        <v/>
      </c>
      <c r="V7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1))),"")</f>
        <v/>
      </c>
      <c r="W7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1))),"")</f>
        <v/>
      </c>
      <c r="X7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1))),"")</f>
        <v/>
      </c>
      <c r="Y7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1))),"")</f>
        <v/>
      </c>
      <c r="Z7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1))),"")</f>
        <v/>
      </c>
      <c r="AA7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1))),"")</f>
        <v/>
      </c>
      <c r="AB7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1))),"")</f>
        <v/>
      </c>
      <c r="AC7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1))),"")</f>
        <v/>
      </c>
      <c r="AD7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1))),"")</f>
        <v/>
      </c>
      <c r="AE7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1))),"")</f>
        <v/>
      </c>
      <c r="AF7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1))),"")</f>
        <v/>
      </c>
      <c r="AG7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1))),"")</f>
        <v/>
      </c>
      <c r="AH7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1))),"")</f>
        <v/>
      </c>
      <c r="AI7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IFERROR(INDEX(#REF!,_xlfn.AGGREGATE(15,6,(ROW(#REF!)-ROW(#REF!))/(Таблица1[[мес]:[мес]]=$J$5)/(Таблица1[[год]:[год]]=$L$5)/(Таблица1[[изд]:[изд]]=$N$1:$T$1)/(Таблица1[[партия]:[партия]]=$W$1),ROW(AH1))),"")</f>
        <v/>
      </c>
      <c r="AJ7" s="139">
        <f t="shared" ref="AJ7:AJ24" si="0">SUM(E7:AI7)</f>
        <v>0</v>
      </c>
    </row>
    <row r="8" spans="1:36" ht="33" customHeight="1">
      <c r="A8" s="148">
        <v>2</v>
      </c>
      <c r="B8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2))),"")</f>
        <v/>
      </c>
      <c r="C8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О.]]))/(Таблица1[[мес]:[мес]]=$J$5)/(Таблица1[[год]:[год]]=$L$5)/(Таблица1[[изд]:[изд]]=$N$1)/(Таблица1[[партия]:[партия]]=$W$1),ROW(B2))),"")</f>
        <v/>
      </c>
      <c r="D8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2))),"")</f>
        <v/>
      </c>
      <c r="E8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2))),"")</f>
        <v/>
      </c>
      <c r="F8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2))),"")</f>
        <v/>
      </c>
      <c r="G8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2))),"")</f>
        <v/>
      </c>
      <c r="H8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2))),"")</f>
        <v/>
      </c>
      <c r="I8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2))),"")</f>
        <v/>
      </c>
      <c r="J8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2))),"")</f>
        <v/>
      </c>
      <c r="K8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2))),"")</f>
        <v/>
      </c>
      <c r="L8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2))),"")</f>
        <v/>
      </c>
      <c r="M8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2))),"")</f>
        <v/>
      </c>
      <c r="N8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2))),"")</f>
        <v/>
      </c>
      <c r="O8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2))),"")</f>
        <v/>
      </c>
      <c r="P8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2))),"")</f>
        <v/>
      </c>
      <c r="Q8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2))),"")</f>
        <v/>
      </c>
      <c r="R8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2))),"")</f>
        <v/>
      </c>
      <c r="S8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2))),"")</f>
        <v/>
      </c>
      <c r="T8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2))),"")</f>
        <v/>
      </c>
      <c r="U8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2))),"")</f>
        <v/>
      </c>
      <c r="V8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2))),"")</f>
        <v/>
      </c>
      <c r="W8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2))),"")</f>
        <v/>
      </c>
      <c r="X8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2))),"")</f>
        <v/>
      </c>
      <c r="Y8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2))),"")</f>
        <v/>
      </c>
      <c r="Z8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2))),"")</f>
        <v/>
      </c>
      <c r="AA8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2))),"")</f>
        <v/>
      </c>
      <c r="AB8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2))),"")</f>
        <v/>
      </c>
      <c r="AC8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2))),"")</f>
        <v/>
      </c>
      <c r="AD8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2))),"")</f>
        <v/>
      </c>
      <c r="AE8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2))),"")</f>
        <v/>
      </c>
      <c r="AF8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2))),"")</f>
        <v/>
      </c>
      <c r="AG8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2))),"")</f>
        <v/>
      </c>
      <c r="AH8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2))),"")</f>
        <v/>
      </c>
      <c r="AI8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IFERROR(INDEX(#REF!,_xlfn.AGGREGATE(15,6,(ROW(#REF!)-ROW(#REF!))/(Таблица1[[мес]:[мес]]=$J$5)/(Таблица1[[год]:[год]]=$L$5)/(Таблица1[[изд]:[изд]]=$N$1:$T$1)/(Таблица1[[партия]:[партия]]=$W$1),ROW(AH2))),"")</f>
        <v/>
      </c>
      <c r="AJ8" s="140">
        <f t="shared" si="0"/>
        <v>0</v>
      </c>
    </row>
    <row r="9" spans="1:36" ht="33" customHeight="1">
      <c r="A9" s="148">
        <v>3</v>
      </c>
      <c r="B9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3))),"")</f>
        <v/>
      </c>
      <c r="C9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О.]]))/(Таблица1[[мес]:[мес]]=$J$5)/(Таблица1[[год]:[год]]=$L$5)/(Таблица1[[изд]:[изд]]=$N$1)/(Таблица1[[партия]:[партия]]=$W$1),ROW(B3))),"")</f>
        <v/>
      </c>
      <c r="D9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3))),"")</f>
        <v/>
      </c>
      <c r="E9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3))),"")</f>
        <v/>
      </c>
      <c r="F9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3))),"")</f>
        <v/>
      </c>
      <c r="G9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3))),"")</f>
        <v/>
      </c>
      <c r="H9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3))),"")</f>
        <v/>
      </c>
      <c r="I9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3))),"")</f>
        <v/>
      </c>
      <c r="J9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3))),"")</f>
        <v/>
      </c>
      <c r="K9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3))),"")</f>
        <v/>
      </c>
      <c r="L9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3))),"")</f>
        <v/>
      </c>
      <c r="M9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3))),"")</f>
        <v/>
      </c>
      <c r="N9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3))),"")</f>
        <v/>
      </c>
      <c r="O9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3))),"")</f>
        <v/>
      </c>
      <c r="P9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3))),"")</f>
        <v/>
      </c>
      <c r="Q9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3))),"")</f>
        <v/>
      </c>
      <c r="R9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3))),"")</f>
        <v/>
      </c>
      <c r="S9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3))),"")</f>
        <v/>
      </c>
      <c r="T9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3))),"")</f>
        <v/>
      </c>
      <c r="U9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3))),"")</f>
        <v/>
      </c>
      <c r="V9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3))),"")</f>
        <v/>
      </c>
      <c r="W9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3))),"")</f>
        <v/>
      </c>
      <c r="X9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3))),"")</f>
        <v/>
      </c>
      <c r="Y9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3))),"")</f>
        <v/>
      </c>
      <c r="Z9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3))),"")</f>
        <v/>
      </c>
      <c r="AA9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3))),"")</f>
        <v/>
      </c>
      <c r="AB9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3))),"")</f>
        <v/>
      </c>
      <c r="AC9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3))),"")</f>
        <v/>
      </c>
      <c r="AD9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3))),"")</f>
        <v/>
      </c>
      <c r="AE9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3))),"")</f>
        <v/>
      </c>
      <c r="AF9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3))),"")</f>
        <v/>
      </c>
      <c r="AG9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3))),"")</f>
        <v/>
      </c>
      <c r="AH9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3))),"")</f>
        <v/>
      </c>
      <c r="AI9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IFERROR(INDEX(#REF!,_xlfn.AGGREGATE(15,6,(ROW(#REF!)-ROW(#REF!))/(Таблица1[[мес]:[мес]]=$J$5)/(Таблица1[[год]:[год]]=$L$5)/(Таблица1[[изд]:[изд]]=$N$1:$T$1)/(Таблица1[[партия]:[партия]]=$W$1),ROW(AH3))),"")</f>
        <v/>
      </c>
      <c r="AJ9" s="139">
        <f t="shared" si="0"/>
        <v>0</v>
      </c>
    </row>
    <row r="10" spans="1:36" ht="33" customHeight="1">
      <c r="A10" s="148">
        <v>4</v>
      </c>
      <c r="B10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4))),"")</f>
        <v/>
      </c>
      <c r="C10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О.]]))/(Таблица1[[мес]:[мес]]=$J$5)/(Таблица1[[год]:[год]]=$L$5)/(Таблица1[[изд]:[изд]]=$N$1)/(Таблица1[[партия]:[партия]]=$W$1),ROW(B4))),"")</f>
        <v/>
      </c>
      <c r="D10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4))),"")</f>
        <v/>
      </c>
      <c r="E10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4))),"")</f>
        <v/>
      </c>
      <c r="F10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4))),"")</f>
        <v/>
      </c>
      <c r="G10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4))),"")</f>
        <v/>
      </c>
      <c r="H10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4))),"")</f>
        <v/>
      </c>
      <c r="I10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4))),"")</f>
        <v/>
      </c>
      <c r="J10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4))),"")</f>
        <v/>
      </c>
      <c r="K10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4))),"")</f>
        <v/>
      </c>
      <c r="L10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4))),"")</f>
        <v/>
      </c>
      <c r="M10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4))),"")</f>
        <v/>
      </c>
      <c r="N10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4))),"")</f>
        <v/>
      </c>
      <c r="O10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4))),"")</f>
        <v/>
      </c>
      <c r="P10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4))),"")</f>
        <v/>
      </c>
      <c r="Q10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4))),"")</f>
        <v/>
      </c>
      <c r="R10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4))),"")</f>
        <v/>
      </c>
      <c r="S10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4))),"")</f>
        <v/>
      </c>
      <c r="T10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4))),"")</f>
        <v/>
      </c>
      <c r="U10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4))),"")</f>
        <v/>
      </c>
      <c r="V10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4))),"")</f>
        <v/>
      </c>
      <c r="W10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4))),"")</f>
        <v/>
      </c>
      <c r="X10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4))),"")</f>
        <v/>
      </c>
      <c r="Y10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4))),"")</f>
        <v/>
      </c>
      <c r="Z10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4))),"")</f>
        <v/>
      </c>
      <c r="AA10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4))),"")</f>
        <v/>
      </c>
      <c r="AB10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4))),"")</f>
        <v/>
      </c>
      <c r="AC10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4))),"")</f>
        <v/>
      </c>
      <c r="AD10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4))),"")</f>
        <v/>
      </c>
      <c r="AE10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4))),"")</f>
        <v/>
      </c>
      <c r="AF10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4))),"")</f>
        <v/>
      </c>
      <c r="AG10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4))),"")</f>
        <v/>
      </c>
      <c r="AH10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4))),"")</f>
        <v/>
      </c>
      <c r="AI10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IFERROR(INDEX(#REF!,_xlfn.AGGREGATE(15,6,(ROW(#REF!)-ROW(#REF!))/(Таблица1[[мес]:[мес]]=$J$5)/(Таблица1[[год]:[год]]=$L$5)/(Таблица1[[изд]:[изд]]=$N$1:$T$1)/(Таблица1[[партия]:[партия]]=$W$1),ROW(AH4))),"")</f>
        <v/>
      </c>
      <c r="AJ10" s="140">
        <f t="shared" si="0"/>
        <v>0</v>
      </c>
    </row>
    <row r="11" spans="1:36" ht="33" customHeight="1">
      <c r="A11" s="148">
        <v>5</v>
      </c>
      <c r="B11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5))),"")</f>
        <v/>
      </c>
      <c r="C11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О.]]))/(Таблица1[[мес]:[мес]]=$J$5)/(Таблица1[[год]:[год]]=$L$5)/(Таблица1[[изд]:[изд]]=$N$1)/(Таблица1[[партия]:[партия]]=$W$1),ROW(B5))),"")</f>
        <v/>
      </c>
      <c r="D11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5))),"")</f>
        <v/>
      </c>
      <c r="E11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5))),"")</f>
        <v/>
      </c>
      <c r="F11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5))),"")</f>
        <v/>
      </c>
      <c r="G11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5))),"")</f>
        <v/>
      </c>
      <c r="H11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5))),"")</f>
        <v/>
      </c>
      <c r="I11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5))),"")</f>
        <v/>
      </c>
      <c r="J11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5))),"")</f>
        <v/>
      </c>
      <c r="K11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5))),"")</f>
        <v/>
      </c>
      <c r="L11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5))),"")</f>
        <v/>
      </c>
      <c r="M11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5))),"")</f>
        <v/>
      </c>
      <c r="N11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5))),"")</f>
        <v/>
      </c>
      <c r="O11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5))),"")</f>
        <v/>
      </c>
      <c r="P11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5))),"")</f>
        <v/>
      </c>
      <c r="Q11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5))),"")</f>
        <v/>
      </c>
      <c r="R11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5))),"")</f>
        <v/>
      </c>
      <c r="S11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5))),"")</f>
        <v/>
      </c>
      <c r="T11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5))),"")</f>
        <v/>
      </c>
      <c r="U11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5))),"")</f>
        <v/>
      </c>
      <c r="V11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5))),"")</f>
        <v/>
      </c>
      <c r="W11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5))),"")</f>
        <v/>
      </c>
      <c r="X11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5))),"")</f>
        <v/>
      </c>
      <c r="Y11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5))),"")</f>
        <v/>
      </c>
      <c r="Z11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5))),"")</f>
        <v/>
      </c>
      <c r="AA11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5))),"")</f>
        <v/>
      </c>
      <c r="AB11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5))),"")</f>
        <v/>
      </c>
      <c r="AC11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5))),"")</f>
        <v/>
      </c>
      <c r="AD11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5))),"")</f>
        <v/>
      </c>
      <c r="AE11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5))),"")</f>
        <v/>
      </c>
      <c r="AF11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5))),"")</f>
        <v/>
      </c>
      <c r="AG11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5))),"")</f>
        <v/>
      </c>
      <c r="AH11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5))),"")</f>
        <v/>
      </c>
      <c r="AI11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IFERROR(INDEX(#REF!,_xlfn.AGGREGATE(15,6,(ROW(#REF!)-ROW(#REF!))/(Таблица1[[мес]:[мес]]=$J$5)/(Таблица1[[год]:[год]]=$L$5)/(Таблица1[[изд]:[изд]]=$N$1:$T$1)/(Таблица1[[партия]:[партия]]=$W$1),ROW(AH5))),"")</f>
        <v/>
      </c>
      <c r="AJ11" s="139">
        <f t="shared" si="0"/>
        <v>0</v>
      </c>
    </row>
    <row r="12" spans="1:36" ht="33" customHeight="1">
      <c r="A12" s="148">
        <v>6</v>
      </c>
      <c r="B12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6))),"")</f>
        <v/>
      </c>
      <c r="C12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О.]]))/(Таблица1[[мес]:[мес]]=$J$5)/(Таблица1[[год]:[год]]=$L$5)/(Таблица1[[изд]:[изд]]=$N$1)/(Таблица1[[партия]:[партия]]=$W$1),ROW(B6))),"")</f>
        <v/>
      </c>
      <c r="D12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6))),"")</f>
        <v/>
      </c>
      <c r="E12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6))),"")</f>
        <v/>
      </c>
      <c r="F12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6))),"")</f>
        <v/>
      </c>
      <c r="G12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6))),"")</f>
        <v/>
      </c>
      <c r="H12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6))),"")</f>
        <v/>
      </c>
      <c r="I12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6))),"")</f>
        <v/>
      </c>
      <c r="J12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6))),"")</f>
        <v/>
      </c>
      <c r="K12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6))),"")</f>
        <v/>
      </c>
      <c r="L12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6))),"")</f>
        <v/>
      </c>
      <c r="M12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6))),"")</f>
        <v/>
      </c>
      <c r="N12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6))),"")</f>
        <v/>
      </c>
      <c r="O12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6))),"")</f>
        <v/>
      </c>
      <c r="P12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6))),"")</f>
        <v/>
      </c>
      <c r="Q12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6))),"")</f>
        <v/>
      </c>
      <c r="R12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6))),"")</f>
        <v/>
      </c>
      <c r="S12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6))),"")</f>
        <v/>
      </c>
      <c r="T12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6))),"")</f>
        <v/>
      </c>
      <c r="U12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6))),"")</f>
        <v/>
      </c>
      <c r="V12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6))),"")</f>
        <v/>
      </c>
      <c r="W12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6))),"")</f>
        <v/>
      </c>
      <c r="X12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6))),"")</f>
        <v/>
      </c>
      <c r="Y12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6))),"")</f>
        <v/>
      </c>
      <c r="Z12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6))),"")</f>
        <v/>
      </c>
      <c r="AA12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6))),"")</f>
        <v/>
      </c>
      <c r="AB12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6))),"")</f>
        <v/>
      </c>
      <c r="AC12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6))),"")</f>
        <v/>
      </c>
      <c r="AD12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6))),"")</f>
        <v/>
      </c>
      <c r="AE12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6))),"")</f>
        <v/>
      </c>
      <c r="AF12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6))),"")</f>
        <v/>
      </c>
      <c r="AG12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6))),"")</f>
        <v/>
      </c>
      <c r="AH12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6))),"")</f>
        <v/>
      </c>
      <c r="AI12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IFERROR(INDEX(#REF!,_xlfn.AGGREGATE(15,6,(ROW(#REF!)-ROW(#REF!))/(Таблица1[[мес]:[мес]]=$J$5)/(Таблица1[[год]:[год]]=$L$5)/(Таблица1[[изд]:[изд]]=$N$1:$T$1)/(Таблица1[[партия]:[партия]]=$W$1),ROW(AH6))),"")</f>
        <v/>
      </c>
      <c r="AJ12" s="139">
        <f t="shared" si="0"/>
        <v>0</v>
      </c>
    </row>
    <row r="13" spans="1:36" ht="33" customHeight="1">
      <c r="A13" s="148">
        <v>7</v>
      </c>
      <c r="B13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7))),"")</f>
        <v/>
      </c>
      <c r="C13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О.]]))/(Таблица1[[мес]:[мес]]=$J$5)/(Таблица1[[год]:[год]]=$L$5)/(Таблица1[[изд]:[изд]]=$N$1)/(Таблица1[[партия]:[партия]]=$W$1),ROW(B7))),"")</f>
        <v/>
      </c>
      <c r="D13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7))),"")</f>
        <v/>
      </c>
      <c r="E13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7))),"")</f>
        <v/>
      </c>
      <c r="F13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7))),"")</f>
        <v/>
      </c>
      <c r="G13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7))),"")</f>
        <v/>
      </c>
      <c r="H13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7))),"")</f>
        <v/>
      </c>
      <c r="I13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7))),"")</f>
        <v/>
      </c>
      <c r="J13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7))),"")</f>
        <v/>
      </c>
      <c r="K13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7))),"")</f>
        <v/>
      </c>
      <c r="L13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7))),"")</f>
        <v/>
      </c>
      <c r="M13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7))),"")</f>
        <v/>
      </c>
      <c r="N13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7))),"")</f>
        <v/>
      </c>
      <c r="O13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7))),"")</f>
        <v/>
      </c>
      <c r="P13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7))),"")</f>
        <v/>
      </c>
      <c r="Q13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7))),"")</f>
        <v/>
      </c>
      <c r="R13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7))),"")</f>
        <v/>
      </c>
      <c r="S13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7))),"")</f>
        <v/>
      </c>
      <c r="T13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7))),"")</f>
        <v/>
      </c>
      <c r="U13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7))),"")</f>
        <v/>
      </c>
      <c r="V13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7))),"")</f>
        <v/>
      </c>
      <c r="W13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7))),"")</f>
        <v/>
      </c>
      <c r="X13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7))),"")</f>
        <v/>
      </c>
      <c r="Y13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7))),"")</f>
        <v/>
      </c>
      <c r="Z13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7))),"")</f>
        <v/>
      </c>
      <c r="AA13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7))),"")</f>
        <v/>
      </c>
      <c r="AB13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7))),"")</f>
        <v/>
      </c>
      <c r="AC13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7))),"")</f>
        <v/>
      </c>
      <c r="AD13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7))),"")</f>
        <v/>
      </c>
      <c r="AE13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7))),"")</f>
        <v/>
      </c>
      <c r="AF13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7))),"")</f>
        <v/>
      </c>
      <c r="AG13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7))),"")</f>
        <v/>
      </c>
      <c r="AH13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7))),"")</f>
        <v/>
      </c>
      <c r="AI13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IFERROR(INDEX(#REF!,_xlfn.AGGREGATE(15,6,(ROW(#REF!)-ROW(#REF!))/(Таблица1[[мес]:[мес]]=$J$5)/(Таблица1[[год]:[год]]=$L$5)/(Таблица1[[изд]:[изд]]=$N$1:$T$1)/(Таблица1[[партия]:[партия]]=$W$1),ROW(AH7))),"")</f>
        <v/>
      </c>
      <c r="AJ13" s="139">
        <f t="shared" si="0"/>
        <v>0</v>
      </c>
    </row>
    <row r="14" spans="1:36" ht="33" customHeight="1">
      <c r="A14" s="148">
        <v>8</v>
      </c>
      <c r="B14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8))),"")</f>
        <v/>
      </c>
      <c r="C14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О.]]))/(Таблица1[[мес]:[мес]]=$J$5)/(Таблица1[[год]:[год]]=$L$5)/(Таблица1[[изд]:[изд]]=$N$1)/(Таблица1[[партия]:[партия]]=$W$1),ROW(B8))),"")</f>
        <v/>
      </c>
      <c r="D14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8))),"")</f>
        <v/>
      </c>
      <c r="E14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8))),"")</f>
        <v/>
      </c>
      <c r="F14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8))),"")</f>
        <v/>
      </c>
      <c r="G14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8))),"")</f>
        <v/>
      </c>
      <c r="H14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8))),"")</f>
        <v/>
      </c>
      <c r="I14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8))),"")</f>
        <v/>
      </c>
      <c r="J14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8))),"")</f>
        <v/>
      </c>
      <c r="K14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8))),"")</f>
        <v/>
      </c>
      <c r="L14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8))),"")</f>
        <v/>
      </c>
      <c r="M14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8))),"")</f>
        <v/>
      </c>
      <c r="N14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8))),"")</f>
        <v/>
      </c>
      <c r="O14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8))),"")</f>
        <v/>
      </c>
      <c r="P14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8))),"")</f>
        <v/>
      </c>
      <c r="Q14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8))),"")</f>
        <v/>
      </c>
      <c r="R14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8))),"")</f>
        <v/>
      </c>
      <c r="S14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8))),"")</f>
        <v/>
      </c>
      <c r="T14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8))),"")</f>
        <v/>
      </c>
      <c r="U14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8))),"")</f>
        <v/>
      </c>
      <c r="V14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8))),"")</f>
        <v/>
      </c>
      <c r="W14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8))),"")</f>
        <v/>
      </c>
      <c r="X14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8))),"")</f>
        <v/>
      </c>
      <c r="Y14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8))),"")</f>
        <v/>
      </c>
      <c r="Z14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8))),"")</f>
        <v/>
      </c>
      <c r="AA14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8))),"")</f>
        <v/>
      </c>
      <c r="AB14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8))),"")</f>
        <v/>
      </c>
      <c r="AC14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8))),"")</f>
        <v/>
      </c>
      <c r="AD14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8))),"")</f>
        <v/>
      </c>
      <c r="AE14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8))),"")</f>
        <v/>
      </c>
      <c r="AF14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8))),"")</f>
        <v/>
      </c>
      <c r="AG14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8))),"")</f>
        <v/>
      </c>
      <c r="AH14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8))),"")</f>
        <v/>
      </c>
      <c r="AI14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IFERROR(INDEX(#REF!,_xlfn.AGGREGATE(15,6,(ROW(#REF!)-ROW(#REF!))/(Таблица1[[мес]:[мес]]=$J$5)/(Таблица1[[год]:[год]]=$L$5)/(Таблица1[[изд]:[изд]]=$N$1:$T$1)/(Таблица1[[партия]:[партия]]=$W$1),ROW(AH8))),"")</f>
        <v/>
      </c>
      <c r="AJ14" s="140">
        <f t="shared" si="0"/>
        <v>0</v>
      </c>
    </row>
    <row r="15" spans="1:36" ht="33" customHeight="1">
      <c r="A15" s="148">
        <v>9</v>
      </c>
      <c r="B15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9))),"")</f>
        <v/>
      </c>
      <c r="C15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О.]]))/(Таблица1[[мес]:[мес]]=$J$5)/(Таблица1[[год]:[год]]=$L$5)/(Таблица1[[изд]:[изд]]=$N$1)/(Таблица1[[партия]:[партия]]=$W$1),ROW(B9))),"")</f>
        <v/>
      </c>
      <c r="D15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9))),"")</f>
        <v/>
      </c>
      <c r="E15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9))),"")</f>
        <v/>
      </c>
      <c r="F15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9))),"")</f>
        <v/>
      </c>
      <c r="G15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9))),"")</f>
        <v/>
      </c>
      <c r="H15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9))),"")</f>
        <v/>
      </c>
      <c r="I15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9))),"")</f>
        <v/>
      </c>
      <c r="J15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9))),"")</f>
        <v/>
      </c>
      <c r="K15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9))),"")</f>
        <v/>
      </c>
      <c r="L15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9))),"")</f>
        <v/>
      </c>
      <c r="M15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9))),"")</f>
        <v/>
      </c>
      <c r="N15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9))),"")</f>
        <v/>
      </c>
      <c r="O15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9))),"")</f>
        <v/>
      </c>
      <c r="P15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9))),"")</f>
        <v/>
      </c>
      <c r="Q15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9))),"")</f>
        <v/>
      </c>
      <c r="R15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9))),"")</f>
        <v/>
      </c>
      <c r="S15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9))),"")</f>
        <v/>
      </c>
      <c r="T15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9))),"")</f>
        <v/>
      </c>
      <c r="U15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9))),"")</f>
        <v/>
      </c>
      <c r="V15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9))),"")</f>
        <v/>
      </c>
      <c r="W15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9))),"")</f>
        <v/>
      </c>
      <c r="X15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9))),"")</f>
        <v/>
      </c>
      <c r="Y15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9))),"")</f>
        <v/>
      </c>
      <c r="Z15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9))),"")</f>
        <v/>
      </c>
      <c r="AA15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9))),"")</f>
        <v/>
      </c>
      <c r="AB15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9))),"")</f>
        <v/>
      </c>
      <c r="AC15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9))),"")</f>
        <v/>
      </c>
      <c r="AD15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9))),"")</f>
        <v/>
      </c>
      <c r="AE15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9))),"")</f>
        <v/>
      </c>
      <c r="AF15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9))),"")</f>
        <v/>
      </c>
      <c r="AG15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9))),"")</f>
        <v/>
      </c>
      <c r="AH15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9))),"")</f>
        <v/>
      </c>
      <c r="AI15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IFERROR(INDEX(#REF!,_xlfn.AGGREGATE(15,6,(ROW(#REF!)-ROW(#REF!))/(Таблица1[[мес]:[мес]]=$J$5)/(Таблица1[[год]:[год]]=$L$5)/(Таблица1[[изд]:[изд]]=$N$1:$T$1)/(Таблица1[[партия]:[партия]]=$W$1),ROW(AH9))),"")</f>
        <v/>
      </c>
      <c r="AJ15" s="141">
        <f t="shared" si="0"/>
        <v>0</v>
      </c>
    </row>
    <row r="16" spans="1:36" ht="33" customHeight="1">
      <c r="A16" s="148">
        <v>10</v>
      </c>
      <c r="B16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10))),"")</f>
        <v/>
      </c>
      <c r="C16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О.]]))/(Таблица1[[мес]:[мес]]=$J$5)/(Таблица1[[год]:[год]]=$L$5)/(Таблица1[[изд]:[изд]]=$N$1)/(Таблица1[[партия]:[партия]]=$W$1),ROW(B10))),"")</f>
        <v/>
      </c>
      <c r="D16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10))),"")</f>
        <v/>
      </c>
      <c r="E16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10))),"")</f>
        <v/>
      </c>
      <c r="F16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10))),"")</f>
        <v/>
      </c>
      <c r="G16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10))),"")</f>
        <v/>
      </c>
      <c r="H16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10))),"")</f>
        <v/>
      </c>
      <c r="I16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10))),"")</f>
        <v/>
      </c>
      <c r="J16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10))),"")</f>
        <v/>
      </c>
      <c r="K16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10))),"")</f>
        <v/>
      </c>
      <c r="L16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10))),"")</f>
        <v/>
      </c>
      <c r="M16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10))),"")</f>
        <v/>
      </c>
      <c r="N16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10))),"")</f>
        <v/>
      </c>
      <c r="O16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10))),"")</f>
        <v/>
      </c>
      <c r="P16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10))),"")</f>
        <v/>
      </c>
      <c r="Q16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10))),"")</f>
        <v/>
      </c>
      <c r="R16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10))),"")</f>
        <v/>
      </c>
      <c r="S16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10))),"")</f>
        <v/>
      </c>
      <c r="T16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10))),"")</f>
        <v/>
      </c>
      <c r="U16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10))),"")</f>
        <v/>
      </c>
      <c r="V16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10))),"")</f>
        <v/>
      </c>
      <c r="W16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10))),"")</f>
        <v/>
      </c>
      <c r="X16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10))),"")</f>
        <v/>
      </c>
      <c r="Y16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10))),"")</f>
        <v/>
      </c>
      <c r="Z16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10))),"")</f>
        <v/>
      </c>
      <c r="AA16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10))),"")</f>
        <v/>
      </c>
      <c r="AB16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10))),"")</f>
        <v/>
      </c>
      <c r="AC16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10))),"")</f>
        <v/>
      </c>
      <c r="AD16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10))),"")</f>
        <v/>
      </c>
      <c r="AE16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10))),"")</f>
        <v/>
      </c>
      <c r="AF16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10))),"")</f>
        <v/>
      </c>
      <c r="AG16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10))),"")</f>
        <v/>
      </c>
      <c r="AH16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10))),"")</f>
        <v/>
      </c>
      <c r="AI16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IFERROR(INDEX(#REF!,_xlfn.AGGREGATE(15,6,(ROW(#REF!)-ROW(#REF!))/(Таблица1[[мес]:[мес]]=$J$5)/(Таблица1[[год]:[год]]=$L$5)/(Таблица1[[изд]:[изд]]=$N$1:$T$1)/(Таблица1[[партия]:[партия]]=$W$1),ROW(AH10))),"")</f>
        <v/>
      </c>
      <c r="AJ16" s="141">
        <f t="shared" si="0"/>
        <v>0</v>
      </c>
    </row>
    <row r="17" spans="1:36" ht="33" customHeight="1">
      <c r="A17" s="148">
        <v>11</v>
      </c>
      <c r="B17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11))),"")</f>
        <v/>
      </c>
      <c r="C17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О.]]))/(Таблица1[[мес]:[мес]]=$J$5)/(Таблица1[[год]:[год]]=$L$5)/(Таблица1[[изд]:[изд]]=$N$1)/(Таблица1[[партия]:[партия]]=$W$1),ROW(B11))),"")</f>
        <v/>
      </c>
      <c r="D17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11))),"")</f>
        <v/>
      </c>
      <c r="E17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11))),"")</f>
        <v/>
      </c>
      <c r="F17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11))),"")</f>
        <v/>
      </c>
      <c r="G17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11))),"")</f>
        <v/>
      </c>
      <c r="H17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11))),"")</f>
        <v/>
      </c>
      <c r="I17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11))),"")</f>
        <v/>
      </c>
      <c r="J17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11))),"")</f>
        <v/>
      </c>
      <c r="K17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11))),"")</f>
        <v/>
      </c>
      <c r="L17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11))),"")</f>
        <v/>
      </c>
      <c r="M17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11))),"")</f>
        <v/>
      </c>
      <c r="N17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11))),"")</f>
        <v/>
      </c>
      <c r="O17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11))),"")</f>
        <v/>
      </c>
      <c r="P17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11))),"")</f>
        <v/>
      </c>
      <c r="Q17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11))),"")</f>
        <v/>
      </c>
      <c r="R17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11))),"")</f>
        <v/>
      </c>
      <c r="S17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11))),"")</f>
        <v/>
      </c>
      <c r="T17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11))),"")</f>
        <v/>
      </c>
      <c r="U17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11))),"")</f>
        <v/>
      </c>
      <c r="V17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11))),"")</f>
        <v/>
      </c>
      <c r="W17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11))),"")</f>
        <v/>
      </c>
      <c r="X17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11))),"")</f>
        <v/>
      </c>
      <c r="Y17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11))),"")</f>
        <v/>
      </c>
      <c r="Z17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11))),"")</f>
        <v/>
      </c>
      <c r="AA17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11))),"")</f>
        <v/>
      </c>
      <c r="AB17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11))),"")</f>
        <v/>
      </c>
      <c r="AC17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11))),"")</f>
        <v/>
      </c>
      <c r="AD17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11))),"")</f>
        <v/>
      </c>
      <c r="AE17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11))),"")</f>
        <v/>
      </c>
      <c r="AF17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11))),"")</f>
        <v/>
      </c>
      <c r="AG17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11))),"")</f>
        <v/>
      </c>
      <c r="AH17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11))),"")</f>
        <v/>
      </c>
      <c r="AI17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IFERROR(INDEX(#REF!,_xlfn.AGGREGATE(15,6,(ROW(#REF!)-ROW(#REF!))/(Таблица1[[мес]:[мес]]=$J$5)/(Таблица1[[год]:[год]]=$L$5)/(Таблица1[[изд]:[изд]]=$N$1:$T$1)/(Таблица1[[партия]:[партия]]=$W$1),ROW(AH11))),"")</f>
        <v/>
      </c>
      <c r="AJ17" s="139">
        <f t="shared" si="0"/>
        <v>0</v>
      </c>
    </row>
    <row r="18" spans="1:36" ht="33" customHeight="1">
      <c r="A18" s="148">
        <v>12</v>
      </c>
      <c r="B18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12))),"")</f>
        <v/>
      </c>
      <c r="C18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О.]]))/(Таблица1[[мес]:[мес]]=$J$5)/(Таблица1[[год]:[год]]=$L$5)/(Таблица1[[изд]:[изд]]=$N$1)/(Таблица1[[партия]:[партия]]=$W$1),ROW(B12))),"")</f>
        <v/>
      </c>
      <c r="D18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12))),"")</f>
        <v/>
      </c>
      <c r="E18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12))),"")</f>
        <v/>
      </c>
      <c r="F18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12))),"")</f>
        <v/>
      </c>
      <c r="G18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12))),"")</f>
        <v/>
      </c>
      <c r="H18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12))),"")</f>
        <v/>
      </c>
      <c r="I18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12))),"")</f>
        <v/>
      </c>
      <c r="J18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12))),"")</f>
        <v/>
      </c>
      <c r="K18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12))),"")</f>
        <v/>
      </c>
      <c r="L18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12))),"")</f>
        <v/>
      </c>
      <c r="M18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12))),"")</f>
        <v/>
      </c>
      <c r="N18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12))),"")</f>
        <v/>
      </c>
      <c r="O18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12))),"")</f>
        <v/>
      </c>
      <c r="P18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12))),"")</f>
        <v/>
      </c>
      <c r="Q18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12))),"")</f>
        <v/>
      </c>
      <c r="R18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12))),"")</f>
        <v/>
      </c>
      <c r="S18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12))),"")</f>
        <v/>
      </c>
      <c r="T18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12))),"")</f>
        <v/>
      </c>
      <c r="U18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12))),"")</f>
        <v/>
      </c>
      <c r="V18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12))),"")</f>
        <v/>
      </c>
      <c r="W18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12))),"")</f>
        <v/>
      </c>
      <c r="X18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12))),"")</f>
        <v/>
      </c>
      <c r="Y18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12))),"")</f>
        <v/>
      </c>
      <c r="Z18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12))),"")</f>
        <v/>
      </c>
      <c r="AA18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12))),"")</f>
        <v/>
      </c>
      <c r="AB18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12))),"")</f>
        <v/>
      </c>
      <c r="AC18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12))),"")</f>
        <v/>
      </c>
      <c r="AD18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12))),"")</f>
        <v/>
      </c>
      <c r="AE18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12))),"")</f>
        <v/>
      </c>
      <c r="AF18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12))),"")</f>
        <v/>
      </c>
      <c r="AG18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12))),"")</f>
        <v/>
      </c>
      <c r="AH18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12))),"")</f>
        <v/>
      </c>
      <c r="AI18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IFERROR(INDEX(#REF!,_xlfn.AGGREGATE(15,6,(ROW(#REF!)-ROW(#REF!))/(Таблица1[[мес]:[мес]]=$J$5)/(Таблица1[[год]:[год]]=$L$5)/(Таблица1[[изд]:[изд]]=$N$1:$T$1)/(Таблица1[[партия]:[партия]]=$W$1),ROW(AH12))),"")</f>
        <v/>
      </c>
      <c r="AJ18" s="140">
        <f t="shared" si="0"/>
        <v>0</v>
      </c>
    </row>
    <row r="19" spans="1:36" ht="33" customHeight="1">
      <c r="A19" s="148">
        <v>13</v>
      </c>
      <c r="B19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13))),"")</f>
        <v/>
      </c>
      <c r="C19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О.]]))/(Таблица1[[мес]:[мес]]=$J$5)/(Таблица1[[год]:[год]]=$L$5)/(Таблица1[[изд]:[изд]]=$N$1)/(Таблица1[[партия]:[партия]]=$W$1),ROW(B13))),"")</f>
        <v/>
      </c>
      <c r="D19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13))),"")</f>
        <v/>
      </c>
      <c r="E19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13))),"")</f>
        <v/>
      </c>
      <c r="F19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13))),"")</f>
        <v/>
      </c>
      <c r="G19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13))),"")</f>
        <v/>
      </c>
      <c r="H19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13))),"")</f>
        <v/>
      </c>
      <c r="I19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13))),"")</f>
        <v/>
      </c>
      <c r="J19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13))),"")</f>
        <v/>
      </c>
      <c r="K19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13))),"")</f>
        <v/>
      </c>
      <c r="L19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13))),"")</f>
        <v/>
      </c>
      <c r="M19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13))),"")</f>
        <v/>
      </c>
      <c r="N19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13))),"")</f>
        <v/>
      </c>
      <c r="O19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13))),"")</f>
        <v/>
      </c>
      <c r="P19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13))),"")</f>
        <v/>
      </c>
      <c r="Q19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13))),"")</f>
        <v/>
      </c>
      <c r="R19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13))),"")</f>
        <v/>
      </c>
      <c r="S19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13))),"")</f>
        <v/>
      </c>
      <c r="T19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13))),"")</f>
        <v/>
      </c>
      <c r="U19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13))),"")</f>
        <v/>
      </c>
      <c r="V19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13))),"")</f>
        <v/>
      </c>
      <c r="W19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13))),"")</f>
        <v/>
      </c>
      <c r="X19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13))),"")</f>
        <v/>
      </c>
      <c r="Y19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13))),"")</f>
        <v/>
      </c>
      <c r="Z19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13))),"")</f>
        <v/>
      </c>
      <c r="AA19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13))),"")</f>
        <v/>
      </c>
      <c r="AB19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13))),"")</f>
        <v/>
      </c>
      <c r="AC19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13))),"")</f>
        <v/>
      </c>
      <c r="AD19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13))),"")</f>
        <v/>
      </c>
      <c r="AE19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13))),"")</f>
        <v/>
      </c>
      <c r="AF19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13))),"")</f>
        <v/>
      </c>
      <c r="AG19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13))),"")</f>
        <v/>
      </c>
      <c r="AH19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13))),"")</f>
        <v/>
      </c>
      <c r="AI19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IFERROR(INDEX(#REF!,_xlfn.AGGREGATE(15,6,(ROW(#REF!)-ROW(#REF!))/(Таблица1[[мес]:[мес]]=$J$5)/(Таблица1[[год]:[год]]=$L$5)/(Таблица1[[изд]:[изд]]=$N$1:$T$1)/(Таблица1[[партия]:[партия]]=$W$1),ROW(AH13))),"")</f>
        <v/>
      </c>
      <c r="AJ19" s="139">
        <f t="shared" si="0"/>
        <v>0</v>
      </c>
    </row>
    <row r="20" spans="1:36" ht="33" customHeight="1">
      <c r="A20" s="148">
        <v>14</v>
      </c>
      <c r="B20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14))),"")</f>
        <v/>
      </c>
      <c r="C20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О.]]))/(Таблица1[[мес]:[мес]]=$J$5)/(Таблица1[[год]:[год]]=$L$5)/(Таблица1[[изд]:[изд]]=$N$1)/(Таблица1[[партия]:[партия]]=$W$1),ROW(B14))),"")</f>
        <v/>
      </c>
      <c r="D20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14))),"")</f>
        <v/>
      </c>
      <c r="E20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14))),"")</f>
        <v/>
      </c>
      <c r="F20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14))),"")</f>
        <v/>
      </c>
      <c r="G20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14))),"")</f>
        <v/>
      </c>
      <c r="H20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14))),"")</f>
        <v/>
      </c>
      <c r="I20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14))),"")</f>
        <v/>
      </c>
      <c r="J20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14))),"")</f>
        <v/>
      </c>
      <c r="K20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14))),"")</f>
        <v/>
      </c>
      <c r="L20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14))),"")</f>
        <v/>
      </c>
      <c r="M20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14))),"")</f>
        <v/>
      </c>
      <c r="N20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14))),"")</f>
        <v/>
      </c>
      <c r="O20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14))),"")</f>
        <v/>
      </c>
      <c r="P20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14))),"")</f>
        <v/>
      </c>
      <c r="Q20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14))),"")</f>
        <v/>
      </c>
      <c r="R20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14))),"")</f>
        <v/>
      </c>
      <c r="S20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14))),"")</f>
        <v/>
      </c>
      <c r="T20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14))),"")</f>
        <v/>
      </c>
      <c r="U20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14))),"")</f>
        <v/>
      </c>
      <c r="V20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14))),"")</f>
        <v/>
      </c>
      <c r="W20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14))),"")</f>
        <v/>
      </c>
      <c r="X20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14))),"")</f>
        <v/>
      </c>
      <c r="Y20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14))),"")</f>
        <v/>
      </c>
      <c r="Z20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14))),"")</f>
        <v/>
      </c>
      <c r="AA20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14))),"")</f>
        <v/>
      </c>
      <c r="AB20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14))),"")</f>
        <v/>
      </c>
      <c r="AC20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14))),"")</f>
        <v/>
      </c>
      <c r="AD20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14))),"")</f>
        <v/>
      </c>
      <c r="AE20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14))),"")</f>
        <v/>
      </c>
      <c r="AF20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14))),"")</f>
        <v/>
      </c>
      <c r="AG20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14))),"")</f>
        <v/>
      </c>
      <c r="AH20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14))),"")</f>
        <v/>
      </c>
      <c r="AI20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IFERROR(INDEX(#REF!,_xlfn.AGGREGATE(15,6,(ROW(#REF!)-ROW(#REF!))/(Таблица1[[мес]:[мес]]=$J$5)/(Таблица1[[год]:[год]]=$L$5)/(Таблица1[[изд]:[изд]]=$N$1:$T$1)/(Таблица1[[партия]:[партия]]=$W$1),ROW(AH14))),"")</f>
        <v/>
      </c>
      <c r="AJ20" s="140">
        <f t="shared" si="0"/>
        <v>0</v>
      </c>
    </row>
    <row r="21" spans="1:36" ht="33" customHeight="1">
      <c r="A21" s="148">
        <v>15</v>
      </c>
      <c r="B21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15))),"")</f>
        <v/>
      </c>
      <c r="C21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О.]]))/(Таблица1[[мес]:[мес]]=$J$5)/(Таблица1[[год]:[год]]=$L$5)/(Таблица1[[изд]:[изд]]=$N$1)/(Таблица1[[партия]:[партия]]=$W$1),ROW(B15))),"")</f>
        <v/>
      </c>
      <c r="D21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15))),"")</f>
        <v/>
      </c>
      <c r="E21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15))),"")</f>
        <v/>
      </c>
      <c r="F21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15))),"")</f>
        <v/>
      </c>
      <c r="G21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15))),"")</f>
        <v/>
      </c>
      <c r="H21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15))),"")</f>
        <v/>
      </c>
      <c r="I21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15))),"")</f>
        <v/>
      </c>
      <c r="J21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15))),"")</f>
        <v/>
      </c>
      <c r="K21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15))),"")</f>
        <v/>
      </c>
      <c r="L21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15))),"")</f>
        <v/>
      </c>
      <c r="M21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15))),"")</f>
        <v/>
      </c>
      <c r="N21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15))),"")</f>
        <v/>
      </c>
      <c r="O21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15))),"")</f>
        <v/>
      </c>
      <c r="P21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15))),"")</f>
        <v/>
      </c>
      <c r="Q21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15))),"")</f>
        <v/>
      </c>
      <c r="R21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15))),"")</f>
        <v/>
      </c>
      <c r="S21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15))),"")</f>
        <v/>
      </c>
      <c r="T21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15))),"")</f>
        <v/>
      </c>
      <c r="U21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15))),"")</f>
        <v/>
      </c>
      <c r="V21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15))),"")</f>
        <v/>
      </c>
      <c r="W21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15))),"")</f>
        <v/>
      </c>
      <c r="X21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15))),"")</f>
        <v/>
      </c>
      <c r="Y21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15))),"")</f>
        <v/>
      </c>
      <c r="Z21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15))),"")</f>
        <v/>
      </c>
      <c r="AA21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15))),"")</f>
        <v/>
      </c>
      <c r="AB21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15))),"")</f>
        <v/>
      </c>
      <c r="AC21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15))),"")</f>
        <v/>
      </c>
      <c r="AD21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15))),"")</f>
        <v/>
      </c>
      <c r="AE21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15))),"")</f>
        <v/>
      </c>
      <c r="AF21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15))),"")</f>
        <v/>
      </c>
      <c r="AG21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15))),"")</f>
        <v/>
      </c>
      <c r="AH21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15))),"")</f>
        <v/>
      </c>
      <c r="AI21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IFERROR(INDEX(#REF!,_xlfn.AGGREGATE(15,6,(ROW(#REF!)-ROW(#REF!))/(Таблица1[[мес]:[мес]]=$J$5)/(Таблица1[[год]:[год]]=$L$5)/(Таблица1[[изд]:[изд]]=$N$1:$T$1)/(Таблица1[[партия]:[партия]]=$W$1),ROW(AH15))),"")</f>
        <v/>
      </c>
      <c r="AJ21" s="139">
        <f t="shared" si="0"/>
        <v>0</v>
      </c>
    </row>
    <row r="22" spans="1:36" ht="33" customHeight="1">
      <c r="A22" s="148">
        <v>16</v>
      </c>
      <c r="B22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16))),"")</f>
        <v/>
      </c>
      <c r="C22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О.]]))/(Таблица1[[мес]:[мес]]=$J$5)/(Таблица1[[год]:[год]]=$L$5)/(Таблица1[[изд]:[изд]]=$N$1)/(Таблица1[[партия]:[партия]]=$W$1),ROW(B16))),"")</f>
        <v/>
      </c>
      <c r="D22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16))),"")</f>
        <v/>
      </c>
      <c r="E22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16))),"")</f>
        <v/>
      </c>
      <c r="F22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16))),"")</f>
        <v/>
      </c>
      <c r="G22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16))),"")</f>
        <v/>
      </c>
      <c r="H22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16))),"")</f>
        <v/>
      </c>
      <c r="I22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16))),"")</f>
        <v/>
      </c>
      <c r="J22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16))),"")</f>
        <v/>
      </c>
      <c r="K22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16))),"")</f>
        <v/>
      </c>
      <c r="L22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16))),"")</f>
        <v/>
      </c>
      <c r="M22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16))),"")</f>
        <v/>
      </c>
      <c r="N22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16))),"")</f>
        <v/>
      </c>
      <c r="O22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16))),"")</f>
        <v/>
      </c>
      <c r="P22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16))),"")</f>
        <v/>
      </c>
      <c r="Q22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16))),"")</f>
        <v/>
      </c>
      <c r="R22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16))),"")</f>
        <v/>
      </c>
      <c r="S22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16))),"")</f>
        <v/>
      </c>
      <c r="T22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16))),"")</f>
        <v/>
      </c>
      <c r="U22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16))),"")</f>
        <v/>
      </c>
      <c r="V22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16))),"")</f>
        <v/>
      </c>
      <c r="W22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16))),"")</f>
        <v/>
      </c>
      <c r="X22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16))),"")</f>
        <v/>
      </c>
      <c r="Y22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16))),"")</f>
        <v/>
      </c>
      <c r="Z22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16))),"")</f>
        <v/>
      </c>
      <c r="AA22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16))),"")</f>
        <v/>
      </c>
      <c r="AB22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16))),"")</f>
        <v/>
      </c>
      <c r="AC22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16))),"")</f>
        <v/>
      </c>
      <c r="AD22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16))),"")</f>
        <v/>
      </c>
      <c r="AE22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16))),"")</f>
        <v/>
      </c>
      <c r="AF22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16))),"")</f>
        <v/>
      </c>
      <c r="AG22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16))),"")</f>
        <v/>
      </c>
      <c r="AH22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16))),"")</f>
        <v/>
      </c>
      <c r="AI22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IFERROR(INDEX(#REF!,_xlfn.AGGREGATE(15,6,(ROW(#REF!)-ROW(#REF!))/(Таблица1[[мес]:[мес]]=$J$5)/(Таблица1[[год]:[год]]=$L$5)/(Таблица1[[изд]:[изд]]=$N$1:$T$1)/(Таблица1[[партия]:[партия]]=$W$1),ROW(AH16))),"")</f>
        <v/>
      </c>
      <c r="AJ22" s="139">
        <f t="shared" si="0"/>
        <v>0</v>
      </c>
    </row>
    <row r="23" spans="1:36" ht="33" customHeight="1">
      <c r="A23" s="148">
        <v>17</v>
      </c>
      <c r="B23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17))),"")</f>
        <v/>
      </c>
      <c r="C23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О.]]))/(Таблица1[[мес]:[мес]]=$J$5)/(Таблица1[[год]:[год]]=$L$5)/(Таблица1[[изд]:[изд]]=$N$1)/(Таблица1[[партия]:[партия]]=$W$1),ROW(B17))),"")</f>
        <v/>
      </c>
      <c r="D23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17))),"")</f>
        <v/>
      </c>
      <c r="E23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17))),"")</f>
        <v/>
      </c>
      <c r="F23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17))),"")</f>
        <v/>
      </c>
      <c r="G23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17))),"")</f>
        <v/>
      </c>
      <c r="H23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17))),"")</f>
        <v/>
      </c>
      <c r="I23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17))),"")</f>
        <v/>
      </c>
      <c r="J23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17))),"")</f>
        <v/>
      </c>
      <c r="K23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17))),"")</f>
        <v/>
      </c>
      <c r="L23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17))),"")</f>
        <v/>
      </c>
      <c r="M23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17))),"")</f>
        <v/>
      </c>
      <c r="N23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17))),"")</f>
        <v/>
      </c>
      <c r="O23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17))),"")</f>
        <v/>
      </c>
      <c r="P23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17))),"")</f>
        <v/>
      </c>
      <c r="Q23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17))),"")</f>
        <v/>
      </c>
      <c r="R23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17))),"")</f>
        <v/>
      </c>
      <c r="S23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17))),"")</f>
        <v/>
      </c>
      <c r="T23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17))),"")</f>
        <v/>
      </c>
      <c r="U23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17))),"")</f>
        <v/>
      </c>
      <c r="V23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17))),"")</f>
        <v/>
      </c>
      <c r="W23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17))),"")</f>
        <v/>
      </c>
      <c r="X23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17))),"")</f>
        <v/>
      </c>
      <c r="Y23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17))),"")</f>
        <v/>
      </c>
      <c r="Z23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17))),"")</f>
        <v/>
      </c>
      <c r="AA23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17))),"")</f>
        <v/>
      </c>
      <c r="AB23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17))),"")</f>
        <v/>
      </c>
      <c r="AC23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17))),"")</f>
        <v/>
      </c>
      <c r="AD23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17))),"")</f>
        <v/>
      </c>
      <c r="AE23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17))),"")</f>
        <v/>
      </c>
      <c r="AF23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17))),"")</f>
        <v/>
      </c>
      <c r="AG23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17))),"")</f>
        <v/>
      </c>
      <c r="AH23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17))),"")</f>
        <v/>
      </c>
      <c r="AI23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IFERROR(INDEX(#REF!,_xlfn.AGGREGATE(15,6,(ROW(#REF!)-ROW(#REF!))/(Таблица1[[мес]:[мес]]=$J$5)/(Таблица1[[год]:[год]]=$L$5)/(Таблица1[[изд]:[изд]]=$N$1:$T$1)/(Таблица1[[партия]:[партия]]=$W$1),ROW(AH17))),"")</f>
        <v/>
      </c>
      <c r="AJ23" s="139">
        <f t="shared" si="0"/>
        <v>0</v>
      </c>
    </row>
    <row r="24" spans="1:36" ht="28.5" customHeight="1">
      <c r="A24" s="148">
        <v>18</v>
      </c>
      <c r="B24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18))),"")</f>
        <v/>
      </c>
      <c r="C24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О.]]))/(Таблица1[[мес]:[мес]]=$J$5)/(Таблица1[[год]:[год]]=$L$5)/(Таблица1[[изд]:[изд]]=$N$1)/(Таблица1[[партия]:[партия]]=$W$1),ROW(B18))),"")</f>
        <v/>
      </c>
      <c r="D24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18))),"")</f>
        <v/>
      </c>
      <c r="E24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18))),"")</f>
        <v/>
      </c>
      <c r="F24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18))),"")</f>
        <v/>
      </c>
      <c r="G24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18))),"")</f>
        <v/>
      </c>
      <c r="H24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18))),"")</f>
        <v/>
      </c>
      <c r="I24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18))),"")</f>
        <v/>
      </c>
      <c r="J24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18))),"")</f>
        <v/>
      </c>
      <c r="K24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18))),"")</f>
        <v/>
      </c>
      <c r="L24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18))),"")</f>
        <v/>
      </c>
      <c r="M24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18))),"")</f>
        <v/>
      </c>
      <c r="N24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18))),"")</f>
        <v/>
      </c>
      <c r="O24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18))),"")</f>
        <v/>
      </c>
      <c r="P24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18))),"")</f>
        <v/>
      </c>
      <c r="Q24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18))),"")</f>
        <v/>
      </c>
      <c r="R24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18))),"")</f>
        <v/>
      </c>
      <c r="S24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18))),"")</f>
        <v/>
      </c>
      <c r="T24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18))),"")</f>
        <v/>
      </c>
      <c r="U24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18))),"")</f>
        <v/>
      </c>
      <c r="V24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18))),"")</f>
        <v/>
      </c>
      <c r="W24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18))),"")</f>
        <v/>
      </c>
      <c r="X24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18))),"")</f>
        <v/>
      </c>
      <c r="Y24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18))),"")</f>
        <v/>
      </c>
      <c r="Z24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18))),"")</f>
        <v/>
      </c>
      <c r="AA24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18))),"")</f>
        <v/>
      </c>
      <c r="AB24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18))),"")</f>
        <v/>
      </c>
      <c r="AC24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18))),"")</f>
        <v/>
      </c>
      <c r="AD24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18))),"")</f>
        <v/>
      </c>
      <c r="AE24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18))),"")</f>
        <v/>
      </c>
      <c r="AF24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18))),"")</f>
        <v/>
      </c>
      <c r="AG24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18))),"")</f>
        <v/>
      </c>
      <c r="AH24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18))),"")</f>
        <v/>
      </c>
      <c r="AI24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IFERROR(INDEX(#REF!,_xlfn.AGGREGATE(15,6,(ROW(#REF!)-ROW(#REF!))/(Таблица1[[мес]:[мес]]=$J$5)/(Таблица1[[год]:[год]]=$L$5)/(Таблица1[[изд]:[изд]]=$N$1:$T$1)/(Таблица1[[партия]:[партия]]=$W$1),ROW(AH18))),"")</f>
        <v/>
      </c>
      <c r="AJ24" s="139">
        <f t="shared" si="0"/>
        <v>0</v>
      </c>
    </row>
    <row r="25" spans="1:36" ht="25.5" customHeight="1">
      <c r="A25" s="148">
        <v>19</v>
      </c>
      <c r="B25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19))),"")</f>
        <v/>
      </c>
      <c r="C25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О.]]))/(Таблица1[[мес]:[мес]]=$J$5)/(Таблица1[[год]:[год]]=$L$5)/(Таблица1[[изд]:[изд]]=$N$1)/(Таблица1[[партия]:[партия]]=$W$1),ROW(B19))),"")</f>
        <v/>
      </c>
      <c r="D25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19))),"")</f>
        <v/>
      </c>
      <c r="E25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19))),"")</f>
        <v/>
      </c>
      <c r="F25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19))),"")</f>
        <v/>
      </c>
      <c r="G25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19))),"")</f>
        <v/>
      </c>
      <c r="H25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19))),"")</f>
        <v/>
      </c>
      <c r="I25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19))),"")</f>
        <v/>
      </c>
      <c r="J25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19))),"")</f>
        <v/>
      </c>
      <c r="K25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19))),"")</f>
        <v/>
      </c>
      <c r="L25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19))),"")</f>
        <v/>
      </c>
      <c r="M25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19))),"")</f>
        <v/>
      </c>
      <c r="N25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19))),"")</f>
        <v/>
      </c>
      <c r="O25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19))),"")</f>
        <v/>
      </c>
      <c r="P25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19))),"")</f>
        <v/>
      </c>
      <c r="Q25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19))),"")</f>
        <v/>
      </c>
      <c r="R25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19))),"")</f>
        <v/>
      </c>
      <c r="S25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19))),"")</f>
        <v/>
      </c>
      <c r="T25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19))),"")</f>
        <v/>
      </c>
      <c r="U25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19))),"")</f>
        <v/>
      </c>
      <c r="V25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19))),"")</f>
        <v/>
      </c>
      <c r="W25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19))),"")</f>
        <v/>
      </c>
      <c r="X25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19))),"")</f>
        <v/>
      </c>
      <c r="Y25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19))),"")</f>
        <v/>
      </c>
      <c r="Z25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19))),"")</f>
        <v/>
      </c>
      <c r="AA25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19))),"")</f>
        <v/>
      </c>
      <c r="AB25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19))),"")</f>
        <v/>
      </c>
      <c r="AC25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19))),"")</f>
        <v/>
      </c>
      <c r="AD25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19))),"")</f>
        <v/>
      </c>
      <c r="AE25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19))),"")</f>
        <v/>
      </c>
      <c r="AF25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19))),"")</f>
        <v/>
      </c>
      <c r="AG25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19))),"")</f>
        <v/>
      </c>
      <c r="AH25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19))),"")</f>
        <v/>
      </c>
      <c r="AI25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IFERROR(INDEX(#REF!,_xlfn.AGGREGATE(15,6,(ROW(#REF!)-ROW(#REF!))/(Таблица1[[мес]:[мес]]=$J$5)/(Таблица1[[год]:[год]]=$L$5)/(Таблица1[[изд]:[изд]]=$N$1:$T$1)/(Таблица1[[партия]:[партия]]=$W$1),ROW(AH19))),"")</f>
        <v/>
      </c>
      <c r="AJ25" s="139">
        <f>SUM(E25:AI25)</f>
        <v>0</v>
      </c>
    </row>
    <row r="26" spans="1:36" ht="25.5" customHeight="1">
      <c r="A26" s="148">
        <v>20</v>
      </c>
      <c r="B26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20))),"")</f>
        <v/>
      </c>
      <c r="C26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О.]]))/(Таблица1[[мес]:[мес]]=$J$5)/(Таблица1[[год]:[год]]=$L$5)/(Таблица1[[изд]:[изд]]=$N$1)/(Таблица1[[партия]:[партия]]=$W$1),ROW(B20))),"")</f>
        <v/>
      </c>
      <c r="D26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20))),"")</f>
        <v/>
      </c>
      <c r="E26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20))),"")</f>
        <v/>
      </c>
      <c r="F26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20))),"")</f>
        <v/>
      </c>
      <c r="G26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20))),"")</f>
        <v/>
      </c>
      <c r="H26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20))),"")</f>
        <v/>
      </c>
      <c r="I26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20))),"")</f>
        <v/>
      </c>
      <c r="J26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20))),"")</f>
        <v/>
      </c>
      <c r="K26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20))),"")</f>
        <v/>
      </c>
      <c r="L26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20))),"")</f>
        <v/>
      </c>
      <c r="M26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20))),"")</f>
        <v/>
      </c>
      <c r="N26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20))),"")</f>
        <v/>
      </c>
      <c r="O26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20))),"")</f>
        <v/>
      </c>
      <c r="P26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20))),"")</f>
        <v/>
      </c>
      <c r="Q26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20))),"")</f>
        <v/>
      </c>
      <c r="R26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20))),"")</f>
        <v/>
      </c>
      <c r="S26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20))),"")</f>
        <v/>
      </c>
      <c r="T26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20))),"")</f>
        <v/>
      </c>
      <c r="U26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20))),"")</f>
        <v/>
      </c>
      <c r="V26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20))),"")</f>
        <v/>
      </c>
      <c r="W26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20))),"")</f>
        <v/>
      </c>
      <c r="X26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20))),"")</f>
        <v/>
      </c>
      <c r="Y26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20))),"")</f>
        <v/>
      </c>
      <c r="Z26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20))),"")</f>
        <v/>
      </c>
      <c r="AA26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20))),"")</f>
        <v/>
      </c>
      <c r="AB26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20))),"")</f>
        <v/>
      </c>
      <c r="AC26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20))),"")</f>
        <v/>
      </c>
      <c r="AD26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20))),"")</f>
        <v/>
      </c>
      <c r="AE26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20))),"")</f>
        <v/>
      </c>
      <c r="AF26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20))),"")</f>
        <v/>
      </c>
      <c r="AG26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20))),"")</f>
        <v/>
      </c>
      <c r="AH26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20))),"")</f>
        <v/>
      </c>
      <c r="AI26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IFERROR(INDEX(#REF!,_xlfn.AGGREGATE(15,6,(ROW(#REF!)-ROW(#REF!))/(Таблица1[[мес]:[мес]]=$J$5)/(Таблица1[[год]:[год]]=$L$5)/(Таблица1[[изд]:[изд]]=$N$1:$T$1)/(Таблица1[[партия]:[партия]]=$W$1),ROW(AH20))),"")</f>
        <v/>
      </c>
      <c r="AJ26" s="139">
        <f t="shared" ref="AJ26:AJ33" si="1">SUM(E26:AI26)</f>
        <v>0</v>
      </c>
    </row>
    <row r="27" spans="1:36" ht="25.5" hidden="1" customHeight="1">
      <c r="A27" s="148">
        <v>21</v>
      </c>
      <c r="B27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21))),"")</f>
        <v/>
      </c>
      <c r="C27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О.]]))/(Таблица1[[мес]:[мес]]=$J$5)/(Таблица1[[год]:[год]]=$L$5)/(Таблица1[[изд]:[изд]]=$N$1)/(Таблица1[[партия]:[партия]]=$W$1),ROW(B21))),"")</f>
        <v/>
      </c>
      <c r="D27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21))),"")</f>
        <v/>
      </c>
      <c r="E27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21))),"")</f>
        <v/>
      </c>
      <c r="F27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21))),"")</f>
        <v/>
      </c>
      <c r="G27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21))),"")</f>
        <v/>
      </c>
      <c r="H27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21))),"")</f>
        <v/>
      </c>
      <c r="I27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21))),"")</f>
        <v/>
      </c>
      <c r="J27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21))),"")</f>
        <v/>
      </c>
      <c r="K27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21))),"")</f>
        <v/>
      </c>
      <c r="L27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21))),"")</f>
        <v/>
      </c>
      <c r="M27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21))),"")</f>
        <v/>
      </c>
      <c r="N27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21))),"")</f>
        <v/>
      </c>
      <c r="O27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21))),"")</f>
        <v/>
      </c>
      <c r="P27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21))),"")</f>
        <v/>
      </c>
      <c r="Q27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21))),"")</f>
        <v/>
      </c>
      <c r="R27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21))),"")</f>
        <v/>
      </c>
      <c r="S27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21))),"")</f>
        <v/>
      </c>
      <c r="T27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21))),"")</f>
        <v/>
      </c>
      <c r="U27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21))),"")</f>
        <v/>
      </c>
      <c r="V27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21))),"")</f>
        <v/>
      </c>
      <c r="W27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21))),"")</f>
        <v/>
      </c>
      <c r="X27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21))),"")</f>
        <v/>
      </c>
      <c r="Y27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21))),"")</f>
        <v/>
      </c>
      <c r="Z27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21))),"")</f>
        <v/>
      </c>
      <c r="AA27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21))),"")</f>
        <v/>
      </c>
      <c r="AB27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21))),"")</f>
        <v/>
      </c>
      <c r="AC27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21))),"")</f>
        <v/>
      </c>
      <c r="AD27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21))),"")</f>
        <v/>
      </c>
      <c r="AE27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21))),"")</f>
        <v/>
      </c>
      <c r="AF27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21))),"")</f>
        <v/>
      </c>
      <c r="AG27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21))),"")</f>
        <v/>
      </c>
      <c r="AH27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21))),"")</f>
        <v/>
      </c>
      <c r="AI27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IFERROR(INDEX(#REF!,_xlfn.AGGREGATE(15,6,(ROW(#REF!)-ROW(#REF!))/(Таблица1[[мес]:[мес]]=$J$5)/(Таблица1[[год]:[год]]=$L$5)/(Таблица1[[изд]:[изд]]=$N$1:$T$1)/(Таблица1[[партия]:[партия]]=$W$1),ROW(AH21))),"")</f>
        <v/>
      </c>
      <c r="AJ27" s="139">
        <f t="shared" si="1"/>
        <v>0</v>
      </c>
    </row>
    <row r="28" spans="1:36" ht="25.5" hidden="1" customHeight="1">
      <c r="A28" s="148">
        <v>22</v>
      </c>
      <c r="B28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22))),"")</f>
        <v/>
      </c>
      <c r="C28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О.]]))/(Таблица1[[мес]:[мес]]=$J$5)/(Таблица1[[год]:[год]]=$L$5)/(Таблица1[[изд]:[изд]]=$N$1)/(Таблица1[[партия]:[партия]]=$W$1),ROW(B22))),"")</f>
        <v/>
      </c>
      <c r="D28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22))),"")</f>
        <v/>
      </c>
      <c r="E28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22))),"")</f>
        <v/>
      </c>
      <c r="F28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22))),"")</f>
        <v/>
      </c>
      <c r="G28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22))),"")</f>
        <v/>
      </c>
      <c r="H28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22))),"")</f>
        <v/>
      </c>
      <c r="I28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22))),"")</f>
        <v/>
      </c>
      <c r="J28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22))),"")</f>
        <v/>
      </c>
      <c r="K28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22))),"")</f>
        <v/>
      </c>
      <c r="L28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22))),"")</f>
        <v/>
      </c>
      <c r="M28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22))),"")</f>
        <v/>
      </c>
      <c r="N28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22))),"")</f>
        <v/>
      </c>
      <c r="O28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22))),"")</f>
        <v/>
      </c>
      <c r="P28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22))),"")</f>
        <v/>
      </c>
      <c r="Q28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22))),"")</f>
        <v/>
      </c>
      <c r="R28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22))),"")</f>
        <v/>
      </c>
      <c r="S28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22))),"")</f>
        <v/>
      </c>
      <c r="T28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22))),"")</f>
        <v/>
      </c>
      <c r="U28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22))),"")</f>
        <v/>
      </c>
      <c r="V28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22))),"")</f>
        <v/>
      </c>
      <c r="W28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22))),"")</f>
        <v/>
      </c>
      <c r="X28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22))),"")</f>
        <v/>
      </c>
      <c r="Y28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22))),"")</f>
        <v/>
      </c>
      <c r="Z28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22))),"")</f>
        <v/>
      </c>
      <c r="AA28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22))),"")</f>
        <v/>
      </c>
      <c r="AB28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22))),"")</f>
        <v/>
      </c>
      <c r="AC28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22))),"")</f>
        <v/>
      </c>
      <c r="AD28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22))),"")</f>
        <v/>
      </c>
      <c r="AE28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22))),"")</f>
        <v/>
      </c>
      <c r="AF28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22))),"")</f>
        <v/>
      </c>
      <c r="AG28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22))),"")</f>
        <v/>
      </c>
      <c r="AH28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22))),"")</f>
        <v/>
      </c>
      <c r="AI28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IFERROR(INDEX(#REF!,_xlfn.AGGREGATE(15,6,(ROW(#REF!)-ROW(#REF!))/(Таблица1[[мес]:[мес]]=$J$5)/(Таблица1[[год]:[год]]=$L$5)/(Таблица1[[изд]:[изд]]=$N$1:$T$1)/(Таблица1[[партия]:[партия]]=$W$1),ROW(AH22))),"")</f>
        <v/>
      </c>
      <c r="AJ28" s="139">
        <f t="shared" si="1"/>
        <v>0</v>
      </c>
    </row>
    <row r="29" spans="1:36" ht="25.5" hidden="1" customHeight="1">
      <c r="A29" s="148">
        <v>23</v>
      </c>
      <c r="B29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23))),"")</f>
        <v/>
      </c>
      <c r="C29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О.]]))/(Таблица1[[мес]:[мес]]=$J$5)/(Таблица1[[год]:[год]]=$L$5)/(Таблица1[[изд]:[изд]]=$N$1)/(Таблица1[[партия]:[партия]]=$W$1),ROW(B23))),"")</f>
        <v/>
      </c>
      <c r="D29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23))),"")</f>
        <v/>
      </c>
      <c r="E29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23))),"")</f>
        <v/>
      </c>
      <c r="F29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23))),"")</f>
        <v/>
      </c>
      <c r="G29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23))),"")</f>
        <v/>
      </c>
      <c r="H29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23))),"")</f>
        <v/>
      </c>
      <c r="I29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23))),"")</f>
        <v/>
      </c>
      <c r="J29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23))),"")</f>
        <v/>
      </c>
      <c r="K29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23))),"")</f>
        <v/>
      </c>
      <c r="L29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23))),"")</f>
        <v/>
      </c>
      <c r="M29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23))),"")</f>
        <v/>
      </c>
      <c r="N29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23))),"")</f>
        <v/>
      </c>
      <c r="O29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23))),"")</f>
        <v/>
      </c>
      <c r="P29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23))),"")</f>
        <v/>
      </c>
      <c r="Q29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23))),"")</f>
        <v/>
      </c>
      <c r="R29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23))),"")</f>
        <v/>
      </c>
      <c r="S29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23))),"")</f>
        <v/>
      </c>
      <c r="T29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23))),"")</f>
        <v/>
      </c>
      <c r="U29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23))),"")</f>
        <v/>
      </c>
      <c r="V29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23))),"")</f>
        <v/>
      </c>
      <c r="W29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23))),"")</f>
        <v/>
      </c>
      <c r="X29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23))),"")</f>
        <v/>
      </c>
      <c r="Y29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23))),"")</f>
        <v/>
      </c>
      <c r="Z29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23))),"")</f>
        <v/>
      </c>
      <c r="AA29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23))),"")</f>
        <v/>
      </c>
      <c r="AB29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23))),"")</f>
        <v/>
      </c>
      <c r="AC29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23))),"")</f>
        <v/>
      </c>
      <c r="AD29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23))),"")</f>
        <v/>
      </c>
      <c r="AE29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23))),"")</f>
        <v/>
      </c>
      <c r="AF29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23))),"")</f>
        <v/>
      </c>
      <c r="AG29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23))),"")</f>
        <v/>
      </c>
      <c r="AH29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23))),"")</f>
        <v/>
      </c>
      <c r="AI29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IFERROR(INDEX(#REF!,_xlfn.AGGREGATE(15,6,(ROW(#REF!)-ROW(#REF!))/(Таблица1[[мес]:[мес]]=$J$5)/(Таблица1[[год]:[год]]=$L$5)/(Таблица1[[изд]:[изд]]=$N$1:$T$1)/(Таблица1[[партия]:[партия]]=$W$1),ROW(AH23))),"")</f>
        <v/>
      </c>
      <c r="AJ29" s="139">
        <f t="shared" si="1"/>
        <v>0</v>
      </c>
    </row>
    <row r="30" spans="1:36" ht="25.5" hidden="1" customHeight="1">
      <c r="A30" s="148">
        <v>24</v>
      </c>
      <c r="B30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24))),"")</f>
        <v/>
      </c>
      <c r="C30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О.]]))/(Таблица1[[мес]:[мес]]=$J$5)/(Таблица1[[год]:[год]]=$L$5)/(Таблица1[[изд]:[изд]]=$N$1)/(Таблица1[[партия]:[партия]]=$W$1),ROW(B24))),"")</f>
        <v/>
      </c>
      <c r="D30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24))),"")</f>
        <v/>
      </c>
      <c r="E30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24))),"")</f>
        <v/>
      </c>
      <c r="F30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24))),"")</f>
        <v/>
      </c>
      <c r="G30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24))),"")</f>
        <v/>
      </c>
      <c r="H30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24))),"")</f>
        <v/>
      </c>
      <c r="I30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24))),"")</f>
        <v/>
      </c>
      <c r="J30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24))),"")</f>
        <v/>
      </c>
      <c r="K30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24))),"")</f>
        <v/>
      </c>
      <c r="L30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24))),"")</f>
        <v/>
      </c>
      <c r="M30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24))),"")</f>
        <v/>
      </c>
      <c r="N30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24))),"")</f>
        <v/>
      </c>
      <c r="O30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24))),"")</f>
        <v/>
      </c>
      <c r="P30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24))),"")</f>
        <v/>
      </c>
      <c r="Q30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24))),"")</f>
        <v/>
      </c>
      <c r="R30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24))),"")</f>
        <v/>
      </c>
      <c r="S30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24))),"")</f>
        <v/>
      </c>
      <c r="T30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24))),"")</f>
        <v/>
      </c>
      <c r="U30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24))),"")</f>
        <v/>
      </c>
      <c r="V30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24))),"")</f>
        <v/>
      </c>
      <c r="W30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24))),"")</f>
        <v/>
      </c>
      <c r="X30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24))),"")</f>
        <v/>
      </c>
      <c r="Y30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24))),"")</f>
        <v/>
      </c>
      <c r="Z30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24))),"")</f>
        <v/>
      </c>
      <c r="AA30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24))),"")</f>
        <v/>
      </c>
      <c r="AB30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24))),"")</f>
        <v/>
      </c>
      <c r="AC30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24))),"")</f>
        <v/>
      </c>
      <c r="AD30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24))),"")</f>
        <v/>
      </c>
      <c r="AE30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24))),"")</f>
        <v/>
      </c>
      <c r="AF30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24))),"")</f>
        <v/>
      </c>
      <c r="AG30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24))),"")</f>
        <v/>
      </c>
      <c r="AH30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24))),"")</f>
        <v/>
      </c>
      <c r="AI30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IFERROR(INDEX(#REF!,_xlfn.AGGREGATE(15,6,(ROW(#REF!)-ROW(#REF!))/(Таблица1[[мес]:[мес]]=$J$5)/(Таблица1[[год]:[год]]=$L$5)/(Таблица1[[изд]:[изд]]=$N$1:$T$1)/(Таблица1[[партия]:[партия]]=$W$1),ROW(AH24))),"")</f>
        <v/>
      </c>
      <c r="AJ30" s="139">
        <f t="shared" si="1"/>
        <v>0</v>
      </c>
    </row>
    <row r="31" spans="1:36" ht="25.5" hidden="1" customHeight="1">
      <c r="A31" s="148">
        <v>25</v>
      </c>
      <c r="B31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25))),"")</f>
        <v/>
      </c>
      <c r="C31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О.]]))/(Таблица1[[мес]:[мес]]=$J$5)/(Таблица1[[год]:[год]]=$L$5)/(Таблица1[[изд]:[изд]]=$N$1)/(Таблица1[[партия]:[партия]]=$W$1),ROW(B25))),"")</f>
        <v/>
      </c>
      <c r="D31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25))),"")</f>
        <v/>
      </c>
      <c r="E31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25))),"")</f>
        <v/>
      </c>
      <c r="F31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25))),"")</f>
        <v/>
      </c>
      <c r="G31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25))),"")</f>
        <v/>
      </c>
      <c r="H31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25))),"")</f>
        <v/>
      </c>
      <c r="I31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25))),"")</f>
        <v/>
      </c>
      <c r="J31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25))),"")</f>
        <v/>
      </c>
      <c r="K31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25))),"")</f>
        <v/>
      </c>
      <c r="L31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25))),"")</f>
        <v/>
      </c>
      <c r="M31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25))),"")</f>
        <v/>
      </c>
      <c r="N31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25))),"")</f>
        <v/>
      </c>
      <c r="O31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25))),"")</f>
        <v/>
      </c>
      <c r="P31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25))),"")</f>
        <v/>
      </c>
      <c r="Q31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25))),"")</f>
        <v/>
      </c>
      <c r="R31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25))),"")</f>
        <v/>
      </c>
      <c r="S31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25))),"")</f>
        <v/>
      </c>
      <c r="T31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25))),"")</f>
        <v/>
      </c>
      <c r="U31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25))),"")</f>
        <v/>
      </c>
      <c r="V31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25))),"")</f>
        <v/>
      </c>
      <c r="W31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25))),"")</f>
        <v/>
      </c>
      <c r="X31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25))),"")</f>
        <v/>
      </c>
      <c r="Y31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25))),"")</f>
        <v/>
      </c>
      <c r="Z31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25))),"")</f>
        <v/>
      </c>
      <c r="AA31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25))),"")</f>
        <v/>
      </c>
      <c r="AB31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25))),"")</f>
        <v/>
      </c>
      <c r="AC31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25))),"")</f>
        <v/>
      </c>
      <c r="AD31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25))),"")</f>
        <v/>
      </c>
      <c r="AE31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25))),"")</f>
        <v/>
      </c>
      <c r="AF31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25))),"")</f>
        <v/>
      </c>
      <c r="AG31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25))),"")</f>
        <v/>
      </c>
      <c r="AH31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25))),"")</f>
        <v/>
      </c>
      <c r="AI31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IFERROR(INDEX(#REF!,_xlfn.AGGREGATE(15,6,(ROW(#REF!)-ROW(#REF!))/(Таблица1[[мес]:[мес]]=$J$5)/(Таблица1[[год]:[год]]=$L$5)/(Таблица1[[изд]:[изд]]=$N$1:$T$1)/(Таблица1[[партия]:[партия]]=$W$1),ROW(AH25))),"")</f>
        <v/>
      </c>
      <c r="AJ31" s="139">
        <f t="shared" si="1"/>
        <v>0</v>
      </c>
    </row>
    <row r="32" spans="1:36" ht="25.5" hidden="1" customHeight="1">
      <c r="A32" s="148">
        <v>26</v>
      </c>
      <c r="B32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26))),"")</f>
        <v/>
      </c>
      <c r="C32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О.]]))/(Таблица1[[мес]:[мес]]=$J$5)/(Таблица1[[год]:[год]]=$L$5)/(Таблица1[[изд]:[изд]]=$N$1)/(Таблица1[[партия]:[партия]]=$W$1),ROW(B26))),"")</f>
        <v/>
      </c>
      <c r="D32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26))),"")</f>
        <v/>
      </c>
      <c r="E32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26))),"")</f>
        <v/>
      </c>
      <c r="F32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26))),"")</f>
        <v/>
      </c>
      <c r="G32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26))),"")</f>
        <v/>
      </c>
      <c r="H32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26))),"")</f>
        <v/>
      </c>
      <c r="I32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26))),"")</f>
        <v/>
      </c>
      <c r="J32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26))),"")</f>
        <v/>
      </c>
      <c r="K32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26))),"")</f>
        <v/>
      </c>
      <c r="L32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26))),"")</f>
        <v/>
      </c>
      <c r="M32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26))),"")</f>
        <v/>
      </c>
      <c r="N32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26))),"")</f>
        <v/>
      </c>
      <c r="O32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26))),"")</f>
        <v/>
      </c>
      <c r="P32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26))),"")</f>
        <v/>
      </c>
      <c r="Q32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26))),"")</f>
        <v/>
      </c>
      <c r="R32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26))),"")</f>
        <v/>
      </c>
      <c r="S32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26))),"")</f>
        <v/>
      </c>
      <c r="T32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26))),"")</f>
        <v/>
      </c>
      <c r="U32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26))),"")</f>
        <v/>
      </c>
      <c r="V32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26))),"")</f>
        <v/>
      </c>
      <c r="W32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26))),"")</f>
        <v/>
      </c>
      <c r="X32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26))),"")</f>
        <v/>
      </c>
      <c r="Y32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26))),"")</f>
        <v/>
      </c>
      <c r="Z32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26))),"")</f>
        <v/>
      </c>
      <c r="AA32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26))),"")</f>
        <v/>
      </c>
      <c r="AB32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26))),"")</f>
        <v/>
      </c>
      <c r="AC32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26))),"")</f>
        <v/>
      </c>
      <c r="AD32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26))),"")</f>
        <v/>
      </c>
      <c r="AE32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26))),"")</f>
        <v/>
      </c>
      <c r="AF32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26))),"")</f>
        <v/>
      </c>
      <c r="AG32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26))),"")</f>
        <v/>
      </c>
      <c r="AH32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26))),"")</f>
        <v/>
      </c>
      <c r="AI32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IFERROR(INDEX(#REF!,_xlfn.AGGREGATE(15,6,(ROW(#REF!)-ROW(#REF!))/(Таблица1[[мес]:[мес]]=$J$5)/(Таблица1[[год]:[год]]=$L$5)/(Таблица1[[изд]:[изд]]=$N$1:$T$1)/(Таблица1[[партия]:[партия]]=$W$1),ROW(AH26))),"")</f>
        <v/>
      </c>
      <c r="AJ32" s="139">
        <f t="shared" si="1"/>
        <v>0</v>
      </c>
    </row>
    <row r="33" spans="1:41" ht="25.5" customHeight="1">
      <c r="A33" s="148"/>
      <c r="B33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27))),"")</f>
        <v/>
      </c>
      <c r="C33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О.]]))/(Таблица1[[мес]:[мес]]=$J$5)/(Таблица1[[год]:[год]]=$L$5)/(Таблица1[[изд]:[изд]]=$N$1)/(Таблица1[[партия]:[партия]]=$W$1),ROW(B27))),"")</f>
        <v/>
      </c>
      <c r="D33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27))),"")</f>
        <v/>
      </c>
      <c r="E33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27))),"")</f>
        <v/>
      </c>
      <c r="F33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27))),"")</f>
        <v/>
      </c>
      <c r="G33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27))),"")</f>
        <v/>
      </c>
      <c r="H33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27))),"")</f>
        <v/>
      </c>
      <c r="I33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27))),"")</f>
        <v/>
      </c>
      <c r="J33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27))),"")</f>
        <v/>
      </c>
      <c r="K33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27))),"")</f>
        <v/>
      </c>
      <c r="L33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27))),"")</f>
        <v/>
      </c>
      <c r="M33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27))),"")</f>
        <v/>
      </c>
      <c r="N33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27))),"")</f>
        <v/>
      </c>
      <c r="O33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27))),"")</f>
        <v/>
      </c>
      <c r="P33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27))),"")</f>
        <v/>
      </c>
      <c r="Q33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27))),"")</f>
        <v/>
      </c>
      <c r="R33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27))),"")</f>
        <v/>
      </c>
      <c r="S33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27))),"")</f>
        <v/>
      </c>
      <c r="T33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27))),"")</f>
        <v/>
      </c>
      <c r="U33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27))),"")</f>
        <v/>
      </c>
      <c r="V33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27))),"")</f>
        <v/>
      </c>
      <c r="W33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27))),"")</f>
        <v/>
      </c>
      <c r="X33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27))),"")</f>
        <v/>
      </c>
      <c r="Y33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27))),"")</f>
        <v/>
      </c>
      <c r="Z33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27))),"")</f>
        <v/>
      </c>
      <c r="AA33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27))),"")</f>
        <v/>
      </c>
      <c r="AB33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27))),"")</f>
        <v/>
      </c>
      <c r="AC33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27))),"")</f>
        <v/>
      </c>
      <c r="AD33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27))),"")</f>
        <v/>
      </c>
      <c r="AE33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27))),"")</f>
        <v/>
      </c>
      <c r="AF33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27))),"")</f>
        <v/>
      </c>
      <c r="AG33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27))),"")</f>
        <v/>
      </c>
      <c r="AH33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27))),"")</f>
        <v/>
      </c>
      <c r="AI33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IFERROR(INDEX(#REF!,_xlfn.AGGREGATE(15,6,(ROW(#REF!)-ROW(#REF!))/(Таблица1[[мес]:[мес]]=$J$5)/(Таблица1[[год]:[год]]=$L$5)/(Таблица1[[изд]:[изд]]=$N$1:$T$1)/(Таблица1[[партия]:[партия]]=$W$1),ROW(AH27))),"")</f>
        <v/>
      </c>
      <c r="AJ33" s="139">
        <f t="shared" si="1"/>
        <v>0</v>
      </c>
      <c r="AL33" s="873" t="s">
        <v>94</v>
      </c>
      <c r="AM33" s="873"/>
      <c r="AN33" s="873"/>
    </row>
    <row r="34" spans="1:41" ht="15" customHeight="1">
      <c r="A34" s="148"/>
      <c r="B34" s="36"/>
      <c r="C34" s="33" t="s">
        <v>63</v>
      </c>
      <c r="D34" s="36"/>
      <c r="E34" s="34">
        <f>SUM(E7:E33)</f>
        <v>0</v>
      </c>
      <c r="F34" s="34">
        <f t="shared" ref="F34:AI34" si="2">SUM(F7:F33)</f>
        <v>0</v>
      </c>
      <c r="G34" s="34">
        <f t="shared" si="2"/>
        <v>0</v>
      </c>
      <c r="H34" s="34">
        <f t="shared" si="2"/>
        <v>0</v>
      </c>
      <c r="I34" s="34">
        <f t="shared" si="2"/>
        <v>0</v>
      </c>
      <c r="J34" s="34">
        <f t="shared" si="2"/>
        <v>0</v>
      </c>
      <c r="K34" s="34">
        <f t="shared" si="2"/>
        <v>0</v>
      </c>
      <c r="L34" s="34">
        <f t="shared" si="2"/>
        <v>0</v>
      </c>
      <c r="M34" s="34">
        <f t="shared" si="2"/>
        <v>0</v>
      </c>
      <c r="N34" s="34">
        <f t="shared" si="2"/>
        <v>0</v>
      </c>
      <c r="O34" s="34">
        <f t="shared" si="2"/>
        <v>0</v>
      </c>
      <c r="P34" s="34">
        <f t="shared" si="2"/>
        <v>0</v>
      </c>
      <c r="Q34" s="34">
        <f t="shared" si="2"/>
        <v>0</v>
      </c>
      <c r="R34" s="34">
        <f t="shared" si="2"/>
        <v>0</v>
      </c>
      <c r="S34" s="34">
        <f t="shared" si="2"/>
        <v>0</v>
      </c>
      <c r="T34" s="34">
        <f t="shared" si="2"/>
        <v>0</v>
      </c>
      <c r="U34" s="34">
        <f t="shared" si="2"/>
        <v>0</v>
      </c>
      <c r="V34" s="34">
        <f t="shared" si="2"/>
        <v>0</v>
      </c>
      <c r="W34" s="34">
        <f t="shared" si="2"/>
        <v>0</v>
      </c>
      <c r="X34" s="34">
        <f t="shared" si="2"/>
        <v>0</v>
      </c>
      <c r="Y34" s="34">
        <f t="shared" si="2"/>
        <v>0</v>
      </c>
      <c r="Z34" s="34">
        <f t="shared" si="2"/>
        <v>0</v>
      </c>
      <c r="AA34" s="34">
        <f t="shared" si="2"/>
        <v>0</v>
      </c>
      <c r="AB34" s="34">
        <f t="shared" si="2"/>
        <v>0</v>
      </c>
      <c r="AC34" s="34">
        <f t="shared" si="2"/>
        <v>0</v>
      </c>
      <c r="AD34" s="34">
        <f t="shared" si="2"/>
        <v>0</v>
      </c>
      <c r="AE34" s="34">
        <f t="shared" si="2"/>
        <v>0</v>
      </c>
      <c r="AF34" s="34">
        <f t="shared" si="2"/>
        <v>0</v>
      </c>
      <c r="AG34" s="34">
        <f t="shared" si="2"/>
        <v>0</v>
      </c>
      <c r="AH34" s="34">
        <f t="shared" si="2"/>
        <v>0</v>
      </c>
      <c r="AI34" s="34">
        <f t="shared" si="2"/>
        <v>0</v>
      </c>
      <c r="AJ34" s="145">
        <f>SUM(E34:AI34)</f>
        <v>0</v>
      </c>
      <c r="AL34" s="872">
        <f>SUMIFS(Таблица1[Столбец2],Таблица1[партия],W1,Таблица1[изд],N1)</f>
        <v>0</v>
      </c>
      <c r="AM34" s="872"/>
      <c r="AN34" s="872"/>
      <c r="AO34" s="872"/>
    </row>
    <row r="35" spans="1:41" ht="9" customHeight="1">
      <c r="A35" s="148"/>
      <c r="B35" s="148"/>
      <c r="C35" s="149"/>
      <c r="D35" s="148"/>
      <c r="E35" s="148"/>
      <c r="F35" s="148"/>
      <c r="G35" s="148"/>
      <c r="H35" s="148"/>
      <c r="I35" s="148"/>
      <c r="J35" s="148"/>
      <c r="K35" s="148"/>
      <c r="L35" s="148"/>
      <c r="M35" s="148"/>
      <c r="N35" s="148"/>
      <c r="O35" s="148"/>
      <c r="P35" s="148"/>
      <c r="Q35" s="148"/>
      <c r="R35" s="148"/>
      <c r="S35" s="148"/>
      <c r="T35" s="148"/>
      <c r="U35" s="148"/>
      <c r="V35" s="148"/>
      <c r="W35" s="148"/>
      <c r="X35" s="148"/>
      <c r="Y35" s="148"/>
      <c r="Z35" s="148"/>
      <c r="AA35" s="148"/>
      <c r="AB35" s="148"/>
      <c r="AC35" s="148"/>
      <c r="AD35" s="148"/>
      <c r="AE35" s="148"/>
      <c r="AF35" s="148"/>
      <c r="AG35" s="148"/>
      <c r="AH35" s="148"/>
      <c r="AI35" s="148"/>
      <c r="AJ35" s="150"/>
      <c r="AL35" s="872"/>
      <c r="AM35" s="872"/>
      <c r="AN35" s="872"/>
      <c r="AO35" s="872"/>
    </row>
    <row r="36" spans="1:41" ht="17.25" customHeight="1">
      <c r="A36" s="148"/>
      <c r="B36" s="148"/>
      <c r="C36" s="296" t="s">
        <v>64</v>
      </c>
      <c r="D36" s="262"/>
      <c r="E36" s="262"/>
      <c r="F36" s="262"/>
      <c r="G36" s="295" t="str">
        <f>Data_Tech!$AU$7</f>
        <v>Кувшинов А.Г.</v>
      </c>
      <c r="H36" s="295"/>
      <c r="I36" s="261"/>
      <c r="J36" s="261"/>
      <c r="K36" s="148"/>
      <c r="L36" s="148"/>
      <c r="M36" s="148"/>
      <c r="N36" s="148"/>
      <c r="O36" s="148"/>
      <c r="P36" s="148"/>
      <c r="Q36" s="148"/>
      <c r="R36" s="260" t="s">
        <v>246</v>
      </c>
      <c r="S36" s="260"/>
      <c r="T36" s="260"/>
      <c r="U36" s="260"/>
      <c r="V36" s="259"/>
      <c r="W36" s="259"/>
      <c r="X36" s="259"/>
      <c r="Y36" s="259"/>
      <c r="Z36" s="259"/>
      <c r="AA36" s="260" t="s">
        <v>108</v>
      </c>
      <c r="AB36" s="260"/>
      <c r="AC36" s="62"/>
      <c r="AD36" s="62"/>
      <c r="AE36" s="148"/>
      <c r="AF36" s="148"/>
      <c r="AG36" s="148"/>
      <c r="AH36" s="148"/>
      <c r="AI36" s="148"/>
      <c r="AJ36" s="148"/>
      <c r="AL36" s="872"/>
      <c r="AM36" s="872"/>
      <c r="AN36" s="872"/>
      <c r="AO36" s="872"/>
    </row>
    <row r="37" spans="1:41" ht="15" customHeight="1">
      <c r="A37" s="148"/>
      <c r="B37" s="148"/>
      <c r="C37" s="149"/>
      <c r="D37" s="148"/>
      <c r="E37" s="148"/>
      <c r="F37" s="148"/>
      <c r="G37" s="148"/>
      <c r="H37" s="148"/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  <c r="AA37" s="221"/>
      <c r="AB37" s="148"/>
      <c r="AC37" s="148"/>
      <c r="AD37" s="148"/>
      <c r="AE37" s="148"/>
      <c r="AF37" s="148"/>
      <c r="AG37" s="148"/>
      <c r="AH37" s="148"/>
      <c r="AI37" s="148"/>
      <c r="AJ37" s="148"/>
      <c r="AL37" s="872"/>
      <c r="AM37" s="872"/>
      <c r="AN37" s="872"/>
      <c r="AO37" s="872"/>
    </row>
    <row r="38" spans="1:41" ht="20.25" customHeight="1">
      <c r="B38" s="62"/>
      <c r="C38" s="63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62"/>
    </row>
    <row r="39" spans="1:41" ht="18.75">
      <c r="AJ39" s="64"/>
    </row>
    <row r="40" spans="1:41" ht="18">
      <c r="C40" s="52"/>
      <c r="D40" s="53"/>
    </row>
    <row r="41" spans="1:41" ht="18">
      <c r="C41" s="52"/>
      <c r="D41" s="53"/>
    </row>
  </sheetData>
  <mergeCells count="11">
    <mergeCell ref="AL33:AN33"/>
    <mergeCell ref="AL34:AO37"/>
    <mergeCell ref="B1:I5"/>
    <mergeCell ref="N1:T1"/>
    <mergeCell ref="U1:V1"/>
    <mergeCell ref="W1:Y1"/>
    <mergeCell ref="AD2:AE2"/>
    <mergeCell ref="AD3:AE3"/>
    <mergeCell ref="AD4:AE4"/>
    <mergeCell ref="J5:K5"/>
    <mergeCell ref="L5:M5"/>
  </mergeCells>
  <pageMargins left="0.25" right="0.25" top="0.75" bottom="0.75" header="0.3" footer="0.3"/>
  <pageSetup paperSize="9" scale="57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O41"/>
  <sheetViews>
    <sheetView view="pageBreakPreview" zoomScale="60" zoomScaleNormal="50" workbookViewId="0">
      <selection activeCell="AO18" sqref="AO18"/>
    </sheetView>
  </sheetViews>
  <sheetFormatPr defaultRowHeight="15"/>
  <cols>
    <col min="1" max="1" customWidth="true" style="45" width="5.28515625"/>
    <col min="2" max="2" customWidth="true" style="45" width="7.5703125"/>
    <col min="3" max="3" customWidth="true" style="50" width="31.28515625"/>
    <col min="4" max="4" style="45" width="9.140625"/>
    <col min="5" max="35" customWidth="true" style="45" width="6.0"/>
    <col min="36" max="16384" style="45" width="9.140625"/>
  </cols>
  <sheetData>
    <row r="1" spans="1:36" s="32" customFormat="1" ht="29.25" customHeight="1">
      <c r="A1" s="151"/>
      <c r="B1" s="884" t="s">
        <v>75</v>
      </c>
      <c r="C1" s="884"/>
      <c r="D1" s="884"/>
      <c r="E1" s="884"/>
      <c r="F1" s="884"/>
      <c r="G1" s="884"/>
      <c r="H1" s="884"/>
      <c r="I1" s="884"/>
      <c r="J1" s="152" t="s">
        <v>68</v>
      </c>
      <c r="K1" s="248"/>
      <c r="L1" s="152"/>
      <c r="M1" s="152"/>
      <c r="N1" s="890">
        <v>85</v>
      </c>
      <c r="O1" s="890"/>
      <c r="P1" s="890"/>
      <c r="Q1" s="890"/>
      <c r="R1" s="890"/>
      <c r="S1" s="890"/>
      <c r="T1" s="890"/>
      <c r="U1" s="892" t="s">
        <v>10</v>
      </c>
      <c r="V1" s="892"/>
      <c r="W1" s="889" t="s">
        <v>66</v>
      </c>
      <c r="X1" s="889"/>
      <c r="Y1" s="889"/>
      <c r="Z1" s="251"/>
      <c r="AA1" s="251"/>
      <c r="AB1" s="248"/>
      <c r="AC1" s="248"/>
      <c r="AD1" s="248"/>
      <c r="AE1" s="248"/>
      <c r="AF1" s="248"/>
      <c r="AG1" s="248"/>
      <c r="AH1" s="251"/>
      <c r="AI1" s="251"/>
      <c r="AJ1" s="154"/>
    </row>
    <row r="2" spans="1:36" s="32" customFormat="1" ht="21" customHeight="1">
      <c r="A2" s="151"/>
      <c r="B2" s="884"/>
      <c r="C2" s="884"/>
      <c r="D2" s="884"/>
      <c r="E2" s="884"/>
      <c r="F2" s="884"/>
      <c r="G2" s="884"/>
      <c r="H2" s="884"/>
      <c r="I2" s="884"/>
      <c r="J2" s="263"/>
      <c r="K2" s="157"/>
      <c r="L2" s="157"/>
      <c r="M2" s="157"/>
      <c r="N2" s="157"/>
      <c r="O2" s="256"/>
      <c r="P2" s="256"/>
      <c r="Q2" s="256"/>
      <c r="R2" s="250"/>
      <c r="S2" s="251"/>
      <c r="T2" s="252"/>
      <c r="U2" s="157"/>
      <c r="V2" s="157"/>
      <c r="W2" s="160"/>
      <c r="X2" s="160"/>
      <c r="Y2" s="160"/>
      <c r="Z2" s="251"/>
      <c r="AA2" s="251"/>
      <c r="AB2" s="247" t="s">
        <v>10</v>
      </c>
      <c r="AC2" s="247"/>
      <c r="AD2" s="887"/>
      <c r="AE2" s="887"/>
      <c r="AF2" s="247"/>
      <c r="AG2" s="247" t="s">
        <v>76</v>
      </c>
      <c r="AH2" s="247"/>
      <c r="AI2" s="247"/>
      <c r="AJ2" s="154"/>
    </row>
    <row r="3" spans="1:36" s="32" customFormat="1" ht="21" customHeight="1">
      <c r="A3" s="151"/>
      <c r="B3" s="884"/>
      <c r="C3" s="884"/>
      <c r="D3" s="884"/>
      <c r="E3" s="884"/>
      <c r="F3" s="884"/>
      <c r="G3" s="884"/>
      <c r="H3" s="884"/>
      <c r="I3" s="884"/>
      <c r="J3" s="263"/>
      <c r="K3" s="162" t="s">
        <v>77</v>
      </c>
      <c r="L3" s="157"/>
      <c r="M3" s="157"/>
      <c r="N3" s="163"/>
      <c r="O3" s="253"/>
      <c r="P3" s="253"/>
      <c r="Q3" s="253" t="e">
        <f>INDEX(база!$AL:$AL, MATCH(N1,база!$AK:$AK,0))</f>
        <v>#N/A</v>
      </c>
      <c r="R3" s="254"/>
      <c r="S3" s="254"/>
      <c r="T3" s="255"/>
      <c r="U3" s="157"/>
      <c r="V3" s="157"/>
      <c r="W3" s="164"/>
      <c r="X3" s="164"/>
      <c r="Y3" s="164"/>
      <c r="Z3" s="251"/>
      <c r="AA3" s="251"/>
      <c r="AB3" s="247" t="s">
        <v>78</v>
      </c>
      <c r="AC3" s="247"/>
      <c r="AD3" s="887"/>
      <c r="AE3" s="887"/>
      <c r="AF3" s="247"/>
      <c r="AG3" s="247" t="s">
        <v>85</v>
      </c>
      <c r="AH3" s="247"/>
      <c r="AI3" s="247"/>
      <c r="AJ3" s="154"/>
    </row>
    <row r="4" spans="1:36" s="32" customFormat="1" ht="21" customHeight="1">
      <c r="A4" s="151"/>
      <c r="B4" s="884"/>
      <c r="C4" s="884"/>
      <c r="D4" s="884"/>
      <c r="E4" s="884"/>
      <c r="F4" s="884"/>
      <c r="G4" s="884"/>
      <c r="H4" s="884"/>
      <c r="I4" s="884"/>
      <c r="J4" s="263"/>
      <c r="K4" s="157"/>
      <c r="L4" s="157"/>
      <c r="M4" s="157"/>
      <c r="N4" s="157"/>
      <c r="O4" s="264"/>
      <c r="P4" s="264"/>
      <c r="Q4" s="264"/>
      <c r="R4" s="251"/>
      <c r="S4" s="251"/>
      <c r="T4" s="252"/>
      <c r="U4" s="157"/>
      <c r="V4" s="157"/>
      <c r="W4" s="164"/>
      <c r="X4" s="164"/>
      <c r="Y4" s="164"/>
      <c r="Z4" s="251"/>
      <c r="AA4" s="251"/>
      <c r="AB4" s="247" t="s">
        <v>79</v>
      </c>
      <c r="AC4" s="247"/>
      <c r="AD4" s="887"/>
      <c r="AE4" s="887"/>
      <c r="AF4" s="247"/>
      <c r="AG4" s="247" t="s">
        <v>80</v>
      </c>
      <c r="AH4" s="247"/>
      <c r="AI4" s="247"/>
      <c r="AJ4" s="154"/>
    </row>
    <row r="5" spans="1:36" s="32" customFormat="1" ht="24" customHeight="1">
      <c r="A5" s="151"/>
      <c r="B5" s="884"/>
      <c r="C5" s="884"/>
      <c r="D5" s="884"/>
      <c r="E5" s="884"/>
      <c r="F5" s="884"/>
      <c r="G5" s="884"/>
      <c r="H5" s="884"/>
      <c r="I5" s="884"/>
      <c r="J5" s="885" t="str">
        <f>Data_Tech!A3</f>
        <v>декабрь</v>
      </c>
      <c r="K5" s="885"/>
      <c r="L5" s="886">
        <v>2022</v>
      </c>
      <c r="M5" s="886"/>
      <c r="N5" s="265"/>
      <c r="O5" s="265"/>
      <c r="P5" s="265"/>
      <c r="Q5" s="265"/>
      <c r="R5" s="265"/>
      <c r="S5" s="265"/>
      <c r="T5" s="265"/>
      <c r="U5" s="265"/>
      <c r="V5" s="265"/>
      <c r="W5" s="251"/>
      <c r="X5" s="251"/>
      <c r="Y5" s="251"/>
      <c r="Z5" s="251"/>
      <c r="AA5" s="251"/>
      <c r="AB5" s="247" t="s">
        <v>81</v>
      </c>
      <c r="AC5" s="247"/>
      <c r="AD5" s="247"/>
      <c r="AE5" s="247"/>
      <c r="AF5" s="247"/>
      <c r="AG5" s="247" t="s">
        <v>82</v>
      </c>
      <c r="AH5" s="247"/>
      <c r="AI5" s="247"/>
      <c r="AJ5" s="154"/>
    </row>
    <row r="6" spans="1:36" s="32" customFormat="1" ht="27" customHeight="1">
      <c r="A6" s="151"/>
      <c r="B6" s="133" t="s">
        <v>9</v>
      </c>
      <c r="C6" s="134" t="s">
        <v>0</v>
      </c>
      <c r="D6" s="135" t="s">
        <v>1</v>
      </c>
      <c r="E6" s="136">
        <v>1</v>
      </c>
      <c r="F6" s="136">
        <v>2</v>
      </c>
      <c r="G6" s="136">
        <v>3</v>
      </c>
      <c r="H6" s="136">
        <v>4</v>
      </c>
      <c r="I6" s="136">
        <v>5</v>
      </c>
      <c r="J6" s="136">
        <v>6</v>
      </c>
      <c r="K6" s="136">
        <v>7</v>
      </c>
      <c r="L6" s="136">
        <v>8</v>
      </c>
      <c r="M6" s="136">
        <v>9</v>
      </c>
      <c r="N6" s="136">
        <v>10</v>
      </c>
      <c r="O6" s="136">
        <v>11</v>
      </c>
      <c r="P6" s="136">
        <v>12</v>
      </c>
      <c r="Q6" s="136">
        <v>13</v>
      </c>
      <c r="R6" s="136">
        <v>14</v>
      </c>
      <c r="S6" s="136">
        <v>15</v>
      </c>
      <c r="T6" s="136">
        <v>16</v>
      </c>
      <c r="U6" s="136">
        <v>17</v>
      </c>
      <c r="V6" s="136">
        <v>18</v>
      </c>
      <c r="W6" s="136">
        <v>19</v>
      </c>
      <c r="X6" s="136">
        <v>20</v>
      </c>
      <c r="Y6" s="136">
        <v>21</v>
      </c>
      <c r="Z6" s="136">
        <v>22</v>
      </c>
      <c r="AA6" s="136">
        <v>23</v>
      </c>
      <c r="AB6" s="136">
        <v>24</v>
      </c>
      <c r="AC6" s="136">
        <v>25</v>
      </c>
      <c r="AD6" s="136">
        <v>26</v>
      </c>
      <c r="AE6" s="136">
        <v>27</v>
      </c>
      <c r="AF6" s="136">
        <v>28</v>
      </c>
      <c r="AG6" s="136">
        <v>29</v>
      </c>
      <c r="AH6" s="136">
        <v>30</v>
      </c>
      <c r="AI6" s="136">
        <v>31</v>
      </c>
      <c r="AJ6" s="137"/>
    </row>
    <row r="7" spans="1:36" ht="33" customHeight="1">
      <c r="A7" s="148">
        <v>1</v>
      </c>
      <c r="B7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1))),"")</f>
        <v/>
      </c>
      <c r="C7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О.]]))/(Таблица1[[мес]:[мес]]=$J$5)/(Таблица1[[год]:[год]]=$L$5)/(Таблица1[[изд]:[изд]]=$N$1)/(Таблица1[[партия]:[партия]]=$W$1),ROW(B1))),"")</f>
        <v/>
      </c>
      <c r="D7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1))),"")</f>
        <v/>
      </c>
      <c r="E7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1))),"")</f>
        <v/>
      </c>
      <c r="F7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1))),"")</f>
        <v/>
      </c>
      <c r="G7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1))),"")</f>
        <v/>
      </c>
      <c r="H7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1))),"")</f>
        <v/>
      </c>
      <c r="I7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1))),"")</f>
        <v/>
      </c>
      <c r="J7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1))),"")</f>
        <v/>
      </c>
      <c r="K7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1))),"")</f>
        <v/>
      </c>
      <c r="L7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1))),"")</f>
        <v/>
      </c>
      <c r="M7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1))),"")</f>
        <v/>
      </c>
      <c r="N7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1))),"")</f>
        <v/>
      </c>
      <c r="O7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1))),"")</f>
        <v/>
      </c>
      <c r="P7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1))),"")</f>
        <v/>
      </c>
      <c r="Q7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1))),"")</f>
        <v/>
      </c>
      <c r="R7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1))),"")</f>
        <v/>
      </c>
      <c r="S7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1))),"")</f>
        <v/>
      </c>
      <c r="T7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1))),"")</f>
        <v/>
      </c>
      <c r="U7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1))),"")</f>
        <v/>
      </c>
      <c r="V7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1))),"")</f>
        <v/>
      </c>
      <c r="W7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1))),"")</f>
        <v/>
      </c>
      <c r="X7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1))),"")</f>
        <v/>
      </c>
      <c r="Y7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1))),"")</f>
        <v/>
      </c>
      <c r="Z7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1))),"")</f>
        <v/>
      </c>
      <c r="AA7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1))),"")</f>
        <v/>
      </c>
      <c r="AB7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1))),"")</f>
        <v/>
      </c>
      <c r="AC7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1))),"")</f>
        <v/>
      </c>
      <c r="AD7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1))),"")</f>
        <v/>
      </c>
      <c r="AE7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1))),"")</f>
        <v/>
      </c>
      <c r="AF7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1))),"")</f>
        <v/>
      </c>
      <c r="AG7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1))),"")</f>
        <v/>
      </c>
      <c r="AH7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1))),"")</f>
        <v/>
      </c>
      <c r="AI7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IFERROR(INDEX(#REF!,_xlfn.AGGREGATE(15,6,(ROW(#REF!)-ROW(#REF!))/(Таблица1[[мес]:[мес]]=$J$5)/(Таблица1[[год]:[год]]=$L$5)/(Таблица1[[изд]:[изд]]=$N$1:$T$1)/(Таблица1[[партия]:[партия]]=$W$1),ROW(AH1))),"")</f>
        <v/>
      </c>
      <c r="AJ7" s="139">
        <f t="shared" ref="AJ7:AJ25" si="0">SUM(E7:AI7)</f>
        <v>0</v>
      </c>
    </row>
    <row r="8" spans="1:36" ht="33" customHeight="1">
      <c r="A8" s="148">
        <v>2</v>
      </c>
      <c r="B8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2))),"")</f>
        <v/>
      </c>
      <c r="C8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О.]]))/(Таблица1[[мес]:[мес]]=$J$5)/(Таблица1[[год]:[год]]=$L$5)/(Таблица1[[изд]:[изд]]=$N$1)/(Таблица1[[партия]:[партия]]=$W$1),ROW(B2))),"")</f>
        <v/>
      </c>
      <c r="D8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2))),"")</f>
        <v/>
      </c>
      <c r="E8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2))),"")</f>
        <v/>
      </c>
      <c r="F8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2))),"")</f>
        <v/>
      </c>
      <c r="G8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2))),"")</f>
        <v/>
      </c>
      <c r="H8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2))),"")</f>
        <v/>
      </c>
      <c r="I8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2))),"")</f>
        <v/>
      </c>
      <c r="J8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2))),"")</f>
        <v/>
      </c>
      <c r="K8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2))),"")</f>
        <v/>
      </c>
      <c r="L8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2))),"")</f>
        <v/>
      </c>
      <c r="M8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2))),"")</f>
        <v/>
      </c>
      <c r="N8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2))),"")</f>
        <v/>
      </c>
      <c r="O8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2))),"")</f>
        <v/>
      </c>
      <c r="P8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2))),"")</f>
        <v/>
      </c>
      <c r="Q8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2))),"")</f>
        <v/>
      </c>
      <c r="R8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2))),"")</f>
        <v/>
      </c>
      <c r="S8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2))),"")</f>
        <v/>
      </c>
      <c r="T8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2))),"")</f>
        <v/>
      </c>
      <c r="U8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2))),"")</f>
        <v/>
      </c>
      <c r="V8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2))),"")</f>
        <v/>
      </c>
      <c r="W8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2))),"")</f>
        <v/>
      </c>
      <c r="X8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2))),"")</f>
        <v/>
      </c>
      <c r="Y8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2))),"")</f>
        <v/>
      </c>
      <c r="Z8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2))),"")</f>
        <v/>
      </c>
      <c r="AA8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2))),"")</f>
        <v/>
      </c>
      <c r="AB8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2))),"")</f>
        <v/>
      </c>
      <c r="AC8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2))),"")</f>
        <v/>
      </c>
      <c r="AD8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2))),"")</f>
        <v/>
      </c>
      <c r="AE8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2))),"")</f>
        <v/>
      </c>
      <c r="AF8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2))),"")</f>
        <v/>
      </c>
      <c r="AG8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2))),"")</f>
        <v/>
      </c>
      <c r="AH8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2))),"")</f>
        <v/>
      </c>
      <c r="AI8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IFERROR(INDEX(#REF!,_xlfn.AGGREGATE(15,6,(ROW(#REF!)-ROW(#REF!))/(Таблица1[[мес]:[мес]]=$J$5)/(Таблица1[[год]:[год]]=$L$5)/(Таблица1[[изд]:[изд]]=$N$1:$T$1)/(Таблица1[[партия]:[партия]]=$W$1),ROW(AH2))),"")</f>
        <v/>
      </c>
      <c r="AJ8" s="140">
        <f t="shared" si="0"/>
        <v>0</v>
      </c>
    </row>
    <row r="9" spans="1:36" ht="33" customHeight="1">
      <c r="A9" s="148">
        <v>3</v>
      </c>
      <c r="B9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3))),"")</f>
        <v/>
      </c>
      <c r="C9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О.]]))/(Таблица1[[мес]:[мес]]=$J$5)/(Таблица1[[год]:[год]]=$L$5)/(Таблица1[[изд]:[изд]]=$N$1)/(Таблица1[[партия]:[партия]]=$W$1),ROW(B3))),"")</f>
        <v/>
      </c>
      <c r="D9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3))),"")</f>
        <v/>
      </c>
      <c r="E9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3))),"")</f>
        <v/>
      </c>
      <c r="F9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3))),"")</f>
        <v/>
      </c>
      <c r="G9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3))),"")</f>
        <v/>
      </c>
      <c r="H9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3))),"")</f>
        <v/>
      </c>
      <c r="I9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3))),"")</f>
        <v/>
      </c>
      <c r="J9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3))),"")</f>
        <v/>
      </c>
      <c r="K9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3))),"")</f>
        <v/>
      </c>
      <c r="L9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3))),"")</f>
        <v/>
      </c>
      <c r="M9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3))),"")</f>
        <v/>
      </c>
      <c r="N9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3))),"")</f>
        <v/>
      </c>
      <c r="O9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3))),"")</f>
        <v/>
      </c>
      <c r="P9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3))),"")</f>
        <v/>
      </c>
      <c r="Q9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3))),"")</f>
        <v/>
      </c>
      <c r="R9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3))),"")</f>
        <v/>
      </c>
      <c r="S9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3))),"")</f>
        <v/>
      </c>
      <c r="T9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3))),"")</f>
        <v/>
      </c>
      <c r="U9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3))),"")</f>
        <v/>
      </c>
      <c r="V9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3))),"")</f>
        <v/>
      </c>
      <c r="W9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3))),"")</f>
        <v/>
      </c>
      <c r="X9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3))),"")</f>
        <v/>
      </c>
      <c r="Y9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3))),"")</f>
        <v/>
      </c>
      <c r="Z9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3))),"")</f>
        <v/>
      </c>
      <c r="AA9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3))),"")</f>
        <v/>
      </c>
      <c r="AB9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3))),"")</f>
        <v/>
      </c>
      <c r="AC9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3))),"")</f>
        <v/>
      </c>
      <c r="AD9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3))),"")</f>
        <v/>
      </c>
      <c r="AE9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3))),"")</f>
        <v/>
      </c>
      <c r="AF9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3))),"")</f>
        <v/>
      </c>
      <c r="AG9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3))),"")</f>
        <v/>
      </c>
      <c r="AH9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3))),"")</f>
        <v/>
      </c>
      <c r="AI9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IFERROR(INDEX(#REF!,_xlfn.AGGREGATE(15,6,(ROW(#REF!)-ROW(#REF!))/(Таблица1[[мес]:[мес]]=$J$5)/(Таблица1[[год]:[год]]=$L$5)/(Таблица1[[изд]:[изд]]=$N$1:$T$1)/(Таблица1[[партия]:[партия]]=$W$1),ROW(AH3))),"")</f>
        <v/>
      </c>
      <c r="AJ9" s="139">
        <f t="shared" si="0"/>
        <v>0</v>
      </c>
    </row>
    <row r="10" spans="1:36" ht="33" customHeight="1">
      <c r="A10" s="148">
        <v>4</v>
      </c>
      <c r="B10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4))),"")</f>
        <v/>
      </c>
      <c r="C10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О.]]))/(Таблица1[[мес]:[мес]]=$J$5)/(Таблица1[[год]:[год]]=$L$5)/(Таблица1[[изд]:[изд]]=$N$1)/(Таблица1[[партия]:[партия]]=$W$1),ROW(B4))),"")</f>
        <v/>
      </c>
      <c r="D10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4))),"")</f>
        <v/>
      </c>
      <c r="E10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4))),"")</f>
        <v/>
      </c>
      <c r="F10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4))),"")</f>
        <v/>
      </c>
      <c r="G10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4))),"")</f>
        <v/>
      </c>
      <c r="H10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4))),"")</f>
        <v/>
      </c>
      <c r="I10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4))),"")</f>
        <v/>
      </c>
      <c r="J10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4))),"")</f>
        <v/>
      </c>
      <c r="K10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4))),"")</f>
        <v/>
      </c>
      <c r="L10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4))),"")</f>
        <v/>
      </c>
      <c r="M10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4))),"")</f>
        <v/>
      </c>
      <c r="N10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4))),"")</f>
        <v/>
      </c>
      <c r="O10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4))),"")</f>
        <v/>
      </c>
      <c r="P10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4))),"")</f>
        <v/>
      </c>
      <c r="Q10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4))),"")</f>
        <v/>
      </c>
      <c r="R10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4))),"")</f>
        <v/>
      </c>
      <c r="S10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4))),"")</f>
        <v/>
      </c>
      <c r="T10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4))),"")</f>
        <v/>
      </c>
      <c r="U10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4))),"")</f>
        <v/>
      </c>
      <c r="V10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4))),"")</f>
        <v/>
      </c>
      <c r="W10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4))),"")</f>
        <v/>
      </c>
      <c r="X10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4))),"")</f>
        <v/>
      </c>
      <c r="Y10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4))),"")</f>
        <v/>
      </c>
      <c r="Z10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4))),"")</f>
        <v/>
      </c>
      <c r="AA10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4))),"")</f>
        <v/>
      </c>
      <c r="AB10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4))),"")</f>
        <v/>
      </c>
      <c r="AC10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4))),"")</f>
        <v/>
      </c>
      <c r="AD10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4))),"")</f>
        <v/>
      </c>
      <c r="AE10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4))),"")</f>
        <v/>
      </c>
      <c r="AF10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4))),"")</f>
        <v/>
      </c>
      <c r="AG10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4))),"")</f>
        <v/>
      </c>
      <c r="AH10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4))),"")</f>
        <v/>
      </c>
      <c r="AI10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IFERROR(INDEX(#REF!,_xlfn.AGGREGATE(15,6,(ROW(#REF!)-ROW(#REF!))/(Таблица1[[мес]:[мес]]=$J$5)/(Таблица1[[год]:[год]]=$L$5)/(Таблица1[[изд]:[изд]]=$N$1:$T$1)/(Таблица1[[партия]:[партия]]=$W$1),ROW(AH4))),"")</f>
        <v/>
      </c>
      <c r="AJ10" s="140">
        <f t="shared" si="0"/>
        <v>0</v>
      </c>
    </row>
    <row r="11" spans="1:36" ht="33" customHeight="1">
      <c r="A11" s="148">
        <v>5</v>
      </c>
      <c r="B11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5))),"")</f>
        <v/>
      </c>
      <c r="C11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О.]]))/(Таблица1[[мес]:[мес]]=$J$5)/(Таблица1[[год]:[год]]=$L$5)/(Таблица1[[изд]:[изд]]=$N$1)/(Таблица1[[партия]:[партия]]=$W$1),ROW(B5))),"")</f>
        <v/>
      </c>
      <c r="D11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5))),"")</f>
        <v/>
      </c>
      <c r="E11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5))),"")</f>
        <v/>
      </c>
      <c r="F11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5))),"")</f>
        <v/>
      </c>
      <c r="G11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5))),"")</f>
        <v/>
      </c>
      <c r="H11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5))),"")</f>
        <v/>
      </c>
      <c r="I11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5))),"")</f>
        <v/>
      </c>
      <c r="J11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5))),"")</f>
        <v/>
      </c>
      <c r="K11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5))),"")</f>
        <v/>
      </c>
      <c r="L11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5))),"")</f>
        <v/>
      </c>
      <c r="M11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5))),"")</f>
        <v/>
      </c>
      <c r="N11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5))),"")</f>
        <v/>
      </c>
      <c r="O11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5))),"")</f>
        <v/>
      </c>
      <c r="P11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5))),"")</f>
        <v/>
      </c>
      <c r="Q11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5))),"")</f>
        <v/>
      </c>
      <c r="R11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5))),"")</f>
        <v/>
      </c>
      <c r="S11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5))),"")</f>
        <v/>
      </c>
      <c r="T11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5))),"")</f>
        <v/>
      </c>
      <c r="U11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5))),"")</f>
        <v/>
      </c>
      <c r="V11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5))),"")</f>
        <v/>
      </c>
      <c r="W11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5))),"")</f>
        <v/>
      </c>
      <c r="X11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5))),"")</f>
        <v/>
      </c>
      <c r="Y11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5))),"")</f>
        <v/>
      </c>
      <c r="Z11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5))),"")</f>
        <v/>
      </c>
      <c r="AA11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5))),"")</f>
        <v/>
      </c>
      <c r="AB11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5))),"")</f>
        <v/>
      </c>
      <c r="AC11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5))),"")</f>
        <v/>
      </c>
      <c r="AD11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5))),"")</f>
        <v/>
      </c>
      <c r="AE11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5))),"")</f>
        <v/>
      </c>
      <c r="AF11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5))),"")</f>
        <v/>
      </c>
      <c r="AG11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5))),"")</f>
        <v/>
      </c>
      <c r="AH11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5))),"")</f>
        <v/>
      </c>
      <c r="AI11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IFERROR(INDEX(#REF!,_xlfn.AGGREGATE(15,6,(ROW(#REF!)-ROW(#REF!))/(Таблица1[[мес]:[мес]]=$J$5)/(Таблица1[[год]:[год]]=$L$5)/(Таблица1[[изд]:[изд]]=$N$1:$T$1)/(Таблица1[[партия]:[партия]]=$W$1),ROW(AH5))),"")</f>
        <v/>
      </c>
      <c r="AJ11" s="139">
        <f t="shared" si="0"/>
        <v>0</v>
      </c>
    </row>
    <row r="12" spans="1:36" ht="33" customHeight="1">
      <c r="A12" s="148">
        <v>6</v>
      </c>
      <c r="B12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6))),"")</f>
        <v/>
      </c>
      <c r="C12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О.]]))/(Таблица1[[мес]:[мес]]=$J$5)/(Таблица1[[год]:[год]]=$L$5)/(Таблица1[[изд]:[изд]]=$N$1)/(Таблица1[[партия]:[партия]]=$W$1),ROW(B6))),"")</f>
        <v/>
      </c>
      <c r="D12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6))),"")</f>
        <v/>
      </c>
      <c r="E12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6))),"")</f>
        <v/>
      </c>
      <c r="F12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6))),"")</f>
        <v/>
      </c>
      <c r="G12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6))),"")</f>
        <v/>
      </c>
      <c r="H12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6))),"")</f>
        <v/>
      </c>
      <c r="I12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6))),"")</f>
        <v/>
      </c>
      <c r="J12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6))),"")</f>
        <v/>
      </c>
      <c r="K12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6))),"")</f>
        <v/>
      </c>
      <c r="L12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6))),"")</f>
        <v/>
      </c>
      <c r="M12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6))),"")</f>
        <v/>
      </c>
      <c r="N12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6))),"")</f>
        <v/>
      </c>
      <c r="O12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6))),"")</f>
        <v/>
      </c>
      <c r="P12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6))),"")</f>
        <v/>
      </c>
      <c r="Q12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6))),"")</f>
        <v/>
      </c>
      <c r="R12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6))),"")</f>
        <v/>
      </c>
      <c r="S12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6))),"")</f>
        <v/>
      </c>
      <c r="T12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6))),"")</f>
        <v/>
      </c>
      <c r="U12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6))),"")</f>
        <v/>
      </c>
      <c r="V12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6))),"")</f>
        <v/>
      </c>
      <c r="W12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6))),"")</f>
        <v/>
      </c>
      <c r="X12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6))),"")</f>
        <v/>
      </c>
      <c r="Y12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6))),"")</f>
        <v/>
      </c>
      <c r="Z12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6))),"")</f>
        <v/>
      </c>
      <c r="AA12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6))),"")</f>
        <v/>
      </c>
      <c r="AB12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6))),"")</f>
        <v/>
      </c>
      <c r="AC12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6))),"")</f>
        <v/>
      </c>
      <c r="AD12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6))),"")</f>
        <v/>
      </c>
      <c r="AE12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6))),"")</f>
        <v/>
      </c>
      <c r="AF12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6))),"")</f>
        <v/>
      </c>
      <c r="AG12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6))),"")</f>
        <v/>
      </c>
      <c r="AH12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6))),"")</f>
        <v/>
      </c>
      <c r="AI12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IFERROR(INDEX(#REF!,_xlfn.AGGREGATE(15,6,(ROW(#REF!)-ROW(#REF!))/(Таблица1[[мес]:[мес]]=$J$5)/(Таблица1[[год]:[год]]=$L$5)/(Таблица1[[изд]:[изд]]=$N$1:$T$1)/(Таблица1[[партия]:[партия]]=$W$1),ROW(AH6))),"")</f>
        <v/>
      </c>
      <c r="AJ12" s="139">
        <f t="shared" si="0"/>
        <v>0</v>
      </c>
    </row>
    <row r="13" spans="1:36" ht="33" customHeight="1">
      <c r="A13" s="148">
        <v>7</v>
      </c>
      <c r="B13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7))),"")</f>
        <v/>
      </c>
      <c r="C13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О.]]))/(Таблица1[[мес]:[мес]]=$J$5)/(Таблица1[[год]:[год]]=$L$5)/(Таблица1[[изд]:[изд]]=$N$1)/(Таблица1[[партия]:[партия]]=$W$1),ROW(B7))),"")</f>
        <v/>
      </c>
      <c r="D13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7))),"")</f>
        <v/>
      </c>
      <c r="E13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7))),"")</f>
        <v/>
      </c>
      <c r="F13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7))),"")</f>
        <v/>
      </c>
      <c r="G13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7))),"")</f>
        <v/>
      </c>
      <c r="H13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7))),"")</f>
        <v/>
      </c>
      <c r="I13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7))),"")</f>
        <v/>
      </c>
      <c r="J13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7))),"")</f>
        <v/>
      </c>
      <c r="K13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7))),"")</f>
        <v/>
      </c>
      <c r="L13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7))),"")</f>
        <v/>
      </c>
      <c r="M13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7))),"")</f>
        <v/>
      </c>
      <c r="N13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7))),"")</f>
        <v/>
      </c>
      <c r="O13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7))),"")</f>
        <v/>
      </c>
      <c r="P13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7))),"")</f>
        <v/>
      </c>
      <c r="Q13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7))),"")</f>
        <v/>
      </c>
      <c r="R13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7))),"")</f>
        <v/>
      </c>
      <c r="S13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7))),"")</f>
        <v/>
      </c>
      <c r="T13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7))),"")</f>
        <v/>
      </c>
      <c r="U13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7))),"")</f>
        <v/>
      </c>
      <c r="V13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7))),"")</f>
        <v/>
      </c>
      <c r="W13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7))),"")</f>
        <v/>
      </c>
      <c r="X13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7))),"")</f>
        <v/>
      </c>
      <c r="Y13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7))),"")</f>
        <v/>
      </c>
      <c r="Z13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7))),"")</f>
        <v/>
      </c>
      <c r="AA13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7))),"")</f>
        <v/>
      </c>
      <c r="AB13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7))),"")</f>
        <v/>
      </c>
      <c r="AC13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7))),"")</f>
        <v/>
      </c>
      <c r="AD13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7))),"")</f>
        <v/>
      </c>
      <c r="AE13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7))),"")</f>
        <v/>
      </c>
      <c r="AF13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7))),"")</f>
        <v/>
      </c>
      <c r="AG13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7))),"")</f>
        <v/>
      </c>
      <c r="AH13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7))),"")</f>
        <v/>
      </c>
      <c r="AI13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IFERROR(INDEX(#REF!,_xlfn.AGGREGATE(15,6,(ROW(#REF!)-ROW(#REF!))/(Таблица1[[мес]:[мес]]=$J$5)/(Таблица1[[год]:[год]]=$L$5)/(Таблица1[[изд]:[изд]]=$N$1:$T$1)/(Таблица1[[партия]:[партия]]=$W$1),ROW(AH7))),"")</f>
        <v/>
      </c>
      <c r="AJ13" s="139">
        <f t="shared" si="0"/>
        <v>0</v>
      </c>
    </row>
    <row r="14" spans="1:36" ht="33" customHeight="1">
      <c r="A14" s="148">
        <v>8</v>
      </c>
      <c r="B14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8))),"")</f>
        <v/>
      </c>
      <c r="C14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О.]]))/(Таблица1[[мес]:[мес]]=$J$5)/(Таблица1[[год]:[год]]=$L$5)/(Таблица1[[изд]:[изд]]=$N$1)/(Таблица1[[партия]:[партия]]=$W$1),ROW(B8))),"")</f>
        <v/>
      </c>
      <c r="D14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8))),"")</f>
        <v/>
      </c>
      <c r="E14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8))),"")</f>
        <v/>
      </c>
      <c r="F14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8))),"")</f>
        <v/>
      </c>
      <c r="G14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8))),"")</f>
        <v/>
      </c>
      <c r="H14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8))),"")</f>
        <v/>
      </c>
      <c r="I14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8))),"")</f>
        <v/>
      </c>
      <c r="J14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8))),"")</f>
        <v/>
      </c>
      <c r="K14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8))),"")</f>
        <v/>
      </c>
      <c r="L14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8))),"")</f>
        <v/>
      </c>
      <c r="M14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8))),"")</f>
        <v/>
      </c>
      <c r="N14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8))),"")</f>
        <v/>
      </c>
      <c r="O14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8))),"")</f>
        <v/>
      </c>
      <c r="P14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8))),"")</f>
        <v/>
      </c>
      <c r="Q14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8))),"")</f>
        <v/>
      </c>
      <c r="R14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8))),"")</f>
        <v/>
      </c>
      <c r="S14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8))),"")</f>
        <v/>
      </c>
      <c r="T14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8))),"")</f>
        <v/>
      </c>
      <c r="U14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8))),"")</f>
        <v/>
      </c>
      <c r="V14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8))),"")</f>
        <v/>
      </c>
      <c r="W14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8))),"")</f>
        <v/>
      </c>
      <c r="X14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8))),"")</f>
        <v/>
      </c>
      <c r="Y14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8))),"")</f>
        <v/>
      </c>
      <c r="Z14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8))),"")</f>
        <v/>
      </c>
      <c r="AA14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8))),"")</f>
        <v/>
      </c>
      <c r="AB14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8))),"")</f>
        <v/>
      </c>
      <c r="AC14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8))),"")</f>
        <v/>
      </c>
      <c r="AD14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8))),"")</f>
        <v/>
      </c>
      <c r="AE14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8))),"")</f>
        <v/>
      </c>
      <c r="AF14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8))),"")</f>
        <v/>
      </c>
      <c r="AG14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8))),"")</f>
        <v/>
      </c>
      <c r="AH14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8))),"")</f>
        <v/>
      </c>
      <c r="AI14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IFERROR(INDEX(#REF!,_xlfn.AGGREGATE(15,6,(ROW(#REF!)-ROW(#REF!))/(Таблица1[[мес]:[мес]]=$J$5)/(Таблица1[[год]:[год]]=$L$5)/(Таблица1[[изд]:[изд]]=$N$1:$T$1)/(Таблица1[[партия]:[партия]]=$W$1),ROW(AH8))),"")</f>
        <v/>
      </c>
      <c r="AJ14" s="140">
        <f t="shared" si="0"/>
        <v>0</v>
      </c>
    </row>
    <row r="15" spans="1:36" ht="33" customHeight="1">
      <c r="A15" s="148">
        <v>9</v>
      </c>
      <c r="B15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9))),"")</f>
        <v/>
      </c>
      <c r="C15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О.]]))/(Таблица1[[мес]:[мес]]=$J$5)/(Таблица1[[год]:[год]]=$L$5)/(Таблица1[[изд]:[изд]]=$N$1)/(Таблица1[[партия]:[партия]]=$W$1),ROW(B9))),"")</f>
        <v/>
      </c>
      <c r="D15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9))),"")</f>
        <v/>
      </c>
      <c r="E15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9))),"")</f>
        <v/>
      </c>
      <c r="F15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9))),"")</f>
        <v/>
      </c>
      <c r="G15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9))),"")</f>
        <v/>
      </c>
      <c r="H15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9))),"")</f>
        <v/>
      </c>
      <c r="I15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9))),"")</f>
        <v/>
      </c>
      <c r="J15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9))),"")</f>
        <v/>
      </c>
      <c r="K15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9))),"")</f>
        <v/>
      </c>
      <c r="L15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9))),"")</f>
        <v/>
      </c>
      <c r="M15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9))),"")</f>
        <v/>
      </c>
      <c r="N15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9))),"")</f>
        <v/>
      </c>
      <c r="O15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9))),"")</f>
        <v/>
      </c>
      <c r="P15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9))),"")</f>
        <v/>
      </c>
      <c r="Q15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9))),"")</f>
        <v/>
      </c>
      <c r="R15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9))),"")</f>
        <v/>
      </c>
      <c r="S15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9))),"")</f>
        <v/>
      </c>
      <c r="T15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9))),"")</f>
        <v/>
      </c>
      <c r="U15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9))),"")</f>
        <v/>
      </c>
      <c r="V15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9))),"")</f>
        <v/>
      </c>
      <c r="W15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9))),"")</f>
        <v/>
      </c>
      <c r="X15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9))),"")</f>
        <v/>
      </c>
      <c r="Y15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9))),"")</f>
        <v/>
      </c>
      <c r="Z15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9))),"")</f>
        <v/>
      </c>
      <c r="AA15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9))),"")</f>
        <v/>
      </c>
      <c r="AB15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9))),"")</f>
        <v/>
      </c>
      <c r="AC15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9))),"")</f>
        <v/>
      </c>
      <c r="AD15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9))),"")</f>
        <v/>
      </c>
      <c r="AE15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9))),"")</f>
        <v/>
      </c>
      <c r="AF15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9))),"")</f>
        <v/>
      </c>
      <c r="AG15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9))),"")</f>
        <v/>
      </c>
      <c r="AH15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9))),"")</f>
        <v/>
      </c>
      <c r="AI15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IFERROR(INDEX(#REF!,_xlfn.AGGREGATE(15,6,(ROW(#REF!)-ROW(#REF!))/(Таблица1[[мес]:[мес]]=$J$5)/(Таблица1[[год]:[год]]=$L$5)/(Таблица1[[изд]:[изд]]=$N$1:$T$1)/(Таблица1[[партия]:[партия]]=$W$1),ROW(AH9))),"")</f>
        <v/>
      </c>
      <c r="AJ15" s="141">
        <f t="shared" si="0"/>
        <v>0</v>
      </c>
    </row>
    <row r="16" spans="1:36" ht="33" customHeight="1">
      <c r="A16" s="148">
        <v>10</v>
      </c>
      <c r="B16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10))),"")</f>
        <v/>
      </c>
      <c r="C16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О.]]))/(Таблица1[[мес]:[мес]]=$J$5)/(Таблица1[[год]:[год]]=$L$5)/(Таблица1[[изд]:[изд]]=$N$1)/(Таблица1[[партия]:[партия]]=$W$1),ROW(B10))),"")</f>
        <v/>
      </c>
      <c r="D16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10))),"")</f>
        <v/>
      </c>
      <c r="E16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10))),"")</f>
        <v/>
      </c>
      <c r="F16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10))),"")</f>
        <v/>
      </c>
      <c r="G16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10))),"")</f>
        <v/>
      </c>
      <c r="H16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10))),"")</f>
        <v/>
      </c>
      <c r="I16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10))),"")</f>
        <v/>
      </c>
      <c r="J16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10))),"")</f>
        <v/>
      </c>
      <c r="K16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10))),"")</f>
        <v/>
      </c>
      <c r="L16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10))),"")</f>
        <v/>
      </c>
      <c r="M16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10))),"")</f>
        <v/>
      </c>
      <c r="N16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10))),"")</f>
        <v/>
      </c>
      <c r="O16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10))),"")</f>
        <v/>
      </c>
      <c r="P16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10))),"")</f>
        <v/>
      </c>
      <c r="Q16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10))),"")</f>
        <v/>
      </c>
      <c r="R16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10))),"")</f>
        <v/>
      </c>
      <c r="S16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10))),"")</f>
        <v/>
      </c>
      <c r="T16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10))),"")</f>
        <v/>
      </c>
      <c r="U16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10))),"")</f>
        <v/>
      </c>
      <c r="V16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10))),"")</f>
        <v/>
      </c>
      <c r="W16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10))),"")</f>
        <v/>
      </c>
      <c r="X16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10))),"")</f>
        <v/>
      </c>
      <c r="Y16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10))),"")</f>
        <v/>
      </c>
      <c r="Z16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10))),"")</f>
        <v/>
      </c>
      <c r="AA16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10))),"")</f>
        <v/>
      </c>
      <c r="AB16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10))),"")</f>
        <v/>
      </c>
      <c r="AC16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10))),"")</f>
        <v/>
      </c>
      <c r="AD16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10))),"")</f>
        <v/>
      </c>
      <c r="AE16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10))),"")</f>
        <v/>
      </c>
      <c r="AF16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10))),"")</f>
        <v/>
      </c>
      <c r="AG16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10))),"")</f>
        <v/>
      </c>
      <c r="AH16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10))),"")</f>
        <v/>
      </c>
      <c r="AI16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IFERROR(INDEX(#REF!,_xlfn.AGGREGATE(15,6,(ROW(#REF!)-ROW(#REF!))/(Таблица1[[мес]:[мес]]=$J$5)/(Таблица1[[год]:[год]]=$L$5)/(Таблица1[[изд]:[изд]]=$N$1:$T$1)/(Таблица1[[партия]:[партия]]=$W$1),ROW(AH10))),"")</f>
        <v/>
      </c>
      <c r="AJ16" s="141">
        <f t="shared" si="0"/>
        <v>0</v>
      </c>
    </row>
    <row r="17" spans="1:36" ht="33" customHeight="1">
      <c r="A17" s="148">
        <v>11</v>
      </c>
      <c r="B17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11))),"")</f>
        <v/>
      </c>
      <c r="C17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О.]]))/(Таблица1[[мес]:[мес]]=$J$5)/(Таблица1[[год]:[год]]=$L$5)/(Таблица1[[изд]:[изд]]=$N$1)/(Таблица1[[партия]:[партия]]=$W$1),ROW(B11))),"")</f>
        <v/>
      </c>
      <c r="D17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11))),"")</f>
        <v/>
      </c>
      <c r="E17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11))),"")</f>
        <v/>
      </c>
      <c r="F17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11))),"")</f>
        <v/>
      </c>
      <c r="G17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11))),"")</f>
        <v/>
      </c>
      <c r="H17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11))),"")</f>
        <v/>
      </c>
      <c r="I17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11))),"")</f>
        <v/>
      </c>
      <c r="J17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11))),"")</f>
        <v/>
      </c>
      <c r="K17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11))),"")</f>
        <v/>
      </c>
      <c r="L17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11))),"")</f>
        <v/>
      </c>
      <c r="M17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11))),"")</f>
        <v/>
      </c>
      <c r="N17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11))),"")</f>
        <v/>
      </c>
      <c r="O17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11))),"")</f>
        <v/>
      </c>
      <c r="P17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11))),"")</f>
        <v/>
      </c>
      <c r="Q17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11))),"")</f>
        <v/>
      </c>
      <c r="R17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11))),"")</f>
        <v/>
      </c>
      <c r="S17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11))),"")</f>
        <v/>
      </c>
      <c r="T17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11))),"")</f>
        <v/>
      </c>
      <c r="U17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11))),"")</f>
        <v/>
      </c>
      <c r="V17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11))),"")</f>
        <v/>
      </c>
      <c r="W17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11))),"")</f>
        <v/>
      </c>
      <c r="X17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11))),"")</f>
        <v/>
      </c>
      <c r="Y17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11))),"")</f>
        <v/>
      </c>
      <c r="Z17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11))),"")</f>
        <v/>
      </c>
      <c r="AA17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11))),"")</f>
        <v/>
      </c>
      <c r="AB17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11))),"")</f>
        <v/>
      </c>
      <c r="AC17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11))),"")</f>
        <v/>
      </c>
      <c r="AD17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11))),"")</f>
        <v/>
      </c>
      <c r="AE17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11))),"")</f>
        <v/>
      </c>
      <c r="AF17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11))),"")</f>
        <v/>
      </c>
      <c r="AG17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11))),"")</f>
        <v/>
      </c>
      <c r="AH17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11))),"")</f>
        <v/>
      </c>
      <c r="AI17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IFERROR(INDEX(#REF!,_xlfn.AGGREGATE(15,6,(ROW(#REF!)-ROW(#REF!))/(Таблица1[[мес]:[мес]]=$J$5)/(Таблица1[[год]:[год]]=$L$5)/(Таблица1[[изд]:[изд]]=$N$1:$T$1)/(Таблица1[[партия]:[партия]]=$W$1),ROW(AH11))),"")</f>
        <v/>
      </c>
      <c r="AJ17" s="139">
        <f t="shared" si="0"/>
        <v>0</v>
      </c>
    </row>
    <row r="18" spans="1:36" ht="33" customHeight="1">
      <c r="A18" s="148">
        <v>12</v>
      </c>
      <c r="B18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12))),"")</f>
        <v/>
      </c>
      <c r="C18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О.]]))/(Таблица1[[мес]:[мес]]=$J$5)/(Таблица1[[год]:[год]]=$L$5)/(Таблица1[[изд]:[изд]]=$N$1)/(Таблица1[[партия]:[партия]]=$W$1),ROW(B12))),"")</f>
        <v/>
      </c>
      <c r="D18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12))),"")</f>
        <v/>
      </c>
      <c r="E18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12))),"")</f>
        <v/>
      </c>
      <c r="F18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12))),"")</f>
        <v/>
      </c>
      <c r="G18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12))),"")</f>
        <v/>
      </c>
      <c r="H18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12))),"")</f>
        <v/>
      </c>
      <c r="I18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12))),"")</f>
        <v/>
      </c>
      <c r="J18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12))),"")</f>
        <v/>
      </c>
      <c r="K18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12))),"")</f>
        <v/>
      </c>
      <c r="L18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12))),"")</f>
        <v/>
      </c>
      <c r="M18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12))),"")</f>
        <v/>
      </c>
      <c r="N18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12))),"")</f>
        <v/>
      </c>
      <c r="O18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12))),"")</f>
        <v/>
      </c>
      <c r="P18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12))),"")</f>
        <v/>
      </c>
      <c r="Q18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12))),"")</f>
        <v/>
      </c>
      <c r="R18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12))),"")</f>
        <v/>
      </c>
      <c r="S18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12))),"")</f>
        <v/>
      </c>
      <c r="T18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12))),"")</f>
        <v/>
      </c>
      <c r="U18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12))),"")</f>
        <v/>
      </c>
      <c r="V18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12))),"")</f>
        <v/>
      </c>
      <c r="W18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12))),"")</f>
        <v/>
      </c>
      <c r="X18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12))),"")</f>
        <v/>
      </c>
      <c r="Y18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12))),"")</f>
        <v/>
      </c>
      <c r="Z18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12))),"")</f>
        <v/>
      </c>
      <c r="AA18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12))),"")</f>
        <v/>
      </c>
      <c r="AB18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12))),"")</f>
        <v/>
      </c>
      <c r="AC18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12))),"")</f>
        <v/>
      </c>
      <c r="AD18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12))),"")</f>
        <v/>
      </c>
      <c r="AE18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12))),"")</f>
        <v/>
      </c>
      <c r="AF18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12))),"")</f>
        <v/>
      </c>
      <c r="AG18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12))),"")</f>
        <v/>
      </c>
      <c r="AH18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12))),"")</f>
        <v/>
      </c>
      <c r="AI18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IFERROR(INDEX(#REF!,_xlfn.AGGREGATE(15,6,(ROW(#REF!)-ROW(#REF!))/(Таблица1[[мес]:[мес]]=$J$5)/(Таблица1[[год]:[год]]=$L$5)/(Таблица1[[изд]:[изд]]=$N$1:$T$1)/(Таблица1[[партия]:[партия]]=$W$1),ROW(AH12))),"")</f>
        <v/>
      </c>
      <c r="AJ18" s="140">
        <f t="shared" si="0"/>
        <v>0</v>
      </c>
    </row>
    <row r="19" spans="1:36" ht="33" customHeight="1">
      <c r="A19" s="148">
        <v>13</v>
      </c>
      <c r="B19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13))),"")</f>
        <v/>
      </c>
      <c r="C19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О.]]))/(Таблица1[[мес]:[мес]]=$J$5)/(Таблица1[[год]:[год]]=$L$5)/(Таблица1[[изд]:[изд]]=$N$1)/(Таблица1[[партия]:[партия]]=$W$1),ROW(B13))),"")</f>
        <v/>
      </c>
      <c r="D19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13))),"")</f>
        <v/>
      </c>
      <c r="E19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13))),"")</f>
        <v/>
      </c>
      <c r="F19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13))),"")</f>
        <v/>
      </c>
      <c r="G19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13))),"")</f>
        <v/>
      </c>
      <c r="H19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13))),"")</f>
        <v/>
      </c>
      <c r="I19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13))),"")</f>
        <v/>
      </c>
      <c r="J19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13))),"")</f>
        <v/>
      </c>
      <c r="K19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13))),"")</f>
        <v/>
      </c>
      <c r="L19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13))),"")</f>
        <v/>
      </c>
      <c r="M19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13))),"")</f>
        <v/>
      </c>
      <c r="N19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13))),"")</f>
        <v/>
      </c>
      <c r="O19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13))),"")</f>
        <v/>
      </c>
      <c r="P19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13))),"")</f>
        <v/>
      </c>
      <c r="Q19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13))),"")</f>
        <v/>
      </c>
      <c r="R19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13))),"")</f>
        <v/>
      </c>
      <c r="S19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13))),"")</f>
        <v/>
      </c>
      <c r="T19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13))),"")</f>
        <v/>
      </c>
      <c r="U19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13))),"")</f>
        <v/>
      </c>
      <c r="V19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13))),"")</f>
        <v/>
      </c>
      <c r="W19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13))),"")</f>
        <v/>
      </c>
      <c r="X19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13))),"")</f>
        <v/>
      </c>
      <c r="Y19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13))),"")</f>
        <v/>
      </c>
      <c r="Z19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13))),"")</f>
        <v/>
      </c>
      <c r="AA19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13))),"")</f>
        <v/>
      </c>
      <c r="AB19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13))),"")</f>
        <v/>
      </c>
      <c r="AC19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13))),"")</f>
        <v/>
      </c>
      <c r="AD19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13))),"")</f>
        <v/>
      </c>
      <c r="AE19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13))),"")</f>
        <v/>
      </c>
      <c r="AF19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13))),"")</f>
        <v/>
      </c>
      <c r="AG19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13))),"")</f>
        <v/>
      </c>
      <c r="AH19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13))),"")</f>
        <v/>
      </c>
      <c r="AI19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IFERROR(INDEX(#REF!,_xlfn.AGGREGATE(15,6,(ROW(#REF!)-ROW(#REF!))/(Таблица1[[мес]:[мес]]=$J$5)/(Таблица1[[год]:[год]]=$L$5)/(Таблица1[[изд]:[изд]]=$N$1:$T$1)/(Таблица1[[партия]:[партия]]=$W$1),ROW(AH13))),"")</f>
        <v/>
      </c>
      <c r="AJ19" s="139">
        <f t="shared" si="0"/>
        <v>0</v>
      </c>
    </row>
    <row r="20" spans="1:36" ht="33" customHeight="1">
      <c r="A20" s="148">
        <v>14</v>
      </c>
      <c r="B20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14))),"")</f>
        <v/>
      </c>
      <c r="C20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О.]]))/(Таблица1[[мес]:[мес]]=$J$5)/(Таблица1[[год]:[год]]=$L$5)/(Таблица1[[изд]:[изд]]=$N$1)/(Таблица1[[партия]:[партия]]=$W$1),ROW(B14))),"")</f>
        <v/>
      </c>
      <c r="D20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14))),"")</f>
        <v/>
      </c>
      <c r="E20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14))),"")</f>
        <v/>
      </c>
      <c r="F20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14))),"")</f>
        <v/>
      </c>
      <c r="G20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14))),"")</f>
        <v/>
      </c>
      <c r="H20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14))),"")</f>
        <v/>
      </c>
      <c r="I20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14))),"")</f>
        <v/>
      </c>
      <c r="J20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14))),"")</f>
        <v/>
      </c>
      <c r="K20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14))),"")</f>
        <v/>
      </c>
      <c r="L20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14))),"")</f>
        <v/>
      </c>
      <c r="M20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14))),"")</f>
        <v/>
      </c>
      <c r="N20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14))),"")</f>
        <v/>
      </c>
      <c r="O20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14))),"")</f>
        <v/>
      </c>
      <c r="P20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14))),"")</f>
        <v/>
      </c>
      <c r="Q20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14))),"")</f>
        <v/>
      </c>
      <c r="R20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14))),"")</f>
        <v/>
      </c>
      <c r="S20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14))),"")</f>
        <v/>
      </c>
      <c r="T20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14))),"")</f>
        <v/>
      </c>
      <c r="U20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14))),"")</f>
        <v/>
      </c>
      <c r="V20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14))),"")</f>
        <v/>
      </c>
      <c r="W20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14))),"")</f>
        <v/>
      </c>
      <c r="X20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14))),"")</f>
        <v/>
      </c>
      <c r="Y20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14))),"")</f>
        <v/>
      </c>
      <c r="Z20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14))),"")</f>
        <v/>
      </c>
      <c r="AA20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14))),"")</f>
        <v/>
      </c>
      <c r="AB20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14))),"")</f>
        <v/>
      </c>
      <c r="AC20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14))),"")</f>
        <v/>
      </c>
      <c r="AD20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14))),"")</f>
        <v/>
      </c>
      <c r="AE20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14))),"")</f>
        <v/>
      </c>
      <c r="AF20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14))),"")</f>
        <v/>
      </c>
      <c r="AG20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14))),"")</f>
        <v/>
      </c>
      <c r="AH20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14))),"")</f>
        <v/>
      </c>
      <c r="AI20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IFERROR(INDEX(#REF!,_xlfn.AGGREGATE(15,6,(ROW(#REF!)-ROW(#REF!))/(Таблица1[[мес]:[мес]]=$J$5)/(Таблица1[[год]:[год]]=$L$5)/(Таблица1[[изд]:[изд]]=$N$1:$T$1)/(Таблица1[[партия]:[партия]]=$W$1),ROW(AH14))),"")</f>
        <v/>
      </c>
      <c r="AJ20" s="140">
        <f t="shared" si="0"/>
        <v>0</v>
      </c>
    </row>
    <row r="21" spans="1:36" ht="33" customHeight="1">
      <c r="A21" s="148">
        <v>15</v>
      </c>
      <c r="B21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15))),"")</f>
        <v/>
      </c>
      <c r="C21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О.]]))/(Таблица1[[мес]:[мес]]=$J$5)/(Таблица1[[год]:[год]]=$L$5)/(Таблица1[[изд]:[изд]]=$N$1)/(Таблица1[[партия]:[партия]]=$W$1),ROW(B15))),"")</f>
        <v/>
      </c>
      <c r="D21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15))),"")</f>
        <v/>
      </c>
      <c r="E21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15))),"")</f>
        <v/>
      </c>
      <c r="F21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15))),"")</f>
        <v/>
      </c>
      <c r="G21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15))),"")</f>
        <v/>
      </c>
      <c r="H21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15))),"")</f>
        <v/>
      </c>
      <c r="I21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15))),"")</f>
        <v/>
      </c>
      <c r="J21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15))),"")</f>
        <v/>
      </c>
      <c r="K21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15))),"")</f>
        <v/>
      </c>
      <c r="L21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15))),"")</f>
        <v/>
      </c>
      <c r="M21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15))),"")</f>
        <v/>
      </c>
      <c r="N21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15))),"")</f>
        <v/>
      </c>
      <c r="O21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15))),"")</f>
        <v/>
      </c>
      <c r="P21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15))),"")</f>
        <v/>
      </c>
      <c r="Q21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15))),"")</f>
        <v/>
      </c>
      <c r="R21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15))),"")</f>
        <v/>
      </c>
      <c r="S21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15))),"")</f>
        <v/>
      </c>
      <c r="T21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15))),"")</f>
        <v/>
      </c>
      <c r="U21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15))),"")</f>
        <v/>
      </c>
      <c r="V21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15))),"")</f>
        <v/>
      </c>
      <c r="W21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15))),"")</f>
        <v/>
      </c>
      <c r="X21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15))),"")</f>
        <v/>
      </c>
      <c r="Y21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15))),"")</f>
        <v/>
      </c>
      <c r="Z21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15))),"")</f>
        <v/>
      </c>
      <c r="AA21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15))),"")</f>
        <v/>
      </c>
      <c r="AB21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15))),"")</f>
        <v/>
      </c>
      <c r="AC21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15))),"")</f>
        <v/>
      </c>
      <c r="AD21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15))),"")</f>
        <v/>
      </c>
      <c r="AE21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15))),"")</f>
        <v/>
      </c>
      <c r="AF21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15))),"")</f>
        <v/>
      </c>
      <c r="AG21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15))),"")</f>
        <v/>
      </c>
      <c r="AH21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15))),"")</f>
        <v/>
      </c>
      <c r="AI21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IFERROR(INDEX(#REF!,_xlfn.AGGREGATE(15,6,(ROW(#REF!)-ROW(#REF!))/(Таблица1[[мес]:[мес]]=$J$5)/(Таблица1[[год]:[год]]=$L$5)/(Таблица1[[изд]:[изд]]=$N$1:$T$1)/(Таблица1[[партия]:[партия]]=$W$1),ROW(AH15))),"")</f>
        <v/>
      </c>
      <c r="AJ21" s="139">
        <f t="shared" si="0"/>
        <v>0</v>
      </c>
    </row>
    <row r="22" spans="1:36" ht="33" customHeight="1">
      <c r="A22" s="148">
        <v>16</v>
      </c>
      <c r="B22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16))),"")</f>
        <v/>
      </c>
      <c r="C22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О.]]))/(Таблица1[[мес]:[мес]]=$J$5)/(Таблица1[[год]:[год]]=$L$5)/(Таблица1[[изд]:[изд]]=$N$1)/(Таблица1[[партия]:[партия]]=$W$1),ROW(B16))),"")</f>
        <v/>
      </c>
      <c r="D22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16))),"")</f>
        <v/>
      </c>
      <c r="E22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16))),"")</f>
        <v/>
      </c>
      <c r="F22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16))),"")</f>
        <v/>
      </c>
      <c r="G22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16))),"")</f>
        <v/>
      </c>
      <c r="H22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16))),"")</f>
        <v/>
      </c>
      <c r="I22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16))),"")</f>
        <v/>
      </c>
      <c r="J22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16))),"")</f>
        <v/>
      </c>
      <c r="K22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16))),"")</f>
        <v/>
      </c>
      <c r="L22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16))),"")</f>
        <v/>
      </c>
      <c r="M22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16))),"")</f>
        <v/>
      </c>
      <c r="N22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16))),"")</f>
        <v/>
      </c>
      <c r="O22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16))),"")</f>
        <v/>
      </c>
      <c r="P22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16))),"")</f>
        <v/>
      </c>
      <c r="Q22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16))),"")</f>
        <v/>
      </c>
      <c r="R22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16))),"")</f>
        <v/>
      </c>
      <c r="S22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16))),"")</f>
        <v/>
      </c>
      <c r="T22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16))),"")</f>
        <v/>
      </c>
      <c r="U22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16))),"")</f>
        <v/>
      </c>
      <c r="V22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16))),"")</f>
        <v/>
      </c>
      <c r="W22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16))),"")</f>
        <v/>
      </c>
      <c r="X22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16))),"")</f>
        <v/>
      </c>
      <c r="Y22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16))),"")</f>
        <v/>
      </c>
      <c r="Z22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16))),"")</f>
        <v/>
      </c>
      <c r="AA22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16))),"")</f>
        <v/>
      </c>
      <c r="AB22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16))),"")</f>
        <v/>
      </c>
      <c r="AC22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16))),"")</f>
        <v/>
      </c>
      <c r="AD22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16))),"")</f>
        <v/>
      </c>
      <c r="AE22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16))),"")</f>
        <v/>
      </c>
      <c r="AF22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16))),"")</f>
        <v/>
      </c>
      <c r="AG22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16))),"")</f>
        <v/>
      </c>
      <c r="AH22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16))),"")</f>
        <v/>
      </c>
      <c r="AI22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IFERROR(INDEX(#REF!,_xlfn.AGGREGATE(15,6,(ROW(#REF!)-ROW(#REF!))/(Таблица1[[мес]:[мес]]=$J$5)/(Таблица1[[год]:[год]]=$L$5)/(Таблица1[[изд]:[изд]]=$N$1:$T$1)/(Таблица1[[партия]:[партия]]=$W$1),ROW(AH16))),"")</f>
        <v/>
      </c>
      <c r="AJ22" s="139">
        <f t="shared" si="0"/>
        <v>0</v>
      </c>
    </row>
    <row r="23" spans="1:36" ht="33" customHeight="1">
      <c r="A23" s="148">
        <v>17</v>
      </c>
      <c r="B23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17))),"")</f>
        <v/>
      </c>
      <c r="C23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О.]]))/(Таблица1[[мес]:[мес]]=$J$5)/(Таблица1[[год]:[год]]=$L$5)/(Таблица1[[изд]:[изд]]=$N$1)/(Таблица1[[партия]:[партия]]=$W$1),ROW(B17))),"")</f>
        <v/>
      </c>
      <c r="D23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17))),"")</f>
        <v/>
      </c>
      <c r="E23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17))),"")</f>
        <v/>
      </c>
      <c r="F23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17))),"")</f>
        <v/>
      </c>
      <c r="G23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17))),"")</f>
        <v/>
      </c>
      <c r="H23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17))),"")</f>
        <v/>
      </c>
      <c r="I23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17))),"")</f>
        <v/>
      </c>
      <c r="J23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17))),"")</f>
        <v/>
      </c>
      <c r="K23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17))),"")</f>
        <v/>
      </c>
      <c r="L23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17))),"")</f>
        <v/>
      </c>
      <c r="M23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17))),"")</f>
        <v/>
      </c>
      <c r="N23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17))),"")</f>
        <v/>
      </c>
      <c r="O23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17))),"")</f>
        <v/>
      </c>
      <c r="P23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17))),"")</f>
        <v/>
      </c>
      <c r="Q23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17))),"")</f>
        <v/>
      </c>
      <c r="R23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17))),"")</f>
        <v/>
      </c>
      <c r="S23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17))),"")</f>
        <v/>
      </c>
      <c r="T23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17))),"")</f>
        <v/>
      </c>
      <c r="U23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17))),"")</f>
        <v/>
      </c>
      <c r="V23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17))),"")</f>
        <v/>
      </c>
      <c r="W23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17))),"")</f>
        <v/>
      </c>
      <c r="X23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17))),"")</f>
        <v/>
      </c>
      <c r="Y23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17))),"")</f>
        <v/>
      </c>
      <c r="Z23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17))),"")</f>
        <v/>
      </c>
      <c r="AA23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17))),"")</f>
        <v/>
      </c>
      <c r="AB23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17))),"")</f>
        <v/>
      </c>
      <c r="AC23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17))),"")</f>
        <v/>
      </c>
      <c r="AD23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17))),"")</f>
        <v/>
      </c>
      <c r="AE23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17))),"")</f>
        <v/>
      </c>
      <c r="AF23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17))),"")</f>
        <v/>
      </c>
      <c r="AG23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17))),"")</f>
        <v/>
      </c>
      <c r="AH23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17))),"")</f>
        <v/>
      </c>
      <c r="AI23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IFERROR(INDEX(#REF!,_xlfn.AGGREGATE(15,6,(ROW(#REF!)-ROW(#REF!))/(Таблица1[[мес]:[мес]]=$J$5)/(Таблица1[[год]:[год]]=$L$5)/(Таблица1[[изд]:[изд]]=$N$1:$T$1)/(Таблица1[[партия]:[партия]]=$W$1),ROW(AH17))),"")</f>
        <v/>
      </c>
      <c r="AJ23" s="139">
        <f t="shared" si="0"/>
        <v>0</v>
      </c>
    </row>
    <row r="24" spans="1:36" ht="33" customHeight="1">
      <c r="A24" s="148">
        <v>18</v>
      </c>
      <c r="B24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18))),"")</f>
        <v/>
      </c>
      <c r="C24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О.]]))/(Таблица1[[мес]:[мес]]=$J$5)/(Таблица1[[год]:[год]]=$L$5)/(Таблица1[[изд]:[изд]]=$N$1)/(Таблица1[[партия]:[партия]]=$W$1),ROW(B18))),"")</f>
        <v/>
      </c>
      <c r="D24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18))),"")</f>
        <v/>
      </c>
      <c r="E24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18))),"")</f>
        <v/>
      </c>
      <c r="F24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18))),"")</f>
        <v/>
      </c>
      <c r="G24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18))),"")</f>
        <v/>
      </c>
      <c r="H24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18))),"")</f>
        <v/>
      </c>
      <c r="I24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18))),"")</f>
        <v/>
      </c>
      <c r="J24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18))),"")</f>
        <v/>
      </c>
      <c r="K24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18))),"")</f>
        <v/>
      </c>
      <c r="L24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18))),"")</f>
        <v/>
      </c>
      <c r="M24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18))),"")</f>
        <v/>
      </c>
      <c r="N24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18))),"")</f>
        <v/>
      </c>
      <c r="O24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18))),"")</f>
        <v/>
      </c>
      <c r="P24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18))),"")</f>
        <v/>
      </c>
      <c r="Q24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18))),"")</f>
        <v/>
      </c>
      <c r="R24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18))),"")</f>
        <v/>
      </c>
      <c r="S24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18))),"")</f>
        <v/>
      </c>
      <c r="T24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18))),"")</f>
        <v/>
      </c>
      <c r="U24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18))),"")</f>
        <v/>
      </c>
      <c r="V24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18))),"")</f>
        <v/>
      </c>
      <c r="W24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18))),"")</f>
        <v/>
      </c>
      <c r="X24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18))),"")</f>
        <v/>
      </c>
      <c r="Y24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18))),"")</f>
        <v/>
      </c>
      <c r="Z24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18))),"")</f>
        <v/>
      </c>
      <c r="AA24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18))),"")</f>
        <v/>
      </c>
      <c r="AB24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18))),"")</f>
        <v/>
      </c>
      <c r="AC24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18))),"")</f>
        <v/>
      </c>
      <c r="AD24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18))),"")</f>
        <v/>
      </c>
      <c r="AE24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18))),"")</f>
        <v/>
      </c>
      <c r="AF24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18))),"")</f>
        <v/>
      </c>
      <c r="AG24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18))),"")</f>
        <v/>
      </c>
      <c r="AH24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18))),"")</f>
        <v/>
      </c>
      <c r="AI24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IFERROR(INDEX(#REF!,_xlfn.AGGREGATE(15,6,(ROW(#REF!)-ROW(#REF!))/(Таблица1[[мес]:[мес]]=$J$5)/(Таблица1[[год]:[год]]=$L$5)/(Таблица1[[изд]:[изд]]=$N$1:$T$1)/(Таблица1[[партия]:[партия]]=$W$1),ROW(AH18))),"")</f>
        <v/>
      </c>
      <c r="AJ24" s="139">
        <f t="shared" si="0"/>
        <v>0</v>
      </c>
    </row>
    <row r="25" spans="1:36" ht="33" customHeight="1">
      <c r="A25" s="148">
        <v>19</v>
      </c>
      <c r="B25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19))),"")</f>
        <v/>
      </c>
      <c r="C25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О.]]))/(Таблица1[[мес]:[мес]]=$J$5)/(Таблица1[[год]:[год]]=$L$5)/(Таблица1[[изд]:[изд]]=$N$1)/(Таблица1[[партия]:[партия]]=$W$1),ROW(B19))),"")</f>
        <v/>
      </c>
      <c r="D25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19))),"")</f>
        <v/>
      </c>
      <c r="E25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19))),"")</f>
        <v/>
      </c>
      <c r="F25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19))),"")</f>
        <v/>
      </c>
      <c r="G25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19))),"")</f>
        <v/>
      </c>
      <c r="H25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19))),"")</f>
        <v/>
      </c>
      <c r="I25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19))),"")</f>
        <v/>
      </c>
      <c r="J25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19))),"")</f>
        <v/>
      </c>
      <c r="K25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19))),"")</f>
        <v/>
      </c>
      <c r="L25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19))),"")</f>
        <v/>
      </c>
      <c r="M25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19))),"")</f>
        <v/>
      </c>
      <c r="N25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19))),"")</f>
        <v/>
      </c>
      <c r="O25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19))),"")</f>
        <v/>
      </c>
      <c r="P25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19))),"")</f>
        <v/>
      </c>
      <c r="Q25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19))),"")</f>
        <v/>
      </c>
      <c r="R25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19))),"")</f>
        <v/>
      </c>
      <c r="S25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19))),"")</f>
        <v/>
      </c>
      <c r="T25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19))),"")</f>
        <v/>
      </c>
      <c r="U25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19))),"")</f>
        <v/>
      </c>
      <c r="V25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19))),"")</f>
        <v/>
      </c>
      <c r="W25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19))),"")</f>
        <v/>
      </c>
      <c r="X25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19))),"")</f>
        <v/>
      </c>
      <c r="Y25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19))),"")</f>
        <v/>
      </c>
      <c r="Z25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19))),"")</f>
        <v/>
      </c>
      <c r="AA25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19))),"")</f>
        <v/>
      </c>
      <c r="AB25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19))),"")</f>
        <v/>
      </c>
      <c r="AC25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19))),"")</f>
        <v/>
      </c>
      <c r="AD25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19))),"")</f>
        <v/>
      </c>
      <c r="AE25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19))),"")</f>
        <v/>
      </c>
      <c r="AF25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19))),"")</f>
        <v/>
      </c>
      <c r="AG25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19))),"")</f>
        <v/>
      </c>
      <c r="AH25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19))),"")</f>
        <v/>
      </c>
      <c r="AI25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IFERROR(INDEX(#REF!,_xlfn.AGGREGATE(15,6,(ROW(#REF!)-ROW(#REF!))/(Таблица1[[мес]:[мес]]=$J$5)/(Таблица1[[год]:[год]]=$L$5)/(Таблица1[[изд]:[изд]]=$N$1:$T$1)/(Таблица1[[партия]:[партия]]=$W$1),ROW(AH19))),"")</f>
        <v/>
      </c>
      <c r="AJ25" s="139">
        <f t="shared" si="0"/>
        <v>0</v>
      </c>
    </row>
    <row r="26" spans="1:36" ht="33" customHeight="1">
      <c r="A26" s="148">
        <v>20</v>
      </c>
      <c r="B26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20))),"")</f>
        <v/>
      </c>
      <c r="C26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О.]]))/(Таблица1[[мес]:[мес]]=$J$5)/(Таблица1[[год]:[год]]=$L$5)/(Таблица1[[изд]:[изд]]=$N$1)/(Таблица1[[партия]:[партия]]=$W$1),ROW(B20))),"")</f>
        <v/>
      </c>
      <c r="D26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20))),"")</f>
        <v/>
      </c>
      <c r="E26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20))),"")</f>
        <v/>
      </c>
      <c r="F26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20))),"")</f>
        <v/>
      </c>
      <c r="G26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20))),"")</f>
        <v/>
      </c>
      <c r="H26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20))),"")</f>
        <v/>
      </c>
      <c r="I26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20))),"")</f>
        <v/>
      </c>
      <c r="J26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20))),"")</f>
        <v/>
      </c>
      <c r="K26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20))),"")</f>
        <v/>
      </c>
      <c r="L26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20))),"")</f>
        <v/>
      </c>
      <c r="M26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20))),"")</f>
        <v/>
      </c>
      <c r="N26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20))),"")</f>
        <v/>
      </c>
      <c r="O26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20))),"")</f>
        <v/>
      </c>
      <c r="P26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20))),"")</f>
        <v/>
      </c>
      <c r="Q26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20))),"")</f>
        <v/>
      </c>
      <c r="R26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20))),"")</f>
        <v/>
      </c>
      <c r="S26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20))),"")</f>
        <v/>
      </c>
      <c r="T26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20))),"")</f>
        <v/>
      </c>
      <c r="U26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20))),"")</f>
        <v/>
      </c>
      <c r="V26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20))),"")</f>
        <v/>
      </c>
      <c r="W26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20))),"")</f>
        <v/>
      </c>
      <c r="X26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20))),"")</f>
        <v/>
      </c>
      <c r="Y26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20))),"")</f>
        <v/>
      </c>
      <c r="Z26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20))),"")</f>
        <v/>
      </c>
      <c r="AA26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20))),"")</f>
        <v/>
      </c>
      <c r="AB26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20))),"")</f>
        <v/>
      </c>
      <c r="AC26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20))),"")</f>
        <v/>
      </c>
      <c r="AD26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20))),"")</f>
        <v/>
      </c>
      <c r="AE26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20))),"")</f>
        <v/>
      </c>
      <c r="AF26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20))),"")</f>
        <v/>
      </c>
      <c r="AG26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20))),"")</f>
        <v/>
      </c>
      <c r="AH26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20))),"")</f>
        <v/>
      </c>
      <c r="AI26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IFERROR(INDEX(#REF!,_xlfn.AGGREGATE(15,6,(ROW(#REF!)-ROW(#REF!))/(Таблица1[[мес]:[мес]]=$J$5)/(Таблица1[[год]:[год]]=$L$5)/(Таблица1[[изд]:[изд]]=$N$1:$T$1)/(Таблица1[[партия]:[партия]]=$W$1),ROW(AH20))),"")</f>
        <v/>
      </c>
      <c r="AJ26" s="139">
        <f>SUM(E26:AI26)</f>
        <v>0</v>
      </c>
    </row>
    <row r="27" spans="1:36" ht="33" customHeight="1">
      <c r="A27" s="148">
        <v>21</v>
      </c>
      <c r="B27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21))),"")</f>
        <v/>
      </c>
      <c r="C27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О.]]))/(Таблица1[[мес]:[мес]]=$J$5)/(Таблица1[[год]:[год]]=$L$5)/(Таблица1[[изд]:[изд]]=$N$1)/(Таблица1[[партия]:[партия]]=$W$1),ROW(B21))),"")</f>
        <v/>
      </c>
      <c r="D27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21))),"")</f>
        <v/>
      </c>
      <c r="E27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21))),"")</f>
        <v/>
      </c>
      <c r="F27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21))),"")</f>
        <v/>
      </c>
      <c r="G27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21))),"")</f>
        <v/>
      </c>
      <c r="H27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21))),"")</f>
        <v/>
      </c>
      <c r="I27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21))),"")</f>
        <v/>
      </c>
      <c r="J27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21))),"")</f>
        <v/>
      </c>
      <c r="K27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21))),"")</f>
        <v/>
      </c>
      <c r="L27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21))),"")</f>
        <v/>
      </c>
      <c r="M27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21))),"")</f>
        <v/>
      </c>
      <c r="N27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21))),"")</f>
        <v/>
      </c>
      <c r="O27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21))),"")</f>
        <v/>
      </c>
      <c r="P27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21))),"")</f>
        <v/>
      </c>
      <c r="Q27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21))),"")</f>
        <v/>
      </c>
      <c r="R27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21))),"")</f>
        <v/>
      </c>
      <c r="S27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21))),"")</f>
        <v/>
      </c>
      <c r="T27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21))),"")</f>
        <v/>
      </c>
      <c r="U27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21))),"")</f>
        <v/>
      </c>
      <c r="V27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21))),"")</f>
        <v/>
      </c>
      <c r="W27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21))),"")</f>
        <v/>
      </c>
      <c r="X27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21))),"")</f>
        <v/>
      </c>
      <c r="Y27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21))),"")</f>
        <v/>
      </c>
      <c r="Z27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21))),"")</f>
        <v/>
      </c>
      <c r="AA27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21))),"")</f>
        <v/>
      </c>
      <c r="AB27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21))),"")</f>
        <v/>
      </c>
      <c r="AC27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21))),"")</f>
        <v/>
      </c>
      <c r="AD27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21))),"")</f>
        <v/>
      </c>
      <c r="AE27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21))),"")</f>
        <v/>
      </c>
      <c r="AF27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21))),"")</f>
        <v/>
      </c>
      <c r="AG27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21))),"")</f>
        <v/>
      </c>
      <c r="AH27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21))),"")</f>
        <v/>
      </c>
      <c r="AI27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IFERROR(INDEX(#REF!,_xlfn.AGGREGATE(15,6,(ROW(#REF!)-ROW(#REF!))/(Таблица1[[мес]:[мес]]=$J$5)/(Таблица1[[год]:[год]]=$L$5)/(Таблица1[[изд]:[изд]]=$N$1:$T$1)/(Таблица1[[партия]:[партия]]=$W$1),ROW(AH21))),"")</f>
        <v/>
      </c>
      <c r="AJ27" s="139">
        <f>SUM(E27:AI27)</f>
        <v>0</v>
      </c>
    </row>
    <row r="28" spans="1:36" ht="33" customHeight="1">
      <c r="A28" s="148">
        <v>22</v>
      </c>
      <c r="B28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22))),"")</f>
        <v/>
      </c>
      <c r="C28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О.]]))/(Таблица1[[мес]:[мес]]=$J$5)/(Таблица1[[год]:[год]]=$L$5)/(Таблица1[[изд]:[изд]]=$N$1)/(Таблица1[[партия]:[партия]]=$W$1),ROW(B22))),"")</f>
        <v/>
      </c>
      <c r="D28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22))),"")</f>
        <v/>
      </c>
      <c r="E28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22))),"")</f>
        <v/>
      </c>
      <c r="F28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22))),"")</f>
        <v/>
      </c>
      <c r="G28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22))),"")</f>
        <v/>
      </c>
      <c r="H28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22))),"")</f>
        <v/>
      </c>
      <c r="I28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22))),"")</f>
        <v/>
      </c>
      <c r="J28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22))),"")</f>
        <v/>
      </c>
      <c r="K28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22))),"")</f>
        <v/>
      </c>
      <c r="L28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22))),"")</f>
        <v/>
      </c>
      <c r="M28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22))),"")</f>
        <v/>
      </c>
      <c r="N28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22))),"")</f>
        <v/>
      </c>
      <c r="O28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22))),"")</f>
        <v/>
      </c>
      <c r="P28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22))),"")</f>
        <v/>
      </c>
      <c r="Q28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22))),"")</f>
        <v/>
      </c>
      <c r="R28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22))),"")</f>
        <v/>
      </c>
      <c r="S28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22))),"")</f>
        <v/>
      </c>
      <c r="T28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22))),"")</f>
        <v/>
      </c>
      <c r="U28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22))),"")</f>
        <v/>
      </c>
      <c r="V28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22))),"")</f>
        <v/>
      </c>
      <c r="W28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22))),"")</f>
        <v/>
      </c>
      <c r="X28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22))),"")</f>
        <v/>
      </c>
      <c r="Y28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22))),"")</f>
        <v/>
      </c>
      <c r="Z28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22))),"")</f>
        <v/>
      </c>
      <c r="AA28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22))),"")</f>
        <v/>
      </c>
      <c r="AB28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22))),"")</f>
        <v/>
      </c>
      <c r="AC28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22))),"")</f>
        <v/>
      </c>
      <c r="AD28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22))),"")</f>
        <v/>
      </c>
      <c r="AE28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22))),"")</f>
        <v/>
      </c>
      <c r="AF28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22))),"")</f>
        <v/>
      </c>
      <c r="AG28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22))),"")</f>
        <v/>
      </c>
      <c r="AH28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22))),"")</f>
        <v/>
      </c>
      <c r="AI28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IFERROR(INDEX(#REF!,_xlfn.AGGREGATE(15,6,(ROW(#REF!)-ROW(#REF!))/(Таблица1[[мес]:[мес]]=$J$5)/(Таблица1[[год]:[год]]=$L$5)/(Таблица1[[изд]:[изд]]=$N$1:$T$1)/(Таблица1[[партия]:[партия]]=$W$1),ROW(AH22))),"")</f>
        <v/>
      </c>
      <c r="AJ28" s="139">
        <f t="shared" ref="AJ28:AJ30" si="1">SUM(E28:AI28)</f>
        <v>0</v>
      </c>
    </row>
    <row r="29" spans="1:36" ht="33" hidden="1" customHeight="1">
      <c r="A29" s="148">
        <v>23</v>
      </c>
      <c r="B29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23))),"")</f>
        <v/>
      </c>
      <c r="C29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О.]]))/(Таблица1[[мес]:[мес]]=$J$5)/(Таблица1[[год]:[год]]=$L$5)/(Таблица1[[изд]:[изд]]=$N$1)/(Таблица1[[партия]:[партия]]=$W$1),ROW(B23))),"")</f>
        <v/>
      </c>
      <c r="D29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23))),"")</f>
        <v/>
      </c>
      <c r="E29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23))),"")</f>
        <v/>
      </c>
      <c r="F29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23))),"")</f>
        <v/>
      </c>
      <c r="G29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23))),"")</f>
        <v/>
      </c>
      <c r="H29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23))),"")</f>
        <v/>
      </c>
      <c r="I29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23))),"")</f>
        <v/>
      </c>
      <c r="J29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23))),"")</f>
        <v/>
      </c>
      <c r="K29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23))),"")</f>
        <v/>
      </c>
      <c r="L29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23))),"")</f>
        <v/>
      </c>
      <c r="M29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23))),"")</f>
        <v/>
      </c>
      <c r="N29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23))),"")</f>
        <v/>
      </c>
      <c r="O29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23))),"")</f>
        <v/>
      </c>
      <c r="P29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23))),"")</f>
        <v/>
      </c>
      <c r="Q29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23))),"")</f>
        <v/>
      </c>
      <c r="R29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23))),"")</f>
        <v/>
      </c>
      <c r="S29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23))),"")</f>
        <v/>
      </c>
      <c r="T29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23))),"")</f>
        <v/>
      </c>
      <c r="U29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23))),"")</f>
        <v/>
      </c>
      <c r="V29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23))),"")</f>
        <v/>
      </c>
      <c r="W29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23))),"")</f>
        <v/>
      </c>
      <c r="X29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23))),"")</f>
        <v/>
      </c>
      <c r="Y29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23))),"")</f>
        <v/>
      </c>
      <c r="Z29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23))),"")</f>
        <v/>
      </c>
      <c r="AA29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23))),"")</f>
        <v/>
      </c>
      <c r="AB29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23))),"")</f>
        <v/>
      </c>
      <c r="AC29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23))),"")</f>
        <v/>
      </c>
      <c r="AD29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23))),"")</f>
        <v/>
      </c>
      <c r="AE29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23))),"")</f>
        <v/>
      </c>
      <c r="AF29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23))),"")</f>
        <v/>
      </c>
      <c r="AG29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23))),"")</f>
        <v/>
      </c>
      <c r="AH29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23))),"")</f>
        <v/>
      </c>
      <c r="AI29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IFERROR(INDEX(#REF!,_xlfn.AGGREGATE(15,6,(ROW(#REF!)-ROW(#REF!))/(Таблица1[[мес]:[мес]]=$J$5)/(Таблица1[[год]:[год]]=$L$5)/(Таблица1[[изд]:[изд]]=$N$1:$T$1)/(Таблица1[[партия]:[партия]]=$W$1),ROW(AH23))),"")</f>
        <v/>
      </c>
      <c r="AJ29" s="139">
        <f t="shared" si="1"/>
        <v>0</v>
      </c>
    </row>
    <row r="30" spans="1:36" ht="33" hidden="1" customHeight="1">
      <c r="A30" s="148">
        <v>24</v>
      </c>
      <c r="B30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24))),"")</f>
        <v/>
      </c>
      <c r="C30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О.]]))/(Таблица1[[мес]:[мес]]=$J$5)/(Таблица1[[год]:[год]]=$L$5)/(Таблица1[[изд]:[изд]]=$N$1)/(Таблица1[[партия]:[партия]]=$W$1),ROW(B24))),"")</f>
        <v/>
      </c>
      <c r="D30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24))),"")</f>
        <v/>
      </c>
      <c r="E30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24))),"")</f>
        <v/>
      </c>
      <c r="F30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24))),"")</f>
        <v/>
      </c>
      <c r="G30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24))),"")</f>
        <v/>
      </c>
      <c r="H30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24))),"")</f>
        <v/>
      </c>
      <c r="I30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24))),"")</f>
        <v/>
      </c>
      <c r="J30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24))),"")</f>
        <v/>
      </c>
      <c r="K30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24))),"")</f>
        <v/>
      </c>
      <c r="L30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24))),"")</f>
        <v/>
      </c>
      <c r="M30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24))),"")</f>
        <v/>
      </c>
      <c r="N30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24))),"")</f>
        <v/>
      </c>
      <c r="O30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24))),"")</f>
        <v/>
      </c>
      <c r="P30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24))),"")</f>
        <v/>
      </c>
      <c r="Q30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24))),"")</f>
        <v/>
      </c>
      <c r="R30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24))),"")</f>
        <v/>
      </c>
      <c r="S30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24))),"")</f>
        <v/>
      </c>
      <c r="T30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24))),"")</f>
        <v/>
      </c>
      <c r="U30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24))),"")</f>
        <v/>
      </c>
      <c r="V30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24))),"")</f>
        <v/>
      </c>
      <c r="W30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24))),"")</f>
        <v/>
      </c>
      <c r="X30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24))),"")</f>
        <v/>
      </c>
      <c r="Y30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24))),"")</f>
        <v/>
      </c>
      <c r="Z30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24))),"")</f>
        <v/>
      </c>
      <c r="AA30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24))),"")</f>
        <v/>
      </c>
      <c r="AB30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24))),"")</f>
        <v/>
      </c>
      <c r="AC30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24))),"")</f>
        <v/>
      </c>
      <c r="AD30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24))),"")</f>
        <v/>
      </c>
      <c r="AE30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24))),"")</f>
        <v/>
      </c>
      <c r="AF30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24))),"")</f>
        <v/>
      </c>
      <c r="AG30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24))),"")</f>
        <v/>
      </c>
      <c r="AH30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24))),"")</f>
        <v/>
      </c>
      <c r="AI30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IFERROR(INDEX(#REF!,_xlfn.AGGREGATE(15,6,(ROW(#REF!)-ROW(#REF!))/(Таблица1[[мес]:[мес]]=$J$5)/(Таблица1[[год]:[год]]=$L$5)/(Таблица1[[изд]:[изд]]=$N$1:$T$1)/(Таблица1[[партия]:[партия]]=$W$1),ROW(AH24))),"")</f>
        <v/>
      </c>
      <c r="AJ30" s="139">
        <f t="shared" si="1"/>
        <v>0</v>
      </c>
    </row>
    <row r="31" spans="1:36" ht="21" customHeight="1">
      <c r="A31" s="148"/>
      <c r="B31" s="36"/>
      <c r="C31" s="33" t="s">
        <v>63</v>
      </c>
      <c r="D31" s="36"/>
      <c r="E31" s="34">
        <f>SUM(E7:E30)</f>
        <v>0</v>
      </c>
      <c r="F31" s="34">
        <f t="shared" ref="F31:AI31" si="2">SUM(F7:F30)</f>
        <v>0</v>
      </c>
      <c r="G31" s="34">
        <f t="shared" si="2"/>
        <v>0</v>
      </c>
      <c r="H31" s="34">
        <f t="shared" si="2"/>
        <v>0</v>
      </c>
      <c r="I31" s="34">
        <f t="shared" si="2"/>
        <v>0</v>
      </c>
      <c r="J31" s="34">
        <f t="shared" si="2"/>
        <v>0</v>
      </c>
      <c r="K31" s="34">
        <f t="shared" si="2"/>
        <v>0</v>
      </c>
      <c r="L31" s="34">
        <f t="shared" si="2"/>
        <v>0</v>
      </c>
      <c r="M31" s="34">
        <f t="shared" si="2"/>
        <v>0</v>
      </c>
      <c r="N31" s="34">
        <f t="shared" si="2"/>
        <v>0</v>
      </c>
      <c r="O31" s="34">
        <f t="shared" si="2"/>
        <v>0</v>
      </c>
      <c r="P31" s="34">
        <f t="shared" si="2"/>
        <v>0</v>
      </c>
      <c r="Q31" s="34">
        <f t="shared" si="2"/>
        <v>0</v>
      </c>
      <c r="R31" s="34">
        <f t="shared" si="2"/>
        <v>0</v>
      </c>
      <c r="S31" s="34">
        <f t="shared" si="2"/>
        <v>0</v>
      </c>
      <c r="T31" s="34">
        <f t="shared" si="2"/>
        <v>0</v>
      </c>
      <c r="U31" s="34">
        <f t="shared" si="2"/>
        <v>0</v>
      </c>
      <c r="V31" s="34">
        <f t="shared" si="2"/>
        <v>0</v>
      </c>
      <c r="W31" s="34">
        <f t="shared" si="2"/>
        <v>0</v>
      </c>
      <c r="X31" s="34">
        <f t="shared" si="2"/>
        <v>0</v>
      </c>
      <c r="Y31" s="34">
        <f t="shared" si="2"/>
        <v>0</v>
      </c>
      <c r="Z31" s="34">
        <f t="shared" si="2"/>
        <v>0</v>
      </c>
      <c r="AA31" s="34">
        <f t="shared" si="2"/>
        <v>0</v>
      </c>
      <c r="AB31" s="34">
        <f t="shared" si="2"/>
        <v>0</v>
      </c>
      <c r="AC31" s="34">
        <f t="shared" si="2"/>
        <v>0</v>
      </c>
      <c r="AD31" s="34">
        <f t="shared" si="2"/>
        <v>0</v>
      </c>
      <c r="AE31" s="34">
        <f t="shared" si="2"/>
        <v>0</v>
      </c>
      <c r="AF31" s="34">
        <f t="shared" si="2"/>
        <v>0</v>
      </c>
      <c r="AG31" s="34">
        <f t="shared" si="2"/>
        <v>0</v>
      </c>
      <c r="AH31" s="34">
        <f t="shared" si="2"/>
        <v>0</v>
      </c>
      <c r="AI31" s="34">
        <f t="shared" si="2"/>
        <v>0</v>
      </c>
      <c r="AJ31" s="145">
        <f>SUM(E31:AI31)</f>
        <v>0</v>
      </c>
    </row>
    <row r="32" spans="1:36" ht="7.5" customHeight="1">
      <c r="A32" s="148"/>
      <c r="B32" s="148"/>
      <c r="C32" s="149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148"/>
      <c r="T32" s="148"/>
      <c r="U32" s="148"/>
      <c r="V32" s="148"/>
      <c r="W32" s="148"/>
      <c r="X32" s="148"/>
      <c r="Y32" s="148"/>
      <c r="Z32" s="148"/>
      <c r="AA32" s="148"/>
      <c r="AB32" s="148"/>
      <c r="AC32" s="148"/>
      <c r="AD32" s="148"/>
      <c r="AE32" s="148"/>
      <c r="AF32" s="148"/>
      <c r="AG32" s="148"/>
      <c r="AH32" s="148"/>
      <c r="AI32" s="148"/>
      <c r="AJ32" s="150"/>
    </row>
    <row r="33" spans="1:41" s="62" customFormat="1" ht="27" customHeight="1">
      <c r="A33" s="261"/>
      <c r="B33" s="261"/>
      <c r="C33" s="296" t="s">
        <v>64</v>
      </c>
      <c r="D33" s="262"/>
      <c r="E33" s="262"/>
      <c r="F33" s="262"/>
      <c r="G33" s="295" t="str">
        <f>Data_Tech!$AU$7</f>
        <v>Кувшинов А.Г.</v>
      </c>
      <c r="H33" s="295"/>
      <c r="I33" s="261"/>
      <c r="J33" s="261"/>
      <c r="K33" s="261"/>
      <c r="L33" s="261"/>
      <c r="M33" s="261"/>
      <c r="N33" s="261"/>
      <c r="O33" s="261"/>
      <c r="P33" s="261"/>
      <c r="Q33" s="261"/>
      <c r="R33" s="260" t="s">
        <v>246</v>
      </c>
      <c r="S33" s="260"/>
      <c r="T33" s="260"/>
      <c r="U33" s="260"/>
      <c r="V33" s="259"/>
      <c r="W33" s="259"/>
      <c r="X33" s="259"/>
      <c r="Y33" s="259"/>
      <c r="Z33" s="259"/>
      <c r="AA33" s="260" t="s">
        <v>108</v>
      </c>
      <c r="AB33" s="260"/>
      <c r="AE33" s="261"/>
      <c r="AF33" s="261"/>
      <c r="AG33" s="261"/>
      <c r="AH33" s="261"/>
      <c r="AI33" s="261"/>
      <c r="AJ33" s="261"/>
    </row>
    <row r="34" spans="1:41" ht="23.25" customHeight="1">
      <c r="A34" s="148"/>
      <c r="B34" s="148"/>
      <c r="C34" s="149"/>
      <c r="D34" s="148"/>
      <c r="E34" s="148"/>
      <c r="F34" s="148"/>
      <c r="G34" s="148"/>
      <c r="H34" s="148"/>
      <c r="I34" s="148"/>
      <c r="J34" s="148"/>
      <c r="K34" s="148"/>
      <c r="L34" s="148"/>
      <c r="M34" s="148"/>
      <c r="N34" s="148"/>
      <c r="O34" s="148"/>
      <c r="P34" s="148"/>
      <c r="Q34" s="148"/>
      <c r="R34" s="148"/>
      <c r="S34" s="148"/>
      <c r="T34" s="148"/>
      <c r="U34" s="148"/>
      <c r="V34" s="148"/>
      <c r="W34" s="148"/>
      <c r="X34" s="148"/>
      <c r="Y34" s="148"/>
      <c r="Z34" s="148"/>
      <c r="AA34" s="221"/>
      <c r="AB34" s="148"/>
      <c r="AC34" s="148"/>
      <c r="AD34" s="148"/>
      <c r="AE34" s="148"/>
      <c r="AF34" s="148"/>
      <c r="AG34" s="148"/>
      <c r="AH34" s="148"/>
      <c r="AI34" s="148"/>
      <c r="AJ34" s="148"/>
    </row>
    <row r="35" spans="1:41" ht="20.25" customHeight="1">
      <c r="B35" s="62"/>
      <c r="C35" s="63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  <c r="AJ35" s="62"/>
    </row>
    <row r="36" spans="1:41" ht="18.75">
      <c r="AJ36" s="64"/>
    </row>
    <row r="37" spans="1:41" ht="31.5">
      <c r="C37" s="52"/>
      <c r="D37" s="53"/>
      <c r="AL37" s="293" t="s">
        <v>94</v>
      </c>
      <c r="AM37" s="293"/>
      <c r="AN37" s="293"/>
    </row>
    <row r="38" spans="1:41" ht="18">
      <c r="C38" s="52"/>
      <c r="D38" s="53"/>
      <c r="AL38" s="891">
        <f>SUMIFS(Таблица1[Столбец2],Таблица1[партия],W1,Таблица1[изд],N1)</f>
        <v>0</v>
      </c>
      <c r="AM38" s="891"/>
      <c r="AN38" s="891"/>
      <c r="AO38" s="891"/>
    </row>
    <row r="39" spans="1:41">
      <c r="AL39" s="891"/>
      <c r="AM39" s="891"/>
      <c r="AN39" s="891"/>
      <c r="AO39" s="891"/>
    </row>
    <row r="40" spans="1:41">
      <c r="AL40" s="891"/>
      <c r="AM40" s="891"/>
      <c r="AN40" s="891"/>
      <c r="AO40" s="891"/>
    </row>
    <row r="41" spans="1:41">
      <c r="AL41" s="891"/>
      <c r="AM41" s="891"/>
      <c r="AN41" s="891"/>
      <c r="AO41" s="891"/>
    </row>
  </sheetData>
  <mergeCells count="10">
    <mergeCell ref="AL38:AO41"/>
    <mergeCell ref="B1:I5"/>
    <mergeCell ref="N1:T1"/>
    <mergeCell ref="U1:V1"/>
    <mergeCell ref="W1:Y1"/>
    <mergeCell ref="AD2:AE2"/>
    <mergeCell ref="AD3:AE3"/>
    <mergeCell ref="AD4:AE4"/>
    <mergeCell ref="J5:K5"/>
    <mergeCell ref="L5:M5"/>
  </mergeCells>
  <pageMargins left="0.23622047244094491" right="0.23622047244094491" top="0.35433070866141736" bottom="0.35433070866141736" header="0" footer="0"/>
  <pageSetup paperSize="9" scale="57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O41"/>
  <sheetViews>
    <sheetView view="pageBreakPreview" zoomScale="60" zoomScaleNormal="70" workbookViewId="0">
      <selection activeCell="S5" sqref="S5"/>
    </sheetView>
  </sheetViews>
  <sheetFormatPr defaultRowHeight="15"/>
  <cols>
    <col min="1" max="1" customWidth="true" style="45" width="5.28515625"/>
    <col min="2" max="2" customWidth="true" style="45" width="7.5703125"/>
    <col min="3" max="3" customWidth="true" style="50" width="31.28515625"/>
    <col min="4" max="4" style="45" width="9.140625"/>
    <col min="5" max="35" customWidth="true" style="45" width="6.0"/>
    <col min="36" max="16384" style="45" width="9.140625"/>
  </cols>
  <sheetData>
    <row r="1" spans="1:36" s="32" customFormat="1" ht="29.25" customHeight="1">
      <c r="A1" s="151"/>
      <c r="B1" s="884" t="s">
        <v>75</v>
      </c>
      <c r="C1" s="884"/>
      <c r="D1" s="884"/>
      <c r="E1" s="884"/>
      <c r="F1" s="884"/>
      <c r="G1" s="884"/>
      <c r="H1" s="884"/>
      <c r="I1" s="884"/>
      <c r="J1" s="152" t="s">
        <v>68</v>
      </c>
      <c r="K1" s="248"/>
      <c r="L1" s="152"/>
      <c r="M1" s="152"/>
      <c r="N1" s="890">
        <v>6000</v>
      </c>
      <c r="O1" s="890"/>
      <c r="P1" s="890"/>
      <c r="Q1" s="890"/>
      <c r="R1" s="890"/>
      <c r="S1" s="890"/>
      <c r="T1" s="890"/>
      <c r="U1" s="892" t="s">
        <v>10</v>
      </c>
      <c r="V1" s="892"/>
      <c r="W1" s="889" t="s">
        <v>105</v>
      </c>
      <c r="X1" s="889"/>
      <c r="Y1" s="889"/>
      <c r="Z1" s="251"/>
      <c r="AA1" s="251"/>
      <c r="AB1" s="248"/>
      <c r="AC1" s="248"/>
      <c r="AD1" s="248"/>
      <c r="AE1" s="248"/>
      <c r="AF1" s="248"/>
      <c r="AG1" s="248"/>
      <c r="AH1" s="251"/>
      <c r="AI1" s="251"/>
      <c r="AJ1" s="154"/>
    </row>
    <row r="2" spans="1:36" s="32" customFormat="1" ht="21" customHeight="1">
      <c r="A2" s="151"/>
      <c r="B2" s="884"/>
      <c r="C2" s="884"/>
      <c r="D2" s="884"/>
      <c r="E2" s="884"/>
      <c r="F2" s="884"/>
      <c r="G2" s="884"/>
      <c r="H2" s="884"/>
      <c r="I2" s="884"/>
      <c r="J2" s="263"/>
      <c r="K2" s="157"/>
      <c r="L2" s="157"/>
      <c r="M2" s="157"/>
      <c r="N2" s="157"/>
      <c r="O2" s="567"/>
      <c r="P2" s="567"/>
      <c r="Q2" s="567"/>
      <c r="R2" s="250"/>
      <c r="S2" s="251"/>
      <c r="T2" s="252"/>
      <c r="U2" s="157"/>
      <c r="V2" s="157"/>
      <c r="W2" s="160"/>
      <c r="X2" s="160"/>
      <c r="Y2" s="160"/>
      <c r="Z2" s="251"/>
      <c r="AA2" s="251"/>
      <c r="AB2" s="247" t="s">
        <v>10</v>
      </c>
      <c r="AC2" s="247"/>
      <c r="AD2" s="887"/>
      <c r="AE2" s="887"/>
      <c r="AF2" s="247"/>
      <c r="AG2" s="247" t="s">
        <v>76</v>
      </c>
      <c r="AH2" s="247"/>
      <c r="AI2" s="247"/>
      <c r="AJ2" s="154"/>
    </row>
    <row r="3" spans="1:36" s="32" customFormat="1" ht="21" customHeight="1">
      <c r="A3" s="151"/>
      <c r="B3" s="884"/>
      <c r="C3" s="884"/>
      <c r="D3" s="884"/>
      <c r="E3" s="884"/>
      <c r="F3" s="884"/>
      <c r="G3" s="884"/>
      <c r="H3" s="884"/>
      <c r="I3" s="884"/>
      <c r="J3" s="263"/>
      <c r="K3" s="162" t="s">
        <v>77</v>
      </c>
      <c r="L3" s="157"/>
      <c r="M3" s="157"/>
      <c r="N3" s="576"/>
      <c r="O3" s="577"/>
      <c r="P3" s="577"/>
      <c r="Q3" s="577" t="e">
        <f>INDEX(база!$AL:$AL, MATCH(N1,база!$AK:$AK,0))</f>
        <v>#N/A</v>
      </c>
      <c r="R3" s="578"/>
      <c r="S3" s="578"/>
      <c r="T3" s="579"/>
      <c r="U3" s="157"/>
      <c r="V3" s="157"/>
      <c r="W3" s="164"/>
      <c r="X3" s="164"/>
      <c r="Y3" s="164"/>
      <c r="Z3" s="251"/>
      <c r="AA3" s="251"/>
      <c r="AB3" s="247" t="s">
        <v>78</v>
      </c>
      <c r="AC3" s="247"/>
      <c r="AD3" s="887"/>
      <c r="AE3" s="887"/>
      <c r="AF3" s="247"/>
      <c r="AG3" s="247" t="s">
        <v>85</v>
      </c>
      <c r="AH3" s="247"/>
      <c r="AI3" s="247"/>
      <c r="AJ3" s="154"/>
    </row>
    <row r="4" spans="1:36" s="32" customFormat="1" ht="21" customHeight="1">
      <c r="A4" s="151"/>
      <c r="B4" s="884"/>
      <c r="C4" s="884"/>
      <c r="D4" s="884"/>
      <c r="E4" s="884"/>
      <c r="F4" s="884"/>
      <c r="G4" s="884"/>
      <c r="H4" s="884"/>
      <c r="I4" s="884"/>
      <c r="J4" s="263"/>
      <c r="K4" s="157"/>
      <c r="L4" s="157"/>
      <c r="M4" s="157"/>
      <c r="N4" s="157"/>
      <c r="O4" s="264"/>
      <c r="P4" s="264"/>
      <c r="Q4" s="264"/>
      <c r="R4" s="251"/>
      <c r="S4" s="251"/>
      <c r="T4" s="252"/>
      <c r="U4" s="157"/>
      <c r="V4" s="157"/>
      <c r="W4" s="164"/>
      <c r="X4" s="164"/>
      <c r="Y4" s="164"/>
      <c r="Z4" s="251"/>
      <c r="AA4" s="251"/>
      <c r="AB4" s="247" t="s">
        <v>79</v>
      </c>
      <c r="AC4" s="247"/>
      <c r="AD4" s="887"/>
      <c r="AE4" s="887"/>
      <c r="AF4" s="247"/>
      <c r="AG4" s="247" t="s">
        <v>80</v>
      </c>
      <c r="AH4" s="247"/>
      <c r="AI4" s="247"/>
      <c r="AJ4" s="154"/>
    </row>
    <row r="5" spans="1:36" s="32" customFormat="1" ht="24" customHeight="1">
      <c r="A5" s="151"/>
      <c r="B5" s="884"/>
      <c r="C5" s="884"/>
      <c r="D5" s="884"/>
      <c r="E5" s="884"/>
      <c r="F5" s="884"/>
      <c r="G5" s="884"/>
      <c r="H5" s="884"/>
      <c r="I5" s="884"/>
      <c r="J5" s="885" t="str">
        <f>Data_Tech!A3</f>
        <v>декабрь</v>
      </c>
      <c r="K5" s="885"/>
      <c r="L5" s="886">
        <v>2022</v>
      </c>
      <c r="M5" s="886"/>
      <c r="N5" s="265"/>
      <c r="O5" s="265"/>
      <c r="P5" s="265"/>
      <c r="Q5" s="265"/>
      <c r="R5" s="265"/>
      <c r="S5" s="265"/>
      <c r="T5" s="265"/>
      <c r="U5" s="265"/>
      <c r="V5" s="265"/>
      <c r="W5" s="251"/>
      <c r="X5" s="251"/>
      <c r="Y5" s="251"/>
      <c r="Z5" s="251"/>
      <c r="AA5" s="251"/>
      <c r="AB5" s="247" t="s">
        <v>81</v>
      </c>
      <c r="AC5" s="247"/>
      <c r="AD5" s="247"/>
      <c r="AE5" s="247"/>
      <c r="AF5" s="247"/>
      <c r="AG5" s="247" t="s">
        <v>82</v>
      </c>
      <c r="AH5" s="247"/>
      <c r="AI5" s="247"/>
      <c r="AJ5" s="154"/>
    </row>
    <row r="6" spans="1:36" s="32" customFormat="1" ht="27" customHeight="1">
      <c r="A6" s="151"/>
      <c r="B6" s="133" t="s">
        <v>9</v>
      </c>
      <c r="C6" s="134" t="s">
        <v>0</v>
      </c>
      <c r="D6" s="135" t="s">
        <v>1</v>
      </c>
      <c r="E6" s="136">
        <v>1</v>
      </c>
      <c r="F6" s="136">
        <v>2</v>
      </c>
      <c r="G6" s="136">
        <v>3</v>
      </c>
      <c r="H6" s="136">
        <v>4</v>
      </c>
      <c r="I6" s="136">
        <v>5</v>
      </c>
      <c r="J6" s="136">
        <v>6</v>
      </c>
      <c r="K6" s="136">
        <v>7</v>
      </c>
      <c r="L6" s="136">
        <v>8</v>
      </c>
      <c r="M6" s="136">
        <v>9</v>
      </c>
      <c r="N6" s="136">
        <v>10</v>
      </c>
      <c r="O6" s="136">
        <v>11</v>
      </c>
      <c r="P6" s="136">
        <v>12</v>
      </c>
      <c r="Q6" s="136">
        <v>13</v>
      </c>
      <c r="R6" s="136">
        <v>14</v>
      </c>
      <c r="S6" s="136">
        <v>15</v>
      </c>
      <c r="T6" s="136">
        <v>16</v>
      </c>
      <c r="U6" s="136">
        <v>17</v>
      </c>
      <c r="V6" s="136">
        <v>18</v>
      </c>
      <c r="W6" s="136">
        <v>19</v>
      </c>
      <c r="X6" s="136">
        <v>20</v>
      </c>
      <c r="Y6" s="136">
        <v>21</v>
      </c>
      <c r="Z6" s="136">
        <v>22</v>
      </c>
      <c r="AA6" s="136">
        <v>23</v>
      </c>
      <c r="AB6" s="136">
        <v>24</v>
      </c>
      <c r="AC6" s="136">
        <v>25</v>
      </c>
      <c r="AD6" s="136">
        <v>26</v>
      </c>
      <c r="AE6" s="136">
        <v>27</v>
      </c>
      <c r="AF6" s="136">
        <v>28</v>
      </c>
      <c r="AG6" s="136">
        <v>29</v>
      </c>
      <c r="AH6" s="136">
        <v>30</v>
      </c>
      <c r="AI6" s="136">
        <v>31</v>
      </c>
      <c r="AJ6" s="137"/>
    </row>
    <row r="7" spans="1:36" ht="33" customHeight="1">
      <c r="A7" s="148">
        <v>1</v>
      </c>
      <c r="B7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1))),"")</f>
        <v/>
      </c>
      <c r="C7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О.]]))/(Таблица1[[мес]:[мес]]=$J$5)/(Таблица1[[год]:[год]]=$L$5)/(Таблица1[[изд]:[изд]]=$N$1)/(Таблица1[[партия]:[партия]]=$W$1),ROW(B1))),"")</f>
        <v/>
      </c>
      <c r="D7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1))),"")</f>
        <v/>
      </c>
      <c r="E7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1))),"")</f>
        <v/>
      </c>
      <c r="F7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1))),"")</f>
        <v/>
      </c>
      <c r="G7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1))),"")</f>
        <v/>
      </c>
      <c r="H7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1))),"")</f>
        <v/>
      </c>
      <c r="I7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1))),"")</f>
        <v/>
      </c>
      <c r="J7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1))),"")</f>
        <v/>
      </c>
      <c r="K7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1))),"")</f>
        <v/>
      </c>
      <c r="L7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1))),"")</f>
        <v/>
      </c>
      <c r="M7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1))),"")</f>
        <v/>
      </c>
      <c r="N7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1))),"")</f>
        <v/>
      </c>
      <c r="O7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1))),"")</f>
        <v/>
      </c>
      <c r="P7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1))),"")</f>
        <v/>
      </c>
      <c r="Q7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1))),"")</f>
        <v/>
      </c>
      <c r="R7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1))),"")</f>
        <v/>
      </c>
      <c r="S7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1))),"")</f>
        <v/>
      </c>
      <c r="T7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1))),"")</f>
        <v/>
      </c>
      <c r="U7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1))),"")</f>
        <v/>
      </c>
      <c r="V7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1))),"")</f>
        <v/>
      </c>
      <c r="W7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1))),"")</f>
        <v/>
      </c>
      <c r="X7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1))),"")</f>
        <v/>
      </c>
      <c r="Y7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1))),"")</f>
        <v/>
      </c>
      <c r="Z7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1))),"")</f>
        <v/>
      </c>
      <c r="AA7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1))),"")</f>
        <v/>
      </c>
      <c r="AB7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1))),"")</f>
        <v/>
      </c>
      <c r="AC7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1))),"")</f>
        <v/>
      </c>
      <c r="AD7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1))),"")</f>
        <v/>
      </c>
      <c r="AE7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1))),"")</f>
        <v/>
      </c>
      <c r="AF7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1))),"")</f>
        <v/>
      </c>
      <c r="AG7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1))),"")</f>
        <v/>
      </c>
      <c r="AH7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1))),"")</f>
        <v/>
      </c>
      <c r="AI7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IFERROR(INDEX(#REF!,_xlfn.AGGREGATE(15,6,(ROW(#REF!)-ROW(#REF!))/(Таблица1[[мес]:[мес]]=$J$5)/(Таблица1[[год]:[год]]=$L$5)/(Таблица1[[изд]:[изд]]=$N$1:$T$1)/(Таблица1[[партия]:[партия]]=$W$1),ROW(AH1))),"")</f>
        <v/>
      </c>
      <c r="AJ7" s="139">
        <f t="shared" ref="AJ7:AJ25" si="0">SUM(E7:AI7)</f>
        <v>0</v>
      </c>
    </row>
    <row r="8" spans="1:36" ht="33" customHeight="1">
      <c r="A8" s="148">
        <v>2</v>
      </c>
      <c r="B8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2))),"")</f>
        <v/>
      </c>
      <c r="C8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О.]]))/(Таблица1[[мес]:[мес]]=$J$5)/(Таблица1[[год]:[год]]=$L$5)/(Таблица1[[изд]:[изд]]=$N$1)/(Таблица1[[партия]:[партия]]=$W$1),ROW(B2))),"")</f>
        <v/>
      </c>
      <c r="D8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2))),"")</f>
        <v/>
      </c>
      <c r="E8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2))),"")</f>
        <v/>
      </c>
      <c r="F8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2))),"")</f>
        <v/>
      </c>
      <c r="G8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2))),"")</f>
        <v/>
      </c>
      <c r="H8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2))),"")</f>
        <v/>
      </c>
      <c r="I8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2))),"")</f>
        <v/>
      </c>
      <c r="J8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2))),"")</f>
        <v/>
      </c>
      <c r="K8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2))),"")</f>
        <v/>
      </c>
      <c r="L8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2))),"")</f>
        <v/>
      </c>
      <c r="M8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2))),"")</f>
        <v/>
      </c>
      <c r="N8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2))),"")</f>
        <v/>
      </c>
      <c r="O8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2))),"")</f>
        <v/>
      </c>
      <c r="P8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2))),"")</f>
        <v/>
      </c>
      <c r="Q8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2))),"")</f>
        <v/>
      </c>
      <c r="R8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2))),"")</f>
        <v/>
      </c>
      <c r="S8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2))),"")</f>
        <v/>
      </c>
      <c r="T8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2))),"")</f>
        <v/>
      </c>
      <c r="U8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2))),"")</f>
        <v/>
      </c>
      <c r="V8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2))),"")</f>
        <v/>
      </c>
      <c r="W8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2))),"")</f>
        <v/>
      </c>
      <c r="X8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2))),"")</f>
        <v/>
      </c>
      <c r="Y8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2))),"")</f>
        <v/>
      </c>
      <c r="Z8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2))),"")</f>
        <v/>
      </c>
      <c r="AA8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2))),"")</f>
        <v/>
      </c>
      <c r="AB8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2))),"")</f>
        <v/>
      </c>
      <c r="AC8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2))),"")</f>
        <v/>
      </c>
      <c r="AD8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2))),"")</f>
        <v/>
      </c>
      <c r="AE8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2))),"")</f>
        <v/>
      </c>
      <c r="AF8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2))),"")</f>
        <v/>
      </c>
      <c r="AG8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2))),"")</f>
        <v/>
      </c>
      <c r="AH8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2))),"")</f>
        <v/>
      </c>
      <c r="AI8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IFERROR(INDEX(#REF!,_xlfn.AGGREGATE(15,6,(ROW(#REF!)-ROW(#REF!))/(Таблица1[[мес]:[мес]]=$J$5)/(Таблица1[[год]:[год]]=$L$5)/(Таблица1[[изд]:[изд]]=$N$1:$T$1)/(Таблица1[[партия]:[партия]]=$W$1),ROW(AH2))),"")</f>
        <v/>
      </c>
      <c r="AJ8" s="140">
        <f t="shared" si="0"/>
        <v>0</v>
      </c>
    </row>
    <row r="9" spans="1:36" ht="33" customHeight="1">
      <c r="A9" s="148">
        <v>3</v>
      </c>
      <c r="B9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3))),"")</f>
        <v/>
      </c>
      <c r="C9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О.]]))/(Таблица1[[мес]:[мес]]=$J$5)/(Таблица1[[год]:[год]]=$L$5)/(Таблица1[[изд]:[изд]]=$N$1)/(Таблица1[[партия]:[партия]]=$W$1),ROW(B3))),"")</f>
        <v/>
      </c>
      <c r="D9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3))),"")</f>
        <v/>
      </c>
      <c r="E9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3))),"")</f>
        <v/>
      </c>
      <c r="F9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3))),"")</f>
        <v/>
      </c>
      <c r="G9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3))),"")</f>
        <v/>
      </c>
      <c r="H9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3))),"")</f>
        <v/>
      </c>
      <c r="I9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3))),"")</f>
        <v/>
      </c>
      <c r="J9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3))),"")</f>
        <v/>
      </c>
      <c r="K9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3))),"")</f>
        <v/>
      </c>
      <c r="L9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3))),"")</f>
        <v/>
      </c>
      <c r="M9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3))),"")</f>
        <v/>
      </c>
      <c r="N9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3))),"")</f>
        <v/>
      </c>
      <c r="O9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3))),"")</f>
        <v/>
      </c>
      <c r="P9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3))),"")</f>
        <v/>
      </c>
      <c r="Q9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3))),"")</f>
        <v/>
      </c>
      <c r="R9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3))),"")</f>
        <v/>
      </c>
      <c r="S9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3))),"")</f>
        <v/>
      </c>
      <c r="T9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3))),"")</f>
        <v/>
      </c>
      <c r="U9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3))),"")</f>
        <v/>
      </c>
      <c r="V9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3))),"")</f>
        <v/>
      </c>
      <c r="W9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3))),"")</f>
        <v/>
      </c>
      <c r="X9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3))),"")</f>
        <v/>
      </c>
      <c r="Y9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3))),"")</f>
        <v/>
      </c>
      <c r="Z9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3))),"")</f>
        <v/>
      </c>
      <c r="AA9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3))),"")</f>
        <v/>
      </c>
      <c r="AB9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3))),"")</f>
        <v/>
      </c>
      <c r="AC9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3))),"")</f>
        <v/>
      </c>
      <c r="AD9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3))),"")</f>
        <v/>
      </c>
      <c r="AE9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3))),"")</f>
        <v/>
      </c>
      <c r="AF9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3))),"")</f>
        <v/>
      </c>
      <c r="AG9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3))),"")</f>
        <v/>
      </c>
      <c r="AH9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3))),"")</f>
        <v/>
      </c>
      <c r="AI9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IFERROR(INDEX(#REF!,_xlfn.AGGREGATE(15,6,(ROW(#REF!)-ROW(#REF!))/(Таблица1[[мес]:[мес]]=$J$5)/(Таблица1[[год]:[год]]=$L$5)/(Таблица1[[изд]:[изд]]=$N$1:$T$1)/(Таблица1[[партия]:[партия]]=$W$1),ROW(AH3))),"")</f>
        <v/>
      </c>
      <c r="AJ9" s="139">
        <f t="shared" si="0"/>
        <v>0</v>
      </c>
    </row>
    <row r="10" spans="1:36" ht="33" customHeight="1">
      <c r="A10" s="148">
        <v>4</v>
      </c>
      <c r="B10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4))),"")</f>
        <v/>
      </c>
      <c r="C10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О.]]))/(Таблица1[[мес]:[мес]]=$J$5)/(Таблица1[[год]:[год]]=$L$5)/(Таблица1[[изд]:[изд]]=$N$1)/(Таблица1[[партия]:[партия]]=$W$1),ROW(B4))),"")</f>
        <v/>
      </c>
      <c r="D10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4))),"")</f>
        <v/>
      </c>
      <c r="E10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4))),"")</f>
        <v/>
      </c>
      <c r="F10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4))),"")</f>
        <v/>
      </c>
      <c r="G10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4))),"")</f>
        <v/>
      </c>
      <c r="H10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4))),"")</f>
        <v/>
      </c>
      <c r="I10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4))),"")</f>
        <v/>
      </c>
      <c r="J10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4))),"")</f>
        <v/>
      </c>
      <c r="K10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4))),"")</f>
        <v/>
      </c>
      <c r="L10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4))),"")</f>
        <v/>
      </c>
      <c r="M10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4))),"")</f>
        <v/>
      </c>
      <c r="N10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4))),"")</f>
        <v/>
      </c>
      <c r="O10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4))),"")</f>
        <v/>
      </c>
      <c r="P10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4))),"")</f>
        <v/>
      </c>
      <c r="Q10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4))),"")</f>
        <v/>
      </c>
      <c r="R10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4))),"")</f>
        <v/>
      </c>
      <c r="S10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4))),"")</f>
        <v/>
      </c>
      <c r="T10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4))),"")</f>
        <v/>
      </c>
      <c r="U10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4))),"")</f>
        <v/>
      </c>
      <c r="V10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4))),"")</f>
        <v/>
      </c>
      <c r="W10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4))),"")</f>
        <v/>
      </c>
      <c r="X10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4))),"")</f>
        <v/>
      </c>
      <c r="Y10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4))),"")</f>
        <v/>
      </c>
      <c r="Z10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4))),"")</f>
        <v/>
      </c>
      <c r="AA10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4))),"")</f>
        <v/>
      </c>
      <c r="AB10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4))),"")</f>
        <v/>
      </c>
      <c r="AC10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4))),"")</f>
        <v/>
      </c>
      <c r="AD10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4))),"")</f>
        <v/>
      </c>
      <c r="AE10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4))),"")</f>
        <v/>
      </c>
      <c r="AF10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4))),"")</f>
        <v/>
      </c>
      <c r="AG10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4))),"")</f>
        <v/>
      </c>
      <c r="AH10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4))),"")</f>
        <v/>
      </c>
      <c r="AI10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IFERROR(INDEX(#REF!,_xlfn.AGGREGATE(15,6,(ROW(#REF!)-ROW(#REF!))/(Таблица1[[мес]:[мес]]=$J$5)/(Таблица1[[год]:[год]]=$L$5)/(Таблица1[[изд]:[изд]]=$N$1:$T$1)/(Таблица1[[партия]:[партия]]=$W$1),ROW(AH4))),"")</f>
        <v/>
      </c>
      <c r="AJ10" s="140">
        <f t="shared" si="0"/>
        <v>0</v>
      </c>
    </row>
    <row r="11" spans="1:36" ht="33" customHeight="1">
      <c r="A11" s="148">
        <v>5</v>
      </c>
      <c r="B11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5))),"")</f>
        <v/>
      </c>
      <c r="C11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О.]]))/(Таблица1[[мес]:[мес]]=$J$5)/(Таблица1[[год]:[год]]=$L$5)/(Таблица1[[изд]:[изд]]=$N$1)/(Таблица1[[партия]:[партия]]=$W$1),ROW(B5))),"")</f>
        <v/>
      </c>
      <c r="D11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5))),"")</f>
        <v/>
      </c>
      <c r="E11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5))),"")</f>
        <v/>
      </c>
      <c r="F11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5))),"")</f>
        <v/>
      </c>
      <c r="G11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5))),"")</f>
        <v/>
      </c>
      <c r="H11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5))),"")</f>
        <v/>
      </c>
      <c r="I11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5))),"")</f>
        <v/>
      </c>
      <c r="J11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5))),"")</f>
        <v/>
      </c>
      <c r="K11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5))),"")</f>
        <v/>
      </c>
      <c r="L11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5))),"")</f>
        <v/>
      </c>
      <c r="M11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5))),"")</f>
        <v/>
      </c>
      <c r="N11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5))),"")</f>
        <v/>
      </c>
      <c r="O11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5))),"")</f>
        <v/>
      </c>
      <c r="P11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5))),"")</f>
        <v/>
      </c>
      <c r="Q11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5))),"")</f>
        <v/>
      </c>
      <c r="R11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5))),"")</f>
        <v/>
      </c>
      <c r="S11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5))),"")</f>
        <v/>
      </c>
      <c r="T11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5))),"")</f>
        <v/>
      </c>
      <c r="U11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5))),"")</f>
        <v/>
      </c>
      <c r="V11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5))),"")</f>
        <v/>
      </c>
      <c r="W11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5))),"")</f>
        <v/>
      </c>
      <c r="X11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5))),"")</f>
        <v/>
      </c>
      <c r="Y11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5))),"")</f>
        <v/>
      </c>
      <c r="Z11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5))),"")</f>
        <v/>
      </c>
      <c r="AA11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5))),"")</f>
        <v/>
      </c>
      <c r="AB11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5))),"")</f>
        <v/>
      </c>
      <c r="AC11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5))),"")</f>
        <v/>
      </c>
      <c r="AD11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5))),"")</f>
        <v/>
      </c>
      <c r="AE11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5))),"")</f>
        <v/>
      </c>
      <c r="AF11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5))),"")</f>
        <v/>
      </c>
      <c r="AG11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5))),"")</f>
        <v/>
      </c>
      <c r="AH11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5))),"")</f>
        <v/>
      </c>
      <c r="AI11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IFERROR(INDEX(#REF!,_xlfn.AGGREGATE(15,6,(ROW(#REF!)-ROW(#REF!))/(Таблица1[[мес]:[мес]]=$J$5)/(Таблица1[[год]:[год]]=$L$5)/(Таблица1[[изд]:[изд]]=$N$1:$T$1)/(Таблица1[[партия]:[партия]]=$W$1),ROW(AH5))),"")</f>
        <v/>
      </c>
      <c r="AJ11" s="139">
        <f t="shared" si="0"/>
        <v>0</v>
      </c>
    </row>
    <row r="12" spans="1:36" ht="33" customHeight="1">
      <c r="A12" s="148">
        <v>6</v>
      </c>
      <c r="B12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6))),"")</f>
        <v/>
      </c>
      <c r="C12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О.]]))/(Таблица1[[мес]:[мес]]=$J$5)/(Таблица1[[год]:[год]]=$L$5)/(Таблица1[[изд]:[изд]]=$N$1)/(Таблица1[[партия]:[партия]]=$W$1),ROW(B6))),"")</f>
        <v/>
      </c>
      <c r="D12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6))),"")</f>
        <v/>
      </c>
      <c r="E12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6))),"")</f>
        <v/>
      </c>
      <c r="F12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6))),"")</f>
        <v/>
      </c>
      <c r="G12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6))),"")</f>
        <v/>
      </c>
      <c r="H12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6))),"")</f>
        <v/>
      </c>
      <c r="I12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6))),"")</f>
        <v/>
      </c>
      <c r="J12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6))),"")</f>
        <v/>
      </c>
      <c r="K12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6))),"")</f>
        <v/>
      </c>
      <c r="L12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6))),"")</f>
        <v/>
      </c>
      <c r="M12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6))),"")</f>
        <v/>
      </c>
      <c r="N12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6))),"")</f>
        <v/>
      </c>
      <c r="O12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6))),"")</f>
        <v/>
      </c>
      <c r="P12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6))),"")</f>
        <v/>
      </c>
      <c r="Q12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6))),"")</f>
        <v/>
      </c>
      <c r="R12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6))),"")</f>
        <v/>
      </c>
      <c r="S12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6))),"")</f>
        <v/>
      </c>
      <c r="T12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6))),"")</f>
        <v/>
      </c>
      <c r="U12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6))),"")</f>
        <v/>
      </c>
      <c r="V12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6))),"")</f>
        <v/>
      </c>
      <c r="W12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6))),"")</f>
        <v/>
      </c>
      <c r="X12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6))),"")</f>
        <v/>
      </c>
      <c r="Y12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6))),"")</f>
        <v/>
      </c>
      <c r="Z12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6))),"")</f>
        <v/>
      </c>
      <c r="AA12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6))),"")</f>
        <v/>
      </c>
      <c r="AB12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6))),"")</f>
        <v/>
      </c>
      <c r="AC12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6))),"")</f>
        <v/>
      </c>
      <c r="AD12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6))),"")</f>
        <v/>
      </c>
      <c r="AE12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6))),"")</f>
        <v/>
      </c>
      <c r="AF12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6))),"")</f>
        <v/>
      </c>
      <c r="AG12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6))),"")</f>
        <v/>
      </c>
      <c r="AH12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6))),"")</f>
        <v/>
      </c>
      <c r="AI12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IFERROR(INDEX(#REF!,_xlfn.AGGREGATE(15,6,(ROW(#REF!)-ROW(#REF!))/(Таблица1[[мес]:[мес]]=$J$5)/(Таблица1[[год]:[год]]=$L$5)/(Таблица1[[изд]:[изд]]=$N$1:$T$1)/(Таблица1[[партия]:[партия]]=$W$1),ROW(AH6))),"")</f>
        <v/>
      </c>
      <c r="AJ12" s="139">
        <f t="shared" si="0"/>
        <v>0</v>
      </c>
    </row>
    <row r="13" spans="1:36" ht="33" customHeight="1">
      <c r="A13" s="148">
        <v>7</v>
      </c>
      <c r="B13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7))),"")</f>
        <v/>
      </c>
      <c r="C13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О.]]))/(Таблица1[[мес]:[мес]]=$J$5)/(Таблица1[[год]:[год]]=$L$5)/(Таблица1[[изд]:[изд]]=$N$1)/(Таблица1[[партия]:[партия]]=$W$1),ROW(B7))),"")</f>
        <v/>
      </c>
      <c r="D13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7))),"")</f>
        <v/>
      </c>
      <c r="E13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7))),"")</f>
        <v/>
      </c>
      <c r="F13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7))),"")</f>
        <v/>
      </c>
      <c r="G13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7))),"")</f>
        <v/>
      </c>
      <c r="H13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7))),"")</f>
        <v/>
      </c>
      <c r="I13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7))),"")</f>
        <v/>
      </c>
      <c r="J13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7))),"")</f>
        <v/>
      </c>
      <c r="K13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7))),"")</f>
        <v/>
      </c>
      <c r="L13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7))),"")</f>
        <v/>
      </c>
      <c r="M13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7))),"")</f>
        <v/>
      </c>
      <c r="N13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7))),"")</f>
        <v/>
      </c>
      <c r="O13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7))),"")</f>
        <v/>
      </c>
      <c r="P13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7))),"")</f>
        <v/>
      </c>
      <c r="Q13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7))),"")</f>
        <v/>
      </c>
      <c r="R13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7))),"")</f>
        <v/>
      </c>
      <c r="S13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7))),"")</f>
        <v/>
      </c>
      <c r="T13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7))),"")</f>
        <v/>
      </c>
      <c r="U13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7))),"")</f>
        <v/>
      </c>
      <c r="V13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7))),"")</f>
        <v/>
      </c>
      <c r="W13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7))),"")</f>
        <v/>
      </c>
      <c r="X13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7))),"")</f>
        <v/>
      </c>
      <c r="Y13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7))),"")</f>
        <v/>
      </c>
      <c r="Z13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7))),"")</f>
        <v/>
      </c>
      <c r="AA13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7))),"")</f>
        <v/>
      </c>
      <c r="AB13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7))),"")</f>
        <v/>
      </c>
      <c r="AC13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7))),"")</f>
        <v/>
      </c>
      <c r="AD13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7))),"")</f>
        <v/>
      </c>
      <c r="AE13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7))),"")</f>
        <v/>
      </c>
      <c r="AF13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7))),"")</f>
        <v/>
      </c>
      <c r="AG13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7))),"")</f>
        <v/>
      </c>
      <c r="AH13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7))),"")</f>
        <v/>
      </c>
      <c r="AI13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IFERROR(INDEX(#REF!,_xlfn.AGGREGATE(15,6,(ROW(#REF!)-ROW(#REF!))/(Таблица1[[мес]:[мес]]=$J$5)/(Таблица1[[год]:[год]]=$L$5)/(Таблица1[[изд]:[изд]]=$N$1:$T$1)/(Таблица1[[партия]:[партия]]=$W$1),ROW(AH7))),"")</f>
        <v/>
      </c>
      <c r="AJ13" s="139">
        <f t="shared" si="0"/>
        <v>0</v>
      </c>
    </row>
    <row r="14" spans="1:36" ht="33" customHeight="1">
      <c r="A14" s="148">
        <v>8</v>
      </c>
      <c r="B14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8))),"")</f>
        <v/>
      </c>
      <c r="C14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О.]]))/(Таблица1[[мес]:[мес]]=$J$5)/(Таблица1[[год]:[год]]=$L$5)/(Таблица1[[изд]:[изд]]=$N$1)/(Таблица1[[партия]:[партия]]=$W$1),ROW(B8))),"")</f>
        <v/>
      </c>
      <c r="D14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8))),"")</f>
        <v/>
      </c>
      <c r="E14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8))),"")</f>
        <v/>
      </c>
      <c r="F14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8))),"")</f>
        <v/>
      </c>
      <c r="G14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8))),"")</f>
        <v/>
      </c>
      <c r="H14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8))),"")</f>
        <v/>
      </c>
      <c r="I14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8))),"")</f>
        <v/>
      </c>
      <c r="J14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8))),"")</f>
        <v/>
      </c>
      <c r="K14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8))),"")</f>
        <v/>
      </c>
      <c r="L14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8))),"")</f>
        <v/>
      </c>
      <c r="M14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8))),"")</f>
        <v/>
      </c>
      <c r="N14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8))),"")</f>
        <v/>
      </c>
      <c r="O14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8))),"")</f>
        <v/>
      </c>
      <c r="P14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8))),"")</f>
        <v/>
      </c>
      <c r="Q14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8))),"")</f>
        <v/>
      </c>
      <c r="R14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8))),"")</f>
        <v/>
      </c>
      <c r="S14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8))),"")</f>
        <v/>
      </c>
      <c r="T14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8))),"")</f>
        <v/>
      </c>
      <c r="U14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8))),"")</f>
        <v/>
      </c>
      <c r="V14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8))),"")</f>
        <v/>
      </c>
      <c r="W14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8))),"")</f>
        <v/>
      </c>
      <c r="X14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8))),"")</f>
        <v/>
      </c>
      <c r="Y14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8))),"")</f>
        <v/>
      </c>
      <c r="Z14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8))),"")</f>
        <v/>
      </c>
      <c r="AA14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8))),"")</f>
        <v/>
      </c>
      <c r="AB14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8))),"")</f>
        <v/>
      </c>
      <c r="AC14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8))),"")</f>
        <v/>
      </c>
      <c r="AD14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8))),"")</f>
        <v/>
      </c>
      <c r="AE14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8))),"")</f>
        <v/>
      </c>
      <c r="AF14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8))),"")</f>
        <v/>
      </c>
      <c r="AG14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8))),"")</f>
        <v/>
      </c>
      <c r="AH14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8))),"")</f>
        <v/>
      </c>
      <c r="AI14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IFERROR(INDEX(#REF!,_xlfn.AGGREGATE(15,6,(ROW(#REF!)-ROW(#REF!))/(Таблица1[[мес]:[мес]]=$J$5)/(Таблица1[[год]:[год]]=$L$5)/(Таблица1[[изд]:[изд]]=$N$1:$T$1)/(Таблица1[[партия]:[партия]]=$W$1),ROW(AH8))),"")</f>
        <v/>
      </c>
      <c r="AJ14" s="140">
        <f t="shared" si="0"/>
        <v>0</v>
      </c>
    </row>
    <row r="15" spans="1:36" ht="33" customHeight="1">
      <c r="A15" s="148">
        <v>9</v>
      </c>
      <c r="B15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9))),"")</f>
        <v/>
      </c>
      <c r="C15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О.]]))/(Таблица1[[мес]:[мес]]=$J$5)/(Таблица1[[год]:[год]]=$L$5)/(Таблица1[[изд]:[изд]]=$N$1)/(Таблица1[[партия]:[партия]]=$W$1),ROW(B9))),"")</f>
        <v/>
      </c>
      <c r="D15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9))),"")</f>
        <v/>
      </c>
      <c r="E15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9))),"")</f>
        <v/>
      </c>
      <c r="F15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9))),"")</f>
        <v/>
      </c>
      <c r="G15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9))),"")</f>
        <v/>
      </c>
      <c r="H15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9))),"")</f>
        <v/>
      </c>
      <c r="I15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9))),"")</f>
        <v/>
      </c>
      <c r="J15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9))),"")</f>
        <v/>
      </c>
      <c r="K15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9))),"")</f>
        <v/>
      </c>
      <c r="L15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9))),"")</f>
        <v/>
      </c>
      <c r="M15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9))),"")</f>
        <v/>
      </c>
      <c r="N15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9))),"")</f>
        <v/>
      </c>
      <c r="O15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9))),"")</f>
        <v/>
      </c>
      <c r="P15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9))),"")</f>
        <v/>
      </c>
      <c r="Q15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9))),"")</f>
        <v/>
      </c>
      <c r="R15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9))),"")</f>
        <v/>
      </c>
      <c r="S15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9))),"")</f>
        <v/>
      </c>
      <c r="T15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9))),"")</f>
        <v/>
      </c>
      <c r="U15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9))),"")</f>
        <v/>
      </c>
      <c r="V15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9))),"")</f>
        <v/>
      </c>
      <c r="W15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9))),"")</f>
        <v/>
      </c>
      <c r="X15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9))),"")</f>
        <v/>
      </c>
      <c r="Y15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9))),"")</f>
        <v/>
      </c>
      <c r="Z15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9))),"")</f>
        <v/>
      </c>
      <c r="AA15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9))),"")</f>
        <v/>
      </c>
      <c r="AB15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9))),"")</f>
        <v/>
      </c>
      <c r="AC15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9))),"")</f>
        <v/>
      </c>
      <c r="AD15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9))),"")</f>
        <v/>
      </c>
      <c r="AE15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9))),"")</f>
        <v/>
      </c>
      <c r="AF15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9))),"")</f>
        <v/>
      </c>
      <c r="AG15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9))),"")</f>
        <v/>
      </c>
      <c r="AH15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9))),"")</f>
        <v/>
      </c>
      <c r="AI15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IFERROR(INDEX(#REF!,_xlfn.AGGREGATE(15,6,(ROW(#REF!)-ROW(#REF!))/(Таблица1[[мес]:[мес]]=$J$5)/(Таблица1[[год]:[год]]=$L$5)/(Таблица1[[изд]:[изд]]=$N$1:$T$1)/(Таблица1[[партия]:[партия]]=$W$1),ROW(AH9))),"")</f>
        <v/>
      </c>
      <c r="AJ15" s="141">
        <f t="shared" si="0"/>
        <v>0</v>
      </c>
    </row>
    <row r="16" spans="1:36" ht="33" customHeight="1">
      <c r="A16" s="148">
        <v>10</v>
      </c>
      <c r="B16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10))),"")</f>
        <v/>
      </c>
      <c r="C16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О.]]))/(Таблица1[[мес]:[мес]]=$J$5)/(Таблица1[[год]:[год]]=$L$5)/(Таблица1[[изд]:[изд]]=$N$1)/(Таблица1[[партия]:[партия]]=$W$1),ROW(B10))),"")</f>
        <v/>
      </c>
      <c r="D16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10))),"")</f>
        <v/>
      </c>
      <c r="E16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10))),"")</f>
        <v/>
      </c>
      <c r="F16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10))),"")</f>
        <v/>
      </c>
      <c r="G16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10))),"")</f>
        <v/>
      </c>
      <c r="H16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10))),"")</f>
        <v/>
      </c>
      <c r="I16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10))),"")</f>
        <v/>
      </c>
      <c r="J16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10))),"")</f>
        <v/>
      </c>
      <c r="K16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10))),"")</f>
        <v/>
      </c>
      <c r="L16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10))),"")</f>
        <v/>
      </c>
      <c r="M16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10))),"")</f>
        <v/>
      </c>
      <c r="N16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10))),"")</f>
        <v/>
      </c>
      <c r="O16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10))),"")</f>
        <v/>
      </c>
      <c r="P16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10))),"")</f>
        <v/>
      </c>
      <c r="Q16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10))),"")</f>
        <v/>
      </c>
      <c r="R16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10))),"")</f>
        <v/>
      </c>
      <c r="S16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10))),"")</f>
        <v/>
      </c>
      <c r="T16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10))),"")</f>
        <v/>
      </c>
      <c r="U16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10))),"")</f>
        <v/>
      </c>
      <c r="V16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10))),"")</f>
        <v/>
      </c>
      <c r="W16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10))),"")</f>
        <v/>
      </c>
      <c r="X16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10))),"")</f>
        <v/>
      </c>
      <c r="Y16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10))),"")</f>
        <v/>
      </c>
      <c r="Z16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10))),"")</f>
        <v/>
      </c>
      <c r="AA16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10))),"")</f>
        <v/>
      </c>
      <c r="AB16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10))),"")</f>
        <v/>
      </c>
      <c r="AC16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10))),"")</f>
        <v/>
      </c>
      <c r="AD16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10))),"")</f>
        <v/>
      </c>
      <c r="AE16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10))),"")</f>
        <v/>
      </c>
      <c r="AF16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10))),"")</f>
        <v/>
      </c>
      <c r="AG16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10))),"")</f>
        <v/>
      </c>
      <c r="AH16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10))),"")</f>
        <v/>
      </c>
      <c r="AI16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IFERROR(INDEX(#REF!,_xlfn.AGGREGATE(15,6,(ROW(#REF!)-ROW(#REF!))/(Таблица1[[мес]:[мес]]=$J$5)/(Таблица1[[год]:[год]]=$L$5)/(Таблица1[[изд]:[изд]]=$N$1:$T$1)/(Таблица1[[партия]:[партия]]=$W$1),ROW(AH10))),"")</f>
        <v/>
      </c>
      <c r="AJ16" s="141">
        <f t="shared" si="0"/>
        <v>0</v>
      </c>
    </row>
    <row r="17" spans="1:36" ht="33" customHeight="1">
      <c r="A17" s="148">
        <v>11</v>
      </c>
      <c r="B17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11))),"")</f>
        <v/>
      </c>
      <c r="C17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О.]]))/(Таблица1[[мес]:[мес]]=$J$5)/(Таблица1[[год]:[год]]=$L$5)/(Таблица1[[изд]:[изд]]=$N$1)/(Таблица1[[партия]:[партия]]=$W$1),ROW(B11))),"")</f>
        <v/>
      </c>
      <c r="D17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11))),"")</f>
        <v/>
      </c>
      <c r="E17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11))),"")</f>
        <v/>
      </c>
      <c r="F17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11))),"")</f>
        <v/>
      </c>
      <c r="G17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11))),"")</f>
        <v/>
      </c>
      <c r="H17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11))),"")</f>
        <v/>
      </c>
      <c r="I17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11))),"")</f>
        <v/>
      </c>
      <c r="J17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11))),"")</f>
        <v/>
      </c>
      <c r="K17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11))),"")</f>
        <v/>
      </c>
      <c r="L17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11))),"")</f>
        <v/>
      </c>
      <c r="M17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11))),"")</f>
        <v/>
      </c>
      <c r="N17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11))),"")</f>
        <v/>
      </c>
      <c r="O17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11))),"")</f>
        <v/>
      </c>
      <c r="P17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11))),"")</f>
        <v/>
      </c>
      <c r="Q17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11))),"")</f>
        <v/>
      </c>
      <c r="R17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11))),"")</f>
        <v/>
      </c>
      <c r="S17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11))),"")</f>
        <v/>
      </c>
      <c r="T17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11))),"")</f>
        <v/>
      </c>
      <c r="U17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11))),"")</f>
        <v/>
      </c>
      <c r="V17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11))),"")</f>
        <v/>
      </c>
      <c r="W17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11))),"")</f>
        <v/>
      </c>
      <c r="X17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11))),"")</f>
        <v/>
      </c>
      <c r="Y17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11))),"")</f>
        <v/>
      </c>
      <c r="Z17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11))),"")</f>
        <v/>
      </c>
      <c r="AA17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11))),"")</f>
        <v/>
      </c>
      <c r="AB17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11))),"")</f>
        <v/>
      </c>
      <c r="AC17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11))),"")</f>
        <v/>
      </c>
      <c r="AD17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11))),"")</f>
        <v/>
      </c>
      <c r="AE17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11))),"")</f>
        <v/>
      </c>
      <c r="AF17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11))),"")</f>
        <v/>
      </c>
      <c r="AG17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11))),"")</f>
        <v/>
      </c>
      <c r="AH17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11))),"")</f>
        <v/>
      </c>
      <c r="AI17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IFERROR(INDEX(#REF!,_xlfn.AGGREGATE(15,6,(ROW(#REF!)-ROW(#REF!))/(Таблица1[[мес]:[мес]]=$J$5)/(Таблица1[[год]:[год]]=$L$5)/(Таблица1[[изд]:[изд]]=$N$1:$T$1)/(Таблица1[[партия]:[партия]]=$W$1),ROW(AH11))),"")</f>
        <v/>
      </c>
      <c r="AJ17" s="139">
        <f t="shared" si="0"/>
        <v>0</v>
      </c>
    </row>
    <row r="18" spans="1:36" ht="33" customHeight="1">
      <c r="A18" s="148">
        <v>12</v>
      </c>
      <c r="B18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12))),"")</f>
        <v/>
      </c>
      <c r="C18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О.]]))/(Таблица1[[мес]:[мес]]=$J$5)/(Таблица1[[год]:[год]]=$L$5)/(Таблица1[[изд]:[изд]]=$N$1)/(Таблица1[[партия]:[партия]]=$W$1),ROW(B12))),"")</f>
        <v/>
      </c>
      <c r="D18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12))),"")</f>
        <v/>
      </c>
      <c r="E18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12))),"")</f>
        <v/>
      </c>
      <c r="F18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12))),"")</f>
        <v/>
      </c>
      <c r="G18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12))),"")</f>
        <v/>
      </c>
      <c r="H18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12))),"")</f>
        <v/>
      </c>
      <c r="I18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12))),"")</f>
        <v/>
      </c>
      <c r="J18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12))),"")</f>
        <v/>
      </c>
      <c r="K18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12))),"")</f>
        <v/>
      </c>
      <c r="L18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12))),"")</f>
        <v/>
      </c>
      <c r="M18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12))),"")</f>
        <v/>
      </c>
      <c r="N18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12))),"")</f>
        <v/>
      </c>
      <c r="O18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12))),"")</f>
        <v/>
      </c>
      <c r="P18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12))),"")</f>
        <v/>
      </c>
      <c r="Q18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12))),"")</f>
        <v/>
      </c>
      <c r="R18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12))),"")</f>
        <v/>
      </c>
      <c r="S18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12))),"")</f>
        <v/>
      </c>
      <c r="T18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12))),"")</f>
        <v/>
      </c>
      <c r="U18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12))),"")</f>
        <v/>
      </c>
      <c r="V18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12))),"")</f>
        <v/>
      </c>
      <c r="W18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12))),"")</f>
        <v/>
      </c>
      <c r="X18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12))),"")</f>
        <v/>
      </c>
      <c r="Y18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12))),"")</f>
        <v/>
      </c>
      <c r="Z18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12))),"")</f>
        <v/>
      </c>
      <c r="AA18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12))),"")</f>
        <v/>
      </c>
      <c r="AB18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12))),"")</f>
        <v/>
      </c>
      <c r="AC18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12))),"")</f>
        <v/>
      </c>
      <c r="AD18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12))),"")</f>
        <v/>
      </c>
      <c r="AE18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12))),"")</f>
        <v/>
      </c>
      <c r="AF18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12))),"")</f>
        <v/>
      </c>
      <c r="AG18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12))),"")</f>
        <v/>
      </c>
      <c r="AH18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12))),"")</f>
        <v/>
      </c>
      <c r="AI18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IFERROR(INDEX(#REF!,_xlfn.AGGREGATE(15,6,(ROW(#REF!)-ROW(#REF!))/(Таблица1[[мес]:[мес]]=$J$5)/(Таблица1[[год]:[год]]=$L$5)/(Таблица1[[изд]:[изд]]=$N$1:$T$1)/(Таблица1[[партия]:[партия]]=$W$1),ROW(AH12))),"")</f>
        <v/>
      </c>
      <c r="AJ18" s="140">
        <f t="shared" si="0"/>
        <v>0</v>
      </c>
    </row>
    <row r="19" spans="1:36" ht="33" customHeight="1">
      <c r="A19" s="148">
        <v>13</v>
      </c>
      <c r="B19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13))),"")</f>
        <v/>
      </c>
      <c r="C19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О.]]))/(Таблица1[[мес]:[мес]]=$J$5)/(Таблица1[[год]:[год]]=$L$5)/(Таблица1[[изд]:[изд]]=$N$1)/(Таблица1[[партия]:[партия]]=$W$1),ROW(B13))),"")</f>
        <v/>
      </c>
      <c r="D19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13))),"")</f>
        <v/>
      </c>
      <c r="E19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13))),"")</f>
        <v/>
      </c>
      <c r="F19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13))),"")</f>
        <v/>
      </c>
      <c r="G19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13))),"")</f>
        <v/>
      </c>
      <c r="H19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13))),"")</f>
        <v/>
      </c>
      <c r="I19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13))),"")</f>
        <v/>
      </c>
      <c r="J19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13))),"")</f>
        <v/>
      </c>
      <c r="K19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13))),"")</f>
        <v/>
      </c>
      <c r="L19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13))),"")</f>
        <v/>
      </c>
      <c r="M19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13))),"")</f>
        <v/>
      </c>
      <c r="N19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13))),"")</f>
        <v/>
      </c>
      <c r="O19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13))),"")</f>
        <v/>
      </c>
      <c r="P19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13))),"")</f>
        <v/>
      </c>
      <c r="Q19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13))),"")</f>
        <v/>
      </c>
      <c r="R19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13))),"")</f>
        <v/>
      </c>
      <c r="S19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13))),"")</f>
        <v/>
      </c>
      <c r="T19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13))),"")</f>
        <v/>
      </c>
      <c r="U19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13))),"")</f>
        <v/>
      </c>
      <c r="V19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13))),"")</f>
        <v/>
      </c>
      <c r="W19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13))),"")</f>
        <v/>
      </c>
      <c r="X19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13))),"")</f>
        <v/>
      </c>
      <c r="Y19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13))),"")</f>
        <v/>
      </c>
      <c r="Z19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13))),"")</f>
        <v/>
      </c>
      <c r="AA19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13))),"")</f>
        <v/>
      </c>
      <c r="AB19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13))),"")</f>
        <v/>
      </c>
      <c r="AC19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13))),"")</f>
        <v/>
      </c>
      <c r="AD19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13))),"")</f>
        <v/>
      </c>
      <c r="AE19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13))),"")</f>
        <v/>
      </c>
      <c r="AF19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13))),"")</f>
        <v/>
      </c>
      <c r="AG19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13))),"")</f>
        <v/>
      </c>
      <c r="AH19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13))),"")</f>
        <v/>
      </c>
      <c r="AI19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IFERROR(INDEX(#REF!,_xlfn.AGGREGATE(15,6,(ROW(#REF!)-ROW(#REF!))/(Таблица1[[мес]:[мес]]=$J$5)/(Таблица1[[год]:[год]]=$L$5)/(Таблица1[[изд]:[изд]]=$N$1:$T$1)/(Таблица1[[партия]:[партия]]=$W$1),ROW(AH13))),"")</f>
        <v/>
      </c>
      <c r="AJ19" s="139">
        <f t="shared" si="0"/>
        <v>0</v>
      </c>
    </row>
    <row r="20" spans="1:36" ht="33" customHeight="1">
      <c r="A20" s="148">
        <v>14</v>
      </c>
      <c r="B20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14))),"")</f>
        <v/>
      </c>
      <c r="C20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О.]]))/(Таблица1[[мес]:[мес]]=$J$5)/(Таблица1[[год]:[год]]=$L$5)/(Таблица1[[изд]:[изд]]=$N$1)/(Таблица1[[партия]:[партия]]=$W$1),ROW(B14))),"")</f>
        <v/>
      </c>
      <c r="D20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14))),"")</f>
        <v/>
      </c>
      <c r="E20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14))),"")</f>
        <v/>
      </c>
      <c r="F20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14))),"")</f>
        <v/>
      </c>
      <c r="G20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14))),"")</f>
        <v/>
      </c>
      <c r="H20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14))),"")</f>
        <v/>
      </c>
      <c r="I20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14))),"")</f>
        <v/>
      </c>
      <c r="J20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14))),"")</f>
        <v/>
      </c>
      <c r="K20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14))),"")</f>
        <v/>
      </c>
      <c r="L20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14))),"")</f>
        <v/>
      </c>
      <c r="M20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14))),"")</f>
        <v/>
      </c>
      <c r="N20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14))),"")</f>
        <v/>
      </c>
      <c r="O20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14))),"")</f>
        <v/>
      </c>
      <c r="P20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14))),"")</f>
        <v/>
      </c>
      <c r="Q20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14))),"")</f>
        <v/>
      </c>
      <c r="R20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14))),"")</f>
        <v/>
      </c>
      <c r="S20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14))),"")</f>
        <v/>
      </c>
      <c r="T20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14))),"")</f>
        <v/>
      </c>
      <c r="U20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14))),"")</f>
        <v/>
      </c>
      <c r="V20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14))),"")</f>
        <v/>
      </c>
      <c r="W20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14))),"")</f>
        <v/>
      </c>
      <c r="X20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14))),"")</f>
        <v/>
      </c>
      <c r="Y20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14))),"")</f>
        <v/>
      </c>
      <c r="Z20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14))),"")</f>
        <v/>
      </c>
      <c r="AA20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14))),"")</f>
        <v/>
      </c>
      <c r="AB20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14))),"")</f>
        <v/>
      </c>
      <c r="AC20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14))),"")</f>
        <v/>
      </c>
      <c r="AD20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14))),"")</f>
        <v/>
      </c>
      <c r="AE20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14))),"")</f>
        <v/>
      </c>
      <c r="AF20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14))),"")</f>
        <v/>
      </c>
      <c r="AG20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14))),"")</f>
        <v/>
      </c>
      <c r="AH20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14))),"")</f>
        <v/>
      </c>
      <c r="AI20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IFERROR(INDEX(#REF!,_xlfn.AGGREGATE(15,6,(ROW(#REF!)-ROW(#REF!))/(Таблица1[[мес]:[мес]]=$J$5)/(Таблица1[[год]:[год]]=$L$5)/(Таблица1[[изд]:[изд]]=$N$1:$T$1)/(Таблица1[[партия]:[партия]]=$W$1),ROW(AH14))),"")</f>
        <v/>
      </c>
      <c r="AJ20" s="140">
        <f t="shared" si="0"/>
        <v>0</v>
      </c>
    </row>
    <row r="21" spans="1:36" ht="33" customHeight="1">
      <c r="A21" s="148">
        <v>15</v>
      </c>
      <c r="B21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15))),"")</f>
        <v/>
      </c>
      <c r="C21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О.]]))/(Таблица1[[мес]:[мес]]=$J$5)/(Таблица1[[год]:[год]]=$L$5)/(Таблица1[[изд]:[изд]]=$N$1)/(Таблица1[[партия]:[партия]]=$W$1),ROW(B15))),"")</f>
        <v/>
      </c>
      <c r="D21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15))),"")</f>
        <v/>
      </c>
      <c r="E21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15))),"")</f>
        <v/>
      </c>
      <c r="F21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15))),"")</f>
        <v/>
      </c>
      <c r="G21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15))),"")</f>
        <v/>
      </c>
      <c r="H21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15))),"")</f>
        <v/>
      </c>
      <c r="I21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15))),"")</f>
        <v/>
      </c>
      <c r="J21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15))),"")</f>
        <v/>
      </c>
      <c r="K21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15))),"")</f>
        <v/>
      </c>
      <c r="L21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15))),"")</f>
        <v/>
      </c>
      <c r="M21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15))),"")</f>
        <v/>
      </c>
      <c r="N21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15))),"")</f>
        <v/>
      </c>
      <c r="O21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15))),"")</f>
        <v/>
      </c>
      <c r="P21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15))),"")</f>
        <v/>
      </c>
      <c r="Q21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15))),"")</f>
        <v/>
      </c>
      <c r="R21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15))),"")</f>
        <v/>
      </c>
      <c r="S21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15))),"")</f>
        <v/>
      </c>
      <c r="T21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15))),"")</f>
        <v/>
      </c>
      <c r="U21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15))),"")</f>
        <v/>
      </c>
      <c r="V21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15))),"")</f>
        <v/>
      </c>
      <c r="W21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15))),"")</f>
        <v/>
      </c>
      <c r="X21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15))),"")</f>
        <v/>
      </c>
      <c r="Y21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15))),"")</f>
        <v/>
      </c>
      <c r="Z21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15))),"")</f>
        <v/>
      </c>
      <c r="AA21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15))),"")</f>
        <v/>
      </c>
      <c r="AB21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15))),"")</f>
        <v/>
      </c>
      <c r="AC21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15))),"")</f>
        <v/>
      </c>
      <c r="AD21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15))),"")</f>
        <v/>
      </c>
      <c r="AE21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15))),"")</f>
        <v/>
      </c>
      <c r="AF21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15))),"")</f>
        <v/>
      </c>
      <c r="AG21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15))),"")</f>
        <v/>
      </c>
      <c r="AH21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15))),"")</f>
        <v/>
      </c>
      <c r="AI21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IFERROR(INDEX(#REF!,_xlfn.AGGREGATE(15,6,(ROW(#REF!)-ROW(#REF!))/(Таблица1[[мес]:[мес]]=$J$5)/(Таблица1[[год]:[год]]=$L$5)/(Таблица1[[изд]:[изд]]=$N$1:$T$1)/(Таблица1[[партия]:[партия]]=$W$1),ROW(AH15))),"")</f>
        <v/>
      </c>
      <c r="AJ21" s="139">
        <f t="shared" si="0"/>
        <v>0</v>
      </c>
    </row>
    <row r="22" spans="1:36" ht="33" customHeight="1">
      <c r="A22" s="148">
        <v>16</v>
      </c>
      <c r="B22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16))),"")</f>
        <v/>
      </c>
      <c r="C22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О.]]))/(Таблица1[[мес]:[мес]]=$J$5)/(Таблица1[[год]:[год]]=$L$5)/(Таблица1[[изд]:[изд]]=$N$1)/(Таблица1[[партия]:[партия]]=$W$1),ROW(B16))),"")</f>
        <v/>
      </c>
      <c r="D22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16))),"")</f>
        <v/>
      </c>
      <c r="E22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16))),"")</f>
        <v/>
      </c>
      <c r="F22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16))),"")</f>
        <v/>
      </c>
      <c r="G22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16))),"")</f>
        <v/>
      </c>
      <c r="H22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16))),"")</f>
        <v/>
      </c>
      <c r="I22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16))),"")</f>
        <v/>
      </c>
      <c r="J22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16))),"")</f>
        <v/>
      </c>
      <c r="K22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16))),"")</f>
        <v/>
      </c>
      <c r="L22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16))),"")</f>
        <v/>
      </c>
      <c r="M22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16))),"")</f>
        <v/>
      </c>
      <c r="N22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16))),"")</f>
        <v/>
      </c>
      <c r="O22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16))),"")</f>
        <v/>
      </c>
      <c r="P22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16))),"")</f>
        <v/>
      </c>
      <c r="Q22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16))),"")</f>
        <v/>
      </c>
      <c r="R22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16))),"")</f>
        <v/>
      </c>
      <c r="S22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16))),"")</f>
        <v/>
      </c>
      <c r="T22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16))),"")</f>
        <v/>
      </c>
      <c r="U22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16))),"")</f>
        <v/>
      </c>
      <c r="V22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16))),"")</f>
        <v/>
      </c>
      <c r="W22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16))),"")</f>
        <v/>
      </c>
      <c r="X22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16))),"")</f>
        <v/>
      </c>
      <c r="Y22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16))),"")</f>
        <v/>
      </c>
      <c r="Z22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16))),"")</f>
        <v/>
      </c>
      <c r="AA22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16))),"")</f>
        <v/>
      </c>
      <c r="AB22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16))),"")</f>
        <v/>
      </c>
      <c r="AC22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16))),"")</f>
        <v/>
      </c>
      <c r="AD22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16))),"")</f>
        <v/>
      </c>
      <c r="AE22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16))),"")</f>
        <v/>
      </c>
      <c r="AF22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16))),"")</f>
        <v/>
      </c>
      <c r="AG22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16))),"")</f>
        <v/>
      </c>
      <c r="AH22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16))),"")</f>
        <v/>
      </c>
      <c r="AI22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IFERROR(INDEX(#REF!,_xlfn.AGGREGATE(15,6,(ROW(#REF!)-ROW(#REF!))/(Таблица1[[мес]:[мес]]=$J$5)/(Таблица1[[год]:[год]]=$L$5)/(Таблица1[[изд]:[изд]]=$N$1:$T$1)/(Таблица1[[партия]:[партия]]=$W$1),ROW(AH16))),"")</f>
        <v/>
      </c>
      <c r="AJ22" s="139">
        <f t="shared" si="0"/>
        <v>0</v>
      </c>
    </row>
    <row r="23" spans="1:36" ht="33" customHeight="1">
      <c r="A23" s="148">
        <v>17</v>
      </c>
      <c r="B23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17))),"")</f>
        <v/>
      </c>
      <c r="C23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О.]]))/(Таблица1[[мес]:[мес]]=$J$5)/(Таблица1[[год]:[год]]=$L$5)/(Таблица1[[изд]:[изд]]=$N$1)/(Таблица1[[партия]:[партия]]=$W$1),ROW(B17))),"")</f>
        <v/>
      </c>
      <c r="D23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17))),"")</f>
        <v/>
      </c>
      <c r="E23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17))),"")</f>
        <v/>
      </c>
      <c r="F23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17))),"")</f>
        <v/>
      </c>
      <c r="G23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17))),"")</f>
        <v/>
      </c>
      <c r="H23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17))),"")</f>
        <v/>
      </c>
      <c r="I23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17))),"")</f>
        <v/>
      </c>
      <c r="J23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17))),"")</f>
        <v/>
      </c>
      <c r="K23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17))),"")</f>
        <v/>
      </c>
      <c r="L23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17))),"")</f>
        <v/>
      </c>
      <c r="M23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17))),"")</f>
        <v/>
      </c>
      <c r="N23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17))),"")</f>
        <v/>
      </c>
      <c r="O23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17))),"")</f>
        <v/>
      </c>
      <c r="P23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17))),"")</f>
        <v/>
      </c>
      <c r="Q23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17))),"")</f>
        <v/>
      </c>
      <c r="R23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17))),"")</f>
        <v/>
      </c>
      <c r="S23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17))),"")</f>
        <v/>
      </c>
      <c r="T23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17))),"")</f>
        <v/>
      </c>
      <c r="U23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17))),"")</f>
        <v/>
      </c>
      <c r="V23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17))),"")</f>
        <v/>
      </c>
      <c r="W23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17))),"")</f>
        <v/>
      </c>
      <c r="X23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17))),"")</f>
        <v/>
      </c>
      <c r="Y23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17))),"")</f>
        <v/>
      </c>
      <c r="Z23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17))),"")</f>
        <v/>
      </c>
      <c r="AA23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17))),"")</f>
        <v/>
      </c>
      <c r="AB23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17))),"")</f>
        <v/>
      </c>
      <c r="AC23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17))),"")</f>
        <v/>
      </c>
      <c r="AD23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17))),"")</f>
        <v/>
      </c>
      <c r="AE23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17))),"")</f>
        <v/>
      </c>
      <c r="AF23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17))),"")</f>
        <v/>
      </c>
      <c r="AG23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17))),"")</f>
        <v/>
      </c>
      <c r="AH23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17))),"")</f>
        <v/>
      </c>
      <c r="AI23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IFERROR(INDEX(#REF!,_xlfn.AGGREGATE(15,6,(ROW(#REF!)-ROW(#REF!))/(Таблица1[[мес]:[мес]]=$J$5)/(Таблица1[[год]:[год]]=$L$5)/(Таблица1[[изд]:[изд]]=$N$1:$T$1)/(Таблица1[[партия]:[партия]]=$W$1),ROW(AH17))),"")</f>
        <v/>
      </c>
      <c r="AJ23" s="139">
        <f t="shared" si="0"/>
        <v>0</v>
      </c>
    </row>
    <row r="24" spans="1:36" ht="33" customHeight="1">
      <c r="A24" s="148">
        <v>18</v>
      </c>
      <c r="B24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18))),"")</f>
        <v/>
      </c>
      <c r="C24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О.]]))/(Таблица1[[мес]:[мес]]=$J$5)/(Таблица1[[год]:[год]]=$L$5)/(Таблица1[[изд]:[изд]]=$N$1)/(Таблица1[[партия]:[партия]]=$W$1),ROW(B18))),"")</f>
        <v/>
      </c>
      <c r="D24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18))),"")</f>
        <v/>
      </c>
      <c r="E24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18))),"")</f>
        <v/>
      </c>
      <c r="F24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18))),"")</f>
        <v/>
      </c>
      <c r="G24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18))),"")</f>
        <v/>
      </c>
      <c r="H24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18))),"")</f>
        <v/>
      </c>
      <c r="I24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18))),"")</f>
        <v/>
      </c>
      <c r="J24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18))),"")</f>
        <v/>
      </c>
      <c r="K24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18))),"")</f>
        <v/>
      </c>
      <c r="L24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18))),"")</f>
        <v/>
      </c>
      <c r="M24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18))),"")</f>
        <v/>
      </c>
      <c r="N24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18))),"")</f>
        <v/>
      </c>
      <c r="O24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18))),"")</f>
        <v/>
      </c>
      <c r="P24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18))),"")</f>
        <v/>
      </c>
      <c r="Q24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18))),"")</f>
        <v/>
      </c>
      <c r="R24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18))),"")</f>
        <v/>
      </c>
      <c r="S24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18))),"")</f>
        <v/>
      </c>
      <c r="T24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18))),"")</f>
        <v/>
      </c>
      <c r="U24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18))),"")</f>
        <v/>
      </c>
      <c r="V24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18))),"")</f>
        <v/>
      </c>
      <c r="W24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18))),"")</f>
        <v/>
      </c>
      <c r="X24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18))),"")</f>
        <v/>
      </c>
      <c r="Y24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18))),"")</f>
        <v/>
      </c>
      <c r="Z24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18))),"")</f>
        <v/>
      </c>
      <c r="AA24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18))),"")</f>
        <v/>
      </c>
      <c r="AB24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18))),"")</f>
        <v/>
      </c>
      <c r="AC24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18))),"")</f>
        <v/>
      </c>
      <c r="AD24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18))),"")</f>
        <v/>
      </c>
      <c r="AE24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18))),"")</f>
        <v/>
      </c>
      <c r="AF24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18))),"")</f>
        <v/>
      </c>
      <c r="AG24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18))),"")</f>
        <v/>
      </c>
      <c r="AH24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18))),"")</f>
        <v/>
      </c>
      <c r="AI24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IFERROR(INDEX(#REF!,_xlfn.AGGREGATE(15,6,(ROW(#REF!)-ROW(#REF!))/(Таблица1[[мес]:[мес]]=$J$5)/(Таблица1[[год]:[год]]=$L$5)/(Таблица1[[изд]:[изд]]=$N$1:$T$1)/(Таблица1[[партия]:[партия]]=$W$1),ROW(AH18))),"")</f>
        <v/>
      </c>
      <c r="AJ24" s="139">
        <f t="shared" si="0"/>
        <v>0</v>
      </c>
    </row>
    <row r="25" spans="1:36" ht="33" customHeight="1">
      <c r="A25" s="148">
        <v>19</v>
      </c>
      <c r="B25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19))),"")</f>
        <v/>
      </c>
      <c r="C25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О.]]))/(Таблица1[[мес]:[мес]]=$J$5)/(Таблица1[[год]:[год]]=$L$5)/(Таблица1[[изд]:[изд]]=$N$1)/(Таблица1[[партия]:[партия]]=$W$1),ROW(B19))),"")</f>
        <v/>
      </c>
      <c r="D25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19))),"")</f>
        <v/>
      </c>
      <c r="E25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19))),"")</f>
        <v/>
      </c>
      <c r="F25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19))),"")</f>
        <v/>
      </c>
      <c r="G25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19))),"")</f>
        <v/>
      </c>
      <c r="H25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19))),"")</f>
        <v/>
      </c>
      <c r="I25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19))),"")</f>
        <v/>
      </c>
      <c r="J25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19))),"")</f>
        <v/>
      </c>
      <c r="K25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19))),"")</f>
        <v/>
      </c>
      <c r="L25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19))),"")</f>
        <v/>
      </c>
      <c r="M25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19))),"")</f>
        <v/>
      </c>
      <c r="N25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19))),"")</f>
        <v/>
      </c>
      <c r="O25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19))),"")</f>
        <v/>
      </c>
      <c r="P25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19))),"")</f>
        <v/>
      </c>
      <c r="Q25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19))),"")</f>
        <v/>
      </c>
      <c r="R25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19))),"")</f>
        <v/>
      </c>
      <c r="S25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19))),"")</f>
        <v/>
      </c>
      <c r="T25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19))),"")</f>
        <v/>
      </c>
      <c r="U25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19))),"")</f>
        <v/>
      </c>
      <c r="V25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19))),"")</f>
        <v/>
      </c>
      <c r="W25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19))),"")</f>
        <v/>
      </c>
      <c r="X25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19))),"")</f>
        <v/>
      </c>
      <c r="Y25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19))),"")</f>
        <v/>
      </c>
      <c r="Z25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19))),"")</f>
        <v/>
      </c>
      <c r="AA25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19))),"")</f>
        <v/>
      </c>
      <c r="AB25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19))),"")</f>
        <v/>
      </c>
      <c r="AC25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19))),"")</f>
        <v/>
      </c>
      <c r="AD25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19))),"")</f>
        <v/>
      </c>
      <c r="AE25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19))),"")</f>
        <v/>
      </c>
      <c r="AF25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19))),"")</f>
        <v/>
      </c>
      <c r="AG25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19))),"")</f>
        <v/>
      </c>
      <c r="AH25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19))),"")</f>
        <v/>
      </c>
      <c r="AI25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IFERROR(INDEX(#REF!,_xlfn.AGGREGATE(15,6,(ROW(#REF!)-ROW(#REF!))/(Таблица1[[мес]:[мес]]=$J$5)/(Таблица1[[год]:[год]]=$L$5)/(Таблица1[[изд]:[изд]]=$N$1:$T$1)/(Таблица1[[партия]:[партия]]=$W$1),ROW(AH19))),"")</f>
        <v/>
      </c>
      <c r="AJ25" s="139">
        <f t="shared" si="0"/>
        <v>0</v>
      </c>
    </row>
    <row r="26" spans="1:36" ht="33" customHeight="1">
      <c r="A26" s="148">
        <v>20</v>
      </c>
      <c r="B26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20))),"")</f>
        <v/>
      </c>
      <c r="C26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О.]]))/(Таблица1[[мес]:[мес]]=$J$5)/(Таблица1[[год]:[год]]=$L$5)/(Таблица1[[изд]:[изд]]=$N$1)/(Таблица1[[партия]:[партия]]=$W$1),ROW(B20))),"")</f>
        <v/>
      </c>
      <c r="D26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20))),"")</f>
        <v/>
      </c>
      <c r="E26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20))),"")</f>
        <v/>
      </c>
      <c r="F26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20))),"")</f>
        <v/>
      </c>
      <c r="G26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20))),"")</f>
        <v/>
      </c>
      <c r="H26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20))),"")</f>
        <v/>
      </c>
      <c r="I26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20))),"")</f>
        <v/>
      </c>
      <c r="J26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20))),"")</f>
        <v/>
      </c>
      <c r="K26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20))),"")</f>
        <v/>
      </c>
      <c r="L26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20))),"")</f>
        <v/>
      </c>
      <c r="M26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20))),"")</f>
        <v/>
      </c>
      <c r="N26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20))),"")</f>
        <v/>
      </c>
      <c r="O26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20))),"")</f>
        <v/>
      </c>
      <c r="P26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20))),"")</f>
        <v/>
      </c>
      <c r="Q26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20))),"")</f>
        <v/>
      </c>
      <c r="R26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20))),"")</f>
        <v/>
      </c>
      <c r="S26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20))),"")</f>
        <v/>
      </c>
      <c r="T26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20))),"")</f>
        <v/>
      </c>
      <c r="U26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20))),"")</f>
        <v/>
      </c>
      <c r="V26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20))),"")</f>
        <v/>
      </c>
      <c r="W26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20))),"")</f>
        <v/>
      </c>
      <c r="X26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20))),"")</f>
        <v/>
      </c>
      <c r="Y26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20))),"")</f>
        <v/>
      </c>
      <c r="Z26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20))),"")</f>
        <v/>
      </c>
      <c r="AA26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20))),"")</f>
        <v/>
      </c>
      <c r="AB26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20))),"")</f>
        <v/>
      </c>
      <c r="AC26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20))),"")</f>
        <v/>
      </c>
      <c r="AD26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20))),"")</f>
        <v/>
      </c>
      <c r="AE26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20))),"")</f>
        <v/>
      </c>
      <c r="AF26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20))),"")</f>
        <v/>
      </c>
      <c r="AG26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20))),"")</f>
        <v/>
      </c>
      <c r="AH26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20))),"")</f>
        <v/>
      </c>
      <c r="AI26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IFERROR(INDEX(#REF!,_xlfn.AGGREGATE(15,6,(ROW(#REF!)-ROW(#REF!))/(Таблица1[[мес]:[мес]]=$J$5)/(Таблица1[[год]:[год]]=$L$5)/(Таблица1[[изд]:[изд]]=$N$1:$T$1)/(Таблица1[[партия]:[партия]]=$W$1),ROW(AH20))),"")</f>
        <v/>
      </c>
      <c r="AJ26" s="139">
        <f>SUM(E26:AI26)</f>
        <v>0</v>
      </c>
    </row>
    <row r="27" spans="1:36" ht="33" customHeight="1">
      <c r="A27" s="148">
        <v>21</v>
      </c>
      <c r="B27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21))),"")</f>
        <v/>
      </c>
      <c r="C27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О.]]))/(Таблица1[[мес]:[мес]]=$J$5)/(Таблица1[[год]:[год]]=$L$5)/(Таблица1[[изд]:[изд]]=$N$1)/(Таблица1[[партия]:[партия]]=$W$1),ROW(B21))),"")</f>
        <v/>
      </c>
      <c r="D27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21))),"")</f>
        <v/>
      </c>
      <c r="E27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21))),"")</f>
        <v/>
      </c>
      <c r="F27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21))),"")</f>
        <v/>
      </c>
      <c r="G27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21))),"")</f>
        <v/>
      </c>
      <c r="H27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21))),"")</f>
        <v/>
      </c>
      <c r="I27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21))),"")</f>
        <v/>
      </c>
      <c r="J27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21))),"")</f>
        <v/>
      </c>
      <c r="K27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21))),"")</f>
        <v/>
      </c>
      <c r="L27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21))),"")</f>
        <v/>
      </c>
      <c r="M27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21))),"")</f>
        <v/>
      </c>
      <c r="N27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21))),"")</f>
        <v/>
      </c>
      <c r="O27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21))),"")</f>
        <v/>
      </c>
      <c r="P27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21))),"")</f>
        <v/>
      </c>
      <c r="Q27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21))),"")</f>
        <v/>
      </c>
      <c r="R27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21))),"")</f>
        <v/>
      </c>
      <c r="S27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21))),"")</f>
        <v/>
      </c>
      <c r="T27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21))),"")</f>
        <v/>
      </c>
      <c r="U27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21))),"")</f>
        <v/>
      </c>
      <c r="V27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21))),"")</f>
        <v/>
      </c>
      <c r="W27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21))),"")</f>
        <v/>
      </c>
      <c r="X27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21))),"")</f>
        <v/>
      </c>
      <c r="Y27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21))),"")</f>
        <v/>
      </c>
      <c r="Z27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21))),"")</f>
        <v/>
      </c>
      <c r="AA27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21))),"")</f>
        <v/>
      </c>
      <c r="AB27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21))),"")</f>
        <v/>
      </c>
      <c r="AC27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21))),"")</f>
        <v/>
      </c>
      <c r="AD27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21))),"")</f>
        <v/>
      </c>
      <c r="AE27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21))),"")</f>
        <v/>
      </c>
      <c r="AF27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21))),"")</f>
        <v/>
      </c>
      <c r="AG27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21))),"")</f>
        <v/>
      </c>
      <c r="AH27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21))),"")</f>
        <v/>
      </c>
      <c r="AI27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IFERROR(INDEX(#REF!,_xlfn.AGGREGATE(15,6,(ROW(#REF!)-ROW(#REF!))/(Таблица1[[мес]:[мес]]=$J$5)/(Таблица1[[год]:[год]]=$L$5)/(Таблица1[[изд]:[изд]]=$N$1:$T$1)/(Таблица1[[партия]:[партия]]=$W$1),ROW(AH21))),"")</f>
        <v/>
      </c>
      <c r="AJ27" s="139">
        <f>SUM(E27:AI27)</f>
        <v>0</v>
      </c>
    </row>
    <row r="28" spans="1:36" ht="33" customHeight="1">
      <c r="A28" s="148">
        <v>22</v>
      </c>
      <c r="B28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22))),"")</f>
        <v/>
      </c>
      <c r="C28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О.]]))/(Таблица1[[мес]:[мес]]=$J$5)/(Таблица1[[год]:[год]]=$L$5)/(Таблица1[[изд]:[изд]]=$N$1)/(Таблица1[[партия]:[партия]]=$W$1),ROW(B22))),"")</f>
        <v/>
      </c>
      <c r="D28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22))),"")</f>
        <v/>
      </c>
      <c r="E28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22))),"")</f>
        <v/>
      </c>
      <c r="F28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22))),"")</f>
        <v/>
      </c>
      <c r="G28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22))),"")</f>
        <v/>
      </c>
      <c r="H28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22))),"")</f>
        <v/>
      </c>
      <c r="I28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22))),"")</f>
        <v/>
      </c>
      <c r="J28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22))),"")</f>
        <v/>
      </c>
      <c r="K28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22))),"")</f>
        <v/>
      </c>
      <c r="L28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22))),"")</f>
        <v/>
      </c>
      <c r="M28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22))),"")</f>
        <v/>
      </c>
      <c r="N28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22))),"")</f>
        <v/>
      </c>
      <c r="O28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22))),"")</f>
        <v/>
      </c>
      <c r="P28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22))),"")</f>
        <v/>
      </c>
      <c r="Q28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22))),"")</f>
        <v/>
      </c>
      <c r="R28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22))),"")</f>
        <v/>
      </c>
      <c r="S28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22))),"")</f>
        <v/>
      </c>
      <c r="T28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22))),"")</f>
        <v/>
      </c>
      <c r="U28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22))),"")</f>
        <v/>
      </c>
      <c r="V28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22))),"")</f>
        <v/>
      </c>
      <c r="W28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22))),"")</f>
        <v/>
      </c>
      <c r="X28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22))),"")</f>
        <v/>
      </c>
      <c r="Y28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22))),"")</f>
        <v/>
      </c>
      <c r="Z28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22))),"")</f>
        <v/>
      </c>
      <c r="AA28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22))),"")</f>
        <v/>
      </c>
      <c r="AB28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22))),"")</f>
        <v/>
      </c>
      <c r="AC28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22))),"")</f>
        <v/>
      </c>
      <c r="AD28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22))),"")</f>
        <v/>
      </c>
      <c r="AE28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22))),"")</f>
        <v/>
      </c>
      <c r="AF28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22))),"")</f>
        <v/>
      </c>
      <c r="AG28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22))),"")</f>
        <v/>
      </c>
      <c r="AH28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22))),"")</f>
        <v/>
      </c>
      <c r="AI28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IFERROR(INDEX(#REF!,_xlfn.AGGREGATE(15,6,(ROW(#REF!)-ROW(#REF!))/(Таблица1[[мес]:[мес]]=$J$5)/(Таблица1[[год]:[год]]=$L$5)/(Таблица1[[изд]:[изд]]=$N$1:$T$1)/(Таблица1[[партия]:[партия]]=$W$1),ROW(AH22))),"")</f>
        <v/>
      </c>
      <c r="AJ28" s="139">
        <f t="shared" ref="AJ28:AJ30" si="1">SUM(E28:AI28)</f>
        <v>0</v>
      </c>
    </row>
    <row r="29" spans="1:36" ht="33" customHeight="1">
      <c r="A29" s="148">
        <v>23</v>
      </c>
      <c r="B29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23))),"")</f>
        <v/>
      </c>
      <c r="C29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О.]]))/(Таблица1[[мес]:[мес]]=$J$5)/(Таблица1[[год]:[год]]=$L$5)/(Таблица1[[изд]:[изд]]=$N$1)/(Таблица1[[партия]:[партия]]=$W$1),ROW(B23))),"")</f>
        <v/>
      </c>
      <c r="D29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23))),"")</f>
        <v/>
      </c>
      <c r="E29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23))),"")</f>
        <v/>
      </c>
      <c r="F29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23))),"")</f>
        <v/>
      </c>
      <c r="G29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23))),"")</f>
        <v/>
      </c>
      <c r="H29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23))),"")</f>
        <v/>
      </c>
      <c r="I29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23))),"")</f>
        <v/>
      </c>
      <c r="J29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23))),"")</f>
        <v/>
      </c>
      <c r="K29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23))),"")</f>
        <v/>
      </c>
      <c r="L29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23))),"")</f>
        <v/>
      </c>
      <c r="M29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23))),"")</f>
        <v/>
      </c>
      <c r="N29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23))),"")</f>
        <v/>
      </c>
      <c r="O29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23))),"")</f>
        <v/>
      </c>
      <c r="P29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23))),"")</f>
        <v/>
      </c>
      <c r="Q29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23))),"")</f>
        <v/>
      </c>
      <c r="R29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23))),"")</f>
        <v/>
      </c>
      <c r="S29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23))),"")</f>
        <v/>
      </c>
      <c r="T29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23))),"")</f>
        <v/>
      </c>
      <c r="U29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23))),"")</f>
        <v/>
      </c>
      <c r="V29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23))),"")</f>
        <v/>
      </c>
      <c r="W29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23))),"")</f>
        <v/>
      </c>
      <c r="X29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23))),"")</f>
        <v/>
      </c>
      <c r="Y29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23))),"")</f>
        <v/>
      </c>
      <c r="Z29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23))),"")</f>
        <v/>
      </c>
      <c r="AA29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23))),"")</f>
        <v/>
      </c>
      <c r="AB29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23))),"")</f>
        <v/>
      </c>
      <c r="AC29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23))),"")</f>
        <v/>
      </c>
      <c r="AD29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23))),"")</f>
        <v/>
      </c>
      <c r="AE29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23))),"")</f>
        <v/>
      </c>
      <c r="AF29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23))),"")</f>
        <v/>
      </c>
      <c r="AG29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23))),"")</f>
        <v/>
      </c>
      <c r="AH29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23))),"")</f>
        <v/>
      </c>
      <c r="AI29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IFERROR(INDEX(#REF!,_xlfn.AGGREGATE(15,6,(ROW(#REF!)-ROW(#REF!))/(Таблица1[[мес]:[мес]]=$J$5)/(Таблица1[[год]:[год]]=$L$5)/(Таблица1[[изд]:[изд]]=$N$1:$T$1)/(Таблица1[[партия]:[партия]]=$W$1),ROW(AH23))),"")</f>
        <v/>
      </c>
      <c r="AJ29" s="139">
        <f t="shared" si="1"/>
        <v>0</v>
      </c>
    </row>
    <row r="30" spans="1:36" ht="33" customHeight="1">
      <c r="A30" s="148">
        <v>24</v>
      </c>
      <c r="B30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24))),"")</f>
        <v/>
      </c>
      <c r="C30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О.]]))/(Таблица1[[мес]:[мес]]=$J$5)/(Таблица1[[год]:[год]]=$L$5)/(Таблица1[[изд]:[изд]]=$N$1)/(Таблица1[[партия]:[партия]]=$W$1),ROW(B24))),"")</f>
        <v/>
      </c>
      <c r="D30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24))),"")</f>
        <v/>
      </c>
      <c r="E30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24))),"")</f>
        <v/>
      </c>
      <c r="F30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24))),"")</f>
        <v/>
      </c>
      <c r="G30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24))),"")</f>
        <v/>
      </c>
      <c r="H30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24))),"")</f>
        <v/>
      </c>
      <c r="I30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24))),"")</f>
        <v/>
      </c>
      <c r="J30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24))),"")</f>
        <v/>
      </c>
      <c r="K30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24))),"")</f>
        <v/>
      </c>
      <c r="L30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24))),"")</f>
        <v/>
      </c>
      <c r="M30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24))),"")</f>
        <v/>
      </c>
      <c r="N30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24))),"")</f>
        <v/>
      </c>
      <c r="O30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24))),"")</f>
        <v/>
      </c>
      <c r="P30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24))),"")</f>
        <v/>
      </c>
      <c r="Q30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24))),"")</f>
        <v/>
      </c>
      <c r="R30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24))),"")</f>
        <v/>
      </c>
      <c r="S30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24))),"")</f>
        <v/>
      </c>
      <c r="T30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24))),"")</f>
        <v/>
      </c>
      <c r="U30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24))),"")</f>
        <v/>
      </c>
      <c r="V30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24))),"")</f>
        <v/>
      </c>
      <c r="W30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24))),"")</f>
        <v/>
      </c>
      <c r="X30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24))),"")</f>
        <v/>
      </c>
      <c r="Y30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24))),"")</f>
        <v/>
      </c>
      <c r="Z30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24))),"")</f>
        <v/>
      </c>
      <c r="AA30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24))),"")</f>
        <v/>
      </c>
      <c r="AB30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24))),"")</f>
        <v/>
      </c>
      <c r="AC30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24))),"")</f>
        <v/>
      </c>
      <c r="AD30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24))),"")</f>
        <v/>
      </c>
      <c r="AE30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24))),"")</f>
        <v/>
      </c>
      <c r="AF30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24))),"")</f>
        <v/>
      </c>
      <c r="AG30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24))),"")</f>
        <v/>
      </c>
      <c r="AH30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24))),"")</f>
        <v/>
      </c>
      <c r="AI30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IFERROR(INDEX(#REF!,_xlfn.AGGREGATE(15,6,(ROW(#REF!)-ROW(#REF!))/(Таблица1[[мес]:[мес]]=$J$5)/(Таблица1[[год]:[год]]=$L$5)/(Таблица1[[изд]:[изд]]=$N$1:$T$1)/(Таблица1[[партия]:[партия]]=$W$1),ROW(AH24))),"")</f>
        <v/>
      </c>
      <c r="AJ30" s="139">
        <f t="shared" si="1"/>
        <v>0</v>
      </c>
    </row>
    <row r="31" spans="1:36" ht="21" customHeight="1">
      <c r="A31" s="148"/>
      <c r="B31" s="36"/>
      <c r="C31" s="33" t="s">
        <v>63</v>
      </c>
      <c r="D31" s="36"/>
      <c r="E31" s="34">
        <f>SUM(E7:E30)</f>
        <v>0</v>
      </c>
      <c r="F31" s="34">
        <f t="shared" ref="F31:AI31" si="2">SUM(F7:F30)</f>
        <v>0</v>
      </c>
      <c r="G31" s="34">
        <f t="shared" si="2"/>
        <v>0</v>
      </c>
      <c r="H31" s="34">
        <f t="shared" si="2"/>
        <v>0</v>
      </c>
      <c r="I31" s="34">
        <f t="shared" si="2"/>
        <v>0</v>
      </c>
      <c r="J31" s="34">
        <f t="shared" si="2"/>
        <v>0</v>
      </c>
      <c r="K31" s="34">
        <f t="shared" si="2"/>
        <v>0</v>
      </c>
      <c r="L31" s="34">
        <f t="shared" si="2"/>
        <v>0</v>
      </c>
      <c r="M31" s="34">
        <f t="shared" si="2"/>
        <v>0</v>
      </c>
      <c r="N31" s="34">
        <f t="shared" si="2"/>
        <v>0</v>
      </c>
      <c r="O31" s="34">
        <f t="shared" si="2"/>
        <v>0</v>
      </c>
      <c r="P31" s="34">
        <f t="shared" si="2"/>
        <v>0</v>
      </c>
      <c r="Q31" s="34">
        <f t="shared" si="2"/>
        <v>0</v>
      </c>
      <c r="R31" s="34">
        <f t="shared" si="2"/>
        <v>0</v>
      </c>
      <c r="S31" s="34">
        <f t="shared" si="2"/>
        <v>0</v>
      </c>
      <c r="T31" s="34">
        <f t="shared" si="2"/>
        <v>0</v>
      </c>
      <c r="U31" s="34">
        <f t="shared" si="2"/>
        <v>0</v>
      </c>
      <c r="V31" s="34">
        <f t="shared" si="2"/>
        <v>0</v>
      </c>
      <c r="W31" s="34">
        <f t="shared" si="2"/>
        <v>0</v>
      </c>
      <c r="X31" s="34">
        <f t="shared" si="2"/>
        <v>0</v>
      </c>
      <c r="Y31" s="34">
        <f t="shared" si="2"/>
        <v>0</v>
      </c>
      <c r="Z31" s="34">
        <f t="shared" si="2"/>
        <v>0</v>
      </c>
      <c r="AA31" s="34">
        <f t="shared" si="2"/>
        <v>0</v>
      </c>
      <c r="AB31" s="34">
        <f t="shared" si="2"/>
        <v>0</v>
      </c>
      <c r="AC31" s="34">
        <f t="shared" si="2"/>
        <v>0</v>
      </c>
      <c r="AD31" s="34">
        <f t="shared" si="2"/>
        <v>0</v>
      </c>
      <c r="AE31" s="34">
        <f t="shared" si="2"/>
        <v>0</v>
      </c>
      <c r="AF31" s="34">
        <f t="shared" si="2"/>
        <v>0</v>
      </c>
      <c r="AG31" s="34">
        <f t="shared" si="2"/>
        <v>0</v>
      </c>
      <c r="AH31" s="34">
        <f t="shared" si="2"/>
        <v>0</v>
      </c>
      <c r="AI31" s="34">
        <f t="shared" si="2"/>
        <v>0</v>
      </c>
      <c r="AJ31" s="145">
        <f>SUM(E31:AI31)</f>
        <v>0</v>
      </c>
    </row>
    <row r="32" spans="1:36" ht="11.25" customHeight="1">
      <c r="A32" s="148"/>
      <c r="B32" s="148"/>
      <c r="C32" s="149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148"/>
      <c r="T32" s="148"/>
      <c r="U32" s="148"/>
      <c r="V32" s="148"/>
      <c r="W32" s="148"/>
      <c r="X32" s="148"/>
      <c r="Y32" s="148"/>
      <c r="Z32" s="148"/>
      <c r="AA32" s="148"/>
      <c r="AB32" s="148"/>
      <c r="AC32" s="148"/>
      <c r="AD32" s="148"/>
      <c r="AE32" s="148"/>
      <c r="AF32" s="148"/>
      <c r="AG32" s="148"/>
      <c r="AH32" s="148"/>
      <c r="AI32" s="148"/>
      <c r="AJ32" s="150"/>
    </row>
    <row r="33" spans="1:41" s="62" customFormat="1" ht="17.25" customHeight="1">
      <c r="A33" s="261"/>
      <c r="B33" s="261"/>
      <c r="C33" s="296" t="s">
        <v>64</v>
      </c>
      <c r="D33" s="262"/>
      <c r="E33" s="262"/>
      <c r="F33" s="262"/>
      <c r="G33" s="295" t="str">
        <f>Data_Tech!$AU$7</f>
        <v>Кувшинов А.Г.</v>
      </c>
      <c r="H33" s="295"/>
      <c r="I33" s="261"/>
      <c r="J33" s="261"/>
      <c r="K33" s="261"/>
      <c r="L33" s="261"/>
      <c r="M33" s="261"/>
      <c r="N33" s="261"/>
      <c r="O33" s="261"/>
      <c r="P33" s="261"/>
      <c r="Q33" s="261"/>
      <c r="R33" s="260" t="s">
        <v>246</v>
      </c>
      <c r="S33" s="260"/>
      <c r="T33" s="260"/>
      <c r="U33" s="260"/>
      <c r="V33" s="259"/>
      <c r="W33" s="259"/>
      <c r="X33" s="259"/>
      <c r="Y33" s="259"/>
      <c r="Z33" s="259"/>
      <c r="AA33" s="260" t="s">
        <v>108</v>
      </c>
      <c r="AB33" s="260"/>
      <c r="AE33" s="261"/>
      <c r="AF33" s="261"/>
      <c r="AG33" s="261"/>
      <c r="AH33" s="261"/>
      <c r="AI33" s="261"/>
      <c r="AJ33" s="261"/>
    </row>
    <row r="34" spans="1:41" ht="23.25" customHeight="1">
      <c r="A34" s="148"/>
      <c r="B34" s="148"/>
      <c r="C34" s="149"/>
      <c r="D34" s="148"/>
      <c r="E34" s="148"/>
      <c r="F34" s="148"/>
      <c r="G34" s="148"/>
      <c r="H34" s="148"/>
      <c r="I34" s="148"/>
      <c r="J34" s="148"/>
      <c r="K34" s="148"/>
      <c r="L34" s="148"/>
      <c r="M34" s="148"/>
      <c r="N34" s="148"/>
      <c r="O34" s="148"/>
      <c r="P34" s="148"/>
      <c r="Q34" s="148"/>
      <c r="R34" s="148"/>
      <c r="S34" s="148"/>
      <c r="T34" s="148"/>
      <c r="U34" s="148"/>
      <c r="V34" s="148"/>
      <c r="W34" s="148"/>
      <c r="X34" s="148"/>
      <c r="Y34" s="148"/>
      <c r="Z34" s="148"/>
      <c r="AA34" s="221"/>
      <c r="AB34" s="148"/>
      <c r="AC34" s="148"/>
      <c r="AD34" s="148"/>
      <c r="AE34" s="148"/>
      <c r="AF34" s="148"/>
      <c r="AG34" s="148"/>
      <c r="AH34" s="148"/>
      <c r="AI34" s="148"/>
      <c r="AJ34" s="148"/>
    </row>
    <row r="35" spans="1:41" ht="20.25" customHeight="1">
      <c r="B35" s="62"/>
      <c r="C35" s="63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  <c r="AJ35" s="62"/>
    </row>
    <row r="36" spans="1:41" ht="18.75">
      <c r="AJ36" s="64"/>
    </row>
    <row r="37" spans="1:41" ht="31.5">
      <c r="C37" s="52"/>
      <c r="D37" s="53"/>
      <c r="AL37" s="293" t="s">
        <v>94</v>
      </c>
      <c r="AM37" s="293"/>
      <c r="AN37" s="293"/>
    </row>
    <row r="38" spans="1:41" ht="18">
      <c r="C38" s="52"/>
      <c r="D38" s="53"/>
      <c r="AL38" s="891">
        <f>SUMIFS(Таблица1[Столбец2],Таблица1[партия],W1,Таблица1[изд],N1)</f>
        <v>0</v>
      </c>
      <c r="AM38" s="891"/>
      <c r="AN38" s="891"/>
      <c r="AO38" s="891"/>
    </row>
    <row r="39" spans="1:41">
      <c r="AL39" s="891"/>
      <c r="AM39" s="891"/>
      <c r="AN39" s="891"/>
      <c r="AO39" s="891"/>
    </row>
    <row r="40" spans="1:41">
      <c r="AL40" s="891"/>
      <c r="AM40" s="891"/>
      <c r="AN40" s="891"/>
      <c r="AO40" s="891"/>
    </row>
    <row r="41" spans="1:41">
      <c r="AL41" s="891"/>
      <c r="AM41" s="891"/>
      <c r="AN41" s="891"/>
      <c r="AO41" s="891"/>
    </row>
  </sheetData>
  <mergeCells count="10">
    <mergeCell ref="AL38:AO41"/>
    <mergeCell ref="B1:I5"/>
    <mergeCell ref="N1:T1"/>
    <mergeCell ref="U1:V1"/>
    <mergeCell ref="W1:Y1"/>
    <mergeCell ref="AD2:AE2"/>
    <mergeCell ref="AD3:AE3"/>
    <mergeCell ref="AD4:AE4"/>
    <mergeCell ref="J5:K5"/>
    <mergeCell ref="L5:M5"/>
  </mergeCells>
  <pageMargins left="0.70866141732283472" right="0.70866141732283472" top="0.35433070866141736" bottom="0.35433070866141736" header="0" footer="0"/>
  <pageSetup paperSize="9" scale="52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O41"/>
  <sheetViews>
    <sheetView view="pageBreakPreview" zoomScale="60" zoomScaleNormal="100" workbookViewId="0">
      <selection activeCell="AP19" sqref="AP19"/>
    </sheetView>
  </sheetViews>
  <sheetFormatPr defaultRowHeight="15"/>
  <cols>
    <col min="1" max="1" customWidth="true" style="45" width="5.28515625"/>
    <col min="2" max="2" customWidth="true" style="45" width="7.5703125"/>
    <col min="3" max="3" customWidth="true" style="50" width="31.28515625"/>
    <col min="4" max="4" style="45" width="9.140625"/>
    <col min="5" max="35" customWidth="true" style="45" width="6.0"/>
    <col min="36" max="37" style="45" width="9.140625"/>
    <col min="38" max="38" customWidth="true" style="45" width="22.0"/>
    <col min="39" max="16384" style="45" width="9.140625"/>
  </cols>
  <sheetData>
    <row r="1" spans="1:36" s="32" customFormat="1" ht="29.25" customHeight="1">
      <c r="A1" s="151"/>
      <c r="B1" s="884" t="s">
        <v>75</v>
      </c>
      <c r="C1" s="884"/>
      <c r="D1" s="884"/>
      <c r="E1" s="884"/>
      <c r="F1" s="884"/>
      <c r="G1" s="884"/>
      <c r="H1" s="884"/>
      <c r="I1" s="884"/>
      <c r="J1" s="152" t="s">
        <v>68</v>
      </c>
      <c r="K1" s="248"/>
      <c r="L1" s="152"/>
      <c r="M1" s="152"/>
      <c r="N1" s="890">
        <v>6001</v>
      </c>
      <c r="O1" s="890"/>
      <c r="P1" s="890"/>
      <c r="Q1" s="890"/>
      <c r="R1" s="890"/>
      <c r="S1" s="890"/>
      <c r="T1" s="890"/>
      <c r="U1" s="888" t="s">
        <v>10</v>
      </c>
      <c r="V1" s="888"/>
      <c r="W1" s="889" t="s">
        <v>109</v>
      </c>
      <c r="X1" s="889"/>
      <c r="Y1" s="889"/>
      <c r="Z1" s="153"/>
      <c r="AA1" s="154"/>
      <c r="AB1" s="155"/>
      <c r="AC1" s="155"/>
      <c r="AD1" s="155"/>
      <c r="AE1" s="151"/>
      <c r="AF1" s="151"/>
      <c r="AG1" s="151"/>
      <c r="AH1" s="153"/>
      <c r="AI1" s="153"/>
      <c r="AJ1" s="154"/>
    </row>
    <row r="2" spans="1:36" s="32" customFormat="1" ht="24" customHeight="1">
      <c r="A2" s="151"/>
      <c r="B2" s="884"/>
      <c r="C2" s="884"/>
      <c r="D2" s="884"/>
      <c r="E2" s="884"/>
      <c r="F2" s="884"/>
      <c r="G2" s="884"/>
      <c r="H2" s="884"/>
      <c r="I2" s="884"/>
      <c r="J2" s="156"/>
      <c r="K2" s="157"/>
      <c r="L2" s="157"/>
      <c r="M2" s="157"/>
      <c r="N2" s="157"/>
      <c r="O2" s="569"/>
      <c r="P2" s="569"/>
      <c r="Q2" s="569"/>
      <c r="R2" s="250"/>
      <c r="S2" s="251"/>
      <c r="T2" s="252"/>
      <c r="U2" s="157"/>
      <c r="V2" s="157"/>
      <c r="W2" s="160"/>
      <c r="X2" s="160"/>
      <c r="Y2" s="160"/>
      <c r="Z2" s="153"/>
      <c r="AA2" s="153"/>
      <c r="AB2" s="247" t="s">
        <v>10</v>
      </c>
      <c r="AC2" s="247"/>
      <c r="AD2" s="887">
        <v>6400</v>
      </c>
      <c r="AE2" s="887"/>
      <c r="AF2" s="247"/>
      <c r="AG2" s="247" t="s">
        <v>76</v>
      </c>
      <c r="AH2" s="247"/>
      <c r="AI2" s="247"/>
      <c r="AJ2" s="154"/>
    </row>
    <row r="3" spans="1:36" s="32" customFormat="1" ht="24" customHeight="1">
      <c r="A3" s="151"/>
      <c r="B3" s="884"/>
      <c r="C3" s="884"/>
      <c r="D3" s="884"/>
      <c r="E3" s="884"/>
      <c r="F3" s="884"/>
      <c r="G3" s="884"/>
      <c r="H3" s="884"/>
      <c r="I3" s="884"/>
      <c r="J3" s="156"/>
      <c r="K3" s="162" t="s">
        <v>77</v>
      </c>
      <c r="L3" s="157"/>
      <c r="M3" s="157"/>
      <c r="N3" s="163"/>
      <c r="O3" s="253"/>
      <c r="P3" s="253" t="e">
        <f>INDEX(база!$AL:$AL, MATCH(N1,база!$AK:$AK,0))</f>
        <v>#N/A</v>
      </c>
      <c r="Q3" s="253"/>
      <c r="R3" s="254"/>
      <c r="S3" s="254"/>
      <c r="T3" s="255"/>
      <c r="U3" s="157"/>
      <c r="V3" s="157"/>
      <c r="W3" s="164"/>
      <c r="X3" s="164"/>
      <c r="Y3" s="164"/>
      <c r="Z3" s="153"/>
      <c r="AA3" s="153"/>
      <c r="AB3" s="247" t="s">
        <v>78</v>
      </c>
      <c r="AC3" s="247"/>
      <c r="AD3" s="887">
        <v>70</v>
      </c>
      <c r="AE3" s="887"/>
      <c r="AF3" s="247"/>
      <c r="AG3" s="247" t="s">
        <v>85</v>
      </c>
      <c r="AH3" s="247"/>
      <c r="AI3" s="247"/>
      <c r="AJ3" s="154"/>
    </row>
    <row r="4" spans="1:36" s="32" customFormat="1" ht="24" customHeight="1">
      <c r="A4" s="151"/>
      <c r="B4" s="884"/>
      <c r="C4" s="884"/>
      <c r="D4" s="884"/>
      <c r="E4" s="884"/>
      <c r="F4" s="884"/>
      <c r="G4" s="884"/>
      <c r="H4" s="884"/>
      <c r="I4" s="884"/>
      <c r="J4" s="156"/>
      <c r="K4" s="157"/>
      <c r="L4" s="157"/>
      <c r="M4" s="157"/>
      <c r="N4" s="157"/>
      <c r="O4" s="165"/>
      <c r="P4" s="165"/>
      <c r="Q4" s="165"/>
      <c r="R4" s="153"/>
      <c r="S4" s="153"/>
      <c r="T4" s="158"/>
      <c r="U4" s="570"/>
      <c r="V4" s="570"/>
      <c r="W4" s="164"/>
      <c r="X4" s="164"/>
      <c r="Y4" s="164"/>
      <c r="Z4" s="153"/>
      <c r="AA4" s="153"/>
      <c r="AB4" s="247" t="s">
        <v>79</v>
      </c>
      <c r="AC4" s="247"/>
      <c r="AD4" s="887">
        <v>70</v>
      </c>
      <c r="AE4" s="887"/>
      <c r="AF4" s="247"/>
      <c r="AG4" s="247" t="s">
        <v>80</v>
      </c>
      <c r="AH4" s="247"/>
      <c r="AI4" s="247"/>
      <c r="AJ4" s="154"/>
    </row>
    <row r="5" spans="1:36" s="32" customFormat="1" ht="24" customHeight="1">
      <c r="A5" s="151"/>
      <c r="B5" s="884"/>
      <c r="C5" s="884"/>
      <c r="D5" s="884"/>
      <c r="E5" s="884"/>
      <c r="F5" s="884"/>
      <c r="G5" s="884"/>
      <c r="H5" s="884"/>
      <c r="I5" s="884"/>
      <c r="J5" s="885" t="str">
        <f>Data_Tech!A3</f>
        <v>декабрь</v>
      </c>
      <c r="K5" s="885"/>
      <c r="L5" s="886">
        <v>2022</v>
      </c>
      <c r="M5" s="886"/>
      <c r="N5" s="166"/>
      <c r="O5" s="166"/>
      <c r="P5" s="166"/>
      <c r="Q5" s="166"/>
      <c r="R5" s="166"/>
      <c r="S5" s="166"/>
      <c r="T5" s="166"/>
      <c r="U5" s="166"/>
      <c r="V5" s="166"/>
      <c r="W5" s="153"/>
      <c r="X5" s="153"/>
      <c r="Y5" s="153"/>
      <c r="Z5" s="153"/>
      <c r="AA5" s="153"/>
      <c r="AB5" s="247" t="s">
        <v>81</v>
      </c>
      <c r="AC5" s="247"/>
      <c r="AD5" s="247">
        <v>0</v>
      </c>
      <c r="AE5" s="247"/>
      <c r="AF5" s="247"/>
      <c r="AG5" s="247" t="s">
        <v>82</v>
      </c>
      <c r="AH5" s="247"/>
      <c r="AI5" s="247"/>
      <c r="AJ5" s="154"/>
    </row>
    <row r="6" spans="1:36" s="32" customFormat="1" ht="25.5" customHeight="1">
      <c r="A6" s="151"/>
      <c r="B6" s="133" t="s">
        <v>9</v>
      </c>
      <c r="C6" s="134" t="s">
        <v>0</v>
      </c>
      <c r="D6" s="135" t="s">
        <v>1</v>
      </c>
      <c r="E6" s="136">
        <v>1</v>
      </c>
      <c r="F6" s="136">
        <v>2</v>
      </c>
      <c r="G6" s="136">
        <v>3</v>
      </c>
      <c r="H6" s="136">
        <v>4</v>
      </c>
      <c r="I6" s="136">
        <v>5</v>
      </c>
      <c r="J6" s="136">
        <v>6</v>
      </c>
      <c r="K6" s="136">
        <v>7</v>
      </c>
      <c r="L6" s="136">
        <v>8</v>
      </c>
      <c r="M6" s="136">
        <v>9</v>
      </c>
      <c r="N6" s="136">
        <v>10</v>
      </c>
      <c r="O6" s="136">
        <v>11</v>
      </c>
      <c r="P6" s="136">
        <v>12</v>
      </c>
      <c r="Q6" s="136">
        <v>13</v>
      </c>
      <c r="R6" s="136">
        <v>14</v>
      </c>
      <c r="S6" s="136">
        <v>15</v>
      </c>
      <c r="T6" s="136">
        <v>16</v>
      </c>
      <c r="U6" s="136">
        <v>17</v>
      </c>
      <c r="V6" s="136">
        <v>18</v>
      </c>
      <c r="W6" s="136">
        <v>19</v>
      </c>
      <c r="X6" s="136">
        <v>20</v>
      </c>
      <c r="Y6" s="136">
        <v>21</v>
      </c>
      <c r="Z6" s="136">
        <v>22</v>
      </c>
      <c r="AA6" s="136">
        <v>23</v>
      </c>
      <c r="AB6" s="136">
        <v>24</v>
      </c>
      <c r="AC6" s="136">
        <v>25</v>
      </c>
      <c r="AD6" s="136">
        <v>26</v>
      </c>
      <c r="AE6" s="136">
        <v>27</v>
      </c>
      <c r="AF6" s="136">
        <v>28</v>
      </c>
      <c r="AG6" s="136">
        <v>29</v>
      </c>
      <c r="AH6" s="136">
        <v>30</v>
      </c>
      <c r="AI6" s="136">
        <v>31</v>
      </c>
      <c r="AJ6" s="137"/>
    </row>
    <row r="7" spans="1:36" ht="33" customHeight="1">
      <c r="A7" s="148">
        <v>1</v>
      </c>
      <c r="B7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1))),"")</f>
        <v/>
      </c>
      <c r="C7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О.]]))/(Таблица1[[мес]:[мес]]=$J$5)/(Таблица1[[год]:[год]]=$L$5)/(Таблица1[[изд]:[изд]]=$N$1)/(Таблица1[[партия]:[партия]]=$W$1),ROW(B1))),"")</f>
        <v/>
      </c>
      <c r="D7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1))),"")</f>
        <v/>
      </c>
      <c r="E7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1))),"")</f>
        <v/>
      </c>
      <c r="F7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1))),"")</f>
        <v/>
      </c>
      <c r="G7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1))),"")</f>
        <v/>
      </c>
      <c r="H7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1))),"")</f>
        <v/>
      </c>
      <c r="I7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1))),"")</f>
        <v/>
      </c>
      <c r="J7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1))),"")</f>
        <v/>
      </c>
      <c r="K7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1))),"")</f>
        <v/>
      </c>
      <c r="L7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1))),"")</f>
        <v/>
      </c>
      <c r="M7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1))),"")</f>
        <v/>
      </c>
      <c r="N7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1))),"")</f>
        <v/>
      </c>
      <c r="O7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1))),"")</f>
        <v/>
      </c>
      <c r="P7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1))),"")</f>
        <v/>
      </c>
      <c r="Q7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1))),"")</f>
        <v/>
      </c>
      <c r="R7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1))),"")</f>
        <v/>
      </c>
      <c r="S7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1))),"")</f>
        <v/>
      </c>
      <c r="T7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1))),"")</f>
        <v/>
      </c>
      <c r="U7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1))),"")</f>
        <v/>
      </c>
      <c r="V7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1))),"")</f>
        <v/>
      </c>
      <c r="W7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1))),"")</f>
        <v/>
      </c>
      <c r="X7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1))),"")</f>
        <v/>
      </c>
      <c r="Y7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1))),"")</f>
        <v/>
      </c>
      <c r="Z7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1))),"")</f>
        <v/>
      </c>
      <c r="AA7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1))),"")</f>
        <v/>
      </c>
      <c r="AB7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1))),"")</f>
        <v/>
      </c>
      <c r="AC7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1))),"")</f>
        <v/>
      </c>
      <c r="AD7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1))),"")</f>
        <v/>
      </c>
      <c r="AE7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1))),"")</f>
        <v/>
      </c>
      <c r="AF7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1))),"")</f>
        <v/>
      </c>
      <c r="AG7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1))),"")</f>
        <v/>
      </c>
      <c r="AH7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1))),"")</f>
        <v/>
      </c>
      <c r="AI7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IFERROR(INDEX(#REF!,_xlfn.AGGREGATE(15,6,(ROW(#REF!)-ROW(#REF!))/(Таблица1[[мес]:[мес]]=$J$5)/(Таблица1[[год]:[год]]=$L$5)/(Таблица1[[изд]:[изд]]=$N$1:$T$1)/(Таблица1[[партия]:[партия]]=$W$1),ROW(AH1))),"")</f>
        <v/>
      </c>
      <c r="AJ7" s="139">
        <f t="shared" ref="AJ7:AJ24" si="0">SUM(E7:AI7)</f>
        <v>0</v>
      </c>
    </row>
    <row r="8" spans="1:36" ht="33" customHeight="1">
      <c r="A8" s="148">
        <v>2</v>
      </c>
      <c r="B8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2))),"")</f>
        <v/>
      </c>
      <c r="C8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О.]]))/(Таблица1[[мес]:[мес]]=$J$5)/(Таблица1[[год]:[год]]=$L$5)/(Таблица1[[изд]:[изд]]=$N$1)/(Таблица1[[партия]:[партия]]=$W$1),ROW(B2))),"")</f>
        <v/>
      </c>
      <c r="D8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2))),"")</f>
        <v/>
      </c>
      <c r="E8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2))),"")</f>
        <v/>
      </c>
      <c r="F8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2))),"")</f>
        <v/>
      </c>
      <c r="G8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2))),"")</f>
        <v/>
      </c>
      <c r="H8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2))),"")</f>
        <v/>
      </c>
      <c r="I8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2))),"")</f>
        <v/>
      </c>
      <c r="J8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2))),"")</f>
        <v/>
      </c>
      <c r="K8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2))),"")</f>
        <v/>
      </c>
      <c r="L8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2))),"")</f>
        <v/>
      </c>
      <c r="M8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2))),"")</f>
        <v/>
      </c>
      <c r="N8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2))),"")</f>
        <v/>
      </c>
      <c r="O8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2))),"")</f>
        <v/>
      </c>
      <c r="P8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2))),"")</f>
        <v/>
      </c>
      <c r="Q8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2))),"")</f>
        <v/>
      </c>
      <c r="R8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2))),"")</f>
        <v/>
      </c>
      <c r="S8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2))),"")</f>
        <v/>
      </c>
      <c r="T8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2))),"")</f>
        <v/>
      </c>
      <c r="U8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2))),"")</f>
        <v/>
      </c>
      <c r="V8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2))),"")</f>
        <v/>
      </c>
      <c r="W8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2))),"")</f>
        <v/>
      </c>
      <c r="X8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2))),"")</f>
        <v/>
      </c>
      <c r="Y8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2))),"")</f>
        <v/>
      </c>
      <c r="Z8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2))),"")</f>
        <v/>
      </c>
      <c r="AA8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2))),"")</f>
        <v/>
      </c>
      <c r="AB8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2))),"")</f>
        <v/>
      </c>
      <c r="AC8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2))),"")</f>
        <v/>
      </c>
      <c r="AD8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2))),"")</f>
        <v/>
      </c>
      <c r="AE8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2))),"")</f>
        <v/>
      </c>
      <c r="AF8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2))),"")</f>
        <v/>
      </c>
      <c r="AG8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2))),"")</f>
        <v/>
      </c>
      <c r="AH8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2))),"")</f>
        <v/>
      </c>
      <c r="AI8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IFERROR(INDEX(#REF!,_xlfn.AGGREGATE(15,6,(ROW(#REF!)-ROW(#REF!))/(Таблица1[[мес]:[мес]]=$J$5)/(Таблица1[[год]:[год]]=$L$5)/(Таблица1[[изд]:[изд]]=$N$1:$T$1)/(Таблица1[[партия]:[партия]]=$W$1),ROW(AH2))),"")</f>
        <v/>
      </c>
      <c r="AJ8" s="140">
        <f t="shared" si="0"/>
        <v>0</v>
      </c>
    </row>
    <row r="9" spans="1:36" ht="33" customHeight="1">
      <c r="A9" s="148">
        <v>3</v>
      </c>
      <c r="B9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3))),"")</f>
        <v/>
      </c>
      <c r="C9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О.]]))/(Таблица1[[мес]:[мес]]=$J$5)/(Таблица1[[год]:[год]]=$L$5)/(Таблица1[[изд]:[изд]]=$N$1)/(Таблица1[[партия]:[партия]]=$W$1),ROW(B3))),"")</f>
        <v/>
      </c>
      <c r="D9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3))),"")</f>
        <v/>
      </c>
      <c r="E9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3))),"")</f>
        <v/>
      </c>
      <c r="F9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3))),"")</f>
        <v/>
      </c>
      <c r="G9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3))),"")</f>
        <v/>
      </c>
      <c r="H9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3))),"")</f>
        <v/>
      </c>
      <c r="I9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3))),"")</f>
        <v/>
      </c>
      <c r="J9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3))),"")</f>
        <v/>
      </c>
      <c r="K9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3))),"")</f>
        <v/>
      </c>
      <c r="L9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3))),"")</f>
        <v/>
      </c>
      <c r="M9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3))),"")</f>
        <v/>
      </c>
      <c r="N9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3))),"")</f>
        <v/>
      </c>
      <c r="O9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3))),"")</f>
        <v/>
      </c>
      <c r="P9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3))),"")</f>
        <v/>
      </c>
      <c r="Q9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3))),"")</f>
        <v/>
      </c>
      <c r="R9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3))),"")</f>
        <v/>
      </c>
      <c r="S9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3))),"")</f>
        <v/>
      </c>
      <c r="T9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3))),"")</f>
        <v/>
      </c>
      <c r="U9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3))),"")</f>
        <v/>
      </c>
      <c r="V9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3))),"")</f>
        <v/>
      </c>
      <c r="W9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3))),"")</f>
        <v/>
      </c>
      <c r="X9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3))),"")</f>
        <v/>
      </c>
      <c r="Y9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3))),"")</f>
        <v/>
      </c>
      <c r="Z9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3))),"")</f>
        <v/>
      </c>
      <c r="AA9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3))),"")</f>
        <v/>
      </c>
      <c r="AB9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3))),"")</f>
        <v/>
      </c>
      <c r="AC9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3))),"")</f>
        <v/>
      </c>
      <c r="AD9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3))),"")</f>
        <v/>
      </c>
      <c r="AE9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3))),"")</f>
        <v/>
      </c>
      <c r="AF9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3))),"")</f>
        <v/>
      </c>
      <c r="AG9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3))),"")</f>
        <v/>
      </c>
      <c r="AH9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3))),"")</f>
        <v/>
      </c>
      <c r="AI9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IFERROR(INDEX(#REF!,_xlfn.AGGREGATE(15,6,(ROW(#REF!)-ROW(#REF!))/(Таблица1[[мес]:[мес]]=$J$5)/(Таблица1[[год]:[год]]=$L$5)/(Таблица1[[изд]:[изд]]=$N$1:$T$1)/(Таблица1[[партия]:[партия]]=$W$1),ROW(AH3))),"")</f>
        <v/>
      </c>
      <c r="AJ9" s="139">
        <f t="shared" si="0"/>
        <v>0</v>
      </c>
    </row>
    <row r="10" spans="1:36" ht="33" customHeight="1">
      <c r="A10" s="148">
        <v>4</v>
      </c>
      <c r="B10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4))),"")</f>
        <v/>
      </c>
      <c r="C10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О.]]))/(Таблица1[[мес]:[мес]]=$J$5)/(Таблица1[[год]:[год]]=$L$5)/(Таблица1[[изд]:[изд]]=$N$1)/(Таблица1[[партия]:[партия]]=$W$1),ROW(B4))),"")</f>
        <v/>
      </c>
      <c r="D10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4))),"")</f>
        <v/>
      </c>
      <c r="E10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4))),"")</f>
        <v/>
      </c>
      <c r="F10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4))),"")</f>
        <v/>
      </c>
      <c r="G10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4))),"")</f>
        <v/>
      </c>
      <c r="H10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4))),"")</f>
        <v/>
      </c>
      <c r="I10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4))),"")</f>
        <v/>
      </c>
      <c r="J10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4))),"")</f>
        <v/>
      </c>
      <c r="K10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4))),"")</f>
        <v/>
      </c>
      <c r="L10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4))),"")</f>
        <v/>
      </c>
      <c r="M10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4))),"")</f>
        <v/>
      </c>
      <c r="N10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4))),"")</f>
        <v/>
      </c>
      <c r="O10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4))),"")</f>
        <v/>
      </c>
      <c r="P10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4))),"")</f>
        <v/>
      </c>
      <c r="Q10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4))),"")</f>
        <v/>
      </c>
      <c r="R10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4))),"")</f>
        <v/>
      </c>
      <c r="S10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4))),"")</f>
        <v/>
      </c>
      <c r="T10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4))),"")</f>
        <v/>
      </c>
      <c r="U10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4))),"")</f>
        <v/>
      </c>
      <c r="V10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4))),"")</f>
        <v/>
      </c>
      <c r="W10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4))),"")</f>
        <v/>
      </c>
      <c r="X10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4))),"")</f>
        <v/>
      </c>
      <c r="Y10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4))),"")</f>
        <v/>
      </c>
      <c r="Z10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4))),"")</f>
        <v/>
      </c>
      <c r="AA10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4))),"")</f>
        <v/>
      </c>
      <c r="AB10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4))),"")</f>
        <v/>
      </c>
      <c r="AC10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4))),"")</f>
        <v/>
      </c>
      <c r="AD10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4))),"")</f>
        <v/>
      </c>
      <c r="AE10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4))),"")</f>
        <v/>
      </c>
      <c r="AF10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4))),"")</f>
        <v/>
      </c>
      <c r="AG10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4))),"")</f>
        <v/>
      </c>
      <c r="AH10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4))),"")</f>
        <v/>
      </c>
      <c r="AI10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IFERROR(INDEX(#REF!,_xlfn.AGGREGATE(15,6,(ROW(#REF!)-ROW(#REF!))/(Таблица1[[мес]:[мес]]=$J$5)/(Таблица1[[год]:[год]]=$L$5)/(Таблица1[[изд]:[изд]]=$N$1:$T$1)/(Таблица1[[партия]:[партия]]=$W$1),ROW(AH4))),"")</f>
        <v/>
      </c>
      <c r="AJ10" s="140">
        <f t="shared" si="0"/>
        <v>0</v>
      </c>
    </row>
    <row r="11" spans="1:36" ht="33" customHeight="1">
      <c r="A11" s="148">
        <v>5</v>
      </c>
      <c r="B11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5))),"")</f>
        <v/>
      </c>
      <c r="C11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О.]]))/(Таблица1[[мес]:[мес]]=$J$5)/(Таблица1[[год]:[год]]=$L$5)/(Таблица1[[изд]:[изд]]=$N$1)/(Таблица1[[партия]:[партия]]=$W$1),ROW(B5))),"")</f>
        <v/>
      </c>
      <c r="D11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5))),"")</f>
        <v/>
      </c>
      <c r="E11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5))),"")</f>
        <v/>
      </c>
      <c r="F11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5))),"")</f>
        <v/>
      </c>
      <c r="G11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5))),"")</f>
        <v/>
      </c>
      <c r="H11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5))),"")</f>
        <v/>
      </c>
      <c r="I11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5))),"")</f>
        <v/>
      </c>
      <c r="J11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5))),"")</f>
        <v/>
      </c>
      <c r="K11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5))),"")</f>
        <v/>
      </c>
      <c r="L11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5))),"")</f>
        <v/>
      </c>
      <c r="M11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5))),"")</f>
        <v/>
      </c>
      <c r="N11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5))),"")</f>
        <v/>
      </c>
      <c r="O11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5))),"")</f>
        <v/>
      </c>
      <c r="P11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5))),"")</f>
        <v/>
      </c>
      <c r="Q11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5))),"")</f>
        <v/>
      </c>
      <c r="R11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5))),"")</f>
        <v/>
      </c>
      <c r="S11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5))),"")</f>
        <v/>
      </c>
      <c r="T11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5))),"")</f>
        <v/>
      </c>
      <c r="U11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5))),"")</f>
        <v/>
      </c>
      <c r="V11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5))),"")</f>
        <v/>
      </c>
      <c r="W11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5))),"")</f>
        <v/>
      </c>
      <c r="X11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5))),"")</f>
        <v/>
      </c>
      <c r="Y11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5))),"")</f>
        <v/>
      </c>
      <c r="Z11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5))),"")</f>
        <v/>
      </c>
      <c r="AA11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5))),"")</f>
        <v/>
      </c>
      <c r="AB11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5))),"")</f>
        <v/>
      </c>
      <c r="AC11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5))),"")</f>
        <v/>
      </c>
      <c r="AD11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5))),"")</f>
        <v/>
      </c>
      <c r="AE11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5))),"")</f>
        <v/>
      </c>
      <c r="AF11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5))),"")</f>
        <v/>
      </c>
      <c r="AG11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5))),"")</f>
        <v/>
      </c>
      <c r="AH11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5))),"")</f>
        <v/>
      </c>
      <c r="AI11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IFERROR(INDEX(#REF!,_xlfn.AGGREGATE(15,6,(ROW(#REF!)-ROW(#REF!))/(Таблица1[[мес]:[мес]]=$J$5)/(Таблица1[[год]:[год]]=$L$5)/(Таблица1[[изд]:[изд]]=$N$1:$T$1)/(Таблица1[[партия]:[партия]]=$W$1),ROW(AH5))),"")</f>
        <v/>
      </c>
      <c r="AJ11" s="139">
        <f t="shared" si="0"/>
        <v>0</v>
      </c>
    </row>
    <row r="12" spans="1:36" ht="33" customHeight="1">
      <c r="A12" s="148">
        <v>6</v>
      </c>
      <c r="B12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6))),"")</f>
        <v/>
      </c>
      <c r="C12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О.]]))/(Таблица1[[мес]:[мес]]=$J$5)/(Таблица1[[год]:[год]]=$L$5)/(Таблица1[[изд]:[изд]]=$N$1)/(Таблица1[[партия]:[партия]]=$W$1),ROW(B6))),"")</f>
        <v/>
      </c>
      <c r="D12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6))),"")</f>
        <v/>
      </c>
      <c r="E12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6))),"")</f>
        <v/>
      </c>
      <c r="F12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6))),"")</f>
        <v/>
      </c>
      <c r="G12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6))),"")</f>
        <v/>
      </c>
      <c r="H12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6))),"")</f>
        <v/>
      </c>
      <c r="I12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6))),"")</f>
        <v/>
      </c>
      <c r="J12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6))),"")</f>
        <v/>
      </c>
      <c r="K12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6))),"")</f>
        <v/>
      </c>
      <c r="L12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6))),"")</f>
        <v/>
      </c>
      <c r="M12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6))),"")</f>
        <v/>
      </c>
      <c r="N12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6))),"")</f>
        <v/>
      </c>
      <c r="O12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6))),"")</f>
        <v/>
      </c>
      <c r="P12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6))),"")</f>
        <v/>
      </c>
      <c r="Q12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6))),"")</f>
        <v/>
      </c>
      <c r="R12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6))),"")</f>
        <v/>
      </c>
      <c r="S12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6))),"")</f>
        <v/>
      </c>
      <c r="T12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6))),"")</f>
        <v/>
      </c>
      <c r="U12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6))),"")</f>
        <v/>
      </c>
      <c r="V12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6))),"")</f>
        <v/>
      </c>
      <c r="W12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6))),"")</f>
        <v/>
      </c>
      <c r="X12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6))),"")</f>
        <v/>
      </c>
      <c r="Y12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6))),"")</f>
        <v/>
      </c>
      <c r="Z12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6))),"")</f>
        <v/>
      </c>
      <c r="AA12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6))),"")</f>
        <v/>
      </c>
      <c r="AB12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6))),"")</f>
        <v/>
      </c>
      <c r="AC12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6))),"")</f>
        <v/>
      </c>
      <c r="AD12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6))),"")</f>
        <v/>
      </c>
      <c r="AE12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6))),"")</f>
        <v/>
      </c>
      <c r="AF12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6))),"")</f>
        <v/>
      </c>
      <c r="AG12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6))),"")</f>
        <v/>
      </c>
      <c r="AH12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6))),"")</f>
        <v/>
      </c>
      <c r="AI12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IFERROR(INDEX(#REF!,_xlfn.AGGREGATE(15,6,(ROW(#REF!)-ROW(#REF!))/(Таблица1[[мес]:[мес]]=$J$5)/(Таблица1[[год]:[год]]=$L$5)/(Таблица1[[изд]:[изд]]=$N$1:$T$1)/(Таблица1[[партия]:[партия]]=$W$1),ROW(AH6))),"")</f>
        <v/>
      </c>
      <c r="AJ12" s="139">
        <f t="shared" si="0"/>
        <v>0</v>
      </c>
    </row>
    <row r="13" spans="1:36" ht="33" customHeight="1">
      <c r="A13" s="148">
        <v>7</v>
      </c>
      <c r="B13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7))),"")</f>
        <v/>
      </c>
      <c r="C13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О.]]))/(Таблица1[[мес]:[мес]]=$J$5)/(Таблица1[[год]:[год]]=$L$5)/(Таблица1[[изд]:[изд]]=$N$1)/(Таблица1[[партия]:[партия]]=$W$1),ROW(B7))),"")</f>
        <v/>
      </c>
      <c r="D13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7))),"")</f>
        <v/>
      </c>
      <c r="E13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7))),"")</f>
        <v/>
      </c>
      <c r="F13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7))),"")</f>
        <v/>
      </c>
      <c r="G13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7))),"")</f>
        <v/>
      </c>
      <c r="H13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7))),"")</f>
        <v/>
      </c>
      <c r="I13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7))),"")</f>
        <v/>
      </c>
      <c r="J13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7))),"")</f>
        <v/>
      </c>
      <c r="K13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7))),"")</f>
        <v/>
      </c>
      <c r="L13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7))),"")</f>
        <v/>
      </c>
      <c r="M13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7))),"")</f>
        <v/>
      </c>
      <c r="N13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7))),"")</f>
        <v/>
      </c>
      <c r="O13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7))),"")</f>
        <v/>
      </c>
      <c r="P13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7))),"")</f>
        <v/>
      </c>
      <c r="Q13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7))),"")</f>
        <v/>
      </c>
      <c r="R13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7))),"")</f>
        <v/>
      </c>
      <c r="S13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7))),"")</f>
        <v/>
      </c>
      <c r="T13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7))),"")</f>
        <v/>
      </c>
      <c r="U13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7))),"")</f>
        <v/>
      </c>
      <c r="V13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7))),"")</f>
        <v/>
      </c>
      <c r="W13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7))),"")</f>
        <v/>
      </c>
      <c r="X13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7))),"")</f>
        <v/>
      </c>
      <c r="Y13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7))),"")</f>
        <v/>
      </c>
      <c r="Z13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7))),"")</f>
        <v/>
      </c>
      <c r="AA13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7))),"")</f>
        <v/>
      </c>
      <c r="AB13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7))),"")</f>
        <v/>
      </c>
      <c r="AC13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7))),"")</f>
        <v/>
      </c>
      <c r="AD13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7))),"")</f>
        <v/>
      </c>
      <c r="AE13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7))),"")</f>
        <v/>
      </c>
      <c r="AF13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7))),"")</f>
        <v/>
      </c>
      <c r="AG13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7))),"")</f>
        <v/>
      </c>
      <c r="AH13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7))),"")</f>
        <v/>
      </c>
      <c r="AI13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IFERROR(INDEX(#REF!,_xlfn.AGGREGATE(15,6,(ROW(#REF!)-ROW(#REF!))/(Таблица1[[мес]:[мес]]=$J$5)/(Таблица1[[год]:[год]]=$L$5)/(Таблица1[[изд]:[изд]]=$N$1:$T$1)/(Таблица1[[партия]:[партия]]=$W$1),ROW(AH7))),"")</f>
        <v/>
      </c>
      <c r="AJ13" s="139">
        <f t="shared" si="0"/>
        <v>0</v>
      </c>
    </row>
    <row r="14" spans="1:36" ht="33" customHeight="1">
      <c r="A14" s="148">
        <v>8</v>
      </c>
      <c r="B14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8))),"")</f>
        <v/>
      </c>
      <c r="C14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О.]]))/(Таблица1[[мес]:[мес]]=$J$5)/(Таблица1[[год]:[год]]=$L$5)/(Таблица1[[изд]:[изд]]=$N$1)/(Таблица1[[партия]:[партия]]=$W$1),ROW(B8))),"")</f>
        <v/>
      </c>
      <c r="D14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8))),"")</f>
        <v/>
      </c>
      <c r="E14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8))),"")</f>
        <v/>
      </c>
      <c r="F14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8))),"")</f>
        <v/>
      </c>
      <c r="G14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8))),"")</f>
        <v/>
      </c>
      <c r="H14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8))),"")</f>
        <v/>
      </c>
      <c r="I14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8))),"")</f>
        <v/>
      </c>
      <c r="J14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8))),"")</f>
        <v/>
      </c>
      <c r="K14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8))),"")</f>
        <v/>
      </c>
      <c r="L14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8))),"")</f>
        <v/>
      </c>
      <c r="M14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8))),"")</f>
        <v/>
      </c>
      <c r="N14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8))),"")</f>
        <v/>
      </c>
      <c r="O14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8))),"")</f>
        <v/>
      </c>
      <c r="P14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8))),"")</f>
        <v/>
      </c>
      <c r="Q14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8))),"")</f>
        <v/>
      </c>
      <c r="R14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8))),"")</f>
        <v/>
      </c>
      <c r="S14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8))),"")</f>
        <v/>
      </c>
      <c r="T14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8))),"")</f>
        <v/>
      </c>
      <c r="U14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8))),"")</f>
        <v/>
      </c>
      <c r="V14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8))),"")</f>
        <v/>
      </c>
      <c r="W14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8))),"")</f>
        <v/>
      </c>
      <c r="X14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8))),"")</f>
        <v/>
      </c>
      <c r="Y14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8))),"")</f>
        <v/>
      </c>
      <c r="Z14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8))),"")</f>
        <v/>
      </c>
      <c r="AA14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8))),"")</f>
        <v/>
      </c>
      <c r="AB14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8))),"")</f>
        <v/>
      </c>
      <c r="AC14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8))),"")</f>
        <v/>
      </c>
      <c r="AD14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8))),"")</f>
        <v/>
      </c>
      <c r="AE14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8))),"")</f>
        <v/>
      </c>
      <c r="AF14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8))),"")</f>
        <v/>
      </c>
      <c r="AG14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8))),"")</f>
        <v/>
      </c>
      <c r="AH14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8))),"")</f>
        <v/>
      </c>
      <c r="AI14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IFERROR(INDEX(#REF!,_xlfn.AGGREGATE(15,6,(ROW(#REF!)-ROW(#REF!))/(Таблица1[[мес]:[мес]]=$J$5)/(Таблица1[[год]:[год]]=$L$5)/(Таблица1[[изд]:[изд]]=$N$1:$T$1)/(Таблица1[[партия]:[партия]]=$W$1),ROW(AH8))),"")</f>
        <v/>
      </c>
      <c r="AJ14" s="140">
        <f t="shared" si="0"/>
        <v>0</v>
      </c>
    </row>
    <row r="15" spans="1:36" ht="33" customHeight="1">
      <c r="A15" s="148">
        <v>9</v>
      </c>
      <c r="B15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9))),"")</f>
        <v/>
      </c>
      <c r="C15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О.]]))/(Таблица1[[мес]:[мес]]=$J$5)/(Таблица1[[год]:[год]]=$L$5)/(Таблица1[[изд]:[изд]]=$N$1)/(Таблица1[[партия]:[партия]]=$W$1),ROW(B9))),"")</f>
        <v/>
      </c>
      <c r="D15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9))),"")</f>
        <v/>
      </c>
      <c r="E15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9))),"")</f>
        <v/>
      </c>
      <c r="F15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9))),"")</f>
        <v/>
      </c>
      <c r="G15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9))),"")</f>
        <v/>
      </c>
      <c r="H15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9))),"")</f>
        <v/>
      </c>
      <c r="I15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9))),"")</f>
        <v/>
      </c>
      <c r="J15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9))),"")</f>
        <v/>
      </c>
      <c r="K15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9))),"")</f>
        <v/>
      </c>
      <c r="L15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9))),"")</f>
        <v/>
      </c>
      <c r="M15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9))),"")</f>
        <v/>
      </c>
      <c r="N15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9))),"")</f>
        <v/>
      </c>
      <c r="O15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9))),"")</f>
        <v/>
      </c>
      <c r="P15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9))),"")</f>
        <v/>
      </c>
      <c r="Q15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9))),"")</f>
        <v/>
      </c>
      <c r="R15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9))),"")</f>
        <v/>
      </c>
      <c r="S15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9))),"")</f>
        <v/>
      </c>
      <c r="T15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9))),"")</f>
        <v/>
      </c>
      <c r="U15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9))),"")</f>
        <v/>
      </c>
      <c r="V15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9))),"")</f>
        <v/>
      </c>
      <c r="W15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9))),"")</f>
        <v/>
      </c>
      <c r="X15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9))),"")</f>
        <v/>
      </c>
      <c r="Y15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9))),"")</f>
        <v/>
      </c>
      <c r="Z15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9))),"")</f>
        <v/>
      </c>
      <c r="AA15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9))),"")</f>
        <v/>
      </c>
      <c r="AB15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9))),"")</f>
        <v/>
      </c>
      <c r="AC15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9))),"")</f>
        <v/>
      </c>
      <c r="AD15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9))),"")</f>
        <v/>
      </c>
      <c r="AE15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9))),"")</f>
        <v/>
      </c>
      <c r="AF15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9))),"")</f>
        <v/>
      </c>
      <c r="AG15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9))),"")</f>
        <v/>
      </c>
      <c r="AH15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9))),"")</f>
        <v/>
      </c>
      <c r="AI15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IFERROR(INDEX(#REF!,_xlfn.AGGREGATE(15,6,(ROW(#REF!)-ROW(#REF!))/(Таблица1[[мес]:[мес]]=$J$5)/(Таблица1[[год]:[год]]=$L$5)/(Таблица1[[изд]:[изд]]=$N$1:$T$1)/(Таблица1[[партия]:[партия]]=$W$1),ROW(AH9))),"")</f>
        <v/>
      </c>
      <c r="AJ15" s="141">
        <f t="shared" si="0"/>
        <v>0</v>
      </c>
    </row>
    <row r="16" spans="1:36" ht="33" customHeight="1">
      <c r="A16" s="148">
        <v>10</v>
      </c>
      <c r="B16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10))),"")</f>
        <v/>
      </c>
      <c r="C16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О.]]))/(Таблица1[[мес]:[мес]]=$J$5)/(Таблица1[[год]:[год]]=$L$5)/(Таблица1[[изд]:[изд]]=$N$1)/(Таблица1[[партия]:[партия]]=$W$1),ROW(B10))),"")</f>
        <v/>
      </c>
      <c r="D16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10))),"")</f>
        <v/>
      </c>
      <c r="E16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10))),"")</f>
        <v/>
      </c>
      <c r="F16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10))),"")</f>
        <v/>
      </c>
      <c r="G16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10))),"")</f>
        <v/>
      </c>
      <c r="H16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10))),"")</f>
        <v/>
      </c>
      <c r="I16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10))),"")</f>
        <v/>
      </c>
      <c r="J16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10))),"")</f>
        <v/>
      </c>
      <c r="K16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10))),"")</f>
        <v/>
      </c>
      <c r="L16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10))),"")</f>
        <v/>
      </c>
      <c r="M16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10))),"")</f>
        <v/>
      </c>
      <c r="N16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10))),"")</f>
        <v/>
      </c>
      <c r="O16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10))),"")</f>
        <v/>
      </c>
      <c r="P16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10))),"")</f>
        <v/>
      </c>
      <c r="Q16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10))),"")</f>
        <v/>
      </c>
      <c r="R16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10))),"")</f>
        <v/>
      </c>
      <c r="S16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10))),"")</f>
        <v/>
      </c>
      <c r="T16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10))),"")</f>
        <v/>
      </c>
      <c r="U16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10))),"")</f>
        <v/>
      </c>
      <c r="V16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10))),"")</f>
        <v/>
      </c>
      <c r="W16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10))),"")</f>
        <v/>
      </c>
      <c r="X16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10))),"")</f>
        <v/>
      </c>
      <c r="Y16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10))),"")</f>
        <v/>
      </c>
      <c r="Z16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10))),"")</f>
        <v/>
      </c>
      <c r="AA16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10))),"")</f>
        <v/>
      </c>
      <c r="AB16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10))),"")</f>
        <v/>
      </c>
      <c r="AC16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10))),"")</f>
        <v/>
      </c>
      <c r="AD16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10))),"")</f>
        <v/>
      </c>
      <c r="AE16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10))),"")</f>
        <v/>
      </c>
      <c r="AF16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10))),"")</f>
        <v/>
      </c>
      <c r="AG16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10))),"")</f>
        <v/>
      </c>
      <c r="AH16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10))),"")</f>
        <v/>
      </c>
      <c r="AI16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IFERROR(INDEX(#REF!,_xlfn.AGGREGATE(15,6,(ROW(#REF!)-ROW(#REF!))/(Таблица1[[мес]:[мес]]=$J$5)/(Таблица1[[год]:[год]]=$L$5)/(Таблица1[[изд]:[изд]]=$N$1:$T$1)/(Таблица1[[партия]:[партия]]=$W$1),ROW(AH10))),"")</f>
        <v/>
      </c>
      <c r="AJ16" s="141">
        <f t="shared" si="0"/>
        <v>0</v>
      </c>
    </row>
    <row r="17" spans="1:36" ht="33" customHeight="1">
      <c r="A17" s="148">
        <v>11</v>
      </c>
      <c r="B17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11))),"")</f>
        <v/>
      </c>
      <c r="C17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О.]]))/(Таблица1[[мес]:[мес]]=$J$5)/(Таблица1[[год]:[год]]=$L$5)/(Таблица1[[изд]:[изд]]=$N$1)/(Таблица1[[партия]:[партия]]=$W$1),ROW(B11))),"")</f>
        <v/>
      </c>
      <c r="D17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11))),"")</f>
        <v/>
      </c>
      <c r="E17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11))),"")</f>
        <v/>
      </c>
      <c r="F17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11))),"")</f>
        <v/>
      </c>
      <c r="G17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11))),"")</f>
        <v/>
      </c>
      <c r="H17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11))),"")</f>
        <v/>
      </c>
      <c r="I17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11))),"")</f>
        <v/>
      </c>
      <c r="J17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11))),"")</f>
        <v/>
      </c>
      <c r="K17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11))),"")</f>
        <v/>
      </c>
      <c r="L17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11))),"")</f>
        <v/>
      </c>
      <c r="M17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11))),"")</f>
        <v/>
      </c>
      <c r="N17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11))),"")</f>
        <v/>
      </c>
      <c r="O17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11))),"")</f>
        <v/>
      </c>
      <c r="P17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11))),"")</f>
        <v/>
      </c>
      <c r="Q17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11))),"")</f>
        <v/>
      </c>
      <c r="R17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11))),"")</f>
        <v/>
      </c>
      <c r="S17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11))),"")</f>
        <v/>
      </c>
      <c r="T17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11))),"")</f>
        <v/>
      </c>
      <c r="U17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11))),"")</f>
        <v/>
      </c>
      <c r="V17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11))),"")</f>
        <v/>
      </c>
      <c r="W17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11))),"")</f>
        <v/>
      </c>
      <c r="X17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11))),"")</f>
        <v/>
      </c>
      <c r="Y17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11))),"")</f>
        <v/>
      </c>
      <c r="Z17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11))),"")</f>
        <v/>
      </c>
      <c r="AA17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11))),"")</f>
        <v/>
      </c>
      <c r="AB17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11))),"")</f>
        <v/>
      </c>
      <c r="AC17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11))),"")</f>
        <v/>
      </c>
      <c r="AD17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11))),"")</f>
        <v/>
      </c>
      <c r="AE17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11))),"")</f>
        <v/>
      </c>
      <c r="AF17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11))),"")</f>
        <v/>
      </c>
      <c r="AG17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11))),"")</f>
        <v/>
      </c>
      <c r="AH17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11))),"")</f>
        <v/>
      </c>
      <c r="AI17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IFERROR(INDEX(#REF!,_xlfn.AGGREGATE(15,6,(ROW(#REF!)-ROW(#REF!))/(Таблица1[[мес]:[мес]]=$J$5)/(Таблица1[[год]:[год]]=$L$5)/(Таблица1[[изд]:[изд]]=$N$1:$T$1)/(Таблица1[[партия]:[партия]]=$W$1),ROW(AH11))),"")</f>
        <v/>
      </c>
      <c r="AJ17" s="139">
        <f t="shared" si="0"/>
        <v>0</v>
      </c>
    </row>
    <row r="18" spans="1:36" ht="33" customHeight="1">
      <c r="A18" s="148">
        <v>12</v>
      </c>
      <c r="B18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12))),"")</f>
        <v/>
      </c>
      <c r="C18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О.]]))/(Таблица1[[мес]:[мес]]=$J$5)/(Таблица1[[год]:[год]]=$L$5)/(Таблица1[[изд]:[изд]]=$N$1)/(Таблица1[[партия]:[партия]]=$W$1),ROW(B12))),"")</f>
        <v/>
      </c>
      <c r="D18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12))),"")</f>
        <v/>
      </c>
      <c r="E18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12))),"")</f>
        <v/>
      </c>
      <c r="F18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12))),"")</f>
        <v/>
      </c>
      <c r="G18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12))),"")</f>
        <v/>
      </c>
      <c r="H18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12))),"")</f>
        <v/>
      </c>
      <c r="I18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12))),"")</f>
        <v/>
      </c>
      <c r="J18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12))),"")</f>
        <v/>
      </c>
      <c r="K18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12))),"")</f>
        <v/>
      </c>
      <c r="L18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12))),"")</f>
        <v/>
      </c>
      <c r="M18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12))),"")</f>
        <v/>
      </c>
      <c r="N18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12))),"")</f>
        <v/>
      </c>
      <c r="O18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12))),"")</f>
        <v/>
      </c>
      <c r="P18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12))),"")</f>
        <v/>
      </c>
      <c r="Q18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12))),"")</f>
        <v/>
      </c>
      <c r="R18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12))),"")</f>
        <v/>
      </c>
      <c r="S18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12))),"")</f>
        <v/>
      </c>
      <c r="T18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12))),"")</f>
        <v/>
      </c>
      <c r="U18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12))),"")</f>
        <v/>
      </c>
      <c r="V18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12))),"")</f>
        <v/>
      </c>
      <c r="W18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12))),"")</f>
        <v/>
      </c>
      <c r="X18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12))),"")</f>
        <v/>
      </c>
      <c r="Y18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12))),"")</f>
        <v/>
      </c>
      <c r="Z18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12))),"")</f>
        <v/>
      </c>
      <c r="AA18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12))),"")</f>
        <v/>
      </c>
      <c r="AB18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12))),"")</f>
        <v/>
      </c>
      <c r="AC18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12))),"")</f>
        <v/>
      </c>
      <c r="AD18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12))),"")</f>
        <v/>
      </c>
      <c r="AE18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12))),"")</f>
        <v/>
      </c>
      <c r="AF18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12))),"")</f>
        <v/>
      </c>
      <c r="AG18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12))),"")</f>
        <v/>
      </c>
      <c r="AH18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12))),"")</f>
        <v/>
      </c>
      <c r="AI18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IFERROR(INDEX(#REF!,_xlfn.AGGREGATE(15,6,(ROW(#REF!)-ROW(#REF!))/(Таблица1[[мес]:[мес]]=$J$5)/(Таблица1[[год]:[год]]=$L$5)/(Таблица1[[изд]:[изд]]=$N$1:$T$1)/(Таблица1[[партия]:[партия]]=$W$1),ROW(AH12))),"")</f>
        <v/>
      </c>
      <c r="AJ18" s="140">
        <f t="shared" si="0"/>
        <v>0</v>
      </c>
    </row>
    <row r="19" spans="1:36" ht="33" customHeight="1">
      <c r="A19" s="148">
        <v>13</v>
      </c>
      <c r="B19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13))),"")</f>
        <v/>
      </c>
      <c r="C19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О.]]))/(Таблица1[[мес]:[мес]]=$J$5)/(Таблица1[[год]:[год]]=$L$5)/(Таблица1[[изд]:[изд]]=$N$1)/(Таблица1[[партия]:[партия]]=$W$1),ROW(B13))),"")</f>
        <v/>
      </c>
      <c r="D19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13))),"")</f>
        <v/>
      </c>
      <c r="E19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13))),"")</f>
        <v/>
      </c>
      <c r="F19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13))),"")</f>
        <v/>
      </c>
      <c r="G19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13))),"")</f>
        <v/>
      </c>
      <c r="H19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13))),"")</f>
        <v/>
      </c>
      <c r="I19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13))),"")</f>
        <v/>
      </c>
      <c r="J19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13))),"")</f>
        <v/>
      </c>
      <c r="K19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13))),"")</f>
        <v/>
      </c>
      <c r="L19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13))),"")</f>
        <v/>
      </c>
      <c r="M19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13))),"")</f>
        <v/>
      </c>
      <c r="N19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13))),"")</f>
        <v/>
      </c>
      <c r="O19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13))),"")</f>
        <v/>
      </c>
      <c r="P19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13))),"")</f>
        <v/>
      </c>
      <c r="Q19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13))),"")</f>
        <v/>
      </c>
      <c r="R19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13))),"")</f>
        <v/>
      </c>
      <c r="S19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13))),"")</f>
        <v/>
      </c>
      <c r="T19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13))),"")</f>
        <v/>
      </c>
      <c r="U19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13))),"")</f>
        <v/>
      </c>
      <c r="V19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13))),"")</f>
        <v/>
      </c>
      <c r="W19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13))),"")</f>
        <v/>
      </c>
      <c r="X19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13))),"")</f>
        <v/>
      </c>
      <c r="Y19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13))),"")</f>
        <v/>
      </c>
      <c r="Z19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13))),"")</f>
        <v/>
      </c>
      <c r="AA19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13))),"")</f>
        <v/>
      </c>
      <c r="AB19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13))),"")</f>
        <v/>
      </c>
      <c r="AC19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13))),"")</f>
        <v/>
      </c>
      <c r="AD19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13))),"")</f>
        <v/>
      </c>
      <c r="AE19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13))),"")</f>
        <v/>
      </c>
      <c r="AF19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13))),"")</f>
        <v/>
      </c>
      <c r="AG19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13))),"")</f>
        <v/>
      </c>
      <c r="AH19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13))),"")</f>
        <v/>
      </c>
      <c r="AI19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IFERROR(INDEX(#REF!,_xlfn.AGGREGATE(15,6,(ROW(#REF!)-ROW(#REF!))/(Таблица1[[мес]:[мес]]=$J$5)/(Таблица1[[год]:[год]]=$L$5)/(Таблица1[[изд]:[изд]]=$N$1:$T$1)/(Таблица1[[партия]:[партия]]=$W$1),ROW(AH13))),"")</f>
        <v/>
      </c>
      <c r="AJ19" s="139">
        <f t="shared" si="0"/>
        <v>0</v>
      </c>
    </row>
    <row r="20" spans="1:36" ht="33" customHeight="1">
      <c r="A20" s="148">
        <v>14</v>
      </c>
      <c r="B20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14))),"")</f>
        <v/>
      </c>
      <c r="C20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О.]]))/(Таблица1[[мес]:[мес]]=$J$5)/(Таблица1[[год]:[год]]=$L$5)/(Таблица1[[изд]:[изд]]=$N$1)/(Таблица1[[партия]:[партия]]=$W$1),ROW(B14))),"")</f>
        <v/>
      </c>
      <c r="D20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14))),"")</f>
        <v/>
      </c>
      <c r="E20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14))),"")</f>
        <v/>
      </c>
      <c r="F20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14))),"")</f>
        <v/>
      </c>
      <c r="G20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14))),"")</f>
        <v/>
      </c>
      <c r="H20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14))),"")</f>
        <v/>
      </c>
      <c r="I20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14))),"")</f>
        <v/>
      </c>
      <c r="J20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14))),"")</f>
        <v/>
      </c>
      <c r="K20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14))),"")</f>
        <v/>
      </c>
      <c r="L20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14))),"")</f>
        <v/>
      </c>
      <c r="M20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14))),"")</f>
        <v/>
      </c>
      <c r="N20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14))),"")</f>
        <v/>
      </c>
      <c r="O20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14))),"")</f>
        <v/>
      </c>
      <c r="P20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14))),"")</f>
        <v/>
      </c>
      <c r="Q20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14))),"")</f>
        <v/>
      </c>
      <c r="R20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14))),"")</f>
        <v/>
      </c>
      <c r="S20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14))),"")</f>
        <v/>
      </c>
      <c r="T20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14))),"")</f>
        <v/>
      </c>
      <c r="U20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14))),"")</f>
        <v/>
      </c>
      <c r="V20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14))),"")</f>
        <v/>
      </c>
      <c r="W20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14))),"")</f>
        <v/>
      </c>
      <c r="X20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14))),"")</f>
        <v/>
      </c>
      <c r="Y20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14))),"")</f>
        <v/>
      </c>
      <c r="Z20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14))),"")</f>
        <v/>
      </c>
      <c r="AA20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14))),"")</f>
        <v/>
      </c>
      <c r="AB20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14))),"")</f>
        <v/>
      </c>
      <c r="AC20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14))),"")</f>
        <v/>
      </c>
      <c r="AD20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14))),"")</f>
        <v/>
      </c>
      <c r="AE20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14))),"")</f>
        <v/>
      </c>
      <c r="AF20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14))),"")</f>
        <v/>
      </c>
      <c r="AG20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14))),"")</f>
        <v/>
      </c>
      <c r="AH20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14))),"")</f>
        <v/>
      </c>
      <c r="AI20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IFERROR(INDEX(#REF!,_xlfn.AGGREGATE(15,6,(ROW(#REF!)-ROW(#REF!))/(Таблица1[[мес]:[мес]]=$J$5)/(Таблица1[[год]:[год]]=$L$5)/(Таблица1[[изд]:[изд]]=$N$1:$T$1)/(Таблица1[[партия]:[партия]]=$W$1),ROW(AH14))),"")</f>
        <v/>
      </c>
      <c r="AJ20" s="140">
        <f t="shared" si="0"/>
        <v>0</v>
      </c>
    </row>
    <row r="21" spans="1:36" ht="33" customHeight="1">
      <c r="A21" s="148">
        <v>15</v>
      </c>
      <c r="B21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15))),"")</f>
        <v/>
      </c>
      <c r="C21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О.]]))/(Таблица1[[мес]:[мес]]=$J$5)/(Таблица1[[год]:[год]]=$L$5)/(Таблица1[[изд]:[изд]]=$N$1)/(Таблица1[[партия]:[партия]]=$W$1),ROW(B15))),"")</f>
        <v/>
      </c>
      <c r="D21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15))),"")</f>
        <v/>
      </c>
      <c r="E21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15))),"")</f>
        <v/>
      </c>
      <c r="F21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15))),"")</f>
        <v/>
      </c>
      <c r="G21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15))),"")</f>
        <v/>
      </c>
      <c r="H21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15))),"")</f>
        <v/>
      </c>
      <c r="I21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15))),"")</f>
        <v/>
      </c>
      <c r="J21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15))),"")</f>
        <v/>
      </c>
      <c r="K21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15))),"")</f>
        <v/>
      </c>
      <c r="L21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15))),"")</f>
        <v/>
      </c>
      <c r="M21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15))),"")</f>
        <v/>
      </c>
      <c r="N21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15))),"")</f>
        <v/>
      </c>
      <c r="O21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15))),"")</f>
        <v/>
      </c>
      <c r="P21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15))),"")</f>
        <v/>
      </c>
      <c r="Q21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15))),"")</f>
        <v/>
      </c>
      <c r="R21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15))),"")</f>
        <v/>
      </c>
      <c r="S21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15))),"")</f>
        <v/>
      </c>
      <c r="T21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15))),"")</f>
        <v/>
      </c>
      <c r="U21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15))),"")</f>
        <v/>
      </c>
      <c r="V21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15))),"")</f>
        <v/>
      </c>
      <c r="W21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15))),"")</f>
        <v/>
      </c>
      <c r="X21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15))),"")</f>
        <v/>
      </c>
      <c r="Y21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15))),"")</f>
        <v/>
      </c>
      <c r="Z21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15))),"")</f>
        <v/>
      </c>
      <c r="AA21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15))),"")</f>
        <v/>
      </c>
      <c r="AB21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15))),"")</f>
        <v/>
      </c>
      <c r="AC21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15))),"")</f>
        <v/>
      </c>
      <c r="AD21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15))),"")</f>
        <v/>
      </c>
      <c r="AE21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15))),"")</f>
        <v/>
      </c>
      <c r="AF21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15))),"")</f>
        <v/>
      </c>
      <c r="AG21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15))),"")</f>
        <v/>
      </c>
      <c r="AH21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15))),"")</f>
        <v/>
      </c>
      <c r="AI21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IFERROR(INDEX(#REF!,_xlfn.AGGREGATE(15,6,(ROW(#REF!)-ROW(#REF!))/(Таблица1[[мес]:[мес]]=$J$5)/(Таблица1[[год]:[год]]=$L$5)/(Таблица1[[изд]:[изд]]=$N$1:$T$1)/(Таблица1[[партия]:[партия]]=$W$1),ROW(AH15))),"")</f>
        <v/>
      </c>
      <c r="AJ21" s="139">
        <f t="shared" si="0"/>
        <v>0</v>
      </c>
    </row>
    <row r="22" spans="1:36" ht="33" customHeight="1">
      <c r="A22" s="148">
        <v>16</v>
      </c>
      <c r="B22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16))),"")</f>
        <v/>
      </c>
      <c r="C22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О.]]))/(Таблица1[[мес]:[мес]]=$J$5)/(Таблица1[[год]:[год]]=$L$5)/(Таблица1[[изд]:[изд]]=$N$1)/(Таблица1[[партия]:[партия]]=$W$1),ROW(B16))),"")</f>
        <v/>
      </c>
      <c r="D22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16))),"")</f>
        <v/>
      </c>
      <c r="E22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16))),"")</f>
        <v/>
      </c>
      <c r="F22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16))),"")</f>
        <v/>
      </c>
      <c r="G22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16))),"")</f>
        <v/>
      </c>
      <c r="H22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16))),"")</f>
        <v/>
      </c>
      <c r="I22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16))),"")</f>
        <v/>
      </c>
      <c r="J22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16))),"")</f>
        <v/>
      </c>
      <c r="K22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16))),"")</f>
        <v/>
      </c>
      <c r="L22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16))),"")</f>
        <v/>
      </c>
      <c r="M22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16))),"")</f>
        <v/>
      </c>
      <c r="N22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16))),"")</f>
        <v/>
      </c>
      <c r="O22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16))),"")</f>
        <v/>
      </c>
      <c r="P22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16))),"")</f>
        <v/>
      </c>
      <c r="Q22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16))),"")</f>
        <v/>
      </c>
      <c r="R22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16))),"")</f>
        <v/>
      </c>
      <c r="S22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16))),"")</f>
        <v/>
      </c>
      <c r="T22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16))),"")</f>
        <v/>
      </c>
      <c r="U22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16))),"")</f>
        <v/>
      </c>
      <c r="V22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16))),"")</f>
        <v/>
      </c>
      <c r="W22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16))),"")</f>
        <v/>
      </c>
      <c r="X22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16))),"")</f>
        <v/>
      </c>
      <c r="Y22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16))),"")</f>
        <v/>
      </c>
      <c r="Z22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16))),"")</f>
        <v/>
      </c>
      <c r="AA22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16))),"")</f>
        <v/>
      </c>
      <c r="AB22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16))),"")</f>
        <v/>
      </c>
      <c r="AC22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16))),"")</f>
        <v/>
      </c>
      <c r="AD22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16))),"")</f>
        <v/>
      </c>
      <c r="AE22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16))),"")</f>
        <v/>
      </c>
      <c r="AF22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16))),"")</f>
        <v/>
      </c>
      <c r="AG22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16))),"")</f>
        <v/>
      </c>
      <c r="AH22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16))),"")</f>
        <v/>
      </c>
      <c r="AI22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IFERROR(INDEX(#REF!,_xlfn.AGGREGATE(15,6,(ROW(#REF!)-ROW(#REF!))/(Таблица1[[мес]:[мес]]=$J$5)/(Таблица1[[год]:[год]]=$L$5)/(Таблица1[[изд]:[изд]]=$N$1:$T$1)/(Таблица1[[партия]:[партия]]=$W$1),ROW(AH16))),"")</f>
        <v/>
      </c>
      <c r="AJ22" s="139">
        <f t="shared" si="0"/>
        <v>0</v>
      </c>
    </row>
    <row r="23" spans="1:36" ht="33" customHeight="1">
      <c r="A23" s="148">
        <v>17</v>
      </c>
      <c r="B23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17))),"")</f>
        <v/>
      </c>
      <c r="C23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О.]]))/(Таблица1[[мес]:[мес]]=$J$5)/(Таблица1[[год]:[год]]=$L$5)/(Таблица1[[изд]:[изд]]=$N$1)/(Таблица1[[партия]:[партия]]=$W$1),ROW(B17))),"")</f>
        <v/>
      </c>
      <c r="D23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17))),"")</f>
        <v/>
      </c>
      <c r="E23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17))),"")</f>
        <v/>
      </c>
      <c r="F23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17))),"")</f>
        <v/>
      </c>
      <c r="G23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17))),"")</f>
        <v/>
      </c>
      <c r="H23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17))),"")</f>
        <v/>
      </c>
      <c r="I23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17))),"")</f>
        <v/>
      </c>
      <c r="J23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17))),"")</f>
        <v/>
      </c>
      <c r="K23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17))),"")</f>
        <v/>
      </c>
      <c r="L23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17))),"")</f>
        <v/>
      </c>
      <c r="M23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17))),"")</f>
        <v/>
      </c>
      <c r="N23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17))),"")</f>
        <v/>
      </c>
      <c r="O23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17))),"")</f>
        <v/>
      </c>
      <c r="P23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17))),"")</f>
        <v/>
      </c>
      <c r="Q23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17))),"")</f>
        <v/>
      </c>
      <c r="R23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17))),"")</f>
        <v/>
      </c>
      <c r="S23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17))),"")</f>
        <v/>
      </c>
      <c r="T23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17))),"")</f>
        <v/>
      </c>
      <c r="U23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17))),"")</f>
        <v/>
      </c>
      <c r="V23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17))),"")</f>
        <v/>
      </c>
      <c r="W23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17))),"")</f>
        <v/>
      </c>
      <c r="X23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17))),"")</f>
        <v/>
      </c>
      <c r="Y23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17))),"")</f>
        <v/>
      </c>
      <c r="Z23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17))),"")</f>
        <v/>
      </c>
      <c r="AA23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17))),"")</f>
        <v/>
      </c>
      <c r="AB23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17))),"")</f>
        <v/>
      </c>
      <c r="AC23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17))),"")</f>
        <v/>
      </c>
      <c r="AD23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17))),"")</f>
        <v/>
      </c>
      <c r="AE23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17))),"")</f>
        <v/>
      </c>
      <c r="AF23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17))),"")</f>
        <v/>
      </c>
      <c r="AG23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17))),"")</f>
        <v/>
      </c>
      <c r="AH23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17))),"")</f>
        <v/>
      </c>
      <c r="AI23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IFERROR(INDEX(#REF!,_xlfn.AGGREGATE(15,6,(ROW(#REF!)-ROW(#REF!))/(Таблица1[[мес]:[мес]]=$J$5)/(Таблица1[[год]:[год]]=$L$5)/(Таблица1[[изд]:[изд]]=$N$1:$T$1)/(Таблица1[[партия]:[партия]]=$W$1),ROW(AH17))),"")</f>
        <v/>
      </c>
      <c r="AJ23" s="139">
        <f t="shared" si="0"/>
        <v>0</v>
      </c>
    </row>
    <row r="24" spans="1:36" ht="28.5" customHeight="1">
      <c r="A24" s="148">
        <v>18</v>
      </c>
      <c r="B24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18))),"")</f>
        <v/>
      </c>
      <c r="C24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О.]]))/(Таблица1[[мес]:[мес]]=$J$5)/(Таблица1[[год]:[год]]=$L$5)/(Таблица1[[изд]:[изд]]=$N$1)/(Таблица1[[партия]:[партия]]=$W$1),ROW(B18))),"")</f>
        <v/>
      </c>
      <c r="D24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18))),"")</f>
        <v/>
      </c>
      <c r="E24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18))),"")</f>
        <v/>
      </c>
      <c r="F24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18))),"")</f>
        <v/>
      </c>
      <c r="G24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18))),"")</f>
        <v/>
      </c>
      <c r="H24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18))),"")</f>
        <v/>
      </c>
      <c r="I24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18))),"")</f>
        <v/>
      </c>
      <c r="J24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18))),"")</f>
        <v/>
      </c>
      <c r="K24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18))),"")</f>
        <v/>
      </c>
      <c r="L24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18))),"")</f>
        <v/>
      </c>
      <c r="M24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18))),"")</f>
        <v/>
      </c>
      <c r="N24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18))),"")</f>
        <v/>
      </c>
      <c r="O24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18))),"")</f>
        <v/>
      </c>
      <c r="P24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18))),"")</f>
        <v/>
      </c>
      <c r="Q24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18))),"")</f>
        <v/>
      </c>
      <c r="R24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18))),"")</f>
        <v/>
      </c>
      <c r="S24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18))),"")</f>
        <v/>
      </c>
      <c r="T24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18))),"")</f>
        <v/>
      </c>
      <c r="U24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18))),"")</f>
        <v/>
      </c>
      <c r="V24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18))),"")</f>
        <v/>
      </c>
      <c r="W24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18))),"")</f>
        <v/>
      </c>
      <c r="X24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18))),"")</f>
        <v/>
      </c>
      <c r="Y24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18))),"")</f>
        <v/>
      </c>
      <c r="Z24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18))),"")</f>
        <v/>
      </c>
      <c r="AA24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18))),"")</f>
        <v/>
      </c>
      <c r="AB24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18))),"")</f>
        <v/>
      </c>
      <c r="AC24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18))),"")</f>
        <v/>
      </c>
      <c r="AD24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18))),"")</f>
        <v/>
      </c>
      <c r="AE24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18))),"")</f>
        <v/>
      </c>
      <c r="AF24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18))),"")</f>
        <v/>
      </c>
      <c r="AG24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18))),"")</f>
        <v/>
      </c>
      <c r="AH24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18))),"")</f>
        <v/>
      </c>
      <c r="AI24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IFERROR(INDEX(#REF!,_xlfn.AGGREGATE(15,6,(ROW(#REF!)-ROW(#REF!))/(Таблица1[[мес]:[мес]]=$J$5)/(Таблица1[[год]:[год]]=$L$5)/(Таблица1[[изд]:[изд]]=$N$1:$T$1)/(Таблица1[[партия]:[партия]]=$W$1),ROW(AH18))),"")</f>
        <v/>
      </c>
      <c r="AJ24" s="139">
        <f t="shared" si="0"/>
        <v>0</v>
      </c>
    </row>
    <row r="25" spans="1:36" ht="25.5" customHeight="1">
      <c r="A25" s="148">
        <v>19</v>
      </c>
      <c r="B25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19))),"")</f>
        <v/>
      </c>
      <c r="C25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О.]]))/(Таблица1[[мес]:[мес]]=$J$5)/(Таблица1[[год]:[год]]=$L$5)/(Таблица1[[изд]:[изд]]=$N$1)/(Таблица1[[партия]:[партия]]=$W$1),ROW(B19))),"")</f>
        <v/>
      </c>
      <c r="D25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19))),"")</f>
        <v/>
      </c>
      <c r="E25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19))),"")</f>
        <v/>
      </c>
      <c r="F25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19))),"")</f>
        <v/>
      </c>
      <c r="G25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19))),"")</f>
        <v/>
      </c>
      <c r="H25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19))),"")</f>
        <v/>
      </c>
      <c r="I25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19))),"")</f>
        <v/>
      </c>
      <c r="J25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19))),"")</f>
        <v/>
      </c>
      <c r="K25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19))),"")</f>
        <v/>
      </c>
      <c r="L25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19))),"")</f>
        <v/>
      </c>
      <c r="M25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19))),"")</f>
        <v/>
      </c>
      <c r="N25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19))),"")</f>
        <v/>
      </c>
      <c r="O25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19))),"")</f>
        <v/>
      </c>
      <c r="P25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19))),"")</f>
        <v/>
      </c>
      <c r="Q25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19))),"")</f>
        <v/>
      </c>
      <c r="R25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19))),"")</f>
        <v/>
      </c>
      <c r="S25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19))),"")</f>
        <v/>
      </c>
      <c r="T25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19))),"")</f>
        <v/>
      </c>
      <c r="U25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19))),"")</f>
        <v/>
      </c>
      <c r="V25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19))),"")</f>
        <v/>
      </c>
      <c r="W25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19))),"")</f>
        <v/>
      </c>
      <c r="X25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19))),"")</f>
        <v/>
      </c>
      <c r="Y25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19))),"")</f>
        <v/>
      </c>
      <c r="Z25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19))),"")</f>
        <v/>
      </c>
      <c r="AA25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19))),"")</f>
        <v/>
      </c>
      <c r="AB25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19))),"")</f>
        <v/>
      </c>
      <c r="AC25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19))),"")</f>
        <v/>
      </c>
      <c r="AD25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19))),"")</f>
        <v/>
      </c>
      <c r="AE25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19))),"")</f>
        <v/>
      </c>
      <c r="AF25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19))),"")</f>
        <v/>
      </c>
      <c r="AG25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19))),"")</f>
        <v/>
      </c>
      <c r="AH25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19))),"")</f>
        <v/>
      </c>
      <c r="AI25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IFERROR(INDEX(#REF!,_xlfn.AGGREGATE(15,6,(ROW(#REF!)-ROW(#REF!))/(Таблица1[[мес]:[мес]]=$J$5)/(Таблица1[[год]:[год]]=$L$5)/(Таблица1[[изд]:[изд]]=$N$1:$T$1)/(Таблица1[[партия]:[партия]]=$W$1),ROW(AH19))),"")</f>
        <v/>
      </c>
      <c r="AJ25" s="139">
        <f>SUM(E25:AI25)</f>
        <v>0</v>
      </c>
    </row>
    <row r="26" spans="1:36" ht="25.5" customHeight="1">
      <c r="A26" s="148">
        <v>20</v>
      </c>
      <c r="B26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20))),"")</f>
        <v/>
      </c>
      <c r="C26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О.]]))/(Таблица1[[мес]:[мес]]=$J$5)/(Таблица1[[год]:[год]]=$L$5)/(Таблица1[[изд]:[изд]]=$N$1)/(Таблица1[[партия]:[партия]]=$W$1),ROW(B20))),"")</f>
        <v/>
      </c>
      <c r="D26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20))),"")</f>
        <v/>
      </c>
      <c r="E26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20))),"")</f>
        <v/>
      </c>
      <c r="F26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20))),"")</f>
        <v/>
      </c>
      <c r="G26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20))),"")</f>
        <v/>
      </c>
      <c r="H26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20))),"")</f>
        <v/>
      </c>
      <c r="I26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20))),"")</f>
        <v/>
      </c>
      <c r="J26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20))),"")</f>
        <v/>
      </c>
      <c r="K26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20))),"")</f>
        <v/>
      </c>
      <c r="L26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20))),"")</f>
        <v/>
      </c>
      <c r="M26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20))),"")</f>
        <v/>
      </c>
      <c r="N26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20))),"")</f>
        <v/>
      </c>
      <c r="O26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20))),"")</f>
        <v/>
      </c>
      <c r="P26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20))),"")</f>
        <v/>
      </c>
      <c r="Q26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20))),"")</f>
        <v/>
      </c>
      <c r="R26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20))),"")</f>
        <v/>
      </c>
      <c r="S26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20))),"")</f>
        <v/>
      </c>
      <c r="T26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20))),"")</f>
        <v/>
      </c>
      <c r="U26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20))),"")</f>
        <v/>
      </c>
      <c r="V26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20))),"")</f>
        <v/>
      </c>
      <c r="W26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20))),"")</f>
        <v/>
      </c>
      <c r="X26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20))),"")</f>
        <v/>
      </c>
      <c r="Y26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20))),"")</f>
        <v/>
      </c>
      <c r="Z26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20))),"")</f>
        <v/>
      </c>
      <c r="AA26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20))),"")</f>
        <v/>
      </c>
      <c r="AB26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20))),"")</f>
        <v/>
      </c>
      <c r="AC26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20))),"")</f>
        <v/>
      </c>
      <c r="AD26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20))),"")</f>
        <v/>
      </c>
      <c r="AE26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20))),"")</f>
        <v/>
      </c>
      <c r="AF26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20))),"")</f>
        <v/>
      </c>
      <c r="AG26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20))),"")</f>
        <v/>
      </c>
      <c r="AH26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20))),"")</f>
        <v/>
      </c>
      <c r="AI26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IFERROR(INDEX(#REF!,_xlfn.AGGREGATE(15,6,(ROW(#REF!)-ROW(#REF!))/(Таблица1[[мес]:[мес]]=$J$5)/(Таблица1[[год]:[год]]=$L$5)/(Таблица1[[изд]:[изд]]=$N$1:$T$1)/(Таблица1[[партия]:[партия]]=$W$1),ROW(AH20))),"")</f>
        <v/>
      </c>
      <c r="AJ26" s="139">
        <f t="shared" ref="AJ26:AJ33" si="1">SUM(E26:AI26)</f>
        <v>0</v>
      </c>
    </row>
    <row r="27" spans="1:36" ht="25.5" hidden="1" customHeight="1">
      <c r="A27" s="148">
        <v>21</v>
      </c>
      <c r="B27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21))),"")</f>
        <v/>
      </c>
      <c r="C27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О.]]))/(Таблица1[[мес]:[мес]]=$J$5)/(Таблица1[[год]:[год]]=$L$5)/(Таблица1[[изд]:[изд]]=$N$1)/(Таблица1[[партия]:[партия]]=$W$1),ROW(B21))),"")</f>
        <v/>
      </c>
      <c r="D27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21))),"")</f>
        <v/>
      </c>
      <c r="E27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21))),"")</f>
        <v/>
      </c>
      <c r="F27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21))),"")</f>
        <v/>
      </c>
      <c r="G27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21))),"")</f>
        <v/>
      </c>
      <c r="H27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21))),"")</f>
        <v/>
      </c>
      <c r="I27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21))),"")</f>
        <v/>
      </c>
      <c r="J27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21))),"")</f>
        <v/>
      </c>
      <c r="K27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21))),"")</f>
        <v/>
      </c>
      <c r="L27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21))),"")</f>
        <v/>
      </c>
      <c r="M27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21))),"")</f>
        <v/>
      </c>
      <c r="N27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21))),"")</f>
        <v/>
      </c>
      <c r="O27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21))),"")</f>
        <v/>
      </c>
      <c r="P27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21))),"")</f>
        <v/>
      </c>
      <c r="Q27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21))),"")</f>
        <v/>
      </c>
      <c r="R27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21))),"")</f>
        <v/>
      </c>
      <c r="S27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21))),"")</f>
        <v/>
      </c>
      <c r="T27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21))),"")</f>
        <v/>
      </c>
      <c r="U27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21))),"")</f>
        <v/>
      </c>
      <c r="V27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21))),"")</f>
        <v/>
      </c>
      <c r="W27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21))),"")</f>
        <v/>
      </c>
      <c r="X27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21))),"")</f>
        <v/>
      </c>
      <c r="Y27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21))),"")</f>
        <v/>
      </c>
      <c r="Z27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21))),"")</f>
        <v/>
      </c>
      <c r="AA27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21))),"")</f>
        <v/>
      </c>
      <c r="AB27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21))),"")</f>
        <v/>
      </c>
      <c r="AC27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21))),"")</f>
        <v/>
      </c>
      <c r="AD27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21))),"")</f>
        <v/>
      </c>
      <c r="AE27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21))),"")</f>
        <v/>
      </c>
      <c r="AF27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21))),"")</f>
        <v/>
      </c>
      <c r="AG27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21))),"")</f>
        <v/>
      </c>
      <c r="AH27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21))),"")</f>
        <v/>
      </c>
      <c r="AI27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IFERROR(INDEX(#REF!,_xlfn.AGGREGATE(15,6,(ROW(#REF!)-ROW(#REF!))/(Таблица1[[мес]:[мес]]=$J$5)/(Таблица1[[год]:[год]]=$L$5)/(Таблица1[[изд]:[изд]]=$N$1:$T$1)/(Таблица1[[партия]:[партия]]=$W$1),ROW(AH21))),"")</f>
        <v/>
      </c>
      <c r="AJ27" s="139">
        <f t="shared" si="1"/>
        <v>0</v>
      </c>
    </row>
    <row r="28" spans="1:36" ht="25.5" hidden="1" customHeight="1">
      <c r="A28" s="148">
        <v>22</v>
      </c>
      <c r="B28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22))),"")</f>
        <v/>
      </c>
      <c r="C28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О.]]))/(Таблица1[[мес]:[мес]]=$J$5)/(Таблица1[[год]:[год]]=$L$5)/(Таблица1[[изд]:[изд]]=$N$1)/(Таблица1[[партия]:[партия]]=$W$1),ROW(B22))),"")</f>
        <v/>
      </c>
      <c r="D28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22))),"")</f>
        <v/>
      </c>
      <c r="E28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22))),"")</f>
        <v/>
      </c>
      <c r="F28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22))),"")</f>
        <v/>
      </c>
      <c r="G28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22))),"")</f>
        <v/>
      </c>
      <c r="H28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22))),"")</f>
        <v/>
      </c>
      <c r="I28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22))),"")</f>
        <v/>
      </c>
      <c r="J28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22))),"")</f>
        <v/>
      </c>
      <c r="K28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22))),"")</f>
        <v/>
      </c>
      <c r="L28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22))),"")</f>
        <v/>
      </c>
      <c r="M28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22))),"")</f>
        <v/>
      </c>
      <c r="N28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22))),"")</f>
        <v/>
      </c>
      <c r="O28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22))),"")</f>
        <v/>
      </c>
      <c r="P28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22))),"")</f>
        <v/>
      </c>
      <c r="Q28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22))),"")</f>
        <v/>
      </c>
      <c r="R28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22))),"")</f>
        <v/>
      </c>
      <c r="S28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22))),"")</f>
        <v/>
      </c>
      <c r="T28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22))),"")</f>
        <v/>
      </c>
      <c r="U28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22))),"")</f>
        <v/>
      </c>
      <c r="V28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22))),"")</f>
        <v/>
      </c>
      <c r="W28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22))),"")</f>
        <v/>
      </c>
      <c r="X28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22))),"")</f>
        <v/>
      </c>
      <c r="Y28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22))),"")</f>
        <v/>
      </c>
      <c r="Z28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22))),"")</f>
        <v/>
      </c>
      <c r="AA28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22))),"")</f>
        <v/>
      </c>
      <c r="AB28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22))),"")</f>
        <v/>
      </c>
      <c r="AC28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22))),"")</f>
        <v/>
      </c>
      <c r="AD28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22))),"")</f>
        <v/>
      </c>
      <c r="AE28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22))),"")</f>
        <v/>
      </c>
      <c r="AF28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22))),"")</f>
        <v/>
      </c>
      <c r="AG28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22))),"")</f>
        <v/>
      </c>
      <c r="AH28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22))),"")</f>
        <v/>
      </c>
      <c r="AI28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IFERROR(INDEX(#REF!,_xlfn.AGGREGATE(15,6,(ROW(#REF!)-ROW(#REF!))/(Таблица1[[мес]:[мес]]=$J$5)/(Таблица1[[год]:[год]]=$L$5)/(Таблица1[[изд]:[изд]]=$N$1:$T$1)/(Таблица1[[партия]:[партия]]=$W$1),ROW(AH22))),"")</f>
        <v/>
      </c>
      <c r="AJ28" s="139">
        <f t="shared" si="1"/>
        <v>0</v>
      </c>
    </row>
    <row r="29" spans="1:36" ht="25.5" hidden="1" customHeight="1">
      <c r="A29" s="148">
        <v>23</v>
      </c>
      <c r="B29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23))),"")</f>
        <v/>
      </c>
      <c r="C29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О.]]))/(Таблица1[[мес]:[мес]]=$J$5)/(Таблица1[[год]:[год]]=$L$5)/(Таблица1[[изд]:[изд]]=$N$1)/(Таблица1[[партия]:[партия]]=$W$1),ROW(B23))),"")</f>
        <v/>
      </c>
      <c r="D29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23))),"")</f>
        <v/>
      </c>
      <c r="E29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23))),"")</f>
        <v/>
      </c>
      <c r="F29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23))),"")</f>
        <v/>
      </c>
      <c r="G29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23))),"")</f>
        <v/>
      </c>
      <c r="H29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23))),"")</f>
        <v/>
      </c>
      <c r="I29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23))),"")</f>
        <v/>
      </c>
      <c r="J29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23))),"")</f>
        <v/>
      </c>
      <c r="K29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23))),"")</f>
        <v/>
      </c>
      <c r="L29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23))),"")</f>
        <v/>
      </c>
      <c r="M29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23))),"")</f>
        <v/>
      </c>
      <c r="N29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23))),"")</f>
        <v/>
      </c>
      <c r="O29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23))),"")</f>
        <v/>
      </c>
      <c r="P29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23))),"")</f>
        <v/>
      </c>
      <c r="Q29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23))),"")</f>
        <v/>
      </c>
      <c r="R29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23))),"")</f>
        <v/>
      </c>
      <c r="S29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23))),"")</f>
        <v/>
      </c>
      <c r="T29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23))),"")</f>
        <v/>
      </c>
      <c r="U29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23))),"")</f>
        <v/>
      </c>
      <c r="V29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23))),"")</f>
        <v/>
      </c>
      <c r="W29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23))),"")</f>
        <v/>
      </c>
      <c r="X29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23))),"")</f>
        <v/>
      </c>
      <c r="Y29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23))),"")</f>
        <v/>
      </c>
      <c r="Z29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23))),"")</f>
        <v/>
      </c>
      <c r="AA29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23))),"")</f>
        <v/>
      </c>
      <c r="AB29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23))),"")</f>
        <v/>
      </c>
      <c r="AC29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23))),"")</f>
        <v/>
      </c>
      <c r="AD29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23))),"")</f>
        <v/>
      </c>
      <c r="AE29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23))),"")</f>
        <v/>
      </c>
      <c r="AF29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23))),"")</f>
        <v/>
      </c>
      <c r="AG29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23))),"")</f>
        <v/>
      </c>
      <c r="AH29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23))),"")</f>
        <v/>
      </c>
      <c r="AI29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IFERROR(INDEX(#REF!,_xlfn.AGGREGATE(15,6,(ROW(#REF!)-ROW(#REF!))/(Таблица1[[мес]:[мес]]=$J$5)/(Таблица1[[год]:[год]]=$L$5)/(Таблица1[[изд]:[изд]]=$N$1:$T$1)/(Таблица1[[партия]:[партия]]=$W$1),ROW(AH23))),"")</f>
        <v/>
      </c>
      <c r="AJ29" s="139">
        <f t="shared" si="1"/>
        <v>0</v>
      </c>
    </row>
    <row r="30" spans="1:36" ht="25.5" hidden="1" customHeight="1">
      <c r="A30" s="148">
        <v>24</v>
      </c>
      <c r="B30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24))),"")</f>
        <v/>
      </c>
      <c r="C30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О.]]))/(Таблица1[[мес]:[мес]]=$J$5)/(Таблица1[[год]:[год]]=$L$5)/(Таблица1[[изд]:[изд]]=$N$1)/(Таблица1[[партия]:[партия]]=$W$1),ROW(B24))),"")</f>
        <v/>
      </c>
      <c r="D30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24))),"")</f>
        <v/>
      </c>
      <c r="E30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24))),"")</f>
        <v/>
      </c>
      <c r="F30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24))),"")</f>
        <v/>
      </c>
      <c r="G30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24))),"")</f>
        <v/>
      </c>
      <c r="H30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24))),"")</f>
        <v/>
      </c>
      <c r="I30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24))),"")</f>
        <v/>
      </c>
      <c r="J30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24))),"")</f>
        <v/>
      </c>
      <c r="K30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24))),"")</f>
        <v/>
      </c>
      <c r="L30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24))),"")</f>
        <v/>
      </c>
      <c r="M30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24))),"")</f>
        <v/>
      </c>
      <c r="N30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24))),"")</f>
        <v/>
      </c>
      <c r="O30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24))),"")</f>
        <v/>
      </c>
      <c r="P30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24))),"")</f>
        <v/>
      </c>
      <c r="Q30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24))),"")</f>
        <v/>
      </c>
      <c r="R30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24))),"")</f>
        <v/>
      </c>
      <c r="S30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24))),"")</f>
        <v/>
      </c>
      <c r="T30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24))),"")</f>
        <v/>
      </c>
      <c r="U30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24))),"")</f>
        <v/>
      </c>
      <c r="V30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24))),"")</f>
        <v/>
      </c>
      <c r="W30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24))),"")</f>
        <v/>
      </c>
      <c r="X30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24))),"")</f>
        <v/>
      </c>
      <c r="Y30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24))),"")</f>
        <v/>
      </c>
      <c r="Z30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24))),"")</f>
        <v/>
      </c>
      <c r="AA30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24))),"")</f>
        <v/>
      </c>
      <c r="AB30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24))),"")</f>
        <v/>
      </c>
      <c r="AC30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24))),"")</f>
        <v/>
      </c>
      <c r="AD30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24))),"")</f>
        <v/>
      </c>
      <c r="AE30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24))),"")</f>
        <v/>
      </c>
      <c r="AF30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24))),"")</f>
        <v/>
      </c>
      <c r="AG30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24))),"")</f>
        <v/>
      </c>
      <c r="AH30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24))),"")</f>
        <v/>
      </c>
      <c r="AI30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IFERROR(INDEX(#REF!,_xlfn.AGGREGATE(15,6,(ROW(#REF!)-ROW(#REF!))/(Таблица1[[мес]:[мес]]=$J$5)/(Таблица1[[год]:[год]]=$L$5)/(Таблица1[[изд]:[изд]]=$N$1:$T$1)/(Таблица1[[партия]:[партия]]=$W$1),ROW(AH24))),"")</f>
        <v/>
      </c>
      <c r="AJ30" s="139">
        <f t="shared" si="1"/>
        <v>0</v>
      </c>
    </row>
    <row r="31" spans="1:36" ht="25.5" hidden="1" customHeight="1">
      <c r="A31" s="148">
        <v>25</v>
      </c>
      <c r="B31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25))),"")</f>
        <v/>
      </c>
      <c r="C31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О.]]))/(Таблица1[[мес]:[мес]]=$J$5)/(Таблица1[[год]:[год]]=$L$5)/(Таблица1[[изд]:[изд]]=$N$1)/(Таблица1[[партия]:[партия]]=$W$1),ROW(B25))),"")</f>
        <v/>
      </c>
      <c r="D31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25))),"")</f>
        <v/>
      </c>
      <c r="E31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25))),"")</f>
        <v/>
      </c>
      <c r="F31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25))),"")</f>
        <v/>
      </c>
      <c r="G31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25))),"")</f>
        <v/>
      </c>
      <c r="H31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25))),"")</f>
        <v/>
      </c>
      <c r="I31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25))),"")</f>
        <v/>
      </c>
      <c r="J31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25))),"")</f>
        <v/>
      </c>
      <c r="K31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25))),"")</f>
        <v/>
      </c>
      <c r="L31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25))),"")</f>
        <v/>
      </c>
      <c r="M31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25))),"")</f>
        <v/>
      </c>
      <c r="N31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25))),"")</f>
        <v/>
      </c>
      <c r="O31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25))),"")</f>
        <v/>
      </c>
      <c r="P31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25))),"")</f>
        <v/>
      </c>
      <c r="Q31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25))),"")</f>
        <v/>
      </c>
      <c r="R31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25))),"")</f>
        <v/>
      </c>
      <c r="S31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25))),"")</f>
        <v/>
      </c>
      <c r="T31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25))),"")</f>
        <v/>
      </c>
      <c r="U31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25))),"")</f>
        <v/>
      </c>
      <c r="V31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25))),"")</f>
        <v/>
      </c>
      <c r="W31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25))),"")</f>
        <v/>
      </c>
      <c r="X31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25))),"")</f>
        <v/>
      </c>
      <c r="Y31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25))),"")</f>
        <v/>
      </c>
      <c r="Z31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25))),"")</f>
        <v/>
      </c>
      <c r="AA31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25))),"")</f>
        <v/>
      </c>
      <c r="AB31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25))),"")</f>
        <v/>
      </c>
      <c r="AC31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25))),"")</f>
        <v/>
      </c>
      <c r="AD31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25))),"")</f>
        <v/>
      </c>
      <c r="AE31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25))),"")</f>
        <v/>
      </c>
      <c r="AF31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25))),"")</f>
        <v/>
      </c>
      <c r="AG31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25))),"")</f>
        <v/>
      </c>
      <c r="AH31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25))),"")</f>
        <v/>
      </c>
      <c r="AI31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IFERROR(INDEX(#REF!,_xlfn.AGGREGATE(15,6,(ROW(#REF!)-ROW(#REF!))/(Таблица1[[мес]:[мес]]=$J$5)/(Таблица1[[год]:[год]]=$L$5)/(Таблица1[[изд]:[изд]]=$N$1:$T$1)/(Таблица1[[партия]:[партия]]=$W$1),ROW(AH25))),"")</f>
        <v/>
      </c>
      <c r="AJ31" s="139">
        <f t="shared" si="1"/>
        <v>0</v>
      </c>
    </row>
    <row r="32" spans="1:36" ht="25.5" hidden="1" customHeight="1">
      <c r="A32" s="148">
        <v>26</v>
      </c>
      <c r="B32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26))),"")</f>
        <v/>
      </c>
      <c r="C32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О.]]))/(Таблица1[[мес]:[мес]]=$J$5)/(Таблица1[[год]:[год]]=$L$5)/(Таблица1[[изд]:[изд]]=$N$1)/(Таблица1[[партия]:[партия]]=$W$1),ROW(B26))),"")</f>
        <v/>
      </c>
      <c r="D32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26))),"")</f>
        <v/>
      </c>
      <c r="E32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26))),"")</f>
        <v/>
      </c>
      <c r="F32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26))),"")</f>
        <v/>
      </c>
      <c r="G32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26))),"")</f>
        <v/>
      </c>
      <c r="H32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26))),"")</f>
        <v/>
      </c>
      <c r="I32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26))),"")</f>
        <v/>
      </c>
      <c r="J32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26))),"")</f>
        <v/>
      </c>
      <c r="K32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26))),"")</f>
        <v/>
      </c>
      <c r="L32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26))),"")</f>
        <v/>
      </c>
      <c r="M32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26))),"")</f>
        <v/>
      </c>
      <c r="N32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26))),"")</f>
        <v/>
      </c>
      <c r="O32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26))),"")</f>
        <v/>
      </c>
      <c r="P32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26))),"")</f>
        <v/>
      </c>
      <c r="Q32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26))),"")</f>
        <v/>
      </c>
      <c r="R32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26))),"")</f>
        <v/>
      </c>
      <c r="S32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26))),"")</f>
        <v/>
      </c>
      <c r="T32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26))),"")</f>
        <v/>
      </c>
      <c r="U32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26))),"")</f>
        <v/>
      </c>
      <c r="V32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26))),"")</f>
        <v/>
      </c>
      <c r="W32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26))),"")</f>
        <v/>
      </c>
      <c r="X32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26))),"")</f>
        <v/>
      </c>
      <c r="Y32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26))),"")</f>
        <v/>
      </c>
      <c r="Z32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26))),"")</f>
        <v/>
      </c>
      <c r="AA32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26))),"")</f>
        <v/>
      </c>
      <c r="AB32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26))),"")</f>
        <v/>
      </c>
      <c r="AC32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26))),"")</f>
        <v/>
      </c>
      <c r="AD32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26))),"")</f>
        <v/>
      </c>
      <c r="AE32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26))),"")</f>
        <v/>
      </c>
      <c r="AF32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26))),"")</f>
        <v/>
      </c>
      <c r="AG32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26))),"")</f>
        <v/>
      </c>
      <c r="AH32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26))),"")</f>
        <v/>
      </c>
      <c r="AI32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IFERROR(INDEX(#REF!,_xlfn.AGGREGATE(15,6,(ROW(#REF!)-ROW(#REF!))/(Таблица1[[мес]:[мес]]=$J$5)/(Таблица1[[год]:[год]]=$L$5)/(Таблица1[[изд]:[изд]]=$N$1:$T$1)/(Таблица1[[партия]:[партия]]=$W$1),ROW(AH26))),"")</f>
        <v/>
      </c>
      <c r="AJ32" s="139">
        <f t="shared" si="1"/>
        <v>0</v>
      </c>
    </row>
    <row r="33" spans="1:41" ht="25.5" customHeight="1">
      <c r="A33" s="148"/>
      <c r="B33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27))),"")</f>
        <v/>
      </c>
      <c r="C33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О.]]))/(Таблица1[[мес]:[мес]]=$J$5)/(Таблица1[[год]:[год]]=$L$5)/(Таблица1[[изд]:[изд]]=$N$1)/(Таблица1[[партия]:[партия]]=$W$1),ROW(B27))),"")</f>
        <v/>
      </c>
      <c r="D33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27))),"")</f>
        <v/>
      </c>
      <c r="E33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27))),"")</f>
        <v/>
      </c>
      <c r="F33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27))),"")</f>
        <v/>
      </c>
      <c r="G33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27))),"")</f>
        <v/>
      </c>
      <c r="H33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27))),"")</f>
        <v/>
      </c>
      <c r="I33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27))),"")</f>
        <v/>
      </c>
      <c r="J33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27))),"")</f>
        <v/>
      </c>
      <c r="K33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27))),"")</f>
        <v/>
      </c>
      <c r="L33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27))),"")</f>
        <v/>
      </c>
      <c r="M33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27))),"")</f>
        <v/>
      </c>
      <c r="N33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27))),"")</f>
        <v/>
      </c>
      <c r="O33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27))),"")</f>
        <v/>
      </c>
      <c r="P33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27))),"")</f>
        <v/>
      </c>
      <c r="Q33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27))),"")</f>
        <v/>
      </c>
      <c r="R33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27))),"")</f>
        <v/>
      </c>
      <c r="S33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27))),"")</f>
        <v/>
      </c>
      <c r="T33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27))),"")</f>
        <v/>
      </c>
      <c r="U33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27))),"")</f>
        <v/>
      </c>
      <c r="V33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27))),"")</f>
        <v/>
      </c>
      <c r="W33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27))),"")</f>
        <v/>
      </c>
      <c r="X33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27))),"")</f>
        <v/>
      </c>
      <c r="Y33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27))),"")</f>
        <v/>
      </c>
      <c r="Z33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27))),"")</f>
        <v/>
      </c>
      <c r="AA33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27))),"")</f>
        <v/>
      </c>
      <c r="AB33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27))),"")</f>
        <v/>
      </c>
      <c r="AC33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27))),"")</f>
        <v/>
      </c>
      <c r="AD33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27))),"")</f>
        <v/>
      </c>
      <c r="AE33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27))),"")</f>
        <v/>
      </c>
      <c r="AF33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27))),"")</f>
        <v/>
      </c>
      <c r="AG33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27))),"")</f>
        <v/>
      </c>
      <c r="AH33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27))),"")</f>
        <v/>
      </c>
      <c r="AI33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IFERROR(INDEX(#REF!,_xlfn.AGGREGATE(15,6,(ROW(#REF!)-ROW(#REF!))/(Таблица1[[мес]:[мес]]=$J$5)/(Таблица1[[год]:[год]]=$L$5)/(Таблица1[[изд]:[изд]]=$N$1:$T$1)/(Таблица1[[партия]:[партия]]=$W$1),ROW(AH27))),"")</f>
        <v/>
      </c>
      <c r="AJ33" s="139">
        <f t="shared" si="1"/>
        <v>0</v>
      </c>
      <c r="AL33" s="873" t="s">
        <v>94</v>
      </c>
      <c r="AM33" s="873"/>
      <c r="AN33" s="873"/>
    </row>
    <row r="34" spans="1:41" ht="15" customHeight="1">
      <c r="A34" s="148"/>
      <c r="B34" s="36"/>
      <c r="C34" s="33" t="s">
        <v>63</v>
      </c>
      <c r="D34" s="36"/>
      <c r="E34" s="34">
        <f>SUM(E7:E33)</f>
        <v>0</v>
      </c>
      <c r="F34" s="34">
        <f t="shared" ref="F34:AI34" si="2">SUM(F7:F33)</f>
        <v>0</v>
      </c>
      <c r="G34" s="34">
        <f t="shared" si="2"/>
        <v>0</v>
      </c>
      <c r="H34" s="34">
        <f t="shared" si="2"/>
        <v>0</v>
      </c>
      <c r="I34" s="34">
        <f t="shared" si="2"/>
        <v>0</v>
      </c>
      <c r="J34" s="34">
        <f t="shared" si="2"/>
        <v>0</v>
      </c>
      <c r="K34" s="34">
        <f t="shared" si="2"/>
        <v>0</v>
      </c>
      <c r="L34" s="34">
        <f t="shared" si="2"/>
        <v>0</v>
      </c>
      <c r="M34" s="34">
        <f t="shared" si="2"/>
        <v>0</v>
      </c>
      <c r="N34" s="34">
        <f t="shared" si="2"/>
        <v>0</v>
      </c>
      <c r="O34" s="34">
        <f t="shared" si="2"/>
        <v>0</v>
      </c>
      <c r="P34" s="34">
        <f t="shared" si="2"/>
        <v>0</v>
      </c>
      <c r="Q34" s="34">
        <f t="shared" si="2"/>
        <v>0</v>
      </c>
      <c r="R34" s="34">
        <f t="shared" si="2"/>
        <v>0</v>
      </c>
      <c r="S34" s="34">
        <f t="shared" si="2"/>
        <v>0</v>
      </c>
      <c r="T34" s="34">
        <f t="shared" si="2"/>
        <v>0</v>
      </c>
      <c r="U34" s="34">
        <f t="shared" si="2"/>
        <v>0</v>
      </c>
      <c r="V34" s="34">
        <f t="shared" si="2"/>
        <v>0</v>
      </c>
      <c r="W34" s="34">
        <f t="shared" si="2"/>
        <v>0</v>
      </c>
      <c r="X34" s="34">
        <f t="shared" si="2"/>
        <v>0</v>
      </c>
      <c r="Y34" s="34">
        <f t="shared" si="2"/>
        <v>0</v>
      </c>
      <c r="Z34" s="34">
        <f t="shared" si="2"/>
        <v>0</v>
      </c>
      <c r="AA34" s="34">
        <f t="shared" si="2"/>
        <v>0</v>
      </c>
      <c r="AB34" s="34">
        <f t="shared" si="2"/>
        <v>0</v>
      </c>
      <c r="AC34" s="34">
        <f t="shared" si="2"/>
        <v>0</v>
      </c>
      <c r="AD34" s="34">
        <f t="shared" si="2"/>
        <v>0</v>
      </c>
      <c r="AE34" s="34">
        <f t="shared" si="2"/>
        <v>0</v>
      </c>
      <c r="AF34" s="34">
        <f t="shared" si="2"/>
        <v>0</v>
      </c>
      <c r="AG34" s="34">
        <f t="shared" si="2"/>
        <v>0</v>
      </c>
      <c r="AH34" s="34">
        <f t="shared" si="2"/>
        <v>0</v>
      </c>
      <c r="AI34" s="34">
        <f t="shared" si="2"/>
        <v>0</v>
      </c>
      <c r="AJ34" s="145">
        <f>SUM(E34:AI34)</f>
        <v>0</v>
      </c>
      <c r="AL34" s="872">
        <f>SUMIFS(Таблица1[Столбец2],Таблица1[партия],W1,Таблица1[изд],N1)</f>
        <v>0</v>
      </c>
      <c r="AM34" s="872"/>
      <c r="AN34" s="872"/>
      <c r="AO34" s="872"/>
    </row>
    <row r="35" spans="1:41" ht="15" customHeight="1">
      <c r="A35" s="148"/>
      <c r="B35" s="148"/>
      <c r="C35" s="149"/>
      <c r="D35" s="148"/>
      <c r="E35" s="148"/>
      <c r="F35" s="148"/>
      <c r="G35" s="148"/>
      <c r="H35" s="148"/>
      <c r="I35" s="148"/>
      <c r="J35" s="148"/>
      <c r="K35" s="148"/>
      <c r="L35" s="148"/>
      <c r="M35" s="148"/>
      <c r="N35" s="148"/>
      <c r="O35" s="148"/>
      <c r="P35" s="148"/>
      <c r="Q35" s="148"/>
      <c r="R35" s="148"/>
      <c r="S35" s="148"/>
      <c r="T35" s="148"/>
      <c r="U35" s="148"/>
      <c r="V35" s="148"/>
      <c r="W35" s="148"/>
      <c r="X35" s="148"/>
      <c r="Y35" s="148"/>
      <c r="Z35" s="148"/>
      <c r="AA35" s="148"/>
      <c r="AB35" s="148"/>
      <c r="AC35" s="148"/>
      <c r="AD35" s="148"/>
      <c r="AE35" s="148"/>
      <c r="AF35" s="148"/>
      <c r="AG35" s="148"/>
      <c r="AH35" s="148"/>
      <c r="AI35" s="148"/>
      <c r="AJ35" s="150"/>
      <c r="AL35" s="872"/>
      <c r="AM35" s="872"/>
      <c r="AN35" s="872"/>
      <c r="AO35" s="872"/>
    </row>
    <row r="36" spans="1:41" ht="24.75" customHeight="1">
      <c r="A36" s="148"/>
      <c r="B36" s="148"/>
      <c r="C36" s="296" t="s">
        <v>64</v>
      </c>
      <c r="D36" s="262"/>
      <c r="E36" s="262"/>
      <c r="F36" s="262"/>
      <c r="G36" s="295" t="str">
        <f>Data_Tech!$AU$7</f>
        <v>Кувшинов А.Г.</v>
      </c>
      <c r="H36" s="295"/>
      <c r="I36" s="261"/>
      <c r="J36" s="261"/>
      <c r="K36" s="148"/>
      <c r="L36" s="148"/>
      <c r="M36" s="148"/>
      <c r="N36" s="148"/>
      <c r="O36" s="148"/>
      <c r="P36" s="148"/>
      <c r="Q36" s="148"/>
      <c r="R36" s="260" t="s">
        <v>246</v>
      </c>
      <c r="S36" s="260"/>
      <c r="T36" s="260"/>
      <c r="U36" s="260"/>
      <c r="V36" s="259"/>
      <c r="W36" s="259"/>
      <c r="X36" s="259"/>
      <c r="Y36" s="259"/>
      <c r="Z36" s="259"/>
      <c r="AA36" s="260" t="s">
        <v>108</v>
      </c>
      <c r="AB36" s="260"/>
      <c r="AC36" s="62"/>
      <c r="AD36" s="62"/>
      <c r="AE36" s="148"/>
      <c r="AF36" s="148"/>
      <c r="AG36" s="148"/>
      <c r="AH36" s="148"/>
      <c r="AI36" s="148"/>
      <c r="AJ36" s="148"/>
      <c r="AL36" s="872"/>
      <c r="AM36" s="872"/>
      <c r="AN36" s="872"/>
      <c r="AO36" s="872"/>
    </row>
    <row r="37" spans="1:41" ht="15" customHeight="1">
      <c r="A37" s="148"/>
      <c r="B37" s="148"/>
      <c r="C37" s="149"/>
      <c r="D37" s="148"/>
      <c r="E37" s="148"/>
      <c r="F37" s="148"/>
      <c r="G37" s="148"/>
      <c r="H37" s="148"/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  <c r="AA37" s="221"/>
      <c r="AB37" s="148"/>
      <c r="AC37" s="148"/>
      <c r="AD37" s="148"/>
      <c r="AE37" s="148"/>
      <c r="AF37" s="148"/>
      <c r="AG37" s="148"/>
      <c r="AH37" s="148"/>
      <c r="AI37" s="148"/>
      <c r="AJ37" s="148"/>
      <c r="AL37" s="872"/>
      <c r="AM37" s="872"/>
      <c r="AN37" s="872"/>
      <c r="AO37" s="872"/>
    </row>
    <row r="38" spans="1:41" ht="20.25" customHeight="1">
      <c r="B38" s="62"/>
      <c r="C38" s="63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62"/>
    </row>
    <row r="39" spans="1:41" ht="18.75">
      <c r="AJ39" s="64"/>
    </row>
    <row r="40" spans="1:41" ht="18">
      <c r="C40" s="52"/>
      <c r="D40" s="53"/>
    </row>
    <row r="41" spans="1:41" ht="18">
      <c r="C41" s="52"/>
      <c r="D41" s="53"/>
    </row>
  </sheetData>
  <mergeCells count="11">
    <mergeCell ref="AL33:AN33"/>
    <mergeCell ref="AL34:AO37"/>
    <mergeCell ref="B1:I5"/>
    <mergeCell ref="N1:T1"/>
    <mergeCell ref="U1:V1"/>
    <mergeCell ref="W1:Y1"/>
    <mergeCell ref="AD2:AE2"/>
    <mergeCell ref="AD3:AE3"/>
    <mergeCell ref="AD4:AE4"/>
    <mergeCell ref="J5:K5"/>
    <mergeCell ref="L5:M5"/>
  </mergeCells>
  <pageMargins left="0.25" right="0.25" top="0.75" bottom="0.75" header="0.3" footer="0.3"/>
  <pageSetup paperSize="9" scale="57" fitToHeight="0" orientation="landscape" r:id="rId1"/>
  <colBreaks count="1" manualBreakCount="1">
    <brk id="36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16</vt:i4>
      </vt:variant>
      <vt:variant>
        <vt:lpstr>Именованные диапазоны</vt:lpstr>
      </vt:variant>
      <vt:variant>
        <vt:i4>12</vt:i4>
      </vt:variant>
    </vt:vector>
  </HeadingPairs>
  <TitlesOfParts>
    <vt:vector size="28" baseType="lpstr">
      <vt:lpstr>Data_Tech</vt:lpstr>
      <vt:lpstr>сверхур</vt:lpstr>
      <vt:lpstr>Лист2</vt:lpstr>
      <vt:lpstr>наряд выходн</vt:lpstr>
      <vt:lpstr>расчет</vt:lpstr>
      <vt:lpstr>база</vt:lpstr>
      <vt:lpstr>наряд СУ</vt:lpstr>
      <vt:lpstr>св-185</vt:lpstr>
      <vt:lpstr>св6001</vt:lpstr>
      <vt:lpstr>757-3</vt:lpstr>
      <vt:lpstr>6001п20</vt:lpstr>
      <vt:lpstr>6001-21</vt:lpstr>
      <vt:lpstr>6001-22</vt:lpstr>
      <vt:lpstr>85-4</vt:lpstr>
      <vt:lpstr>ЭВПН</vt:lpstr>
      <vt:lpstr>6001-23</vt:lpstr>
      <vt:lpstr>'6001-21'!Область_печати</vt:lpstr>
      <vt:lpstr>'6001-22'!Область_печати</vt:lpstr>
      <vt:lpstr>'6001-23'!Область_печати</vt:lpstr>
      <vt:lpstr>'6001п20'!Область_печати</vt:lpstr>
      <vt:lpstr>'757-3'!Область_печати</vt:lpstr>
      <vt:lpstr>'85-4'!Область_печати</vt:lpstr>
      <vt:lpstr>'наряд выходн'!Область_печати</vt:lpstr>
      <vt:lpstr>'наряд СУ'!Область_печати</vt:lpstr>
      <vt:lpstr>расчет!Область_печати</vt:lpstr>
      <vt:lpstr>'св-185'!Область_печати</vt:lpstr>
      <vt:lpstr>св6001!Область_печати</vt:lpstr>
      <vt:lpstr>ЭВПН!Область_печати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2021-11-22T09:27:20Z</dcterms:created>
  <dc:creator>Халитов Шамиль Асхатуллаевич</dc:creator>
  <cp:lastModifiedBy>Алия Халитова</cp:lastModifiedBy>
  <cp:lastPrinted>2023-03-07T08:26:12Z</cp:lastPrinted>
  <dcterms:modified xsi:type="dcterms:W3CDTF">2023-12-24T14:42:05Z</dcterms:modified>
</cp:coreProperties>
</file>